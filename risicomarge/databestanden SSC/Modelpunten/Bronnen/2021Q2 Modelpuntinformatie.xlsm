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https://asrnl.sharepoint.com/sites/ArchitectuurGBSM/Shared Documents/Jupyter Notebook (Reqs)/Module risicomarge/databestanden SSC/Modelpunten/Bronnen/"/>
    </mc:Choice>
  </mc:AlternateContent>
  <xr:revisionPtr revIDLastSave="6" documentId="13_ncr:1_{C83C43D1-79A7-489A-85DC-85847A96D85D}" xr6:coauthVersionLast="47" xr6:coauthVersionMax="47" xr10:uidLastSave="{F7107257-BA15-4740-8023-5AA09396D0A2}"/>
  <workbookProtection workbookAlgorithmName="SHA-512" workbookHashValue="yCw1Cv10YsyJXgpjqQ+DOZSyPfzR+f82px8hkq19quJCRXcwcLZd6644YUN3OTxeNfw4zRTuscGgj03/N5w2yQ==" workbookSaltValue="sHBBBfiXcPinr2/nHMVs1g==" workbookSpinCount="100000" lockStructure="1"/>
  <bookViews>
    <workbookView xWindow="4200" yWindow="540" windowWidth="17565" windowHeight="7710" tabRatio="894" firstSheet="10" activeTab="17" xr2:uid="{00000000-000D-0000-FFFF-FFFF00000000}"/>
  </bookViews>
  <sheets>
    <sheet name="Voorblad" sheetId="67" r:id="rId1"/>
    <sheet name="Toelichting" sheetId="71" r:id="rId2"/>
    <sheet name="Versiebeheer" sheetId="55" r:id="rId3"/>
    <sheet name="Selectie" sheetId="69" r:id="rId4"/>
    <sheet name="Invoer" sheetId="4" r:id="rId5"/>
    <sheet name="MP Controle Recap" sheetId="85" r:id="rId6"/>
    <sheet name="ModelpuntInfo" sheetId="76" r:id="rId7"/>
    <sheet name="Controle aanwezigheid MP" sheetId="86" r:id="rId8"/>
    <sheet name="Controle Indeling HRG" sheetId="77" r:id="rId9"/>
    <sheet name="Controle Indeling PLNomUL" sheetId="81" r:id="rId10"/>
    <sheet name="Controle Indeling Productlijn" sheetId="79" r:id="rId11"/>
    <sheet name="Controle Indeling EPR" sheetId="84" r:id="rId12"/>
    <sheet name="Controle Indeling QRT Subniveau" sheetId="82" r:id="rId13"/>
    <sheet name="Controle Indeling QRT Niveau" sheetId="83" r:id="rId14"/>
    <sheet name="LoC Recap" sheetId="75" r:id="rId15"/>
    <sheet name="ModelpuntenInfoOSM" sheetId="73" r:id="rId16"/>
    <sheet name="LoC ModelpuntenInfoOSM" sheetId="74" r:id="rId17"/>
    <sheet name="Overview MP Life" sheetId="23" r:id="rId18"/>
    <sheet name="LoC Overview MP Life" sheetId="68" r:id="rId19"/>
    <sheet name="vena.tmp.7EC47338204F4F1F" sheetId="72" state="veryHidden" r:id="rId20"/>
  </sheets>
  <externalReferences>
    <externalReference r:id="rId21"/>
    <externalReference r:id="rId22"/>
  </externalReferences>
  <definedNames>
    <definedName name="_xlnm._FilterDatabase" localSheetId="4" hidden="1">Invoer!$A$6:$M$10</definedName>
    <definedName name="_xlnm._FilterDatabase" localSheetId="6" hidden="1">ModelpuntInfo!$H$23:$AB$374</definedName>
    <definedName name="_vena_ControleIndelingEPR_B1_C_FV_18833718d1654aadbc8e26067c178bd5">'Controle Indeling EPR'!$F$16</definedName>
    <definedName name="_vena_ControleIndelingEPR_B1_C_FV_a29e5bcf45ca496da8833af34d35696d">'Controle Indeling EPR'!$F$17</definedName>
    <definedName name="_vena_ControleIndelingEPR_B1_R_3_718947653497389058">'Controle Indeling EPR'!$E$20</definedName>
    <definedName name="_vena_ControleIndelingEPR_B1_R_3_718947653505777666">'Controle Indeling EPR'!$E$24</definedName>
    <definedName name="_vena_ControleIndelingEPR_B1_R_3_718947653509971971">'Controle Indeling EPR'!$E$25</definedName>
    <definedName name="_vena_ControleIndelingEPR_B1_R_3_738101868229296142">'Controle Indeling EPR'!$E$22</definedName>
    <definedName name="_vena_ControleIndelingEPR_B1_R_3_741036978375884803">'Controle Indeling EPR'!$E$23</definedName>
    <definedName name="_vena_ControleIndelingEPR_B1_R_3_848292094858231812">'Controle Indeling EPR'!$E$21</definedName>
    <definedName name="_vena_ControleIndelingEPR_P_4_718931129058590721" comment="*">'Controle Indeling EPR'!$D$7</definedName>
    <definedName name="_vena_ControleIndelingEPR_P_5_718931142656917509" comment="*">'Controle Indeling EPR'!$D$8</definedName>
    <definedName name="_vena_ControleIndelingEPR_P_6_730565783391305729" comment="*">'Controle Indeling EPR'!$D$9</definedName>
    <definedName name="_vena_ControleIndelingEPR_P_7_720673044374355968" comment="*">'Controle Indeling EPR'!$D$10</definedName>
    <definedName name="_vena_ControleIndelingHRG_B1_C_FV_18833718d1654aadbc8e26067c178bd5">'Controle Indeling HRG'!$F$16</definedName>
    <definedName name="_vena_ControleIndelingHRG_B1_C_FV_a29e5bcf45ca496da8833af34d35696d">'Controle Indeling HRG'!$F$17</definedName>
    <definedName name="_vena_ControleIndelingHRG_B1_R_3_1015700822930489354">'Controle Indeling HRG'!$E$193</definedName>
    <definedName name="_vena_ControleIndelingHRG_B1_R_3_1015700822968238094">'Controle Indeling HRG'!$E$377</definedName>
    <definedName name="_vena_ControleIndelingHRG_B1_R_3_1051217086871765008">'Controle Indeling HRG'!$E$55</definedName>
    <definedName name="_vena_ControleIndelingHRG_B1_R_3_718947653497389058">'Controle Indeling HRG'!$E$272</definedName>
    <definedName name="_vena_ControleIndelingHRG_B1_R_3_718947653505777666">'Controle Indeling HRG'!$E$275</definedName>
    <definedName name="_vena_ControleIndelingHRG_B1_R_3_718947653509971971">'Controle Indeling HRG'!$E$276</definedName>
    <definedName name="_vena_ControleIndelingHRG_B1_R_3_718949073356980224">'Controle Indeling HRG'!$E$220</definedName>
    <definedName name="_vena_ControleIndelingHRG_B1_R_3_718949073365368832">'Controle Indeling HRG'!$E$221</definedName>
    <definedName name="_vena_ControleIndelingHRG_B1_R_3_718949073369563137">'Controle Indeling HRG'!$E$222</definedName>
    <definedName name="_vena_ControleIndelingHRG_B1_R_3_718949073373757441">'Controle Indeling HRG'!$E$223</definedName>
    <definedName name="_vena_ControleIndelingHRG_B1_R_3_718949073373757443">'Controle Indeling HRG'!$E$224</definedName>
    <definedName name="_vena_ControleIndelingHRG_B1_R_3_718949073377951745">'Controle Indeling HRG'!$E$225</definedName>
    <definedName name="_vena_ControleIndelingHRG_B1_R_3_718949073382146049">'Controle Indeling HRG'!$E$226</definedName>
    <definedName name="_vena_ControleIndelingHRG_B1_R_3_718949073382146051">'Controle Indeling HRG'!$E$227</definedName>
    <definedName name="_vena_ControleIndelingHRG_B1_R_3_718949073386340353">'Controle Indeling HRG'!$E$228</definedName>
    <definedName name="_vena_ControleIndelingHRG_B1_R_3_718949073390534657">'Controle Indeling HRG'!$E$229</definedName>
    <definedName name="_vena_ControleIndelingHRG_B1_R_3_718949073394728961">'Controle Indeling HRG'!$E$230</definedName>
    <definedName name="_vena_ControleIndelingHRG_B1_R_3_718949073394728963">'Controle Indeling HRG'!$E$231</definedName>
    <definedName name="_vena_ControleIndelingHRG_B1_R_3_718949073398923265">'Controle Indeling HRG'!$E$232</definedName>
    <definedName name="_vena_ControleIndelingHRG_B1_R_3_718949073403117569">'Controle Indeling HRG'!$E$378</definedName>
    <definedName name="_vena_ControleIndelingHRG_B1_R_3_718949073407311872">'Controle Indeling HRG'!$E$379</definedName>
    <definedName name="_vena_ControleIndelingHRG_B1_R_3_718949073411506177">'Controle Indeling HRG'!$E$381</definedName>
    <definedName name="_vena_ControleIndelingHRG_B1_R_3_718949073415700481">'Controle Indeling HRG'!$E$233</definedName>
    <definedName name="_vena_ControleIndelingHRG_B1_R_3_718949073415700483">'Controle Indeling HRG'!$E$234</definedName>
    <definedName name="_vena_ControleIndelingHRG_B1_R_3_718949073419894785">'Controle Indeling HRG'!$E$235</definedName>
    <definedName name="_vena_ControleIndelingHRG_B1_R_3_718949073424089089">'Controle Indeling HRG'!$E$236</definedName>
    <definedName name="_vena_ControleIndelingHRG_B1_R_3_718949073424089091">'Controle Indeling HRG'!$E$237</definedName>
    <definedName name="_vena_ControleIndelingHRG_B1_R_3_718949073428283393">'Controle Indeling HRG'!$E$238</definedName>
    <definedName name="_vena_ControleIndelingHRG_B1_R_3_718949073432477697">'Controle Indeling HRG'!$E$239</definedName>
    <definedName name="_vena_ControleIndelingHRG_B1_R_3_718949073432477699">'Controle Indeling HRG'!$E$240</definedName>
    <definedName name="_vena_ControleIndelingHRG_B1_R_3_718949073436672001">'Controle Indeling HRG'!$E$241</definedName>
    <definedName name="_vena_ControleIndelingHRG_B1_R_3_718949073440866305">'Controle Indeling HRG'!$E$242</definedName>
    <definedName name="_vena_ControleIndelingHRG_B1_R_3_718949073440866307">'Controle Indeling HRG'!$E$243</definedName>
    <definedName name="_vena_ControleIndelingHRG_B1_R_3_718949073445060609">'Controle Indeling HRG'!$E$244</definedName>
    <definedName name="_vena_ControleIndelingHRG_B1_R_3_718949073449254913">'Controle Indeling HRG'!$E$245</definedName>
    <definedName name="_vena_ControleIndelingHRG_B1_R_3_718949073453449218">'Controle Indeling HRG'!$E$246</definedName>
    <definedName name="_vena_ControleIndelingHRG_B1_R_3_718949073457643521">'Controle Indeling HRG'!$E$247</definedName>
    <definedName name="_vena_ControleIndelingHRG_B1_R_3_718949073457643523">'Controle Indeling HRG'!$E$248</definedName>
    <definedName name="_vena_ControleIndelingHRG_B1_R_3_718949073461837825">'Controle Indeling HRG'!$E$249</definedName>
    <definedName name="_vena_ControleIndelingHRG_B1_R_3_718949073466032129">'Controle Indeling HRG'!$E$250</definedName>
    <definedName name="_vena_ControleIndelingHRG_B1_R_3_718949073466032131">'Controle Indeling HRG'!$E$251</definedName>
    <definedName name="_vena_ControleIndelingHRG_B1_R_3_718949073470226433">'Controle Indeling HRG'!$E$252</definedName>
    <definedName name="_vena_ControleIndelingHRG_B1_R_3_718949073474420737">'Controle Indeling HRG'!$E$253</definedName>
    <definedName name="_vena_ControleIndelingHRG_B1_R_3_718949073478615041">'Controle Indeling HRG'!$E$254</definedName>
    <definedName name="_vena_ControleIndelingHRG_B1_R_3_718949073478615043">'Controle Indeling HRG'!$E$255</definedName>
    <definedName name="_vena_ControleIndelingHRG_B1_R_3_718949073482809345">'Controle Indeling HRG'!$E$256</definedName>
    <definedName name="_vena_ControleIndelingHRG_B1_R_3_718949073487003649">'Controle Indeling HRG'!$E$257</definedName>
    <definedName name="_vena_ControleIndelingHRG_B1_R_3_718949073487003651">'Controle Indeling HRG'!$E$258</definedName>
    <definedName name="_vena_ControleIndelingHRG_B1_R_3_718949073491197953">'Controle Indeling HRG'!$E$278</definedName>
    <definedName name="_vena_ControleIndelingHRG_B1_R_3_718949073499586560">'Controle Indeling HRG'!$E$279</definedName>
    <definedName name="_vena_ControleIndelingHRG_B1_R_3_718949073499586562">'Controle Indeling HRG'!$E$280</definedName>
    <definedName name="_vena_ControleIndelingHRG_B1_R_3_718949073503780865">'Controle Indeling HRG'!$E$281</definedName>
    <definedName name="_vena_ControleIndelingHRG_B1_R_3_718949073507975169">'Controle Indeling HRG'!$E$282</definedName>
    <definedName name="_vena_ControleIndelingHRG_B1_R_3_718949073507975171">'Controle Indeling HRG'!$E$283</definedName>
    <definedName name="_vena_ControleIndelingHRG_B1_R_3_718949073512169473">'Controle Indeling HRG'!$E$284</definedName>
    <definedName name="_vena_ControleIndelingHRG_B1_R_3_718949073516363777">'Controle Indeling HRG'!$E$260</definedName>
    <definedName name="_vena_ControleIndelingHRG_B1_R_3_718949073520558081">'Controle Indeling HRG'!$E$383</definedName>
    <definedName name="_vena_ControleIndelingHRG_B1_R_3_718949073520558083">'Controle Indeling HRG'!$E$261</definedName>
    <definedName name="_vena_ControleIndelingHRG_B1_R_3_718949073524752385">'Controle Indeling HRG'!$E$262</definedName>
    <definedName name="_vena_ControleIndelingHRG_B1_R_3_718949073528946689">'Controle Indeling HRG'!$E$263</definedName>
    <definedName name="_vena_ControleIndelingHRG_B1_R_3_718949073528946691">'Controle Indeling HRG'!$E$264</definedName>
    <definedName name="_vena_ControleIndelingHRG_B1_R_3_718949073533140993">'Controle Indeling HRG'!$E$265</definedName>
    <definedName name="_vena_ControleIndelingHRG_B1_R_3_718949073537335297">'Controle Indeling HRG'!$E$266</definedName>
    <definedName name="_vena_ControleIndelingHRG_B1_R_3_718949073537335299">'Controle Indeling HRG'!$E$267</definedName>
    <definedName name="_vena_ControleIndelingHRG_B1_R_3_718949073541529601">'Controle Indeling HRG'!$E$268</definedName>
    <definedName name="_vena_ControleIndelingHRG_B1_R_3_718949073545723905">'Controle Indeling HRG'!$E$390</definedName>
    <definedName name="_vena_ControleIndelingHRG_B1_R_3_718949073549918209">'Controle Indeling HRG'!$E$373</definedName>
    <definedName name="_vena_ControleIndelingHRG_B1_R_3_718949073558306816">'Controle Indeling HRG'!$E$374</definedName>
    <definedName name="_vena_ControleIndelingHRG_B1_R_3_718949073558306818">'Controle Indeling HRG'!$E$156</definedName>
    <definedName name="_vena_ControleIndelingHRG_B1_R_3_718949073566695424">'Controle Indeling HRG'!$E$157</definedName>
    <definedName name="_vena_ControleIndelingHRG_B1_R_3_718949073566695426">'Controle Indeling HRG'!$E$128</definedName>
    <definedName name="_vena_ControleIndelingHRG_B1_R_3_718949073575084032">'Controle Indeling HRG'!$E$158</definedName>
    <definedName name="_vena_ControleIndelingHRG_B1_R_3_718949073575084034">'Controle Indeling HRG'!$E$129</definedName>
    <definedName name="_vena_ControleIndelingHRG_B1_R_3_718949073579278337">'Controle Indeling HRG'!$E$130</definedName>
    <definedName name="_vena_ControleIndelingHRG_B1_R_3_718949073583472641">'Controle Indeling HRG'!$E$159</definedName>
    <definedName name="_vena_ControleIndelingHRG_B1_R_3_718949073583472643">'Controle Indeling HRG'!$E$354</definedName>
    <definedName name="_vena_ControleIndelingHRG_B1_R_3_718949073591861248">'Controle Indeling HRG'!$E$349</definedName>
    <definedName name="_vena_ControleIndelingHRG_B1_R_3_718949073596055552">'Controle Indeling HRG'!$E$54</definedName>
    <definedName name="_vena_ControleIndelingHRG_B1_R_3_718949073600249857">'Controle Indeling HRG'!$E$24</definedName>
    <definedName name="_vena_ControleIndelingHRG_B1_R_3_718949073608638464">'Controle Indeling HRG'!$E$25</definedName>
    <definedName name="_vena_ControleIndelingHRG_B1_R_3_718949073608638466">'Controle Indeling HRG'!$E$26</definedName>
    <definedName name="_vena_ControleIndelingHRG_B1_R_3_718949073612832769">'Controle Indeling HRG'!$E$27</definedName>
    <definedName name="_vena_ControleIndelingHRG_B1_R_3_718949073617027073">'Controle Indeling HRG'!$E$42</definedName>
    <definedName name="_vena_ControleIndelingHRG_B1_R_3_718949073621221376">'Controle Indeling HRG'!$E$67</definedName>
    <definedName name="_vena_ControleIndelingHRG_B1_R_3_718949073625415681">'Controle Indeling HRG'!$E$28</definedName>
    <definedName name="_vena_ControleIndelingHRG_B1_R_3_718949073629609985">'Controle Indeling HRG'!$E$43</definedName>
    <definedName name="_vena_ControleIndelingHRG_B1_R_3_718949073633804289">'Controle Indeling HRG'!$E$56</definedName>
    <definedName name="_vena_ControleIndelingHRG_B1_R_3_718949073637998593">'Controle Indeling HRG'!$E$68</definedName>
    <definedName name="_vena_ControleIndelingHRG_B1_R_3_718949073637998595">'Controle Indeling HRG'!$E$69</definedName>
    <definedName name="_vena_ControleIndelingHRG_B1_R_3_718949073642192897">'Controle Indeling HRG'!$E$37</definedName>
    <definedName name="_vena_ControleIndelingHRG_B1_R_3_718949073646387201">'Controle Indeling HRG'!$E$29</definedName>
    <definedName name="_vena_ControleIndelingHRG_B1_R_3_718949073650581505">'Controle Indeling HRG'!$E$44</definedName>
    <definedName name="_vena_ControleIndelingHRG_B1_R_3_718949073654775809">'Controle Indeling HRG'!$E$57</definedName>
    <definedName name="_vena_ControleIndelingHRG_B1_R_3_718949073654775811">'Controle Indeling HRG'!$E$70</definedName>
    <definedName name="_vena_ControleIndelingHRG_B1_R_3_718949073658970113">'Controle Indeling HRG'!$E$58</definedName>
    <definedName name="_vena_ControleIndelingHRG_B1_R_3_718949073663164417">'Controle Indeling HRG'!$E$59</definedName>
    <definedName name="_vena_ControleIndelingHRG_B1_R_3_718949073667358721">'Controle Indeling HRG'!$E$71</definedName>
    <definedName name="_vena_ControleIndelingHRG_B1_R_3_718949073667358723">'Controle Indeling HRG'!$E$60</definedName>
    <definedName name="_vena_ControleIndelingHRG_B1_R_3_718949073671553025">'Controle Indeling HRG'!$E$21</definedName>
    <definedName name="_vena_ControleIndelingHRG_B1_R_3_718949073675747329">'Controle Indeling HRG'!$E$61</definedName>
    <definedName name="_vena_ControleIndelingHRG_B1_R_3_718949073679941633">'Controle Indeling HRG'!$E$30</definedName>
    <definedName name="_vena_ControleIndelingHRG_B1_R_3_718949073684135937">'Controle Indeling HRG'!$E$31</definedName>
    <definedName name="_vena_ControleIndelingHRG_B1_R_3_718949073684135939">'Controle Indeling HRG'!$E$62</definedName>
    <definedName name="_vena_ControleIndelingHRG_B1_R_3_718949073688330241">'Controle Indeling HRG'!$E$72</definedName>
    <definedName name="_vena_ControleIndelingHRG_B1_R_3_718949073692524545">'Controle Indeling HRG'!$E$38</definedName>
    <definedName name="_vena_ControleIndelingHRG_B1_R_3_718949073696718849">'Controle Indeling HRG'!$E$45</definedName>
    <definedName name="_vena_ControleIndelingHRG_B1_R_3_718949073696718851">'Controle Indeling HRG'!$E$32</definedName>
    <definedName name="_vena_ControleIndelingHRG_B1_R_3_718949073700913153">'Controle Indeling HRG'!$E$46</definedName>
    <definedName name="_vena_ControleIndelingHRG_B1_R_3_718949073705107457">'Controle Indeling HRG'!$E$33</definedName>
    <definedName name="_vena_ControleIndelingHRG_B1_R_3_718949073705107459">'Controle Indeling HRG'!$E$34</definedName>
    <definedName name="_vena_ControleIndelingHRG_B1_R_3_718949073709301761">'Controle Indeling HRG'!$E$63</definedName>
    <definedName name="_vena_ControleIndelingHRG_B1_R_3_718949073713496065">'Controle Indeling HRG'!$E$39</definedName>
    <definedName name="_vena_ControleIndelingHRG_B1_R_3_718949073713496067">'Controle Indeling HRG'!$E$47</definedName>
    <definedName name="_vena_ControleIndelingHRG_B1_R_3_718949073717690369">'Controle Indeling HRG'!$E$48</definedName>
    <definedName name="_vena_ControleIndelingHRG_B1_R_3_718949073721884673">'Controle Indeling HRG'!$E$49</definedName>
    <definedName name="_vena_ControleIndelingHRG_B1_R_3_718949073726078977">'Controle Indeling HRG'!$E$73</definedName>
    <definedName name="_vena_ControleIndelingHRG_B1_R_3_718949073726078979">'Controle Indeling HRG'!$E$50</definedName>
    <definedName name="_vena_ControleIndelingHRG_B1_R_3_718949073730273281">'Controle Indeling HRG'!$E$51</definedName>
    <definedName name="_vena_ControleIndelingHRG_B1_R_3_718949073734467585">'Controle Indeling HRG'!$E$64</definedName>
    <definedName name="_vena_ControleIndelingHRG_B1_R_3_718949073734467587">'Controle Indeling HRG'!$E$74</definedName>
    <definedName name="_vena_ControleIndelingHRG_B1_R_3_718949073738661889">'Controle Indeling HRG'!$E$132</definedName>
    <definedName name="_vena_ControleIndelingHRG_B1_R_3_718949073742856193">'Controle Indeling HRG'!$E$178</definedName>
    <definedName name="_vena_ControleIndelingHRG_B1_R_3_718949073747050497">'Controle Indeling HRG'!$E$192</definedName>
    <definedName name="_vena_ControleIndelingHRG_B1_R_3_718949073751244801">'Controle Indeling HRG'!$E$97</definedName>
    <definedName name="_vena_ControleIndelingHRG_B1_R_3_718949073759633408">'Controle Indeling HRG'!$E$161</definedName>
    <definedName name="_vena_ControleIndelingHRG_B1_R_3_718949073763827713">'Controle Indeling HRG'!$E$77</definedName>
    <definedName name="_vena_ControleIndelingHRG_B1_R_3_718949073768022016">'Controle Indeling HRG'!$E$179</definedName>
    <definedName name="_vena_ControleIndelingHRG_B1_R_3_718949073772216321">'Controle Indeling HRG'!$E$162</definedName>
    <definedName name="_vena_ControleIndelingHRG_B1_R_3_718949073776410624">'Controle Indeling HRG'!$E$344</definedName>
    <definedName name="_vena_ControleIndelingHRG_B1_R_3_718949073780604928">'Controle Indeling HRG'!$E$345</definedName>
    <definedName name="_vena_ControleIndelingHRG_B1_R_3_718949073784799233">'Controle Indeling HRG'!$E$346</definedName>
    <definedName name="_vena_ControleIndelingHRG_B1_R_3_718949073788993536">'Controle Indeling HRG'!$E$270</definedName>
    <definedName name="_vena_ControleIndelingHRG_B1_R_3_718949073788993538">'Controle Indeling HRG'!$E$392</definedName>
    <definedName name="_vena_ControleIndelingHRG_B1_R_3_718949073793187841">'Controle Indeling HRG'!$E$367</definedName>
    <definedName name="_vena_ControleIndelingHRG_B1_R_3_718949073797382145">'Controle Indeling HRG'!$E$133</definedName>
    <definedName name="_vena_ControleIndelingHRG_B1_R_3_718949073801576449">'Controle Indeling HRG'!$E$134</definedName>
    <definedName name="_vena_ControleIndelingHRG_B1_R_3_718949073805770753">'Controle Indeling HRG'!$E$99</definedName>
    <definedName name="_vena_ControleIndelingHRG_B1_R_3_718949073809965057">'Controle Indeling HRG'!$E$100</definedName>
    <definedName name="_vena_ControleIndelingHRG_B1_R_3_718949073809965059">'Controle Indeling HRG'!$E$205</definedName>
    <definedName name="_vena_ControleIndelingHRG_B1_R_3_718949073818353664">'Controle Indeling HRG'!$E$81</definedName>
    <definedName name="_vena_ControleIndelingHRG_B1_R_3_718949073822547969">'Controle Indeling HRG'!$E$214</definedName>
    <definedName name="_vena_ControleIndelingHRG_B1_R_3_718949073826742273">'Controle Indeling HRG'!$E$182</definedName>
    <definedName name="_vena_ControleIndelingHRG_B1_R_3_718949073830936577">'Controle Indeling HRG'!$E$194</definedName>
    <definedName name="_vena_ControleIndelingHRG_B1_R_3_718949073835130881">'Controle Indeling HRG'!$E$163</definedName>
    <definedName name="_vena_ControleIndelingHRG_B1_R_3_718949073839325185">'Controle Indeling HRG'!$E$206</definedName>
    <definedName name="_vena_ControleIndelingHRG_B1_R_3_718949073839325187">'Controle Indeling HRG'!$E$101</definedName>
    <definedName name="_vena_ControleIndelingHRG_B1_R_3_718949073843519489">'Controle Indeling HRG'!$E$82</definedName>
    <definedName name="_vena_ControleIndelingHRG_B1_R_3_718949073847713793">'Controle Indeling HRG'!$E$90</definedName>
    <definedName name="_vena_ControleIndelingHRG_B1_R_3_718949073851908096">'Controle Indeling HRG'!$E$91</definedName>
    <definedName name="_vena_ControleIndelingHRG_B1_R_3_718949073856102401">'Controle Indeling HRG'!$E$215</definedName>
    <definedName name="_vena_ControleIndelingHRG_B1_R_3_718949073860296705">'Controle Indeling HRG'!$E$183</definedName>
    <definedName name="_vena_ControleIndelingHRG_B1_R_3_718949073860296707">'Controle Indeling HRG'!$E$195</definedName>
    <definedName name="_vena_ControleIndelingHRG_B1_R_3_718949073864491009">'Controle Indeling HRG'!$E$102</definedName>
    <definedName name="_vena_ControleIndelingHRG_B1_R_3_718949073868685313">'Controle Indeling HRG'!$E$103</definedName>
    <definedName name="_vena_ControleIndelingHRG_B1_R_3_718949073868685315">'Controle Indeling HRG'!$E$104</definedName>
    <definedName name="_vena_ControleIndelingHRG_B1_R_3_718949073872879617">'Controle Indeling HRG'!$E$105</definedName>
    <definedName name="_vena_ControleIndelingHRG_B1_R_3_718949073877073921">'Controle Indeling HRG'!$E$106</definedName>
    <definedName name="_vena_ControleIndelingHRG_B1_R_3_718949073881268225">'Controle Indeling HRG'!$E$207</definedName>
    <definedName name="_vena_ControleIndelingHRG_B1_R_3_718949073881268227">'Controle Indeling HRG'!$E$107</definedName>
    <definedName name="_vena_ControleIndelingHRG_B1_R_3_718949073885462529">'Controle Indeling HRG'!$E$83</definedName>
    <definedName name="_vena_ControleIndelingHRG_B1_R_3_718949073889656833">'Controle Indeling HRG'!$E$108</definedName>
    <definedName name="_vena_ControleIndelingHRG_B1_R_3_718949073893851137">'Controle Indeling HRG'!$E$216</definedName>
    <definedName name="_vena_ControleIndelingHRG_B1_R_3_718949073893851139">'Controle Indeling HRG'!$E$196</definedName>
    <definedName name="_vena_ControleIndelingHRG_B1_R_3_718949073898045441">'Controle Indeling HRG'!$E$109</definedName>
    <definedName name="_vena_ControleIndelingHRG_B1_R_3_718949073902239745">'Controle Indeling HRG'!$E$110</definedName>
    <definedName name="_vena_ControleIndelingHRG_B1_R_3_718949073902239747">'Controle Indeling HRG'!$E$111</definedName>
    <definedName name="_vena_ControleIndelingHRG_B1_R_3_718949073906434049">'Controle Indeling HRG'!$E$112</definedName>
    <definedName name="_vena_ControleIndelingHRG_B1_R_3_718949073910628353">'Controle Indeling HRG'!$E$113</definedName>
    <definedName name="_vena_ControleIndelingHRG_B1_R_3_718949073914822657">'Controle Indeling HRG'!$E$208</definedName>
    <definedName name="_vena_ControleIndelingHRG_B1_R_3_718949073914822659">'Controle Indeling HRG'!$E$209</definedName>
    <definedName name="_vena_ControleIndelingHRG_B1_R_3_718949073919016961">'Controle Indeling HRG'!$E$197</definedName>
    <definedName name="_vena_ControleIndelingHRG_B1_R_3_718949073923211265">'Controle Indeling HRG'!$E$184</definedName>
    <definedName name="_vena_ControleIndelingHRG_B1_R_3_718949073923211267">'Controle Indeling HRG'!$E$198</definedName>
    <definedName name="_vena_ControleIndelingHRG_B1_R_3_718949073927405569">'Controle Indeling HRG'!$E$199</definedName>
    <definedName name="_vena_ControleIndelingHRG_B1_R_3_718949073931599873">'Controle Indeling HRG'!$E$200</definedName>
    <definedName name="_vena_ControleIndelingHRG_B1_R_3_718949073935794176">'Controle Indeling HRG'!$E$114</definedName>
    <definedName name="_vena_ControleIndelingHRG_B1_R_3_718949073935794178">'Controle Indeling HRG'!$E$115</definedName>
    <definedName name="_vena_ControleIndelingHRG_B1_R_3_718949073939988481">'Controle Indeling HRG'!$E$118</definedName>
    <definedName name="_vena_ControleIndelingHRG_B1_R_3_718949073944182785">'Controle Indeling HRG'!$E$92</definedName>
    <definedName name="_vena_ControleIndelingHRG_B1_R_3_718949073944182787">'Controle Indeling HRG'!$E$210</definedName>
    <definedName name="_vena_ControleIndelingHRG_B1_R_3_718949073948377089">'Controle Indeling HRG'!$E$93</definedName>
    <definedName name="_vena_ControleIndelingHRG_B1_R_3_718949073952571393">'Controle Indeling HRG'!$E$187</definedName>
    <definedName name="_vena_ControleIndelingHRG_B1_R_3_718949073952571395">'Controle Indeling HRG'!$E$136</definedName>
    <definedName name="_vena_ControleIndelingHRG_B1_R_3_718949073956765697">'Controle Indeling HRG'!$E$94</definedName>
    <definedName name="_vena_ControleIndelingHRG_B1_R_3_718949073960960001">'Controle Indeling HRG'!$E$119</definedName>
    <definedName name="_vena_ControleIndelingHRG_B1_R_3_718949073965154304">'Controle Indeling HRG'!$E$86</definedName>
    <definedName name="_vena_ControleIndelingHRG_B1_R_3_718949073965154306">'Controle Indeling HRG'!$E$87</definedName>
    <definedName name="_vena_ControleIndelingHRG_B1_R_3_718949073969348609">'Controle Indeling HRG'!$E$218</definedName>
    <definedName name="_vena_ControleIndelingHRG_B1_R_3_718949073973542913">'Controle Indeling HRG'!$E$201</definedName>
    <definedName name="_vena_ControleIndelingHRG_B1_R_3_718949073973542915">'Controle Indeling HRG'!$E$120</definedName>
    <definedName name="_vena_ControleIndelingHRG_B1_R_3_718949073977737217">'Controle Indeling HRG'!$E$369</definedName>
    <definedName name="_vena_ControleIndelingHRG_B1_R_3_718949073981931521">'Controle Indeling HRG'!$E$362</definedName>
    <definedName name="_vena_ControleIndelingHRG_B1_R_3_718949073986125824">'Controle Indeling HRG'!$E$356</definedName>
    <definedName name="_vena_ControleIndelingHRG_B1_R_3_718949073990320129">'Controle Indeling HRG'!$E$123</definedName>
    <definedName name="_vena_ControleIndelingHRG_B1_R_3_718949073994514432">'Controle Indeling HRG'!$E$202</definedName>
    <definedName name="_vena_ControleIndelingHRG_B1_R_3_718949073998708737">'Controle Indeling HRG'!$E$164</definedName>
    <definedName name="_vena_ControleIndelingHRG_B1_R_3_718949073998708739">'Controle Indeling HRG'!$E$165</definedName>
    <definedName name="_vena_ControleIndelingHRG_B1_R_3_718949074002903041">'Controle Indeling HRG'!$E$137</definedName>
    <definedName name="_vena_ControleIndelingHRG_B1_R_3_718949074007097345">'Controle Indeling HRG'!$E$124</definedName>
    <definedName name="_vena_ControleIndelingHRG_B1_R_3_718949074011291649">'Controle Indeling HRG'!$E$138</definedName>
    <definedName name="_vena_ControleIndelingHRG_B1_R_3_718949074011291651">'Controle Indeling HRG'!$E$188</definedName>
    <definedName name="_vena_ControleIndelingHRG_B1_R_3_718949074015485953">'Controle Indeling HRG'!$E$166</definedName>
    <definedName name="_vena_ControleIndelingHRG_B1_R_3_718949074019680257">'Controle Indeling HRG'!$E$139</definedName>
    <definedName name="_vena_ControleIndelingHRG_B1_R_3_718949074019680259">'Controle Indeling HRG'!$E$167</definedName>
    <definedName name="_vena_ControleIndelingHRG_B1_R_3_718949074023874561">'Controle Indeling HRG'!$E$168</definedName>
    <definedName name="_vena_ControleIndelingHRG_B1_R_3_718949074028068865">'Controle Indeling HRG'!$E$140</definedName>
    <definedName name="_vena_ControleIndelingHRG_B1_R_3_718949074028068867">'Controle Indeling HRG'!$E$141</definedName>
    <definedName name="_vena_ControleIndelingHRG_B1_R_3_718949074032263169">'Controle Indeling HRG'!$E$370</definedName>
    <definedName name="_vena_ControleIndelingHRG_B1_R_3_718949074036457473">'Controle Indeling HRG'!$E$371</definedName>
    <definedName name="_vena_ControleIndelingHRG_B1_R_3_718949074036457475">'Controle Indeling HRG'!$E$363</definedName>
    <definedName name="_vena_ControleIndelingHRG_B1_R_3_718949074040651777">'Controle Indeling HRG'!$E$364</definedName>
    <definedName name="_vena_ControleIndelingHRG_B1_R_3_718949074044846081">'Controle Indeling HRG'!$E$169</definedName>
    <definedName name="_vena_ControleIndelingHRG_B1_R_3_718949074049040385">'Controle Indeling HRG'!$E$170</definedName>
    <definedName name="_vena_ControleIndelingHRG_B1_R_3_718949074049040387">'Controle Indeling HRG'!$E$142</definedName>
    <definedName name="_vena_ControleIndelingHRG_B1_R_3_718949074053234689">'Controle Indeling HRG'!$E$143</definedName>
    <definedName name="_vena_ControleIndelingHRG_B1_R_3_718949074057428993">'Controle Indeling HRG'!$E$144</definedName>
    <definedName name="_vena_ControleIndelingHRG_B1_R_3_718949074057428995">'Controle Indeling HRG'!$E$145</definedName>
    <definedName name="_vena_ControleIndelingHRG_B1_R_3_718949074061623297">'Controle Indeling HRG'!$E$125</definedName>
    <definedName name="_vena_ControleIndelingHRG_B1_R_3_718949074065817601">'Controle Indeling HRG'!$E$126</definedName>
    <definedName name="_vena_ControleIndelingHRG_B1_R_3_718949074065817603">'Controle Indeling HRG'!$E$146</definedName>
    <definedName name="_vena_ControleIndelingHRG_B1_R_3_718949074070011905">'Controle Indeling HRG'!$E$172</definedName>
    <definedName name="_vena_ControleIndelingHRG_B1_R_3_718949074074206209">'Controle Indeling HRG'!$E$173</definedName>
    <definedName name="_vena_ControleIndelingHRG_B1_R_3_718949074078400513">'Controle Indeling HRG'!$E$148</definedName>
    <definedName name="_vena_ControleIndelingHRG_B1_R_3_718949074078400515">'Controle Indeling HRG'!$E$149</definedName>
    <definedName name="_vena_ControleIndelingHRG_B1_R_3_718949074082594817">'Controle Indeling HRG'!$E$174</definedName>
    <definedName name="_vena_ControleIndelingHRG_B1_R_3_718949074086789121">'Controle Indeling HRG'!$E$175</definedName>
    <definedName name="_vena_ControleIndelingHRG_B1_R_3_718949074086789123">'Controle Indeling HRG'!$E$150</definedName>
    <definedName name="_vena_ControleIndelingHRG_B1_R_3_718949074090983425">'Controle Indeling HRG'!$E$151</definedName>
    <definedName name="_vena_ControleIndelingHRG_B1_R_3_718949074095177729">'Controle Indeling HRG'!$E$154</definedName>
    <definedName name="_vena_ControleIndelingHRG_B1_R_3_718949074095177731">'Controle Indeling HRG'!$E$189</definedName>
    <definedName name="_vena_ControleIndelingHRG_B1_R_3_718949074099372033">'Controle Indeling HRG'!$E$387</definedName>
    <definedName name="_vena_ControleIndelingHRG_B1_R_3_718949074103566337">'Controle Indeling HRG'!$E$352</definedName>
    <definedName name="_vena_ControleIndelingHRG_B1_R_3_718949074103566339">'Controle Indeling HRG'!$E$388</definedName>
    <definedName name="_vena_ControleIndelingHRG_B1_R_3_718949074111954944">'Controle Indeling HRG'!$E$286</definedName>
    <definedName name="_vena_ControleIndelingHRG_B1_R_3_718949074111954946">'Controle Indeling HRG'!$E$287</definedName>
    <definedName name="_vena_ControleIndelingHRG_B1_R_3_718949074116149249">'Controle Indeling HRG'!$E$288</definedName>
    <definedName name="_vena_ControleIndelingHRG_B1_R_3_718949074120343553">'Controle Indeling HRG'!$E$289</definedName>
    <definedName name="_vena_ControleIndelingHRG_B1_R_3_718949074124537857">'Controle Indeling HRG'!$E$290</definedName>
    <definedName name="_vena_ControleIndelingHRG_B1_R_3_718949074124537859">'Controle Indeling HRG'!$E$291</definedName>
    <definedName name="_vena_ControleIndelingHRG_B1_R_3_718949074128732161">'Controle Indeling HRG'!$E$292</definedName>
    <definedName name="_vena_ControleIndelingHRG_B1_R_3_718949074132926465">'Controle Indeling HRG'!$E$293</definedName>
    <definedName name="_vena_ControleIndelingHRG_B1_R_3_718949074132926467">'Controle Indeling HRG'!$E$295</definedName>
    <definedName name="_vena_ControleIndelingHRG_B1_R_3_718949074137120769">'Controle Indeling HRG'!$E$296</definedName>
    <definedName name="_vena_ControleIndelingHRG_B1_R_3_718949074141315073">'Controle Indeling HRG'!$E$297</definedName>
    <definedName name="_vena_ControleIndelingHRG_B1_R_3_718949074141315075">'Controle Indeling HRG'!$E$298</definedName>
    <definedName name="_vena_ControleIndelingHRG_B1_R_3_718949074145509377">'Controle Indeling HRG'!$E$299</definedName>
    <definedName name="_vena_ControleIndelingHRG_B1_R_3_718949074149703681">'Controle Indeling HRG'!$E$300</definedName>
    <definedName name="_vena_ControleIndelingHRG_B1_R_3_718949074153897985">'Controle Indeling HRG'!$E$301</definedName>
    <definedName name="_vena_ControleIndelingHRG_B1_R_3_718949074153897987">'Controle Indeling HRG'!$E$302</definedName>
    <definedName name="_vena_ControleIndelingHRG_B1_R_3_718949074158092289">'Controle Indeling HRG'!$E$303</definedName>
    <definedName name="_vena_ControleIndelingHRG_B1_R_3_718949074162286593">'Controle Indeling HRG'!$E$304</definedName>
    <definedName name="_vena_ControleIndelingHRG_B1_R_3_718949074162286595">'Controle Indeling HRG'!$E$305</definedName>
    <definedName name="_vena_ControleIndelingHRG_B1_R_3_718949074166480897">'Controle Indeling HRG'!$E$306</definedName>
    <definedName name="_vena_ControleIndelingHRG_B1_R_3_718949074170675201">'Controle Indeling HRG'!$E$307</definedName>
    <definedName name="_vena_ControleIndelingHRG_B1_R_3_718949074170675203">'Controle Indeling HRG'!$E$308</definedName>
    <definedName name="_vena_ControleIndelingHRG_B1_R_3_718949074174869505">'Controle Indeling HRG'!$E$309</definedName>
    <definedName name="_vena_ControleIndelingHRG_B1_R_3_718949074179063809">'Controle Indeling HRG'!$E$310</definedName>
    <definedName name="_vena_ControleIndelingHRG_B1_R_3_718949074179063811">'Controle Indeling HRG'!$E$311</definedName>
    <definedName name="_vena_ControleIndelingHRG_B1_R_3_718949074183258113">'Controle Indeling HRG'!$E$312</definedName>
    <definedName name="_vena_ControleIndelingHRG_B1_R_3_718949074187452417">'Controle Indeling HRG'!$E$313</definedName>
    <definedName name="_vena_ControleIndelingHRG_B1_R_3_718949074191646721">'Controle Indeling HRG'!$E$314</definedName>
    <definedName name="_vena_ControleIndelingHRG_B1_R_3_718949074191646723">'Controle Indeling HRG'!$E$315</definedName>
    <definedName name="_vena_ControleIndelingHRG_B1_R_3_718949074195841025">'Controle Indeling HRG'!$E$316</definedName>
    <definedName name="_vena_ControleIndelingHRG_B1_R_3_718949074200035329">'Controle Indeling HRG'!$E$317</definedName>
    <definedName name="_vena_ControleIndelingHRG_B1_R_3_718949074200035331">'Controle Indeling HRG'!$E$318</definedName>
    <definedName name="_vena_ControleIndelingHRG_B1_R_3_718949074204229633">'Controle Indeling HRG'!$E$319</definedName>
    <definedName name="_vena_ControleIndelingHRG_B1_R_3_718949074208423937">'Controle Indeling HRG'!$E$320</definedName>
    <definedName name="_vena_ControleIndelingHRG_B1_R_3_718949074212618241">'Controle Indeling HRG'!$E$321</definedName>
    <definedName name="_vena_ControleIndelingHRG_B1_R_3_718949074212618243">'Controle Indeling HRG'!$E$322</definedName>
    <definedName name="_vena_ControleIndelingHRG_B1_R_3_718949074221006848">'Controle Indeling HRG'!$E$323</definedName>
    <definedName name="_vena_ControleIndelingHRG_B1_R_3_718949074221006851">'Controle Indeling HRG'!$E$324</definedName>
    <definedName name="_vena_ControleIndelingHRG_B1_R_3_718949074225201153">'Controle Indeling HRG'!$E$325</definedName>
    <definedName name="_vena_ControleIndelingHRG_B1_R_3_718949074229395457">'Controle Indeling HRG'!$E$326</definedName>
    <definedName name="_vena_ControleIndelingHRG_B1_R_3_718949074229395459">'Controle Indeling HRG'!$E$327</definedName>
    <definedName name="_vena_ControleIndelingHRG_B1_R_3_718949074233589761">'Controle Indeling HRG'!$E$328</definedName>
    <definedName name="_vena_ControleIndelingHRG_B1_R_3_718949074237784065">'Controle Indeling HRG'!$E$329</definedName>
    <definedName name="_vena_ControleIndelingHRG_B1_R_3_718949074237784067">'Controle Indeling HRG'!$E$330</definedName>
    <definedName name="_vena_ControleIndelingHRG_B1_R_3_718949074241978369">'Controle Indeling HRG'!$E$331</definedName>
    <definedName name="_vena_ControleIndelingHRG_B1_R_3_718949074246172673">'Controle Indeling HRG'!$E$332</definedName>
    <definedName name="_vena_ControleIndelingHRG_B1_R_3_718949074246172675">'Controle Indeling HRG'!$E$333</definedName>
    <definedName name="_vena_ControleIndelingHRG_B1_R_3_718949074250366977">'Controle Indeling HRG'!$E$334</definedName>
    <definedName name="_vena_ControleIndelingHRG_B1_R_3_718949074254561281">'Controle Indeling HRG'!$E$335</definedName>
    <definedName name="_vena_ControleIndelingHRG_B1_R_3_718949074258755585">'Controle Indeling HRG'!$E$336</definedName>
    <definedName name="_vena_ControleIndelingHRG_B1_R_3_718949074258755587">'Controle Indeling HRG'!$E$337</definedName>
    <definedName name="_vena_ControleIndelingHRG_B1_R_3_718949074262949889">'Controle Indeling HRG'!$E$338</definedName>
    <definedName name="_vena_ControleIndelingHRG_B1_R_3_718949074267144193">'Controle Indeling HRG'!$E$339</definedName>
    <definedName name="_vena_ControleIndelingHRG_B1_R_3_718949074267144195">'Controle Indeling HRG'!$E$340</definedName>
    <definedName name="_vena_ControleIndelingHRG_B1_R_3_718949074271338497">'Controle Indeling HRG'!$E$341</definedName>
    <definedName name="_vena_ControleIndelingHRG_B1_R_3_741036978346524672">'Controle Indeling HRG'!$E$20</definedName>
    <definedName name="_vena_ControleIndelingHRG_B1_R_3_741036978350718977">'Controle Indeling HRG'!$E$23</definedName>
    <definedName name="_vena_ControleIndelingHRG_B1_R_3_741036978350718979">'Controle Indeling HRG'!$E$36</definedName>
    <definedName name="_vena_ControleIndelingHRG_B1_R_3_741036978354913281">'Controle Indeling HRG'!$E$41</definedName>
    <definedName name="_vena_ControleIndelingHRG_B1_R_3_741036978354913283">'Controle Indeling HRG'!$E$53</definedName>
    <definedName name="_vena_ControleIndelingHRG_B1_R_3_741036978354913285">'Controle Indeling HRG'!$E$66</definedName>
    <definedName name="_vena_ControleIndelingHRG_B1_R_3_741036978359107585">'Controle Indeling HRG'!$E$76</definedName>
    <definedName name="_vena_ControleIndelingHRG_B1_R_3_741036978359107587">'Controle Indeling HRG'!$E$89</definedName>
    <definedName name="_vena_ControleIndelingHRG_B1_R_3_741036978359107589">'Controle Indeling HRG'!$E$96</definedName>
    <definedName name="_vena_ControleIndelingHRG_B1_R_3_741036978363301889">'Controle Indeling HRG'!$E$122</definedName>
    <definedName name="_vena_ControleIndelingHRG_B1_R_3_741036978363301891">'Controle Indeling HRG'!$E$131</definedName>
    <definedName name="_vena_ControleIndelingHRG_B1_R_3_741036978367496193">'Controle Indeling HRG'!$E$160</definedName>
    <definedName name="_vena_ControleIndelingHRG_B1_R_3_741036978367496195">'Controle Indeling HRG'!$E$177</definedName>
    <definedName name="_vena_ControleIndelingHRG_B1_R_3_741036978367496197">'Controle Indeling HRG'!$E$191</definedName>
    <definedName name="_vena_ControleIndelingHRG_B1_R_3_741036978371690497">'Controle Indeling HRG'!$E$204</definedName>
    <definedName name="_vena_ControleIndelingHRG_B1_R_3_741036978371690499">'Controle Indeling HRG'!$E$212</definedName>
    <definedName name="_vena_ControleIndelingHRG_B1_R_3_741036978375884801">'Controle Indeling HRG'!$E$269</definedName>
    <definedName name="_vena_ControleIndelingHRG_B1_R_3_741036978375884803">'Controle Indeling HRG'!$E$274</definedName>
    <definedName name="_vena_ControleIndelingHRG_B1_R_3_741036978375884805">'Controle Indeling HRG'!$E$285</definedName>
    <definedName name="_vena_ControleIndelingHRG_B1_R_3_741036978380079105">'Controle Indeling HRG'!$E$343</definedName>
    <definedName name="_vena_ControleIndelingHRG_B1_R_3_741036978380079107">'Controle Indeling HRG'!$E$350</definedName>
    <definedName name="_vena_ControleIndelingHRG_B1_R_3_741036978380079109">'Controle Indeling HRG'!$E$355</definedName>
    <definedName name="_vena_ControleIndelingHRG_B1_R_3_741036978384273409">'Controle Indeling HRG'!$E$358</definedName>
    <definedName name="_vena_ControleIndelingHRG_B1_R_3_741036978384273411">'Controle Indeling HRG'!$E$360</definedName>
    <definedName name="_vena_ControleIndelingHRG_B1_R_3_741036978384273413">'Controle Indeling HRG'!$E$366</definedName>
    <definedName name="_vena_ControleIndelingHRG_B1_R_3_741036978388467713">'Controle Indeling HRG'!$E$375</definedName>
    <definedName name="_vena_ControleIndelingHRG_B1_R_3_741036978388467715">'Controle Indeling HRG'!$E$384</definedName>
    <definedName name="_vena_ControleIndelingHRG_B1_R_3_741036978392662016">'Controle Indeling HRG'!$E$391</definedName>
    <definedName name="_vena_ControleIndelingHRG_B1_R_3_745374605280018432">'Controle Indeling HRG'!$E$80</definedName>
    <definedName name="_vena_ControleIndelingHRG_B1_R_3_745375016732721152">'Controle Indeling HRG'!$E$380</definedName>
    <definedName name="_vena_ControleIndelingHRG_B1_R_3_745375106469593088">'Controle Indeling HRG'!$E$348</definedName>
    <definedName name="_vena_ControleIndelingHRG_B1_R_3_787067506366873601">'Controle Indeling HRG'!$E$78</definedName>
    <definedName name="_vena_ControleIndelingHRG_B1_R_3_787067506375262209">'Controle Indeling HRG'!$E$79</definedName>
    <definedName name="_vena_ControleIndelingHRG_B1_R_3_787067506396233730">'Controle Indeling HRG'!$E$180</definedName>
    <definedName name="_vena_ControleIndelingHRG_B1_R_3_787067506400428033">'Controle Indeling HRG'!$E$181</definedName>
    <definedName name="_vena_ControleIndelingHRG_B1_R_3_787067506425593862">'Controle Indeling HRG'!$E$135</definedName>
    <definedName name="_vena_ControleIndelingHRG_B1_R_3_787067506429788172">'Controle Indeling HRG'!$E$147</definedName>
    <definedName name="_vena_ControleIndelingHRG_B1_R_3_787067506442371085">'Controle Indeling HRG'!$E$171</definedName>
    <definedName name="_vena_ControleIndelingHRG_B1_R_3_787067506459148326">'Controle Indeling HRG'!$E$259</definedName>
    <definedName name="_vena_ControleIndelingHRG_B1_R_3_787067506467536902">'Controle Indeling HRG'!$E$382</definedName>
    <definedName name="_vena_ControleIndelingHRG_B1_R_3_787067506484314126">'Controle Indeling HRG'!$E$294</definedName>
    <definedName name="_vena_ControleIndelingHRG_B1_R_3_787067506509479942">'Controle Indeling HRG'!$E$361</definedName>
    <definedName name="_vena_ControleIndelingHRG_B1_R_3_787067506526257152">'Controle Indeling HRG'!$E$368</definedName>
    <definedName name="_vena_ControleIndelingHRG_B1_R_3_848292094858231812">'Controle Indeling HRG'!$E$273</definedName>
    <definedName name="_vena_ControleIndelingHRG_B1_R_3_947147459226107910">'Controle Indeling HRG'!$E$84</definedName>
    <definedName name="_vena_ControleIndelingHRG_B1_R_3_947147459238690817">'Controle Indeling HRG'!$E$85</definedName>
    <definedName name="_vena_ControleIndelingHRG_B1_R_3_947147459259662336">'Controle Indeling HRG'!$E$98</definedName>
    <definedName name="_vena_ControleIndelingHRG_B1_R_3_947147459272245252">'Controle Indeling HRG'!$E$116</definedName>
    <definedName name="_vena_ControleIndelingHRG_B1_R_3_947147459276439554">'Controle Indeling HRG'!$E$117</definedName>
    <definedName name="_vena_ControleIndelingHRG_B1_R_3_947147459284828166">'Controle Indeling HRG'!$E$213</definedName>
    <definedName name="_vena_ControleIndelingHRG_B1_R_3_947147459297411075">'Controle Indeling HRG'!$E$217</definedName>
    <definedName name="_vena_ControleIndelingHRG_B1_R_3_947147459318382595">'Controle Indeling HRG'!$E$185</definedName>
    <definedName name="_vena_ControleIndelingHRG_B1_R_3_947147459322576897">'Controle Indeling HRG'!$E$186</definedName>
    <definedName name="_vena_ControleIndelingHRG_B1_R_3_947147459377102859">'Controle Indeling HRG'!$E$152</definedName>
    <definedName name="_vena_ControleIndelingHRG_B1_R_3_947147459385491457">'Controle Indeling HRG'!$E$153</definedName>
    <definedName name="_vena_ControleIndelingHRG_B1_R_3_982737416803450901">'Controle Indeling HRG'!$E$386</definedName>
    <definedName name="_vena_ControleIndelingHRG_B1_R_3_982737416811839488">'Controle Indeling HRG'!$E$385</definedName>
    <definedName name="_vena_ControleIndelingHRG_B1_R_3_982737416862171137">'Controle Indeling HRG'!$E$351</definedName>
    <definedName name="_vena_ControleIndelingHRG_P_4_718931129058590721" comment="*">'Controle Indeling HRG'!$D$7</definedName>
    <definedName name="_vena_ControleIndelingHRG_P_5_718931142656917509" comment="*">'Controle Indeling HRG'!$D$8</definedName>
    <definedName name="_vena_ControleIndelingHRG_P_6_730565783391305729" comment="*">'Controle Indeling HRG'!$D$9</definedName>
    <definedName name="_vena_ControleIndelingHRG_P_7_720673044374355968" comment="*">'Controle Indeling HRG'!$D$10</definedName>
    <definedName name="_vena_ControleIndelingPL_B1_C_FV_18833718d1654aadbc8e26067c178bd5">'Controle Indeling Productlijn'!$F$16</definedName>
    <definedName name="_vena_ControleIndelingPL_B1_C_FV_a29e5bcf45ca496da8833af34d35696d">'Controle Indeling Productlijn'!$F$17</definedName>
    <definedName name="_vena_ControleIndelingPL_B1_R_3_1015700822930489354">'Controle Indeling Productlijn'!$E$104</definedName>
    <definedName name="_vena_ControleIndelingPL_B1_R_3_1015700822968238094">'Controle Indeling Productlijn'!$E$208</definedName>
    <definedName name="_vena_ControleIndelingPL_B1_R_3_1051217086871765008">'Controle Indeling Productlijn'!$E$33</definedName>
    <definedName name="_vena_ControleIndelingPL_B1_R_3_718947653497389058">'Controle Indeling Productlijn'!$E$240</definedName>
    <definedName name="_vena_ControleIndelingPL_B1_R_3_718947653505777666">'Controle Indeling Productlijn'!$E$350</definedName>
    <definedName name="_vena_ControleIndelingPL_B1_R_3_718947653509971971">'Controle Indeling Productlijn'!$E$352</definedName>
    <definedName name="_vena_ControleIndelingPL_B1_R_3_718949073356980224">'Controle Indeling Productlijn'!$E$209</definedName>
    <definedName name="_vena_ControleIndelingPL_B1_R_3_718949073365368832">'Controle Indeling Productlijn'!$E$210</definedName>
    <definedName name="_vena_ControleIndelingPL_B1_R_3_718949073369563137">'Controle Indeling Productlijn'!$E$211</definedName>
    <definedName name="_vena_ControleIndelingPL_B1_R_3_718949073373757441">'Controle Indeling Productlijn'!$E$212</definedName>
    <definedName name="_vena_ControleIndelingPL_B1_R_3_718949073373757443">'Controle Indeling Productlijn'!$E$213</definedName>
    <definedName name="_vena_ControleIndelingPL_B1_R_3_718949073377951745">'Controle Indeling Productlijn'!$E$214</definedName>
    <definedName name="_vena_ControleIndelingPL_B1_R_3_718949073382146049">'Controle Indeling Productlijn'!$E$215</definedName>
    <definedName name="_vena_ControleIndelingPL_B1_R_3_718949073382146051">'Controle Indeling Productlijn'!$E$216</definedName>
    <definedName name="_vena_ControleIndelingPL_B1_R_3_718949073386340353">'Controle Indeling Productlijn'!$E$217</definedName>
    <definedName name="_vena_ControleIndelingPL_B1_R_3_718949073390534657">'Controle Indeling Productlijn'!$E$218</definedName>
    <definedName name="_vena_ControleIndelingPL_B1_R_3_718949073394728961">'Controle Indeling Productlijn'!$E$219</definedName>
    <definedName name="_vena_ControleIndelingPL_B1_R_3_718949073394728963">'Controle Indeling Productlijn'!$E$220</definedName>
    <definedName name="_vena_ControleIndelingPL_B1_R_3_718949073398923265">'Controle Indeling Productlijn'!$E$221</definedName>
    <definedName name="_vena_ControleIndelingPL_B1_R_3_718949073403117569">'Controle Indeling Productlijn'!$E$222</definedName>
    <definedName name="_vena_ControleIndelingPL_B1_R_3_718949073407311872">'Controle Indeling Productlijn'!$E$223</definedName>
    <definedName name="_vena_ControleIndelingPL_B1_R_3_718949073411506177">'Controle Indeling Productlijn'!$E$226</definedName>
    <definedName name="_vena_ControleIndelingPL_B1_R_3_718949073415700481">'Controle Indeling Productlijn'!$E$227</definedName>
    <definedName name="_vena_ControleIndelingPL_B1_R_3_718949073415700483">'Controle Indeling Productlijn'!$E$228</definedName>
    <definedName name="_vena_ControleIndelingPL_B1_R_3_718949073419894785">'Controle Indeling Productlijn'!$E$229</definedName>
    <definedName name="_vena_ControleIndelingPL_B1_R_3_718949073424089089">'Controle Indeling Productlijn'!$E$230</definedName>
    <definedName name="_vena_ControleIndelingPL_B1_R_3_718949073424089091">'Controle Indeling Productlijn'!$E$231</definedName>
    <definedName name="_vena_ControleIndelingPL_B1_R_3_718949073428283393">'Controle Indeling Productlijn'!$E$232</definedName>
    <definedName name="_vena_ControleIndelingPL_B1_R_3_718949073432477697">'Controle Indeling Productlijn'!$E$233</definedName>
    <definedName name="_vena_ControleIndelingPL_B1_R_3_718949073432477699">'Controle Indeling Productlijn'!$E$234</definedName>
    <definedName name="_vena_ControleIndelingPL_B1_R_3_718949073436672001">'Controle Indeling Productlijn'!$E$235</definedName>
    <definedName name="_vena_ControleIndelingPL_B1_R_3_718949073440866305">'Controle Indeling Productlijn'!$E$236</definedName>
    <definedName name="_vena_ControleIndelingPL_B1_R_3_718949073440866307">'Controle Indeling Productlijn'!$E$237</definedName>
    <definedName name="_vena_ControleIndelingPL_B1_R_3_718949073445060609">'Controle Indeling Productlijn'!$E$238</definedName>
    <definedName name="_vena_ControleIndelingPL_B1_R_3_718949073449254913">'Controle Indeling Productlijn'!$E$239</definedName>
    <definedName name="_vena_ControleIndelingPL_B1_R_3_718949073453449218">'Controle Indeling Productlijn'!$E$242</definedName>
    <definedName name="_vena_ControleIndelingPL_B1_R_3_718949073457643521">'Controle Indeling Productlijn'!$E$243</definedName>
    <definedName name="_vena_ControleIndelingPL_B1_R_3_718949073457643523">'Controle Indeling Productlijn'!$E$244</definedName>
    <definedName name="_vena_ControleIndelingPL_B1_R_3_718949073461837825">'Controle Indeling Productlijn'!$E$245</definedName>
    <definedName name="_vena_ControleIndelingPL_B1_R_3_718949073466032129">'Controle Indeling Productlijn'!$E$246</definedName>
    <definedName name="_vena_ControleIndelingPL_B1_R_3_718949073466032131">'Controle Indeling Productlijn'!$E$247</definedName>
    <definedName name="_vena_ControleIndelingPL_B1_R_3_718949073470226433">'Controle Indeling Productlijn'!$E$248</definedName>
    <definedName name="_vena_ControleIndelingPL_B1_R_3_718949073474420737">'Controle Indeling Productlijn'!$E$249</definedName>
    <definedName name="_vena_ControleIndelingPL_B1_R_3_718949073478615041">'Controle Indeling Productlijn'!$E$250</definedName>
    <definedName name="_vena_ControleIndelingPL_B1_R_3_718949073478615043">'Controle Indeling Productlijn'!$E$251</definedName>
    <definedName name="_vena_ControleIndelingPL_B1_R_3_718949073482809345">'Controle Indeling Productlijn'!$E$252</definedName>
    <definedName name="_vena_ControleIndelingPL_B1_R_3_718949073487003649">'Controle Indeling Productlijn'!$E$253</definedName>
    <definedName name="_vena_ControleIndelingPL_B1_R_3_718949073487003651">'Controle Indeling Productlijn'!$E$254</definedName>
    <definedName name="_vena_ControleIndelingPL_B1_R_3_718949073491197953">'Controle Indeling Productlijn'!$E$255</definedName>
    <definedName name="_vena_ControleIndelingPL_B1_R_3_718949073499586560">'Controle Indeling Productlijn'!$E$256</definedName>
    <definedName name="_vena_ControleIndelingPL_B1_R_3_718949073499586562">'Controle Indeling Productlijn'!$E$257</definedName>
    <definedName name="_vena_ControleIndelingPL_B1_R_3_718949073503780865">'Controle Indeling Productlijn'!$E$258</definedName>
    <definedName name="_vena_ControleIndelingPL_B1_R_3_718949073507975169">'Controle Indeling Productlijn'!$E$259</definedName>
    <definedName name="_vena_ControleIndelingPL_B1_R_3_718949073507975171">'Controle Indeling Productlijn'!$E$260</definedName>
    <definedName name="_vena_ControleIndelingPL_B1_R_3_718949073512169473">'Controle Indeling Productlijn'!$E$261</definedName>
    <definedName name="_vena_ControleIndelingPL_B1_R_3_718949073516363777">'Controle Indeling Productlijn'!$E$264</definedName>
    <definedName name="_vena_ControleIndelingPL_B1_R_3_718949073520558081">'Controle Indeling Productlijn'!$E$265</definedName>
    <definedName name="_vena_ControleIndelingPL_B1_R_3_718949073520558083">'Controle Indeling Productlijn'!$E$266</definedName>
    <definedName name="_vena_ControleIndelingPL_B1_R_3_718949073524752385">'Controle Indeling Productlijn'!$E$267</definedName>
    <definedName name="_vena_ControleIndelingPL_B1_R_3_718949073528946689">'Controle Indeling Productlijn'!$E$268</definedName>
    <definedName name="_vena_ControleIndelingPL_B1_R_3_718949073528946691">'Controle Indeling Productlijn'!$E$269</definedName>
    <definedName name="_vena_ControleIndelingPL_B1_R_3_718949073533140993">'Controle Indeling Productlijn'!$E$270</definedName>
    <definedName name="_vena_ControleIndelingPL_B1_R_3_718949073537335297">'Controle Indeling Productlijn'!$E$271</definedName>
    <definedName name="_vena_ControleIndelingPL_B1_R_3_718949073537335299">'Controle Indeling Productlijn'!$E$272</definedName>
    <definedName name="_vena_ControleIndelingPL_B1_R_3_718949073541529601">'Controle Indeling Productlijn'!$E$273</definedName>
    <definedName name="_vena_ControleIndelingPL_B1_R_3_718949073545723905">'Controle Indeling Productlijn'!$E$274</definedName>
    <definedName name="_vena_ControleIndelingPL_B1_R_3_718949073549918209">'Controle Indeling Productlijn'!$E$275</definedName>
    <definedName name="_vena_ControleIndelingPL_B1_R_3_718949073558306816">'Controle Indeling Productlijn'!$E$276</definedName>
    <definedName name="_vena_ControleIndelingPL_B1_R_3_718949073558306818">'Controle Indeling Productlijn'!$E$72</definedName>
    <definedName name="_vena_ControleIndelingPL_B1_R_3_718949073566695424">'Controle Indeling Productlijn'!$E$73</definedName>
    <definedName name="_vena_ControleIndelingPL_B1_R_3_718949073566695426">'Controle Indeling Productlijn'!$E$74</definedName>
    <definedName name="_vena_ControleIndelingPL_B1_R_3_718949073575084032">'Controle Indeling Productlijn'!$E$75</definedName>
    <definedName name="_vena_ControleIndelingPL_B1_R_3_718949073575084034">'Controle Indeling Productlijn'!$E$76</definedName>
    <definedName name="_vena_ControleIndelingPL_B1_R_3_718949073579278337">'Controle Indeling Productlijn'!$E$77</definedName>
    <definedName name="_vena_ControleIndelingPL_B1_R_3_718949073583472641">'Controle Indeling Productlijn'!$E$78</definedName>
    <definedName name="_vena_ControleIndelingPL_B1_R_3_718949073583472643">'Controle Indeling Productlijn'!$E$277</definedName>
    <definedName name="_vena_ControleIndelingPL_B1_R_3_718949073591861248">'Controle Indeling Productlijn'!$E$278</definedName>
    <definedName name="_vena_ControleIndelingPL_B1_R_3_718949073596055552">'Controle Indeling Productlijn'!$E$26</definedName>
    <definedName name="_vena_ControleIndelingPL_B1_R_3_718949073600249857">'Controle Indeling Productlijn'!$E$27</definedName>
    <definedName name="_vena_ControleIndelingPL_B1_R_3_718949073608638464">'Controle Indeling Productlijn'!$E$28</definedName>
    <definedName name="_vena_ControleIndelingPL_B1_R_3_718949073608638466">'Controle Indeling Productlijn'!$E$29</definedName>
    <definedName name="_vena_ControleIndelingPL_B1_R_3_718949073612832769">'Controle Indeling Productlijn'!$E$30</definedName>
    <definedName name="_vena_ControleIndelingPL_B1_R_3_718949073617027073">'Controle Indeling Productlijn'!$E$31</definedName>
    <definedName name="_vena_ControleIndelingPL_B1_R_3_718949073621221376">'Controle Indeling Productlijn'!$E$32</definedName>
    <definedName name="_vena_ControleIndelingPL_B1_R_3_718949073625415681">'Controle Indeling Productlijn'!$E$34</definedName>
    <definedName name="_vena_ControleIndelingPL_B1_R_3_718949073629609985">'Controle Indeling Productlijn'!$E$35</definedName>
    <definedName name="_vena_ControleIndelingPL_B1_R_3_718949073633804289">'Controle Indeling Productlijn'!$E$36</definedName>
    <definedName name="_vena_ControleIndelingPL_B1_R_3_718949073637998593">'Controle Indeling Productlijn'!$E$37</definedName>
    <definedName name="_vena_ControleIndelingPL_B1_R_3_718949073637998595">'Controle Indeling Productlijn'!$E$38</definedName>
    <definedName name="_vena_ControleIndelingPL_B1_R_3_718949073642192897">'Controle Indeling Productlijn'!$E$39</definedName>
    <definedName name="_vena_ControleIndelingPL_B1_R_3_718949073646387201">'Controle Indeling Productlijn'!$E$40</definedName>
    <definedName name="_vena_ControleIndelingPL_B1_R_3_718949073650581505">'Controle Indeling Productlijn'!$E$41</definedName>
    <definedName name="_vena_ControleIndelingPL_B1_R_3_718949073654775809">'Controle Indeling Productlijn'!$E$42</definedName>
    <definedName name="_vena_ControleIndelingPL_B1_R_3_718949073654775811">'Controle Indeling Productlijn'!$E$43</definedName>
    <definedName name="_vena_ControleIndelingPL_B1_R_3_718949073658970113">'Controle Indeling Productlijn'!$E$44</definedName>
    <definedName name="_vena_ControleIndelingPL_B1_R_3_718949073663164417">'Controle Indeling Productlijn'!$E$45</definedName>
    <definedName name="_vena_ControleIndelingPL_B1_R_3_718949073667358721">'Controle Indeling Productlijn'!$E$46</definedName>
    <definedName name="_vena_ControleIndelingPL_B1_R_3_718949073667358723">'Controle Indeling Productlijn'!$E$47</definedName>
    <definedName name="_vena_ControleIndelingPL_B1_R_3_718949073671553025">'Controle Indeling Productlijn'!$E$48</definedName>
    <definedName name="_vena_ControleIndelingPL_B1_R_3_718949073675747329">'Controle Indeling Productlijn'!$E$49</definedName>
    <definedName name="_vena_ControleIndelingPL_B1_R_3_718949073679941633">'Controle Indeling Productlijn'!$E$50</definedName>
    <definedName name="_vena_ControleIndelingPL_B1_R_3_718949073684135937">'Controle Indeling Productlijn'!$E$51</definedName>
    <definedName name="_vena_ControleIndelingPL_B1_R_3_718949073684135939">'Controle Indeling Productlijn'!$E$52</definedName>
    <definedName name="_vena_ControleIndelingPL_B1_R_3_718949073688330241">'Controle Indeling Productlijn'!$E$53</definedName>
    <definedName name="_vena_ControleIndelingPL_B1_R_3_718949073692524545">'Controle Indeling Productlijn'!$E$54</definedName>
    <definedName name="_vena_ControleIndelingPL_B1_R_3_718949073696718849">'Controle Indeling Productlijn'!$E$55</definedName>
    <definedName name="_vena_ControleIndelingPL_B1_R_3_718949073696718851">'Controle Indeling Productlijn'!$E$56</definedName>
    <definedName name="_vena_ControleIndelingPL_B1_R_3_718949073700913153">'Controle Indeling Productlijn'!$E$57</definedName>
    <definedName name="_vena_ControleIndelingPL_B1_R_3_718949073705107457">'Controle Indeling Productlijn'!$E$58</definedName>
    <definedName name="_vena_ControleIndelingPL_B1_R_3_718949073705107459">'Controle Indeling Productlijn'!$E$59</definedName>
    <definedName name="_vena_ControleIndelingPL_B1_R_3_718949073709301761">'Controle Indeling Productlijn'!$E$60</definedName>
    <definedName name="_vena_ControleIndelingPL_B1_R_3_718949073713496065">'Controle Indeling Productlijn'!$E$61</definedName>
    <definedName name="_vena_ControleIndelingPL_B1_R_3_718949073713496067">'Controle Indeling Productlijn'!$E$62</definedName>
    <definedName name="_vena_ControleIndelingPL_B1_R_3_718949073717690369">'Controle Indeling Productlijn'!$E$63</definedName>
    <definedName name="_vena_ControleIndelingPL_B1_R_3_718949073721884673">'Controle Indeling Productlijn'!$E$64</definedName>
    <definedName name="_vena_ControleIndelingPL_B1_R_3_718949073726078977">'Controle Indeling Productlijn'!$E$65</definedName>
    <definedName name="_vena_ControleIndelingPL_B1_R_3_718949073726078979">'Controle Indeling Productlijn'!$E$66</definedName>
    <definedName name="_vena_ControleIndelingPL_B1_R_3_718949073730273281">'Controle Indeling Productlijn'!$E$67</definedName>
    <definedName name="_vena_ControleIndelingPL_B1_R_3_718949073734467585">'Controle Indeling Productlijn'!$E$68</definedName>
    <definedName name="_vena_ControleIndelingPL_B1_R_3_718949073734467587">'Controle Indeling Productlijn'!$E$69</definedName>
    <definedName name="_vena_ControleIndelingPL_B1_R_3_718949073738661889">'Controle Indeling Productlijn'!$E$89</definedName>
    <definedName name="_vena_ControleIndelingPL_B1_R_3_718949073742856193">'Controle Indeling Productlijn'!$E$90</definedName>
    <definedName name="_vena_ControleIndelingPL_B1_R_3_718949073747050497">'Controle Indeling Productlijn'!$E$91</definedName>
    <definedName name="_vena_ControleIndelingPL_B1_R_3_718949073751244801">'Controle Indeling Productlijn'!$E$92</definedName>
    <definedName name="_vena_ControleIndelingPL_B1_R_3_718949073759633408">'Controle Indeling Productlijn'!$E$93</definedName>
    <definedName name="_vena_ControleIndelingPL_B1_R_3_718949073763827713">'Controle Indeling Productlijn'!$E$94</definedName>
    <definedName name="_vena_ControleIndelingPL_B1_R_3_718949073768022016">'Controle Indeling Productlijn'!$E$95</definedName>
    <definedName name="_vena_ControleIndelingPL_B1_R_3_718949073772216321">'Controle Indeling Productlijn'!$E$96</definedName>
    <definedName name="_vena_ControleIndelingPL_B1_R_3_718949073776410624">'Controle Indeling Productlijn'!$E$291</definedName>
    <definedName name="_vena_ControleIndelingPL_B1_R_3_718949073780604928">'Controle Indeling Productlijn'!$E$292</definedName>
    <definedName name="_vena_ControleIndelingPL_B1_R_3_718949073784799233">'Controle Indeling Productlijn'!$E$293</definedName>
    <definedName name="_vena_ControleIndelingPL_B1_R_3_718949073788993536">'Controle Indeling Productlijn'!$E$294</definedName>
    <definedName name="_vena_ControleIndelingPL_B1_R_3_718949073788993538">'Controle Indeling Productlijn'!$E$295</definedName>
    <definedName name="_vena_ControleIndelingPL_B1_R_3_718949073793187841">'Controle Indeling Productlijn'!$E$296</definedName>
    <definedName name="_vena_ControleIndelingPL_B1_R_3_718949073797382145">'Controle Indeling Productlijn'!$E$97</definedName>
    <definedName name="_vena_ControleIndelingPL_B1_R_3_718949073801576449">'Controle Indeling Productlijn'!$E$98</definedName>
    <definedName name="_vena_ControleIndelingPL_B1_R_3_718949073805770753">'Controle Indeling Productlijn'!$E$107</definedName>
    <definedName name="_vena_ControleIndelingPL_B1_R_3_718949073809965057">'Controle Indeling Productlijn'!$E$108</definedName>
    <definedName name="_vena_ControleIndelingPL_B1_R_3_718949073809965059">'Controle Indeling Productlijn'!$E$110</definedName>
    <definedName name="_vena_ControleIndelingPL_B1_R_3_718949073818353664">'Controle Indeling Productlijn'!$E$111</definedName>
    <definedName name="_vena_ControleIndelingPL_B1_R_3_718949073822547969">'Controle Indeling Productlijn'!$E$112</definedName>
    <definedName name="_vena_ControleIndelingPL_B1_R_3_718949073826742273">'Controle Indeling Productlijn'!$E$113</definedName>
    <definedName name="_vena_ControleIndelingPL_B1_R_3_718949073830936577">'Controle Indeling Productlijn'!$E$114</definedName>
    <definedName name="_vena_ControleIndelingPL_B1_R_3_718949073835130881">'Controle Indeling Productlijn'!$E$115</definedName>
    <definedName name="_vena_ControleIndelingPL_B1_R_3_718949073839325185">'Controle Indeling Productlijn'!$E$116</definedName>
    <definedName name="_vena_ControleIndelingPL_B1_R_3_718949073839325187">'Controle Indeling Productlijn'!$E$117</definedName>
    <definedName name="_vena_ControleIndelingPL_B1_R_3_718949073843519489">'Controle Indeling Productlijn'!$E$118</definedName>
    <definedName name="_vena_ControleIndelingPL_B1_R_3_718949073847713793">'Controle Indeling Productlijn'!$E$119</definedName>
    <definedName name="_vena_ControleIndelingPL_B1_R_3_718949073851908096">'Controle Indeling Productlijn'!$E$120</definedName>
    <definedName name="_vena_ControleIndelingPL_B1_R_3_718949073856102401">'Controle Indeling Productlijn'!$E$121</definedName>
    <definedName name="_vena_ControleIndelingPL_B1_R_3_718949073860296705">'Controle Indeling Productlijn'!$E$122</definedName>
    <definedName name="_vena_ControleIndelingPL_B1_R_3_718949073860296707">'Controle Indeling Productlijn'!$E$123</definedName>
    <definedName name="_vena_ControleIndelingPL_B1_R_3_718949073864491009">'Controle Indeling Productlijn'!$E$124</definedName>
    <definedName name="_vena_ControleIndelingPL_B1_R_3_718949073868685313">'Controle Indeling Productlijn'!$E$125</definedName>
    <definedName name="_vena_ControleIndelingPL_B1_R_3_718949073868685315">'Controle Indeling Productlijn'!$E$126</definedName>
    <definedName name="_vena_ControleIndelingPL_B1_R_3_718949073872879617">'Controle Indeling Productlijn'!$E$127</definedName>
    <definedName name="_vena_ControleIndelingPL_B1_R_3_718949073877073921">'Controle Indeling Productlijn'!$E$128</definedName>
    <definedName name="_vena_ControleIndelingPL_B1_R_3_718949073881268225">'Controle Indeling Productlijn'!$E$129</definedName>
    <definedName name="_vena_ControleIndelingPL_B1_R_3_718949073881268227">'Controle Indeling Productlijn'!$E$130</definedName>
    <definedName name="_vena_ControleIndelingPL_B1_R_3_718949073885462529">'Controle Indeling Productlijn'!$E$131</definedName>
    <definedName name="_vena_ControleIndelingPL_B1_R_3_718949073889656833">'Controle Indeling Productlijn'!$E$132</definedName>
    <definedName name="_vena_ControleIndelingPL_B1_R_3_718949073893851137">'Controle Indeling Productlijn'!$E$133</definedName>
    <definedName name="_vena_ControleIndelingPL_B1_R_3_718949073893851139">'Controle Indeling Productlijn'!$E$134</definedName>
    <definedName name="_vena_ControleIndelingPL_B1_R_3_718949073898045441">'Controle Indeling Productlijn'!$E$135</definedName>
    <definedName name="_vena_ControleIndelingPL_B1_R_3_718949073902239745">'Controle Indeling Productlijn'!$E$136</definedName>
    <definedName name="_vena_ControleIndelingPL_B1_R_3_718949073902239747">'Controle Indeling Productlijn'!$E$137</definedName>
    <definedName name="_vena_ControleIndelingPL_B1_R_3_718949073906434049">'Controle Indeling Productlijn'!$E$138</definedName>
    <definedName name="_vena_ControleIndelingPL_B1_R_3_718949073910628353">'Controle Indeling Productlijn'!$E$139</definedName>
    <definedName name="_vena_ControleIndelingPL_B1_R_3_718949073914822657">'Controle Indeling Productlijn'!$E$140</definedName>
    <definedName name="_vena_ControleIndelingPL_B1_R_3_718949073914822659">'Controle Indeling Productlijn'!$E$141</definedName>
    <definedName name="_vena_ControleIndelingPL_B1_R_3_718949073919016961">'Controle Indeling Productlijn'!$E$142</definedName>
    <definedName name="_vena_ControleIndelingPL_B1_R_3_718949073923211265">'Controle Indeling Productlijn'!$E$143</definedName>
    <definedName name="_vena_ControleIndelingPL_B1_R_3_718949073923211267">'Controle Indeling Productlijn'!$E$144</definedName>
    <definedName name="_vena_ControleIndelingPL_B1_R_3_718949073927405569">'Controle Indeling Productlijn'!$E$145</definedName>
    <definedName name="_vena_ControleIndelingPL_B1_R_3_718949073931599873">'Controle Indeling Productlijn'!$E$146</definedName>
    <definedName name="_vena_ControleIndelingPL_B1_R_3_718949073935794176">'Controle Indeling Productlijn'!$E$147</definedName>
    <definedName name="_vena_ControleIndelingPL_B1_R_3_718949073935794178">'Controle Indeling Productlijn'!$E$148</definedName>
    <definedName name="_vena_ControleIndelingPL_B1_R_3_718949073939988481">'Controle Indeling Productlijn'!$E$156</definedName>
    <definedName name="_vena_ControleIndelingPL_B1_R_3_718949073944182785">'Controle Indeling Productlijn'!$E$157</definedName>
    <definedName name="_vena_ControleIndelingPL_B1_R_3_718949073944182787">'Controle Indeling Productlijn'!$E$158</definedName>
    <definedName name="_vena_ControleIndelingPL_B1_R_3_718949073948377089">'Controle Indeling Productlijn'!$E$159</definedName>
    <definedName name="_vena_ControleIndelingPL_B1_R_3_718949073952571393">'Controle Indeling Productlijn'!$E$160</definedName>
    <definedName name="_vena_ControleIndelingPL_B1_R_3_718949073952571395">'Controle Indeling Productlijn'!$E$161</definedName>
    <definedName name="_vena_ControleIndelingPL_B1_R_3_718949073956765697">'Controle Indeling Productlijn'!$E$162</definedName>
    <definedName name="_vena_ControleIndelingPL_B1_R_3_718949073960960001">'Controle Indeling Productlijn'!$E$163</definedName>
    <definedName name="_vena_ControleIndelingPL_B1_R_3_718949073965154304">'Controle Indeling Productlijn'!$E$164</definedName>
    <definedName name="_vena_ControleIndelingPL_B1_R_3_718949073965154306">'Controle Indeling Productlijn'!$E$165</definedName>
    <definedName name="_vena_ControleIndelingPL_B1_R_3_718949073969348609">'Controle Indeling Productlijn'!$E$166</definedName>
    <definedName name="_vena_ControleIndelingPL_B1_R_3_718949073973542913">'Controle Indeling Productlijn'!$E$167</definedName>
    <definedName name="_vena_ControleIndelingPL_B1_R_3_718949073973542915">'Controle Indeling Productlijn'!$E$168</definedName>
    <definedName name="_vena_ControleIndelingPL_B1_R_3_718949073977737217">'Controle Indeling Productlijn'!$E$300</definedName>
    <definedName name="_vena_ControleIndelingPL_B1_R_3_718949073981931521">'Controle Indeling Productlijn'!$E$301</definedName>
    <definedName name="_vena_ControleIndelingPL_B1_R_3_718949073986125824">'Controle Indeling Productlijn'!$E$302</definedName>
    <definedName name="_vena_ControleIndelingPL_B1_R_3_718949073990320129">'Controle Indeling Productlijn'!$E$170</definedName>
    <definedName name="_vena_ControleIndelingPL_B1_R_3_718949073994514432">'Controle Indeling Productlijn'!$E$171</definedName>
    <definedName name="_vena_ControleIndelingPL_B1_R_3_718949073998708737">'Controle Indeling Productlijn'!$E$172</definedName>
    <definedName name="_vena_ControleIndelingPL_B1_R_3_718949073998708739">'Controle Indeling Productlijn'!$E$173</definedName>
    <definedName name="_vena_ControleIndelingPL_B1_R_3_718949074002903041">'Controle Indeling Productlijn'!$E$174</definedName>
    <definedName name="_vena_ControleIndelingPL_B1_R_3_718949074007097345">'Controle Indeling Productlijn'!$E$175</definedName>
    <definedName name="_vena_ControleIndelingPL_B1_R_3_718949074011291649">'Controle Indeling Productlijn'!$E$176</definedName>
    <definedName name="_vena_ControleIndelingPL_B1_R_3_718949074011291651">'Controle Indeling Productlijn'!$E$177</definedName>
    <definedName name="_vena_ControleIndelingPL_B1_R_3_718949074015485953">'Controle Indeling Productlijn'!$E$178</definedName>
    <definedName name="_vena_ControleIndelingPL_B1_R_3_718949074019680257">'Controle Indeling Productlijn'!$E$179</definedName>
    <definedName name="_vena_ControleIndelingPL_B1_R_3_718949074019680259">'Controle Indeling Productlijn'!$E$180</definedName>
    <definedName name="_vena_ControleIndelingPL_B1_R_3_718949074023874561">'Controle Indeling Productlijn'!$E$181</definedName>
    <definedName name="_vena_ControleIndelingPL_B1_R_3_718949074028068865">'Controle Indeling Productlijn'!$E$182</definedName>
    <definedName name="_vena_ControleIndelingPL_B1_R_3_718949074028068867">'Controle Indeling Productlijn'!$E$183</definedName>
    <definedName name="_vena_ControleIndelingPL_B1_R_3_718949074032263169">'Controle Indeling Productlijn'!$E$303</definedName>
    <definedName name="_vena_ControleIndelingPL_B1_R_3_718949074036457473">'Controle Indeling Productlijn'!$E$304</definedName>
    <definedName name="_vena_ControleIndelingPL_B1_R_3_718949074036457475">'Controle Indeling Productlijn'!$E$305</definedName>
    <definedName name="_vena_ControleIndelingPL_B1_R_3_718949074040651777">'Controle Indeling Productlijn'!$E$306</definedName>
    <definedName name="_vena_ControleIndelingPL_B1_R_3_718949074044846081">'Controle Indeling Productlijn'!$E$184</definedName>
    <definedName name="_vena_ControleIndelingPL_B1_R_3_718949074049040385">'Controle Indeling Productlijn'!$E$185</definedName>
    <definedName name="_vena_ControleIndelingPL_B1_R_3_718949074049040387">'Controle Indeling Productlijn'!$E$186</definedName>
    <definedName name="_vena_ControleIndelingPL_B1_R_3_718949074053234689">'Controle Indeling Productlijn'!$E$187</definedName>
    <definedName name="_vena_ControleIndelingPL_B1_R_3_718949074057428993">'Controle Indeling Productlijn'!$E$188</definedName>
    <definedName name="_vena_ControleIndelingPL_B1_R_3_718949074057428995">'Controle Indeling Productlijn'!$E$189</definedName>
    <definedName name="_vena_ControleIndelingPL_B1_R_3_718949074061623297">'Controle Indeling Productlijn'!$E$190</definedName>
    <definedName name="_vena_ControleIndelingPL_B1_R_3_718949074065817601">'Controle Indeling Productlijn'!$E$191</definedName>
    <definedName name="_vena_ControleIndelingPL_B1_R_3_718949074065817603">'Controle Indeling Productlijn'!$E$192</definedName>
    <definedName name="_vena_ControleIndelingPL_B1_R_3_718949074070011905">'Controle Indeling Productlijn'!$E$195</definedName>
    <definedName name="_vena_ControleIndelingPL_B1_R_3_718949074074206209">'Controle Indeling Productlijn'!$E$196</definedName>
    <definedName name="_vena_ControleIndelingPL_B1_R_3_718949074078400513">'Controle Indeling Productlijn'!$E$197</definedName>
    <definedName name="_vena_ControleIndelingPL_B1_R_3_718949074078400515">'Controle Indeling Productlijn'!$E$198</definedName>
    <definedName name="_vena_ControleIndelingPL_B1_R_3_718949074082594817">'Controle Indeling Productlijn'!$E$199</definedName>
    <definedName name="_vena_ControleIndelingPL_B1_R_3_718949074086789121">'Controle Indeling Productlijn'!$E$200</definedName>
    <definedName name="_vena_ControleIndelingPL_B1_R_3_718949074086789123">'Controle Indeling Productlijn'!$E$201</definedName>
    <definedName name="_vena_ControleIndelingPL_B1_R_3_718949074090983425">'Controle Indeling Productlijn'!$E$202</definedName>
    <definedName name="_vena_ControleIndelingPL_B1_R_3_718949074095177729">'Controle Indeling Productlijn'!$E$205</definedName>
    <definedName name="_vena_ControleIndelingPL_B1_R_3_718949074095177731">'Controle Indeling Productlijn'!$E$206</definedName>
    <definedName name="_vena_ControleIndelingPL_B1_R_3_718949074099372033">'Controle Indeling Productlijn'!$E$310</definedName>
    <definedName name="_vena_ControleIndelingPL_B1_R_3_718949074103566337">'Controle Indeling Productlijn'!$E$311</definedName>
    <definedName name="_vena_ControleIndelingPL_B1_R_3_718949074103566339">'Controle Indeling Productlijn'!$E$312</definedName>
    <definedName name="_vena_ControleIndelingPL_B1_R_3_718949074111954944">'Controle Indeling Productlijn'!$E$313</definedName>
    <definedName name="_vena_ControleIndelingPL_B1_R_3_718949074111954946">'Controle Indeling Productlijn'!$E$314</definedName>
    <definedName name="_vena_ControleIndelingPL_B1_R_3_718949074116149249">'Controle Indeling Productlijn'!$E$315</definedName>
    <definedName name="_vena_ControleIndelingPL_B1_R_3_718949074120343553">'Controle Indeling Productlijn'!$E$316</definedName>
    <definedName name="_vena_ControleIndelingPL_B1_R_3_718949074124537857">'Controle Indeling Productlijn'!$E$317</definedName>
    <definedName name="_vena_ControleIndelingPL_B1_R_3_718949074124537859">'Controle Indeling Productlijn'!$E$318</definedName>
    <definedName name="_vena_ControleIndelingPL_B1_R_3_718949074128732161">'Controle Indeling Productlijn'!$E$319</definedName>
    <definedName name="_vena_ControleIndelingPL_B1_R_3_718949074132926465">'Controle Indeling Productlijn'!$E$320</definedName>
    <definedName name="_vena_ControleIndelingPL_B1_R_3_718949074132926467">'Controle Indeling Productlijn'!$E$322</definedName>
    <definedName name="_vena_ControleIndelingPL_B1_R_3_718949074137120769">'Controle Indeling Productlijn'!$E$323</definedName>
    <definedName name="_vena_ControleIndelingPL_B1_R_3_718949074141315073">'Controle Indeling Productlijn'!$E$324</definedName>
    <definedName name="_vena_ControleIndelingPL_B1_R_3_718949074141315075">'Controle Indeling Productlijn'!$E$325</definedName>
    <definedName name="_vena_ControleIndelingPL_B1_R_3_718949074145509377">'Controle Indeling Productlijn'!$E$326</definedName>
    <definedName name="_vena_ControleIndelingPL_B1_R_3_718949074149703681">'Controle Indeling Productlijn'!$E$327</definedName>
    <definedName name="_vena_ControleIndelingPL_B1_R_3_718949074153897985">'Controle Indeling Productlijn'!$E$328</definedName>
    <definedName name="_vena_ControleIndelingPL_B1_R_3_718949074153897987">'Controle Indeling Productlijn'!$E$329</definedName>
    <definedName name="_vena_ControleIndelingPL_B1_R_3_718949074158092289">'Controle Indeling Productlijn'!$E$330</definedName>
    <definedName name="_vena_ControleIndelingPL_B1_R_3_718949074162286593">'Controle Indeling Productlijn'!$E$331</definedName>
    <definedName name="_vena_ControleIndelingPL_B1_R_3_718949074162286595">'Controle Indeling Productlijn'!$E$332</definedName>
    <definedName name="_vena_ControleIndelingPL_B1_R_3_718949074166480897">'Controle Indeling Productlijn'!$E$333</definedName>
    <definedName name="_vena_ControleIndelingPL_B1_R_3_718949074170675201">'Controle Indeling Productlijn'!$E$334</definedName>
    <definedName name="_vena_ControleIndelingPL_B1_R_3_718949074170675203">'Controle Indeling Productlijn'!$E$335</definedName>
    <definedName name="_vena_ControleIndelingPL_B1_R_3_718949074174869505">'Controle Indeling Productlijn'!$E$336</definedName>
    <definedName name="_vena_ControleIndelingPL_B1_R_3_718949074179063809">'Controle Indeling Productlijn'!$E$337</definedName>
    <definedName name="_vena_ControleIndelingPL_B1_R_3_718949074179063811">'Controle Indeling Productlijn'!$E$338</definedName>
    <definedName name="_vena_ControleIndelingPL_B1_R_3_718949074183258113">'Controle Indeling Productlijn'!$E$339</definedName>
    <definedName name="_vena_ControleIndelingPL_B1_R_3_718949074187452417">'Controle Indeling Productlijn'!$E$340</definedName>
    <definedName name="_vena_ControleIndelingPL_B1_R_3_718949074191646721">'Controle Indeling Productlijn'!$E$341</definedName>
    <definedName name="_vena_ControleIndelingPL_B1_R_3_718949074191646723">'Controle Indeling Productlijn'!$E$342</definedName>
    <definedName name="_vena_ControleIndelingPL_B1_R_3_718949074195841025">'Controle Indeling Productlijn'!$E$343</definedName>
    <definedName name="_vena_ControleIndelingPL_B1_R_3_718949074200035329">'Controle Indeling Productlijn'!$E$344</definedName>
    <definedName name="_vena_ControleIndelingPL_B1_R_3_718949074200035331">'Controle Indeling Productlijn'!$E$345</definedName>
    <definedName name="_vena_ControleIndelingPL_B1_R_3_718949074204229633">'Controle Indeling Productlijn'!$E$346</definedName>
    <definedName name="_vena_ControleIndelingPL_B1_R_3_718949074208423937">'Controle Indeling Productlijn'!$E$347</definedName>
    <definedName name="_vena_ControleIndelingPL_B1_R_3_718949074212618241">'Controle Indeling Productlijn'!$E$348</definedName>
    <definedName name="_vena_ControleIndelingPL_B1_R_3_718949074212618243">'Controle Indeling Productlijn'!$E$349</definedName>
    <definedName name="_vena_ControleIndelingPL_B1_R_3_718949074221006848">'Controle Indeling Productlijn'!$E$351</definedName>
    <definedName name="_vena_ControleIndelingPL_B1_R_3_718949074221006851">'Controle Indeling Productlijn'!$E$353</definedName>
    <definedName name="_vena_ControleIndelingPL_B1_R_3_718949074225201153">'Controle Indeling Productlijn'!$E$354</definedName>
    <definedName name="_vena_ControleIndelingPL_B1_R_3_718949074229395457">'Controle Indeling Productlijn'!$E$355</definedName>
    <definedName name="_vena_ControleIndelingPL_B1_R_3_718949074229395459">'Controle Indeling Productlijn'!$E$356</definedName>
    <definedName name="_vena_ControleIndelingPL_B1_R_3_718949074233589761">'Controle Indeling Productlijn'!$E$357</definedName>
    <definedName name="_vena_ControleIndelingPL_B1_R_3_718949074237784065">'Controle Indeling Productlijn'!$E$358</definedName>
    <definedName name="_vena_ControleIndelingPL_B1_R_3_718949074237784067">'Controle Indeling Productlijn'!$E$359</definedName>
    <definedName name="_vena_ControleIndelingPL_B1_R_3_718949074241978369">'Controle Indeling Productlijn'!$E$360</definedName>
    <definedName name="_vena_ControleIndelingPL_B1_R_3_718949074246172673">'Controle Indeling Productlijn'!$E$361</definedName>
    <definedName name="_vena_ControleIndelingPL_B1_R_3_718949074246172675">'Controle Indeling Productlijn'!$E$362</definedName>
    <definedName name="_vena_ControleIndelingPL_B1_R_3_718949074250366977">'Controle Indeling Productlijn'!$E$363</definedName>
    <definedName name="_vena_ControleIndelingPL_B1_R_3_718949074254561281">'Controle Indeling Productlijn'!$E$364</definedName>
    <definedName name="_vena_ControleIndelingPL_B1_R_3_718949074258755585">'Controle Indeling Productlijn'!$E$365</definedName>
    <definedName name="_vena_ControleIndelingPL_B1_R_3_718949074258755587">'Controle Indeling Productlijn'!$E$366</definedName>
    <definedName name="_vena_ControleIndelingPL_B1_R_3_718949074262949889">'Controle Indeling Productlijn'!$E$367</definedName>
    <definedName name="_vena_ControleIndelingPL_B1_R_3_718949074267144193">'Controle Indeling Productlijn'!$E$368</definedName>
    <definedName name="_vena_ControleIndelingPL_B1_R_3_718949074267144195">'Controle Indeling Productlijn'!$E$369</definedName>
    <definedName name="_vena_ControleIndelingPL_B1_R_3_718949074271338497">'Controle Indeling Productlijn'!$E$370</definedName>
    <definedName name="_vena_ControleIndelingPL_B1_R_3_738101605178277888">'Controle Indeling Productlijn'!$E$70</definedName>
    <definedName name="_vena_ControleIndelingPL_B1_R_3_738101643779637251">'Controle Indeling Productlijn'!$E$169</definedName>
    <definedName name="_vena_ControleIndelingPL_B1_R_3_738101800095187049">'Controle Indeling Productlijn'!$E$297</definedName>
    <definedName name="_vena_ControleIndelingPL_B1_R_3_741036978346524672">'Controle Indeling Productlijn'!$E$20</definedName>
    <definedName name="_vena_ControleIndelingPL_B1_R_3_741036978350718977">'Controle Indeling Productlijn'!$E$21</definedName>
    <definedName name="_vena_ControleIndelingPL_B1_R_3_741036978350718979">'Controle Indeling Productlijn'!$E$22</definedName>
    <definedName name="_vena_ControleIndelingPL_B1_R_3_741036978354913281">'Controle Indeling Productlijn'!$E$23</definedName>
    <definedName name="_vena_ControleIndelingPL_B1_R_3_741036978354913283">'Controle Indeling Productlijn'!$E$24</definedName>
    <definedName name="_vena_ControleIndelingPL_B1_R_3_741036978354913285">'Controle Indeling Productlijn'!$E$25</definedName>
    <definedName name="_vena_ControleIndelingPL_B1_R_3_741036978359107585">'Controle Indeling Productlijn'!$E$79</definedName>
    <definedName name="_vena_ControleIndelingPL_B1_R_3_741036978359107587">'Controle Indeling Productlijn'!$E$80</definedName>
    <definedName name="_vena_ControleIndelingPL_B1_R_3_741036978359107589">'Controle Indeling Productlijn'!$E$81</definedName>
    <definedName name="_vena_ControleIndelingPL_B1_R_3_741036978363301889">'Controle Indeling Productlijn'!$E$82</definedName>
    <definedName name="_vena_ControleIndelingPL_B1_R_3_741036978363301891">'Controle Indeling Productlijn'!$E$83</definedName>
    <definedName name="_vena_ControleIndelingPL_B1_R_3_741036978367496193">'Controle Indeling Productlijn'!$E$84</definedName>
    <definedName name="_vena_ControleIndelingPL_B1_R_3_741036978367496195">'Controle Indeling Productlijn'!$E$85</definedName>
    <definedName name="_vena_ControleIndelingPL_B1_R_3_741036978367496197">'Controle Indeling Productlijn'!$E$86</definedName>
    <definedName name="_vena_ControleIndelingPL_B1_R_3_741036978371690497">'Controle Indeling Productlijn'!$E$87</definedName>
    <definedName name="_vena_ControleIndelingPL_B1_R_3_741036978371690499">'Controle Indeling Productlijn'!$E$88</definedName>
    <definedName name="_vena_ControleIndelingPL_B1_R_3_741036978375884801">'Controle Indeling Productlijn'!$E$279</definedName>
    <definedName name="_vena_ControleIndelingPL_B1_R_3_741036978375884803">'Controle Indeling Productlijn'!$E$280</definedName>
    <definedName name="_vena_ControleIndelingPL_B1_R_3_741036978375884805">'Controle Indeling Productlijn'!$E$281</definedName>
    <definedName name="_vena_ControleIndelingPL_B1_R_3_741036978380079105">'Controle Indeling Productlijn'!$E$282</definedName>
    <definedName name="_vena_ControleIndelingPL_B1_R_3_741036978380079107">'Controle Indeling Productlijn'!$E$283</definedName>
    <definedName name="_vena_ControleIndelingPL_B1_R_3_741036978380079109">'Controle Indeling Productlijn'!$E$284</definedName>
    <definedName name="_vena_ControleIndelingPL_B1_R_3_741036978384273409">'Controle Indeling Productlijn'!$E$285</definedName>
    <definedName name="_vena_ControleIndelingPL_B1_R_3_741036978384273411">'Controle Indeling Productlijn'!$E$286</definedName>
    <definedName name="_vena_ControleIndelingPL_B1_R_3_741036978384273413">'Controle Indeling Productlijn'!$E$287</definedName>
    <definedName name="_vena_ControleIndelingPL_B1_R_3_741036978388467713">'Controle Indeling Productlijn'!$E$288</definedName>
    <definedName name="_vena_ControleIndelingPL_B1_R_3_741036978388467715">'Controle Indeling Productlijn'!$E$289</definedName>
    <definedName name="_vena_ControleIndelingPL_B1_R_3_741036978392662016">'Controle Indeling Productlijn'!$E$290</definedName>
    <definedName name="_vena_ControleIndelingPL_B1_R_3_745374605280018432">'Controle Indeling Productlijn'!$E$109</definedName>
    <definedName name="_vena_ControleIndelingPL_B1_R_3_745375016732721152">'Controle Indeling Productlijn'!$E$224</definedName>
    <definedName name="_vena_ControleIndelingPL_B1_R_3_745375106469593088">'Controle Indeling Productlijn'!$E$225</definedName>
    <definedName name="_vena_ControleIndelingPL_B1_R_3_787067506366873601">'Controle Indeling Productlijn'!$E$99</definedName>
    <definedName name="_vena_ControleIndelingPL_B1_R_3_787067506375262209">'Controle Indeling Productlijn'!$E$100</definedName>
    <definedName name="_vena_ControleIndelingPL_B1_R_3_787067506396233730">'Controle Indeling Productlijn'!$E$102</definedName>
    <definedName name="_vena_ControleIndelingPL_B1_R_3_787067506400428033">'Controle Indeling Productlijn'!$E$103</definedName>
    <definedName name="_vena_ControleIndelingPL_B1_R_3_787067506425593862">'Controle Indeling Productlijn'!$E$105</definedName>
    <definedName name="_vena_ControleIndelingPL_B1_R_3_787067506429788172">'Controle Indeling Productlijn'!$E$194</definedName>
    <definedName name="_vena_ControleIndelingPL_B1_R_3_787067506442371085">'Controle Indeling Productlijn'!$E$193</definedName>
    <definedName name="_vena_ControleIndelingPL_B1_R_3_787067506459148326">'Controle Indeling Productlijn'!$E$263</definedName>
    <definedName name="_vena_ControleIndelingPL_B1_R_3_787067506467536902">'Controle Indeling Productlijn'!$E$262</definedName>
    <definedName name="_vena_ControleIndelingPL_B1_R_3_787067506484314126">'Controle Indeling Productlijn'!$E$321</definedName>
    <definedName name="_vena_ControleIndelingPL_B1_R_3_787067506509479942">'Controle Indeling Productlijn'!$E$299</definedName>
    <definedName name="_vena_ControleIndelingPL_B1_R_3_787067506526257152">'Controle Indeling Productlijn'!$E$298</definedName>
    <definedName name="_vena_ControleIndelingPL_B1_R_3_848292094858231812">'Controle Indeling Productlijn'!$E$241</definedName>
    <definedName name="_vena_ControleIndelingPL_B1_R_3_947147459226107910">'Controle Indeling Productlijn'!$E$149</definedName>
    <definedName name="_vena_ControleIndelingPL_B1_R_3_947147459238690817">'Controle Indeling Productlijn'!$E$150</definedName>
    <definedName name="_vena_ControleIndelingPL_B1_R_3_947147459259662336">'Controle Indeling Productlijn'!$E$106</definedName>
    <definedName name="_vena_ControleIndelingPL_B1_R_3_947147459272245252">'Controle Indeling Productlijn'!$E$152</definedName>
    <definedName name="_vena_ControleIndelingPL_B1_R_3_947147459276439554">'Controle Indeling Productlijn'!$E$153</definedName>
    <definedName name="_vena_ControleIndelingPL_B1_R_3_947147459284828166">'Controle Indeling Productlijn'!$E$101</definedName>
    <definedName name="_vena_ControleIndelingPL_B1_R_3_947147459297411075">'Controle Indeling Productlijn'!$E$151</definedName>
    <definedName name="_vena_ControleIndelingPL_B1_R_3_947147459318382595">'Controle Indeling Productlijn'!$E$154</definedName>
    <definedName name="_vena_ControleIndelingPL_B1_R_3_947147459322576897">'Controle Indeling Productlijn'!$E$155</definedName>
    <definedName name="_vena_ControleIndelingPL_B1_R_3_947147459377102859">'Controle Indeling Productlijn'!$E$203</definedName>
    <definedName name="_vena_ControleIndelingPL_B1_R_3_947147459385491457">'Controle Indeling Productlijn'!$E$204</definedName>
    <definedName name="_vena_ControleIndelingPL_B1_R_3_982737416803450901">'Controle Indeling Productlijn'!$E$309</definedName>
    <definedName name="_vena_ControleIndelingPL_B1_R_3_982737416811839488">'Controle Indeling Productlijn'!$E$307</definedName>
    <definedName name="_vena_ControleIndelingPL_B1_R_3_982737416862171137">'Controle Indeling Productlijn'!$E$308</definedName>
    <definedName name="_vena_ControleIndelingPL_P_4_718931129058590721" comment="*">'Controle Indeling Productlijn'!$D$7</definedName>
    <definedName name="_vena_ControleIndelingPL_P_5_718931142656917509" comment="*">'Controle Indeling Productlijn'!$D$8</definedName>
    <definedName name="_vena_ControleIndelingPL_P_6_730565783391305729" comment="*">'Controle Indeling Productlijn'!$D$9</definedName>
    <definedName name="_vena_ControleIndelingPL_P_7_720673044374355968" comment="*">'Controle Indeling Productlijn'!$D$10</definedName>
    <definedName name="_vena_ControleIndelingPLNomUL_B1_C_FV_18833718d1654aadbc8e26067c178bd5">'Controle Indeling PLNomUL'!$F$22</definedName>
    <definedName name="_vena_ControleIndelingPLNomUL_B1_C_FV_a29e5bcf45ca496da8833af34d35696d">'Controle Indeling PLNomUL'!$F$23</definedName>
    <definedName name="_vena_ControleIndelingPLNomUL_B1_R_3_1015700822930489354">'Controle Indeling PLNomUL'!$E$95</definedName>
    <definedName name="_vena_ControleIndelingPLNomUL_B1_R_3_1015700822968238094">'Controle Indeling PLNomUL'!$E$213</definedName>
    <definedName name="_vena_ControleIndelingPLNomUL_B1_R_3_1051217086871765008">'Controle Indeling PLNomUL'!$E$39</definedName>
    <definedName name="_vena_ControleIndelingPLNomUL_B1_R_3_718947653497389058">'Controle Indeling PLNomUL'!$E$244</definedName>
    <definedName name="_vena_ControleIndelingPLNomUL_B1_R_3_718947653505777666">'Controle Indeling PLNomUL'!$E$334</definedName>
    <definedName name="_vena_ControleIndelingPLNomUL_B1_R_3_718947653509971971">'Controle Indeling PLNomUL'!$E$336</definedName>
    <definedName name="_vena_ControleIndelingPLNomUL_B1_R_3_718949073356980224">'Controle Indeling PLNomUL'!$E$214</definedName>
    <definedName name="_vena_ControleIndelingPLNomUL_B1_R_3_718949073365368832">'Controle Indeling PLNomUL'!$E$215</definedName>
    <definedName name="_vena_ControleIndelingPLNomUL_B1_R_3_718949073369563137">'Controle Indeling PLNomUL'!$E$216</definedName>
    <definedName name="_vena_ControleIndelingPLNomUL_B1_R_3_718949073373757441">'Controle Indeling PLNomUL'!$E$217</definedName>
    <definedName name="_vena_ControleIndelingPLNomUL_B1_R_3_718949073373757443">'Controle Indeling PLNomUL'!$E$218</definedName>
    <definedName name="_vena_ControleIndelingPLNomUL_B1_R_3_718949073377951745">'Controle Indeling PLNomUL'!$E$219</definedName>
    <definedName name="_vena_ControleIndelingPLNomUL_B1_R_3_718949073382146049">'Controle Indeling PLNomUL'!$E$220</definedName>
    <definedName name="_vena_ControleIndelingPLNomUL_B1_R_3_718949073382146051">'Controle Indeling PLNomUL'!$E$221</definedName>
    <definedName name="_vena_ControleIndelingPLNomUL_B1_R_3_718949073386340353">'Controle Indeling PLNomUL'!$E$222</definedName>
    <definedName name="_vena_ControleIndelingPLNomUL_B1_R_3_718949073390534657">'Controle Indeling PLNomUL'!$E$223</definedName>
    <definedName name="_vena_ControleIndelingPLNomUL_B1_R_3_718949073394728961">'Controle Indeling PLNomUL'!$E$224</definedName>
    <definedName name="_vena_ControleIndelingPLNomUL_B1_R_3_718949073394728963">'Controle Indeling PLNomUL'!$E$225</definedName>
    <definedName name="_vena_ControleIndelingPLNomUL_B1_R_3_718949073398923265">'Controle Indeling PLNomUL'!$E$226</definedName>
    <definedName name="_vena_ControleIndelingPLNomUL_B1_R_3_718949073403117569">'Controle Indeling PLNomUL'!$E$227</definedName>
    <definedName name="_vena_ControleIndelingPLNomUL_B1_R_3_718949073407311872">'Controle Indeling PLNomUL'!$E$228</definedName>
    <definedName name="_vena_ControleIndelingPLNomUL_B1_R_3_718949073411506177">'Controle Indeling PLNomUL'!$E$230</definedName>
    <definedName name="_vena_ControleIndelingPLNomUL_B1_R_3_718949073415700481">'Controle Indeling PLNomUL'!$E$231</definedName>
    <definedName name="_vena_ControleIndelingPLNomUL_B1_R_3_718949073415700483">'Controle Indeling PLNomUL'!$E$232</definedName>
    <definedName name="_vena_ControleIndelingPLNomUL_B1_R_3_718949073419894785">'Controle Indeling PLNomUL'!$E$233</definedName>
    <definedName name="_vena_ControleIndelingPLNomUL_B1_R_3_718949073424089089">'Controle Indeling PLNomUL'!$E$234</definedName>
    <definedName name="_vena_ControleIndelingPLNomUL_B1_R_3_718949073424089091">'Controle Indeling PLNomUL'!$E$235</definedName>
    <definedName name="_vena_ControleIndelingPLNomUL_B1_R_3_718949073428283393">'Controle Indeling PLNomUL'!$E$236</definedName>
    <definedName name="_vena_ControleIndelingPLNomUL_B1_R_3_718949073432477697">'Controle Indeling PLNomUL'!$E$237</definedName>
    <definedName name="_vena_ControleIndelingPLNomUL_B1_R_3_718949073432477699">'Controle Indeling PLNomUL'!$E$238</definedName>
    <definedName name="_vena_ControleIndelingPLNomUL_B1_R_3_718949073436672001">'Controle Indeling PLNomUL'!$E$239</definedName>
    <definedName name="_vena_ControleIndelingPLNomUL_B1_R_3_718949073440866305">'Controle Indeling PLNomUL'!$E$240</definedName>
    <definedName name="_vena_ControleIndelingPLNomUL_B1_R_3_718949073440866307">'Controle Indeling PLNomUL'!$E$241</definedName>
    <definedName name="_vena_ControleIndelingPLNomUL_B1_R_3_718949073445060609">'Controle Indeling PLNomUL'!$E$242</definedName>
    <definedName name="_vena_ControleIndelingPLNomUL_B1_R_3_718949073449254913">'Controle Indeling PLNomUL'!$E$243</definedName>
    <definedName name="_vena_ControleIndelingPLNomUL_B1_R_3_718949073453449218">'Controle Indeling PLNomUL'!$E$246</definedName>
    <definedName name="_vena_ControleIndelingPLNomUL_B1_R_3_718949073457643521">'Controle Indeling PLNomUL'!$E$247</definedName>
    <definedName name="_vena_ControleIndelingPLNomUL_B1_R_3_718949073457643523">'Controle Indeling PLNomUL'!$E$248</definedName>
    <definedName name="_vena_ControleIndelingPLNomUL_B1_R_3_718949073461837825">'Controle Indeling PLNomUL'!$E$249</definedName>
    <definedName name="_vena_ControleIndelingPLNomUL_B1_R_3_718949073466032129">'Controle Indeling PLNomUL'!$E$250</definedName>
    <definedName name="_vena_ControleIndelingPLNomUL_B1_R_3_718949073466032131">'Controle Indeling PLNomUL'!$E$251</definedName>
    <definedName name="_vena_ControleIndelingPLNomUL_B1_R_3_718949073470226433">'Controle Indeling PLNomUL'!$E$252</definedName>
    <definedName name="_vena_ControleIndelingPLNomUL_B1_R_3_718949073474420737">'Controle Indeling PLNomUL'!$E$253</definedName>
    <definedName name="_vena_ControleIndelingPLNomUL_B1_R_3_718949073478615041">'Controle Indeling PLNomUL'!$E$254</definedName>
    <definedName name="_vena_ControleIndelingPLNomUL_B1_R_3_718949073478615043">'Controle Indeling PLNomUL'!$E$255</definedName>
    <definedName name="_vena_ControleIndelingPLNomUL_B1_R_3_718949073482809345">'Controle Indeling PLNomUL'!$E$256</definedName>
    <definedName name="_vena_ControleIndelingPLNomUL_B1_R_3_718949073487003649">'Controle Indeling PLNomUL'!$E$257</definedName>
    <definedName name="_vena_ControleIndelingPLNomUL_B1_R_3_718949073487003651">'Controle Indeling PLNomUL'!$E$258</definedName>
    <definedName name="_vena_ControleIndelingPLNomUL_B1_R_3_718949073491197953">'Controle Indeling PLNomUL'!$E$259</definedName>
    <definedName name="_vena_ControleIndelingPLNomUL_B1_R_3_718949073499586560">'Controle Indeling PLNomUL'!$E$260</definedName>
    <definedName name="_vena_ControleIndelingPLNomUL_B1_R_3_718949073499586562">'Controle Indeling PLNomUL'!$E$261</definedName>
    <definedName name="_vena_ControleIndelingPLNomUL_B1_R_3_718949073503780865">'Controle Indeling PLNomUL'!$E$262</definedName>
    <definedName name="_vena_ControleIndelingPLNomUL_B1_R_3_718949073507975169">'Controle Indeling PLNomUL'!$E$263</definedName>
    <definedName name="_vena_ControleIndelingPLNomUL_B1_R_3_718949073507975171">'Controle Indeling PLNomUL'!$E$264</definedName>
    <definedName name="_vena_ControleIndelingPLNomUL_B1_R_3_718949073512169473">'Controle Indeling PLNomUL'!$E$265</definedName>
    <definedName name="_vena_ControleIndelingPLNomUL_B1_R_3_718949073516363777">'Controle Indeling PLNomUL'!$E$268</definedName>
    <definedName name="_vena_ControleIndelingPLNomUL_B1_R_3_718949073520558081">'Controle Indeling PLNomUL'!$E$269</definedName>
    <definedName name="_vena_ControleIndelingPLNomUL_B1_R_3_718949073520558083">'Controle Indeling PLNomUL'!$E$270</definedName>
    <definedName name="_vena_ControleIndelingPLNomUL_B1_R_3_718949073524752385">'Controle Indeling PLNomUL'!$E$271</definedName>
    <definedName name="_vena_ControleIndelingPLNomUL_B1_R_3_718949073528946689">'Controle Indeling PLNomUL'!$E$272</definedName>
    <definedName name="_vena_ControleIndelingPLNomUL_B1_R_3_718949073528946691">'Controle Indeling PLNomUL'!$E$273</definedName>
    <definedName name="_vena_ControleIndelingPLNomUL_B1_R_3_718949073533140993">'Controle Indeling PLNomUL'!$E$274</definedName>
    <definedName name="_vena_ControleIndelingPLNomUL_B1_R_3_718949073537335297">'Controle Indeling PLNomUL'!$E$275</definedName>
    <definedName name="_vena_ControleIndelingPLNomUL_B1_R_3_718949073537335299">'Controle Indeling PLNomUL'!$E$276</definedName>
    <definedName name="_vena_ControleIndelingPLNomUL_B1_R_3_718949073541529601">'Controle Indeling PLNomUL'!$E$277</definedName>
    <definedName name="_vena_ControleIndelingPLNomUL_B1_R_3_718949073545723905">'Controle Indeling PLNomUL'!$E$278</definedName>
    <definedName name="_vena_ControleIndelingPLNomUL_B1_R_3_718949073549918209">'Controle Indeling PLNomUL'!$E$279</definedName>
    <definedName name="_vena_ControleIndelingPLNomUL_B1_R_3_718949073558306816">'Controle Indeling PLNomUL'!$E$280</definedName>
    <definedName name="_vena_ControleIndelingPLNomUL_B1_R_3_718949073558306818">'Controle Indeling PLNomUL'!$E$165</definedName>
    <definedName name="_vena_ControleIndelingPLNomUL_B1_R_3_718949073566695424">'Controle Indeling PLNomUL'!$E$166</definedName>
    <definedName name="_vena_ControleIndelingPLNomUL_B1_R_3_718949073566695426">'Controle Indeling PLNomUL'!$E$167</definedName>
    <definedName name="_vena_ControleIndelingPLNomUL_B1_R_3_718949073575084032">'Controle Indeling PLNomUL'!$E$168</definedName>
    <definedName name="_vena_ControleIndelingPLNomUL_B1_R_3_718949073575084034">'Controle Indeling PLNomUL'!$E$169</definedName>
    <definedName name="_vena_ControleIndelingPLNomUL_B1_R_3_718949073579278337">'Controle Indeling PLNomUL'!$E$170</definedName>
    <definedName name="_vena_ControleIndelingPLNomUL_B1_R_3_718949073583472641">'Controle Indeling PLNomUL'!$E$171</definedName>
    <definedName name="_vena_ControleIndelingPLNomUL_B1_R_3_718949073583472643">'Controle Indeling PLNomUL'!$E$357</definedName>
    <definedName name="_vena_ControleIndelingPLNomUL_B1_R_3_718949073591861248">'Controle Indeling PLNomUL'!$E$358</definedName>
    <definedName name="_vena_ControleIndelingPLNomUL_B1_R_3_718949073596055552">'Controle Indeling PLNomUL'!$E$32</definedName>
    <definedName name="_vena_ControleIndelingPLNomUL_B1_R_3_718949073600249857">'Controle Indeling PLNomUL'!$E$33</definedName>
    <definedName name="_vena_ControleIndelingPLNomUL_B1_R_3_718949073608638464">'Controle Indeling PLNomUL'!$E$34</definedName>
    <definedName name="_vena_ControleIndelingPLNomUL_B1_R_3_718949073608638466">'Controle Indeling PLNomUL'!$E$35</definedName>
    <definedName name="_vena_ControleIndelingPLNomUL_B1_R_3_718949073612832769">'Controle Indeling PLNomUL'!$E$36</definedName>
    <definedName name="_vena_ControleIndelingPLNomUL_B1_R_3_718949073617027073">'Controle Indeling PLNomUL'!$E$37</definedName>
    <definedName name="_vena_ControleIndelingPLNomUL_B1_R_3_718949073621221376">'Controle Indeling PLNomUL'!$E$38</definedName>
    <definedName name="_vena_ControleIndelingPLNomUL_B1_R_3_718949073625415681">'Controle Indeling PLNomUL'!$E$40</definedName>
    <definedName name="_vena_ControleIndelingPLNomUL_B1_R_3_718949073629609985">'Controle Indeling PLNomUL'!$E$41</definedName>
    <definedName name="_vena_ControleIndelingPLNomUL_B1_R_3_718949073633804289">'Controle Indeling PLNomUL'!$E$42</definedName>
    <definedName name="_vena_ControleIndelingPLNomUL_B1_R_3_718949073637998593">'Controle Indeling PLNomUL'!$E$43</definedName>
    <definedName name="_vena_ControleIndelingPLNomUL_B1_R_3_718949073637998595">'Controle Indeling PLNomUL'!$E$44</definedName>
    <definedName name="_vena_ControleIndelingPLNomUL_B1_R_3_718949073642192897">'Controle Indeling PLNomUL'!$E$45</definedName>
    <definedName name="_vena_ControleIndelingPLNomUL_B1_R_3_718949073646387201">'Controle Indeling PLNomUL'!$E$46</definedName>
    <definedName name="_vena_ControleIndelingPLNomUL_B1_R_3_718949073650581505">'Controle Indeling PLNomUL'!$E$47</definedName>
    <definedName name="_vena_ControleIndelingPLNomUL_B1_R_3_718949073654775809">'Controle Indeling PLNomUL'!$E$48</definedName>
    <definedName name="_vena_ControleIndelingPLNomUL_B1_R_3_718949073654775811">'Controle Indeling PLNomUL'!$E$49</definedName>
    <definedName name="_vena_ControleIndelingPLNomUL_B1_R_3_718949073658970113">'Controle Indeling PLNomUL'!$E$50</definedName>
    <definedName name="_vena_ControleIndelingPLNomUL_B1_R_3_718949073663164417">'Controle Indeling PLNomUL'!$E$51</definedName>
    <definedName name="_vena_ControleIndelingPLNomUL_B1_R_3_718949073667358721">'Controle Indeling PLNomUL'!$E$52</definedName>
    <definedName name="_vena_ControleIndelingPLNomUL_B1_R_3_718949073667358723">'Controle Indeling PLNomUL'!$E$53</definedName>
    <definedName name="_vena_ControleIndelingPLNomUL_B1_R_3_718949073671553025">'Controle Indeling PLNomUL'!$E$54</definedName>
    <definedName name="_vena_ControleIndelingPLNomUL_B1_R_3_718949073675747329">'Controle Indeling PLNomUL'!$E$55</definedName>
    <definedName name="_vena_ControleIndelingPLNomUL_B1_R_3_718949073679941633">'Controle Indeling PLNomUL'!$E$56</definedName>
    <definedName name="_vena_ControleIndelingPLNomUL_B1_R_3_718949073684135937">'Controle Indeling PLNomUL'!$E$57</definedName>
    <definedName name="_vena_ControleIndelingPLNomUL_B1_R_3_718949073684135939">'Controle Indeling PLNomUL'!$E$58</definedName>
    <definedName name="_vena_ControleIndelingPLNomUL_B1_R_3_718949073688330241">'Controle Indeling PLNomUL'!$E$59</definedName>
    <definedName name="_vena_ControleIndelingPLNomUL_B1_R_3_718949073692524545">'Controle Indeling PLNomUL'!$E$60</definedName>
    <definedName name="_vena_ControleIndelingPLNomUL_B1_R_3_718949073696718849">'Controle Indeling PLNomUL'!$E$61</definedName>
    <definedName name="_vena_ControleIndelingPLNomUL_B1_R_3_718949073696718851">'Controle Indeling PLNomUL'!$E$62</definedName>
    <definedName name="_vena_ControleIndelingPLNomUL_B1_R_3_718949073700913153">'Controle Indeling PLNomUL'!$E$63</definedName>
    <definedName name="_vena_ControleIndelingPLNomUL_B1_R_3_718949073705107457">'Controle Indeling PLNomUL'!$E$64</definedName>
    <definedName name="_vena_ControleIndelingPLNomUL_B1_R_3_718949073705107459">'Controle Indeling PLNomUL'!$E$65</definedName>
    <definedName name="_vena_ControleIndelingPLNomUL_B1_R_3_718949073709301761">'Controle Indeling PLNomUL'!$E$66</definedName>
    <definedName name="_vena_ControleIndelingPLNomUL_B1_R_3_718949073713496065">'Controle Indeling PLNomUL'!$E$67</definedName>
    <definedName name="_vena_ControleIndelingPLNomUL_B1_R_3_718949073713496067">'Controle Indeling PLNomUL'!$E$68</definedName>
    <definedName name="_vena_ControleIndelingPLNomUL_B1_R_3_718949073717690369">'Controle Indeling PLNomUL'!$E$69</definedName>
    <definedName name="_vena_ControleIndelingPLNomUL_B1_R_3_718949073721884673">'Controle Indeling PLNomUL'!$E$70</definedName>
    <definedName name="_vena_ControleIndelingPLNomUL_B1_R_3_718949073726078977">'Controle Indeling PLNomUL'!$E$71</definedName>
    <definedName name="_vena_ControleIndelingPLNomUL_B1_R_3_718949073726078979">'Controle Indeling PLNomUL'!$E$72</definedName>
    <definedName name="_vena_ControleIndelingPLNomUL_B1_R_3_718949073730273281">'Controle Indeling PLNomUL'!$E$73</definedName>
    <definedName name="_vena_ControleIndelingPLNomUL_B1_R_3_718949073734467585">'Controle Indeling PLNomUL'!$E$74</definedName>
    <definedName name="_vena_ControleIndelingPLNomUL_B1_R_3_718949073734467587">'Controle Indeling PLNomUL'!$E$75</definedName>
    <definedName name="_vena_ControleIndelingPLNomUL_B1_R_3_718949073738661889">'Controle Indeling PLNomUL'!$E$174</definedName>
    <definedName name="_vena_ControleIndelingPLNomUL_B1_R_3_718949073742856193">'Controle Indeling PLNomUL'!$E$85</definedName>
    <definedName name="_vena_ControleIndelingPLNomUL_B1_R_3_718949073747050497">'Controle Indeling PLNomUL'!$E$86</definedName>
    <definedName name="_vena_ControleIndelingPLNomUL_B1_R_3_718949073751244801">'Controle Indeling PLNomUL'!$E$87</definedName>
    <definedName name="_vena_ControleIndelingPLNomUL_B1_R_3_718949073759633408">'Controle Indeling PLNomUL'!$E$175</definedName>
    <definedName name="_vena_ControleIndelingPLNomUL_B1_R_3_718949073763827713">'Controle Indeling PLNomUL'!$E$88</definedName>
    <definedName name="_vena_ControleIndelingPLNomUL_B1_R_3_718949073768022016">'Controle Indeling PLNomUL'!$E$89</definedName>
    <definedName name="_vena_ControleIndelingPLNomUL_B1_R_3_718949073772216321">'Controle Indeling PLNomUL'!$E$176</definedName>
    <definedName name="_vena_ControleIndelingPLNomUL_B1_R_3_718949073776410624">'Controle Indeling PLNomUL'!$E$288</definedName>
    <definedName name="_vena_ControleIndelingPLNomUL_B1_R_3_718949073780604928">'Controle Indeling PLNomUL'!$E$289</definedName>
    <definedName name="_vena_ControleIndelingPLNomUL_B1_R_3_718949073784799233">'Controle Indeling PLNomUL'!$E$290</definedName>
    <definedName name="_vena_ControleIndelingPLNomUL_B1_R_3_718949073788993536">'Controle Indeling PLNomUL'!$E$291</definedName>
    <definedName name="_vena_ControleIndelingPLNomUL_B1_R_3_718949073788993538">'Controle Indeling PLNomUL'!$E$292</definedName>
    <definedName name="_vena_ControleIndelingPLNomUL_B1_R_3_718949073793187841">'Controle Indeling PLNomUL'!$E$364</definedName>
    <definedName name="_vena_ControleIndelingPLNomUL_B1_R_3_718949073797382145">'Controle Indeling PLNomUL'!$E$177</definedName>
    <definedName name="_vena_ControleIndelingPLNomUL_B1_R_3_718949073801576449">'Controle Indeling PLNomUL'!$E$178</definedName>
    <definedName name="_vena_ControleIndelingPLNomUL_B1_R_3_718949073805770753">'Controle Indeling PLNomUL'!$E$97</definedName>
    <definedName name="_vena_ControleIndelingPLNomUL_B1_R_3_718949073809965057">'Controle Indeling PLNomUL'!$E$98</definedName>
    <definedName name="_vena_ControleIndelingPLNomUL_B1_R_3_718949073809965059">'Controle Indeling PLNomUL'!$E$100</definedName>
    <definedName name="_vena_ControleIndelingPLNomUL_B1_R_3_718949073818353664">'Controle Indeling PLNomUL'!$E$101</definedName>
    <definedName name="_vena_ControleIndelingPLNomUL_B1_R_3_718949073822547969">'Controle Indeling PLNomUL'!$E$102</definedName>
    <definedName name="_vena_ControleIndelingPLNomUL_B1_R_3_718949073826742273">'Controle Indeling PLNomUL'!$E$103</definedName>
    <definedName name="_vena_ControleIndelingPLNomUL_B1_R_3_718949073830936577">'Controle Indeling PLNomUL'!$E$104</definedName>
    <definedName name="_vena_ControleIndelingPLNomUL_B1_R_3_718949073835130881">'Controle Indeling PLNomUL'!$E$180</definedName>
    <definedName name="_vena_ControleIndelingPLNomUL_B1_R_3_718949073839325185">'Controle Indeling PLNomUL'!$E$105</definedName>
    <definedName name="_vena_ControleIndelingPLNomUL_B1_R_3_718949073839325187">'Controle Indeling PLNomUL'!$E$106</definedName>
    <definedName name="_vena_ControleIndelingPLNomUL_B1_R_3_718949073843519489">'Controle Indeling PLNomUL'!$E$107</definedName>
    <definedName name="_vena_ControleIndelingPLNomUL_B1_R_3_718949073847713793">'Controle Indeling PLNomUL'!$E$108</definedName>
    <definedName name="_vena_ControleIndelingPLNomUL_B1_R_3_718949073851908096">'Controle Indeling PLNomUL'!$E$109</definedName>
    <definedName name="_vena_ControleIndelingPLNomUL_B1_R_3_718949073856102401">'Controle Indeling PLNomUL'!$E$110</definedName>
    <definedName name="_vena_ControleIndelingPLNomUL_B1_R_3_718949073860296705">'Controle Indeling PLNomUL'!$E$111</definedName>
    <definedName name="_vena_ControleIndelingPLNomUL_B1_R_3_718949073860296707">'Controle Indeling PLNomUL'!$E$112</definedName>
    <definedName name="_vena_ControleIndelingPLNomUL_B1_R_3_718949073864491009">'Controle Indeling PLNomUL'!$E$113</definedName>
    <definedName name="_vena_ControleIndelingPLNomUL_B1_R_3_718949073868685313">'Controle Indeling PLNomUL'!$E$114</definedName>
    <definedName name="_vena_ControleIndelingPLNomUL_B1_R_3_718949073868685315">'Controle Indeling PLNomUL'!$E$115</definedName>
    <definedName name="_vena_ControleIndelingPLNomUL_B1_R_3_718949073872879617">'Controle Indeling PLNomUL'!$E$116</definedName>
    <definedName name="_vena_ControleIndelingPLNomUL_B1_R_3_718949073877073921">'Controle Indeling PLNomUL'!$E$117</definedName>
    <definedName name="_vena_ControleIndelingPLNomUL_B1_R_3_718949073881268225">'Controle Indeling PLNomUL'!$E$118</definedName>
    <definedName name="_vena_ControleIndelingPLNomUL_B1_R_3_718949073881268227">'Controle Indeling PLNomUL'!$E$119</definedName>
    <definedName name="_vena_ControleIndelingPLNomUL_B1_R_3_718949073885462529">'Controle Indeling PLNomUL'!$E$120</definedName>
    <definedName name="_vena_ControleIndelingPLNomUL_B1_R_3_718949073889656833">'Controle Indeling PLNomUL'!$E$121</definedName>
    <definedName name="_vena_ControleIndelingPLNomUL_B1_R_3_718949073893851137">'Controle Indeling PLNomUL'!$E$122</definedName>
    <definedName name="_vena_ControleIndelingPLNomUL_B1_R_3_718949073893851139">'Controle Indeling PLNomUL'!$E$123</definedName>
    <definedName name="_vena_ControleIndelingPLNomUL_B1_R_3_718949073898045441">'Controle Indeling PLNomUL'!$E$124</definedName>
    <definedName name="_vena_ControleIndelingPLNomUL_B1_R_3_718949073902239745">'Controle Indeling PLNomUL'!$E$125</definedName>
    <definedName name="_vena_ControleIndelingPLNomUL_B1_R_3_718949073902239747">'Controle Indeling PLNomUL'!$E$126</definedName>
    <definedName name="_vena_ControleIndelingPLNomUL_B1_R_3_718949073906434049">'Controle Indeling PLNomUL'!$E$127</definedName>
    <definedName name="_vena_ControleIndelingPLNomUL_B1_R_3_718949073910628353">'Controle Indeling PLNomUL'!$E$128</definedName>
    <definedName name="_vena_ControleIndelingPLNomUL_B1_R_3_718949073914822657">'Controle Indeling PLNomUL'!$E$129</definedName>
    <definedName name="_vena_ControleIndelingPLNomUL_B1_R_3_718949073914822659">'Controle Indeling PLNomUL'!$E$130</definedName>
    <definedName name="_vena_ControleIndelingPLNomUL_B1_R_3_718949073919016961">'Controle Indeling PLNomUL'!$E$131</definedName>
    <definedName name="_vena_ControleIndelingPLNomUL_B1_R_3_718949073923211265">'Controle Indeling PLNomUL'!$E$132</definedName>
    <definedName name="_vena_ControleIndelingPLNomUL_B1_R_3_718949073923211267">'Controle Indeling PLNomUL'!$E$133</definedName>
    <definedName name="_vena_ControleIndelingPLNomUL_B1_R_3_718949073927405569">'Controle Indeling PLNomUL'!$E$134</definedName>
    <definedName name="_vena_ControleIndelingPLNomUL_B1_R_3_718949073931599873">'Controle Indeling PLNomUL'!$E$135</definedName>
    <definedName name="_vena_ControleIndelingPLNomUL_B1_R_3_718949073935794176">'Controle Indeling PLNomUL'!$E$136</definedName>
    <definedName name="_vena_ControleIndelingPLNomUL_B1_R_3_718949073935794178">'Controle Indeling PLNomUL'!$E$137</definedName>
    <definedName name="_vena_ControleIndelingPLNomUL_B1_R_3_718949073939988481">'Controle Indeling PLNomUL'!$E$145</definedName>
    <definedName name="_vena_ControleIndelingPLNomUL_B1_R_3_718949073944182785">'Controle Indeling PLNomUL'!$E$146</definedName>
    <definedName name="_vena_ControleIndelingPLNomUL_B1_R_3_718949073944182787">'Controle Indeling PLNomUL'!$E$147</definedName>
    <definedName name="_vena_ControleIndelingPLNomUL_B1_R_3_718949073948377089">'Controle Indeling PLNomUL'!$E$148</definedName>
    <definedName name="_vena_ControleIndelingPLNomUL_B1_R_3_718949073952571393">'Controle Indeling PLNomUL'!$E$149</definedName>
    <definedName name="_vena_ControleIndelingPLNomUL_B1_R_3_718949073952571395">'Controle Indeling PLNomUL'!$E$181</definedName>
    <definedName name="_vena_ControleIndelingPLNomUL_B1_R_3_718949073956765697">'Controle Indeling PLNomUL'!$E$150</definedName>
    <definedName name="_vena_ControleIndelingPLNomUL_B1_R_3_718949073960960001">'Controle Indeling PLNomUL'!$E$151</definedName>
    <definedName name="_vena_ControleIndelingPLNomUL_B1_R_3_718949073965154304">'Controle Indeling PLNomUL'!$E$152</definedName>
    <definedName name="_vena_ControleIndelingPLNomUL_B1_R_3_718949073965154306">'Controle Indeling PLNomUL'!$E$153</definedName>
    <definedName name="_vena_ControleIndelingPLNomUL_B1_R_3_718949073969348609">'Controle Indeling PLNomUL'!$E$154</definedName>
    <definedName name="_vena_ControleIndelingPLNomUL_B1_R_3_718949073973542913">'Controle Indeling PLNomUL'!$E$155</definedName>
    <definedName name="_vena_ControleIndelingPLNomUL_B1_R_3_718949073973542915">'Controle Indeling PLNomUL'!$E$156</definedName>
    <definedName name="_vena_ControleIndelingPLNomUL_B1_R_3_718949073977737217">'Controle Indeling PLNomUL'!$E$367</definedName>
    <definedName name="_vena_ControleIndelingPLNomUL_B1_R_3_718949073981931521">'Controle Indeling PLNomUL'!$E$368</definedName>
    <definedName name="_vena_ControleIndelingPLNomUL_B1_R_3_718949073986125824">'Controle Indeling PLNomUL'!$E$369</definedName>
    <definedName name="_vena_ControleIndelingPLNomUL_B1_R_3_718949073990320129">'Controle Indeling PLNomUL'!$E$157</definedName>
    <definedName name="_vena_ControleIndelingPLNomUL_B1_R_3_718949073994514432">'Controle Indeling PLNomUL'!$E$158</definedName>
    <definedName name="_vena_ControleIndelingPLNomUL_B1_R_3_718949073998708737">'Controle Indeling PLNomUL'!$E$182</definedName>
    <definedName name="_vena_ControleIndelingPLNomUL_B1_R_3_718949073998708739">'Controle Indeling PLNomUL'!$E$183</definedName>
    <definedName name="_vena_ControleIndelingPLNomUL_B1_R_3_718949074002903041">'Controle Indeling PLNomUL'!$E$184</definedName>
    <definedName name="_vena_ControleIndelingPLNomUL_B1_R_3_718949074007097345">'Controle Indeling PLNomUL'!$E$159</definedName>
    <definedName name="_vena_ControleIndelingPLNomUL_B1_R_3_718949074011291649">'Controle Indeling PLNomUL'!$E$185</definedName>
    <definedName name="_vena_ControleIndelingPLNomUL_B1_R_3_718949074011291651">'Controle Indeling PLNomUL'!$E$160</definedName>
    <definedName name="_vena_ControleIndelingPLNomUL_B1_R_3_718949074015485953">'Controle Indeling PLNomUL'!$E$186</definedName>
    <definedName name="_vena_ControleIndelingPLNomUL_B1_R_3_718949074019680257">'Controle Indeling PLNomUL'!$E$187</definedName>
    <definedName name="_vena_ControleIndelingPLNomUL_B1_R_3_718949074019680259">'Controle Indeling PLNomUL'!$E$188</definedName>
    <definedName name="_vena_ControleIndelingPLNomUL_B1_R_3_718949074023874561">'Controle Indeling PLNomUL'!$E$189</definedName>
    <definedName name="_vena_ControleIndelingPLNomUL_B1_R_3_718949074028068865">'Controle Indeling PLNomUL'!$E$190</definedName>
    <definedName name="_vena_ControleIndelingPLNomUL_B1_R_3_718949074028068867">'Controle Indeling PLNomUL'!$E$191</definedName>
    <definedName name="_vena_ControleIndelingPLNomUL_B1_R_3_718949074032263169">'Controle Indeling PLNomUL'!$E$370</definedName>
    <definedName name="_vena_ControleIndelingPLNomUL_B1_R_3_718949074036457473">'Controle Indeling PLNomUL'!$E$371</definedName>
    <definedName name="_vena_ControleIndelingPLNomUL_B1_R_3_718949074036457475">'Controle Indeling PLNomUL'!$E$372</definedName>
    <definedName name="_vena_ControleIndelingPLNomUL_B1_R_3_718949074040651777">'Controle Indeling PLNomUL'!$E$373</definedName>
    <definedName name="_vena_ControleIndelingPLNomUL_B1_R_3_718949074044846081">'Controle Indeling PLNomUL'!$E$192</definedName>
    <definedName name="_vena_ControleIndelingPLNomUL_B1_R_3_718949074049040385">'Controle Indeling PLNomUL'!$E$193</definedName>
    <definedName name="_vena_ControleIndelingPLNomUL_B1_R_3_718949074049040387">'Controle Indeling PLNomUL'!$E$194</definedName>
    <definedName name="_vena_ControleIndelingPLNomUL_B1_R_3_718949074053234689">'Controle Indeling PLNomUL'!$E$195</definedName>
    <definedName name="_vena_ControleIndelingPLNomUL_B1_R_3_718949074057428993">'Controle Indeling PLNomUL'!$E$196</definedName>
    <definedName name="_vena_ControleIndelingPLNomUL_B1_R_3_718949074057428995">'Controle Indeling PLNomUL'!$E$197</definedName>
    <definedName name="_vena_ControleIndelingPLNomUL_B1_R_3_718949074061623297">'Controle Indeling PLNomUL'!$E$161</definedName>
    <definedName name="_vena_ControleIndelingPLNomUL_B1_R_3_718949074065817601">'Controle Indeling PLNomUL'!$E$162</definedName>
    <definedName name="_vena_ControleIndelingPLNomUL_B1_R_3_718949074065817603">'Controle Indeling PLNomUL'!$E$198</definedName>
    <definedName name="_vena_ControleIndelingPLNomUL_B1_R_3_718949074070011905">'Controle Indeling PLNomUL'!$E$201</definedName>
    <definedName name="_vena_ControleIndelingPLNomUL_B1_R_3_718949074074206209">'Controle Indeling PLNomUL'!$E$202</definedName>
    <definedName name="_vena_ControleIndelingPLNomUL_B1_R_3_718949074078400513">'Controle Indeling PLNomUL'!$E$203</definedName>
    <definedName name="_vena_ControleIndelingPLNomUL_B1_R_3_718949074078400515">'Controle Indeling PLNomUL'!$E$204</definedName>
    <definedName name="_vena_ControleIndelingPLNomUL_B1_R_3_718949074082594817">'Controle Indeling PLNomUL'!$E$205</definedName>
    <definedName name="_vena_ControleIndelingPLNomUL_B1_R_3_718949074086789121">'Controle Indeling PLNomUL'!$E$206</definedName>
    <definedName name="_vena_ControleIndelingPLNomUL_B1_R_3_718949074086789123">'Controle Indeling PLNomUL'!$E$207</definedName>
    <definedName name="_vena_ControleIndelingPLNomUL_B1_R_3_718949074090983425">'Controle Indeling PLNomUL'!$E$208</definedName>
    <definedName name="_vena_ControleIndelingPLNomUL_B1_R_3_718949074095177729">'Controle Indeling PLNomUL'!$E$211</definedName>
    <definedName name="_vena_ControleIndelingPLNomUL_B1_R_3_718949074095177731">'Controle Indeling PLNomUL'!$E$163</definedName>
    <definedName name="_vena_ControleIndelingPLNomUL_B1_R_3_718949074099372033">'Controle Indeling PLNomUL'!$E$295</definedName>
    <definedName name="_vena_ControleIndelingPLNomUL_B1_R_3_718949074103566337">'Controle Indeling PLNomUL'!$E$375</definedName>
    <definedName name="_vena_ControleIndelingPLNomUL_B1_R_3_718949074103566339">'Controle Indeling PLNomUL'!$E$296</definedName>
    <definedName name="_vena_ControleIndelingPLNomUL_B1_R_3_718949074111954944">'Controle Indeling PLNomUL'!$E$297</definedName>
    <definedName name="_vena_ControleIndelingPLNomUL_B1_R_3_718949074111954946">'Controle Indeling PLNomUL'!$E$298</definedName>
    <definedName name="_vena_ControleIndelingPLNomUL_B1_R_3_718949074116149249">'Controle Indeling PLNomUL'!$E$299</definedName>
    <definedName name="_vena_ControleIndelingPLNomUL_B1_R_3_718949074120343553">'Controle Indeling PLNomUL'!$E$300</definedName>
    <definedName name="_vena_ControleIndelingPLNomUL_B1_R_3_718949074124537857">'Controle Indeling PLNomUL'!$E$301</definedName>
    <definedName name="_vena_ControleIndelingPLNomUL_B1_R_3_718949074124537859">'Controle Indeling PLNomUL'!$E$302</definedName>
    <definedName name="_vena_ControleIndelingPLNomUL_B1_R_3_718949074128732161">'Controle Indeling PLNomUL'!$E$303</definedName>
    <definedName name="_vena_ControleIndelingPLNomUL_B1_R_3_718949074132926465">'Controle Indeling PLNomUL'!$E$304</definedName>
    <definedName name="_vena_ControleIndelingPLNomUL_B1_R_3_718949074132926467">'Controle Indeling PLNomUL'!$E$306</definedName>
    <definedName name="_vena_ControleIndelingPLNomUL_B1_R_3_718949074137120769">'Controle Indeling PLNomUL'!$E$307</definedName>
    <definedName name="_vena_ControleIndelingPLNomUL_B1_R_3_718949074141315073">'Controle Indeling PLNomUL'!$E$308</definedName>
    <definedName name="_vena_ControleIndelingPLNomUL_B1_R_3_718949074141315075">'Controle Indeling PLNomUL'!$E$309</definedName>
    <definedName name="_vena_ControleIndelingPLNomUL_B1_R_3_718949074145509377">'Controle Indeling PLNomUL'!$E$310</definedName>
    <definedName name="_vena_ControleIndelingPLNomUL_B1_R_3_718949074149703681">'Controle Indeling PLNomUL'!$E$311</definedName>
    <definedName name="_vena_ControleIndelingPLNomUL_B1_R_3_718949074153897985">'Controle Indeling PLNomUL'!$E$312</definedName>
    <definedName name="_vena_ControleIndelingPLNomUL_B1_R_3_718949074153897987">'Controle Indeling PLNomUL'!$E$313</definedName>
    <definedName name="_vena_ControleIndelingPLNomUL_B1_R_3_718949074158092289">'Controle Indeling PLNomUL'!$E$314</definedName>
    <definedName name="_vena_ControleIndelingPLNomUL_B1_R_3_718949074162286593">'Controle Indeling PLNomUL'!$E$315</definedName>
    <definedName name="_vena_ControleIndelingPLNomUL_B1_R_3_718949074162286595">'Controle Indeling PLNomUL'!$E$316</definedName>
    <definedName name="_vena_ControleIndelingPLNomUL_B1_R_3_718949074166480897">'Controle Indeling PLNomUL'!$E$317</definedName>
    <definedName name="_vena_ControleIndelingPLNomUL_B1_R_3_718949074170675201">'Controle Indeling PLNomUL'!$E$318</definedName>
    <definedName name="_vena_ControleIndelingPLNomUL_B1_R_3_718949074170675203">'Controle Indeling PLNomUL'!$E$319</definedName>
    <definedName name="_vena_ControleIndelingPLNomUL_B1_R_3_718949074174869505">'Controle Indeling PLNomUL'!$E$320</definedName>
    <definedName name="_vena_ControleIndelingPLNomUL_B1_R_3_718949074179063809">'Controle Indeling PLNomUL'!$E$321</definedName>
    <definedName name="_vena_ControleIndelingPLNomUL_B1_R_3_718949074179063811">'Controle Indeling PLNomUL'!$E$322</definedName>
    <definedName name="_vena_ControleIndelingPLNomUL_B1_R_3_718949074183258113">'Controle Indeling PLNomUL'!$E$323</definedName>
    <definedName name="_vena_ControleIndelingPLNomUL_B1_R_3_718949074187452417">'Controle Indeling PLNomUL'!$E$324</definedName>
    <definedName name="_vena_ControleIndelingPLNomUL_B1_R_3_718949074191646721">'Controle Indeling PLNomUL'!$E$325</definedName>
    <definedName name="_vena_ControleIndelingPLNomUL_B1_R_3_718949074191646723">'Controle Indeling PLNomUL'!$E$326</definedName>
    <definedName name="_vena_ControleIndelingPLNomUL_B1_R_3_718949074195841025">'Controle Indeling PLNomUL'!$E$327</definedName>
    <definedName name="_vena_ControleIndelingPLNomUL_B1_R_3_718949074200035329">'Controle Indeling PLNomUL'!$E$328</definedName>
    <definedName name="_vena_ControleIndelingPLNomUL_B1_R_3_718949074200035331">'Controle Indeling PLNomUL'!$E$329</definedName>
    <definedName name="_vena_ControleIndelingPLNomUL_B1_R_3_718949074204229633">'Controle Indeling PLNomUL'!$E$330</definedName>
    <definedName name="_vena_ControleIndelingPLNomUL_B1_R_3_718949074208423937">'Controle Indeling PLNomUL'!$E$331</definedName>
    <definedName name="_vena_ControleIndelingPLNomUL_B1_R_3_718949074212618241">'Controle Indeling PLNomUL'!$E$332</definedName>
    <definedName name="_vena_ControleIndelingPLNomUL_B1_R_3_718949074212618243">'Controle Indeling PLNomUL'!$E$333</definedName>
    <definedName name="_vena_ControleIndelingPLNomUL_B1_R_3_718949074221006848">'Controle Indeling PLNomUL'!$E$335</definedName>
    <definedName name="_vena_ControleIndelingPLNomUL_B1_R_3_718949074221006851">'Controle Indeling PLNomUL'!$E$337</definedName>
    <definedName name="_vena_ControleIndelingPLNomUL_B1_R_3_718949074225201153">'Controle Indeling PLNomUL'!$E$338</definedName>
    <definedName name="_vena_ControleIndelingPLNomUL_B1_R_3_718949074229395457">'Controle Indeling PLNomUL'!$E$339</definedName>
    <definedName name="_vena_ControleIndelingPLNomUL_B1_R_3_718949074229395459">'Controle Indeling PLNomUL'!$E$340</definedName>
    <definedName name="_vena_ControleIndelingPLNomUL_B1_R_3_718949074233589761">'Controle Indeling PLNomUL'!$E$341</definedName>
    <definedName name="_vena_ControleIndelingPLNomUL_B1_R_3_718949074237784065">'Controle Indeling PLNomUL'!$E$342</definedName>
    <definedName name="_vena_ControleIndelingPLNomUL_B1_R_3_718949074237784067">'Controle Indeling PLNomUL'!$E$343</definedName>
    <definedName name="_vena_ControleIndelingPLNomUL_B1_R_3_718949074241978369">'Controle Indeling PLNomUL'!$E$344</definedName>
    <definedName name="_vena_ControleIndelingPLNomUL_B1_R_3_718949074246172673">'Controle Indeling PLNomUL'!$E$345</definedName>
    <definedName name="_vena_ControleIndelingPLNomUL_B1_R_3_718949074246172675">'Controle Indeling PLNomUL'!$E$346</definedName>
    <definedName name="_vena_ControleIndelingPLNomUL_B1_R_3_718949074250366977">'Controle Indeling PLNomUL'!$E$347</definedName>
    <definedName name="_vena_ControleIndelingPLNomUL_B1_R_3_718949074254561281">'Controle Indeling PLNomUL'!$E$348</definedName>
    <definedName name="_vena_ControleIndelingPLNomUL_B1_R_3_718949074258755585">'Controle Indeling PLNomUL'!$E$349</definedName>
    <definedName name="_vena_ControleIndelingPLNomUL_B1_R_3_718949074258755587">'Controle Indeling PLNomUL'!$E$350</definedName>
    <definedName name="_vena_ControleIndelingPLNomUL_B1_R_3_718949074262949889">'Controle Indeling PLNomUL'!$E$351</definedName>
    <definedName name="_vena_ControleIndelingPLNomUL_B1_R_3_718949074267144193">'Controle Indeling PLNomUL'!$E$352</definedName>
    <definedName name="_vena_ControleIndelingPLNomUL_B1_R_3_718949074267144195">'Controle Indeling PLNomUL'!$E$353</definedName>
    <definedName name="_vena_ControleIndelingPLNomUL_B1_R_3_718949074271338497">'Controle Indeling PLNomUL'!$E$354</definedName>
    <definedName name="_vena_ControleIndelingPLNomUL_B1_R_3_741036978346524672">'Controle Indeling PLNomUL'!$E$26</definedName>
    <definedName name="_vena_ControleIndelingPLNomUL_B1_R_3_741036978350718977">'Controle Indeling PLNomUL'!$E$27</definedName>
    <definedName name="_vena_ControleIndelingPLNomUL_B1_R_3_741036978350718979">'Controle Indeling PLNomUL'!$E$28</definedName>
    <definedName name="_vena_ControleIndelingPLNomUL_B1_R_3_741036978354913281">'Controle Indeling PLNomUL'!$E$29</definedName>
    <definedName name="_vena_ControleIndelingPLNomUL_B1_R_3_741036978354913283">'Controle Indeling PLNomUL'!$E$30</definedName>
    <definedName name="_vena_ControleIndelingPLNomUL_B1_R_3_741036978354913285">'Controle Indeling PLNomUL'!$E$31</definedName>
    <definedName name="_vena_ControleIndelingPLNomUL_B1_R_3_741036978359107585">'Controle Indeling PLNomUL'!$E$77</definedName>
    <definedName name="_vena_ControleIndelingPLNomUL_B1_R_3_741036978359107587">'Controle Indeling PLNomUL'!$E$78</definedName>
    <definedName name="_vena_ControleIndelingPLNomUL_B1_R_3_741036978359107589">'Controle Indeling PLNomUL'!$E$79</definedName>
    <definedName name="_vena_ControleIndelingPLNomUL_B1_R_3_741036978363301889">'Controle Indeling PLNomUL'!$E$80</definedName>
    <definedName name="_vena_ControleIndelingPLNomUL_B1_R_3_741036978363301891">'Controle Indeling PLNomUL'!$E$172</definedName>
    <definedName name="_vena_ControleIndelingPLNomUL_B1_R_3_741036978367496193">'Controle Indeling PLNomUL'!$E$173</definedName>
    <definedName name="_vena_ControleIndelingPLNomUL_B1_R_3_741036978367496195">'Controle Indeling PLNomUL'!$E$81</definedName>
    <definedName name="_vena_ControleIndelingPLNomUL_B1_R_3_741036978367496197">'Controle Indeling PLNomUL'!$E$82</definedName>
    <definedName name="_vena_ControleIndelingPLNomUL_B1_R_3_741036978371690497">'Controle Indeling PLNomUL'!$E$83</definedName>
    <definedName name="_vena_ControleIndelingPLNomUL_B1_R_3_741036978371690499">'Controle Indeling PLNomUL'!$E$84</definedName>
    <definedName name="_vena_ControleIndelingPLNomUL_B1_R_3_741036978375884801">'Controle Indeling PLNomUL'!$E$281</definedName>
    <definedName name="_vena_ControleIndelingPLNomUL_B1_R_3_741036978375884803">'Controle Indeling PLNomUL'!$E$282</definedName>
    <definedName name="_vena_ControleIndelingPLNomUL_B1_R_3_741036978375884805">'Controle Indeling PLNomUL'!$E$283</definedName>
    <definedName name="_vena_ControleIndelingPLNomUL_B1_R_3_741036978380079105">'Controle Indeling PLNomUL'!$E$284</definedName>
    <definedName name="_vena_ControleIndelingPLNomUL_B1_R_3_741036978380079107">'Controle Indeling PLNomUL'!$E$359</definedName>
    <definedName name="_vena_ControleIndelingPLNomUL_B1_R_3_741036978380079109">'Controle Indeling PLNomUL'!$E$360</definedName>
    <definedName name="_vena_ControleIndelingPLNomUL_B1_R_3_741036978384273409">'Controle Indeling PLNomUL'!$E$361</definedName>
    <definedName name="_vena_ControleIndelingPLNomUL_B1_R_3_741036978384273411">'Controle Indeling PLNomUL'!$E$362</definedName>
    <definedName name="_vena_ControleIndelingPLNomUL_B1_R_3_741036978384273413">'Controle Indeling PLNomUL'!$E$363</definedName>
    <definedName name="_vena_ControleIndelingPLNomUL_B1_R_3_741036978388467713">'Controle Indeling PLNomUL'!$E$285</definedName>
    <definedName name="_vena_ControleIndelingPLNomUL_B1_R_3_741036978388467715">'Controle Indeling PLNomUL'!$E$286</definedName>
    <definedName name="_vena_ControleIndelingPLNomUL_B1_R_3_741036978392662016">'Controle Indeling PLNomUL'!$E$287</definedName>
    <definedName name="_vena_ControleIndelingPLNomUL_B1_R_3_745374605280018432">'Controle Indeling PLNomUL'!$E$99</definedName>
    <definedName name="_vena_ControleIndelingPLNomUL_B1_R_3_745375016732721152">'Controle Indeling PLNomUL'!$E$229</definedName>
    <definedName name="_vena_ControleIndelingPLNomUL_B1_R_3_745375106469593088">'Controle Indeling PLNomUL'!$E$356</definedName>
    <definedName name="_vena_ControleIndelingPLNomUL_B1_R_3_787067506366873601">'Controle Indeling PLNomUL'!$E$90</definedName>
    <definedName name="_vena_ControleIndelingPLNomUL_B1_R_3_787067506375262209">'Controle Indeling PLNomUL'!$E$91</definedName>
    <definedName name="_vena_ControleIndelingPLNomUL_B1_R_3_787067506396233730">'Controle Indeling PLNomUL'!$E$93</definedName>
    <definedName name="_vena_ControleIndelingPLNomUL_B1_R_3_787067506400428033">'Controle Indeling PLNomUL'!$E$94</definedName>
    <definedName name="_vena_ControleIndelingPLNomUL_B1_R_3_787067506425593862">'Controle Indeling PLNomUL'!$E$179</definedName>
    <definedName name="_vena_ControleIndelingPLNomUL_B1_R_3_787067506429788172">'Controle Indeling PLNomUL'!$E$200</definedName>
    <definedName name="_vena_ControleIndelingPLNomUL_B1_R_3_787067506442371085">'Controle Indeling PLNomUL'!$E$199</definedName>
    <definedName name="_vena_ControleIndelingPLNomUL_B1_R_3_787067506459148326">'Controle Indeling PLNomUL'!$E$267</definedName>
    <definedName name="_vena_ControleIndelingPLNomUL_B1_R_3_787067506467536902">'Controle Indeling PLNomUL'!$E$266</definedName>
    <definedName name="_vena_ControleIndelingPLNomUL_B1_R_3_787067506484314126">'Controle Indeling PLNomUL'!$E$305</definedName>
    <definedName name="_vena_ControleIndelingPLNomUL_B1_R_3_787067506509479942">'Controle Indeling PLNomUL'!$E$366</definedName>
    <definedName name="_vena_ControleIndelingPLNomUL_B1_R_3_787067506526257152">'Controle Indeling PLNomUL'!$E$365</definedName>
    <definedName name="_vena_ControleIndelingPLNomUL_B1_R_3_848292094858231812">'Controle Indeling PLNomUL'!$E$245</definedName>
    <definedName name="_vena_ControleIndelingPLNomUL_B1_R_3_947147459226107910">'Controle Indeling PLNomUL'!$E$138</definedName>
    <definedName name="_vena_ControleIndelingPLNomUL_B1_R_3_947147459238690817">'Controle Indeling PLNomUL'!$E$139</definedName>
    <definedName name="_vena_ControleIndelingPLNomUL_B1_R_3_947147459259662336">'Controle Indeling PLNomUL'!$E$96</definedName>
    <definedName name="_vena_ControleIndelingPLNomUL_B1_R_3_947147459272245252">'Controle Indeling PLNomUL'!$E$141</definedName>
    <definedName name="_vena_ControleIndelingPLNomUL_B1_R_3_947147459276439554">'Controle Indeling PLNomUL'!$E$142</definedName>
    <definedName name="_vena_ControleIndelingPLNomUL_B1_R_3_947147459284828166">'Controle Indeling PLNomUL'!$E$92</definedName>
    <definedName name="_vena_ControleIndelingPLNomUL_B1_R_3_947147459297411075">'Controle Indeling PLNomUL'!$E$140</definedName>
    <definedName name="_vena_ControleIndelingPLNomUL_B1_R_3_947147459318382595">'Controle Indeling PLNomUL'!$E$143</definedName>
    <definedName name="_vena_ControleIndelingPLNomUL_B1_R_3_947147459322576897">'Controle Indeling PLNomUL'!$E$144</definedName>
    <definedName name="_vena_ControleIndelingPLNomUL_B1_R_3_947147459377102859">'Controle Indeling PLNomUL'!$E$209</definedName>
    <definedName name="_vena_ControleIndelingPLNomUL_B1_R_3_947147459385491457">'Controle Indeling PLNomUL'!$E$210</definedName>
    <definedName name="_vena_ControleIndelingPLNomUL_B1_R_3_982737416803450901">'Controle Indeling PLNomUL'!$E$294</definedName>
    <definedName name="_vena_ControleIndelingPLNomUL_B1_R_3_982737416811839488">'Controle Indeling PLNomUL'!$E$293</definedName>
    <definedName name="_vena_ControleIndelingPLNomUL_B1_R_3_982737416862171137">'Controle Indeling PLNomUL'!$E$374</definedName>
    <definedName name="_vena_ControleIndelingPLNomUL_P_4_718931129058590721" comment="*">'Controle Indeling PLNomUL'!$D$7</definedName>
    <definedName name="_vena_ControleIndelingPLNomUL_P_5_718931142656917509" comment="*">'Controle Indeling PLNomUL'!$D$8</definedName>
    <definedName name="_vena_ControleIndelingPLNomUL_P_6_730565783391305729" comment="*">'Controle Indeling PLNomUL'!$D$9</definedName>
    <definedName name="_vena_ControleIndelingPLNomUL_P_7_720673044374355968" comment="*">'Controle Indeling PLNomUL'!$D$10</definedName>
    <definedName name="_vena_ControleIndelingQRT_B1_C_FV_18833718d1654aadbc8e26067c178bd5">'Controle Indeling QRT Niveau'!$F$16</definedName>
    <definedName name="_vena_ControleIndelingQRT_B1_C_FV_a29e5bcf45ca496da8833af34d35696d">'Controle Indeling QRT Niveau'!$F$17</definedName>
    <definedName name="_vena_ControleIndelingQRT_B1_R_3_1015700822930489354">'Controle Indeling QRT Niveau'!$E$335</definedName>
    <definedName name="_vena_ControleIndelingQRT_B1_R_3_1015700822968238094">'Controle Indeling QRT Niveau'!$E$291</definedName>
    <definedName name="_vena_ControleIndelingQRT_B1_R_3_1015700823039541261">'Controle Indeling QRT Niveau'!$E$161</definedName>
    <definedName name="_vena_ControleIndelingQRT_B1_R_3_1015700823043735555">'Controle Indeling QRT Niveau'!$E$252</definedName>
    <definedName name="_vena_ControleIndelingQRT_B1_R_3_1015700823056318487">'Controle Indeling QRT Niveau'!$E$253</definedName>
    <definedName name="_vena_ControleIndelingQRT_B1_R_3_1015700823068901376">'Controle Indeling QRT Niveau'!$E$361</definedName>
    <definedName name="_vena_ControleIndelingQRT_B1_R_3_1015700823081484316">'Controle Indeling QRT Niveau'!$E$362</definedName>
    <definedName name="_vena_ControleIndelingQRT_B1_R_3_1051217086871765008">'Controle Indeling QRT Niveau'!$E$311</definedName>
    <definedName name="_vena_ControleIndelingQRT_B1_R_3_718947653497389058">'Controle Indeling QRT Niveau'!$E$46</definedName>
    <definedName name="_vena_ControleIndelingQRT_B1_R_3_718947653505777666">'Controle Indeling QRT Niveau'!$E$199</definedName>
    <definedName name="_vena_ControleIndelingQRT_B1_R_3_718947653509971971">'Controle Indeling QRT Niveau'!$E$201</definedName>
    <definedName name="_vena_ControleIndelingQRT_B1_R_3_718949073356980224">'Controle Indeling QRT Niveau'!$E$20</definedName>
    <definedName name="_vena_ControleIndelingQRT_B1_R_3_718949073365368832">'Controle Indeling QRT Niveau'!$E$21</definedName>
    <definedName name="_vena_ControleIndelingQRT_B1_R_3_718949073369563137">'Controle Indeling QRT Niveau'!$E$22</definedName>
    <definedName name="_vena_ControleIndelingQRT_B1_R_3_718949073373757441">'Controle Indeling QRT Niveau'!$E$23</definedName>
    <definedName name="_vena_ControleIndelingQRT_B1_R_3_718949073373757443">'Controle Indeling QRT Niveau'!$E$24</definedName>
    <definedName name="_vena_ControleIndelingQRT_B1_R_3_718949073377951745">'Controle Indeling QRT Niveau'!$E$25</definedName>
    <definedName name="_vena_ControleIndelingQRT_B1_R_3_718949073382146049">'Controle Indeling QRT Niveau'!$E$26</definedName>
    <definedName name="_vena_ControleIndelingQRT_B1_R_3_718949073382146051">'Controle Indeling QRT Niveau'!$E$27</definedName>
    <definedName name="_vena_ControleIndelingQRT_B1_R_3_718949073386340353">'Controle Indeling QRT Niveau'!$E$28</definedName>
    <definedName name="_vena_ControleIndelingQRT_B1_R_3_718949073390534657">'Controle Indeling QRT Niveau'!$E$29</definedName>
    <definedName name="_vena_ControleIndelingQRT_B1_R_3_718949073394728961">'Controle Indeling QRT Niveau'!$E$30</definedName>
    <definedName name="_vena_ControleIndelingQRT_B1_R_3_718949073394728963">'Controle Indeling QRT Niveau'!$E$31</definedName>
    <definedName name="_vena_ControleIndelingQRT_B1_R_3_718949073398923265">'Controle Indeling QRT Niveau'!$E$32</definedName>
    <definedName name="_vena_ControleIndelingQRT_B1_R_3_718949073403117569">'Controle Indeling QRT Niveau'!$E$293</definedName>
    <definedName name="_vena_ControleIndelingQRT_B1_R_3_718949073407311872">'Controle Indeling QRT Niveau'!$E$294</definedName>
    <definedName name="_vena_ControleIndelingQRT_B1_R_3_718949073411506177">'Controle Indeling QRT Niveau'!$E$296</definedName>
    <definedName name="_vena_ControleIndelingQRT_B1_R_3_718949073415700481">'Controle Indeling QRT Niveau'!$E$33</definedName>
    <definedName name="_vena_ControleIndelingQRT_B1_R_3_718949073415700483">'Controle Indeling QRT Niveau'!$E$34</definedName>
    <definedName name="_vena_ControleIndelingQRT_B1_R_3_718949073419894785">'Controle Indeling QRT Niveau'!$E$35</definedName>
    <definedName name="_vena_ControleIndelingQRT_B1_R_3_718949073424089089">'Controle Indeling QRT Niveau'!$E$36</definedName>
    <definedName name="_vena_ControleIndelingQRT_B1_R_3_718949073424089091">'Controle Indeling QRT Niveau'!$E$37</definedName>
    <definedName name="_vena_ControleIndelingQRT_B1_R_3_718949073428283393">'Controle Indeling QRT Niveau'!$E$38</definedName>
    <definedName name="_vena_ControleIndelingQRT_B1_R_3_718949073432477697">'Controle Indeling QRT Niveau'!$E$39</definedName>
    <definedName name="_vena_ControleIndelingQRT_B1_R_3_718949073432477699">'Controle Indeling QRT Niveau'!$E$40</definedName>
    <definedName name="_vena_ControleIndelingQRT_B1_R_3_718949073436672001">'Controle Indeling QRT Niveau'!$E$41</definedName>
    <definedName name="_vena_ControleIndelingQRT_B1_R_3_718949073440866305">'Controle Indeling QRT Niveau'!$E$42</definedName>
    <definedName name="_vena_ControleIndelingQRT_B1_R_3_718949073440866307">'Controle Indeling QRT Niveau'!$E$43</definedName>
    <definedName name="_vena_ControleIndelingQRT_B1_R_3_718949073445060609">'Controle Indeling QRT Niveau'!$E$44</definedName>
    <definedName name="_vena_ControleIndelingQRT_B1_R_3_718949073449254913">'Controle Indeling QRT Niveau'!$E$45</definedName>
    <definedName name="_vena_ControleIndelingQRT_B1_R_3_718949073453449218">'Controle Indeling QRT Niveau'!$E$48</definedName>
    <definedName name="_vena_ControleIndelingQRT_B1_R_3_718949073457643521">'Controle Indeling QRT Niveau'!$E$49</definedName>
    <definedName name="_vena_ControleIndelingQRT_B1_R_3_718949073457643523">'Controle Indeling QRT Niveau'!$E$50</definedName>
    <definedName name="_vena_ControleIndelingQRT_B1_R_3_718949073461837825">'Controle Indeling QRT Niveau'!$E$51</definedName>
    <definedName name="_vena_ControleIndelingQRT_B1_R_3_718949073466032129">'Controle Indeling QRT Niveau'!$E$52</definedName>
    <definedName name="_vena_ControleIndelingQRT_B1_R_3_718949073466032131">'Controle Indeling QRT Niveau'!$E$53</definedName>
    <definedName name="_vena_ControleIndelingQRT_B1_R_3_718949073470226433">'Controle Indeling QRT Niveau'!$E$54</definedName>
    <definedName name="_vena_ControleIndelingQRT_B1_R_3_718949073474420737">'Controle Indeling QRT Niveau'!$E$55</definedName>
    <definedName name="_vena_ControleIndelingQRT_B1_R_3_718949073478615041">'Controle Indeling QRT Niveau'!$E$56</definedName>
    <definedName name="_vena_ControleIndelingQRT_B1_R_3_718949073478615043">'Controle Indeling QRT Niveau'!$E$57</definedName>
    <definedName name="_vena_ControleIndelingQRT_B1_R_3_718949073482809345">'Controle Indeling QRT Niveau'!$E$58</definedName>
    <definedName name="_vena_ControleIndelingQRT_B1_R_3_718949073487003649">'Controle Indeling QRT Niveau'!$E$59</definedName>
    <definedName name="_vena_ControleIndelingQRT_B1_R_3_718949073487003651">'Controle Indeling QRT Niveau'!$E$60</definedName>
    <definedName name="_vena_ControleIndelingQRT_B1_R_3_718949073491197953">'Controle Indeling QRT Niveau'!$E$61</definedName>
    <definedName name="_vena_ControleIndelingQRT_B1_R_3_718949073499586560">'Controle Indeling QRT Niveau'!$E$62</definedName>
    <definedName name="_vena_ControleIndelingQRT_B1_R_3_718949073499586562">'Controle Indeling QRT Niveau'!$E$63</definedName>
    <definedName name="_vena_ControleIndelingQRT_B1_R_3_718949073503780865">'Controle Indeling QRT Niveau'!$E$64</definedName>
    <definedName name="_vena_ControleIndelingQRT_B1_R_3_718949073507975169">'Controle Indeling QRT Niveau'!$E$65</definedName>
    <definedName name="_vena_ControleIndelingQRT_B1_R_3_718949073507975171">'Controle Indeling QRT Niveau'!$E$66</definedName>
    <definedName name="_vena_ControleIndelingQRT_B1_R_3_718949073512169473">'Controle Indeling QRT Niveau'!$E$67</definedName>
    <definedName name="_vena_ControleIndelingQRT_B1_R_3_718949073516363777">'Controle Indeling QRT Niveau'!$E$69</definedName>
    <definedName name="_vena_ControleIndelingQRT_B1_R_3_718949073520558081">'Controle Indeling QRT Niveau'!$E$298</definedName>
    <definedName name="_vena_ControleIndelingQRT_B1_R_3_718949073520558083">'Controle Indeling QRT Niveau'!$E$70</definedName>
    <definedName name="_vena_ControleIndelingQRT_B1_R_3_718949073524752385">'Controle Indeling QRT Niveau'!$E$71</definedName>
    <definedName name="_vena_ControleIndelingQRT_B1_R_3_718949073528946689">'Controle Indeling QRT Niveau'!$E$72</definedName>
    <definedName name="_vena_ControleIndelingQRT_B1_R_3_718949073528946691">'Controle Indeling QRT Niveau'!$E$73</definedName>
    <definedName name="_vena_ControleIndelingQRT_B1_R_3_718949073533140993">'Controle Indeling QRT Niveau'!$E$74</definedName>
    <definedName name="_vena_ControleIndelingQRT_B1_R_3_718949073537335297">'Controle Indeling QRT Niveau'!$E$75</definedName>
    <definedName name="_vena_ControleIndelingQRT_B1_R_3_718949073537335299">'Controle Indeling QRT Niveau'!$E$76</definedName>
    <definedName name="_vena_ControleIndelingQRT_B1_R_3_718949073541529601">'Controle Indeling QRT Niveau'!$E$77</definedName>
    <definedName name="_vena_ControleIndelingQRT_B1_R_3_718949073545723905">'Controle Indeling QRT Niveau'!$E$299</definedName>
    <definedName name="_vena_ControleIndelingQRT_B1_R_3_718949073549918209">'Controle Indeling QRT Niveau'!$E$78</definedName>
    <definedName name="_vena_ControleIndelingQRT_B1_R_3_718949073558306816">'Controle Indeling QRT Niveau'!$E$79</definedName>
    <definedName name="_vena_ControleIndelingQRT_B1_R_3_718949073558306818">'Controle Indeling QRT Niveau'!$E$222</definedName>
    <definedName name="_vena_ControleIndelingQRT_B1_R_3_718949073566695424">'Controle Indeling QRT Niveau'!$E$223</definedName>
    <definedName name="_vena_ControleIndelingQRT_B1_R_3_718949073566695426">'Controle Indeling QRT Niveau'!$E$224</definedName>
    <definedName name="_vena_ControleIndelingQRT_B1_R_3_718949073575084032">'Controle Indeling QRT Niveau'!$E$225</definedName>
    <definedName name="_vena_ControleIndelingQRT_B1_R_3_718949073575084034">'Controle Indeling QRT Niveau'!$E$226</definedName>
    <definedName name="_vena_ControleIndelingQRT_B1_R_3_718949073579278337">'Controle Indeling QRT Niveau'!$E$227</definedName>
    <definedName name="_vena_ControleIndelingQRT_B1_R_3_718949073583472641">'Controle Indeling QRT Niveau'!$E$228</definedName>
    <definedName name="_vena_ControleIndelingQRT_B1_R_3_718949073583472643">'Controle Indeling QRT Niveau'!$E$229</definedName>
    <definedName name="_vena_ControleIndelingQRT_B1_R_3_718949073591861248">'Controle Indeling QRT Niveau'!$E$230</definedName>
    <definedName name="_vena_ControleIndelingQRT_B1_R_3_718949073596055552">'Controle Indeling QRT Niveau'!$E$309</definedName>
    <definedName name="_vena_ControleIndelingQRT_B1_R_3_718949073600249857">'Controle Indeling QRT Niveau'!$E$92</definedName>
    <definedName name="_vena_ControleIndelingQRT_B1_R_3_718949073608638464">'Controle Indeling QRT Niveau'!$E$93</definedName>
    <definedName name="_vena_ControleIndelingQRT_B1_R_3_718949073608638466">'Controle Indeling QRT Niveau'!$E$94</definedName>
    <definedName name="_vena_ControleIndelingQRT_B1_R_3_718949073612832769">'Controle Indeling QRT Niveau'!$E$95</definedName>
    <definedName name="_vena_ControleIndelingQRT_B1_R_3_718949073617027073">'Controle Indeling QRT Niveau'!$E$96</definedName>
    <definedName name="_vena_ControleIndelingQRT_B1_R_3_718949073621221376">'Controle Indeling QRT Niveau'!$E$310</definedName>
    <definedName name="_vena_ControleIndelingQRT_B1_R_3_718949073625415681">'Controle Indeling QRT Niveau'!$E$97</definedName>
    <definedName name="_vena_ControleIndelingQRT_B1_R_3_718949073629609985">'Controle Indeling QRT Niveau'!$E$98</definedName>
    <definedName name="_vena_ControleIndelingQRT_B1_R_3_718949073633804289">'Controle Indeling QRT Niveau'!$E$312</definedName>
    <definedName name="_vena_ControleIndelingQRT_B1_R_3_718949073637998593">'Controle Indeling QRT Niveau'!$E$313</definedName>
    <definedName name="_vena_ControleIndelingQRT_B1_R_3_718949073637998595">'Controle Indeling QRT Niveau'!$E$314</definedName>
    <definedName name="_vena_ControleIndelingQRT_B1_R_3_718949073642192897">'Controle Indeling QRT Niveau'!$E$99</definedName>
    <definedName name="_vena_ControleIndelingQRT_B1_R_3_718949073646387201">'Controle Indeling QRT Niveau'!$E$100</definedName>
    <definedName name="_vena_ControleIndelingQRT_B1_R_3_718949073650581505">'Controle Indeling QRT Niveau'!$E$101</definedName>
    <definedName name="_vena_ControleIndelingQRT_B1_R_3_718949073654775809">'Controle Indeling QRT Niveau'!$E$315</definedName>
    <definedName name="_vena_ControleIndelingQRT_B1_R_3_718949073654775811">'Controle Indeling QRT Niveau'!$E$316</definedName>
    <definedName name="_vena_ControleIndelingQRT_B1_R_3_718949073658970113">'Controle Indeling QRT Niveau'!$E$317</definedName>
    <definedName name="_vena_ControleIndelingQRT_B1_R_3_718949073663164417">'Controle Indeling QRT Niveau'!$E$318</definedName>
    <definedName name="_vena_ControleIndelingQRT_B1_R_3_718949073667358721">'Controle Indeling QRT Niveau'!$E$319</definedName>
    <definedName name="_vena_ControleIndelingQRT_B1_R_3_718949073667358723">'Controle Indeling QRT Niveau'!$E$320</definedName>
    <definedName name="_vena_ControleIndelingQRT_B1_R_3_718949073671553025">'Controle Indeling QRT Niveau'!$E$102</definedName>
    <definedName name="_vena_ControleIndelingQRT_B1_R_3_718949073675747329">'Controle Indeling QRT Niveau'!$E$321</definedName>
    <definedName name="_vena_ControleIndelingQRT_B1_R_3_718949073679941633">'Controle Indeling QRT Niveau'!$E$103</definedName>
    <definedName name="_vena_ControleIndelingQRT_B1_R_3_718949073684135937">'Controle Indeling QRT Niveau'!$E$104</definedName>
    <definedName name="_vena_ControleIndelingQRT_B1_R_3_718949073684135939">'Controle Indeling QRT Niveau'!$E$322</definedName>
    <definedName name="_vena_ControleIndelingQRT_B1_R_3_718949073688330241">'Controle Indeling QRT Niveau'!$E$323</definedName>
    <definedName name="_vena_ControleIndelingQRT_B1_R_3_718949073692524545">'Controle Indeling QRT Niveau'!$E$105</definedName>
    <definedName name="_vena_ControleIndelingQRT_B1_R_3_718949073696718849">'Controle Indeling QRT Niveau'!$E$106</definedName>
    <definedName name="_vena_ControleIndelingQRT_B1_R_3_718949073696718851">'Controle Indeling QRT Niveau'!$E$107</definedName>
    <definedName name="_vena_ControleIndelingQRT_B1_R_3_718949073700913153">'Controle Indeling QRT Niveau'!$E$108</definedName>
    <definedName name="_vena_ControleIndelingQRT_B1_R_3_718949073705107457">'Controle Indeling QRT Niveau'!$E$109</definedName>
    <definedName name="_vena_ControleIndelingQRT_B1_R_3_718949073705107459">'Controle Indeling QRT Niveau'!$E$110</definedName>
    <definedName name="_vena_ControleIndelingQRT_B1_R_3_718949073709301761">'Controle Indeling QRT Niveau'!$E$324</definedName>
    <definedName name="_vena_ControleIndelingQRT_B1_R_3_718949073713496065">'Controle Indeling QRT Niveau'!$E$111</definedName>
    <definedName name="_vena_ControleIndelingQRT_B1_R_3_718949073713496067">'Controle Indeling QRT Niveau'!$E$112</definedName>
    <definedName name="_vena_ControleIndelingQRT_B1_R_3_718949073717690369">'Controle Indeling QRT Niveau'!$E$113</definedName>
    <definedName name="_vena_ControleIndelingQRT_B1_R_3_718949073721884673">'Controle Indeling QRT Niveau'!$E$114</definedName>
    <definedName name="_vena_ControleIndelingQRT_B1_R_3_718949073726078977">'Controle Indeling QRT Niveau'!$E$325</definedName>
    <definedName name="_vena_ControleIndelingQRT_B1_R_3_718949073726078979">'Controle Indeling QRT Niveau'!$E$115</definedName>
    <definedName name="_vena_ControleIndelingQRT_B1_R_3_718949073730273281">'Controle Indeling QRT Niveau'!$E$116</definedName>
    <definedName name="_vena_ControleIndelingQRT_B1_R_3_718949073734467585">'Controle Indeling QRT Niveau'!$E$326</definedName>
    <definedName name="_vena_ControleIndelingQRT_B1_R_3_718949073734467587">'Controle Indeling QRT Niveau'!$E$327</definedName>
    <definedName name="_vena_ControleIndelingQRT_B1_R_3_718949073738661889">'Controle Indeling QRT Niveau'!$E$238</definedName>
    <definedName name="_vena_ControleIndelingQRT_B1_R_3_718949073742856193">'Controle Indeling QRT Niveau'!$E$328</definedName>
    <definedName name="_vena_ControleIndelingQRT_B1_R_3_718949073747050497">'Controle Indeling QRT Niveau'!$E$329</definedName>
    <definedName name="_vena_ControleIndelingQRT_B1_R_3_718949073751244801">'Controle Indeling QRT Niveau'!$E$117</definedName>
    <definedName name="_vena_ControleIndelingQRT_B1_R_3_718949073759633408">'Controle Indeling QRT Niveau'!$E$239</definedName>
    <definedName name="_vena_ControleIndelingQRT_B1_R_3_718949073763827713">'Controle Indeling QRT Niveau'!$E$118</definedName>
    <definedName name="_vena_ControleIndelingQRT_B1_R_3_718949073768022016">'Controle Indeling QRT Niveau'!$E$330</definedName>
    <definedName name="_vena_ControleIndelingQRT_B1_R_3_718949073772216321">'Controle Indeling QRT Niveau'!$E$240</definedName>
    <definedName name="_vena_ControleIndelingQRT_B1_R_3_718949073776410624">'Controle Indeling QRT Niveau'!$E$119</definedName>
    <definedName name="_vena_ControleIndelingQRT_B1_R_3_718949073780604928">'Controle Indeling QRT Niveau'!$E$120</definedName>
    <definedName name="_vena_ControleIndelingQRT_B1_R_3_718949073784799233">'Controle Indeling QRT Niveau'!$E$121</definedName>
    <definedName name="_vena_ControleIndelingQRT_B1_R_3_718949073788993536">'Controle Indeling QRT Niveau'!$E$122</definedName>
    <definedName name="_vena_ControleIndelingQRT_B1_R_3_718949073788993538">'Controle Indeling QRT Niveau'!$E$331</definedName>
    <definedName name="_vena_ControleIndelingQRT_B1_R_3_718949073793187841">'Controle Indeling QRT Niveau'!$E$241</definedName>
    <definedName name="_vena_ControleIndelingQRT_B1_R_3_718949073797382145">'Controle Indeling QRT Niveau'!$E$242</definedName>
    <definedName name="_vena_ControleIndelingQRT_B1_R_3_718949073801576449">'Controle Indeling QRT Niveau'!$E$243</definedName>
    <definedName name="_vena_ControleIndelingQRT_B1_R_3_718949073805770753">'Controle Indeling QRT Niveau'!$E$126</definedName>
    <definedName name="_vena_ControleIndelingQRT_B1_R_3_718949073809965057">'Controle Indeling QRT Niveau'!$E$127</definedName>
    <definedName name="_vena_ControleIndelingQRT_B1_R_3_718949073809965059">'Controle Indeling QRT Niveau'!$E$336</definedName>
    <definedName name="_vena_ControleIndelingQRT_B1_R_3_718949073818353664">'Controle Indeling QRT Niveau'!$E$129</definedName>
    <definedName name="_vena_ControleIndelingQRT_B1_R_3_718949073822547969">'Controle Indeling QRT Niveau'!$E$337</definedName>
    <definedName name="_vena_ControleIndelingQRT_B1_R_3_718949073826742273">'Controle Indeling QRT Niveau'!$E$338</definedName>
    <definedName name="_vena_ControleIndelingQRT_B1_R_3_718949073830936577">'Controle Indeling QRT Niveau'!$E$339</definedName>
    <definedName name="_vena_ControleIndelingQRT_B1_R_3_718949073835130881">'Controle Indeling QRT Niveau'!$E$245</definedName>
    <definedName name="_vena_ControleIndelingQRT_B1_R_3_718949073839325185">'Controle Indeling QRT Niveau'!$E$340</definedName>
    <definedName name="_vena_ControleIndelingQRT_B1_R_3_718949073839325187">'Controle Indeling QRT Niveau'!$E$130</definedName>
    <definedName name="_vena_ControleIndelingQRT_B1_R_3_718949073843519489">'Controle Indeling QRT Niveau'!$E$131</definedName>
    <definedName name="_vena_ControleIndelingQRT_B1_R_3_718949073847713793">'Controle Indeling QRT Niveau'!$E$132</definedName>
    <definedName name="_vena_ControleIndelingQRT_B1_R_3_718949073851908096">'Controle Indeling QRT Niveau'!$E$133</definedName>
    <definedName name="_vena_ControleIndelingQRT_B1_R_3_718949073856102401">'Controle Indeling QRT Niveau'!$E$341</definedName>
    <definedName name="_vena_ControleIndelingQRT_B1_R_3_718949073860296705">'Controle Indeling QRT Niveau'!$E$342</definedName>
    <definedName name="_vena_ControleIndelingQRT_B1_R_3_718949073860296707">'Controle Indeling QRT Niveau'!$E$343</definedName>
    <definedName name="_vena_ControleIndelingQRT_B1_R_3_718949073864491009">'Controle Indeling QRT Niveau'!$E$134</definedName>
    <definedName name="_vena_ControleIndelingQRT_B1_R_3_718949073868685313">'Controle Indeling QRT Niveau'!$E$135</definedName>
    <definedName name="_vena_ControleIndelingQRT_B1_R_3_718949073868685315">'Controle Indeling QRT Niveau'!$E$136</definedName>
    <definedName name="_vena_ControleIndelingQRT_B1_R_3_718949073872879617">'Controle Indeling QRT Niveau'!$E$137</definedName>
    <definedName name="_vena_ControleIndelingQRT_B1_R_3_718949073877073921">'Controle Indeling QRT Niveau'!$E$138</definedName>
    <definedName name="_vena_ControleIndelingQRT_B1_R_3_718949073881268225">'Controle Indeling QRT Niveau'!$E$344</definedName>
    <definedName name="_vena_ControleIndelingQRT_B1_R_3_718949073881268227">'Controle Indeling QRT Niveau'!$E$139</definedName>
    <definedName name="_vena_ControleIndelingQRT_B1_R_3_718949073885462529">'Controle Indeling QRT Niveau'!$E$140</definedName>
    <definedName name="_vena_ControleIndelingQRT_B1_R_3_718949073889656833">'Controle Indeling QRT Niveau'!$E$141</definedName>
    <definedName name="_vena_ControleIndelingQRT_B1_R_3_718949073893851137">'Controle Indeling QRT Niveau'!$E$345</definedName>
    <definedName name="_vena_ControleIndelingQRT_B1_R_3_718949073893851139">'Controle Indeling QRT Niveau'!$E$346</definedName>
    <definedName name="_vena_ControleIndelingQRT_B1_R_3_718949073898045441">'Controle Indeling QRT Niveau'!$E$142</definedName>
    <definedName name="_vena_ControleIndelingQRT_B1_R_3_718949073902239745">'Controle Indeling QRT Niveau'!$E$143</definedName>
    <definedName name="_vena_ControleIndelingQRT_B1_R_3_718949073902239747">'Controle Indeling QRT Niveau'!$E$144</definedName>
    <definedName name="_vena_ControleIndelingQRT_B1_R_3_718949073906434049">'Controle Indeling QRT Niveau'!$E$145</definedName>
    <definedName name="_vena_ControleIndelingQRT_B1_R_3_718949073910628353">'Controle Indeling QRT Niveau'!$E$146</definedName>
    <definedName name="_vena_ControleIndelingQRT_B1_R_3_718949073914822657">'Controle Indeling QRT Niveau'!$E$347</definedName>
    <definedName name="_vena_ControleIndelingQRT_B1_R_3_718949073914822659">'Controle Indeling QRT Niveau'!$E$348</definedName>
    <definedName name="_vena_ControleIndelingQRT_B1_R_3_718949073919016961">'Controle Indeling QRT Niveau'!$E$349</definedName>
    <definedName name="_vena_ControleIndelingQRT_B1_R_3_718949073923211265">'Controle Indeling QRT Niveau'!$E$350</definedName>
    <definedName name="_vena_ControleIndelingQRT_B1_R_3_718949073923211267">'Controle Indeling QRT Niveau'!$E$351</definedName>
    <definedName name="_vena_ControleIndelingQRT_B1_R_3_718949073927405569">'Controle Indeling QRT Niveau'!$E$352</definedName>
    <definedName name="_vena_ControleIndelingQRT_B1_R_3_718949073931599873">'Controle Indeling QRT Niveau'!$E$353</definedName>
    <definedName name="_vena_ControleIndelingQRT_B1_R_3_718949073935794176">'Controle Indeling QRT Niveau'!$E$147</definedName>
    <definedName name="_vena_ControleIndelingQRT_B1_R_3_718949073935794178">'Controle Indeling QRT Niveau'!$E$148</definedName>
    <definedName name="_vena_ControleIndelingQRT_B1_R_3_718949073939988481">'Controle Indeling QRT Niveau'!$E$153</definedName>
    <definedName name="_vena_ControleIndelingQRT_B1_R_3_718949073944182785">'Controle Indeling QRT Niveau'!$E$154</definedName>
    <definedName name="_vena_ControleIndelingQRT_B1_R_3_718949073944182787">'Controle Indeling QRT Niveau'!$E$357</definedName>
    <definedName name="_vena_ControleIndelingQRT_B1_R_3_718949073948377089">'Controle Indeling QRT Niveau'!$E$155</definedName>
    <definedName name="_vena_ControleIndelingQRT_B1_R_3_718949073952571393">'Controle Indeling QRT Niveau'!$E$358</definedName>
    <definedName name="_vena_ControleIndelingQRT_B1_R_3_718949073952571395">'Controle Indeling QRT Niveau'!$E$246</definedName>
    <definedName name="_vena_ControleIndelingQRT_B1_R_3_718949073956765697">'Controle Indeling QRT Niveau'!$E$156</definedName>
    <definedName name="_vena_ControleIndelingQRT_B1_R_3_718949073960960001">'Controle Indeling QRT Niveau'!$E$157</definedName>
    <definedName name="_vena_ControleIndelingQRT_B1_R_3_718949073965154304">'Controle Indeling QRT Niveau'!$E$158</definedName>
    <definedName name="_vena_ControleIndelingQRT_B1_R_3_718949073965154306">'Controle Indeling QRT Niveau'!$E$159</definedName>
    <definedName name="_vena_ControleIndelingQRT_B1_R_3_718949073969348609">'Controle Indeling QRT Niveau'!$E$359</definedName>
    <definedName name="_vena_ControleIndelingQRT_B1_R_3_718949073973542913">'Controle Indeling QRT Niveau'!$E$360</definedName>
    <definedName name="_vena_ControleIndelingQRT_B1_R_3_718949073973542915">'Controle Indeling QRT Niveau'!$E$160</definedName>
    <definedName name="_vena_ControleIndelingQRT_B1_R_3_718949073977737217">'Controle Indeling QRT Niveau'!$E$249</definedName>
    <definedName name="_vena_ControleIndelingQRT_B1_R_3_718949073981931521">'Controle Indeling QRT Niveau'!$E$250</definedName>
    <definedName name="_vena_ControleIndelingQRT_B1_R_3_718949073986125824">'Controle Indeling QRT Niveau'!$E$251</definedName>
    <definedName name="_vena_ControleIndelingQRT_B1_R_3_718949073990320129">'Controle Indeling QRT Niveau'!$E$363</definedName>
    <definedName name="_vena_ControleIndelingQRT_B1_R_3_718949073994514432">'Controle Indeling QRT Niveau'!$E$364</definedName>
    <definedName name="_vena_ControleIndelingQRT_B1_R_3_718949073998708737">'Controle Indeling QRT Niveau'!$E$254</definedName>
    <definedName name="_vena_ControleIndelingQRT_B1_R_3_718949073998708739">'Controle Indeling QRT Niveau'!$E$255</definedName>
    <definedName name="_vena_ControleIndelingQRT_B1_R_3_718949074002903041">'Controle Indeling QRT Niveau'!$E$256</definedName>
    <definedName name="_vena_ControleIndelingQRT_B1_R_3_718949074007097345">'Controle Indeling QRT Niveau'!$E$365</definedName>
    <definedName name="_vena_ControleIndelingQRT_B1_R_3_718949074011291649">'Controle Indeling QRT Niveau'!$E$257</definedName>
    <definedName name="_vena_ControleIndelingQRT_B1_R_3_718949074011291651">'Controle Indeling QRT Niveau'!$E$366</definedName>
    <definedName name="_vena_ControleIndelingQRT_B1_R_3_718949074015485953">'Controle Indeling QRT Niveau'!$E$258</definedName>
    <definedName name="_vena_ControleIndelingQRT_B1_R_3_718949074019680257">'Controle Indeling QRT Niveau'!$E$259</definedName>
    <definedName name="_vena_ControleIndelingQRT_B1_R_3_718949074019680259">'Controle Indeling QRT Niveau'!$E$260</definedName>
    <definedName name="_vena_ControleIndelingQRT_B1_R_3_718949074023874561">'Controle Indeling QRT Niveau'!$E$261</definedName>
    <definedName name="_vena_ControleIndelingQRT_B1_R_3_718949074028068865">'Controle Indeling QRT Niveau'!$E$262</definedName>
    <definedName name="_vena_ControleIndelingQRT_B1_R_3_718949074028068867">'Controle Indeling QRT Niveau'!$E$263</definedName>
    <definedName name="_vena_ControleIndelingQRT_B1_R_3_718949074032263169">'Controle Indeling QRT Niveau'!$E$264</definedName>
    <definedName name="_vena_ControleIndelingQRT_B1_R_3_718949074036457473">'Controle Indeling QRT Niveau'!$E$265</definedName>
    <definedName name="_vena_ControleIndelingQRT_B1_R_3_718949074036457475">'Controle Indeling QRT Niveau'!$E$266</definedName>
    <definedName name="_vena_ControleIndelingQRT_B1_R_3_718949074040651777">'Controle Indeling QRT Niveau'!$E$267</definedName>
    <definedName name="_vena_ControleIndelingQRT_B1_R_3_718949074044846081">'Controle Indeling QRT Niveau'!$E$268</definedName>
    <definedName name="_vena_ControleIndelingQRT_B1_R_3_718949074049040385">'Controle Indeling QRT Niveau'!$E$269</definedName>
    <definedName name="_vena_ControleIndelingQRT_B1_R_3_718949074049040387">'Controle Indeling QRT Niveau'!$E$270</definedName>
    <definedName name="_vena_ControleIndelingQRT_B1_R_3_718949074053234689">'Controle Indeling QRT Niveau'!$E$271</definedName>
    <definedName name="_vena_ControleIndelingQRT_B1_R_3_718949074057428993">'Controle Indeling QRT Niveau'!$E$272</definedName>
    <definedName name="_vena_ControleIndelingQRT_B1_R_3_718949074057428995">'Controle Indeling QRT Niveau'!$E$273</definedName>
    <definedName name="_vena_ControleIndelingQRT_B1_R_3_718949074061623297">'Controle Indeling QRT Niveau'!$E$367</definedName>
    <definedName name="_vena_ControleIndelingQRT_B1_R_3_718949074065817601">'Controle Indeling QRT Niveau'!$E$368</definedName>
    <definedName name="_vena_ControleIndelingQRT_B1_R_3_718949074065817603">'Controle Indeling QRT Niveau'!$E$274</definedName>
    <definedName name="_vena_ControleIndelingQRT_B1_R_3_718949074070011905">'Controle Indeling QRT Niveau'!$E$277</definedName>
    <definedName name="_vena_ControleIndelingQRT_B1_R_3_718949074074206209">'Controle Indeling QRT Niveau'!$E$278</definedName>
    <definedName name="_vena_ControleIndelingQRT_B1_R_3_718949074078400513">'Controle Indeling QRT Niveau'!$E$279</definedName>
    <definedName name="_vena_ControleIndelingQRT_B1_R_3_718949074078400515">'Controle Indeling QRT Niveau'!$E$280</definedName>
    <definedName name="_vena_ControleIndelingQRT_B1_R_3_718949074082594817">'Controle Indeling QRT Niveau'!$E$281</definedName>
    <definedName name="_vena_ControleIndelingQRT_B1_R_3_718949074086789121">'Controle Indeling QRT Niveau'!$E$282</definedName>
    <definedName name="_vena_ControleIndelingQRT_B1_R_3_718949074086789123">'Controle Indeling QRT Niveau'!$E$283</definedName>
    <definedName name="_vena_ControleIndelingQRT_B1_R_3_718949074090983425">'Controle Indeling QRT Niveau'!$E$284</definedName>
    <definedName name="_vena_ControleIndelingQRT_B1_R_3_718949074095177729">'Controle Indeling QRT Niveau'!$E$287</definedName>
    <definedName name="_vena_ControleIndelingQRT_B1_R_3_718949074095177731">'Controle Indeling QRT Niveau'!$E$369</definedName>
    <definedName name="_vena_ControleIndelingQRT_B1_R_3_718949074099372033">'Controle Indeling QRT Niveau'!$E$372</definedName>
    <definedName name="_vena_ControleIndelingQRT_B1_R_3_718949074103566337">'Controle Indeling QRT Niveau'!$E$289</definedName>
    <definedName name="_vena_ControleIndelingQRT_B1_R_3_718949074103566339">'Controle Indeling QRT Niveau'!$E$373</definedName>
    <definedName name="_vena_ControleIndelingQRT_B1_R_3_718949074111954944">'Controle Indeling QRT Niveau'!$E$162</definedName>
    <definedName name="_vena_ControleIndelingQRT_B1_R_3_718949074111954946">'Controle Indeling QRT Niveau'!$E$163</definedName>
    <definedName name="_vena_ControleIndelingQRT_B1_R_3_718949074116149249">'Controle Indeling QRT Niveau'!$E$164</definedName>
    <definedName name="_vena_ControleIndelingQRT_B1_R_3_718949074120343553">'Controle Indeling QRT Niveau'!$E$165</definedName>
    <definedName name="_vena_ControleIndelingQRT_B1_R_3_718949074124537857">'Controle Indeling QRT Niveau'!$E$166</definedName>
    <definedName name="_vena_ControleIndelingQRT_B1_R_3_718949074124537859">'Controle Indeling QRT Niveau'!$E$167</definedName>
    <definedName name="_vena_ControleIndelingQRT_B1_R_3_718949074128732161">'Controle Indeling QRT Niveau'!$E$168</definedName>
    <definedName name="_vena_ControleIndelingQRT_B1_R_3_718949074132926465">'Controle Indeling QRT Niveau'!$E$169</definedName>
    <definedName name="_vena_ControleIndelingQRT_B1_R_3_718949074132926467">'Controle Indeling QRT Niveau'!$E$171</definedName>
    <definedName name="_vena_ControleIndelingQRT_B1_R_3_718949074137120769">'Controle Indeling QRT Niveau'!$E$172</definedName>
    <definedName name="_vena_ControleIndelingQRT_B1_R_3_718949074141315073">'Controle Indeling QRT Niveau'!$E$173</definedName>
    <definedName name="_vena_ControleIndelingQRT_B1_R_3_718949074141315075">'Controle Indeling QRT Niveau'!$E$174</definedName>
    <definedName name="_vena_ControleIndelingQRT_B1_R_3_718949074145509377">'Controle Indeling QRT Niveau'!$E$175</definedName>
    <definedName name="_vena_ControleIndelingQRT_B1_R_3_718949074149703681">'Controle Indeling QRT Niveau'!$E$176</definedName>
    <definedName name="_vena_ControleIndelingQRT_B1_R_3_718949074153897985">'Controle Indeling QRT Niveau'!$E$177</definedName>
    <definedName name="_vena_ControleIndelingQRT_B1_R_3_718949074153897987">'Controle Indeling QRT Niveau'!$E$178</definedName>
    <definedName name="_vena_ControleIndelingQRT_B1_R_3_718949074158092289">'Controle Indeling QRT Niveau'!$E$179</definedName>
    <definedName name="_vena_ControleIndelingQRT_B1_R_3_718949074162286593">'Controle Indeling QRT Niveau'!$E$180</definedName>
    <definedName name="_vena_ControleIndelingQRT_B1_R_3_718949074162286595">'Controle Indeling QRT Niveau'!$E$181</definedName>
    <definedName name="_vena_ControleIndelingQRT_B1_R_3_718949074166480897">'Controle Indeling QRT Niveau'!$E$182</definedName>
    <definedName name="_vena_ControleIndelingQRT_B1_R_3_718949074170675201">'Controle Indeling QRT Niveau'!$E$183</definedName>
    <definedName name="_vena_ControleIndelingQRT_B1_R_3_718949074170675203">'Controle Indeling QRT Niveau'!$E$184</definedName>
    <definedName name="_vena_ControleIndelingQRT_B1_R_3_718949074174869505">'Controle Indeling QRT Niveau'!$E$185</definedName>
    <definedName name="_vena_ControleIndelingQRT_B1_R_3_718949074179063809">'Controle Indeling QRT Niveau'!$E$186</definedName>
    <definedName name="_vena_ControleIndelingQRT_B1_R_3_718949074179063811">'Controle Indeling QRT Niveau'!$E$187</definedName>
    <definedName name="_vena_ControleIndelingQRT_B1_R_3_718949074183258113">'Controle Indeling QRT Niveau'!$E$188</definedName>
    <definedName name="_vena_ControleIndelingQRT_B1_R_3_718949074187452417">'Controle Indeling QRT Niveau'!$E$189</definedName>
    <definedName name="_vena_ControleIndelingQRT_B1_R_3_718949074191646721">'Controle Indeling QRT Niveau'!$E$190</definedName>
    <definedName name="_vena_ControleIndelingQRT_B1_R_3_718949074191646723">'Controle Indeling QRT Niveau'!$E$191</definedName>
    <definedName name="_vena_ControleIndelingQRT_B1_R_3_718949074195841025">'Controle Indeling QRT Niveau'!$E$192</definedName>
    <definedName name="_vena_ControleIndelingQRT_B1_R_3_718949074200035329">'Controle Indeling QRT Niveau'!$E$193</definedName>
    <definedName name="_vena_ControleIndelingQRT_B1_R_3_718949074200035331">'Controle Indeling QRT Niveau'!$E$194</definedName>
    <definedName name="_vena_ControleIndelingQRT_B1_R_3_718949074204229633">'Controle Indeling QRT Niveau'!$E$195</definedName>
    <definedName name="_vena_ControleIndelingQRT_B1_R_3_718949074208423937">'Controle Indeling QRT Niveau'!$E$196</definedName>
    <definedName name="_vena_ControleIndelingQRT_B1_R_3_718949074212618241">'Controle Indeling QRT Niveau'!$E$197</definedName>
    <definedName name="_vena_ControleIndelingQRT_B1_R_3_718949074212618243">'Controle Indeling QRT Niveau'!$E$198</definedName>
    <definedName name="_vena_ControleIndelingQRT_B1_R_3_718949074221006848">'Controle Indeling QRT Niveau'!$E$200</definedName>
    <definedName name="_vena_ControleIndelingQRT_B1_R_3_718949074221006851">'Controle Indeling QRT Niveau'!$E$202</definedName>
    <definedName name="_vena_ControleIndelingQRT_B1_R_3_718949074225201153">'Controle Indeling QRT Niveau'!$E$203</definedName>
    <definedName name="_vena_ControleIndelingQRT_B1_R_3_718949074229395457">'Controle Indeling QRT Niveau'!$E$204</definedName>
    <definedName name="_vena_ControleIndelingQRT_B1_R_3_718949074229395459">'Controle Indeling QRT Niveau'!$E$205</definedName>
    <definedName name="_vena_ControleIndelingQRT_B1_R_3_718949074233589761">'Controle Indeling QRT Niveau'!$E$206</definedName>
    <definedName name="_vena_ControleIndelingQRT_B1_R_3_718949074237784065">'Controle Indeling QRT Niveau'!$E$207</definedName>
    <definedName name="_vena_ControleIndelingQRT_B1_R_3_718949074237784067">'Controle Indeling QRT Niveau'!$E$208</definedName>
    <definedName name="_vena_ControleIndelingQRT_B1_R_3_718949074241978369">'Controle Indeling QRT Niveau'!$E$209</definedName>
    <definedName name="_vena_ControleIndelingQRT_B1_R_3_718949074246172673">'Controle Indeling QRT Niveau'!$E$210</definedName>
    <definedName name="_vena_ControleIndelingQRT_B1_R_3_718949074246172675">'Controle Indeling QRT Niveau'!$E$211</definedName>
    <definedName name="_vena_ControleIndelingQRT_B1_R_3_718949074250366977">'Controle Indeling QRT Niveau'!$E$212</definedName>
    <definedName name="_vena_ControleIndelingQRT_B1_R_3_718949074254561281">'Controle Indeling QRT Niveau'!$E$213</definedName>
    <definedName name="_vena_ControleIndelingQRT_B1_R_3_718949074258755585">'Controle Indeling QRT Niveau'!$E$214</definedName>
    <definedName name="_vena_ControleIndelingQRT_B1_R_3_718949074258755587">'Controle Indeling QRT Niveau'!$E$215</definedName>
    <definedName name="_vena_ControleIndelingQRT_B1_R_3_718949074262949889">'Controle Indeling QRT Niveau'!$E$216</definedName>
    <definedName name="_vena_ControleIndelingQRT_B1_R_3_718949074267144193">'Controle Indeling QRT Niveau'!$E$217</definedName>
    <definedName name="_vena_ControleIndelingQRT_B1_R_3_718949074267144195">'Controle Indeling QRT Niveau'!$E$218</definedName>
    <definedName name="_vena_ControleIndelingQRT_B1_R_3_718949074271338497">'Controle Indeling QRT Niveau'!$E$219</definedName>
    <definedName name="_vena_ControleIndelingQRT_B1_R_3_725369226873012224">'Controle Indeling QRT Niveau'!$E$292</definedName>
    <definedName name="_vena_ControleIndelingQRT_B1_R_3_741036978346524672">'Controle Indeling QRT Niveau'!$E$80</definedName>
    <definedName name="_vena_ControleIndelingQRT_B1_R_3_741036978350718977">'Controle Indeling QRT Niveau'!$E$81</definedName>
    <definedName name="_vena_ControleIndelingQRT_B1_R_3_741036978350718979">'Controle Indeling QRT Niveau'!$E$82</definedName>
    <definedName name="_vena_ControleIndelingQRT_B1_R_3_741036978354913281">'Controle Indeling QRT Niveau'!$E$83</definedName>
    <definedName name="_vena_ControleIndelingQRT_B1_R_3_741036978354913283">'Controle Indeling QRT Niveau'!$E$300</definedName>
    <definedName name="_vena_ControleIndelingQRT_B1_R_3_741036978354913285">'Controle Indeling QRT Niveau'!$E$301</definedName>
    <definedName name="_vena_ControleIndelingQRT_B1_R_3_741036978359107585">'Controle Indeling QRT Niveau'!$E$84</definedName>
    <definedName name="_vena_ControleIndelingQRT_B1_R_3_741036978359107587">'Controle Indeling QRT Niveau'!$E$85</definedName>
    <definedName name="_vena_ControleIndelingQRT_B1_R_3_741036978359107589">'Controle Indeling QRT Niveau'!$E$86</definedName>
    <definedName name="_vena_ControleIndelingQRT_B1_R_3_741036978363301889">'Controle Indeling QRT Niveau'!$E$302</definedName>
    <definedName name="_vena_ControleIndelingQRT_B1_R_3_741036978363301891">'Controle Indeling QRT Niveau'!$E$231</definedName>
    <definedName name="_vena_ControleIndelingQRT_B1_R_3_741036978367496193">'Controle Indeling QRT Niveau'!$E$232</definedName>
    <definedName name="_vena_ControleIndelingQRT_B1_R_3_741036978367496195">'Controle Indeling QRT Niveau'!$E$303</definedName>
    <definedName name="_vena_ControleIndelingQRT_B1_R_3_741036978367496197">'Controle Indeling QRT Niveau'!$E$304</definedName>
    <definedName name="_vena_ControleIndelingQRT_B1_R_3_741036978371690497">'Controle Indeling QRT Niveau'!$E$305</definedName>
    <definedName name="_vena_ControleIndelingQRT_B1_R_3_741036978371690499">'Controle Indeling QRT Niveau'!$E$306</definedName>
    <definedName name="_vena_ControleIndelingQRT_B1_R_3_741036978375884801">'Controle Indeling QRT Niveau'!$E$87</definedName>
    <definedName name="_vena_ControleIndelingQRT_B1_R_3_741036978375884803">'Controle Indeling QRT Niveau'!$E$88</definedName>
    <definedName name="_vena_ControleIndelingQRT_B1_R_3_741036978375884805">'Controle Indeling QRT Niveau'!$E$89</definedName>
    <definedName name="_vena_ControleIndelingQRT_B1_R_3_741036978380079105">'Controle Indeling QRT Niveau'!$E$90</definedName>
    <definedName name="_vena_ControleIndelingQRT_B1_R_3_741036978380079107">'Controle Indeling QRT Niveau'!$E$233</definedName>
    <definedName name="_vena_ControleIndelingQRT_B1_R_3_741036978380079109">'Controle Indeling QRT Niveau'!$E$234</definedName>
    <definedName name="_vena_ControleIndelingQRT_B1_R_3_741036978384273409">'Controle Indeling QRT Niveau'!$E$235</definedName>
    <definedName name="_vena_ControleIndelingQRT_B1_R_3_741036978384273411">'Controle Indeling QRT Niveau'!$E$236</definedName>
    <definedName name="_vena_ControleIndelingQRT_B1_R_3_741036978384273413">'Controle Indeling QRT Niveau'!$E$237</definedName>
    <definedName name="_vena_ControleIndelingQRT_B1_R_3_741036978388467713">'Controle Indeling QRT Niveau'!$E$91</definedName>
    <definedName name="_vena_ControleIndelingQRT_B1_R_3_741036978388467715">'Controle Indeling QRT Niveau'!$E$307</definedName>
    <definedName name="_vena_ControleIndelingQRT_B1_R_3_741036978392662016">'Controle Indeling QRT Niveau'!$E$308</definedName>
    <definedName name="_vena_ControleIndelingQRT_B1_R_3_745374605280018432">'Controle Indeling QRT Niveau'!$E$128</definedName>
    <definedName name="_vena_ControleIndelingQRT_B1_R_3_745375016732721152">'Controle Indeling QRT Niveau'!$E$295</definedName>
    <definedName name="_vena_ControleIndelingQRT_B1_R_3_745375106469593088">'Controle Indeling QRT Niveau'!$E$221</definedName>
    <definedName name="_vena_ControleIndelingQRT_B1_R_3_787067506366873601">'Controle Indeling QRT Niveau'!$E$123</definedName>
    <definedName name="_vena_ControleIndelingQRT_B1_R_3_787067506375262209">'Controle Indeling QRT Niveau'!$E$124</definedName>
    <definedName name="_vena_ControleIndelingQRT_B1_R_3_787067506396233730">'Controle Indeling QRT Niveau'!$E$333</definedName>
    <definedName name="_vena_ControleIndelingQRT_B1_R_3_787067506400428033">'Controle Indeling QRT Niveau'!$E$334</definedName>
    <definedName name="_vena_ControleIndelingQRT_B1_R_3_787067506425593862">'Controle Indeling QRT Niveau'!$E$244</definedName>
    <definedName name="_vena_ControleIndelingQRT_B1_R_3_787067506429788172">'Controle Indeling QRT Niveau'!$E$276</definedName>
    <definedName name="_vena_ControleIndelingQRT_B1_R_3_787067506442371085">'Controle Indeling QRT Niveau'!$E$275</definedName>
    <definedName name="_vena_ControleIndelingQRT_B1_R_3_787067506459148326">'Controle Indeling QRT Niveau'!$E$68</definedName>
    <definedName name="_vena_ControleIndelingQRT_B1_R_3_787067506467536902">'Controle Indeling QRT Niveau'!$E$297</definedName>
    <definedName name="_vena_ControleIndelingQRT_B1_R_3_787067506484314126">'Controle Indeling QRT Niveau'!$E$170</definedName>
    <definedName name="_vena_ControleIndelingQRT_B1_R_3_787067506509479942">'Controle Indeling QRT Niveau'!$E$248</definedName>
    <definedName name="_vena_ControleIndelingQRT_B1_R_3_787067506526257152">'Controle Indeling QRT Niveau'!$E$247</definedName>
    <definedName name="_vena_ControleIndelingQRT_B1_R_3_848292094858231812">'Controle Indeling QRT Niveau'!$E$47</definedName>
    <definedName name="_vena_ControleIndelingQRT_B1_R_3_947147459226107910">'Controle Indeling QRT Niveau'!$E$149</definedName>
    <definedName name="_vena_ControleIndelingQRT_B1_R_3_947147459238690817">'Controle Indeling QRT Niveau'!$E$150</definedName>
    <definedName name="_vena_ControleIndelingQRT_B1_R_3_947147459259662336">'Controle Indeling QRT Niveau'!$E$125</definedName>
    <definedName name="_vena_ControleIndelingQRT_B1_R_3_947147459272245252">'Controle Indeling QRT Niveau'!$E$151</definedName>
    <definedName name="_vena_ControleIndelingQRT_B1_R_3_947147459276439554">'Controle Indeling QRT Niveau'!$E$152</definedName>
    <definedName name="_vena_ControleIndelingQRT_B1_R_3_947147459284828166">'Controle Indeling QRT Niveau'!$E$332</definedName>
    <definedName name="_vena_ControleIndelingQRT_B1_R_3_947147459297411075">'Controle Indeling QRT Niveau'!$E$354</definedName>
    <definedName name="_vena_ControleIndelingQRT_B1_R_3_947147459318382595">'Controle Indeling QRT Niveau'!$E$355</definedName>
    <definedName name="_vena_ControleIndelingQRT_B1_R_3_947147459322576897">'Controle Indeling QRT Niveau'!$E$356</definedName>
    <definedName name="_vena_ControleIndelingQRT_B1_R_3_947147459377102859">'Controle Indeling QRT Niveau'!$E$285</definedName>
    <definedName name="_vena_ControleIndelingQRT_B1_R_3_947147459385491457">'Controle Indeling QRT Niveau'!$E$286</definedName>
    <definedName name="_vena_ControleIndelingQRT_B1_R_3_982737416803450901">'Controle Indeling QRT Niveau'!$E$371</definedName>
    <definedName name="_vena_ControleIndelingQRT_B1_R_3_982737416811839488">'Controle Indeling QRT Niveau'!$E$370</definedName>
    <definedName name="_vena_ControleIndelingQRT_B1_R_3_982737416862171137">'Controle Indeling QRT Niveau'!$E$288</definedName>
    <definedName name="_vena_ControleIndelingQRT_P_4_718931129058590721" comment="*">'Controle Indeling QRT Niveau'!$D$7</definedName>
    <definedName name="_vena_ControleIndelingQRT_P_5_718931142656917509" comment="*">'Controle Indeling QRT Niveau'!$D$8</definedName>
    <definedName name="_vena_ControleIndelingQRT_P_6_730565783391305729" comment="*">'Controle Indeling QRT Niveau'!$D$9</definedName>
    <definedName name="_vena_ControleIndelingQRT_P_7_720673044374355968" comment="*">'Controle Indeling QRT Niveau'!$D$10</definedName>
    <definedName name="_vena_ControleIndelingQRTSub_B1_C_FV_18833718d1654aadbc8e26067c178bd5">'Controle Indeling QRT Subniveau'!$F$21</definedName>
    <definedName name="_vena_ControleIndelingQRTSub_B1_C_FV_a29e5bcf45ca496da8833af34d35696d">'Controle Indeling QRT Subniveau'!$F$22</definedName>
    <definedName name="_vena_ControleIndelingQRTSub_B1_R_3_1015700822930489354">'Controle Indeling QRT Subniveau'!$E$340</definedName>
    <definedName name="_vena_ControleIndelingQRTSub_B1_R_3_1015700822968238094">'Controle Indeling QRT Subniveau'!$E$297</definedName>
    <definedName name="_vena_ControleIndelingQRTSub_B1_R_3_1015700823039541261">'Controle Indeling QRT Subniveau'!$E$166</definedName>
    <definedName name="_vena_ControleIndelingQRTSub_B1_R_3_1015700823043735555">'Controle Indeling QRT Subniveau'!$E$241</definedName>
    <definedName name="_vena_ControleIndelingQRTSub_B1_R_3_1015700823056318487">'Controle Indeling QRT Subniveau'!$E$281</definedName>
    <definedName name="_vena_ControleIndelingQRTSub_B1_R_3_1015700823068901376">'Controle Indeling QRT Subniveau'!$E$366</definedName>
    <definedName name="_vena_ControleIndelingQRTSub_B1_R_3_1015700823081484316">'Controle Indeling QRT Subniveau'!$E$380</definedName>
    <definedName name="_vena_ControleIndelingQRTSub_B1_R_3_1051217086871765008">'Controle Indeling QRT Subniveau'!$E$316</definedName>
    <definedName name="_vena_ControleIndelingQRTSub_B1_R_3_718947653497389058">'Controle Indeling QRT Subniveau'!$E$51</definedName>
    <definedName name="_vena_ControleIndelingQRTSub_B1_R_3_718947653505777666">'Controle Indeling QRT Subniveau'!$E$204</definedName>
    <definedName name="_vena_ControleIndelingQRTSub_B1_R_3_718947653509971971">'Controle Indeling QRT Subniveau'!$E$206</definedName>
    <definedName name="_vena_ControleIndelingQRTSub_B1_R_3_718949073356980224">'Controle Indeling QRT Subniveau'!$E$25</definedName>
    <definedName name="_vena_ControleIndelingQRTSub_B1_R_3_718949073365368832">'Controle Indeling QRT Subniveau'!$E$26</definedName>
    <definedName name="_vena_ControleIndelingQRTSub_B1_R_3_718949073369563137">'Controle Indeling QRT Subniveau'!$E$27</definedName>
    <definedName name="_vena_ControleIndelingQRTSub_B1_R_3_718949073373757441">'Controle Indeling QRT Subniveau'!$E$28</definedName>
    <definedName name="_vena_ControleIndelingQRTSub_B1_R_3_718949073373757443">'Controle Indeling QRT Subniveau'!$E$29</definedName>
    <definedName name="_vena_ControleIndelingQRTSub_B1_R_3_718949073377951745">'Controle Indeling QRT Subniveau'!$E$30</definedName>
    <definedName name="_vena_ControleIndelingQRTSub_B1_R_3_718949073382146049">'Controle Indeling QRT Subniveau'!$E$31</definedName>
    <definedName name="_vena_ControleIndelingQRTSub_B1_R_3_718949073382146051">'Controle Indeling QRT Subniveau'!$E$32</definedName>
    <definedName name="_vena_ControleIndelingQRTSub_B1_R_3_718949073386340353">'Controle Indeling QRT Subniveau'!$E$33</definedName>
    <definedName name="_vena_ControleIndelingQRTSub_B1_R_3_718949073390534657">'Controle Indeling QRT Subniveau'!$E$34</definedName>
    <definedName name="_vena_ControleIndelingQRTSub_B1_R_3_718949073394728961">'Controle Indeling QRT Subniveau'!$E$35</definedName>
    <definedName name="_vena_ControleIndelingQRTSub_B1_R_3_718949073394728963">'Controle Indeling QRT Subniveau'!$E$36</definedName>
    <definedName name="_vena_ControleIndelingQRTSub_B1_R_3_718949073398923265">'Controle Indeling QRT Subniveau'!$E$37</definedName>
    <definedName name="_vena_ControleIndelingQRTSub_B1_R_3_718949073403117569">'Controle Indeling QRT Subniveau'!$E$298</definedName>
    <definedName name="_vena_ControleIndelingQRTSub_B1_R_3_718949073407311872">'Controle Indeling QRT Subniveau'!$E$299</definedName>
    <definedName name="_vena_ControleIndelingQRTSub_B1_R_3_718949073411506177">'Controle Indeling QRT Subniveau'!$E$301</definedName>
    <definedName name="_vena_ControleIndelingQRTSub_B1_R_3_718949073415700481">'Controle Indeling QRT Subniveau'!$E$38</definedName>
    <definedName name="_vena_ControleIndelingQRTSub_B1_R_3_718949073415700483">'Controle Indeling QRT Subniveau'!$E$39</definedName>
    <definedName name="_vena_ControleIndelingQRTSub_B1_R_3_718949073419894785">'Controle Indeling QRT Subniveau'!$E$40</definedName>
    <definedName name="_vena_ControleIndelingQRTSub_B1_R_3_718949073424089089">'Controle Indeling QRT Subniveau'!$E$41</definedName>
    <definedName name="_vena_ControleIndelingQRTSub_B1_R_3_718949073424089091">'Controle Indeling QRT Subniveau'!$E$42</definedName>
    <definedName name="_vena_ControleIndelingQRTSub_B1_R_3_718949073428283393">'Controle Indeling QRT Subniveau'!$E$43</definedName>
    <definedName name="_vena_ControleIndelingQRTSub_B1_R_3_718949073432477697">'Controle Indeling QRT Subniveau'!$E$44</definedName>
    <definedName name="_vena_ControleIndelingQRTSub_B1_R_3_718949073432477699">'Controle Indeling QRT Subniveau'!$E$45</definedName>
    <definedName name="_vena_ControleIndelingQRTSub_B1_R_3_718949073436672001">'Controle Indeling QRT Subniveau'!$E$46</definedName>
    <definedName name="_vena_ControleIndelingQRTSub_B1_R_3_718949073440866305">'Controle Indeling QRT Subniveau'!$E$47</definedName>
    <definedName name="_vena_ControleIndelingQRTSub_B1_R_3_718949073440866307">'Controle Indeling QRT Subniveau'!$E$48</definedName>
    <definedName name="_vena_ControleIndelingQRTSub_B1_R_3_718949073445060609">'Controle Indeling QRT Subniveau'!$E$49</definedName>
    <definedName name="_vena_ControleIndelingQRTSub_B1_R_3_718949073449254913">'Controle Indeling QRT Subniveau'!$E$50</definedName>
    <definedName name="_vena_ControleIndelingQRTSub_B1_R_3_718949073453449218">'Controle Indeling QRT Subniveau'!$E$53</definedName>
    <definedName name="_vena_ControleIndelingQRTSub_B1_R_3_718949073457643521">'Controle Indeling QRT Subniveau'!$E$54</definedName>
    <definedName name="_vena_ControleIndelingQRTSub_B1_R_3_718949073457643523">'Controle Indeling QRT Subniveau'!$E$55</definedName>
    <definedName name="_vena_ControleIndelingQRTSub_B1_R_3_718949073461837825">'Controle Indeling QRT Subniveau'!$E$56</definedName>
    <definedName name="_vena_ControleIndelingQRTSub_B1_R_3_718949073466032129">'Controle Indeling QRT Subniveau'!$E$57</definedName>
    <definedName name="_vena_ControleIndelingQRTSub_B1_R_3_718949073466032131">'Controle Indeling QRT Subniveau'!$E$58</definedName>
    <definedName name="_vena_ControleIndelingQRTSub_B1_R_3_718949073470226433">'Controle Indeling QRT Subniveau'!$E$59</definedName>
    <definedName name="_vena_ControleIndelingQRTSub_B1_R_3_718949073474420737">'Controle Indeling QRT Subniveau'!$E$60</definedName>
    <definedName name="_vena_ControleIndelingQRTSub_B1_R_3_718949073478615041">'Controle Indeling QRT Subniveau'!$E$61</definedName>
    <definedName name="_vena_ControleIndelingQRTSub_B1_R_3_718949073478615043">'Controle Indeling QRT Subniveau'!$E$62</definedName>
    <definedName name="_vena_ControleIndelingQRTSub_B1_R_3_718949073482809345">'Controle Indeling QRT Subniveau'!$E$63</definedName>
    <definedName name="_vena_ControleIndelingQRTSub_B1_R_3_718949073487003649">'Controle Indeling QRT Subniveau'!$E$64</definedName>
    <definedName name="_vena_ControleIndelingQRTSub_B1_R_3_718949073487003651">'Controle Indeling QRT Subniveau'!$E$65</definedName>
    <definedName name="_vena_ControleIndelingQRTSub_B1_R_3_718949073491197953">'Controle Indeling QRT Subniveau'!$E$66</definedName>
    <definedName name="_vena_ControleIndelingQRTSub_B1_R_3_718949073499586560">'Controle Indeling QRT Subniveau'!$E$67</definedName>
    <definedName name="_vena_ControleIndelingQRTSub_B1_R_3_718949073499586562">'Controle Indeling QRT Subniveau'!$E$68</definedName>
    <definedName name="_vena_ControleIndelingQRTSub_B1_R_3_718949073503780865">'Controle Indeling QRT Subniveau'!$E$69</definedName>
    <definedName name="_vena_ControleIndelingQRTSub_B1_R_3_718949073507975169">'Controle Indeling QRT Subniveau'!$E$70</definedName>
    <definedName name="_vena_ControleIndelingQRTSub_B1_R_3_718949073507975171">'Controle Indeling QRT Subniveau'!$E$71</definedName>
    <definedName name="_vena_ControleIndelingQRTSub_B1_R_3_718949073512169473">'Controle Indeling QRT Subniveau'!$E$72</definedName>
    <definedName name="_vena_ControleIndelingQRTSub_B1_R_3_718949073516363777">'Controle Indeling QRT Subniveau'!$E$74</definedName>
    <definedName name="_vena_ControleIndelingQRTSub_B1_R_3_718949073520558081">'Controle Indeling QRT Subniveau'!$E$303</definedName>
    <definedName name="_vena_ControleIndelingQRTSub_B1_R_3_718949073520558083">'Controle Indeling QRT Subniveau'!$E$75</definedName>
    <definedName name="_vena_ControleIndelingQRTSub_B1_R_3_718949073524752385">'Controle Indeling QRT Subniveau'!$E$76</definedName>
    <definedName name="_vena_ControleIndelingQRTSub_B1_R_3_718949073528946689">'Controle Indeling QRT Subniveau'!$E$77</definedName>
    <definedName name="_vena_ControleIndelingQRTSub_B1_R_3_718949073528946691">'Controle Indeling QRT Subniveau'!$E$78</definedName>
    <definedName name="_vena_ControleIndelingQRTSub_B1_R_3_718949073533140993">'Controle Indeling QRT Subniveau'!$E$79</definedName>
    <definedName name="_vena_ControleIndelingQRTSub_B1_R_3_718949073537335297">'Controle Indeling QRT Subniveau'!$E$80</definedName>
    <definedName name="_vena_ControleIndelingQRTSub_B1_R_3_718949073537335299">'Controle Indeling QRT Subniveau'!$E$81</definedName>
    <definedName name="_vena_ControleIndelingQRTSub_B1_R_3_718949073541529601">'Controle Indeling QRT Subniveau'!$E$82</definedName>
    <definedName name="_vena_ControleIndelingQRTSub_B1_R_3_718949073545723905">'Controle Indeling QRT Subniveau'!$E$304</definedName>
    <definedName name="_vena_ControleIndelingQRTSub_B1_R_3_718949073549918209">'Controle Indeling QRT Subniveau'!$E$83</definedName>
    <definedName name="_vena_ControleIndelingQRTSub_B1_R_3_718949073558306816">'Controle Indeling QRT Subniveau'!$E$84</definedName>
    <definedName name="_vena_ControleIndelingQRTSub_B1_R_3_718949073558306818">'Controle Indeling QRT Subniveau'!$E$265</definedName>
    <definedName name="_vena_ControleIndelingQRTSub_B1_R_3_718949073566695424">'Controle Indeling QRT Subniveau'!$E$266</definedName>
    <definedName name="_vena_ControleIndelingQRTSub_B1_R_3_718949073566695426">'Controle Indeling QRT Subniveau'!$E$227</definedName>
    <definedName name="_vena_ControleIndelingQRTSub_B1_R_3_718949073575084032">'Controle Indeling QRT Subniveau'!$E$267</definedName>
    <definedName name="_vena_ControleIndelingQRTSub_B1_R_3_718949073575084034">'Controle Indeling QRT Subniveau'!$E$228</definedName>
    <definedName name="_vena_ControleIndelingQRTSub_B1_R_3_718949073579278337">'Controle Indeling QRT Subniveau'!$E$229</definedName>
    <definedName name="_vena_ControleIndelingQRTSub_B1_R_3_718949073583472641">'Controle Indeling QRT Subniveau'!$E$268</definedName>
    <definedName name="_vena_ControleIndelingQRTSub_B1_R_3_718949073583472643">'Controle Indeling QRT Subniveau'!$E$269</definedName>
    <definedName name="_vena_ControleIndelingQRTSub_B1_R_3_718949073591861248">'Controle Indeling QRT Subniveau'!$E$230</definedName>
    <definedName name="_vena_ControleIndelingQRTSub_B1_R_3_718949073596055552">'Controle Indeling QRT Subniveau'!$E$314</definedName>
    <definedName name="_vena_ControleIndelingQRTSub_B1_R_3_718949073600249857">'Controle Indeling QRT Subniveau'!$E$97</definedName>
    <definedName name="_vena_ControleIndelingQRTSub_B1_R_3_718949073608638464">'Controle Indeling QRT Subniveau'!$E$98</definedName>
    <definedName name="_vena_ControleIndelingQRTSub_B1_R_3_718949073608638466">'Controle Indeling QRT Subniveau'!$E$99</definedName>
    <definedName name="_vena_ControleIndelingQRTSub_B1_R_3_718949073612832769">'Controle Indeling QRT Subniveau'!$E$100</definedName>
    <definedName name="_vena_ControleIndelingQRTSub_B1_R_3_718949073617027073">'Controle Indeling QRT Subniveau'!$E$101</definedName>
    <definedName name="_vena_ControleIndelingQRTSub_B1_R_3_718949073621221376">'Controle Indeling QRT Subniveau'!$E$315</definedName>
    <definedName name="_vena_ControleIndelingQRTSub_B1_R_3_718949073625415681">'Controle Indeling QRT Subniveau'!$E$102</definedName>
    <definedName name="_vena_ControleIndelingQRTSub_B1_R_3_718949073629609985">'Controle Indeling QRT Subniveau'!$E$103</definedName>
    <definedName name="_vena_ControleIndelingQRTSub_B1_R_3_718949073633804289">'Controle Indeling QRT Subniveau'!$E$317</definedName>
    <definedName name="_vena_ControleIndelingQRTSub_B1_R_3_718949073637998593">'Controle Indeling QRT Subniveau'!$E$318</definedName>
    <definedName name="_vena_ControleIndelingQRTSub_B1_R_3_718949073637998595">'Controle Indeling QRT Subniveau'!$E$319</definedName>
    <definedName name="_vena_ControleIndelingQRTSub_B1_R_3_718949073642192897">'Controle Indeling QRT Subniveau'!$E$104</definedName>
    <definedName name="_vena_ControleIndelingQRTSub_B1_R_3_718949073646387201">'Controle Indeling QRT Subniveau'!$E$105</definedName>
    <definedName name="_vena_ControleIndelingQRTSub_B1_R_3_718949073650581505">'Controle Indeling QRT Subniveau'!$E$106</definedName>
    <definedName name="_vena_ControleIndelingQRTSub_B1_R_3_718949073654775809">'Controle Indeling QRT Subniveau'!$E$320</definedName>
    <definedName name="_vena_ControleIndelingQRTSub_B1_R_3_718949073654775811">'Controle Indeling QRT Subniveau'!$E$321</definedName>
    <definedName name="_vena_ControleIndelingQRTSub_B1_R_3_718949073658970113">'Controle Indeling QRT Subniveau'!$E$322</definedName>
    <definedName name="_vena_ControleIndelingQRTSub_B1_R_3_718949073663164417">'Controle Indeling QRT Subniveau'!$E$323</definedName>
    <definedName name="_vena_ControleIndelingQRTSub_B1_R_3_718949073667358721">'Controle Indeling QRT Subniveau'!$E$324</definedName>
    <definedName name="_vena_ControleIndelingQRTSub_B1_R_3_718949073667358723">'Controle Indeling QRT Subniveau'!$E$325</definedName>
    <definedName name="_vena_ControleIndelingQRTSub_B1_R_3_718949073671553025">'Controle Indeling QRT Subniveau'!$E$107</definedName>
    <definedName name="_vena_ControleIndelingQRTSub_B1_R_3_718949073675747329">'Controle Indeling QRT Subniveau'!$E$326</definedName>
    <definedName name="_vena_ControleIndelingQRTSub_B1_R_3_718949073679941633">'Controle Indeling QRT Subniveau'!$E$108</definedName>
    <definedName name="_vena_ControleIndelingQRTSub_B1_R_3_718949073684135937">'Controle Indeling QRT Subniveau'!$E$109</definedName>
    <definedName name="_vena_ControleIndelingQRTSub_B1_R_3_718949073684135939">'Controle Indeling QRT Subniveau'!$E$327</definedName>
    <definedName name="_vena_ControleIndelingQRTSub_B1_R_3_718949073688330241">'Controle Indeling QRT Subniveau'!$E$328</definedName>
    <definedName name="_vena_ControleIndelingQRTSub_B1_R_3_718949073692524545">'Controle Indeling QRT Subniveau'!$E$110</definedName>
    <definedName name="_vena_ControleIndelingQRTSub_B1_R_3_718949073696718849">'Controle Indeling QRT Subniveau'!$E$111</definedName>
    <definedName name="_vena_ControleIndelingQRTSub_B1_R_3_718949073696718851">'Controle Indeling QRT Subniveau'!$E$112</definedName>
    <definedName name="_vena_ControleIndelingQRTSub_B1_R_3_718949073700913153">'Controle Indeling QRT Subniveau'!$E$113</definedName>
    <definedName name="_vena_ControleIndelingQRTSub_B1_R_3_718949073705107457">'Controle Indeling QRT Subniveau'!$E$114</definedName>
    <definedName name="_vena_ControleIndelingQRTSub_B1_R_3_718949073705107459">'Controle Indeling QRT Subniveau'!$E$115</definedName>
    <definedName name="_vena_ControleIndelingQRTSub_B1_R_3_718949073709301761">'Controle Indeling QRT Subniveau'!$E$329</definedName>
    <definedName name="_vena_ControleIndelingQRTSub_B1_R_3_718949073713496065">'Controle Indeling QRT Subniveau'!$E$116</definedName>
    <definedName name="_vena_ControleIndelingQRTSub_B1_R_3_718949073713496067">'Controle Indeling QRT Subniveau'!$E$117</definedName>
    <definedName name="_vena_ControleIndelingQRTSub_B1_R_3_718949073717690369">'Controle Indeling QRT Subniveau'!$E$118</definedName>
    <definedName name="_vena_ControleIndelingQRTSub_B1_R_3_718949073721884673">'Controle Indeling QRT Subniveau'!$E$119</definedName>
    <definedName name="_vena_ControleIndelingQRTSub_B1_R_3_718949073726078977">'Controle Indeling QRT Subniveau'!$E$330</definedName>
    <definedName name="_vena_ControleIndelingQRTSub_B1_R_3_718949073726078979">'Controle Indeling QRT Subniveau'!$E$120</definedName>
    <definedName name="_vena_ControleIndelingQRTSub_B1_R_3_718949073730273281">'Controle Indeling QRT Subniveau'!$E$121</definedName>
    <definedName name="_vena_ControleIndelingQRTSub_B1_R_3_718949073734467585">'Controle Indeling QRT Subniveau'!$E$331</definedName>
    <definedName name="_vena_ControleIndelingQRTSub_B1_R_3_718949073734467587">'Controle Indeling QRT Subniveau'!$E$332</definedName>
    <definedName name="_vena_ControleIndelingQRTSub_B1_R_3_718949073738661889">'Controle Indeling QRT Subniveau'!$E$234</definedName>
    <definedName name="_vena_ControleIndelingQRTSub_B1_R_3_718949073742856193">'Controle Indeling QRT Subniveau'!$E$333</definedName>
    <definedName name="_vena_ControleIndelingQRTSub_B1_R_3_718949073747050497">'Controle Indeling QRT Subniveau'!$E$334</definedName>
    <definedName name="_vena_ControleIndelingQRTSub_B1_R_3_718949073751244801">'Controle Indeling QRT Subniveau'!$E$122</definedName>
    <definedName name="_vena_ControleIndelingQRTSub_B1_R_3_718949073759633408">'Controle Indeling QRT Subniveau'!$E$274</definedName>
    <definedName name="_vena_ControleIndelingQRTSub_B1_R_3_718949073763827713">'Controle Indeling QRT Subniveau'!$E$123</definedName>
    <definedName name="_vena_ControleIndelingQRTSub_B1_R_3_718949073768022016">'Controle Indeling QRT Subniveau'!$E$335</definedName>
    <definedName name="_vena_ControleIndelingQRTSub_B1_R_3_718949073772216321">'Controle Indeling QRT Subniveau'!$E$275</definedName>
    <definedName name="_vena_ControleIndelingQRTSub_B1_R_3_718949073776410624">'Controle Indeling QRT Subniveau'!$E$124</definedName>
    <definedName name="_vena_ControleIndelingQRTSub_B1_R_3_718949073780604928">'Controle Indeling QRT Subniveau'!$E$125</definedName>
    <definedName name="_vena_ControleIndelingQRTSub_B1_R_3_718949073784799233">'Controle Indeling QRT Subniveau'!$E$126</definedName>
    <definedName name="_vena_ControleIndelingQRTSub_B1_R_3_718949073788993536">'Controle Indeling QRT Subniveau'!$E$127</definedName>
    <definedName name="_vena_ControleIndelingQRTSub_B1_R_3_718949073788993538">'Controle Indeling QRT Subniveau'!$E$336</definedName>
    <definedName name="_vena_ControleIndelingQRTSub_B1_R_3_718949073793187841">'Controle Indeling QRT Subniveau'!$E$276</definedName>
    <definedName name="_vena_ControleIndelingQRTSub_B1_R_3_718949073797382145">'Controle Indeling QRT Subniveau'!$E$235</definedName>
    <definedName name="_vena_ControleIndelingQRTSub_B1_R_3_718949073801576449">'Controle Indeling QRT Subniveau'!$E$236</definedName>
    <definedName name="_vena_ControleIndelingQRTSub_B1_R_3_718949073805770753">'Controle Indeling QRT Subniveau'!$E$131</definedName>
    <definedName name="_vena_ControleIndelingQRTSub_B1_R_3_718949073809965057">'Controle Indeling QRT Subniveau'!$E$132</definedName>
    <definedName name="_vena_ControleIndelingQRTSub_B1_R_3_718949073809965059">'Controle Indeling QRT Subniveau'!$E$341</definedName>
    <definedName name="_vena_ControleIndelingQRTSub_B1_R_3_718949073818353664">'Controle Indeling QRT Subniveau'!$E$134</definedName>
    <definedName name="_vena_ControleIndelingQRTSub_B1_R_3_718949073822547969">'Controle Indeling QRT Subniveau'!$E$342</definedName>
    <definedName name="_vena_ControleIndelingQRTSub_B1_R_3_718949073826742273">'Controle Indeling QRT Subniveau'!$E$343</definedName>
    <definedName name="_vena_ControleIndelingQRTSub_B1_R_3_718949073830936577">'Controle Indeling QRT Subniveau'!$E$344</definedName>
    <definedName name="_vena_ControleIndelingQRTSub_B1_R_3_718949073835130881">'Controle Indeling QRT Subniveau'!$E$277</definedName>
    <definedName name="_vena_ControleIndelingQRTSub_B1_R_3_718949073839325185">'Controle Indeling QRT Subniveau'!$E$345</definedName>
    <definedName name="_vena_ControleIndelingQRTSub_B1_R_3_718949073839325187">'Controle Indeling QRT Subniveau'!$E$135</definedName>
    <definedName name="_vena_ControleIndelingQRTSub_B1_R_3_718949073843519489">'Controle Indeling QRT Subniveau'!$E$136</definedName>
    <definedName name="_vena_ControleIndelingQRTSub_B1_R_3_718949073847713793">'Controle Indeling QRT Subniveau'!$E$137</definedName>
    <definedName name="_vena_ControleIndelingQRTSub_B1_R_3_718949073851908096">'Controle Indeling QRT Subniveau'!$E$138</definedName>
    <definedName name="_vena_ControleIndelingQRTSub_B1_R_3_718949073856102401">'Controle Indeling QRT Subniveau'!$E$346</definedName>
    <definedName name="_vena_ControleIndelingQRTSub_B1_R_3_718949073860296705">'Controle Indeling QRT Subniveau'!$E$347</definedName>
    <definedName name="_vena_ControleIndelingQRTSub_B1_R_3_718949073860296707">'Controle Indeling QRT Subniveau'!$E$348</definedName>
    <definedName name="_vena_ControleIndelingQRTSub_B1_R_3_718949073864491009">'Controle Indeling QRT Subniveau'!$E$139</definedName>
    <definedName name="_vena_ControleIndelingQRTSub_B1_R_3_718949073868685313">'Controle Indeling QRT Subniveau'!$E$140</definedName>
    <definedName name="_vena_ControleIndelingQRTSub_B1_R_3_718949073868685315">'Controle Indeling QRT Subniveau'!$E$141</definedName>
    <definedName name="_vena_ControleIndelingQRTSub_B1_R_3_718949073872879617">'Controle Indeling QRT Subniveau'!$E$142</definedName>
    <definedName name="_vena_ControleIndelingQRTSub_B1_R_3_718949073877073921">'Controle Indeling QRT Subniveau'!$E$143</definedName>
    <definedName name="_vena_ControleIndelingQRTSub_B1_R_3_718949073881268225">'Controle Indeling QRT Subniveau'!$E$349</definedName>
    <definedName name="_vena_ControleIndelingQRTSub_B1_R_3_718949073881268227">'Controle Indeling QRT Subniveau'!$E$144</definedName>
    <definedName name="_vena_ControleIndelingQRTSub_B1_R_3_718949073885462529">'Controle Indeling QRT Subniveau'!$E$145</definedName>
    <definedName name="_vena_ControleIndelingQRTSub_B1_R_3_718949073889656833">'Controle Indeling QRT Subniveau'!$E$146</definedName>
    <definedName name="_vena_ControleIndelingQRTSub_B1_R_3_718949073893851137">'Controle Indeling QRT Subniveau'!$E$350</definedName>
    <definedName name="_vena_ControleIndelingQRTSub_B1_R_3_718949073893851139">'Controle Indeling QRT Subniveau'!$E$351</definedName>
    <definedName name="_vena_ControleIndelingQRTSub_B1_R_3_718949073898045441">'Controle Indeling QRT Subniveau'!$E$147</definedName>
    <definedName name="_vena_ControleIndelingQRTSub_B1_R_3_718949073902239745">'Controle Indeling QRT Subniveau'!$E$148</definedName>
    <definedName name="_vena_ControleIndelingQRTSub_B1_R_3_718949073902239747">'Controle Indeling QRT Subniveau'!$E$149</definedName>
    <definedName name="_vena_ControleIndelingQRTSub_B1_R_3_718949073906434049">'Controle Indeling QRT Subniveau'!$E$150</definedName>
    <definedName name="_vena_ControleIndelingQRTSub_B1_R_3_718949073910628353">'Controle Indeling QRT Subniveau'!$E$151</definedName>
    <definedName name="_vena_ControleIndelingQRTSub_B1_R_3_718949073914822657">'Controle Indeling QRT Subniveau'!$E$352</definedName>
    <definedName name="_vena_ControleIndelingQRTSub_B1_R_3_718949073914822659">'Controle Indeling QRT Subniveau'!$E$353</definedName>
    <definedName name="_vena_ControleIndelingQRTSub_B1_R_3_718949073919016961">'Controle Indeling QRT Subniveau'!$E$354</definedName>
    <definedName name="_vena_ControleIndelingQRTSub_B1_R_3_718949073923211265">'Controle Indeling QRT Subniveau'!$E$355</definedName>
    <definedName name="_vena_ControleIndelingQRTSub_B1_R_3_718949073923211267">'Controle Indeling QRT Subniveau'!$E$356</definedName>
    <definedName name="_vena_ControleIndelingQRTSub_B1_R_3_718949073927405569">'Controle Indeling QRT Subniveau'!$E$357</definedName>
    <definedName name="_vena_ControleIndelingQRTSub_B1_R_3_718949073931599873">'Controle Indeling QRT Subniveau'!$E$358</definedName>
    <definedName name="_vena_ControleIndelingQRTSub_B1_R_3_718949073935794176">'Controle Indeling QRT Subniveau'!$E$152</definedName>
    <definedName name="_vena_ControleIndelingQRTSub_B1_R_3_718949073935794178">'Controle Indeling QRT Subniveau'!$E$153</definedName>
    <definedName name="_vena_ControleIndelingQRTSub_B1_R_3_718949073939988481">'Controle Indeling QRT Subniveau'!$E$158</definedName>
    <definedName name="_vena_ControleIndelingQRTSub_B1_R_3_718949073944182785">'Controle Indeling QRT Subniveau'!$E$159</definedName>
    <definedName name="_vena_ControleIndelingQRTSub_B1_R_3_718949073944182787">'Controle Indeling QRT Subniveau'!$E$362</definedName>
    <definedName name="_vena_ControleIndelingQRTSub_B1_R_3_718949073948377089">'Controle Indeling QRT Subniveau'!$E$160</definedName>
    <definedName name="_vena_ControleIndelingQRTSub_B1_R_3_718949073952571393">'Controle Indeling QRT Subniveau'!$E$363</definedName>
    <definedName name="_vena_ControleIndelingQRTSub_B1_R_3_718949073952571395">'Controle Indeling QRT Subniveau'!$E$238</definedName>
    <definedName name="_vena_ControleIndelingQRTSub_B1_R_3_718949073956765697">'Controle Indeling QRT Subniveau'!$E$161</definedName>
    <definedName name="_vena_ControleIndelingQRTSub_B1_R_3_718949073960960001">'Controle Indeling QRT Subniveau'!$E$162</definedName>
    <definedName name="_vena_ControleIndelingQRTSub_B1_R_3_718949073965154304">'Controle Indeling QRT Subniveau'!$E$163</definedName>
    <definedName name="_vena_ControleIndelingQRTSub_B1_R_3_718949073965154306">'Controle Indeling QRT Subniveau'!$E$164</definedName>
    <definedName name="_vena_ControleIndelingQRTSub_B1_R_3_718949073969348609">'Controle Indeling QRT Subniveau'!$E$364</definedName>
    <definedName name="_vena_ControleIndelingQRTSub_B1_R_3_718949073973542913">'Controle Indeling QRT Subniveau'!$E$365</definedName>
    <definedName name="_vena_ControleIndelingQRTSub_B1_R_3_718949073973542915">'Controle Indeling QRT Subniveau'!$E$165</definedName>
    <definedName name="_vena_ControleIndelingQRTSub_B1_R_3_718949073977737217">'Controle Indeling QRT Subniveau'!$E$279</definedName>
    <definedName name="_vena_ControleIndelingQRTSub_B1_R_3_718949073981931521">'Controle Indeling QRT Subniveau'!$E$240</definedName>
    <definedName name="_vena_ControleIndelingQRTSub_B1_R_3_718949073986125824">'Controle Indeling QRT Subniveau'!$E$280</definedName>
    <definedName name="_vena_ControleIndelingQRTSub_B1_R_3_718949073990320129">'Controle Indeling QRT Subniveau'!$E$367</definedName>
    <definedName name="_vena_ControleIndelingQRTSub_B1_R_3_718949073994514432">'Controle Indeling QRT Subniveau'!$E$368</definedName>
    <definedName name="_vena_ControleIndelingQRTSub_B1_R_3_718949073998708737">'Controle Indeling QRT Subniveau'!$E$282</definedName>
    <definedName name="_vena_ControleIndelingQRTSub_B1_R_3_718949073998708739">'Controle Indeling QRT Subniveau'!$E$283</definedName>
    <definedName name="_vena_ControleIndelingQRTSub_B1_R_3_718949074002903041">'Controle Indeling QRT Subniveau'!$E$242</definedName>
    <definedName name="_vena_ControleIndelingQRTSub_B1_R_3_718949074007097345">'Controle Indeling QRT Subniveau'!$E$369</definedName>
    <definedName name="_vena_ControleIndelingQRTSub_B1_R_3_718949074011291649">'Controle Indeling QRT Subniveau'!$E$243</definedName>
    <definedName name="_vena_ControleIndelingQRTSub_B1_R_3_718949074011291651">'Controle Indeling QRT Subniveau'!$E$370</definedName>
    <definedName name="_vena_ControleIndelingQRTSub_B1_R_3_718949074015485953">'Controle Indeling QRT Subniveau'!$E$284</definedName>
    <definedName name="_vena_ControleIndelingQRTSub_B1_R_3_718949074019680257">'Controle Indeling QRT Subniveau'!$E$244</definedName>
    <definedName name="_vena_ControleIndelingQRTSub_B1_R_3_718949074019680259">'Controle Indeling QRT Subniveau'!$E$285</definedName>
    <definedName name="_vena_ControleIndelingQRTSub_B1_R_3_718949074023874561">'Controle Indeling QRT Subniveau'!$E$286</definedName>
    <definedName name="_vena_ControleIndelingQRTSub_B1_R_3_718949074028068865">'Controle Indeling QRT Subniveau'!$E$245</definedName>
    <definedName name="_vena_ControleIndelingQRTSub_B1_R_3_718949074028068867">'Controle Indeling QRT Subniveau'!$E$246</definedName>
    <definedName name="_vena_ControleIndelingQRTSub_B1_R_3_718949074032263169">'Controle Indeling QRT Subniveau'!$E$287</definedName>
    <definedName name="_vena_ControleIndelingQRTSub_B1_R_3_718949074036457473">'Controle Indeling QRT Subniveau'!$E$288</definedName>
    <definedName name="_vena_ControleIndelingQRTSub_B1_R_3_718949074036457475">'Controle Indeling QRT Subniveau'!$E$247</definedName>
    <definedName name="_vena_ControleIndelingQRTSub_B1_R_3_718949074040651777">'Controle Indeling QRT Subniveau'!$E$248</definedName>
    <definedName name="_vena_ControleIndelingQRTSub_B1_R_3_718949074044846081">'Controle Indeling QRT Subniveau'!$E$289</definedName>
    <definedName name="_vena_ControleIndelingQRTSub_B1_R_3_718949074049040385">'Controle Indeling QRT Subniveau'!$E$290</definedName>
    <definedName name="_vena_ControleIndelingQRTSub_B1_R_3_718949074049040387">'Controle Indeling QRT Subniveau'!$E$249</definedName>
    <definedName name="_vena_ControleIndelingQRTSub_B1_R_3_718949074053234689">'Controle Indeling QRT Subniveau'!$E$250</definedName>
    <definedName name="_vena_ControleIndelingQRTSub_B1_R_3_718949074057428993">'Controle Indeling QRT Subniveau'!$E$251</definedName>
    <definedName name="_vena_ControleIndelingQRTSub_B1_R_3_718949074057428995">'Controle Indeling QRT Subniveau'!$E$252</definedName>
    <definedName name="_vena_ControleIndelingQRTSub_B1_R_3_718949074061623297">'Controle Indeling QRT Subniveau'!$E$371</definedName>
    <definedName name="_vena_ControleIndelingQRTSub_B1_R_3_718949074065817601">'Controle Indeling QRT Subniveau'!$E$372</definedName>
    <definedName name="_vena_ControleIndelingQRTSub_B1_R_3_718949074065817603">'Controle Indeling QRT Subniveau'!$E$253</definedName>
    <definedName name="_vena_ControleIndelingQRTSub_B1_R_3_718949074070011905">'Controle Indeling QRT Subniveau'!$E$292</definedName>
    <definedName name="_vena_ControleIndelingQRTSub_B1_R_3_718949074074206209">'Controle Indeling QRT Subniveau'!$E$293</definedName>
    <definedName name="_vena_ControleIndelingQRTSub_B1_R_3_718949074078400513">'Controle Indeling QRT Subniveau'!$E$255</definedName>
    <definedName name="_vena_ControleIndelingQRTSub_B1_R_3_718949074078400515">'Controle Indeling QRT Subniveau'!$E$256</definedName>
    <definedName name="_vena_ControleIndelingQRTSub_B1_R_3_718949074082594817">'Controle Indeling QRT Subniveau'!$E$294</definedName>
    <definedName name="_vena_ControleIndelingQRTSub_B1_R_3_718949074086789121">'Controle Indeling QRT Subniveau'!$E$295</definedName>
    <definedName name="_vena_ControleIndelingQRTSub_B1_R_3_718949074086789123">'Controle Indeling QRT Subniveau'!$E$257</definedName>
    <definedName name="_vena_ControleIndelingQRTSub_B1_R_3_718949074090983425">'Controle Indeling QRT Subniveau'!$E$258</definedName>
    <definedName name="_vena_ControleIndelingQRTSub_B1_R_3_718949074095177729">'Controle Indeling QRT Subniveau'!$E$261</definedName>
    <definedName name="_vena_ControleIndelingQRTSub_B1_R_3_718949074095177731">'Controle Indeling QRT Subniveau'!$E$373</definedName>
    <definedName name="_vena_ControleIndelingQRTSub_B1_R_3_718949074099372033">'Controle Indeling QRT Subniveau'!$E$376</definedName>
    <definedName name="_vena_ControleIndelingQRTSub_B1_R_3_718949074103566337">'Controle Indeling QRT Subniveau'!$E$263</definedName>
    <definedName name="_vena_ControleIndelingQRTSub_B1_R_3_718949074103566339">'Controle Indeling QRT Subniveau'!$E$377</definedName>
    <definedName name="_vena_ControleIndelingQRTSub_B1_R_3_718949074111954944">'Controle Indeling QRT Subniveau'!$E$167</definedName>
    <definedName name="_vena_ControleIndelingQRTSub_B1_R_3_718949074111954946">'Controle Indeling QRT Subniveau'!$E$168</definedName>
    <definedName name="_vena_ControleIndelingQRTSub_B1_R_3_718949074116149249">'Controle Indeling QRT Subniveau'!$E$169</definedName>
    <definedName name="_vena_ControleIndelingQRTSub_B1_R_3_718949074120343553">'Controle Indeling QRT Subniveau'!$E$170</definedName>
    <definedName name="_vena_ControleIndelingQRTSub_B1_R_3_718949074124537857">'Controle Indeling QRT Subniveau'!$E$171</definedName>
    <definedName name="_vena_ControleIndelingQRTSub_B1_R_3_718949074124537859">'Controle Indeling QRT Subniveau'!$E$172</definedName>
    <definedName name="_vena_ControleIndelingQRTSub_B1_R_3_718949074128732161">'Controle Indeling QRT Subniveau'!$E$173</definedName>
    <definedName name="_vena_ControleIndelingQRTSub_B1_R_3_718949074132926465">'Controle Indeling QRT Subniveau'!$E$174</definedName>
    <definedName name="_vena_ControleIndelingQRTSub_B1_R_3_718949074132926467">'Controle Indeling QRT Subniveau'!$E$176</definedName>
    <definedName name="_vena_ControleIndelingQRTSub_B1_R_3_718949074137120769">'Controle Indeling QRT Subniveau'!$E$177</definedName>
    <definedName name="_vena_ControleIndelingQRTSub_B1_R_3_718949074141315073">'Controle Indeling QRT Subniveau'!$E$178</definedName>
    <definedName name="_vena_ControleIndelingQRTSub_B1_R_3_718949074141315075">'Controle Indeling QRT Subniveau'!$E$179</definedName>
    <definedName name="_vena_ControleIndelingQRTSub_B1_R_3_718949074145509377">'Controle Indeling QRT Subniveau'!$E$180</definedName>
    <definedName name="_vena_ControleIndelingQRTSub_B1_R_3_718949074149703681">'Controle Indeling QRT Subniveau'!$E$181</definedName>
    <definedName name="_vena_ControleIndelingQRTSub_B1_R_3_718949074153897985">'Controle Indeling QRT Subniveau'!$E$182</definedName>
    <definedName name="_vena_ControleIndelingQRTSub_B1_R_3_718949074153897987">'Controle Indeling QRT Subniveau'!$E$183</definedName>
    <definedName name="_vena_ControleIndelingQRTSub_B1_R_3_718949074158092289">'Controle Indeling QRT Subniveau'!$E$184</definedName>
    <definedName name="_vena_ControleIndelingQRTSub_B1_R_3_718949074162286593">'Controle Indeling QRT Subniveau'!$E$185</definedName>
    <definedName name="_vena_ControleIndelingQRTSub_B1_R_3_718949074162286595">'Controle Indeling QRT Subniveau'!$E$186</definedName>
    <definedName name="_vena_ControleIndelingQRTSub_B1_R_3_718949074166480897">'Controle Indeling QRT Subniveau'!$E$187</definedName>
    <definedName name="_vena_ControleIndelingQRTSub_B1_R_3_718949074170675201">'Controle Indeling QRT Subniveau'!$E$188</definedName>
    <definedName name="_vena_ControleIndelingQRTSub_B1_R_3_718949074170675203">'Controle Indeling QRT Subniveau'!$E$189</definedName>
    <definedName name="_vena_ControleIndelingQRTSub_B1_R_3_718949074174869505">'Controle Indeling QRT Subniveau'!$E$190</definedName>
    <definedName name="_vena_ControleIndelingQRTSub_B1_R_3_718949074179063809">'Controle Indeling QRT Subniveau'!$E$191</definedName>
    <definedName name="_vena_ControleIndelingQRTSub_B1_R_3_718949074179063811">'Controle Indeling QRT Subniveau'!$E$192</definedName>
    <definedName name="_vena_ControleIndelingQRTSub_B1_R_3_718949074183258113">'Controle Indeling QRT Subniveau'!$E$193</definedName>
    <definedName name="_vena_ControleIndelingQRTSub_B1_R_3_718949074187452417">'Controle Indeling QRT Subniveau'!$E$194</definedName>
    <definedName name="_vena_ControleIndelingQRTSub_B1_R_3_718949074191646721">'Controle Indeling QRT Subniveau'!$E$195</definedName>
    <definedName name="_vena_ControleIndelingQRTSub_B1_R_3_718949074191646723">'Controle Indeling QRT Subniveau'!$E$196</definedName>
    <definedName name="_vena_ControleIndelingQRTSub_B1_R_3_718949074195841025">'Controle Indeling QRT Subniveau'!$E$197</definedName>
    <definedName name="_vena_ControleIndelingQRTSub_B1_R_3_718949074200035329">'Controle Indeling QRT Subniveau'!$E$198</definedName>
    <definedName name="_vena_ControleIndelingQRTSub_B1_R_3_718949074200035331">'Controle Indeling QRT Subniveau'!$E$199</definedName>
    <definedName name="_vena_ControleIndelingQRTSub_B1_R_3_718949074204229633">'Controle Indeling QRT Subniveau'!$E$200</definedName>
    <definedName name="_vena_ControleIndelingQRTSub_B1_R_3_718949074208423937">'Controle Indeling QRT Subniveau'!$E$201</definedName>
    <definedName name="_vena_ControleIndelingQRTSub_B1_R_3_718949074212618241">'Controle Indeling QRT Subniveau'!$E$202</definedName>
    <definedName name="_vena_ControleIndelingQRTSub_B1_R_3_718949074212618243">'Controle Indeling QRT Subniveau'!$E$203</definedName>
    <definedName name="_vena_ControleIndelingQRTSub_B1_R_3_718949074221006848">'Controle Indeling QRT Subniveau'!$E$205</definedName>
    <definedName name="_vena_ControleIndelingQRTSub_B1_R_3_718949074221006851">'Controle Indeling QRT Subniveau'!$E$207</definedName>
    <definedName name="_vena_ControleIndelingQRTSub_B1_R_3_718949074225201153">'Controle Indeling QRT Subniveau'!$E$208</definedName>
    <definedName name="_vena_ControleIndelingQRTSub_B1_R_3_718949074229395457">'Controle Indeling QRT Subniveau'!$E$209</definedName>
    <definedName name="_vena_ControleIndelingQRTSub_B1_R_3_718949074229395459">'Controle Indeling QRT Subniveau'!$E$210</definedName>
    <definedName name="_vena_ControleIndelingQRTSub_B1_R_3_718949074233589761">'Controle Indeling QRT Subniveau'!$E$211</definedName>
    <definedName name="_vena_ControleIndelingQRTSub_B1_R_3_718949074237784065">'Controle Indeling QRT Subniveau'!$E$212</definedName>
    <definedName name="_vena_ControleIndelingQRTSub_B1_R_3_718949074237784067">'Controle Indeling QRT Subniveau'!$E$213</definedName>
    <definedName name="_vena_ControleIndelingQRTSub_B1_R_3_718949074241978369">'Controle Indeling QRT Subniveau'!$E$214</definedName>
    <definedName name="_vena_ControleIndelingQRTSub_B1_R_3_718949074246172673">'Controle Indeling QRT Subniveau'!$E$215</definedName>
    <definedName name="_vena_ControleIndelingQRTSub_B1_R_3_718949074246172675">'Controle Indeling QRT Subniveau'!$E$216</definedName>
    <definedName name="_vena_ControleIndelingQRTSub_B1_R_3_718949074250366977">'Controle Indeling QRT Subniveau'!$E$217</definedName>
    <definedName name="_vena_ControleIndelingQRTSub_B1_R_3_718949074254561281">'Controle Indeling QRT Subniveau'!$E$218</definedName>
    <definedName name="_vena_ControleIndelingQRTSub_B1_R_3_718949074258755585">'Controle Indeling QRT Subniveau'!$E$219</definedName>
    <definedName name="_vena_ControleIndelingQRTSub_B1_R_3_718949074258755587">'Controle Indeling QRT Subniveau'!$E$220</definedName>
    <definedName name="_vena_ControleIndelingQRTSub_B1_R_3_718949074262949889">'Controle Indeling QRT Subniveau'!$E$221</definedName>
    <definedName name="_vena_ControleIndelingQRTSub_B1_R_3_718949074267144193">'Controle Indeling QRT Subniveau'!$E$222</definedName>
    <definedName name="_vena_ControleIndelingQRTSub_B1_R_3_718949074267144195">'Controle Indeling QRT Subniveau'!$E$223</definedName>
    <definedName name="_vena_ControleIndelingQRTSub_B1_R_3_718949074271338497">'Controle Indeling QRT Subniveau'!$E$224</definedName>
    <definedName name="_vena_ControleIndelingQRTSub_B1_R_3_725369226873012224">'Controle Indeling QRT Subniveau'!$E$379</definedName>
    <definedName name="_vena_ControleIndelingQRTSub_B1_R_3_741036978346524672">'Controle Indeling QRT Subniveau'!$E$85</definedName>
    <definedName name="_vena_ControleIndelingQRTSub_B1_R_3_741036978350718977">'Controle Indeling QRT Subniveau'!$E$86</definedName>
    <definedName name="_vena_ControleIndelingQRTSub_B1_R_3_741036978350718979">'Controle Indeling QRT Subniveau'!$E$87</definedName>
    <definedName name="_vena_ControleIndelingQRTSub_B1_R_3_741036978354913281">'Controle Indeling QRT Subniveau'!$E$88</definedName>
    <definedName name="_vena_ControleIndelingQRTSub_B1_R_3_741036978354913283">'Controle Indeling QRT Subniveau'!$E$305</definedName>
    <definedName name="_vena_ControleIndelingQRTSub_B1_R_3_741036978354913285">'Controle Indeling QRT Subniveau'!$E$306</definedName>
    <definedName name="_vena_ControleIndelingQRTSub_B1_R_3_741036978359107585">'Controle Indeling QRT Subniveau'!$E$89</definedName>
    <definedName name="_vena_ControleIndelingQRTSub_B1_R_3_741036978359107587">'Controle Indeling QRT Subniveau'!$E$90</definedName>
    <definedName name="_vena_ControleIndelingQRTSub_B1_R_3_741036978359107589">'Controle Indeling QRT Subniveau'!$E$91</definedName>
    <definedName name="_vena_ControleIndelingQRTSub_B1_R_3_741036978363301889">'Controle Indeling QRT Subniveau'!$E$307</definedName>
    <definedName name="_vena_ControleIndelingQRTSub_B1_R_3_741036978363301891">'Controle Indeling QRT Subniveau'!$E$231</definedName>
    <definedName name="_vena_ControleIndelingQRTSub_B1_R_3_741036978367496193">'Controle Indeling QRT Subniveau'!$E$270</definedName>
    <definedName name="_vena_ControleIndelingQRTSub_B1_R_3_741036978367496195">'Controle Indeling QRT Subniveau'!$E$308</definedName>
    <definedName name="_vena_ControleIndelingQRTSub_B1_R_3_741036978367496197">'Controle Indeling QRT Subniveau'!$E$309</definedName>
    <definedName name="_vena_ControleIndelingQRTSub_B1_R_3_741036978371690497">'Controle Indeling QRT Subniveau'!$E$310</definedName>
    <definedName name="_vena_ControleIndelingQRTSub_B1_R_3_741036978371690499">'Controle Indeling QRT Subniveau'!$E$311</definedName>
    <definedName name="_vena_ControleIndelingQRTSub_B1_R_3_741036978375884801">'Controle Indeling QRT Subniveau'!$E$92</definedName>
    <definedName name="_vena_ControleIndelingQRTSub_B1_R_3_741036978375884803">'Controle Indeling QRT Subniveau'!$E$93</definedName>
    <definedName name="_vena_ControleIndelingQRTSub_B1_R_3_741036978375884805">'Controle Indeling QRT Subniveau'!$E$94</definedName>
    <definedName name="_vena_ControleIndelingQRTSub_B1_R_3_741036978380079105">'Controle Indeling QRT Subniveau'!$E$95</definedName>
    <definedName name="_vena_ControleIndelingQRTSub_B1_R_3_741036978380079107">'Controle Indeling QRT Subniveau'!$E$232</definedName>
    <definedName name="_vena_ControleIndelingQRTSub_B1_R_3_741036978380079109">'Controle Indeling QRT Subniveau'!$E$271</definedName>
    <definedName name="_vena_ControleIndelingQRTSub_B1_R_3_741036978384273409">'Controle Indeling QRT Subniveau'!$E$272</definedName>
    <definedName name="_vena_ControleIndelingQRTSub_B1_R_3_741036978384273411">'Controle Indeling QRT Subniveau'!$E$233</definedName>
    <definedName name="_vena_ControleIndelingQRTSub_B1_R_3_741036978384273413">'Controle Indeling QRT Subniveau'!$E$273</definedName>
    <definedName name="_vena_ControleIndelingQRTSub_B1_R_3_741036978388467713">'Controle Indeling QRT Subniveau'!$E$96</definedName>
    <definedName name="_vena_ControleIndelingQRTSub_B1_R_3_741036978388467715">'Controle Indeling QRT Subniveau'!$E$312</definedName>
    <definedName name="_vena_ControleIndelingQRTSub_B1_R_3_741036978392662016">'Controle Indeling QRT Subniveau'!$E$313</definedName>
    <definedName name="_vena_ControleIndelingQRTSub_B1_R_3_745374605280018432">'Controle Indeling QRT Subniveau'!$E$133</definedName>
    <definedName name="_vena_ControleIndelingQRTSub_B1_R_3_745375016732721152">'Controle Indeling QRT Subniveau'!$E$300</definedName>
    <definedName name="_vena_ControleIndelingQRTSub_B1_R_3_745375106469593088">'Controle Indeling QRT Subniveau'!$E$226</definedName>
    <definedName name="_vena_ControleIndelingQRTSub_B1_R_3_787067506366873601">'Controle Indeling QRT Subniveau'!$E$128</definedName>
    <definedName name="_vena_ControleIndelingQRTSub_B1_R_3_787067506375262209">'Controle Indeling QRT Subniveau'!$E$129</definedName>
    <definedName name="_vena_ControleIndelingQRTSub_B1_R_3_787067506396233730">'Controle Indeling QRT Subniveau'!$E$338</definedName>
    <definedName name="_vena_ControleIndelingQRTSub_B1_R_3_787067506400428033">'Controle Indeling QRT Subniveau'!$E$339</definedName>
    <definedName name="_vena_ControleIndelingQRTSub_B1_R_3_787067506425593862">'Controle Indeling QRT Subniveau'!$E$237</definedName>
    <definedName name="_vena_ControleIndelingQRTSub_B1_R_3_787067506429788172">'Controle Indeling QRT Subniveau'!$E$254</definedName>
    <definedName name="_vena_ControleIndelingQRTSub_B1_R_3_787067506442371085">'Controle Indeling QRT Subniveau'!$E$291</definedName>
    <definedName name="_vena_ControleIndelingQRTSub_B1_R_3_787067506459148326">'Controle Indeling QRT Subniveau'!$E$73</definedName>
    <definedName name="_vena_ControleIndelingQRTSub_B1_R_3_787067506467536902">'Controle Indeling QRT Subniveau'!$E$302</definedName>
    <definedName name="_vena_ControleIndelingQRTSub_B1_R_3_787067506484314126">'Controle Indeling QRT Subniveau'!$E$175</definedName>
    <definedName name="_vena_ControleIndelingQRTSub_B1_R_3_787067506509479942">'Controle Indeling QRT Subniveau'!$E$239</definedName>
    <definedName name="_vena_ControleIndelingQRTSub_B1_R_3_787067506526257152">'Controle Indeling QRT Subniveau'!$E$278</definedName>
    <definedName name="_vena_ControleIndelingQRTSub_B1_R_3_848292094858231812">'Controle Indeling QRT Subniveau'!$E$52</definedName>
    <definedName name="_vena_ControleIndelingQRTSub_B1_R_3_947147459226107910">'Controle Indeling QRT Subniveau'!$E$154</definedName>
    <definedName name="_vena_ControleIndelingQRTSub_B1_R_3_947147459238690817">'Controle Indeling QRT Subniveau'!$E$155</definedName>
    <definedName name="_vena_ControleIndelingQRTSub_B1_R_3_947147459259662336">'Controle Indeling QRT Subniveau'!$E$130</definedName>
    <definedName name="_vena_ControleIndelingQRTSub_B1_R_3_947147459272245252">'Controle Indeling QRT Subniveau'!$E$156</definedName>
    <definedName name="_vena_ControleIndelingQRTSub_B1_R_3_947147459276439554">'Controle Indeling QRT Subniveau'!$E$157</definedName>
    <definedName name="_vena_ControleIndelingQRTSub_B1_R_3_947147459284828166">'Controle Indeling QRT Subniveau'!$E$337</definedName>
    <definedName name="_vena_ControleIndelingQRTSub_B1_R_3_947147459297411075">'Controle Indeling QRT Subniveau'!$E$359</definedName>
    <definedName name="_vena_ControleIndelingQRTSub_B1_R_3_947147459318382595">'Controle Indeling QRT Subniveau'!$E$360</definedName>
    <definedName name="_vena_ControleIndelingQRTSub_B1_R_3_947147459322576897">'Controle Indeling QRT Subniveau'!$E$361</definedName>
    <definedName name="_vena_ControleIndelingQRTSub_B1_R_3_947147459377102859">'Controle Indeling QRT Subniveau'!$E$259</definedName>
    <definedName name="_vena_ControleIndelingQRTSub_B1_R_3_947147459385491457">'Controle Indeling QRT Subniveau'!$E$260</definedName>
    <definedName name="_vena_ControleIndelingQRTSub_B1_R_3_982737416803450901">'Controle Indeling QRT Subniveau'!$E$375</definedName>
    <definedName name="_vena_ControleIndelingQRTSub_B1_R_3_982737416811839488">'Controle Indeling QRT Subniveau'!$E$374</definedName>
    <definedName name="_vena_ControleIndelingQRTSub_B1_R_3_982737416862171137">'Controle Indeling QRT Subniveau'!$E$262</definedName>
    <definedName name="_vena_ControleIndelingQRTSub_P_4_718931129058590721" comment="*">'Controle Indeling QRT Subniveau'!$D$7</definedName>
    <definedName name="_vena_ControleIndelingQRTSub_P_5_718931142656917509" comment="*">'Controle Indeling QRT Subniveau'!$D$8</definedName>
    <definedName name="_vena_ControleIndelingQRTSub_P_6_730565783391305729" comment="*">'Controle Indeling QRT Subniveau'!$D$9</definedName>
    <definedName name="_vena_ControleIndelingQRTSub_P_7_720673044374355968" comment="*">'Controle Indeling QRT Subniveau'!$D$10</definedName>
    <definedName name="_vena_DYNR_SControleIndelingEPR_BB1_f8b5799c">'Controle Indeling EPR'!$E$19</definedName>
    <definedName name="_vena_DYNR_SControleIndelingEPR_BB1_f8b5799c_3e711acd">'Controle Indeling EPR'!$E$22</definedName>
    <definedName name="_vena_DYNR_SControleIndelingEPR_BB1_f8b5799c_82beed20">'Controle Indeling EPR'!$E$21</definedName>
    <definedName name="_vena_DYNR_SControleIndelingEPR_BB1_f8b5799c_95645131">'Controle Indeling EPR'!$E$20</definedName>
    <definedName name="_vena_DYNR_SControleIndelingEPR_BB1_f8b5799c_a7bc0dcd">'Controle Indeling EPR'!$E$23</definedName>
    <definedName name="_vena_DYNR_SControleIndelingEPR_BB1_f8b5799c_a8271f4c">'Controle Indeling EPR'!$E$24</definedName>
    <definedName name="_vena_DYNR_SControleIndelingEPR_BB1_f8b5799c_f0df2242">'Controle Indeling EPR'!$E$25</definedName>
    <definedName name="_vena_DYNR_SControleIndelingHRG_BB1_183a5d0f">'Controle Indeling HRG'!$E$376</definedName>
    <definedName name="_vena_DYNR_SControleIndelingHRG_BB1_183a5d0f_15734136">'Controle Indeling HRG'!$E$383</definedName>
    <definedName name="_vena_DYNR_SControleIndelingHRG_BB1_183a5d0f_3456bc71">'Controle Indeling HRG'!$E$378</definedName>
    <definedName name="_vena_DYNR_SControleIndelingHRG_BB1_183a5d0f_5314df43">'Controle Indeling HRG'!$E$381</definedName>
    <definedName name="_vena_DYNR_SControleIndelingHRG_BB1_183a5d0f_5cb92276">'Controle Indeling HRG'!$E$382</definedName>
    <definedName name="_vena_DYNR_SControleIndelingHRG_BB1_183a5d0f_61a8ed04">'Controle Indeling HRG'!$E$384</definedName>
    <definedName name="_vena_DYNR_SControleIndelingHRG_BB1_183a5d0f_8cd1f626">'Controle Indeling HRG'!$E$377</definedName>
    <definedName name="_vena_DYNR_SControleIndelingHRG_BB1_183a5d0f_8dc11b88">'Controle Indeling HRG'!$E$379</definedName>
    <definedName name="_vena_DYNR_SControleIndelingHRG_BB1_183a5d0f_900b468d">'Controle Indeling HRG'!$E$388</definedName>
    <definedName name="_vena_DYNR_SControleIndelingHRG_BB1_183a5d0f_d0ff11d4">'Controle Indeling HRG'!$E$387</definedName>
    <definedName name="_vena_DYNR_SControleIndelingHRG_BB1_183a5d0f_d9e1395b">'Controle Indeling HRG'!$E$385</definedName>
    <definedName name="_vena_DYNR_SControleIndelingHRG_BB1_183a5d0f_e2ce121f">'Controle Indeling HRG'!$E$380</definedName>
    <definedName name="_vena_DYNR_SControleIndelingHRG_BB1_183a5d0f_f80d6f0c">'Controle Indeling HRG'!$E$386</definedName>
    <definedName name="_vena_DYNR_SControleIndelingHRG_BB1_1cc39456">'Controle Indeling HRG'!$E$357</definedName>
    <definedName name="_vena_DYNR_SControleIndelingHRG_BB1_1cc39456_d56df079">'Controle Indeling HRG'!$E$358</definedName>
    <definedName name="_vena_DYNR_SControleIndelingHRG_BB1_265c482c">'Controle Indeling HRG'!$E$365</definedName>
    <definedName name="_vena_DYNR_SControleIndelingHRG_BB1_265c482c_343645d1">'Controle Indeling HRG'!$E$371</definedName>
    <definedName name="_vena_DYNR_SControleIndelingHRG_BB1_265c482c_84fb83a0">'Controle Indeling HRG'!$E$368</definedName>
    <definedName name="_vena_DYNR_SControleIndelingHRG_BB1_265c482c_88ec08c2">'Controle Indeling HRG'!$E$366</definedName>
    <definedName name="_vena_DYNR_SControleIndelingHRG_BB1_265c482c_92833aff">'Controle Indeling HRG'!$E$367</definedName>
    <definedName name="_vena_DYNR_SControleIndelingHRG_BB1_265c482c_daec520b">'Controle Indeling HRG'!$E$370</definedName>
    <definedName name="_vena_DYNR_SControleIndelingHRG_BB1_265c482c_e36d6313">'Controle Indeling HRG'!$E$369</definedName>
    <definedName name="_vena_DYNR_SControleIndelingHRG_BB1_28bbe9d6">'Controle Indeling HRG'!$E$155</definedName>
    <definedName name="_vena_DYNR_SControleIndelingHRG_BB1_28bbe9d6_1566a0eb">'Controle Indeling HRG'!$E$156</definedName>
    <definedName name="_vena_DYNR_SControleIndelingHRG_BB1_28bbe9d6_22d7de3f">'Controle Indeling HRG'!$E$172</definedName>
    <definedName name="_vena_DYNR_SControleIndelingHRG_BB1_28bbe9d6_239f227f">'Controle Indeling HRG'!$E$164</definedName>
    <definedName name="_vena_DYNR_SControleIndelingHRG_BB1_28bbe9d6_6389642f">'Controle Indeling HRG'!$E$173</definedName>
    <definedName name="_vena_DYNR_SControleIndelingHRG_BB1_28bbe9d6_75de8273">'Controle Indeling HRG'!$E$159</definedName>
    <definedName name="_vena_DYNR_SControleIndelingHRG_BB1_28bbe9d6_82f7c71">'Controle Indeling HRG'!$E$175</definedName>
    <definedName name="_vena_DYNR_SControleIndelingHRG_BB1_28bbe9d6_8bdf1f44">'Controle Indeling HRG'!$E$169</definedName>
    <definedName name="_vena_DYNR_SControleIndelingHRG_BB1_28bbe9d6_8f8b1bf3">'Controle Indeling HRG'!$E$157</definedName>
    <definedName name="_vena_DYNR_SControleIndelingHRG_BB1_28bbe9d6_92a7ad53">'Controle Indeling HRG'!$E$170</definedName>
    <definedName name="_vena_DYNR_SControleIndelingHRG_BB1_28bbe9d6_97b2fdd1">'Controle Indeling HRG'!$E$162</definedName>
    <definedName name="_vena_DYNR_SControleIndelingHRG_BB1_28bbe9d6_99d65b0c">'Controle Indeling HRG'!$E$168</definedName>
    <definedName name="_vena_DYNR_SControleIndelingHRG_BB1_28bbe9d6_c42058d4">'Controle Indeling HRG'!$E$174</definedName>
    <definedName name="_vena_DYNR_SControleIndelingHRG_BB1_28bbe9d6_cb3f5ac8">'Controle Indeling HRG'!$E$163</definedName>
    <definedName name="_vena_DYNR_SControleIndelingHRG_BB1_28bbe9d6_d6ba0135">'Controle Indeling HRG'!$E$161</definedName>
    <definedName name="_vena_DYNR_SControleIndelingHRG_BB1_28bbe9d6_d9c86f54">'Controle Indeling HRG'!$E$166</definedName>
    <definedName name="_vena_DYNR_SControleIndelingHRG_BB1_28bbe9d6_da3d3e6c">'Controle Indeling HRG'!$E$158</definedName>
    <definedName name="_vena_DYNR_SControleIndelingHRG_BB1_28bbe9d6_dcb5e11e">'Controle Indeling HRG'!$E$167</definedName>
    <definedName name="_vena_DYNR_SControleIndelingHRG_BB1_28bbe9d6_df9db812">'Controle Indeling HRG'!$E$165</definedName>
    <definedName name="_vena_DYNR_SControleIndelingHRG_BB1_28bbe9d6_f73a0596">'Controle Indeling HRG'!$E$160</definedName>
    <definedName name="_vena_DYNR_SControleIndelingHRG_BB1_28bbe9d6_fa75d312">'Controle Indeling HRG'!$E$171</definedName>
    <definedName name="_vena_DYNR_SControleIndelingHRG_BB1_306b4125">'Controle Indeling HRG'!$E$88</definedName>
    <definedName name="_vena_DYNR_SControleIndelingHRG_BB1_306b4125_309a0f6d">'Controle Indeling HRG'!$E$94</definedName>
    <definedName name="_vena_DYNR_SControleIndelingHRG_BB1_306b4125_4f8a9c3b">'Controle Indeling HRG'!$E$90</definedName>
    <definedName name="_vena_DYNR_SControleIndelingHRG_BB1_306b4125_54f7d22f">'Controle Indeling HRG'!$E$93</definedName>
    <definedName name="_vena_DYNR_SControleIndelingHRG_BB1_306b4125_62029ea2">'Controle Indeling HRG'!$E$89</definedName>
    <definedName name="_vena_DYNR_SControleIndelingHRG_BB1_306b4125_cc502b5a">'Controle Indeling HRG'!$E$91</definedName>
    <definedName name="_vena_DYNR_SControleIndelingHRG_BB1_306b4125_f1996a4a">'Controle Indeling HRG'!$E$92</definedName>
    <definedName name="_vena_DYNR_SControleIndelingHRG_BB1_31c2b3f0">'Controle Indeling HRG'!$E$35</definedName>
    <definedName name="_vena_DYNR_SControleIndelingHRG_BB1_31c2b3f0_45ff9de9">'Controle Indeling HRG'!$E$38</definedName>
    <definedName name="_vena_DYNR_SControleIndelingHRG_BB1_31c2b3f0_893aca30">'Controle Indeling HRG'!$E$37</definedName>
    <definedName name="_vena_DYNR_SControleIndelingHRG_BB1_31c2b3f0_a75a8bf7">'Controle Indeling HRG'!$E$39</definedName>
    <definedName name="_vena_DYNR_SControleIndelingHRG_BB1_31c2b3f0_aaaa1170">'Controle Indeling HRG'!$E$36</definedName>
    <definedName name="_vena_DYNR_SControleIndelingHRG_BB1_37716b4">'Controle Indeling HRG'!$E$353</definedName>
    <definedName name="_vena_DYNR_SControleIndelingHRG_BB1_37716b4_72b6d41c">'Controle Indeling HRG'!$E$356</definedName>
    <definedName name="_vena_DYNR_SControleIndelingHRG_BB1_37716b4_b16f3547">'Controle Indeling HRG'!$E$355</definedName>
    <definedName name="_vena_DYNR_SControleIndelingHRG_BB1_37716b4_f33f9016">'Controle Indeling HRG'!$E$354</definedName>
    <definedName name="_vena_DYNR_SControleIndelingHRG_BB1_41482e21">'Controle Indeling HRG'!$E$176</definedName>
    <definedName name="_vena_DYNR_SControleIndelingHRG_BB1_41482e21_1c85db98">'Controle Indeling HRG'!$E$187</definedName>
    <definedName name="_vena_DYNR_SControleIndelingHRG_BB1_41482e21_31aa8b3">'Controle Indeling HRG'!$E$186</definedName>
    <definedName name="_vena_DYNR_SControleIndelingHRG_BB1_41482e21_3c712d13">'Controle Indeling HRG'!$E$185</definedName>
    <definedName name="_vena_DYNR_SControleIndelingHRG_BB1_41482e21_576abc92">'Controle Indeling HRG'!$E$182</definedName>
    <definedName name="_vena_DYNR_SControleIndelingHRG_BB1_41482e21_6319d0a">'Controle Indeling HRG'!$E$178</definedName>
    <definedName name="_vena_DYNR_SControleIndelingHRG_BB1_41482e21_740965bf">'Controle Indeling HRG'!$E$180</definedName>
    <definedName name="_vena_DYNR_SControleIndelingHRG_BB1_41482e21_9ee9b17b">'Controle Indeling HRG'!$E$188</definedName>
    <definedName name="_vena_DYNR_SControleIndelingHRG_BB1_41482e21_a14705b0">'Controle Indeling HRG'!$E$189</definedName>
    <definedName name="_vena_DYNR_SControleIndelingHRG_BB1_41482e21_ab0ccda6">'Controle Indeling HRG'!$E$183</definedName>
    <definedName name="_vena_DYNR_SControleIndelingHRG_BB1_41482e21_be9ebacb">'Controle Indeling HRG'!$E$177</definedName>
    <definedName name="_vena_DYNR_SControleIndelingHRG_BB1_41482e21_c4d66542">'Controle Indeling HRG'!$E$184</definedName>
    <definedName name="_vena_DYNR_SControleIndelingHRG_BB1_41482e21_d20b59a">'Controle Indeling HRG'!$E$181</definedName>
    <definedName name="_vena_DYNR_SControleIndelingHRG_BB1_41482e21_e2af3efd">'Controle Indeling HRG'!$E$179</definedName>
    <definedName name="_vena_DYNR_SControleIndelingHRG_BB1_4235a38">'Controle Indeling HRG'!$E$211</definedName>
    <definedName name="_vena_DYNR_SControleIndelingHRG_BB1_4235a38_142983c7">'Controle Indeling HRG'!$E$214</definedName>
    <definedName name="_vena_DYNR_SControleIndelingHRG_BB1_4235a38_6bfb2ff6">'Controle Indeling HRG'!$E$218</definedName>
    <definedName name="_vena_DYNR_SControleIndelingHRG_BB1_4235a38_8d03c1f9">'Controle Indeling HRG'!$E$213</definedName>
    <definedName name="_vena_DYNR_SControleIndelingHRG_BB1_4235a38_9e5931ab">'Controle Indeling HRG'!$E$215</definedName>
    <definedName name="_vena_DYNR_SControleIndelingHRG_BB1_4235a38_b81db32d">'Controle Indeling HRG'!$E$212</definedName>
    <definedName name="_vena_DYNR_SControleIndelingHRG_BB1_4235a38_c62a5869">'Controle Indeling HRG'!$E$217</definedName>
    <definedName name="_vena_DYNR_SControleIndelingHRG_BB1_4235a38_f216cbf">'Controle Indeling HRG'!$E$216</definedName>
    <definedName name="_vena_DYNR_SControleIndelingHRG_BB1_63742b08">'Controle Indeling HRG'!$E$190</definedName>
    <definedName name="_vena_DYNR_SControleIndelingHRG_BB1_63742b08_372c83a6">'Controle Indeling HRG'!$E$196</definedName>
    <definedName name="_vena_DYNR_SControleIndelingHRG_BB1_63742b08_47d1eeee">'Controle Indeling HRG'!$E$193</definedName>
    <definedName name="_vena_DYNR_SControleIndelingHRG_BB1_63742b08_72d97c15">'Controle Indeling HRG'!$E$202</definedName>
    <definedName name="_vena_DYNR_SControleIndelingHRG_BB1_63742b08_825fab4a">'Controle Indeling HRG'!$E$195</definedName>
    <definedName name="_vena_DYNR_SControleIndelingHRG_BB1_63742b08_8d59834b">'Controle Indeling HRG'!$E$191</definedName>
    <definedName name="_vena_DYNR_SControleIndelingHRG_BB1_63742b08_9015ed27">'Controle Indeling HRG'!$E$194</definedName>
    <definedName name="_vena_DYNR_SControleIndelingHRG_BB1_63742b08_945a94c8">'Controle Indeling HRG'!$E$197</definedName>
    <definedName name="_vena_DYNR_SControleIndelingHRG_BB1_63742b08_9f8bc2ac">'Controle Indeling HRG'!$E$200</definedName>
    <definedName name="_vena_DYNR_SControleIndelingHRG_BB1_63742b08_a419b1a4">'Controle Indeling HRG'!$E$198</definedName>
    <definedName name="_vena_DYNR_SControleIndelingHRG_BB1_63742b08_b8d1ada4">'Controle Indeling HRG'!$E$192</definedName>
    <definedName name="_vena_DYNR_SControleIndelingHRG_BB1_63742b08_e1854116">'Controle Indeling HRG'!$E$201</definedName>
    <definedName name="_vena_DYNR_SControleIndelingHRG_BB1_63742b08_ed3d850c">'Controle Indeling HRG'!$E$199</definedName>
    <definedName name="_vena_DYNR_SControleIndelingHRG_BB1_6c2f193e">'Controle Indeling HRG'!$E$65</definedName>
    <definedName name="_vena_DYNR_SControleIndelingHRG_BB1_6c2f193e_287298c6">'Controle Indeling HRG'!$E$68</definedName>
    <definedName name="_vena_DYNR_SControleIndelingHRG_BB1_6c2f193e_3ed4ab34">'Controle Indeling HRG'!$E$67</definedName>
    <definedName name="_vena_DYNR_SControleIndelingHRG_BB1_6c2f193e_7878b3b1">'Controle Indeling HRG'!$E$69</definedName>
    <definedName name="_vena_DYNR_SControleIndelingHRG_BB1_6c2f193e_a6dd7593">'Controle Indeling HRG'!$E$71</definedName>
    <definedName name="_vena_DYNR_SControleIndelingHRG_BB1_6c2f193e_c63c9b88">'Controle Indeling HRG'!$E$73</definedName>
    <definedName name="_vena_DYNR_SControleIndelingHRG_BB1_6c2f193e_ca4f5be">'Controle Indeling HRG'!$E$74</definedName>
    <definedName name="_vena_DYNR_SControleIndelingHRG_BB1_6c2f193e_e64f54f7">'Controle Indeling HRG'!$E$70</definedName>
    <definedName name="_vena_DYNR_SControleIndelingHRG_BB1_6c2f193e_f0e6e0df">'Controle Indeling HRG'!$E$66</definedName>
    <definedName name="_vena_DYNR_SControleIndelingHRG_BB1_6c2f193e_f8eb7bd0">'Controle Indeling HRG'!$E$72</definedName>
    <definedName name="_vena_DYNR_SControleIndelingHRG_BB1_6cb6327">'Controle Indeling HRG'!$E$277</definedName>
    <definedName name="_vena_DYNR_SControleIndelingHRG_BB1_6cb6327_159e8cb6">'Controle Indeling HRG'!$E$280</definedName>
    <definedName name="_vena_DYNR_SControleIndelingHRG_BB1_6cb6327_17ce69d0">'Controle Indeling HRG'!$E$303</definedName>
    <definedName name="_vena_DYNR_SControleIndelingHRG_BB1_6cb6327_1a6417df">'Controle Indeling HRG'!$E$278</definedName>
    <definedName name="_vena_DYNR_SControleIndelingHRG_BB1_6cb6327_2582221f">'Controle Indeling HRG'!$E$336</definedName>
    <definedName name="_vena_DYNR_SControleIndelingHRG_BB1_6cb6327_266965d2">'Controle Indeling HRG'!$E$327</definedName>
    <definedName name="_vena_DYNR_SControleIndelingHRG_BB1_6cb6327_30e88050">'Controle Indeling HRG'!$E$283</definedName>
    <definedName name="_vena_DYNR_SControleIndelingHRG_BB1_6cb6327_30fd4d45">'Controle Indeling HRG'!$E$322</definedName>
    <definedName name="_vena_DYNR_SControleIndelingHRG_BB1_6cb6327_325afaab">'Controle Indeling HRG'!$E$298</definedName>
    <definedName name="_vena_DYNR_SControleIndelingHRG_BB1_6cb6327_339a92be">'Controle Indeling HRG'!$E$314</definedName>
    <definedName name="_vena_DYNR_SControleIndelingHRG_BB1_6cb6327_33c59c2">'Controle Indeling HRG'!$E$324</definedName>
    <definedName name="_vena_DYNR_SControleIndelingHRG_BB1_6cb6327_35633bf">'Controle Indeling HRG'!$E$289</definedName>
    <definedName name="_vena_DYNR_SControleIndelingHRG_BB1_6cb6327_44138c15">'Controle Indeling HRG'!$E$318</definedName>
    <definedName name="_vena_DYNR_SControleIndelingHRG_BB1_6cb6327_446f96af">'Controle Indeling HRG'!$E$313</definedName>
    <definedName name="_vena_DYNR_SControleIndelingHRG_BB1_6cb6327_472e2cf2">'Controle Indeling HRG'!$E$301</definedName>
    <definedName name="_vena_DYNR_SControleIndelingHRG_BB1_6cb6327_47c73b5d">'Controle Indeling HRG'!$E$300</definedName>
    <definedName name="_vena_DYNR_SControleIndelingHRG_BB1_6cb6327_4d0c70ac">'Controle Indeling HRG'!$E$310</definedName>
    <definedName name="_vena_DYNR_SControleIndelingHRG_BB1_6cb6327_54d86eef">'Controle Indeling HRG'!$E$279</definedName>
    <definedName name="_vena_DYNR_SControleIndelingHRG_BB1_6cb6327_58350e9b">'Controle Indeling HRG'!$E$325</definedName>
    <definedName name="_vena_DYNR_SControleIndelingHRG_BB1_6cb6327_5edd8736">'Controle Indeling HRG'!$E$295</definedName>
    <definedName name="_vena_DYNR_SControleIndelingHRG_BB1_6cb6327_617e691d">'Controle Indeling HRG'!$E$317</definedName>
    <definedName name="_vena_DYNR_SControleIndelingHRG_BB1_6cb6327_61a3b099">'Controle Indeling HRG'!$E$338</definedName>
    <definedName name="_vena_DYNR_SControleIndelingHRG_BB1_6cb6327_673f684">'Controle Indeling HRG'!$E$315</definedName>
    <definedName name="_vena_DYNR_SControleIndelingHRG_BB1_6cb6327_69883d34">'Controle Indeling HRG'!$E$305</definedName>
    <definedName name="_vena_DYNR_SControleIndelingHRG_BB1_6cb6327_772317f9">'Controle Indeling HRG'!$E$330</definedName>
    <definedName name="_vena_DYNR_SControleIndelingHRG_BB1_6cb6327_7bb86fb">'Controle Indeling HRG'!$E$309</definedName>
    <definedName name="_vena_DYNR_SControleIndelingHRG_BB1_6cb6327_7f40b5f5">'Controle Indeling HRG'!$E$299</definedName>
    <definedName name="_vena_DYNR_SControleIndelingHRG_BB1_6cb6327_81670bbd">'Controle Indeling HRG'!$E$316</definedName>
    <definedName name="_vena_DYNR_SControleIndelingHRG_BB1_6cb6327_86e2f887">'Controle Indeling HRG'!$E$307</definedName>
    <definedName name="_vena_DYNR_SControleIndelingHRG_BB1_6cb6327_88f0be4d">'Controle Indeling HRG'!$E$333</definedName>
    <definedName name="_vena_DYNR_SControleIndelingHRG_BB1_6cb6327_8d89e56d">'Controle Indeling HRG'!$E$302</definedName>
    <definedName name="_vena_DYNR_SControleIndelingHRG_BB1_6cb6327_8e23acdd">'Controle Indeling HRG'!$E$335</definedName>
    <definedName name="_vena_DYNR_SControleIndelingHRG_BB1_6cb6327_8ed3ef36">'Controle Indeling HRG'!$E$286</definedName>
    <definedName name="_vena_DYNR_SControleIndelingHRG_BB1_6cb6327_911abb6c">'Controle Indeling HRG'!$E$290</definedName>
    <definedName name="_vena_DYNR_SControleIndelingHRG_BB1_6cb6327_9439847b">'Controle Indeling HRG'!$E$339</definedName>
    <definedName name="_vena_DYNR_SControleIndelingHRG_BB1_6cb6327_9684a85d">'Controle Indeling HRG'!$E$282</definedName>
    <definedName name="_vena_DYNR_SControleIndelingHRG_BB1_6cb6327_98321e20">'Controle Indeling HRG'!$E$326</definedName>
    <definedName name="_vena_DYNR_SControleIndelingHRG_BB1_6cb6327_993b783c">'Controle Indeling HRG'!$E$308</definedName>
    <definedName name="_vena_DYNR_SControleIndelingHRG_BB1_6cb6327_a64edf98">'Controle Indeling HRG'!$E$306</definedName>
    <definedName name="_vena_DYNR_SControleIndelingHRG_BB1_6cb6327_ab8bb01">'Controle Indeling HRG'!$E$337</definedName>
    <definedName name="_vena_DYNR_SControleIndelingHRG_BB1_6cb6327_b0e7cc1b">'Controle Indeling HRG'!$E$312</definedName>
    <definedName name="_vena_DYNR_SControleIndelingHRG_BB1_6cb6327_b20b7386">'Controle Indeling HRG'!$E$341</definedName>
    <definedName name="_vena_DYNR_SControleIndelingHRG_BB1_6cb6327_b2844e03">'Controle Indeling HRG'!$E$287</definedName>
    <definedName name="_vena_DYNR_SControleIndelingHRG_BB1_6cb6327_b9507135">'Controle Indeling HRG'!$E$293</definedName>
    <definedName name="_vena_DYNR_SControleIndelingHRG_BB1_6cb6327_bafdcbd8">'Controle Indeling HRG'!$E$284</definedName>
    <definedName name="_vena_DYNR_SControleIndelingHRG_BB1_6cb6327_bbd0cea7">'Controle Indeling HRG'!$E$281</definedName>
    <definedName name="_vena_DYNR_SControleIndelingHRG_BB1_6cb6327_bcedc7f9">'Controle Indeling HRG'!$E$304</definedName>
    <definedName name="_vena_DYNR_SControleIndelingHRG_BB1_6cb6327_bd0b00e9">'Controle Indeling HRG'!$E$288</definedName>
    <definedName name="_vena_DYNR_SControleIndelingHRG_BB1_6cb6327_bdcc99b0">'Controle Indeling HRG'!$E$297</definedName>
    <definedName name="_vena_DYNR_SControleIndelingHRG_BB1_6cb6327_bdf4143">'Controle Indeling HRG'!$E$323</definedName>
    <definedName name="_vena_DYNR_SControleIndelingHRG_BB1_6cb6327_c060325d">'Controle Indeling HRG'!$E$340</definedName>
    <definedName name="_vena_DYNR_SControleIndelingHRG_BB1_6cb6327_c56c0ae">'Controle Indeling HRG'!$E$332</definedName>
    <definedName name="_vena_DYNR_SControleIndelingHRG_BB1_6cb6327_c95a91b1">'Controle Indeling HRG'!$E$294</definedName>
    <definedName name="_vena_DYNR_SControleIndelingHRG_BB1_6cb6327_cbc0581d">'Controle Indeling HRG'!$E$292</definedName>
    <definedName name="_vena_DYNR_SControleIndelingHRG_BB1_6cb6327_cc770c65">'Controle Indeling HRG'!$E$334</definedName>
    <definedName name="_vena_DYNR_SControleIndelingHRG_BB1_6cb6327_d03273f">'Controle Indeling HRG'!$E$321</definedName>
    <definedName name="_vena_DYNR_SControleIndelingHRG_BB1_6cb6327_d17b09a7">'Controle Indeling HRG'!$E$331</definedName>
    <definedName name="_vena_DYNR_SControleIndelingHRG_BB1_6cb6327_d25d30d6">'Controle Indeling HRG'!$E$311</definedName>
    <definedName name="_vena_DYNR_SControleIndelingHRG_BB1_6cb6327_d8b4aada">'Controle Indeling HRG'!$E$328</definedName>
    <definedName name="_vena_DYNR_SControleIndelingHRG_BB1_6cb6327_e3165403">'Controle Indeling HRG'!$E$291</definedName>
    <definedName name="_vena_DYNR_SControleIndelingHRG_BB1_6cb6327_f18b6485">'Controle Indeling HRG'!$E$320</definedName>
    <definedName name="_vena_DYNR_SControleIndelingHRG_BB1_6cb6327_f42a6255">'Controle Indeling HRG'!$E$285</definedName>
    <definedName name="_vena_DYNR_SControleIndelingHRG_BB1_6cb6327_f6044cb6">'Controle Indeling HRG'!$E$319</definedName>
    <definedName name="_vena_DYNR_SControleIndelingHRG_BB1_6cb6327_f653a76e">'Controle Indeling HRG'!$E$296</definedName>
    <definedName name="_vena_DYNR_SControleIndelingHRG_BB1_6cb6327_fac68f60">'Controle Indeling HRG'!$E$329</definedName>
    <definedName name="_vena_DYNR_SControleIndelingHRG_BB1_7054dad3">'Controle Indeling HRG'!$E$121</definedName>
    <definedName name="_vena_DYNR_SControleIndelingHRG_BB1_7054dad3_68233e6d">'Controle Indeling HRG'!$E$126</definedName>
    <definedName name="_vena_DYNR_SControleIndelingHRG_BB1_7054dad3_8f1251f6">'Controle Indeling HRG'!$E$124</definedName>
    <definedName name="_vena_DYNR_SControleIndelingHRG_BB1_7054dad3_b1bdc13b">'Controle Indeling HRG'!$E$123</definedName>
    <definedName name="_vena_DYNR_SControleIndelingHRG_BB1_7054dad3_c3ac09af">'Controle Indeling HRG'!$E$122</definedName>
    <definedName name="_vena_DYNR_SControleIndelingHRG_BB1_7054dad3_f50f221f">'Controle Indeling HRG'!$E$125</definedName>
    <definedName name="_vena_DYNR_SControleIndelingHRG_BB1_71718613">'Controle Indeling HRG'!$E$203</definedName>
    <definedName name="_vena_DYNR_SControleIndelingHRG_BB1_71718613_2abd6f61">'Controle Indeling HRG'!$E$208</definedName>
    <definedName name="_vena_DYNR_SControleIndelingHRG_BB1_71718613_418ff862">'Controle Indeling HRG'!$E$207</definedName>
    <definedName name="_vena_DYNR_SControleIndelingHRG_BB1_71718613_53cb3f38">'Controle Indeling HRG'!$E$206</definedName>
    <definedName name="_vena_DYNR_SControleIndelingHRG_BB1_71718613_7084a08c">'Controle Indeling HRG'!$E$209</definedName>
    <definedName name="_vena_DYNR_SControleIndelingHRG_BB1_71718613_b07eb8e6">'Controle Indeling HRG'!$E$204</definedName>
    <definedName name="_vena_DYNR_SControleIndelingHRG_BB1_71718613_c6020fff">'Controle Indeling HRG'!$E$205</definedName>
    <definedName name="_vena_DYNR_SControleIndelingHRG_BB1_71718613_cfb491d0">'Controle Indeling HRG'!$E$210</definedName>
    <definedName name="_vena_DYNR_SControleIndelingHRG_BB1_80216a58">'Controle Indeling HRG'!$E$372</definedName>
    <definedName name="_vena_DYNR_SControleIndelingHRG_BB1_80216a58_374a3842">'Controle Indeling HRG'!$E$374</definedName>
    <definedName name="_vena_DYNR_SControleIndelingHRG_BB1_80216a58_40a3a0c4">'Controle Indeling HRG'!$E$373</definedName>
    <definedName name="_vena_DYNR_SControleIndelingHRG_BB1_80216a58_861ddeff">'Controle Indeling HRG'!$E$375</definedName>
    <definedName name="_vena_DYNR_SControleIndelingHRG_BB1_83fbd2a7">'Controle Indeling HRG'!$E$271</definedName>
    <definedName name="_vena_DYNR_SControleIndelingHRG_BB1_83fbd2a7_343cc20e">'Controle Indeling HRG'!$E$273</definedName>
    <definedName name="_vena_DYNR_SControleIndelingHRG_BB1_83fbd2a7_4e086953">'Controle Indeling HRG'!$E$275</definedName>
    <definedName name="_vena_DYNR_SControleIndelingHRG_BB1_83fbd2a7_5929f5b5">'Controle Indeling HRG'!$E$276</definedName>
    <definedName name="_vena_DYNR_SControleIndelingHRG_BB1_83fbd2a7_be79fd0f">'Controle Indeling HRG'!$E$272</definedName>
    <definedName name="_vena_DYNR_SControleIndelingHRG_BB1_83fbd2a7_c9967d52">'Controle Indeling HRG'!$E$274</definedName>
    <definedName name="_vena_DYNR_SControleIndelingHRG_BB1_90d5ac30">'Controle Indeling HRG'!$E$75</definedName>
    <definedName name="_vena_DYNR_SControleIndelingHRG_BB1_90d5ac30_4bc604d1">'Controle Indeling HRG'!$E$79</definedName>
    <definedName name="_vena_DYNR_SControleIndelingHRG_BB1_90d5ac30_5f935071">'Controle Indeling HRG'!$E$87</definedName>
    <definedName name="_vena_DYNR_SControleIndelingHRG_BB1_90d5ac30_6162d906">'Controle Indeling HRG'!$E$78</definedName>
    <definedName name="_vena_DYNR_SControleIndelingHRG_BB1_90d5ac30_7589eff7">'Controle Indeling HRG'!$E$81</definedName>
    <definedName name="_vena_DYNR_SControleIndelingHRG_BB1_90d5ac30_7bcd5306">'Controle Indeling HRG'!$E$86</definedName>
    <definedName name="_vena_DYNR_SControleIndelingHRG_BB1_90d5ac30_7e33e879">'Controle Indeling HRG'!$E$77</definedName>
    <definedName name="_vena_DYNR_SControleIndelingHRG_BB1_90d5ac30_7fdc768c">'Controle Indeling HRG'!$E$82</definedName>
    <definedName name="_vena_DYNR_SControleIndelingHRG_BB1_90d5ac30_98ca4368">'Controle Indeling HRG'!$E$85</definedName>
    <definedName name="_vena_DYNR_SControleIndelingHRG_BB1_90d5ac30_abfdba55">'Controle Indeling HRG'!$E$80</definedName>
    <definedName name="_vena_DYNR_SControleIndelingHRG_BB1_90d5ac30_d7b12127">'Controle Indeling HRG'!$E$84</definedName>
    <definedName name="_vena_DYNR_SControleIndelingHRG_BB1_90d5ac30_efa6e15a">'Controle Indeling HRG'!$E$76</definedName>
    <definedName name="_vena_DYNR_SControleIndelingHRG_BB1_90d5ac30_f3e4a5cd">'Controle Indeling HRG'!$E$83</definedName>
    <definedName name="_vena_DYNR_SControleIndelingHRG_BB1_94d8432c">'Controle Indeling HRG'!$E$347</definedName>
    <definedName name="_vena_DYNR_SControleIndelingHRG_BB1_94d8432c_15566e18">'Controle Indeling HRG'!$E$349</definedName>
    <definedName name="_vena_DYNR_SControleIndelingHRG_BB1_94d8432c_2e486b78">'Controle Indeling HRG'!$E$348</definedName>
    <definedName name="_vena_DYNR_SControleIndelingHRG_BB1_94d8432c_739bfceb">'Controle Indeling HRG'!$E$351</definedName>
    <definedName name="_vena_DYNR_SControleIndelingHRG_BB1_94d8432c_ada7b8af">'Controle Indeling HRG'!$E$350</definedName>
    <definedName name="_vena_DYNR_SControleIndelingHRG_BB1_94d8432c_b8ebc444">'Controle Indeling HRG'!$E$352</definedName>
    <definedName name="_vena_DYNR_SControleIndelingHRG_BB1_99b26d84">'Controle Indeling HRG'!$E$40</definedName>
    <definedName name="_vena_DYNR_SControleIndelingHRG_BB1_99b26d84_29b8f53b">'Controle Indeling HRG'!$E$46</definedName>
    <definedName name="_vena_DYNR_SControleIndelingHRG_BB1_99b26d84_2fdd954c">'Controle Indeling HRG'!$E$41</definedName>
    <definedName name="_vena_DYNR_SControleIndelingHRG_BB1_99b26d84_3561776a">'Controle Indeling HRG'!$E$48</definedName>
    <definedName name="_vena_DYNR_SControleIndelingHRG_BB1_99b26d84_3948a512">'Controle Indeling HRG'!$E$42</definedName>
    <definedName name="_vena_DYNR_SControleIndelingHRG_BB1_99b26d84_70736a1b">'Controle Indeling HRG'!$E$43</definedName>
    <definedName name="_vena_DYNR_SControleIndelingHRG_BB1_99b26d84_79de8dd2">'Controle Indeling HRG'!$E$49</definedName>
    <definedName name="_vena_DYNR_SControleIndelingHRG_BB1_99b26d84_a12ed933">'Controle Indeling HRG'!$E$50</definedName>
    <definedName name="_vena_DYNR_SControleIndelingHRG_BB1_99b26d84_b87c127d">'Controle Indeling HRG'!$E$45</definedName>
    <definedName name="_vena_DYNR_SControleIndelingHRG_BB1_99b26d84_c719a5d3">'Controle Indeling HRG'!$E$47</definedName>
    <definedName name="_vena_DYNR_SControleIndelingHRG_BB1_99b26d84_eab3c175">'Controle Indeling HRG'!$E$51</definedName>
    <definedName name="_vena_DYNR_SControleIndelingHRG_BB1_99b26d84_ee7a479b">'Controle Indeling HRG'!$E$44</definedName>
    <definedName name="_vena_DYNR_SControleIndelingHRG_BB1_9dbc3d7b">'Controle Indeling HRG'!$E$342</definedName>
    <definedName name="_vena_DYNR_SControleIndelingHRG_BB1_9dbc3d7b_46c52434">'Controle Indeling HRG'!$E$343</definedName>
    <definedName name="_vena_DYNR_SControleIndelingHRG_BB1_9dbc3d7b_5ea59bb9">'Controle Indeling HRG'!$E$345</definedName>
    <definedName name="_vena_DYNR_SControleIndelingHRG_BB1_9dbc3d7b_a58dc478">'Controle Indeling HRG'!$E$346</definedName>
    <definedName name="_vena_DYNR_SControleIndelingHRG_BB1_9dbc3d7b_fb0fcb7b">'Controle Indeling HRG'!$E$344</definedName>
    <definedName name="_vena_DYNR_SControleIndelingHRG_BB1_b359501">'Controle Indeling HRG'!$E$219</definedName>
    <definedName name="_vena_DYNR_SControleIndelingHRG_BB1_b359501_10548901">'Controle Indeling HRG'!$E$240</definedName>
    <definedName name="_vena_DYNR_SControleIndelingHRG_BB1_b359501_15b9b618">'Controle Indeling HRG'!$E$226</definedName>
    <definedName name="_vena_DYNR_SControleIndelingHRG_BB1_b359501_16f757b">'Controle Indeling HRG'!$E$257</definedName>
    <definedName name="_vena_DYNR_SControleIndelingHRG_BB1_b359501_1dd3c9d4">'Controle Indeling HRG'!$E$220</definedName>
    <definedName name="_vena_DYNR_SControleIndelingHRG_BB1_b359501_1f9d5ed2">'Controle Indeling HRG'!$E$231</definedName>
    <definedName name="_vena_DYNR_SControleIndelingHRG_BB1_b359501_21ab3694">'Controle Indeling HRG'!$E$235</definedName>
    <definedName name="_vena_DYNR_SControleIndelingHRG_BB1_b359501_26957368">'Controle Indeling HRG'!$E$248</definedName>
    <definedName name="_vena_DYNR_SControleIndelingHRG_BB1_b359501_2808bc08">'Controle Indeling HRG'!$E$233</definedName>
    <definedName name="_vena_DYNR_SControleIndelingHRG_BB1_b359501_2ceb15a1">'Controle Indeling HRG'!$E$268</definedName>
    <definedName name="_vena_DYNR_SControleIndelingHRG_BB1_b359501_2df46d72">'Controle Indeling HRG'!$E$263</definedName>
    <definedName name="_vena_DYNR_SControleIndelingHRG_BB1_b359501_2eb63fe">'Controle Indeling HRG'!$E$247</definedName>
    <definedName name="_vena_DYNR_SControleIndelingHRG_BB1_b359501_3bd789e9">'Controle Indeling HRG'!$E$255</definedName>
    <definedName name="_vena_DYNR_SControleIndelingHRG_BB1_b359501_3c0b6d20">'Controle Indeling HRG'!$E$267</definedName>
    <definedName name="_vena_DYNR_SControleIndelingHRG_BB1_b359501_47a07994">'Controle Indeling HRG'!$E$262</definedName>
    <definedName name="_vena_DYNR_SControleIndelingHRG_BB1_b359501_4aa2fd6f">'Controle Indeling HRG'!$E$253</definedName>
    <definedName name="_vena_DYNR_SControleIndelingHRG_BB1_b359501_54a1f8fe">'Controle Indeling HRG'!$E$261</definedName>
    <definedName name="_vena_DYNR_SControleIndelingHRG_BB1_b359501_59c6b2a3">'Controle Indeling HRG'!$E$270</definedName>
    <definedName name="_vena_DYNR_SControleIndelingHRG_BB1_b359501_5e5c3bf7">'Controle Indeling HRG'!$E$250</definedName>
    <definedName name="_vena_DYNR_SControleIndelingHRG_BB1_b359501_5f57e3de">'Controle Indeling HRG'!$E$228</definedName>
    <definedName name="_vena_DYNR_SControleIndelingHRG_BB1_b359501_600a9f0f">'Controle Indeling HRG'!$E$236</definedName>
    <definedName name="_vena_DYNR_SControleIndelingHRG_BB1_b359501_649d3b01">'Controle Indeling HRG'!$E$260</definedName>
    <definedName name="_vena_DYNR_SControleIndelingHRG_BB1_b359501_65b01ba9">'Controle Indeling HRG'!$E$269</definedName>
    <definedName name="_vena_DYNR_SControleIndelingHRG_BB1_b359501_66e76224">'Controle Indeling HRG'!$E$227</definedName>
    <definedName name="_vena_DYNR_SControleIndelingHRG_BB1_b359501_6b09a8fc">'Controle Indeling HRG'!$E$237</definedName>
    <definedName name="_vena_DYNR_SControleIndelingHRG_BB1_b359501_6d82d29f">'Controle Indeling HRG'!$E$224</definedName>
    <definedName name="_vena_DYNR_SControleIndelingHRG_BB1_b359501_6ea30732">'Controle Indeling HRG'!$E$232</definedName>
    <definedName name="_vena_DYNR_SControleIndelingHRG_BB1_b359501_7b6e0db9">'Controle Indeling HRG'!$E$223</definedName>
    <definedName name="_vena_DYNR_SControleIndelingHRG_BB1_b359501_7c54461c">'Controle Indeling HRG'!$E$264</definedName>
    <definedName name="_vena_DYNR_SControleIndelingHRG_BB1_b359501_7e2dde83">'Controle Indeling HRG'!$E$234</definedName>
    <definedName name="_vena_DYNR_SControleIndelingHRG_BB1_b359501_8393cf5c">'Controle Indeling HRG'!$E$244</definedName>
    <definedName name="_vena_DYNR_SControleIndelingHRG_BB1_b359501_878ae49b">'Controle Indeling HRG'!$E$221</definedName>
    <definedName name="_vena_DYNR_SControleIndelingHRG_BB1_b359501_8c9e0392">'Controle Indeling HRG'!$E$245</definedName>
    <definedName name="_vena_DYNR_SControleIndelingHRG_BB1_b359501_9736c626">'Controle Indeling HRG'!$E$242</definedName>
    <definedName name="_vena_DYNR_SControleIndelingHRG_BB1_b359501_97eb101a">'Controle Indeling HRG'!$E$243</definedName>
    <definedName name="_vena_DYNR_SControleIndelingHRG_BB1_b359501_9b1eb2ac">'Controle Indeling HRG'!$E$230</definedName>
    <definedName name="_vena_DYNR_SControleIndelingHRG_BB1_b359501_a754203a">'Controle Indeling HRG'!$E$265</definedName>
    <definedName name="_vena_DYNR_SControleIndelingHRG_BB1_b359501_b09f0074">'Controle Indeling HRG'!$E$238</definedName>
    <definedName name="_vena_DYNR_SControleIndelingHRG_BB1_b359501_b3ce1e84">'Controle Indeling HRG'!$E$266</definedName>
    <definedName name="_vena_DYNR_SControleIndelingHRG_BB1_b359501_b8f595ef">'Controle Indeling HRG'!$E$254</definedName>
    <definedName name="_vena_DYNR_SControleIndelingHRG_BB1_b359501_c46d3463">'Controle Indeling HRG'!$E$246</definedName>
    <definedName name="_vena_DYNR_SControleIndelingHRG_BB1_b359501_c5f9d493">'Controle Indeling HRG'!$E$252</definedName>
    <definedName name="_vena_DYNR_SControleIndelingHRG_BB1_b359501_c6423743">'Controle Indeling HRG'!$E$259</definedName>
    <definedName name="_vena_DYNR_SControleIndelingHRG_BB1_b359501_cf88b606">'Controle Indeling HRG'!$E$222</definedName>
    <definedName name="_vena_DYNR_SControleIndelingHRG_BB1_b359501_e0a3d841">'Controle Indeling HRG'!$E$258</definedName>
    <definedName name="_vena_DYNR_SControleIndelingHRG_BB1_b359501_e539a990">'Controle Indeling HRG'!$E$239</definedName>
    <definedName name="_vena_DYNR_SControleIndelingHRG_BB1_b359501_e7be93e3">'Controle Indeling HRG'!$E$241</definedName>
    <definedName name="_vena_DYNR_SControleIndelingHRG_BB1_b359501_e89fbcbb">'Controle Indeling HRG'!$E$256</definedName>
    <definedName name="_vena_DYNR_SControleIndelingHRG_BB1_b359501_ed3a4c8b">'Controle Indeling HRG'!$E$225</definedName>
    <definedName name="_vena_DYNR_SControleIndelingHRG_BB1_b359501_eeff843e">'Controle Indeling HRG'!$E$249</definedName>
    <definedName name="_vena_DYNR_SControleIndelingHRG_BB1_b359501_fc7086a6">'Controle Indeling HRG'!$E$229</definedName>
    <definedName name="_vena_DYNR_SControleIndelingHRG_BB1_b359501_fd5b8db3">'Controle Indeling HRG'!$E$251</definedName>
    <definedName name="_vena_DYNR_SControleIndelingHRG_BB1_b66b522c">'Controle Indeling HRG'!$E$95</definedName>
    <definedName name="_vena_DYNR_SControleIndelingHRG_BB1_b66b522c_11545634">'Controle Indeling HRG'!$E$114</definedName>
    <definedName name="_vena_DYNR_SControleIndelingHRG_BB1_b66b522c_23b27469">'Controle Indeling HRG'!$E$101</definedName>
    <definedName name="_vena_DYNR_SControleIndelingHRG_BB1_b66b522c_254e6418">'Controle Indeling HRG'!$E$105</definedName>
    <definedName name="_vena_DYNR_SControleIndelingHRG_BB1_b66b522c_25672366">'Controle Indeling HRG'!$E$96</definedName>
    <definedName name="_vena_DYNR_SControleIndelingHRG_BB1_b66b522c_2a6146f5">'Controle Indeling HRG'!$E$112</definedName>
    <definedName name="_vena_DYNR_SControleIndelingHRG_BB1_b66b522c_2c14969">'Controle Indeling HRG'!$E$97</definedName>
    <definedName name="_vena_DYNR_SControleIndelingHRG_BB1_b66b522c_32d45776">'Controle Indeling HRG'!$E$117</definedName>
    <definedName name="_vena_DYNR_SControleIndelingHRG_BB1_b66b522c_35f66908">'Controle Indeling HRG'!$E$109</definedName>
    <definedName name="_vena_DYNR_SControleIndelingHRG_BB1_b66b522c_74876adf">'Controle Indeling HRG'!$E$118</definedName>
    <definedName name="_vena_DYNR_SControleIndelingHRG_BB1_b66b522c_7c448a53">'Controle Indeling HRG'!$E$110</definedName>
    <definedName name="_vena_DYNR_SControleIndelingHRG_BB1_b66b522c_851996f8">'Controle Indeling HRG'!$E$108</definedName>
    <definedName name="_vena_DYNR_SControleIndelingHRG_BB1_b66b522c_8c8a062e">'Controle Indeling HRG'!$E$120</definedName>
    <definedName name="_vena_DYNR_SControleIndelingHRG_BB1_b66b522c_955270c9">'Controle Indeling HRG'!$E$99</definedName>
    <definedName name="_vena_DYNR_SControleIndelingHRG_BB1_b66b522c_9f563107">'Controle Indeling HRG'!$E$106</definedName>
    <definedName name="_vena_DYNR_SControleIndelingHRG_BB1_b66b522c_b85f72ba">'Controle Indeling HRG'!$E$111</definedName>
    <definedName name="_vena_DYNR_SControleIndelingHRG_BB1_b66b522c_b8af6636">'Controle Indeling HRG'!$E$103</definedName>
    <definedName name="_vena_DYNR_SControleIndelingHRG_BB1_b66b522c_bfba9f6f">'Controle Indeling HRG'!$E$107</definedName>
    <definedName name="_vena_DYNR_SControleIndelingHRG_BB1_b66b522c_ccda89ac">'Controle Indeling HRG'!$E$119</definedName>
    <definedName name="_vena_DYNR_SControleIndelingHRG_BB1_b66b522c_ce74f562">'Controle Indeling HRG'!$E$100</definedName>
    <definedName name="_vena_DYNR_SControleIndelingHRG_BB1_b66b522c_d3175caa">'Controle Indeling HRG'!$E$115</definedName>
    <definedName name="_vena_DYNR_SControleIndelingHRG_BB1_b66b522c_d6459d6b">'Controle Indeling HRG'!$E$102</definedName>
    <definedName name="_vena_DYNR_SControleIndelingHRG_BB1_b66b522c_d9885ecf">'Controle Indeling HRG'!$E$116</definedName>
    <definedName name="_vena_DYNR_SControleIndelingHRG_BB1_b66b522c_dd3b8ac3">'Controle Indeling HRG'!$E$113</definedName>
    <definedName name="_vena_DYNR_SControleIndelingHRG_BB1_b66b522c_f225ae8f">'Controle Indeling HRG'!$E$98</definedName>
    <definedName name="_vena_DYNR_SControleIndelingHRG_BB1_b66b522c_f569fb4d">'Controle Indeling HRG'!$E$104</definedName>
    <definedName name="_vena_DYNR_SControleIndelingHRG_BB1_ba48134c">'Controle Indeling HRG'!$E$52</definedName>
    <definedName name="_vena_DYNR_SControleIndelingHRG_BB1_ba48134c_3f079b32">'Controle Indeling HRG'!$E$54</definedName>
    <definedName name="_vena_DYNR_SControleIndelingHRG_BB1_ba48134c_42608d1f">'Controle Indeling HRG'!$E$62</definedName>
    <definedName name="_vena_DYNR_SControleIndelingHRG_BB1_ba48134c_59951191">'Controle Indeling HRG'!$E$64</definedName>
    <definedName name="_vena_DYNR_SControleIndelingHRG_BB1_ba48134c_692208cd">'Controle Indeling HRG'!$E$55</definedName>
    <definedName name="_vena_DYNR_SControleIndelingHRG_BB1_ba48134c_9f6e06ac">'Controle Indeling HRG'!$E$57</definedName>
    <definedName name="_vena_DYNR_SControleIndelingHRG_BB1_ba48134c_a22a74ba">'Controle Indeling HRG'!$E$63</definedName>
    <definedName name="_vena_DYNR_SControleIndelingHRG_BB1_ba48134c_bab9ccc6">'Controle Indeling HRG'!$E$58</definedName>
    <definedName name="_vena_DYNR_SControleIndelingHRG_BB1_ba48134c_ca42d3dd">'Controle Indeling HRG'!$E$56</definedName>
    <definedName name="_vena_DYNR_SControleIndelingHRG_BB1_ba48134c_d8d5f3bc">'Controle Indeling HRG'!$E$61</definedName>
    <definedName name="_vena_DYNR_SControleIndelingHRG_BB1_ba48134c_dcbb6d63">'Controle Indeling HRG'!$E$53</definedName>
    <definedName name="_vena_DYNR_SControleIndelingHRG_BB1_ba48134c_e2f016c0">'Controle Indeling HRG'!$E$60</definedName>
    <definedName name="_vena_DYNR_SControleIndelingHRG_BB1_ba48134c_ed28d5c3">'Controle Indeling HRG'!$E$59</definedName>
    <definedName name="_vena_DYNR_SControleIndelingHRG_BB1_ca9762f6">'Controle Indeling HRG'!$E$19</definedName>
    <definedName name="_vena_DYNR_SControleIndelingHRG_BB1_ca9762f6_4d64560d">'Controle Indeling HRG'!$E$21</definedName>
    <definedName name="_vena_DYNR_SControleIndelingHRG_BB1_ca9762f6_a4e2e3ca">'Controle Indeling HRG'!$E$20</definedName>
    <definedName name="_vena_DYNR_SControleIndelingHRG_BB1_d4e1fb0d">'Controle Indeling HRG'!$E$359</definedName>
    <definedName name="_vena_DYNR_SControleIndelingHRG_BB1_d4e1fb0d_6710154f">'Controle Indeling HRG'!$E$364</definedName>
    <definedName name="_vena_DYNR_SControleIndelingHRG_BB1_d4e1fb0d_b65af1dc">'Controle Indeling HRG'!$E$361</definedName>
    <definedName name="_vena_DYNR_SControleIndelingHRG_BB1_d4e1fb0d_c9d79bd">'Controle Indeling HRG'!$E$362</definedName>
    <definedName name="_vena_DYNR_SControleIndelingHRG_BB1_d4e1fb0d_f542202e">'Controle Indeling HRG'!$E$360</definedName>
    <definedName name="_vena_DYNR_SControleIndelingHRG_BB1_d4e1fb0d_ffb4e5a3">'Controle Indeling HRG'!$E$363</definedName>
    <definedName name="_vena_DYNR_SControleIndelingHRG_BB1_d55acb59">'Controle Indeling HRG'!$E$389</definedName>
    <definedName name="_vena_DYNR_SControleIndelingHRG_BB1_d55acb59_50c606b4">'Controle Indeling HRG'!$E$391</definedName>
    <definedName name="_vena_DYNR_SControleIndelingHRG_BB1_d55acb59_5b681115">'Controle Indeling HRG'!$E$392</definedName>
    <definedName name="_vena_DYNR_SControleIndelingHRG_BB1_d55acb59_97f28d3f">'Controle Indeling HRG'!$E$390</definedName>
    <definedName name="_vena_DYNR_SControleIndelingHRG_BB1_e5895445">'Controle Indeling HRG'!$E$22</definedName>
    <definedName name="_vena_DYNR_SControleIndelingHRG_BB1_e5895445_12128d66">'Controle Indeling HRG'!$E$30</definedName>
    <definedName name="_vena_DYNR_SControleIndelingHRG_BB1_e5895445_45ee197f">'Controle Indeling HRG'!$E$26</definedName>
    <definedName name="_vena_DYNR_SControleIndelingHRG_BB1_e5895445_465baa8">'Controle Indeling HRG'!$E$29</definedName>
    <definedName name="_vena_DYNR_SControleIndelingHRG_BB1_e5895445_80be3f9">'Controle Indeling HRG'!$E$34</definedName>
    <definedName name="_vena_DYNR_SControleIndelingHRG_BB1_e5895445_98872a3c">'Controle Indeling HRG'!$E$33</definedName>
    <definedName name="_vena_DYNR_SControleIndelingHRG_BB1_e5895445_a9461cc8">'Controle Indeling HRG'!$E$25</definedName>
    <definedName name="_vena_DYNR_SControleIndelingHRG_BB1_e5895445_a9d745df">'Controle Indeling HRG'!$E$24</definedName>
    <definedName name="_vena_DYNR_SControleIndelingHRG_BB1_e5895445_b911fb6">'Controle Indeling HRG'!$E$32</definedName>
    <definedName name="_vena_DYNR_SControleIndelingHRG_BB1_e5895445_bc9d8c8a">'Controle Indeling HRG'!$E$31</definedName>
    <definedName name="_vena_DYNR_SControleIndelingHRG_BB1_e5895445_c424ae54">'Controle Indeling HRG'!$E$27</definedName>
    <definedName name="_vena_DYNR_SControleIndelingHRG_BB1_e5895445_e3e1547a">'Controle Indeling HRG'!$E$28</definedName>
    <definedName name="_vena_DYNR_SControleIndelingHRG_BB1_e5895445_fd542416">'Controle Indeling HRG'!$E$23</definedName>
    <definedName name="_vena_DYNR_SControleIndelingHRG_BB1_fc651ccf">'Controle Indeling HRG'!$E$127</definedName>
    <definedName name="_vena_DYNR_SControleIndelingHRG_BB1_fc651ccf_130e7f41">'Controle Indeling HRG'!$E$138</definedName>
    <definedName name="_vena_DYNR_SControleIndelingHRG_BB1_fc651ccf_15be477a">'Controle Indeling HRG'!$E$129</definedName>
    <definedName name="_vena_DYNR_SControleIndelingHRG_BB1_fc651ccf_18935a49">'Controle Indeling HRG'!$E$136</definedName>
    <definedName name="_vena_DYNR_SControleIndelingHRG_BB1_fc651ccf_23b017ab">'Controle Indeling HRG'!$E$151</definedName>
    <definedName name="_vena_DYNR_SControleIndelingHRG_BB1_fc651ccf_2c3134d">'Controle Indeling HRG'!$E$146</definedName>
    <definedName name="_vena_DYNR_SControleIndelingHRG_BB1_fc651ccf_2c7ff007">'Controle Indeling HRG'!$E$153</definedName>
    <definedName name="_vena_DYNR_SControleIndelingHRG_BB1_fc651ccf_3296395a">'Controle Indeling HRG'!$E$134</definedName>
    <definedName name="_vena_DYNR_SControleIndelingHRG_BB1_fc651ccf_41b04d88">'Controle Indeling HRG'!$E$143</definedName>
    <definedName name="_vena_DYNR_SControleIndelingHRG_BB1_fc651ccf_42bbe6a8">'Controle Indeling HRG'!$E$144</definedName>
    <definedName name="_vena_DYNR_SControleIndelingHRG_BB1_fc651ccf_4bf07d5c">'Controle Indeling HRG'!$E$148</definedName>
    <definedName name="_vena_DYNR_SControleIndelingHRG_BB1_fc651ccf_4f4efcaf">'Controle Indeling HRG'!$E$152</definedName>
    <definedName name="_vena_DYNR_SControleIndelingHRG_BB1_fc651ccf_522b48a0">'Controle Indeling HRG'!$E$145</definedName>
    <definedName name="_vena_DYNR_SControleIndelingHRG_BB1_fc651ccf_5aec8f47">'Controle Indeling HRG'!$E$132</definedName>
    <definedName name="_vena_DYNR_SControleIndelingHRG_BB1_fc651ccf_5b3507fc">'Controle Indeling HRG'!$E$133</definedName>
    <definedName name="_vena_DYNR_SControleIndelingHRG_BB1_fc651ccf_62ecc976">'Controle Indeling HRG'!$E$131</definedName>
    <definedName name="_vena_DYNR_SControleIndelingHRG_BB1_fc651ccf_85ab145a">'Controle Indeling HRG'!$E$128</definedName>
    <definedName name="_vena_DYNR_SControleIndelingHRG_BB1_fc651ccf_8f27958d">'Controle Indeling HRG'!$E$150</definedName>
    <definedName name="_vena_DYNR_SControleIndelingHRG_BB1_fc651ccf_93945297">'Controle Indeling HRG'!$E$154</definedName>
    <definedName name="_vena_DYNR_SControleIndelingHRG_BB1_fc651ccf_95651bbe">'Controle Indeling HRG'!$E$149</definedName>
    <definedName name="_vena_DYNR_SControleIndelingHRG_BB1_fc651ccf_a0dae22c">'Controle Indeling HRG'!$E$141</definedName>
    <definedName name="_vena_DYNR_SControleIndelingHRG_BB1_fc651ccf_bb796219">'Controle Indeling HRG'!$E$140</definedName>
    <definedName name="_vena_DYNR_SControleIndelingHRG_BB1_fc651ccf_c1e27e70">'Controle Indeling HRG'!$E$130</definedName>
    <definedName name="_vena_DYNR_SControleIndelingHRG_BB1_fc651ccf_cb6cd9d6">'Controle Indeling HRG'!$E$135</definedName>
    <definedName name="_vena_DYNR_SControleIndelingHRG_BB1_fc651ccf_d6eabec6">'Controle Indeling HRG'!$E$147</definedName>
    <definedName name="_vena_DYNR_SControleIndelingHRG_BB1_fc651ccf_dd74ffad">'Controle Indeling HRG'!$E$137</definedName>
    <definedName name="_vena_DYNR_SControleIndelingHRG_BB1_fc651ccf_fa252285">'Controle Indeling HRG'!$E$142</definedName>
    <definedName name="_vena_DYNR_SControleIndelingHRG_BB1_fc651ccf_fded1f0">'Controle Indeling HRG'!$E$139</definedName>
    <definedName name="_vena_DYNR_SControleIndelingPL_BB1_25ef9d23">'Controle Indeling Productlijn'!$E$19</definedName>
    <definedName name="_vena_DYNR_SControleIndelingPL_BB1_25ef9d23_132d1ed3">'Controle Indeling Productlijn'!$E$55</definedName>
    <definedName name="_vena_DYNR_SControleIndelingPL_BB1_25ef9d23_1365d7cb">'Controle Indeling Productlijn'!$E$52</definedName>
    <definedName name="_vena_DYNR_SControleIndelingPL_BB1_25ef9d23_1396fc3e">'Controle Indeling Productlijn'!$E$60</definedName>
    <definedName name="_vena_DYNR_SControleIndelingPL_BB1_25ef9d23_14a8adb4">'Controle Indeling Productlijn'!$E$46</definedName>
    <definedName name="_vena_DYNR_SControleIndelingPL_BB1_25ef9d23_16c2641c">'Controle Indeling Productlijn'!$E$44</definedName>
    <definedName name="_vena_DYNR_SControleIndelingPL_BB1_25ef9d23_1a73c28f">'Controle Indeling Productlijn'!$E$39</definedName>
    <definedName name="_vena_DYNR_SControleIndelingPL_BB1_25ef9d23_1bf7e354">'Controle Indeling Productlijn'!$E$34</definedName>
    <definedName name="_vena_DYNR_SControleIndelingPL_BB1_25ef9d23_22a0fa71">'Controle Indeling Productlijn'!$E$62</definedName>
    <definedName name="_vena_DYNR_SControleIndelingPL_BB1_25ef9d23_2494de37">'Controle Indeling Productlijn'!$E$49</definedName>
    <definedName name="_vena_DYNR_SControleIndelingPL_BB1_25ef9d23_29ec28ec">'Controle Indeling Productlijn'!$E$47</definedName>
    <definedName name="_vena_DYNR_SControleIndelingPL_BB1_25ef9d23_2b55fe24">'Controle Indeling Productlijn'!$E$58</definedName>
    <definedName name="_vena_DYNR_SControleIndelingPL_BB1_25ef9d23_315bdfcc">'Controle Indeling Productlijn'!$E$42</definedName>
    <definedName name="_vena_DYNR_SControleIndelingPL_BB1_25ef9d23_33884434">'Controle Indeling Productlijn'!$E$29</definedName>
    <definedName name="_vena_DYNR_SControleIndelingPL_BB1_25ef9d23_3898d1ea">'Controle Indeling Productlijn'!$E$26</definedName>
    <definedName name="_vena_DYNR_SControleIndelingPL_BB1_25ef9d23_3f1213cd">'Controle Indeling Productlijn'!$E$33</definedName>
    <definedName name="_vena_DYNR_SControleIndelingPL_BB1_25ef9d23_3fe6cd14">'Controle Indeling Productlijn'!$E$66</definedName>
    <definedName name="_vena_DYNR_SControleIndelingPL_BB1_25ef9d23_4198d886">'Controle Indeling Productlijn'!$E$20</definedName>
    <definedName name="_vena_DYNR_SControleIndelingPL_BB1_25ef9d23_4d945f43">'Controle Indeling Productlijn'!$E$23</definedName>
    <definedName name="_vena_DYNR_SControleIndelingPL_BB1_25ef9d23_5df0cfc2">'Controle Indeling Productlijn'!$E$65</definedName>
    <definedName name="_vena_DYNR_SControleIndelingPL_BB1_25ef9d23_612a1304">'Controle Indeling Productlijn'!$E$56</definedName>
    <definedName name="_vena_DYNR_SControleIndelingPL_BB1_25ef9d23_6633963f">'Controle Indeling Productlijn'!$E$35</definedName>
    <definedName name="_vena_DYNR_SControleIndelingPL_BB1_25ef9d23_6a5d6877">'Controle Indeling Productlijn'!$E$51</definedName>
    <definedName name="_vena_DYNR_SControleIndelingPL_BB1_25ef9d23_8332e5e4">'Controle Indeling Productlijn'!$E$61</definedName>
    <definedName name="_vena_DYNR_SControleIndelingPL_BB1_25ef9d23_835c2d7a">'Controle Indeling Productlijn'!$E$37</definedName>
    <definedName name="_vena_DYNR_SControleIndelingPL_BB1_25ef9d23_924b18ee">'Controle Indeling Productlijn'!$E$57</definedName>
    <definedName name="_vena_DYNR_SControleIndelingPL_BB1_25ef9d23_973accf2">'Controle Indeling Productlijn'!$E$22</definedName>
    <definedName name="_vena_DYNR_SControleIndelingPL_BB1_25ef9d23_9825190e">'Controle Indeling Productlijn'!$E$31</definedName>
    <definedName name="_vena_DYNR_SControleIndelingPL_BB1_25ef9d23_ab4ee611">'Controle Indeling Productlijn'!$E$25</definedName>
    <definedName name="_vena_DYNR_SControleIndelingPL_BB1_25ef9d23_af7c68d2">'Controle Indeling Productlijn'!$E$28</definedName>
    <definedName name="_vena_DYNR_SControleIndelingPL_BB1_25ef9d23_b1224e1b">'Controle Indeling Productlijn'!$E$50</definedName>
    <definedName name="_vena_DYNR_SControleIndelingPL_BB1_25ef9d23_b1f72483">'Controle Indeling Productlijn'!$E$53</definedName>
    <definedName name="_vena_DYNR_SControleIndelingPL_BB1_25ef9d23_b3936cc5">'Controle Indeling Productlijn'!$E$69</definedName>
    <definedName name="_vena_DYNR_SControleIndelingPL_BB1_25ef9d23_b6050730">'Controle Indeling Productlijn'!$E$54</definedName>
    <definedName name="_vena_DYNR_SControleIndelingPL_BB1_25ef9d23_c15371fc">'Controle Indeling Productlijn'!$E$40</definedName>
    <definedName name="_vena_DYNR_SControleIndelingPL_BB1_25ef9d23_c912e02e">'Controle Indeling Productlijn'!$E$45</definedName>
    <definedName name="_vena_DYNR_SControleIndelingPL_BB1_25ef9d23_cfa0054a">'Controle Indeling Productlijn'!$E$70</definedName>
    <definedName name="_vena_DYNR_SControleIndelingPL_BB1_25ef9d23_d41a636b">'Controle Indeling Productlijn'!$E$36</definedName>
    <definedName name="_vena_DYNR_SControleIndelingPL_BB1_25ef9d23_d5f668d6">'Controle Indeling Productlijn'!$E$64</definedName>
    <definedName name="_vena_DYNR_SControleIndelingPL_BB1_25ef9d23_d6979ac1">'Controle Indeling Productlijn'!$E$48</definedName>
    <definedName name="_vena_DYNR_SControleIndelingPL_BB1_25ef9d23_dd5e9b53">'Controle Indeling Productlijn'!$E$43</definedName>
    <definedName name="_vena_DYNR_SControleIndelingPL_BB1_25ef9d23_dfe08ab2">'Controle Indeling Productlijn'!$E$68</definedName>
    <definedName name="_vena_DYNR_SControleIndelingPL_BB1_25ef9d23_e32272b">'Controle Indeling Productlijn'!$E$21</definedName>
    <definedName name="_vena_DYNR_SControleIndelingPL_BB1_25ef9d23_e4acacf0">'Controle Indeling Productlijn'!$E$38</definedName>
    <definedName name="_vena_DYNR_SControleIndelingPL_BB1_25ef9d23_e62b23d7">'Controle Indeling Productlijn'!$E$67</definedName>
    <definedName name="_vena_DYNR_SControleIndelingPL_BB1_25ef9d23_e9a8b690">'Controle Indeling Productlijn'!$E$63</definedName>
    <definedName name="_vena_DYNR_SControleIndelingPL_BB1_25ef9d23_ed9852ff">'Controle Indeling Productlijn'!$E$27</definedName>
    <definedName name="_vena_DYNR_SControleIndelingPL_BB1_25ef9d23_ee7c3a77">'Controle Indeling Productlijn'!$E$59</definedName>
    <definedName name="_vena_DYNR_SControleIndelingPL_BB1_25ef9d23_f25e7842">'Controle Indeling Productlijn'!$E$30</definedName>
    <definedName name="_vena_DYNR_SControleIndelingPL_BB1_25ef9d23_f463bf5f">'Controle Indeling Productlijn'!$E$32</definedName>
    <definedName name="_vena_DYNR_SControleIndelingPL_BB1_25ef9d23_f53d8d3c">'Controle Indeling Productlijn'!$E$41</definedName>
    <definedName name="_vena_DYNR_SControleIndelingPL_BB1_25ef9d23_fc9f2c20">'Controle Indeling Productlijn'!$E$24</definedName>
    <definedName name="_vena_DYNR_SControleIndelingPL_BB1_47da86a8">'Controle Indeling Productlijn'!$E$71</definedName>
    <definedName name="_vena_DYNR_SControleIndelingPL_BB1_47da86a8_1006dfa">'Controle Indeling Productlijn'!$E$72</definedName>
    <definedName name="_vena_DYNR_SControleIndelingPL_BB1_47da86a8_11e732a4">'Controle Indeling Productlijn'!$E$75</definedName>
    <definedName name="_vena_DYNR_SControleIndelingPL_BB1_47da86a8_1a5b7a2a">'Controle Indeling Productlijn'!$E$143</definedName>
    <definedName name="_vena_DYNR_SControleIndelingPL_BB1_47da86a8_1ccc7808">'Controle Indeling Productlijn'!$E$100</definedName>
    <definedName name="_vena_DYNR_SControleIndelingPL_BB1_47da86a8_1d256c16">'Controle Indeling Productlijn'!$E$80</definedName>
    <definedName name="_vena_DYNR_SControleIndelingPL_BB1_47da86a8_1d3ba36b">'Controle Indeling Productlijn'!$E$170</definedName>
    <definedName name="_vena_DYNR_SControleIndelingPL_BB1_47da86a8_2475dd84">'Controle Indeling Productlijn'!$E$131</definedName>
    <definedName name="_vena_DYNR_SControleIndelingPL_BB1_47da86a8_25796b6e">'Controle Indeling Productlijn'!$E$164</definedName>
    <definedName name="_vena_DYNR_SControleIndelingPL_BB1_47da86a8_2696ced6">'Controle Indeling Productlijn'!$E$104</definedName>
    <definedName name="_vena_DYNR_SControleIndelingPL_BB1_47da86a8_2a9d1968">'Controle Indeling Productlijn'!$E$181</definedName>
    <definedName name="_vena_DYNR_SControleIndelingPL_BB1_47da86a8_2bb2cfcf">'Controle Indeling Productlijn'!$E$123</definedName>
    <definedName name="_vena_DYNR_SControleIndelingPL_BB1_47da86a8_2c56be10">'Controle Indeling Productlijn'!$E$135</definedName>
    <definedName name="_vena_DYNR_SControleIndelingPL_BB1_47da86a8_2e34881e">'Controle Indeling Productlijn'!$E$115</definedName>
    <definedName name="_vena_DYNR_SControleIndelingPL_BB1_47da86a8_2e935df">'Controle Indeling Productlijn'!$E$112</definedName>
    <definedName name="_vena_DYNR_SControleIndelingPL_BB1_47da86a8_2f83a5e3">'Controle Indeling Productlijn'!$E$153</definedName>
    <definedName name="_vena_DYNR_SControleIndelingPL_BB1_47da86a8_330eeaa7">'Controle Indeling Productlijn'!$E$183</definedName>
    <definedName name="_vena_DYNR_SControleIndelingPL_BB1_47da86a8_33b153d1">'Controle Indeling Productlijn'!$E$103</definedName>
    <definedName name="_vena_DYNR_SControleIndelingPL_BB1_47da86a8_3412d7bf">'Controle Indeling Productlijn'!$E$154</definedName>
    <definedName name="_vena_DYNR_SControleIndelingPL_BB1_47da86a8_398ef041">'Controle Indeling Productlijn'!$E$84</definedName>
    <definedName name="_vena_DYNR_SControleIndelingPL_BB1_47da86a8_3ce539b">'Controle Indeling Productlijn'!$E$78</definedName>
    <definedName name="_vena_DYNR_SControleIndelingPL_BB1_47da86a8_40ce708e">'Controle Indeling Productlijn'!$E$81</definedName>
    <definedName name="_vena_DYNR_SControleIndelingPL_BB1_47da86a8_40db675e">'Controle Indeling Productlijn'!$E$161</definedName>
    <definedName name="_vena_DYNR_SControleIndelingPL_BB1_47da86a8_42cf77e3">'Controle Indeling Productlijn'!$E$149</definedName>
    <definedName name="_vena_DYNR_SControleIndelingPL_BB1_47da86a8_4744ad67">'Controle Indeling Productlijn'!$E$137</definedName>
    <definedName name="_vena_DYNR_SControleIndelingPL_BB1_47da86a8_48deabd0">'Controle Indeling Productlijn'!$E$193</definedName>
    <definedName name="_vena_DYNR_SControleIndelingPL_BB1_47da86a8_4a43ff99">'Controle Indeling Productlijn'!$E$136</definedName>
    <definedName name="_vena_DYNR_SControleIndelingPL_BB1_47da86a8_4be1322c">'Controle Indeling Productlijn'!$E$109</definedName>
    <definedName name="_vena_DYNR_SControleIndelingPL_BB1_47da86a8_4c6016b4">'Controle Indeling Productlijn'!$E$105</definedName>
    <definedName name="_vena_DYNR_SControleIndelingPL_BB1_47da86a8_4dfa05">'Controle Indeling Productlijn'!$E$203</definedName>
    <definedName name="_vena_DYNR_SControleIndelingPL_BB1_47da86a8_5064624e">'Controle Indeling Productlijn'!$E$152</definedName>
    <definedName name="_vena_DYNR_SControleIndelingPL_BB1_47da86a8_52d73eca">'Controle Indeling Productlijn'!$E$110</definedName>
    <definedName name="_vena_DYNR_SControleIndelingPL_BB1_47da86a8_5420e647">'Controle Indeling Productlijn'!$E$180</definedName>
    <definedName name="_vena_DYNR_SControleIndelingPL_BB1_47da86a8_5505eded">'Controle Indeling Productlijn'!$E$202</definedName>
    <definedName name="_vena_DYNR_SControleIndelingPL_BB1_47da86a8_5644f8ac">'Controle Indeling Productlijn'!$E$182</definedName>
    <definedName name="_vena_DYNR_SControleIndelingPL_BB1_47da86a8_56798669">'Controle Indeling Productlijn'!$E$95</definedName>
    <definedName name="_vena_DYNR_SControleIndelingPL_BB1_47da86a8_597405e9">'Controle Indeling Productlijn'!$E$150</definedName>
    <definedName name="_vena_DYNR_SControleIndelingPL_BB1_47da86a8_5c382235">'Controle Indeling Productlijn'!$E$155</definedName>
    <definedName name="_vena_DYNR_SControleIndelingPL_BB1_47da86a8_5d110b4d">'Controle Indeling Productlijn'!$E$133</definedName>
    <definedName name="_vena_DYNR_SControleIndelingPL_BB1_47da86a8_5dba251c">'Controle Indeling Productlijn'!$E$128</definedName>
    <definedName name="_vena_DYNR_SControleIndelingPL_BB1_47da86a8_5dd05f7">'Controle Indeling Productlijn'!$E$139</definedName>
    <definedName name="_vena_DYNR_SControleIndelingPL_BB1_47da86a8_5e5eca61">'Controle Indeling Productlijn'!$E$106</definedName>
    <definedName name="_vena_DYNR_SControleIndelingPL_BB1_47da86a8_5e8f96ed">'Controle Indeling Productlijn'!$E$194</definedName>
    <definedName name="_vena_DYNR_SControleIndelingPL_BB1_47da86a8_6073b3ee">'Controle Indeling Productlijn'!$E$176</definedName>
    <definedName name="_vena_DYNR_SControleIndelingPL_BB1_47da86a8_6235adf1">'Controle Indeling Productlijn'!$E$127</definedName>
    <definedName name="_vena_DYNR_SControleIndelingPL_BB1_47da86a8_62979007">'Controle Indeling Productlijn'!$E$156</definedName>
    <definedName name="_vena_DYNR_SControleIndelingPL_BB1_47da86a8_62af1a71">'Controle Indeling Productlijn'!$E$134</definedName>
    <definedName name="_vena_DYNR_SControleIndelingPL_BB1_47da86a8_62d04369">'Controle Indeling Productlijn'!$E$86</definedName>
    <definedName name="_vena_DYNR_SControleIndelingPL_BB1_47da86a8_635a11bd">'Controle Indeling Productlijn'!$E$192</definedName>
    <definedName name="_vena_DYNR_SControleIndelingPL_BB1_47da86a8_650c3b10">'Controle Indeling Productlijn'!$E$173</definedName>
    <definedName name="_vena_DYNR_SControleIndelingPL_BB1_47da86a8_67b47601">'Controle Indeling Productlijn'!$E$93</definedName>
    <definedName name="_vena_DYNR_SControleIndelingPL_BB1_47da86a8_6921d689">'Controle Indeling Productlijn'!$E$120</definedName>
    <definedName name="_vena_DYNR_SControleIndelingPL_BB1_47da86a8_6a847cd5">'Controle Indeling Productlijn'!$E$160</definedName>
    <definedName name="_vena_DYNR_SControleIndelingPL_BB1_47da86a8_6aff37f9">'Controle Indeling Productlijn'!$E$77</definedName>
    <definedName name="_vena_DYNR_SControleIndelingPL_BB1_47da86a8_6cecb4df">'Controle Indeling Productlijn'!$E$190</definedName>
    <definedName name="_vena_DYNR_SControleIndelingPL_BB1_47da86a8_702ba94f">'Controle Indeling Productlijn'!$E$85</definedName>
    <definedName name="_vena_DYNR_SControleIndelingPL_BB1_47da86a8_70b62142">'Controle Indeling Productlijn'!$E$98</definedName>
    <definedName name="_vena_DYNR_SControleIndelingPL_BB1_47da86a8_7124ffa6">'Controle Indeling Productlijn'!$E$148</definedName>
    <definedName name="_vena_DYNR_SControleIndelingPL_BB1_47da86a8_77af7fdc">'Controle Indeling Productlijn'!$E$129</definedName>
    <definedName name="_vena_DYNR_SControleIndelingPL_BB1_47da86a8_77f086fc">'Controle Indeling Productlijn'!$E$107</definedName>
    <definedName name="_vena_DYNR_SControleIndelingPL_BB1_47da86a8_7928650c">'Controle Indeling Productlijn'!$E$124</definedName>
    <definedName name="_vena_DYNR_SControleIndelingPL_BB1_47da86a8_7c4b6aac">'Controle Indeling Productlijn'!$E$157</definedName>
    <definedName name="_vena_DYNR_SControleIndelingPL_BB1_47da86a8_7ce06103">'Controle Indeling Productlijn'!$E$168</definedName>
    <definedName name="_vena_DYNR_SControleIndelingPL_BB1_47da86a8_7cfbf0ac">'Controle Indeling Productlijn'!$E$145</definedName>
    <definedName name="_vena_DYNR_SControleIndelingPL_BB1_47da86a8_7d60de0a">'Controle Indeling Productlijn'!$E$74</definedName>
    <definedName name="_vena_DYNR_SControleIndelingPL_BB1_47da86a8_7ebeac45">'Controle Indeling Productlijn'!$E$82</definedName>
    <definedName name="_vena_DYNR_SControleIndelingPL_BB1_47da86a8_7ed22f28">'Controle Indeling Productlijn'!$E$99</definedName>
    <definedName name="_vena_DYNR_SControleIndelingPL_BB1_47da86a8_828f6f83">'Controle Indeling Productlijn'!$E$117</definedName>
    <definedName name="_vena_DYNR_SControleIndelingPL_BB1_47da86a8_8398b280">'Controle Indeling Productlijn'!$E$113</definedName>
    <definedName name="_vena_DYNR_SControleIndelingPL_BB1_47da86a8_8411988e">'Controle Indeling Productlijn'!$E$83</definedName>
    <definedName name="_vena_DYNR_SControleIndelingPL_BB1_47da86a8_845e2c42">'Controle Indeling Productlijn'!$E$169</definedName>
    <definedName name="_vena_DYNR_SControleIndelingPL_BB1_47da86a8_85c17e44">'Controle Indeling Productlijn'!$E$196</definedName>
    <definedName name="_vena_DYNR_SControleIndelingPL_BB1_47da86a8_8aa888ab">'Controle Indeling Productlijn'!$E$146</definedName>
    <definedName name="_vena_DYNR_SControleIndelingPL_BB1_47da86a8_8effdc1b">'Controle Indeling Productlijn'!$E$200</definedName>
    <definedName name="_vena_DYNR_SControleIndelingPL_BB1_47da86a8_90e17f9d">'Controle Indeling Productlijn'!$E$96</definedName>
    <definedName name="_vena_DYNR_SControleIndelingPL_BB1_47da86a8_97249e98">'Controle Indeling Productlijn'!$E$199</definedName>
    <definedName name="_vena_DYNR_SControleIndelingPL_BB1_47da86a8_99e86d2d">'Controle Indeling Productlijn'!$E$204</definedName>
    <definedName name="_vena_DYNR_SControleIndelingPL_BB1_47da86a8_9af4e0ad">'Controle Indeling Productlijn'!$E$144</definedName>
    <definedName name="_vena_DYNR_SControleIndelingPL_BB1_47da86a8_a005a095">'Controle Indeling Productlijn'!$E$163</definedName>
    <definedName name="_vena_DYNR_SControleIndelingPL_BB1_47da86a8_a0b9a982">'Controle Indeling Productlijn'!$E$111</definedName>
    <definedName name="_vena_DYNR_SControleIndelingPL_BB1_47da86a8_a0e2771a">'Controle Indeling Productlijn'!$E$108</definedName>
    <definedName name="_vena_DYNR_SControleIndelingPL_BB1_47da86a8_a1b05e47">'Controle Indeling Productlijn'!$E$174</definedName>
    <definedName name="_vena_DYNR_SControleIndelingPL_BB1_47da86a8_a2a8f819">'Controle Indeling Productlijn'!$E$119</definedName>
    <definedName name="_vena_DYNR_SControleIndelingPL_BB1_47da86a8_a7f95b9f">'Controle Indeling Productlijn'!$E$191</definedName>
    <definedName name="_vena_DYNR_SControleIndelingPL_BB1_47da86a8_a824172b">'Controle Indeling Productlijn'!$E$89</definedName>
    <definedName name="_vena_DYNR_SControleIndelingPL_BB1_47da86a8_a9da81bf">'Controle Indeling Productlijn'!$E$101</definedName>
    <definedName name="_vena_DYNR_SControleIndelingPL_BB1_47da86a8_ad21ef4d">'Controle Indeling Productlijn'!$E$184</definedName>
    <definedName name="_vena_DYNR_SControleIndelingPL_BB1_47da86a8_b13ef8de">'Controle Indeling Productlijn'!$E$91</definedName>
    <definedName name="_vena_DYNR_SControleIndelingPL_BB1_47da86a8_b1745016">'Controle Indeling Productlijn'!$E$76</definedName>
    <definedName name="_vena_DYNR_SControleIndelingPL_BB1_47da86a8_b1d48916">'Controle Indeling Productlijn'!$E$151</definedName>
    <definedName name="_vena_DYNR_SControleIndelingPL_BB1_47da86a8_b2a1a182">'Controle Indeling Productlijn'!$E$125</definedName>
    <definedName name="_vena_DYNR_SControleIndelingPL_BB1_47da86a8_b4ac6948">'Controle Indeling Productlijn'!$E$188</definedName>
    <definedName name="_vena_DYNR_SControleIndelingPL_BB1_47da86a8_b528aaac">'Controle Indeling Productlijn'!$E$121</definedName>
    <definedName name="_vena_DYNR_SControleIndelingPL_BB1_47da86a8_b7a8a49a">'Controle Indeling Productlijn'!$E$162</definedName>
    <definedName name="_vena_DYNR_SControleIndelingPL_BB1_47da86a8_bcb27ee6">'Controle Indeling Productlijn'!$E$90</definedName>
    <definedName name="_vena_DYNR_SControleIndelingPL_BB1_47da86a8_be8886cd">'Controle Indeling Productlijn'!$E$177</definedName>
    <definedName name="_vena_DYNR_SControleIndelingPL_BB1_47da86a8_becaecf6">'Controle Indeling Productlijn'!$E$130</definedName>
    <definedName name="_vena_DYNR_SControleIndelingPL_BB1_47da86a8_bf8a08e3">'Controle Indeling Productlijn'!$E$118</definedName>
    <definedName name="_vena_DYNR_SControleIndelingPL_BB1_47da86a8_c0d2af9a">'Controle Indeling Productlijn'!$E$138</definedName>
    <definedName name="_vena_DYNR_SControleIndelingPL_BB1_47da86a8_c2f8212b">'Controle Indeling Productlijn'!$E$159</definedName>
    <definedName name="_vena_DYNR_SControleIndelingPL_BB1_47da86a8_c435dbca">'Controle Indeling Productlijn'!$E$140</definedName>
    <definedName name="_vena_DYNR_SControleIndelingPL_BB1_47da86a8_c4a2f3c">'Controle Indeling Productlijn'!$E$142</definedName>
    <definedName name="_vena_DYNR_SControleIndelingPL_BB1_47da86a8_c6f75dbc">'Controle Indeling Productlijn'!$E$178</definedName>
    <definedName name="_vena_DYNR_SControleIndelingPL_BB1_47da86a8_ca60fe7c">'Controle Indeling Productlijn'!$E$167</definedName>
    <definedName name="_vena_DYNR_SControleIndelingPL_BB1_47da86a8_cc0091ec">'Controle Indeling Productlijn'!$E$187</definedName>
    <definedName name="_vena_DYNR_SControleIndelingPL_BB1_47da86a8_cc3215e8">'Controle Indeling Productlijn'!$E$114</definedName>
    <definedName name="_vena_DYNR_SControleIndelingPL_BB1_47da86a8_cc562626">'Controle Indeling Productlijn'!$E$122</definedName>
    <definedName name="_vena_DYNR_SControleIndelingPL_BB1_47da86a8_cf3af75f">'Controle Indeling Productlijn'!$E$206</definedName>
    <definedName name="_vena_DYNR_SControleIndelingPL_BB1_47da86a8_d1e9a5c">'Controle Indeling Productlijn'!$E$166</definedName>
    <definedName name="_vena_DYNR_SControleIndelingPL_BB1_47da86a8_d406ede0">'Controle Indeling Productlijn'!$E$175</definedName>
    <definedName name="_vena_DYNR_SControleIndelingPL_BB1_47da86a8_d4cd5014">'Controle Indeling Productlijn'!$E$102</definedName>
    <definedName name="_vena_DYNR_SControleIndelingPL_BB1_47da86a8_d4d77256">'Controle Indeling Productlijn'!$E$94</definedName>
    <definedName name="_vena_DYNR_SControleIndelingPL_BB1_47da86a8_d737dfe9">'Controle Indeling Productlijn'!$E$189</definedName>
    <definedName name="_vena_DYNR_SControleIndelingPL_BB1_47da86a8_d7f8faf0">'Controle Indeling Productlijn'!$E$147</definedName>
    <definedName name="_vena_DYNR_SControleIndelingPL_BB1_47da86a8_d8aec696">'Controle Indeling Productlijn'!$E$132</definedName>
    <definedName name="_vena_DYNR_SControleIndelingPL_BB1_47da86a8_d961fee1">'Controle Indeling Productlijn'!$E$79</definedName>
    <definedName name="_vena_DYNR_SControleIndelingPL_BB1_47da86a8_db353240">'Controle Indeling Productlijn'!$E$186</definedName>
    <definedName name="_vena_DYNR_SControleIndelingPL_BB1_47da86a8_dda2413c">'Controle Indeling Productlijn'!$E$201</definedName>
    <definedName name="_vena_DYNR_SControleIndelingPL_BB1_47da86a8_ded6e27e">'Controle Indeling Productlijn'!$E$197</definedName>
    <definedName name="_vena_DYNR_SControleIndelingPL_BB1_47da86a8_e09dd42c">'Controle Indeling Productlijn'!$E$195</definedName>
    <definedName name="_vena_DYNR_SControleIndelingPL_BB1_47da86a8_e7bfb29e">'Controle Indeling Productlijn'!$E$87</definedName>
    <definedName name="_vena_DYNR_SControleIndelingPL_BB1_47da86a8_ed5c582f">'Controle Indeling Productlijn'!$E$141</definedName>
    <definedName name="_vena_DYNR_SControleIndelingPL_BB1_47da86a8_edd566a5">'Controle Indeling Productlijn'!$E$185</definedName>
    <definedName name="_vena_DYNR_SControleIndelingPL_BB1_47da86a8_ee39f38c">'Controle Indeling Productlijn'!$E$97</definedName>
    <definedName name="_vena_DYNR_SControleIndelingPL_BB1_47da86a8_efa72c09">'Controle Indeling Productlijn'!$E$92</definedName>
    <definedName name="_vena_DYNR_SControleIndelingPL_BB1_47da86a8_f23ff73e">'Controle Indeling Productlijn'!$E$73</definedName>
    <definedName name="_vena_DYNR_SControleIndelingPL_BB1_47da86a8_f3571051">'Controle Indeling Productlijn'!$E$198</definedName>
    <definedName name="_vena_DYNR_SControleIndelingPL_BB1_47da86a8_f4be7594">'Controle Indeling Productlijn'!$E$158</definedName>
    <definedName name="_vena_DYNR_SControleIndelingPL_BB1_47da86a8_f5b01ad9">'Controle Indeling Productlijn'!$E$172</definedName>
    <definedName name="_vena_DYNR_SControleIndelingPL_BB1_47da86a8_f63968ca">'Controle Indeling Productlijn'!$E$165</definedName>
    <definedName name="_vena_DYNR_SControleIndelingPL_BB1_47da86a8_f6c9fc03">'Controle Indeling Productlijn'!$E$205</definedName>
    <definedName name="_vena_DYNR_SControleIndelingPL_BB1_47da86a8_f83df5a1">'Controle Indeling Productlijn'!$E$88</definedName>
    <definedName name="_vena_DYNR_SControleIndelingPL_BB1_47da86a8_fa5d35b9">'Controle Indeling Productlijn'!$E$126</definedName>
    <definedName name="_vena_DYNR_SControleIndelingPL_BB1_47da86a8_fdc14e1">'Controle Indeling Productlijn'!$E$116</definedName>
    <definedName name="_vena_DYNR_SControleIndelingPL_BB1_47da86a8_fe56e423">'Controle Indeling Productlijn'!$E$179</definedName>
    <definedName name="_vena_DYNR_SControleIndelingPL_BB1_47da86a8_fe8fda8f">'Controle Indeling Productlijn'!$E$171</definedName>
    <definedName name="_vena_DYNR_SControleIndelingPL_BB1_9b1becb2">'Controle Indeling Productlijn'!$E$207</definedName>
    <definedName name="_vena_DYNR_SControleIndelingPL_BB1_9b1becb2_1758edfa">'Controle Indeling Productlijn'!$E$356</definedName>
    <definedName name="_vena_DYNR_SControleIndelingPL_BB1_9b1becb2_18c174a7">'Controle Indeling Productlijn'!$E$216</definedName>
    <definedName name="_vena_DYNR_SControleIndelingPL_BB1_9b1becb2_21fb1051">'Controle Indeling Productlijn'!$E$236</definedName>
    <definedName name="_vena_DYNR_SControleIndelingPL_BB1_9b1becb2_225460cf">'Controle Indeling Productlijn'!$E$247</definedName>
    <definedName name="_vena_DYNR_SControleIndelingPL_BB1_9b1becb2_241967bf">'Controle Indeling Productlijn'!$E$259</definedName>
    <definedName name="_vena_DYNR_SControleIndelingPL_BB1_9b1becb2_24789bc2">'Controle Indeling Productlijn'!$E$287</definedName>
    <definedName name="_vena_DYNR_SControleIndelingPL_BB1_9b1becb2_2c31ad8c">'Controle Indeling Productlijn'!$E$239</definedName>
    <definedName name="_vena_DYNR_SControleIndelingPL_BB1_9b1becb2_2f9e7758">'Controle Indeling Productlijn'!$E$299</definedName>
    <definedName name="_vena_DYNR_SControleIndelingPL_BB1_9b1becb2_2fbac48e">'Controle Indeling Productlijn'!$E$281</definedName>
    <definedName name="_vena_DYNR_SControleIndelingPL_BB1_9b1becb2_304aedc">'Controle Indeling Productlijn'!$E$296</definedName>
    <definedName name="_vena_DYNR_SControleIndelingPL_BB1_9b1becb2_30d8753f">'Controle Indeling Productlijn'!$E$286</definedName>
    <definedName name="_vena_DYNR_SControleIndelingPL_BB1_9b1becb2_31e0e1e6">'Controle Indeling Productlijn'!$E$355</definedName>
    <definedName name="_vena_DYNR_SControleIndelingPL_BB1_9b1becb2_320c6786">'Controle Indeling Productlijn'!$E$262</definedName>
    <definedName name="_vena_DYNR_SControleIndelingPL_BB1_9b1becb2_356c8631">'Controle Indeling Productlijn'!$E$270</definedName>
    <definedName name="_vena_DYNR_SControleIndelingPL_BB1_9b1becb2_36a1f0f">'Controle Indeling Productlijn'!$E$217</definedName>
    <definedName name="_vena_DYNR_SControleIndelingPL_BB1_9b1becb2_36bad773">'Controle Indeling Productlijn'!$E$311</definedName>
    <definedName name="_vena_DYNR_SControleIndelingPL_BB1_9b1becb2_36eba84e">'Controle Indeling Productlijn'!$E$255</definedName>
    <definedName name="_vena_DYNR_SControleIndelingPL_BB1_9b1becb2_37a6c851">'Controle Indeling Productlijn'!$E$359</definedName>
    <definedName name="_vena_DYNR_SControleIndelingPL_BB1_9b1becb2_39e3838d">'Controle Indeling Productlijn'!$E$242</definedName>
    <definedName name="_vena_DYNR_SControleIndelingPL_BB1_9b1becb2_3a5bf465">'Controle Indeling Productlijn'!$E$254</definedName>
    <definedName name="_vena_DYNR_SControleIndelingPL_BB1_9b1becb2_3a8ca668">'Controle Indeling Productlijn'!$E$227</definedName>
    <definedName name="_vena_DYNR_SControleIndelingPL_BB1_9b1becb2_3b010640">'Controle Indeling Productlijn'!$E$361</definedName>
    <definedName name="_vena_DYNR_SControleIndelingPL_BB1_9b1becb2_3b048253">'Controle Indeling Productlijn'!$E$344</definedName>
    <definedName name="_vena_DYNR_SControleIndelingPL_BB1_9b1becb2_3c889730">'Controle Indeling Productlijn'!$E$370</definedName>
    <definedName name="_vena_DYNR_SControleIndelingPL_BB1_9b1becb2_3cb1639">'Controle Indeling Productlijn'!$E$294</definedName>
    <definedName name="_vena_DYNR_SControleIndelingPL_BB1_9b1becb2_3cefdb0d">'Controle Indeling Productlijn'!$E$221</definedName>
    <definedName name="_vena_DYNR_SControleIndelingPL_BB1_9b1becb2_409bddf1">'Controle Indeling Productlijn'!$E$232</definedName>
    <definedName name="_vena_DYNR_SControleIndelingPL_BB1_9b1becb2_43b383c0">'Controle Indeling Productlijn'!$E$275</definedName>
    <definedName name="_vena_DYNR_SControleIndelingPL_BB1_9b1becb2_451a0d19">'Controle Indeling Productlijn'!$E$307</definedName>
    <definedName name="_vena_DYNR_SControleIndelingPL_BB1_9b1becb2_471fa2ba">'Controle Indeling Productlijn'!$E$303</definedName>
    <definedName name="_vena_DYNR_SControleIndelingPL_BB1_9b1becb2_4918612b">'Controle Indeling Productlijn'!$E$298</definedName>
    <definedName name="_vena_DYNR_SControleIndelingPL_BB1_9b1becb2_4bdb44a6">'Controle Indeling Productlijn'!$E$284</definedName>
    <definedName name="_vena_DYNR_SControleIndelingPL_BB1_9b1becb2_54babcc8">'Controle Indeling Productlijn'!$E$291</definedName>
    <definedName name="_vena_DYNR_SControleIndelingPL_BB1_9b1becb2_567b3d0a">'Controle Indeling Productlijn'!$E$364</definedName>
    <definedName name="_vena_DYNR_SControleIndelingPL_BB1_9b1becb2_5913e91c">'Controle Indeling Productlijn'!$E$223</definedName>
    <definedName name="_vena_DYNR_SControleIndelingPL_BB1_9b1becb2_59d3f316">'Controle Indeling Productlijn'!$E$214</definedName>
    <definedName name="_vena_DYNR_SControleIndelingPL_BB1_9b1becb2_5af1ba07">'Controle Indeling Productlijn'!$E$212</definedName>
    <definedName name="_vena_DYNR_SControleIndelingPL_BB1_9b1becb2_5b239eff">'Controle Indeling Productlijn'!$E$322</definedName>
    <definedName name="_vena_DYNR_SControleIndelingPL_BB1_9b1becb2_5cdf24de">'Controle Indeling Productlijn'!$E$248</definedName>
    <definedName name="_vena_DYNR_SControleIndelingPL_BB1_9b1becb2_5d3cfac7">'Controle Indeling Productlijn'!$E$334</definedName>
    <definedName name="_vena_DYNR_SControleIndelingPL_BB1_9b1becb2_5e535e30">'Controle Indeling Productlijn'!$E$266</definedName>
    <definedName name="_vena_DYNR_SControleIndelingPL_BB1_9b1becb2_5f958214">'Controle Indeling Productlijn'!$E$280</definedName>
    <definedName name="_vena_DYNR_SControleIndelingPL_BB1_9b1becb2_62c7ee47">'Controle Indeling Productlijn'!$E$323</definedName>
    <definedName name="_vena_DYNR_SControleIndelingPL_BB1_9b1becb2_66364521">'Controle Indeling Productlijn'!$E$293</definedName>
    <definedName name="_vena_DYNR_SControleIndelingPL_BB1_9b1becb2_665a8636">'Controle Indeling Productlijn'!$E$326</definedName>
    <definedName name="_vena_DYNR_SControleIndelingPL_BB1_9b1becb2_6674d001">'Controle Indeling Productlijn'!$E$219</definedName>
    <definedName name="_vena_DYNR_SControleIndelingPL_BB1_9b1becb2_6852ce22">'Controle Indeling Productlijn'!$E$220</definedName>
    <definedName name="_vena_DYNR_SControleIndelingPL_BB1_9b1becb2_6865fb6e">'Controle Indeling Productlijn'!$E$369</definedName>
    <definedName name="_vena_DYNR_SControleIndelingPL_BB1_9b1becb2_6af814bc">'Controle Indeling Productlijn'!$E$354</definedName>
    <definedName name="_vena_DYNR_SControleIndelingPL_BB1_9b1becb2_6bc615ab">'Controle Indeling Productlijn'!$E$357</definedName>
    <definedName name="_vena_DYNR_SControleIndelingPL_BB1_9b1becb2_6c0e1659">'Controle Indeling Productlijn'!$E$362</definedName>
    <definedName name="_vena_DYNR_SControleIndelingPL_BB1_9b1becb2_6cc8ef4a">'Controle Indeling Productlijn'!$E$314</definedName>
    <definedName name="_vena_DYNR_SControleIndelingPL_BB1_9b1becb2_6cf5d4cd">'Controle Indeling Productlijn'!$E$260</definedName>
    <definedName name="_vena_DYNR_SControleIndelingPL_BB1_9b1becb2_6e66ed5b">'Controle Indeling Productlijn'!$E$251</definedName>
    <definedName name="_vena_DYNR_SControleIndelingPL_BB1_9b1becb2_6ff417f3">'Controle Indeling Productlijn'!$E$349</definedName>
    <definedName name="_vena_DYNR_SControleIndelingPL_BB1_9b1becb2_704ac63c">'Controle Indeling Productlijn'!$E$225</definedName>
    <definedName name="_vena_DYNR_SControleIndelingPL_BB1_9b1becb2_70d4b545">'Controle Indeling Productlijn'!$E$338</definedName>
    <definedName name="_vena_DYNR_SControleIndelingPL_BB1_9b1becb2_7480cf3">'Controle Indeling Productlijn'!$E$316</definedName>
    <definedName name="_vena_DYNR_SControleIndelingPL_BB1_9b1becb2_7704dd85">'Controle Indeling Productlijn'!$E$325</definedName>
    <definedName name="_vena_DYNR_SControleIndelingPL_BB1_9b1becb2_7889e6a5">'Controle Indeling Productlijn'!$E$332</definedName>
    <definedName name="_vena_DYNR_SControleIndelingPL_BB1_9b1becb2_79df2183">'Controle Indeling Productlijn'!$E$317</definedName>
    <definedName name="_vena_DYNR_SControleIndelingPL_BB1_9b1becb2_7a3be74c">'Controle Indeling Productlijn'!$E$237</definedName>
    <definedName name="_vena_DYNR_SControleIndelingPL_BB1_9b1becb2_7baa089f">'Controle Indeling Productlijn'!$E$336</definedName>
    <definedName name="_vena_DYNR_SControleIndelingPL_BB1_9b1becb2_7bbb330d">'Controle Indeling Productlijn'!$E$258</definedName>
    <definedName name="_vena_DYNR_SControleIndelingPL_BB1_9b1becb2_7beefe05">'Controle Indeling Productlijn'!$E$228</definedName>
    <definedName name="_vena_DYNR_SControleIndelingPL_BB1_9b1becb2_7cc51dff">'Controle Indeling Productlijn'!$E$279</definedName>
    <definedName name="_vena_DYNR_SControleIndelingPL_BB1_9b1becb2_7f6040ca">'Controle Indeling Productlijn'!$E$301</definedName>
    <definedName name="_vena_DYNR_SControleIndelingPL_BB1_9b1becb2_7fa2b87d">'Controle Indeling Productlijn'!$E$252</definedName>
    <definedName name="_vena_DYNR_SControleIndelingPL_BB1_9b1becb2_80408f0">'Controle Indeling Productlijn'!$E$324</definedName>
    <definedName name="_vena_DYNR_SControleIndelingPL_BB1_9b1becb2_815c7752">'Controle Indeling Productlijn'!$E$350</definedName>
    <definedName name="_vena_DYNR_SControleIndelingPL_BB1_9b1becb2_84582e1d">'Controle Indeling Productlijn'!$E$351</definedName>
    <definedName name="_vena_DYNR_SControleIndelingPL_BB1_9b1becb2_858e44b2">'Controle Indeling Productlijn'!$E$346</definedName>
    <definedName name="_vena_DYNR_SControleIndelingPL_BB1_9b1becb2_8ae6721">'Controle Indeling Productlijn'!$E$308</definedName>
    <definedName name="_vena_DYNR_SControleIndelingPL_BB1_9b1becb2_8e20e027">'Controle Indeling Productlijn'!$E$276</definedName>
    <definedName name="_vena_DYNR_SControleIndelingPL_BB1_9b1becb2_8e3a1a68">'Controle Indeling Productlijn'!$E$348</definedName>
    <definedName name="_vena_DYNR_SControleIndelingPL_BB1_9b1becb2_8f8f04c">'Controle Indeling Productlijn'!$E$231</definedName>
    <definedName name="_vena_DYNR_SControleIndelingPL_BB1_9b1becb2_90775d90">'Controle Indeling Productlijn'!$E$244</definedName>
    <definedName name="_vena_DYNR_SControleIndelingPL_BB1_9b1becb2_908da8a0">'Controle Indeling Productlijn'!$E$272</definedName>
    <definedName name="_vena_DYNR_SControleIndelingPL_BB1_9b1becb2_92e7c7d4">'Controle Indeling Productlijn'!$E$249</definedName>
    <definedName name="_vena_DYNR_SControleIndelingPL_BB1_9b1becb2_93d1cb14">'Controle Indeling Productlijn'!$E$240</definedName>
    <definedName name="_vena_DYNR_SControleIndelingPL_BB1_9b1becb2_95ff53d4">'Controle Indeling Productlijn'!$E$318</definedName>
    <definedName name="_vena_DYNR_SControleIndelingPL_BB1_9b1becb2_96fa8496">'Controle Indeling Productlijn'!$E$278</definedName>
    <definedName name="_vena_DYNR_SControleIndelingPL_BB1_9b1becb2_99c6bf18">'Controle Indeling Productlijn'!$E$367</definedName>
    <definedName name="_vena_DYNR_SControleIndelingPL_BB1_9b1becb2_9acdcd83">'Controle Indeling Productlijn'!$E$337</definedName>
    <definedName name="_vena_DYNR_SControleIndelingPL_BB1_9b1becb2_9bd053a7">'Controle Indeling Productlijn'!$E$295</definedName>
    <definedName name="_vena_DYNR_SControleIndelingPL_BB1_9b1becb2_9ea627f2">'Controle Indeling Productlijn'!$E$327</definedName>
    <definedName name="_vena_DYNR_SControleIndelingPL_BB1_9b1becb2_a3dbeef1">'Controle Indeling Productlijn'!$E$264</definedName>
    <definedName name="_vena_DYNR_SControleIndelingPL_BB1_9b1becb2_a4ada1c7">'Controle Indeling Productlijn'!$E$274</definedName>
    <definedName name="_vena_DYNR_SControleIndelingPL_BB1_9b1becb2_a5b8a16b">'Controle Indeling Productlijn'!$E$321</definedName>
    <definedName name="_vena_DYNR_SControleIndelingPL_BB1_9b1becb2_a80c3a1">'Controle Indeling Productlijn'!$E$208</definedName>
    <definedName name="_vena_DYNR_SControleIndelingPL_BB1_9b1becb2_a8ac5bb6">'Controle Indeling Productlijn'!$E$368</definedName>
    <definedName name="_vena_DYNR_SControleIndelingPL_BB1_9b1becb2_a9435a24">'Controle Indeling Productlijn'!$E$285</definedName>
    <definedName name="_vena_DYNR_SControleIndelingPL_BB1_9b1becb2_a9dd57a2">'Controle Indeling Productlijn'!$E$328</definedName>
    <definedName name="_vena_DYNR_SControleIndelingPL_BB1_9b1becb2_aabdc129">'Controle Indeling Productlijn'!$E$342</definedName>
    <definedName name="_vena_DYNR_SControleIndelingPL_BB1_9b1becb2_ace10cda">'Controle Indeling Productlijn'!$E$331</definedName>
    <definedName name="_vena_DYNR_SControleIndelingPL_BB1_9b1becb2_ad196d1a">'Controle Indeling Productlijn'!$E$222</definedName>
    <definedName name="_vena_DYNR_SControleIndelingPL_BB1_9b1becb2_ad252a7c">'Controle Indeling Productlijn'!$E$230</definedName>
    <definedName name="_vena_DYNR_SControleIndelingPL_BB1_9b1becb2_aee2322e">'Controle Indeling Productlijn'!$E$211</definedName>
    <definedName name="_vena_DYNR_SControleIndelingPL_BB1_9b1becb2_b03ea736">'Controle Indeling Productlijn'!$E$366</definedName>
    <definedName name="_vena_DYNR_SControleIndelingPL_BB1_9b1becb2_b0919f60">'Controle Indeling Productlijn'!$E$268</definedName>
    <definedName name="_vena_DYNR_SControleIndelingPL_BB1_9b1becb2_b1f301be">'Controle Indeling Productlijn'!$E$304</definedName>
    <definedName name="_vena_DYNR_SControleIndelingPL_BB1_9b1becb2_b29dc094">'Controle Indeling Productlijn'!$E$209</definedName>
    <definedName name="_vena_DYNR_SControleIndelingPL_BB1_9b1becb2_b34fdb3a">'Controle Indeling Productlijn'!$E$233</definedName>
    <definedName name="_vena_DYNR_SControleIndelingPL_BB1_9b1becb2_b51c97bb">'Controle Indeling Productlijn'!$E$306</definedName>
    <definedName name="_vena_DYNR_SControleIndelingPL_BB1_9b1becb2_b59709ea">'Controle Indeling Productlijn'!$E$297</definedName>
    <definedName name="_vena_DYNR_SControleIndelingPL_BB1_9b1becb2_b88425a1">'Controle Indeling Productlijn'!$E$345</definedName>
    <definedName name="_vena_DYNR_SControleIndelingPL_BB1_9b1becb2_b8f7c2ab">'Controle Indeling Productlijn'!$E$224</definedName>
    <definedName name="_vena_DYNR_SControleIndelingPL_BB1_9b1becb2_b95369a1">'Controle Indeling Productlijn'!$E$210</definedName>
    <definedName name="_vena_DYNR_SControleIndelingPL_BB1_9b1becb2_ba5dbe2c">'Controle Indeling Productlijn'!$E$263</definedName>
    <definedName name="_vena_DYNR_SControleIndelingPL_BB1_9b1becb2_ba870d2f">'Controle Indeling Productlijn'!$E$250</definedName>
    <definedName name="_vena_DYNR_SControleIndelingPL_BB1_9b1becb2_bb6cf2b0">'Controle Indeling Productlijn'!$E$288</definedName>
    <definedName name="_vena_DYNR_SControleIndelingPL_BB1_9b1becb2_bb8ac31f">'Controle Indeling Productlijn'!$E$333</definedName>
    <definedName name="_vena_DYNR_SControleIndelingPL_BB1_9b1becb2_bc970a6c">'Controle Indeling Productlijn'!$E$282</definedName>
    <definedName name="_vena_DYNR_SControleIndelingPL_BB1_9b1becb2_bff80dea">'Controle Indeling Productlijn'!$E$289</definedName>
    <definedName name="_vena_DYNR_SControleIndelingPL_BB1_9b1becb2_c1e34737">'Controle Indeling Productlijn'!$E$235</definedName>
    <definedName name="_vena_DYNR_SControleIndelingPL_BB1_9b1becb2_c3bf2423">'Controle Indeling Productlijn'!$E$234</definedName>
    <definedName name="_vena_DYNR_SControleIndelingPL_BB1_9b1becb2_c62fb022">'Controle Indeling Productlijn'!$E$347</definedName>
    <definedName name="_vena_DYNR_SControleIndelingPL_BB1_9b1becb2_c66933f3">'Controle Indeling Productlijn'!$E$273</definedName>
    <definedName name="_vena_DYNR_SControleIndelingPL_BB1_9b1becb2_c76bcf49">'Controle Indeling Productlijn'!$E$269</definedName>
    <definedName name="_vena_DYNR_SControleIndelingPL_BB1_9b1becb2_c772c1d1">'Controle Indeling Productlijn'!$E$213</definedName>
    <definedName name="_vena_DYNR_SControleIndelingPL_BB1_9b1becb2_c7b2fd82">'Controle Indeling Productlijn'!$E$330</definedName>
    <definedName name="_vena_DYNR_SControleIndelingPL_BB1_9b1becb2_c8784cbd">'Controle Indeling Productlijn'!$E$256</definedName>
    <definedName name="_vena_DYNR_SControleIndelingPL_BB1_9b1becb2_ca176151">'Controle Indeling Productlijn'!$E$320</definedName>
    <definedName name="_vena_DYNR_SControleIndelingPL_BB1_9b1becb2_caf2f1af">'Controle Indeling Productlijn'!$E$300</definedName>
    <definedName name="_vena_DYNR_SControleIndelingPL_BB1_9b1becb2_cc298ec3">'Controle Indeling Productlijn'!$E$277</definedName>
    <definedName name="_vena_DYNR_SControleIndelingPL_BB1_9b1becb2_cc59ed8b">'Controle Indeling Productlijn'!$E$358</definedName>
    <definedName name="_vena_DYNR_SControleIndelingPL_BB1_9b1becb2_ccfb6ac3">'Controle Indeling Productlijn'!$E$310</definedName>
    <definedName name="_vena_DYNR_SControleIndelingPL_BB1_9b1becb2_ce98458">'Controle Indeling Productlijn'!$E$309</definedName>
    <definedName name="_vena_DYNR_SControleIndelingPL_BB1_9b1becb2_d032b451">'Controle Indeling Productlijn'!$E$315</definedName>
    <definedName name="_vena_DYNR_SControleIndelingPL_BB1_9b1becb2_d045ecf4">'Controle Indeling Productlijn'!$E$257</definedName>
    <definedName name="_vena_DYNR_SControleIndelingPL_BB1_9b1becb2_d3a2273d">'Controle Indeling Productlijn'!$E$265</definedName>
    <definedName name="_vena_DYNR_SControleIndelingPL_BB1_9b1becb2_d3f771c3">'Controle Indeling Productlijn'!$E$218</definedName>
    <definedName name="_vena_DYNR_SControleIndelingPL_BB1_9b1becb2_d4a75b30">'Controle Indeling Productlijn'!$E$238</definedName>
    <definedName name="_vena_DYNR_SControleIndelingPL_BB1_9b1becb2_d4b03357">'Controle Indeling Productlijn'!$E$341</definedName>
    <definedName name="_vena_DYNR_SControleIndelingPL_BB1_9b1becb2_d4e43a9">'Controle Indeling Productlijn'!$E$305</definedName>
    <definedName name="_vena_DYNR_SControleIndelingPL_BB1_9b1becb2_d549639">'Controle Indeling Productlijn'!$E$226</definedName>
    <definedName name="_vena_DYNR_SControleIndelingPL_BB1_9b1becb2_d5b23c84">'Controle Indeling Productlijn'!$E$340</definedName>
    <definedName name="_vena_DYNR_SControleIndelingPL_BB1_9b1becb2_d65e5fce">'Controle Indeling Productlijn'!$E$290</definedName>
    <definedName name="_vena_DYNR_SControleIndelingPL_BB1_9b1becb2_d6b09af9">'Controle Indeling Productlijn'!$E$283</definedName>
    <definedName name="_vena_DYNR_SControleIndelingPL_BB1_9b1becb2_d8c62e13">'Controle Indeling Productlijn'!$E$335</definedName>
    <definedName name="_vena_DYNR_SControleIndelingPL_BB1_9b1becb2_dacf7d40">'Controle Indeling Productlijn'!$E$302</definedName>
    <definedName name="_vena_DYNR_SControleIndelingPL_BB1_9b1becb2_dd421a7e">'Controle Indeling Productlijn'!$E$339</definedName>
    <definedName name="_vena_DYNR_SControleIndelingPL_BB1_9b1becb2_de096825">'Controle Indeling Productlijn'!$E$267</definedName>
    <definedName name="_vena_DYNR_SControleIndelingPL_BB1_9b1becb2_de0bc0a7">'Controle Indeling Productlijn'!$E$271</definedName>
    <definedName name="_vena_DYNR_SControleIndelingPL_BB1_9b1becb2_de5a4a12">'Controle Indeling Productlijn'!$E$292</definedName>
    <definedName name="_vena_DYNR_SControleIndelingPL_BB1_9b1becb2_e0d393d8">'Controle Indeling Productlijn'!$E$253</definedName>
    <definedName name="_vena_DYNR_SControleIndelingPL_BB1_9b1becb2_e514c6c0">'Controle Indeling Productlijn'!$E$319</definedName>
    <definedName name="_vena_DYNR_SControleIndelingPL_BB1_9b1becb2_e8fce450">'Controle Indeling Productlijn'!$E$363</definedName>
    <definedName name="_vena_DYNR_SControleIndelingPL_BB1_9b1becb2_ec3e8920">'Controle Indeling Productlijn'!$E$313</definedName>
    <definedName name="_vena_DYNR_SControleIndelingPL_BB1_9b1becb2_ec587a9">'Controle Indeling Productlijn'!$E$215</definedName>
    <definedName name="_vena_DYNR_SControleIndelingPL_BB1_9b1becb2_ecd39081">'Controle Indeling Productlijn'!$E$360</definedName>
    <definedName name="_vena_DYNR_SControleIndelingPL_BB1_9b1becb2_edc9e37">'Controle Indeling Productlijn'!$E$353</definedName>
    <definedName name="_vena_DYNR_SControleIndelingPL_BB1_9b1becb2_ede4cb54">'Controle Indeling Productlijn'!$E$245</definedName>
    <definedName name="_vena_DYNR_SControleIndelingPL_BB1_9b1becb2_ef2e34a0">'Controle Indeling Productlijn'!$E$312</definedName>
    <definedName name="_vena_DYNR_SControleIndelingPL_BB1_9b1becb2_ef778c40">'Controle Indeling Productlijn'!$E$261</definedName>
    <definedName name="_vena_DYNR_SControleIndelingPL_BB1_9b1becb2_f0647aa8">'Controle Indeling Productlijn'!$E$352</definedName>
    <definedName name="_vena_DYNR_SControleIndelingPL_BB1_9b1becb2_f28274ec">'Controle Indeling Productlijn'!$E$365</definedName>
    <definedName name="_vena_DYNR_SControleIndelingPL_BB1_9b1becb2_f532eac1">'Controle Indeling Productlijn'!$E$241</definedName>
    <definedName name="_vena_DYNR_SControleIndelingPL_BB1_9b1becb2_f6c919e4">'Controle Indeling Productlijn'!$E$229</definedName>
    <definedName name="_vena_DYNR_SControleIndelingPL_BB1_9b1becb2_f863dfc">'Controle Indeling Productlijn'!$E$329</definedName>
    <definedName name="_vena_DYNR_SControleIndelingPL_BB1_9b1becb2_f98894b1">'Controle Indeling Productlijn'!$E$343</definedName>
    <definedName name="_vena_DYNR_SControleIndelingPL_BB1_9b1becb2_fc726290">'Controle Indeling Productlijn'!$E$246</definedName>
    <definedName name="_vena_DYNR_SControleIndelingPL_BB1_9b1becb2_fdc9cb82">'Controle Indeling Productlijn'!$E$243</definedName>
    <definedName name="_vena_DYNR_SControleIndelingPLNomUL_BB1_334d2cd1">'Controle Indeling PLNomUL'!$E$355</definedName>
    <definedName name="_vena_DYNR_SControleIndelingPLNomUL_BB1_334d2cd1_17577ea4">'Controle Indeling PLNomUL'!$E$371</definedName>
    <definedName name="_vena_DYNR_SControleIndelingPLNomUL_BB1_334d2cd1_20d7cd8b">'Controle Indeling PLNomUL'!$E$364</definedName>
    <definedName name="_vena_DYNR_SControleIndelingPLNomUL_BB1_334d2cd1_52b21331">'Controle Indeling PLNomUL'!$E$356</definedName>
    <definedName name="_vena_DYNR_SControleIndelingPLNomUL_BB1_334d2cd1_5c107090">'Controle Indeling PLNomUL'!$E$358</definedName>
    <definedName name="_vena_DYNR_SControleIndelingPLNomUL_BB1_334d2cd1_61ad846">'Controle Indeling PLNomUL'!$E$360</definedName>
    <definedName name="_vena_DYNR_SControleIndelingPLNomUL_BB1_334d2cd1_863bdc24">'Controle Indeling PLNomUL'!$E$373</definedName>
    <definedName name="_vena_DYNR_SControleIndelingPLNomUL_BB1_334d2cd1_8951c42e">'Controle Indeling PLNomUL'!$E$357</definedName>
    <definedName name="_vena_DYNR_SControleIndelingPLNomUL_BB1_334d2cd1_a05abe8b">'Controle Indeling PLNomUL'!$E$369</definedName>
    <definedName name="_vena_DYNR_SControleIndelingPLNomUL_BB1_334d2cd1_a0a64ea">'Controle Indeling PLNomUL'!$E$375</definedName>
    <definedName name="_vena_DYNR_SControleIndelingPLNomUL_BB1_334d2cd1_a7bf389b">'Controle Indeling PLNomUL'!$E$359</definedName>
    <definedName name="_vena_DYNR_SControleIndelingPLNomUL_BB1_334d2cd1_b5bcf92f">'Controle Indeling PLNomUL'!$E$370</definedName>
    <definedName name="_vena_DYNR_SControleIndelingPLNomUL_BB1_334d2cd1_c3807622">'Controle Indeling PLNomUL'!$E$368</definedName>
    <definedName name="_vena_DYNR_SControleIndelingPLNomUL_BB1_334d2cd1_c8bad2e6">'Controle Indeling PLNomUL'!$E$367</definedName>
    <definedName name="_vena_DYNR_SControleIndelingPLNomUL_BB1_334d2cd1_d4c6810a">'Controle Indeling PLNomUL'!$E$363</definedName>
    <definedName name="_vena_DYNR_SControleIndelingPLNomUL_BB1_334d2cd1_d9e7aa61">'Controle Indeling PLNomUL'!$E$365</definedName>
    <definedName name="_vena_DYNR_SControleIndelingPLNomUL_BB1_334d2cd1_dbfde64f">'Controle Indeling PLNomUL'!$E$362</definedName>
    <definedName name="_vena_DYNR_SControleIndelingPLNomUL_BB1_334d2cd1_e6975118">'Controle Indeling PLNomUL'!$E$361</definedName>
    <definedName name="_vena_DYNR_SControleIndelingPLNomUL_BB1_334d2cd1_e6c7eed4">'Controle Indeling PLNomUL'!$E$366</definedName>
    <definedName name="_vena_DYNR_SControleIndelingPLNomUL_BB1_334d2cd1_ec2a8bc8">'Controle Indeling PLNomUL'!$E$374</definedName>
    <definedName name="_vena_DYNR_SControleIndelingPLNomUL_BB1_334d2cd1_ff452506">'Controle Indeling PLNomUL'!$E$372</definedName>
    <definedName name="_vena_DYNR_SControleIndelingPLNomUL_BB1_8de5a235">'Controle Indeling PLNomUL'!$E$164</definedName>
    <definedName name="_vena_DYNR_SControleIndelingPLNomUL_BB1_8de5a235_11e0a66a">'Controle Indeling PLNomUL'!$E$183</definedName>
    <definedName name="_vena_DYNR_SControleIndelingPLNomUL_BB1_8de5a235_15dfba9b">'Controle Indeling PLNomUL'!$E$182</definedName>
    <definedName name="_vena_DYNR_SControleIndelingPLNomUL_BB1_8de5a235_1b2181c4">'Controle Indeling PLNomUL'!$E$167</definedName>
    <definedName name="_vena_DYNR_SControleIndelingPLNomUL_BB1_8de5a235_2dc41b35">'Controle Indeling PLNomUL'!$E$184</definedName>
    <definedName name="_vena_DYNR_SControleIndelingPLNomUL_BB1_8de5a235_30326a9c">'Controle Indeling PLNomUL'!$E$202</definedName>
    <definedName name="_vena_DYNR_SControleIndelingPLNomUL_BB1_8de5a235_32834095">'Controle Indeling PLNomUL'!$E$198</definedName>
    <definedName name="_vena_DYNR_SControleIndelingPLNomUL_BB1_8de5a235_33e369e9">'Controle Indeling PLNomUL'!$E$177</definedName>
    <definedName name="_vena_DYNR_SControleIndelingPLNomUL_BB1_8de5a235_48a7d8c6">'Controle Indeling PLNomUL'!$E$204</definedName>
    <definedName name="_vena_DYNR_SControleIndelingPLNomUL_BB1_8de5a235_497ac35e">'Controle Indeling PLNomUL'!$E$180</definedName>
    <definedName name="_vena_DYNR_SControleIndelingPLNomUL_BB1_8de5a235_4e53c7bd">'Controle Indeling PLNomUL'!$E$192</definedName>
    <definedName name="_vena_DYNR_SControleIndelingPLNomUL_BB1_8de5a235_4fea07f9">'Controle Indeling PLNomUL'!$E$205</definedName>
    <definedName name="_vena_DYNR_SControleIndelingPLNomUL_BB1_8de5a235_53663a1d">'Controle Indeling PLNomUL'!$E$175</definedName>
    <definedName name="_vena_DYNR_SControleIndelingPLNomUL_BB1_8de5a235_580bccb1">'Controle Indeling PLNomUL'!$E$201</definedName>
    <definedName name="_vena_DYNR_SControleIndelingPLNomUL_BB1_8de5a235_6a59cbe3">'Controle Indeling PLNomUL'!$E$208</definedName>
    <definedName name="_vena_DYNR_SControleIndelingPLNomUL_BB1_8de5a235_728882c5">'Controle Indeling PLNomUL'!$E$197</definedName>
    <definedName name="_vena_DYNR_SControleIndelingPLNomUL_BB1_8de5a235_741d357b">'Controle Indeling PLNomUL'!$E$191</definedName>
    <definedName name="_vena_DYNR_SControleIndelingPLNomUL_BB1_8de5a235_784ea99">'Controle Indeling PLNomUL'!$E$166</definedName>
    <definedName name="_vena_DYNR_SControleIndelingPLNomUL_BB1_8de5a235_82a74b82">'Controle Indeling PLNomUL'!$E$196</definedName>
    <definedName name="_vena_DYNR_SControleIndelingPLNomUL_BB1_8de5a235_87bbdf72">'Controle Indeling PLNomUL'!$E$165</definedName>
    <definedName name="_vena_DYNR_SControleIndelingPLNomUL_BB1_8de5a235_928b3b2">'Controle Indeling PLNomUL'!$E$179</definedName>
    <definedName name="_vena_DYNR_SControleIndelingPLNomUL_BB1_8de5a235_9366ff37">'Controle Indeling PLNomUL'!$E$207</definedName>
    <definedName name="_vena_DYNR_SControleIndelingPLNomUL_BB1_8de5a235_98d1fd8f">'Controle Indeling PLNomUL'!$E$171</definedName>
    <definedName name="_vena_DYNR_SControleIndelingPLNomUL_BB1_8de5a235_a265d157">'Controle Indeling PLNomUL'!$E$187</definedName>
    <definedName name="_vena_DYNR_SControleIndelingPLNomUL_BB1_8de5a235_a3e47385">'Controle Indeling PLNomUL'!$E$199</definedName>
    <definedName name="_vena_DYNR_SControleIndelingPLNomUL_BB1_8de5a235_a3f03a73">'Controle Indeling PLNomUL'!$E$200</definedName>
    <definedName name="_vena_DYNR_SControleIndelingPLNomUL_BB1_8de5a235_a57dd8a6">'Controle Indeling PLNomUL'!$E$176</definedName>
    <definedName name="_vena_DYNR_SControleIndelingPLNomUL_BB1_8de5a235_a6c2f72f">'Controle Indeling PLNomUL'!$E$181</definedName>
    <definedName name="_vena_DYNR_SControleIndelingPLNomUL_BB1_8de5a235_b00ff8e9">'Controle Indeling PLNomUL'!$E$190</definedName>
    <definedName name="_vena_DYNR_SControleIndelingPLNomUL_BB1_8de5a235_b08906f2">'Controle Indeling PLNomUL'!$E$206</definedName>
    <definedName name="_vena_DYNR_SControleIndelingPLNomUL_BB1_8de5a235_b81bca69">'Controle Indeling PLNomUL'!$E$195</definedName>
    <definedName name="_vena_DYNR_SControleIndelingPLNomUL_BB1_8de5a235_bcea5efe">'Controle Indeling PLNomUL'!$E$186</definedName>
    <definedName name="_vena_DYNR_SControleIndelingPLNomUL_BB1_8de5a235_c2c2dd09">'Controle Indeling PLNomUL'!$E$188</definedName>
    <definedName name="_vena_DYNR_SControleIndelingPLNomUL_BB1_8de5a235_c50e9a32">'Controle Indeling PLNomUL'!$E$169</definedName>
    <definedName name="_vena_DYNR_SControleIndelingPLNomUL_BB1_8de5a235_c635f68c">'Controle Indeling PLNomUL'!$E$168</definedName>
    <definedName name="_vena_DYNR_SControleIndelingPLNomUL_BB1_8de5a235_cedf81eb">'Controle Indeling PLNomUL'!$E$172</definedName>
    <definedName name="_vena_DYNR_SControleIndelingPLNomUL_BB1_8de5a235_dbfbf54a">'Controle Indeling PLNomUL'!$E$209</definedName>
    <definedName name="_vena_DYNR_SControleIndelingPLNomUL_BB1_8de5a235_dc3e6d7a">'Controle Indeling PLNomUL'!$E$189</definedName>
    <definedName name="_vena_DYNR_SControleIndelingPLNomUL_BB1_8de5a235_e089179d">'Controle Indeling PLNomUL'!$E$178</definedName>
    <definedName name="_vena_DYNR_SControleIndelingPLNomUL_BB1_8de5a235_e165bf95">'Controle Indeling PLNomUL'!$E$170</definedName>
    <definedName name="_vena_DYNR_SControleIndelingPLNomUL_BB1_8de5a235_e2c50237">'Controle Indeling PLNomUL'!$E$203</definedName>
    <definedName name="_vena_DYNR_SControleIndelingPLNomUL_BB1_8de5a235_e9db8843">'Controle Indeling PLNomUL'!$E$193</definedName>
    <definedName name="_vena_DYNR_SControleIndelingPLNomUL_BB1_8de5a235_ed007007">'Controle Indeling PLNomUL'!$E$211</definedName>
    <definedName name="_vena_DYNR_SControleIndelingPLNomUL_BB1_8de5a235_f2328605">'Controle Indeling PLNomUL'!$E$173</definedName>
    <definedName name="_vena_DYNR_SControleIndelingPLNomUL_BB1_8de5a235_f8241670">'Controle Indeling PLNomUL'!$E$210</definedName>
    <definedName name="_vena_DYNR_SControleIndelingPLNomUL_BB1_8de5a235_f8b889b8">'Controle Indeling PLNomUL'!$E$185</definedName>
    <definedName name="_vena_DYNR_SControleIndelingPLNomUL_BB1_8de5a235_fc6ee144">'Controle Indeling PLNomUL'!$E$194</definedName>
    <definedName name="_vena_DYNR_SControleIndelingPLNomUL_BB1_8de5a235_fe975075">'Controle Indeling PLNomUL'!$E$174</definedName>
    <definedName name="_vena_DYNR_SControleIndelingPLNomUL_BB1_a20f3d4f">'Controle Indeling PLNomUL'!$E$25</definedName>
    <definedName name="_vena_DYNR_SControleIndelingPLNomUL_BB1_a20f3d4f_10cfcda8">'Controle Indeling PLNomUL'!$E$32</definedName>
    <definedName name="_vena_DYNR_SControleIndelingPLNomUL_BB1_a20f3d4f_17eea6a3">'Controle Indeling PLNomUL'!$E$34</definedName>
    <definedName name="_vena_DYNR_SControleIndelingPLNomUL_BB1_a20f3d4f_18bd2920">'Controle Indeling PLNomUL'!$E$56</definedName>
    <definedName name="_vena_DYNR_SControleIndelingPLNomUL_BB1_a20f3d4f_1fd27b6">'Controle Indeling PLNomUL'!$E$27</definedName>
    <definedName name="_vena_DYNR_SControleIndelingPLNomUL_BB1_a20f3d4f_20fbdd75">'Controle Indeling PLNomUL'!$E$64</definedName>
    <definedName name="_vena_DYNR_SControleIndelingPLNomUL_BB1_a20f3d4f_2a0c3a68">'Controle Indeling PLNomUL'!$E$67</definedName>
    <definedName name="_vena_DYNR_SControleIndelingPLNomUL_BB1_a20f3d4f_2ad528ea">'Controle Indeling PLNomUL'!$E$35</definedName>
    <definedName name="_vena_DYNR_SControleIndelingPLNomUL_BB1_a20f3d4f_3211f235">'Controle Indeling PLNomUL'!$E$59</definedName>
    <definedName name="_vena_DYNR_SControleIndelingPLNomUL_BB1_a20f3d4f_342d6670">'Controle Indeling PLNomUL'!$E$71</definedName>
    <definedName name="_vena_DYNR_SControleIndelingPLNomUL_BB1_a20f3d4f_36305234">'Controle Indeling PLNomUL'!$E$48</definedName>
    <definedName name="_vena_DYNR_SControleIndelingPLNomUL_BB1_a20f3d4f_3a0d713d">'Controle Indeling PLNomUL'!$E$33</definedName>
    <definedName name="_vena_DYNR_SControleIndelingPLNomUL_BB1_a20f3d4f_3d879fa3">'Controle Indeling PLNomUL'!$E$68</definedName>
    <definedName name="_vena_DYNR_SControleIndelingPLNomUL_BB1_a20f3d4f_3dbe5d1d">'Controle Indeling PLNomUL'!$E$47</definedName>
    <definedName name="_vena_DYNR_SControleIndelingPLNomUL_BB1_a20f3d4f_3e5c0688">'Controle Indeling PLNomUL'!$E$42</definedName>
    <definedName name="_vena_DYNR_SControleIndelingPLNomUL_BB1_a20f3d4f_432db512">'Controle Indeling PLNomUL'!$E$72</definedName>
    <definedName name="_vena_DYNR_SControleIndelingPLNomUL_BB1_a20f3d4f_472551ff">'Controle Indeling PLNomUL'!$E$50</definedName>
    <definedName name="_vena_DYNR_SControleIndelingPLNomUL_BB1_a20f3d4f_569fdbad">'Controle Indeling PLNomUL'!$E$37</definedName>
    <definedName name="_vena_DYNR_SControleIndelingPLNomUL_BB1_a20f3d4f_59a8dd88">'Controle Indeling PLNomUL'!$E$41</definedName>
    <definedName name="_vena_DYNR_SControleIndelingPLNomUL_BB1_a20f3d4f_60985426">'Controle Indeling PLNomUL'!$E$26</definedName>
    <definedName name="_vena_DYNR_SControleIndelingPLNomUL_BB1_a20f3d4f_671baa9d">'Controle Indeling PLNomUL'!$E$55</definedName>
    <definedName name="_vena_DYNR_SControleIndelingPLNomUL_BB1_a20f3d4f_682eed13">'Controle Indeling PLNomUL'!$E$74</definedName>
    <definedName name="_vena_DYNR_SControleIndelingPLNomUL_BB1_a20f3d4f_6c7fca81">'Controle Indeling PLNomUL'!$E$57</definedName>
    <definedName name="_vena_DYNR_SControleIndelingPLNomUL_BB1_a20f3d4f_78f19c0b">'Controle Indeling PLNomUL'!$E$40</definedName>
    <definedName name="_vena_DYNR_SControleIndelingPLNomUL_BB1_a20f3d4f_7e7589a5">'Controle Indeling PLNomUL'!$E$63</definedName>
    <definedName name="_vena_DYNR_SControleIndelingPLNomUL_BB1_a20f3d4f_80fee7e4">'Controle Indeling PLNomUL'!$E$65</definedName>
    <definedName name="_vena_DYNR_SControleIndelingPLNomUL_BB1_a20f3d4f_821aaafe">'Controle Indeling PLNomUL'!$E$51</definedName>
    <definedName name="_vena_DYNR_SControleIndelingPLNomUL_BB1_a20f3d4f_8ce9fdca">'Controle Indeling PLNomUL'!$E$28</definedName>
    <definedName name="_vena_DYNR_SControleIndelingPLNomUL_BB1_a20f3d4f_9349deed">'Controle Indeling PLNomUL'!$E$73</definedName>
    <definedName name="_vena_DYNR_SControleIndelingPLNomUL_BB1_a20f3d4f_9b4c5eb1">'Controle Indeling PLNomUL'!$E$30</definedName>
    <definedName name="_vena_DYNR_SControleIndelingPLNomUL_BB1_a20f3d4f_9e1322e7">'Controle Indeling PLNomUL'!$E$46</definedName>
    <definedName name="_vena_DYNR_SControleIndelingPLNomUL_BB1_a20f3d4f_a0546741">'Controle Indeling PLNomUL'!$E$69</definedName>
    <definedName name="_vena_DYNR_SControleIndelingPLNomUL_BB1_a20f3d4f_a2ffda52">'Controle Indeling PLNomUL'!$E$62</definedName>
    <definedName name="_vena_DYNR_SControleIndelingPLNomUL_BB1_a20f3d4f_a968cbb0">'Controle Indeling PLNomUL'!$E$43</definedName>
    <definedName name="_vena_DYNR_SControleIndelingPLNomUL_BB1_a20f3d4f_aa1890ac">'Controle Indeling PLNomUL'!$E$44</definedName>
    <definedName name="_vena_DYNR_SControleIndelingPLNomUL_BB1_a20f3d4f_ab9968fd">'Controle Indeling PLNomUL'!$E$66</definedName>
    <definedName name="_vena_DYNR_SControleIndelingPLNomUL_BB1_a20f3d4f_ad6f5e16">'Controle Indeling PLNomUL'!$E$53</definedName>
    <definedName name="_vena_DYNR_SControleIndelingPLNomUL_BB1_a20f3d4f_ae2d29c9">'Controle Indeling PLNomUL'!$E$39</definedName>
    <definedName name="_vena_DYNR_SControleIndelingPLNomUL_BB1_a20f3d4f_b2945855">'Controle Indeling PLNomUL'!$E$29</definedName>
    <definedName name="_vena_DYNR_SControleIndelingPLNomUL_BB1_a20f3d4f_b8009162">'Controle Indeling PLNomUL'!$E$38</definedName>
    <definedName name="_vena_DYNR_SControleIndelingPLNomUL_BB1_a20f3d4f_b83ae810">'Controle Indeling PLNomUL'!$E$52</definedName>
    <definedName name="_vena_DYNR_SControleIndelingPLNomUL_BB1_a20f3d4f_c3cce355">'Controle Indeling PLNomUL'!$E$75</definedName>
    <definedName name="_vena_DYNR_SControleIndelingPLNomUL_BB1_a20f3d4f_c715ad42">'Controle Indeling PLNomUL'!$E$58</definedName>
    <definedName name="_vena_DYNR_SControleIndelingPLNomUL_BB1_a20f3d4f_d47152a6">'Controle Indeling PLNomUL'!$E$45</definedName>
    <definedName name="_vena_DYNR_SControleIndelingPLNomUL_BB1_a20f3d4f_d686e77c">'Controle Indeling PLNomUL'!$E$60</definedName>
    <definedName name="_vena_DYNR_SControleIndelingPLNomUL_BB1_a20f3d4f_da276a92">'Controle Indeling PLNomUL'!$E$70</definedName>
    <definedName name="_vena_DYNR_SControleIndelingPLNomUL_BB1_a20f3d4f_e413b5c4">'Controle Indeling PLNomUL'!$E$36</definedName>
    <definedName name="_vena_DYNR_SControleIndelingPLNomUL_BB1_a20f3d4f_e4c051d4">'Controle Indeling PLNomUL'!$E$54</definedName>
    <definedName name="_vena_DYNR_SControleIndelingPLNomUL_BB1_a20f3d4f_e80ce5d9">'Controle Indeling PLNomUL'!$E$31</definedName>
    <definedName name="_vena_DYNR_SControleIndelingPLNomUL_BB1_a20f3d4f_fd909832">'Controle Indeling PLNomUL'!$E$49</definedName>
    <definedName name="_vena_DYNR_SControleIndelingPLNomUL_BB1_a20f3d4f_febdf31">'Controle Indeling PLNomUL'!$E$61</definedName>
    <definedName name="_vena_DYNR_SControleIndelingPLNomUL_BB1_c182ae31">'Controle Indeling PLNomUL'!$E$212</definedName>
    <definedName name="_vena_DYNR_SControleIndelingPLNomUL_BB1_c182ae31_10190c1e">'Controle Indeling PLNomUL'!$E$280</definedName>
    <definedName name="_vena_DYNR_SControleIndelingPLNomUL_BB1_c182ae31_10d84f2">'Controle Indeling PLNomUL'!$E$238</definedName>
    <definedName name="_vena_DYNR_SControleIndelingPLNomUL_BB1_c182ae31_14a7cf76">'Controle Indeling PLNomUL'!$E$326</definedName>
    <definedName name="_vena_DYNR_SControleIndelingPLNomUL_BB1_c182ae31_155c7659">'Controle Indeling PLNomUL'!$E$337</definedName>
    <definedName name="_vena_DYNR_SControleIndelingPLNomUL_BB1_c182ae31_159e8d63">'Controle Indeling PLNomUL'!$E$344</definedName>
    <definedName name="_vena_DYNR_SControleIndelingPLNomUL_BB1_c182ae31_17d227c7">'Controle Indeling PLNomUL'!$E$321</definedName>
    <definedName name="_vena_DYNR_SControleIndelingPLNomUL_BB1_c182ae31_18bf3e22">'Controle Indeling PLNomUL'!$E$229</definedName>
    <definedName name="_vena_DYNR_SControleIndelingPLNomUL_BB1_c182ae31_199862d7">'Controle Indeling PLNomUL'!$E$222</definedName>
    <definedName name="_vena_DYNR_SControleIndelingPLNomUL_BB1_c182ae31_1f7410f1">'Controle Indeling PLNomUL'!$E$274</definedName>
    <definedName name="_vena_DYNR_SControleIndelingPLNomUL_BB1_c182ae31_23124f6a">'Controle Indeling PLNomUL'!$E$307</definedName>
    <definedName name="_vena_DYNR_SControleIndelingPLNomUL_BB1_c182ae31_29e9dc15">'Controle Indeling PLNomUL'!$E$313</definedName>
    <definedName name="_vena_DYNR_SControleIndelingPLNomUL_BB1_c182ae31_2a0c6e38">'Controle Indeling PLNomUL'!$E$312</definedName>
    <definedName name="_vena_DYNR_SControleIndelingPLNomUL_BB1_c182ae31_2a2beaa1">'Controle Indeling PLNomUL'!$E$230</definedName>
    <definedName name="_vena_DYNR_SControleIndelingPLNomUL_BB1_c182ae31_2a6f4986">'Controle Indeling PLNomUL'!$E$264</definedName>
    <definedName name="_vena_DYNR_SControleIndelingPLNomUL_BB1_c182ae31_2cb4ffca">'Controle Indeling PLNomUL'!$E$351</definedName>
    <definedName name="_vena_DYNR_SControleIndelingPLNomUL_BB1_c182ae31_2db47123">'Controle Indeling PLNomUL'!$E$249</definedName>
    <definedName name="_vena_DYNR_SControleIndelingPLNomUL_BB1_c182ae31_2e61797">'Controle Indeling PLNomUL'!$E$246</definedName>
    <definedName name="_vena_DYNR_SControleIndelingPLNomUL_BB1_c182ae31_2fbe47d7">'Controle Indeling PLNomUL'!$E$288</definedName>
    <definedName name="_vena_DYNR_SControleIndelingPLNomUL_BB1_c182ae31_301aff74">'Controle Indeling PLNomUL'!$E$327</definedName>
    <definedName name="_vena_DYNR_SControleIndelingPLNomUL_BB1_c182ae31_304cd15c">'Controle Indeling PLNomUL'!$E$283</definedName>
    <definedName name="_vena_DYNR_SControleIndelingPLNomUL_BB1_c182ae31_30c83b70">'Controle Indeling PLNomUL'!$E$242</definedName>
    <definedName name="_vena_DYNR_SControleIndelingPLNomUL_BB1_c182ae31_315b06e7">'Controle Indeling PLNomUL'!$E$214</definedName>
    <definedName name="_vena_DYNR_SControleIndelingPLNomUL_BB1_c182ae31_332ff621">'Controle Indeling PLNomUL'!$E$218</definedName>
    <definedName name="_vena_DYNR_SControleIndelingPLNomUL_BB1_c182ae31_33a848bf">'Controle Indeling PLNomUL'!$E$309</definedName>
    <definedName name="_vena_DYNR_SControleIndelingPLNomUL_BB1_c182ae31_3439bf27">'Controle Indeling PLNomUL'!$E$233</definedName>
    <definedName name="_vena_DYNR_SControleIndelingPLNomUL_BB1_c182ae31_3605102">'Controle Indeling PLNomUL'!$E$295</definedName>
    <definedName name="_vena_DYNR_SControleIndelingPLNomUL_BB1_c182ae31_386779eb">'Controle Indeling PLNomUL'!$E$215</definedName>
    <definedName name="_vena_DYNR_SControleIndelingPLNomUL_BB1_c182ae31_38d2d641">'Controle Indeling PLNomUL'!$E$268</definedName>
    <definedName name="_vena_DYNR_SControleIndelingPLNomUL_BB1_c182ae31_3a295f22">'Controle Indeling PLNomUL'!$E$223</definedName>
    <definedName name="_vena_DYNR_SControleIndelingPLNomUL_BB1_c182ae31_41073fd">'Controle Indeling PLNomUL'!$E$299</definedName>
    <definedName name="_vena_DYNR_SControleIndelingPLNomUL_BB1_c182ae31_415f2310">'Controle Indeling PLNomUL'!$E$334</definedName>
    <definedName name="_vena_DYNR_SControleIndelingPLNomUL_BB1_c182ae31_41d8bbd2">'Controle Indeling PLNomUL'!$E$224</definedName>
    <definedName name="_vena_DYNR_SControleIndelingPLNomUL_BB1_c182ae31_44ba986a">'Controle Indeling PLNomUL'!$E$255</definedName>
    <definedName name="_vena_DYNR_SControleIndelingPLNomUL_BB1_c182ae31_4565426c">'Controle Indeling PLNomUL'!$E$302</definedName>
    <definedName name="_vena_DYNR_SControleIndelingPLNomUL_BB1_c182ae31_490eba79">'Controle Indeling PLNomUL'!$E$340</definedName>
    <definedName name="_vena_DYNR_SControleIndelingPLNomUL_BB1_c182ae31_494ab808">'Controle Indeling PLNomUL'!$E$335</definedName>
    <definedName name="_vena_DYNR_SControleIndelingPLNomUL_BB1_c182ae31_4976f990">'Controle Indeling PLNomUL'!$E$298</definedName>
    <definedName name="_vena_DYNR_SControleIndelingPLNomUL_BB1_c182ae31_497c5cd">'Controle Indeling PLNomUL'!$E$278</definedName>
    <definedName name="_vena_DYNR_SControleIndelingPLNomUL_BB1_c182ae31_49dc59ab">'Controle Indeling PLNomUL'!$E$250</definedName>
    <definedName name="_vena_DYNR_SControleIndelingPLNomUL_BB1_c182ae31_49eae539">'Controle Indeling PLNomUL'!$E$213</definedName>
    <definedName name="_vena_DYNR_SControleIndelingPLNomUL_BB1_c182ae31_4a2dea80">'Controle Indeling PLNomUL'!$E$228</definedName>
    <definedName name="_vena_DYNR_SControleIndelingPLNomUL_BB1_c182ae31_4b1fde06">'Controle Indeling PLNomUL'!$E$347</definedName>
    <definedName name="_vena_DYNR_SControleIndelingPLNomUL_BB1_c182ae31_4b36e003">'Controle Indeling PLNomUL'!$E$293</definedName>
    <definedName name="_vena_DYNR_SControleIndelingPLNomUL_BB1_c182ae31_52a0c736">'Controle Indeling PLNomUL'!$E$300</definedName>
    <definedName name="_vena_DYNR_SControleIndelingPLNomUL_BB1_c182ae31_54cc9d6e">'Controle Indeling PLNomUL'!$E$353</definedName>
    <definedName name="_vena_DYNR_SControleIndelingPLNomUL_BB1_c182ae31_56c5c15f">'Controle Indeling PLNomUL'!$E$227</definedName>
    <definedName name="_vena_DYNR_SControleIndelingPLNomUL_BB1_c182ae31_577bcc26">'Controle Indeling PLNomUL'!$E$323</definedName>
    <definedName name="_vena_DYNR_SControleIndelingPLNomUL_BB1_c182ae31_5804ac4b">'Controle Indeling PLNomUL'!$E$330</definedName>
    <definedName name="_vena_DYNR_SControleIndelingPLNomUL_BB1_c182ae31_58d6aa52">'Controle Indeling PLNomUL'!$E$243</definedName>
    <definedName name="_vena_DYNR_SControleIndelingPLNomUL_BB1_c182ae31_59229d3c">'Controle Indeling PLNomUL'!$E$349</definedName>
    <definedName name="_vena_DYNR_SControleIndelingPLNomUL_BB1_c182ae31_5c27d94c">'Controle Indeling PLNomUL'!$E$318</definedName>
    <definedName name="_vena_DYNR_SControleIndelingPLNomUL_BB1_c182ae31_5e589107">'Controle Indeling PLNomUL'!$E$217</definedName>
    <definedName name="_vena_DYNR_SControleIndelingPLNomUL_BB1_c182ae31_609f5ab6">'Controle Indeling PLNomUL'!$E$275</definedName>
    <definedName name="_vena_DYNR_SControleIndelingPLNomUL_BB1_c182ae31_6109ba53">'Controle Indeling PLNomUL'!$E$220</definedName>
    <definedName name="_vena_DYNR_SControleIndelingPLNomUL_BB1_c182ae31_667c3ee4">'Controle Indeling PLNomUL'!$E$297</definedName>
    <definedName name="_vena_DYNR_SControleIndelingPLNomUL_BB1_c182ae31_66fa09cc">'Controle Indeling PLNomUL'!$E$286</definedName>
    <definedName name="_vena_DYNR_SControleIndelingPLNomUL_BB1_c182ae31_6a0718da">'Controle Indeling PLNomUL'!$E$234</definedName>
    <definedName name="_vena_DYNR_SControleIndelingPLNomUL_BB1_c182ae31_6b5ac28c">'Controle Indeling PLNomUL'!$E$282</definedName>
    <definedName name="_vena_DYNR_SControleIndelingPLNomUL_BB1_c182ae31_6ca1e37a">'Controle Indeling PLNomUL'!$E$336</definedName>
    <definedName name="_vena_DYNR_SControleIndelingPLNomUL_BB1_c182ae31_6e10264">'Controle Indeling PLNomUL'!$E$271</definedName>
    <definedName name="_vena_DYNR_SControleIndelingPLNomUL_BB1_c182ae31_6f2bf95e">'Controle Indeling PLNomUL'!$E$225</definedName>
    <definedName name="_vena_DYNR_SControleIndelingPLNomUL_BB1_c182ae31_73242c3b">'Controle Indeling PLNomUL'!$E$301</definedName>
    <definedName name="_vena_DYNR_SControleIndelingPLNomUL_BB1_c182ae31_75e4eb57">'Controle Indeling PLNomUL'!$E$262</definedName>
    <definedName name="_vena_DYNR_SControleIndelingPLNomUL_BB1_c182ae31_760e5d21">'Controle Indeling PLNomUL'!$E$341</definedName>
    <definedName name="_vena_DYNR_SControleIndelingPLNomUL_BB1_c182ae31_7c465545">'Controle Indeling PLNomUL'!$E$260</definedName>
    <definedName name="_vena_DYNR_SControleIndelingPLNomUL_BB1_c182ae31_7cd338dd">'Controle Indeling PLNomUL'!$E$303</definedName>
    <definedName name="_vena_DYNR_SControleIndelingPLNomUL_BB1_c182ae31_7e35087d">'Controle Indeling PLNomUL'!$E$269</definedName>
    <definedName name="_vena_DYNR_SControleIndelingPLNomUL_BB1_c182ae31_7ec6a1d7">'Controle Indeling PLNomUL'!$E$251</definedName>
    <definedName name="_vena_DYNR_SControleIndelingPLNomUL_BB1_c182ae31_7f95f1bf">'Controle Indeling PLNomUL'!$E$342</definedName>
    <definedName name="_vena_DYNR_SControleIndelingPLNomUL_BB1_c182ae31_81bf321e">'Controle Indeling PLNomUL'!$E$236</definedName>
    <definedName name="_vena_DYNR_SControleIndelingPLNomUL_BB1_c182ae31_834d0145">'Controle Indeling PLNomUL'!$E$328</definedName>
    <definedName name="_vena_DYNR_SControleIndelingPLNomUL_BB1_c182ae31_83fb3848">'Controle Indeling PLNomUL'!$E$319</definedName>
    <definedName name="_vena_DYNR_SControleIndelingPLNomUL_BB1_c182ae31_85ea2d45">'Controle Indeling PLNomUL'!$E$272</definedName>
    <definedName name="_vena_DYNR_SControleIndelingPLNomUL_BB1_c182ae31_86573a8e">'Controle Indeling PLNomUL'!$E$261</definedName>
    <definedName name="_vena_DYNR_SControleIndelingPLNomUL_BB1_c182ae31_8aa568ac">'Controle Indeling PLNomUL'!$E$354</definedName>
    <definedName name="_vena_DYNR_SControleIndelingPLNomUL_BB1_c182ae31_8aaa2bab">'Controle Indeling PLNomUL'!$E$345</definedName>
    <definedName name="_vena_DYNR_SControleIndelingPLNomUL_BB1_c182ae31_8dc6b75b">'Controle Indeling PLNomUL'!$E$305</definedName>
    <definedName name="_vena_DYNR_SControleIndelingPLNomUL_BB1_c182ae31_8f5a2ef0">'Controle Indeling PLNomUL'!$E$279</definedName>
    <definedName name="_vena_DYNR_SControleIndelingPLNomUL_BB1_c182ae31_905b880d">'Controle Indeling PLNomUL'!$E$277</definedName>
    <definedName name="_vena_DYNR_SControleIndelingPLNomUL_BB1_c182ae31_90f0728">'Controle Indeling PLNomUL'!$E$226</definedName>
    <definedName name="_vena_DYNR_SControleIndelingPLNomUL_BB1_c182ae31_939d891e">'Controle Indeling PLNomUL'!$E$292</definedName>
    <definedName name="_vena_DYNR_SControleIndelingPLNomUL_BB1_c182ae31_96db1113">'Controle Indeling PLNomUL'!$E$240</definedName>
    <definedName name="_vena_DYNR_SControleIndelingPLNomUL_BB1_c182ae31_9772fb72">'Controle Indeling PLNomUL'!$E$273</definedName>
    <definedName name="_vena_DYNR_SControleIndelingPLNomUL_BB1_c182ae31_984f278b">'Controle Indeling PLNomUL'!$E$270</definedName>
    <definedName name="_vena_DYNR_SControleIndelingPLNomUL_BB1_c182ae31_9ae4ae29">'Controle Indeling PLNomUL'!$E$317</definedName>
    <definedName name="_vena_DYNR_SControleIndelingPLNomUL_BB1_c182ae31_9c4411f8">'Controle Indeling PLNomUL'!$E$296</definedName>
    <definedName name="_vena_DYNR_SControleIndelingPLNomUL_BB1_c182ae31_9ebbc47c">'Controle Indeling PLNomUL'!$E$231</definedName>
    <definedName name="_vena_DYNR_SControleIndelingPLNomUL_BB1_c182ae31_9f7c497c">'Controle Indeling PLNomUL'!$E$314</definedName>
    <definedName name="_vena_DYNR_SControleIndelingPLNomUL_BB1_c182ae31_a1ec6b34">'Controle Indeling PLNomUL'!$E$244</definedName>
    <definedName name="_vena_DYNR_SControleIndelingPLNomUL_BB1_c182ae31_a79c1e08">'Controle Indeling PLNomUL'!$E$265</definedName>
    <definedName name="_vena_DYNR_SControleIndelingPLNomUL_BB1_c182ae31_a7d37396">'Controle Indeling PLNomUL'!$E$315</definedName>
    <definedName name="_vena_DYNR_SControleIndelingPLNomUL_BB1_c182ae31_a8143017">'Controle Indeling PLNomUL'!$E$320</definedName>
    <definedName name="_vena_DYNR_SControleIndelingPLNomUL_BB1_c182ae31_a97b8461">'Controle Indeling PLNomUL'!$E$287</definedName>
    <definedName name="_vena_DYNR_SControleIndelingPLNomUL_BB1_c182ae31_aa52d8b9">'Controle Indeling PLNomUL'!$E$239</definedName>
    <definedName name="_vena_DYNR_SControleIndelingPLNomUL_BB1_c182ae31_ab577538">'Controle Indeling PLNomUL'!$E$322</definedName>
    <definedName name="_vena_DYNR_SControleIndelingPLNomUL_BB1_c182ae31_ade9c023">'Controle Indeling PLNomUL'!$E$252</definedName>
    <definedName name="_vena_DYNR_SControleIndelingPLNomUL_BB1_c182ae31_adee907e">'Controle Indeling PLNomUL'!$E$254</definedName>
    <definedName name="_vena_DYNR_SControleIndelingPLNomUL_BB1_c182ae31_b3062158">'Controle Indeling PLNomUL'!$E$316</definedName>
    <definedName name="_vena_DYNR_SControleIndelingPLNomUL_BB1_c182ae31_b3ea4d8c">'Controle Indeling PLNomUL'!$E$248</definedName>
    <definedName name="_vena_DYNR_SControleIndelingPLNomUL_BB1_c182ae31_b42b53c7">'Controle Indeling PLNomUL'!$E$352</definedName>
    <definedName name="_vena_DYNR_SControleIndelingPLNomUL_BB1_c182ae31_b44aa3ba">'Controle Indeling PLNomUL'!$E$241</definedName>
    <definedName name="_vena_DYNR_SControleIndelingPLNomUL_BB1_c182ae31_b59812db">'Controle Indeling PLNomUL'!$E$306</definedName>
    <definedName name="_vena_DYNR_SControleIndelingPLNomUL_BB1_c182ae31_ba531588">'Controle Indeling PLNomUL'!$E$247</definedName>
    <definedName name="_vena_DYNR_SControleIndelingPLNomUL_BB1_c182ae31_bd3b6cc1">'Controle Indeling PLNomUL'!$E$276</definedName>
    <definedName name="_vena_DYNR_SControleIndelingPLNomUL_BB1_c182ae31_be57bc5">'Controle Indeling PLNomUL'!$E$259</definedName>
    <definedName name="_vena_DYNR_SControleIndelingPLNomUL_BB1_c182ae31_be6a58a3">'Controle Indeling PLNomUL'!$E$324</definedName>
    <definedName name="_vena_DYNR_SControleIndelingPLNomUL_BB1_c182ae31_c558259d">'Controle Indeling PLNomUL'!$E$311</definedName>
    <definedName name="_vena_DYNR_SControleIndelingPLNomUL_BB1_c182ae31_c7be4bb2">'Controle Indeling PLNomUL'!$E$346</definedName>
    <definedName name="_vena_DYNR_SControleIndelingPLNomUL_BB1_c182ae31_c9612909">'Controle Indeling PLNomUL'!$E$216</definedName>
    <definedName name="_vena_DYNR_SControleIndelingPLNomUL_BB1_c182ae31_cd8a69a8">'Controle Indeling PLNomUL'!$E$256</definedName>
    <definedName name="_vena_DYNR_SControleIndelingPLNomUL_BB1_c182ae31_d6db26a2">'Controle Indeling PLNomUL'!$E$290</definedName>
    <definedName name="_vena_DYNR_SControleIndelingPLNomUL_BB1_c182ae31_d719d82e">'Controle Indeling PLNomUL'!$E$221</definedName>
    <definedName name="_vena_DYNR_SControleIndelingPLNomUL_BB1_c182ae31_d84db064">'Controle Indeling PLNomUL'!$E$263</definedName>
    <definedName name="_vena_DYNR_SControleIndelingPLNomUL_BB1_c182ae31_d8c617c5">'Controle Indeling PLNomUL'!$E$294</definedName>
    <definedName name="_vena_DYNR_SControleIndelingPLNomUL_BB1_c182ae31_dab49173">'Controle Indeling PLNomUL'!$E$284</definedName>
    <definedName name="_vena_DYNR_SControleIndelingPLNomUL_BB1_c182ae31_dac45ed8">'Controle Indeling PLNomUL'!$E$285</definedName>
    <definedName name="_vena_DYNR_SControleIndelingPLNomUL_BB1_c182ae31_db0298a1">'Controle Indeling PLNomUL'!$E$329</definedName>
    <definedName name="_vena_DYNR_SControleIndelingPLNomUL_BB1_c182ae31_e09ee6fb">'Controle Indeling PLNomUL'!$E$325</definedName>
    <definedName name="_vena_DYNR_SControleIndelingPLNomUL_BB1_c182ae31_e0d7da19">'Controle Indeling PLNomUL'!$E$348</definedName>
    <definedName name="_vena_DYNR_SControleIndelingPLNomUL_BB1_c182ae31_e1d5cb7f">'Controle Indeling PLNomUL'!$E$333</definedName>
    <definedName name="_vena_DYNR_SControleIndelingPLNomUL_BB1_c182ae31_e34a4afd">'Controle Indeling PLNomUL'!$E$291</definedName>
    <definedName name="_vena_DYNR_SControleIndelingPLNomUL_BB1_c182ae31_e729e6c2">'Controle Indeling PLNomUL'!$E$267</definedName>
    <definedName name="_vena_DYNR_SControleIndelingPLNomUL_BB1_c182ae31_e748318">'Controle Indeling PLNomUL'!$E$308</definedName>
    <definedName name="_vena_DYNR_SControleIndelingPLNomUL_BB1_c182ae31_ea8dcce9">'Controle Indeling PLNomUL'!$E$343</definedName>
    <definedName name="_vena_DYNR_SControleIndelingPLNomUL_BB1_c182ae31_eadb10e1">'Controle Indeling PLNomUL'!$E$350</definedName>
    <definedName name="_vena_DYNR_SControleIndelingPLNomUL_BB1_c182ae31_eaf66bb2">'Controle Indeling PLNomUL'!$E$258</definedName>
    <definedName name="_vena_DYNR_SControleIndelingPLNomUL_BB1_c182ae31_ee0c154f">'Controle Indeling PLNomUL'!$E$245</definedName>
    <definedName name="_vena_DYNR_SControleIndelingPLNomUL_BB1_c182ae31_ee5c20ee">'Controle Indeling PLNomUL'!$E$257</definedName>
    <definedName name="_vena_DYNR_SControleIndelingPLNomUL_BB1_c182ae31_ef83c75c">'Controle Indeling PLNomUL'!$E$235</definedName>
    <definedName name="_vena_DYNR_SControleIndelingPLNomUL_BB1_c182ae31_f0a46699">'Controle Indeling PLNomUL'!$E$338</definedName>
    <definedName name="_vena_DYNR_SControleIndelingPLNomUL_BB1_c182ae31_f0f13608">'Controle Indeling PLNomUL'!$E$219</definedName>
    <definedName name="_vena_DYNR_SControleIndelingPLNomUL_BB1_c182ae31_f2229ba1">'Controle Indeling PLNomUL'!$E$281</definedName>
    <definedName name="_vena_DYNR_SControleIndelingPLNomUL_BB1_c182ae31_f3b77192">'Controle Indeling PLNomUL'!$E$339</definedName>
    <definedName name="_vena_DYNR_SControleIndelingPLNomUL_BB1_c182ae31_f40baab8">'Controle Indeling PLNomUL'!$E$310</definedName>
    <definedName name="_vena_DYNR_SControleIndelingPLNomUL_BB1_c182ae31_f5702606">'Controle Indeling PLNomUL'!$E$266</definedName>
    <definedName name="_vena_DYNR_SControleIndelingPLNomUL_BB1_c182ae31_f64c2a27">'Controle Indeling PLNomUL'!$E$289</definedName>
    <definedName name="_vena_DYNR_SControleIndelingPLNomUL_BB1_c182ae31_f74343b9">'Controle Indeling PLNomUL'!$E$331</definedName>
    <definedName name="_vena_DYNR_SControleIndelingPLNomUL_BB1_c182ae31_f94e6572">'Controle Indeling PLNomUL'!$E$253</definedName>
    <definedName name="_vena_DYNR_SControleIndelingPLNomUL_BB1_c182ae31_f97332ed">'Controle Indeling PLNomUL'!$E$332</definedName>
    <definedName name="_vena_DYNR_SControleIndelingPLNomUL_BB1_c182ae31_fb79dc6e">'Controle Indeling PLNomUL'!$E$232</definedName>
    <definedName name="_vena_DYNR_SControleIndelingPLNomUL_BB1_c182ae31_fb8cae3c">'Controle Indeling PLNomUL'!$E$304</definedName>
    <definedName name="_vena_DYNR_SControleIndelingPLNomUL_BB1_c182ae31_fcf65870">'Controle Indeling PLNomUL'!$E$237</definedName>
    <definedName name="_vena_DYNR_SControleIndelingPLNomUL_BB1_c49935c7">'Controle Indeling PLNomUL'!$E$76</definedName>
    <definedName name="_vena_DYNR_SControleIndelingPLNomUL_BB1_c49935c7_1089502">'Controle Indeling PLNomUL'!$E$135</definedName>
    <definedName name="_vena_DYNR_SControleIndelingPLNomUL_BB1_c49935c7_11885d40">'Controle Indeling PLNomUL'!$E$111</definedName>
    <definedName name="_vena_DYNR_SControleIndelingPLNomUL_BB1_c49935c7_1413e517">'Controle Indeling PLNomUL'!$E$130</definedName>
    <definedName name="_vena_DYNR_SControleIndelingPLNomUL_BB1_c49935c7_1483eb71">'Controle Indeling PLNomUL'!$E$119</definedName>
    <definedName name="_vena_DYNR_SControleIndelingPLNomUL_BB1_c49935c7_15933947">'Controle Indeling PLNomUL'!$E$88</definedName>
    <definedName name="_vena_DYNR_SControleIndelingPLNomUL_BB1_c49935c7_1f33fe55">'Controle Indeling PLNomUL'!$E$159</definedName>
    <definedName name="_vena_DYNR_SControleIndelingPLNomUL_BB1_c49935c7_22023e97">'Controle Indeling PLNomUL'!$E$161</definedName>
    <definedName name="_vena_DYNR_SControleIndelingPLNomUL_BB1_c49935c7_281e5490">'Controle Indeling PLNomUL'!$E$154</definedName>
    <definedName name="_vena_DYNR_SControleIndelingPLNomUL_BB1_c49935c7_29314bcd">'Controle Indeling PLNomUL'!$E$143</definedName>
    <definedName name="_vena_DYNR_SControleIndelingPLNomUL_BB1_c49935c7_2a0dd537">'Controle Indeling PLNomUL'!$E$109</definedName>
    <definedName name="_vena_DYNR_SControleIndelingPLNomUL_BB1_c49935c7_37460a4b">'Controle Indeling PLNomUL'!$E$126</definedName>
    <definedName name="_vena_DYNR_SControleIndelingPLNomUL_BB1_c49935c7_37df4f00">'Controle Indeling PLNomUL'!$E$102</definedName>
    <definedName name="_vena_DYNR_SControleIndelingPLNomUL_BB1_c49935c7_395a6bce">'Controle Indeling PLNomUL'!$E$160</definedName>
    <definedName name="_vena_DYNR_SControleIndelingPLNomUL_BB1_c49935c7_40d90fb3">'Controle Indeling PLNomUL'!$E$93</definedName>
    <definedName name="_vena_DYNR_SControleIndelingPLNomUL_BB1_c49935c7_492322b9">'Controle Indeling PLNomUL'!$E$150</definedName>
    <definedName name="_vena_DYNR_SControleIndelingPLNomUL_BB1_c49935c7_4f847c05">'Controle Indeling PLNomUL'!$E$84</definedName>
    <definedName name="_vena_DYNR_SControleIndelingPLNomUL_BB1_c49935c7_55ed111d">'Controle Indeling PLNomUL'!$E$152</definedName>
    <definedName name="_vena_DYNR_SControleIndelingPLNomUL_BB1_c49935c7_58182747">'Controle Indeling PLNomUL'!$E$86</definedName>
    <definedName name="_vena_DYNR_SControleIndelingPLNomUL_BB1_c49935c7_591263f3">'Controle Indeling PLNomUL'!$E$163</definedName>
    <definedName name="_vena_DYNR_SControleIndelingPLNomUL_BB1_c49935c7_5b4a6a65">'Controle Indeling PLNomUL'!$E$122</definedName>
    <definedName name="_vena_DYNR_SControleIndelingPLNomUL_BB1_c49935c7_60ab500d">'Controle Indeling PLNomUL'!$E$90</definedName>
    <definedName name="_vena_DYNR_SControleIndelingPLNomUL_BB1_c49935c7_60fe3dc">'Controle Indeling PLNomUL'!$E$153</definedName>
    <definedName name="_vena_DYNR_SControleIndelingPLNomUL_BB1_c49935c7_61d202">'Controle Indeling PLNomUL'!$E$148</definedName>
    <definedName name="_vena_DYNR_SControleIndelingPLNomUL_BB1_c49935c7_65acfd97">'Controle Indeling PLNomUL'!$E$118</definedName>
    <definedName name="_vena_DYNR_SControleIndelingPLNomUL_BB1_c49935c7_660e0765">'Controle Indeling PLNomUL'!$E$147</definedName>
    <definedName name="_vena_DYNR_SControleIndelingPLNomUL_BB1_c49935c7_66c53f8b">'Controle Indeling PLNomUL'!$E$137</definedName>
    <definedName name="_vena_DYNR_SControleIndelingPLNomUL_BB1_c49935c7_689d789a">'Controle Indeling PLNomUL'!$E$132</definedName>
    <definedName name="_vena_DYNR_SControleIndelingPLNomUL_BB1_c49935c7_691e94cd">'Controle Indeling PLNomUL'!$E$145</definedName>
    <definedName name="_vena_DYNR_SControleIndelingPLNomUL_BB1_c49935c7_6a68be9d">'Controle Indeling PLNomUL'!$E$138</definedName>
    <definedName name="_vena_DYNR_SControleIndelingPLNomUL_BB1_c49935c7_6aaa6542">'Controle Indeling PLNomUL'!$E$89</definedName>
    <definedName name="_vena_DYNR_SControleIndelingPLNomUL_BB1_c49935c7_6d8049a1">'Controle Indeling PLNomUL'!$E$117</definedName>
    <definedName name="_vena_DYNR_SControleIndelingPLNomUL_BB1_c49935c7_7093f2ba">'Controle Indeling PLNomUL'!$E$162</definedName>
    <definedName name="_vena_DYNR_SControleIndelingPLNomUL_BB1_c49935c7_71c82bf4">'Controle Indeling PLNomUL'!$E$103</definedName>
    <definedName name="_vena_DYNR_SControleIndelingPLNomUL_BB1_c49935c7_76095f6c">'Controle Indeling PLNomUL'!$E$92</definedName>
    <definedName name="_vena_DYNR_SControleIndelingPLNomUL_BB1_c49935c7_76e8d86b">'Controle Indeling PLNomUL'!$E$83</definedName>
    <definedName name="_vena_DYNR_SControleIndelingPLNomUL_BB1_c49935c7_7dce61f1">'Controle Indeling PLNomUL'!$E$108</definedName>
    <definedName name="_vena_DYNR_SControleIndelingPLNomUL_BB1_c49935c7_841c31a7">'Controle Indeling PLNomUL'!$E$133</definedName>
    <definedName name="_vena_DYNR_SControleIndelingPLNomUL_BB1_c49935c7_87e49681">'Controle Indeling PLNomUL'!$E$128</definedName>
    <definedName name="_vena_DYNR_SControleIndelingPLNomUL_BB1_c49935c7_897f87cf">'Controle Indeling PLNomUL'!$E$106</definedName>
    <definedName name="_vena_DYNR_SControleIndelingPLNomUL_BB1_c49935c7_89b44935">'Controle Indeling PLNomUL'!$E$79</definedName>
    <definedName name="_vena_DYNR_SControleIndelingPLNomUL_BB1_c49935c7_89e2e871">'Controle Indeling PLNomUL'!$E$77</definedName>
    <definedName name="_vena_DYNR_SControleIndelingPLNomUL_BB1_c49935c7_8e97662f">'Controle Indeling PLNomUL'!$E$104</definedName>
    <definedName name="_vena_DYNR_SControleIndelingPLNomUL_BB1_c49935c7_922efd0c">'Controle Indeling PLNomUL'!$E$105</definedName>
    <definedName name="_vena_DYNR_SControleIndelingPLNomUL_BB1_c49935c7_92922908">'Controle Indeling PLNomUL'!$E$82</definedName>
    <definedName name="_vena_DYNR_SControleIndelingPLNomUL_BB1_c49935c7_955dff3e">'Controle Indeling PLNomUL'!$E$113</definedName>
    <definedName name="_vena_DYNR_SControleIndelingPLNomUL_BB1_c49935c7_9a33bb37">'Controle Indeling PLNomUL'!$E$125</definedName>
    <definedName name="_vena_DYNR_SControleIndelingPLNomUL_BB1_c49935c7_9ab02a29">'Controle Indeling PLNomUL'!$E$123</definedName>
    <definedName name="_vena_DYNR_SControleIndelingPLNomUL_BB1_c49935c7_9bb61d6c">'Controle Indeling PLNomUL'!$E$139</definedName>
    <definedName name="_vena_DYNR_SControleIndelingPLNomUL_BB1_c49935c7_a4481c69">'Controle Indeling PLNomUL'!$E$127</definedName>
    <definedName name="_vena_DYNR_SControleIndelingPLNomUL_BB1_c49935c7_a7a1e0c2">'Controle Indeling PLNomUL'!$E$134</definedName>
    <definedName name="_vena_DYNR_SControleIndelingPLNomUL_BB1_c49935c7_a7f1e9ed">'Controle Indeling PLNomUL'!$E$129</definedName>
    <definedName name="_vena_DYNR_SControleIndelingPLNomUL_BB1_c49935c7_a8c68c44">'Controle Indeling PLNomUL'!$E$110</definedName>
    <definedName name="_vena_DYNR_SControleIndelingPLNomUL_BB1_c49935c7_aa106ff3">'Controle Indeling PLNomUL'!$E$149</definedName>
    <definedName name="_vena_DYNR_SControleIndelingPLNomUL_BB1_c49935c7_aa7a3b14">'Controle Indeling PLNomUL'!$E$96</definedName>
    <definedName name="_vena_DYNR_SControleIndelingPLNomUL_BB1_c49935c7_ac32d4e7">'Controle Indeling PLNomUL'!$E$146</definedName>
    <definedName name="_vena_DYNR_SControleIndelingPLNomUL_BB1_c49935c7_b539f8c8">'Controle Indeling PLNomUL'!$E$80</definedName>
    <definedName name="_vena_DYNR_SControleIndelingPLNomUL_BB1_c49935c7_b66f55fa">'Controle Indeling PLNomUL'!$E$91</definedName>
    <definedName name="_vena_DYNR_SControleIndelingPLNomUL_BB1_c49935c7_b7bbfb98">'Controle Indeling PLNomUL'!$E$155</definedName>
    <definedName name="_vena_DYNR_SControleIndelingPLNomUL_BB1_c49935c7_baefdc93">'Controle Indeling PLNomUL'!$E$156</definedName>
    <definedName name="_vena_DYNR_SControleIndelingPLNomUL_BB1_c49935c7_be87eb42">'Controle Indeling PLNomUL'!$E$151</definedName>
    <definedName name="_vena_DYNR_SControleIndelingPLNomUL_BB1_c49935c7_c6db612a">'Controle Indeling PLNomUL'!$E$144</definedName>
    <definedName name="_vena_DYNR_SControleIndelingPLNomUL_BB1_c49935c7_c8f314b9">'Controle Indeling PLNomUL'!$E$141</definedName>
    <definedName name="_vena_DYNR_SControleIndelingPLNomUL_BB1_c49935c7_cb244331">'Controle Indeling PLNomUL'!$E$85</definedName>
    <definedName name="_vena_DYNR_SControleIndelingPLNomUL_BB1_c49935c7_cb983ac9">'Controle Indeling PLNomUL'!$E$101</definedName>
    <definedName name="_vena_DYNR_SControleIndelingPLNomUL_BB1_c49935c7_ce03a1a">'Controle Indeling PLNomUL'!$E$114</definedName>
    <definedName name="_vena_DYNR_SControleIndelingPLNomUL_BB1_c49935c7_d0af36be">'Controle Indeling PLNomUL'!$E$97</definedName>
    <definedName name="_vena_DYNR_SControleIndelingPLNomUL_BB1_c49935c7_d2494921">'Controle Indeling PLNomUL'!$E$100</definedName>
    <definedName name="_vena_DYNR_SControleIndelingPLNomUL_BB1_c49935c7_d24bd822">'Controle Indeling PLNomUL'!$E$115</definedName>
    <definedName name="_vena_DYNR_SControleIndelingPLNomUL_BB1_c49935c7_d32140b9">'Controle Indeling PLNomUL'!$E$98</definedName>
    <definedName name="_vena_DYNR_SControleIndelingPLNomUL_BB1_c49935c7_de18dd17">'Controle Indeling PLNomUL'!$E$87</definedName>
    <definedName name="_vena_DYNR_SControleIndelingPLNomUL_BB1_c49935c7_de1bfd9b">'Controle Indeling PLNomUL'!$E$131</definedName>
    <definedName name="_vena_DYNR_SControleIndelingPLNomUL_BB1_c49935c7_de8b2315">'Controle Indeling PLNomUL'!$E$81</definedName>
    <definedName name="_vena_DYNR_SControleIndelingPLNomUL_BB1_c49935c7_e18c2277">'Controle Indeling PLNomUL'!$E$112</definedName>
    <definedName name="_vena_DYNR_SControleIndelingPLNomUL_BB1_c49935c7_e9306016">'Controle Indeling PLNomUL'!$E$121</definedName>
    <definedName name="_vena_DYNR_SControleIndelingPLNomUL_BB1_c49935c7_ea0b1737">'Controle Indeling PLNomUL'!$E$136</definedName>
    <definedName name="_vena_DYNR_SControleIndelingPLNomUL_BB1_c49935c7_eb520ed1">'Controle Indeling PLNomUL'!$E$142</definedName>
    <definedName name="_vena_DYNR_SControleIndelingPLNomUL_BB1_c49935c7_ed7035f1">'Controle Indeling PLNomUL'!$E$99</definedName>
    <definedName name="_vena_DYNR_SControleIndelingPLNomUL_BB1_c49935c7_f2bb81a5">'Controle Indeling PLNomUL'!$E$116</definedName>
    <definedName name="_vena_DYNR_SControleIndelingPLNomUL_BB1_c49935c7_f643ab12">'Controle Indeling PLNomUL'!$E$95</definedName>
    <definedName name="_vena_DYNR_SControleIndelingPLNomUL_BB1_c49935c7_f77a8267">'Controle Indeling PLNomUL'!$E$158</definedName>
    <definedName name="_vena_DYNR_SControleIndelingPLNomUL_BB1_c49935c7_f7a4ce4b">'Controle Indeling PLNomUL'!$E$124</definedName>
    <definedName name="_vena_DYNR_SControleIndelingPLNomUL_BB1_c49935c7_f7ebdf70">'Controle Indeling PLNomUL'!$E$120</definedName>
    <definedName name="_vena_DYNR_SControleIndelingPLNomUL_BB1_c49935c7_f81953a4">'Controle Indeling PLNomUL'!$E$107</definedName>
    <definedName name="_vena_DYNR_SControleIndelingPLNomUL_BB1_c49935c7_f87f5620">'Controle Indeling PLNomUL'!$E$94</definedName>
    <definedName name="_vena_DYNR_SControleIndelingPLNomUL_BB1_c49935c7_fb75df05">'Controle Indeling PLNomUL'!$E$140</definedName>
    <definedName name="_vena_DYNR_SControleIndelingPLNomUL_BB1_c49935c7_fc599e2e">'Controle Indeling PLNomUL'!$E$157</definedName>
    <definedName name="_vena_DYNR_SControleIndelingPLNomUL_BB1_c49935c7_fe384a07">'Controle Indeling PLNomUL'!$E$78</definedName>
    <definedName name="_vena_DYNR_SControleIndelingQRT_BB1_764b2148">'Controle Indeling QRT Niveau'!$E$290</definedName>
    <definedName name="_vena_DYNR_SControleIndelingQRT_BB1_764b2148_12917648">'Controle Indeling QRT Niveau'!$E$339</definedName>
    <definedName name="_vena_DYNR_SControleIndelingQRT_BB1_764b2148_12d23b81">'Controle Indeling QRT Niveau'!$E$330</definedName>
    <definedName name="_vena_DYNR_SControleIndelingQRT_BB1_764b2148_13ee15f6">'Controle Indeling QRT Niveau'!$E$344</definedName>
    <definedName name="_vena_DYNR_SControleIndelingQRT_BB1_764b2148_14959f6e">'Controle Indeling QRT Niveau'!$E$315</definedName>
    <definedName name="_vena_DYNR_SControleIndelingQRT_BB1_764b2148_1ed8fb38">'Controle Indeling QRT Niveau'!$E$327</definedName>
    <definedName name="_vena_DYNR_SControleIndelingQRT_BB1_764b2148_207627eb">'Controle Indeling QRT Niveau'!$E$360</definedName>
    <definedName name="_vena_DYNR_SControleIndelingQRT_BB1_764b2148_2417a6eb">'Controle Indeling QRT Niveau'!$E$345</definedName>
    <definedName name="_vena_DYNR_SControleIndelingQRT_BB1_764b2148_24e366ee">'Controle Indeling QRT Niveau'!$E$328</definedName>
    <definedName name="_vena_DYNR_SControleIndelingQRT_BB1_764b2148_2651af0d">'Controle Indeling QRT Niveau'!$E$302</definedName>
    <definedName name="_vena_DYNR_SControleIndelingQRT_BB1_764b2148_272e5a51">'Controle Indeling QRT Niveau'!$E$362</definedName>
    <definedName name="_vena_DYNR_SControleIndelingQRT_BB1_764b2148_2809dafd">'Controle Indeling QRT Niveau'!$E$293</definedName>
    <definedName name="_vena_DYNR_SControleIndelingQRT_BB1_764b2148_28e2ac43">'Controle Indeling QRT Niveau'!$E$343</definedName>
    <definedName name="_vena_DYNR_SControleIndelingQRT_BB1_764b2148_2ddf7208">'Controle Indeling QRT Niveau'!$E$370</definedName>
    <definedName name="_vena_DYNR_SControleIndelingQRT_BB1_764b2148_2fbc3e51">'Controle Indeling QRT Niveau'!$E$352</definedName>
    <definedName name="_vena_DYNR_SControleIndelingQRT_BB1_764b2148_31c2980e">'Controle Indeling QRT Niveau'!$E$309</definedName>
    <definedName name="_vena_DYNR_SControleIndelingQRT_BB1_764b2148_335fba3f">'Controle Indeling QRT Niveau'!$E$366</definedName>
    <definedName name="_vena_DYNR_SControleIndelingQRT_BB1_764b2148_3819b539">'Controle Indeling QRT Niveau'!$E$326</definedName>
    <definedName name="_vena_DYNR_SControleIndelingQRT_BB1_764b2148_38213615">'Controle Indeling QRT Niveau'!$E$341</definedName>
    <definedName name="_vena_DYNR_SControleIndelingQRT_BB1_764b2148_3cf55dbc">'Controle Indeling QRT Niveau'!$E$356</definedName>
    <definedName name="_vena_DYNR_SControleIndelingQRT_BB1_764b2148_3eb74ac7">'Controle Indeling QRT Niveau'!$E$291</definedName>
    <definedName name="_vena_DYNR_SControleIndelingQRT_BB1_764b2148_41f8707b">'Controle Indeling QRT Niveau'!$E$295</definedName>
    <definedName name="_vena_DYNR_SControleIndelingQRT_BB1_764b2148_45bd08c1">'Controle Indeling QRT Niveau'!$E$353</definedName>
    <definedName name="_vena_DYNR_SControleIndelingQRT_BB1_764b2148_499d6a7a">'Controle Indeling QRT Niveau'!$E$317</definedName>
    <definedName name="_vena_DYNR_SControleIndelingQRT_BB1_764b2148_522e7b8d">'Controle Indeling QRT Niveau'!$E$369</definedName>
    <definedName name="_vena_DYNR_SControleIndelingQRT_BB1_764b2148_52a21a72">'Controle Indeling QRT Niveau'!$E$358</definedName>
    <definedName name="_vena_DYNR_SControleIndelingQRT_BB1_764b2148_53e2ab59">'Controle Indeling QRT Niveau'!$E$305</definedName>
    <definedName name="_vena_DYNR_SControleIndelingQRT_BB1_764b2148_5507031f">'Controle Indeling QRT Niveau'!$E$313</definedName>
    <definedName name="_vena_DYNR_SControleIndelingQRT_BB1_764b2148_553235f6">'Controle Indeling QRT Niveau'!$E$357</definedName>
    <definedName name="_vena_DYNR_SControleIndelingQRT_BB1_764b2148_5946679d">'Controle Indeling QRT Niveau'!$E$329</definedName>
    <definedName name="_vena_DYNR_SControleIndelingQRT_BB1_764b2148_599c03b4">'Controle Indeling QRT Niveau'!$E$300</definedName>
    <definedName name="_vena_DYNR_SControleIndelingQRT_BB1_764b2148_65b014a3">'Controle Indeling QRT Niveau'!$E$337</definedName>
    <definedName name="_vena_DYNR_SControleIndelingQRT_BB1_764b2148_6aa1c79b">'Controle Indeling QRT Niveau'!$E$354</definedName>
    <definedName name="_vena_DYNR_SControleIndelingQRT_BB1_764b2148_70f86a27">'Controle Indeling QRT Niveau'!$E$298</definedName>
    <definedName name="_vena_DYNR_SControleIndelingQRT_BB1_764b2148_7380bae4">'Controle Indeling QRT Niveau'!$E$342</definedName>
    <definedName name="_vena_DYNR_SControleIndelingQRT_BB1_764b2148_769c415a">'Controle Indeling QRT Niveau'!$E$336</definedName>
    <definedName name="_vena_DYNR_SControleIndelingQRT_BB1_764b2148_784a87a2">'Controle Indeling QRT Niveau'!$E$318</definedName>
    <definedName name="_vena_DYNR_SControleIndelingQRT_BB1_764b2148_7c561fd0">'Controle Indeling QRT Niveau'!$E$314</definedName>
    <definedName name="_vena_DYNR_SControleIndelingQRT_BB1_764b2148_7dff49f7">'Controle Indeling QRT Niveau'!$E$297</definedName>
    <definedName name="_vena_DYNR_SControleIndelingQRT_BB1_764b2148_7e0a5afa">'Controle Indeling QRT Niveau'!$E$334</definedName>
    <definedName name="_vena_DYNR_SControleIndelingQRT_BB1_764b2148_7fe12228">'Controle Indeling QRT Niveau'!$E$340</definedName>
    <definedName name="_vena_DYNR_SControleIndelingQRT_BB1_764b2148_84cc3a46">'Controle Indeling QRT Niveau'!$E$325</definedName>
    <definedName name="_vena_DYNR_SControleIndelingQRT_BB1_764b2148_85db60c3">'Controle Indeling QRT Niveau'!$E$323</definedName>
    <definedName name="_vena_DYNR_SControleIndelingQRT_BB1_764b2148_874a83db">'Controle Indeling QRT Niveau'!$E$320</definedName>
    <definedName name="_vena_DYNR_SControleIndelingQRT_BB1_764b2148_87afe4c1">'Controle Indeling QRT Niveau'!$E$372</definedName>
    <definedName name="_vena_DYNR_SControleIndelingQRT_BB1_764b2148_8b056d74">'Controle Indeling QRT Niveau'!$E$299</definedName>
    <definedName name="_vena_DYNR_SControleIndelingQRT_BB1_764b2148_90d53eb9">'Controle Indeling QRT Niveau'!$E$294</definedName>
    <definedName name="_vena_DYNR_SControleIndelingQRT_BB1_764b2148_9a7ee1c4">'Controle Indeling QRT Niveau'!$E$332</definedName>
    <definedName name="_vena_DYNR_SControleIndelingQRT_BB1_764b2148_9cb52ddf">'Controle Indeling QRT Niveau'!$E$304</definedName>
    <definedName name="_vena_DYNR_SControleIndelingQRT_BB1_764b2148_9ced7291">'Controle Indeling QRT Niveau'!$E$301</definedName>
    <definedName name="_vena_DYNR_SControleIndelingQRT_BB1_764b2148_9d262613">'Controle Indeling QRT Niveau'!$E$311</definedName>
    <definedName name="_vena_DYNR_SControleIndelingQRT_BB1_764b2148_9ebc08c4">'Controle Indeling QRT Niveau'!$E$373</definedName>
    <definedName name="_vena_DYNR_SControleIndelingQRT_BB1_764b2148_a2d14366">'Controle Indeling QRT Niveau'!$E$316</definedName>
    <definedName name="_vena_DYNR_SControleIndelingQRT_BB1_764b2148_a31cf177">'Controle Indeling QRT Niveau'!$E$333</definedName>
    <definedName name="_vena_DYNR_SControleIndelingQRT_BB1_764b2148_a50e483a">'Controle Indeling QRT Niveau'!$E$303</definedName>
    <definedName name="_vena_DYNR_SControleIndelingQRT_BB1_764b2148_a511959">'Controle Indeling QRT Niveau'!$E$319</definedName>
    <definedName name="_vena_DYNR_SControleIndelingQRT_BB1_764b2148_a958de3d">'Controle Indeling QRT Niveau'!$E$364</definedName>
    <definedName name="_vena_DYNR_SControleIndelingQRT_BB1_764b2148_b0f40585">'Controle Indeling QRT Niveau'!$E$335</definedName>
    <definedName name="_vena_DYNR_SControleIndelingQRT_BB1_764b2148_b12c4d21">'Controle Indeling QRT Niveau'!$E$338</definedName>
    <definedName name="_vena_DYNR_SControleIndelingQRT_BB1_764b2148_bc5f1771">'Controle Indeling QRT Niveau'!$E$308</definedName>
    <definedName name="_vena_DYNR_SControleIndelingQRT_BB1_764b2148_c4b904c5">'Controle Indeling QRT Niveau'!$E$292</definedName>
    <definedName name="_vena_DYNR_SControleIndelingQRT_BB1_764b2148_ca1b7cf1">'Controle Indeling QRT Niveau'!$E$351</definedName>
    <definedName name="_vena_DYNR_SControleIndelingQRT_BB1_764b2148_cd56069">'Controle Indeling QRT Niveau'!$E$346</definedName>
    <definedName name="_vena_DYNR_SControleIndelingQRT_BB1_764b2148_ce5e1c7b">'Controle Indeling QRT Niveau'!$E$322</definedName>
    <definedName name="_vena_DYNR_SControleIndelingQRT_BB1_764b2148_cf0937dc">'Controle Indeling QRT Niveau'!$E$347</definedName>
    <definedName name="_vena_DYNR_SControleIndelingQRT_BB1_764b2148_d404b619">'Controle Indeling QRT Niveau'!$E$321</definedName>
    <definedName name="_vena_DYNR_SControleIndelingQRT_BB1_764b2148_d4320efa">'Controle Indeling QRT Niveau'!$E$312</definedName>
    <definedName name="_vena_DYNR_SControleIndelingQRT_BB1_764b2148_d6445606">'Controle Indeling QRT Niveau'!$E$307</definedName>
    <definedName name="_vena_DYNR_SControleIndelingQRT_BB1_764b2148_d83f3556">'Controle Indeling QRT Niveau'!$E$331</definedName>
    <definedName name="_vena_DYNR_SControleIndelingQRT_BB1_764b2148_da31dba0">'Controle Indeling QRT Niveau'!$E$306</definedName>
    <definedName name="_vena_DYNR_SControleIndelingQRT_BB1_764b2148_dd68bf4e">'Controle Indeling QRT Niveau'!$E$310</definedName>
    <definedName name="_vena_DYNR_SControleIndelingQRT_BB1_764b2148_df54dca7">'Controle Indeling QRT Niveau'!$E$324</definedName>
    <definedName name="_vena_DYNR_SControleIndelingQRT_BB1_764b2148_df714193">'Controle Indeling QRT Niveau'!$E$365</definedName>
    <definedName name="_vena_DYNR_SControleIndelingQRT_BB1_764b2148_e0bb6be2">'Controle Indeling QRT Niveau'!$E$361</definedName>
    <definedName name="_vena_DYNR_SControleIndelingQRT_BB1_764b2148_e0ec5d0d">'Controle Indeling QRT Niveau'!$E$363</definedName>
    <definedName name="_vena_DYNR_SControleIndelingQRT_BB1_764b2148_e1121b30">'Controle Indeling QRT Niveau'!$E$355</definedName>
    <definedName name="_vena_DYNR_SControleIndelingQRT_BB1_764b2148_e54e227">'Controle Indeling QRT Niveau'!$E$368</definedName>
    <definedName name="_vena_DYNR_SControleIndelingQRT_BB1_764b2148_e6543250">'Controle Indeling QRT Niveau'!$E$349</definedName>
    <definedName name="_vena_DYNR_SControleIndelingQRT_BB1_764b2148_e95c4ba3">'Controle Indeling QRT Niveau'!$E$371</definedName>
    <definedName name="_vena_DYNR_SControleIndelingQRT_BB1_764b2148_ea94835a">'Controle Indeling QRT Niveau'!$E$367</definedName>
    <definedName name="_vena_DYNR_SControleIndelingQRT_BB1_764b2148_edec190d">'Controle Indeling QRT Niveau'!$E$350</definedName>
    <definedName name="_vena_DYNR_SControleIndelingQRT_BB1_764b2148_eebf384e">'Controle Indeling QRT Niveau'!$E$296</definedName>
    <definedName name="_vena_DYNR_SControleIndelingQRT_BB1_764b2148_f4730732">'Controle Indeling QRT Niveau'!$E$359</definedName>
    <definedName name="_vena_DYNR_SControleIndelingQRT_BB1_764b2148_f7976af5">'Controle Indeling QRT Niveau'!$E$348</definedName>
    <definedName name="_vena_DYNR_SControleIndelingQRT_BB1_a479d30a">'Controle Indeling QRT Niveau'!$E$220</definedName>
    <definedName name="_vena_DYNR_SControleIndelingQRT_BB1_a479d30a_18770cce">'Controle Indeling QRT Niveau'!$E$268</definedName>
    <definedName name="_vena_DYNR_SControleIndelingQRT_BB1_a479d30a_188363ce">'Controle Indeling QRT Niveau'!$E$257</definedName>
    <definedName name="_vena_DYNR_SControleIndelingQRT_BB1_a479d30a_1fc327d4">'Controle Indeling QRT Niveau'!$E$231</definedName>
    <definedName name="_vena_DYNR_SControleIndelingQRT_BB1_a479d30a_2015c5d3">'Controle Indeling QRT Niveau'!$E$270</definedName>
    <definedName name="_vena_DYNR_SControleIndelingQRT_BB1_a479d30a_282cbee6">'Controle Indeling QRT Niveau'!$E$247</definedName>
    <definedName name="_vena_DYNR_SControleIndelingQRT_BB1_a479d30a_283c33aa">'Controle Indeling QRT Niveau'!$E$265</definedName>
    <definedName name="_vena_DYNR_SControleIndelingQRT_BB1_a479d30a_2a73f52a">'Controle Indeling QRT Niveau'!$E$235</definedName>
    <definedName name="_vena_DYNR_SControleIndelingQRT_BB1_a479d30a_2ad62e00">'Controle Indeling QRT Niveau'!$E$253</definedName>
    <definedName name="_vena_DYNR_SControleIndelingQRT_BB1_a479d30a_2d52e42e">'Controle Indeling QRT Niveau'!$E$221</definedName>
    <definedName name="_vena_DYNR_SControleIndelingQRT_BB1_a479d30a_2da32a24">'Controle Indeling QRT Niveau'!$E$238</definedName>
    <definedName name="_vena_DYNR_SControleIndelingQRT_BB1_a479d30a_31aa0610">'Controle Indeling QRT Niveau'!$E$233</definedName>
    <definedName name="_vena_DYNR_SControleIndelingQRT_BB1_a479d30a_33b9a5c8">'Controle Indeling QRT Niveau'!$E$236</definedName>
    <definedName name="_vena_DYNR_SControleIndelingQRT_BB1_a479d30a_39c96368">'Controle Indeling QRT Niveau'!$E$252</definedName>
    <definedName name="_vena_DYNR_SControleIndelingQRT_BB1_a479d30a_3bf9878e">'Controle Indeling QRT Niveau'!$E$278</definedName>
    <definedName name="_vena_DYNR_SControleIndelingQRT_BB1_a479d30a_3c41ef64">'Controle Indeling QRT Niveau'!$E$242</definedName>
    <definedName name="_vena_DYNR_SControleIndelingQRT_BB1_a479d30a_3cc2ef0d">'Controle Indeling QRT Niveau'!$E$261</definedName>
    <definedName name="_vena_DYNR_SControleIndelingQRT_BB1_a479d30a_40aaae58">'Controle Indeling QRT Niveau'!$E$222</definedName>
    <definedName name="_vena_DYNR_SControleIndelingQRT_BB1_a479d30a_41027f9c">'Controle Indeling QRT Niveau'!$E$244</definedName>
    <definedName name="_vena_DYNR_SControleIndelingQRT_BB1_a479d30a_46447484">'Controle Indeling QRT Niveau'!$E$273</definedName>
    <definedName name="_vena_DYNR_SControleIndelingQRT_BB1_a479d30a_4936ebbd">'Controle Indeling QRT Niveau'!$E$267</definedName>
    <definedName name="_vena_DYNR_SControleIndelingQRT_BB1_a479d30a_5a1d28a8">'Controle Indeling QRT Niveau'!$E$283</definedName>
    <definedName name="_vena_DYNR_SControleIndelingQRT_BB1_a479d30a_5a8fa0a9">'Controle Indeling QRT Niveau'!$E$279</definedName>
    <definedName name="_vena_DYNR_SControleIndelingQRT_BB1_a479d30a_5cfa3a33">'Controle Indeling QRT Niveau'!$E$264</definedName>
    <definedName name="_vena_DYNR_SControleIndelingQRT_BB1_a479d30a_6122537f">'Controle Indeling QRT Niveau'!$E$239</definedName>
    <definedName name="_vena_DYNR_SControleIndelingQRT_BB1_a479d30a_68e1d110">'Controle Indeling QRT Niveau'!$E$240</definedName>
    <definedName name="_vena_DYNR_SControleIndelingQRT_BB1_a479d30a_6bca8f22">'Controle Indeling QRT Niveau'!$E$275</definedName>
    <definedName name="_vena_DYNR_SControleIndelingQRT_BB1_a479d30a_7363d0f7">'Controle Indeling QRT Niveau'!$E$262</definedName>
    <definedName name="_vena_DYNR_SControleIndelingQRT_BB1_a479d30a_7ac1f6e">'Controle Indeling QRT Niveau'!$E$243</definedName>
    <definedName name="_vena_DYNR_SControleIndelingQRT_BB1_a479d30a_847ca194">'Controle Indeling QRT Niveau'!$E$245</definedName>
    <definedName name="_vena_DYNR_SControleIndelingQRT_BB1_a479d30a_8539ecd">'Controle Indeling QRT Niveau'!$E$276</definedName>
    <definedName name="_vena_DYNR_SControleIndelingQRT_BB1_a479d30a_8694e79a">'Controle Indeling QRT Niveau'!$E$258</definedName>
    <definedName name="_vena_DYNR_SControleIndelingQRT_BB1_a479d30a_88203884">'Controle Indeling QRT Niveau'!$E$259</definedName>
    <definedName name="_vena_DYNR_SControleIndelingQRT_BB1_a479d30a_8b38aa0e">'Controle Indeling QRT Niveau'!$E$254</definedName>
    <definedName name="_vena_DYNR_SControleIndelingQRT_BB1_a479d30a_8c635bc5">'Controle Indeling QRT Niveau'!$E$225</definedName>
    <definedName name="_vena_DYNR_SControleIndelingQRT_BB1_a479d30a_90f6fddb">'Controle Indeling QRT Niveau'!$E$255</definedName>
    <definedName name="_vena_DYNR_SControleIndelingQRT_BB1_a479d30a_9234a954">'Controle Indeling QRT Niveau'!$E$250</definedName>
    <definedName name="_vena_DYNR_SControleIndelingQRT_BB1_a479d30a_94b25f33">'Controle Indeling QRT Niveau'!$E$234</definedName>
    <definedName name="_vena_DYNR_SControleIndelingQRT_BB1_a479d30a_94f6a7dd">'Controle Indeling QRT Niveau'!$E$286</definedName>
    <definedName name="_vena_DYNR_SControleIndelingQRT_BB1_a479d30a_952564ab">'Controle Indeling QRT Niveau'!$E$269</definedName>
    <definedName name="_vena_DYNR_SControleIndelingQRT_BB1_a479d30a_953c02b1">'Controle Indeling QRT Niveau'!$E$232</definedName>
    <definedName name="_vena_DYNR_SControleIndelingQRT_BB1_a479d30a_a318b585">'Controle Indeling QRT Niveau'!$E$285</definedName>
    <definedName name="_vena_DYNR_SControleIndelingQRT_BB1_a479d30a_a341f679">'Controle Indeling QRT Niveau'!$E$228</definedName>
    <definedName name="_vena_DYNR_SControleIndelingQRT_BB1_a479d30a_a9d3136e">'Controle Indeling QRT Niveau'!$E$224</definedName>
    <definedName name="_vena_DYNR_SControleIndelingQRT_BB1_a479d30a_abbbd0e1">'Controle Indeling QRT Niveau'!$E$241</definedName>
    <definedName name="_vena_DYNR_SControleIndelingQRT_BB1_a479d30a_b4831fba">'Controle Indeling QRT Niveau'!$E$229</definedName>
    <definedName name="_vena_DYNR_SControleIndelingQRT_BB1_a479d30a_b7d4e236">'Controle Indeling QRT Niveau'!$E$287</definedName>
    <definedName name="_vena_DYNR_SControleIndelingQRT_BB1_a479d30a_b835d797">'Controle Indeling QRT Niveau'!$E$281</definedName>
    <definedName name="_vena_DYNR_SControleIndelingQRT_BB1_a479d30a_bade8555">'Controle Indeling QRT Niveau'!$E$288</definedName>
    <definedName name="_vena_DYNR_SControleIndelingQRT_BB1_a479d30a_bb0cf714">'Controle Indeling QRT Niveau'!$E$274</definedName>
    <definedName name="_vena_DYNR_SControleIndelingQRT_BB1_a479d30a_bd9b22a0">'Controle Indeling QRT Niveau'!$E$282</definedName>
    <definedName name="_vena_DYNR_SControleIndelingQRT_BB1_a479d30a_bdd1b906">'Controle Indeling QRT Niveau'!$E$226</definedName>
    <definedName name="_vena_DYNR_SControleIndelingQRT_BB1_a479d30a_be943ca8">'Controle Indeling QRT Niveau'!$E$249</definedName>
    <definedName name="_vena_DYNR_SControleIndelingQRT_BB1_a479d30a_c841aca9">'Controle Indeling QRT Niveau'!$E$260</definedName>
    <definedName name="_vena_DYNR_SControleIndelingQRT_BB1_a479d30a_cae614c5">'Controle Indeling QRT Niveau'!$E$227</definedName>
    <definedName name="_vena_DYNR_SControleIndelingQRT_BB1_a479d30a_ccb6d4c6">'Controle Indeling QRT Niveau'!$E$256</definedName>
    <definedName name="_vena_DYNR_SControleIndelingQRT_BB1_a479d30a_ce662a0">'Controle Indeling QRT Niveau'!$E$263</definedName>
    <definedName name="_vena_DYNR_SControleIndelingQRT_BB1_a479d30a_d979653b">'Controle Indeling QRT Niveau'!$E$271</definedName>
    <definedName name="_vena_DYNR_SControleIndelingQRT_BB1_a479d30a_da84b68c">'Controle Indeling QRT Niveau'!$E$246</definedName>
    <definedName name="_vena_DYNR_SControleIndelingQRT_BB1_a479d30a_dde43f33">'Controle Indeling QRT Niveau'!$E$223</definedName>
    <definedName name="_vena_DYNR_SControleIndelingQRT_BB1_a479d30a_e5b647a2">'Controle Indeling QRT Niveau'!$E$284</definedName>
    <definedName name="_vena_DYNR_SControleIndelingQRT_BB1_a479d30a_e6591261">'Controle Indeling QRT Niveau'!$E$280</definedName>
    <definedName name="_vena_DYNR_SControleIndelingQRT_BB1_a479d30a_e7228308">'Controle Indeling QRT Niveau'!$E$289</definedName>
    <definedName name="_vena_DYNR_SControleIndelingQRT_BB1_a479d30a_e809d34e">'Controle Indeling QRT Niveau'!$E$251</definedName>
    <definedName name="_vena_DYNR_SControleIndelingQRT_BB1_a479d30a_ebae459b">'Controle Indeling QRT Niveau'!$E$277</definedName>
    <definedName name="_vena_DYNR_SControleIndelingQRT_BB1_a479d30a_ecf9d5a2">'Controle Indeling QRT Niveau'!$E$230</definedName>
    <definedName name="_vena_DYNR_SControleIndelingQRT_BB1_a479d30a_ee2ce208">'Controle Indeling QRT Niveau'!$E$248</definedName>
    <definedName name="_vena_DYNR_SControleIndelingQRT_BB1_a479d30a_f1ca6ad0">'Controle Indeling QRT Niveau'!$E$237</definedName>
    <definedName name="_vena_DYNR_SControleIndelingQRT_BB1_a479d30a_f5035580">'Controle Indeling QRT Niveau'!$E$266</definedName>
    <definedName name="_vena_DYNR_SControleIndelingQRT_BB1_a479d30a_f6748ef3">'Controle Indeling QRT Niveau'!$E$272</definedName>
    <definedName name="_vena_DYNR_SControleIndelingQRT_BB1_d930880">'Controle Indeling QRT Niveau'!$E$19</definedName>
    <definedName name="_vena_DYNR_SControleIndelingQRT_BB1_d930880_1009705b">'Controle Indeling QRT Niveau'!$E$114</definedName>
    <definedName name="_vena_DYNR_SControleIndelingQRT_BB1_d930880_131e04f4">'Controle Indeling QRT Niveau'!$E$73</definedName>
    <definedName name="_vena_DYNR_SControleIndelingQRT_BB1_d930880_1379af4">'Controle Indeling QRT Niveau'!$E$119</definedName>
    <definedName name="_vena_DYNR_SControleIndelingQRT_BB1_d930880_13f1f4cd">'Controle Indeling QRT Niveau'!$E$93</definedName>
    <definedName name="_vena_DYNR_SControleIndelingQRT_BB1_d930880_15df9e50">'Controle Indeling QRT Niveau'!$E$97</definedName>
    <definedName name="_vena_DYNR_SControleIndelingQRT_BB1_d930880_17085a7c">'Controle Indeling QRT Niveau'!$E$112</definedName>
    <definedName name="_vena_DYNR_SControleIndelingQRT_BB1_d930880_18028061">'Controle Indeling QRT Niveau'!$E$127</definedName>
    <definedName name="_vena_DYNR_SControleIndelingQRT_BB1_d930880_18b14abc">'Controle Indeling QRT Niveau'!$E$40</definedName>
    <definedName name="_vena_DYNR_SControleIndelingQRT_BB1_d930880_1b115a9c">'Controle Indeling QRT Niveau'!$E$218</definedName>
    <definedName name="_vena_DYNR_SControleIndelingQRT_BB1_d930880_1b8a6112">'Controle Indeling QRT Niveau'!$E$96</definedName>
    <definedName name="_vena_DYNR_SControleIndelingQRT_BB1_d930880_1c598f12">'Controle Indeling QRT Niveau'!$E$170</definedName>
    <definedName name="_vena_DYNR_SControleIndelingQRT_BB1_d930880_1dc88fd6">'Controle Indeling QRT Niveau'!$E$108</definedName>
    <definedName name="_vena_DYNR_SControleIndelingQRT_BB1_d930880_1de77aa4">'Controle Indeling QRT Niveau'!$E$154</definedName>
    <definedName name="_vena_DYNR_SControleIndelingQRT_BB1_d930880_1f685886">'Controle Indeling QRT Niveau'!$E$28</definedName>
    <definedName name="_vena_DYNR_SControleIndelingQRT_BB1_d930880_1f8219d9">'Controle Indeling QRT Niveau'!$E$128</definedName>
    <definedName name="_vena_DYNR_SControleIndelingQRT_BB1_d930880_1fc64433">'Controle Indeling QRT Niveau'!$E$131</definedName>
    <definedName name="_vena_DYNR_SControleIndelingQRT_BB1_d930880_209e45b9">'Controle Indeling QRT Niveau'!$E$86</definedName>
    <definedName name="_vena_DYNR_SControleIndelingQRT_BB1_d930880_210783fd">'Controle Indeling QRT Niveau'!$E$202</definedName>
    <definedName name="_vena_DYNR_SControleIndelingQRT_BB1_d930880_24e9b435">'Controle Indeling QRT Niveau'!$E$120</definedName>
    <definedName name="_vena_DYNR_SControleIndelingQRT_BB1_d930880_2634ca85">'Controle Indeling QRT Niveau'!$E$203</definedName>
    <definedName name="_vena_DYNR_SControleIndelingQRT_BB1_d930880_29182ef7">'Controle Indeling QRT Niveau'!$E$77</definedName>
    <definedName name="_vena_DYNR_SControleIndelingQRT_BB1_d930880_2a3cb85e">'Controle Indeling QRT Niveau'!$E$215</definedName>
    <definedName name="_vena_DYNR_SControleIndelingQRT_BB1_d930880_2ce234e7">'Controle Indeling QRT Niveau'!$E$207</definedName>
    <definedName name="_vena_DYNR_SControleIndelingQRT_BB1_d930880_2d31e48">'Controle Indeling QRT Niveau'!$E$210</definedName>
    <definedName name="_vena_DYNR_SControleIndelingQRT_BB1_d930880_2e1bc7b6">'Controle Indeling QRT Niveau'!$E$43</definedName>
    <definedName name="_vena_DYNR_SControleIndelingQRT_BB1_d930880_2e4e5b89">'Controle Indeling QRT Niveau'!$E$216</definedName>
    <definedName name="_vena_DYNR_SControleIndelingQRT_BB1_d930880_301d5b9">'Controle Indeling QRT Niveau'!$E$89</definedName>
    <definedName name="_vena_DYNR_SControleIndelingQRT_BB1_d930880_31392c33">'Controle Indeling QRT Niveau'!$E$61</definedName>
    <definedName name="_vena_DYNR_SControleIndelingQRT_BB1_d930880_3375958f">'Controle Indeling QRT Niveau'!$E$72</definedName>
    <definedName name="_vena_DYNR_SControleIndelingQRT_BB1_d930880_34a10199">'Controle Indeling QRT Niveau'!$E$53</definedName>
    <definedName name="_vena_DYNR_SControleIndelingQRT_BB1_d930880_3705edb1">'Controle Indeling QRT Niveau'!$E$193</definedName>
    <definedName name="_vena_DYNR_SControleIndelingQRT_BB1_d930880_37faabfe">'Controle Indeling QRT Niveau'!$E$47</definedName>
    <definedName name="_vena_DYNR_SControleIndelingQRT_BB1_d930880_397d609a">'Controle Indeling QRT Niveau'!$E$23</definedName>
    <definedName name="_vena_DYNR_SControleIndelingQRT_BB1_d930880_3afa0b95">'Controle Indeling QRT Niveau'!$E$84</definedName>
    <definedName name="_vena_DYNR_SControleIndelingQRT_BB1_d930880_3c11d55">'Controle Indeling QRT Niveau'!$E$135</definedName>
    <definedName name="_vena_DYNR_SControleIndelingQRT_BB1_d930880_3cbb4453">'Controle Indeling QRT Niveau'!$E$165</definedName>
    <definedName name="_vena_DYNR_SControleIndelingQRT_BB1_d930880_3d1caa6e">'Controle Indeling QRT Niveau'!$E$137</definedName>
    <definedName name="_vena_DYNR_SControleIndelingQRT_BB1_d930880_3d21170e">'Controle Indeling QRT Niveau'!$E$141</definedName>
    <definedName name="_vena_DYNR_SControleIndelingQRT_BB1_d930880_3d58d97a">'Controle Indeling QRT Niveau'!$E$124</definedName>
    <definedName name="_vena_DYNR_SControleIndelingQRT_BB1_d930880_3eaf15b8">'Controle Indeling QRT Niveau'!$E$64</definedName>
    <definedName name="_vena_DYNR_SControleIndelingQRT_BB1_d930880_402d859b">'Controle Indeling QRT Niveau'!$E$147</definedName>
    <definedName name="_vena_DYNR_SControleIndelingQRT_BB1_d930880_403e2d99">'Controle Indeling QRT Niveau'!$E$188</definedName>
    <definedName name="_vena_DYNR_SControleIndelingQRT_BB1_d930880_411a5b72">'Controle Indeling QRT Niveau'!$E$190</definedName>
    <definedName name="_vena_DYNR_SControleIndelingQRT_BB1_d930880_4266d87f">'Controle Indeling QRT Niveau'!$E$87</definedName>
    <definedName name="_vena_DYNR_SControleIndelingQRT_BB1_d930880_44f48d88">'Controle Indeling QRT Niveau'!$E$143</definedName>
    <definedName name="_vena_DYNR_SControleIndelingQRT_BB1_d930880_45699a3c">'Controle Indeling QRT Niveau'!$E$133</definedName>
    <definedName name="_vena_DYNR_SControleIndelingQRT_BB1_d930880_45a50a41">'Controle Indeling QRT Niveau'!$E$55</definedName>
    <definedName name="_vena_DYNR_SControleIndelingQRT_BB1_d930880_485a9a72">'Controle Indeling QRT Niveau'!$E$172</definedName>
    <definedName name="_vena_DYNR_SControleIndelingQRT_BB1_d930880_49024a03">'Controle Indeling QRT Niveau'!$E$158</definedName>
    <definedName name="_vena_DYNR_SControleIndelingQRT_BB1_d930880_493cc312">'Controle Indeling QRT Niveau'!$E$125</definedName>
    <definedName name="_vena_DYNR_SControleIndelingQRT_BB1_d930880_4aae4a56">'Controle Indeling QRT Niveau'!$E$57</definedName>
    <definedName name="_vena_DYNR_SControleIndelingQRT_BB1_d930880_4b930121">'Controle Indeling QRT Niveau'!$E$183</definedName>
    <definedName name="_vena_DYNR_SControleIndelingQRT_BB1_d930880_4bbb32b2">'Controle Indeling QRT Niveau'!$E$219</definedName>
    <definedName name="_vena_DYNR_SControleIndelingQRT_BB1_d930880_4bd3bb6a">'Controle Indeling QRT Niveau'!$E$211</definedName>
    <definedName name="_vena_DYNR_SControleIndelingQRT_BB1_d930880_4cb710aa">'Controle Indeling QRT Niveau'!$E$65</definedName>
    <definedName name="_vena_DYNR_SControleIndelingQRT_BB1_d930880_503d96e2">'Controle Indeling QRT Niveau'!$E$132</definedName>
    <definedName name="_vena_DYNR_SControleIndelingQRT_BB1_d930880_5041c2ee">'Controle Indeling QRT Niveau'!$E$156</definedName>
    <definedName name="_vena_DYNR_SControleIndelingQRT_BB1_d930880_551f67f7">'Controle Indeling QRT Niveau'!$E$35</definedName>
    <definedName name="_vena_DYNR_SControleIndelingQRT_BB1_d930880_581669b7">'Controle Indeling QRT Niveau'!$E$92</definedName>
    <definedName name="_vena_DYNR_SControleIndelingQRT_BB1_d930880_58dd3d97">'Controle Indeling QRT Niveau'!$E$67</definedName>
    <definedName name="_vena_DYNR_SControleIndelingQRT_BB1_d930880_59796ff">'Controle Indeling QRT Niveau'!$E$37</definedName>
    <definedName name="_vena_DYNR_SControleIndelingQRT_BB1_d930880_5a4d1175">'Controle Indeling QRT Niveau'!$E$129</definedName>
    <definedName name="_vena_DYNR_SControleIndelingQRT_BB1_d930880_5a5a0aac">'Controle Indeling QRT Niveau'!$E$138</definedName>
    <definedName name="_vena_DYNR_SControleIndelingQRT_BB1_d930880_5c7f0bfc">'Controle Indeling QRT Niveau'!$E$75</definedName>
    <definedName name="_vena_DYNR_SControleIndelingQRT_BB1_d930880_5d2bb9eb">'Controle Indeling QRT Niveau'!$E$192</definedName>
    <definedName name="_vena_DYNR_SControleIndelingQRT_BB1_d930880_5deb2010">'Controle Indeling QRT Niveau'!$E$144</definedName>
    <definedName name="_vena_DYNR_SControleIndelingQRT_BB1_d930880_5e530d5a">'Controle Indeling QRT Niveau'!$E$213</definedName>
    <definedName name="_vena_DYNR_SControleIndelingQRT_BB1_d930880_5f64be7e">'Controle Indeling QRT Niveau'!$E$176</definedName>
    <definedName name="_vena_DYNR_SControleIndelingQRT_BB1_d930880_6045f840">'Controle Indeling QRT Niveau'!$E$197</definedName>
    <definedName name="_vena_DYNR_SControleIndelingQRT_BB1_d930880_61d69769">'Controle Indeling QRT Niveau'!$E$185</definedName>
    <definedName name="_vena_DYNR_SControleIndelingQRT_BB1_d930880_6616ff2d">'Controle Indeling QRT Niveau'!$E$60</definedName>
    <definedName name="_vena_DYNR_SControleIndelingQRT_BB1_d930880_67c2b90a">'Controle Indeling QRT Niveau'!$E$181</definedName>
    <definedName name="_vena_DYNR_SControleIndelingQRT_BB1_d930880_67ede42b">'Controle Indeling QRT Niveau'!$E$177</definedName>
    <definedName name="_vena_DYNR_SControleIndelingQRT_BB1_d930880_68e46829">'Controle Indeling QRT Niveau'!$E$155</definedName>
    <definedName name="_vena_DYNR_SControleIndelingQRT_BB1_d930880_699476a2">'Controle Indeling QRT Niveau'!$E$91</definedName>
    <definedName name="_vena_DYNR_SControleIndelingQRT_BB1_d930880_6a1351">'Controle Indeling QRT Niveau'!$E$101</definedName>
    <definedName name="_vena_DYNR_SControleIndelingQRT_BB1_d930880_6b5f8be0">'Controle Indeling QRT Niveau'!$E$85</definedName>
    <definedName name="_vena_DYNR_SControleIndelingQRT_BB1_d930880_6bd6848d">'Controle Indeling QRT Niveau'!$E$21</definedName>
    <definedName name="_vena_DYNR_SControleIndelingQRT_BB1_d930880_6ce918ee">'Controle Indeling QRT Niveau'!$E$198</definedName>
    <definedName name="_vena_DYNR_SControleIndelingQRT_BB1_d930880_72013847">'Controle Indeling QRT Niveau'!$E$140</definedName>
    <definedName name="_vena_DYNR_SControleIndelingQRT_BB1_d930880_73882ead">'Controle Indeling QRT Niveau'!$E$117</definedName>
    <definedName name="_vena_DYNR_SControleIndelingQRT_BB1_d930880_763994f9">'Controle Indeling QRT Niveau'!$E$186</definedName>
    <definedName name="_vena_DYNR_SControleIndelingQRT_BB1_d930880_769151f8">'Controle Indeling QRT Niveau'!$E$104</definedName>
    <definedName name="_vena_DYNR_SControleIndelingQRT_BB1_d930880_7821eabb">'Controle Indeling QRT Niveau'!$E$32</definedName>
    <definedName name="_vena_DYNR_SControleIndelingQRT_BB1_d930880_78d9c67">'Controle Indeling QRT Niveau'!$E$189</definedName>
    <definedName name="_vena_DYNR_SControleIndelingQRT_BB1_d930880_7936fd53">'Controle Indeling QRT Niveau'!$E$106</definedName>
    <definedName name="_vena_DYNR_SControleIndelingQRT_BB1_d930880_79453250">'Controle Indeling QRT Niveau'!$E$204</definedName>
    <definedName name="_vena_DYNR_SControleIndelingQRT_BB1_d930880_79cb7acd">'Controle Indeling QRT Niveau'!$E$214</definedName>
    <definedName name="_vena_DYNR_SControleIndelingQRT_BB1_d930880_7ca6a3d6">'Controle Indeling QRT Niveau'!$E$126</definedName>
    <definedName name="_vena_DYNR_SControleIndelingQRT_BB1_d930880_7e20eabc">'Controle Indeling QRT Niveau'!$E$116</definedName>
    <definedName name="_vena_DYNR_SControleIndelingQRT_BB1_d930880_8047ad3f">'Controle Indeling QRT Niveau'!$E$139</definedName>
    <definedName name="_vena_DYNR_SControleIndelingQRT_BB1_d930880_806ef8b8">'Controle Indeling QRT Niveau'!$E$25</definedName>
    <definedName name="_vena_DYNR_SControleIndelingQRT_BB1_d930880_80ea4e46">'Controle Indeling QRT Niveau'!$E$175</definedName>
    <definedName name="_vena_DYNR_SControleIndelingQRT_BB1_d930880_816a2dfa">'Controle Indeling QRT Niveau'!$E$194</definedName>
    <definedName name="_vena_DYNR_SControleIndelingQRT_BB1_d930880_822e71fd">'Controle Indeling QRT Niveau'!$E$98</definedName>
    <definedName name="_vena_DYNR_SControleIndelingQRT_BB1_d930880_82494a4c">'Controle Indeling QRT Niveau'!$E$41</definedName>
    <definedName name="_vena_DYNR_SControleIndelingQRT_BB1_d930880_839bc1c8">'Controle Indeling QRT Niveau'!$E$146</definedName>
    <definedName name="_vena_DYNR_SControleIndelingQRT_BB1_d930880_849c2ef">'Controle Indeling QRT Niveau'!$E$48</definedName>
    <definedName name="_vena_DYNR_SControleIndelingQRT_BB1_d930880_8830c25a">'Controle Indeling QRT Niveau'!$E$180</definedName>
    <definedName name="_vena_DYNR_SControleIndelingQRT_BB1_d930880_8937b9b5">'Controle Indeling QRT Niveau'!$E$142</definedName>
    <definedName name="_vena_DYNR_SControleIndelingQRT_BB1_d930880_899a351f">'Controle Indeling QRT Niveau'!$E$191</definedName>
    <definedName name="_vena_DYNR_SControleIndelingQRT_BB1_d930880_8b074228">'Controle Indeling QRT Niveau'!$E$71</definedName>
    <definedName name="_vena_DYNR_SControleIndelingQRT_BB1_d930880_8b2089db">'Controle Indeling QRT Niveau'!$E$187</definedName>
    <definedName name="_vena_DYNR_SControleIndelingQRT_BB1_d930880_8d7d382c">'Controle Indeling QRT Niveau'!$E$70</definedName>
    <definedName name="_vena_DYNR_SControleIndelingQRT_BB1_d930880_8dc45a16">'Controle Indeling QRT Niveau'!$E$182</definedName>
    <definedName name="_vena_DYNR_SControleIndelingQRT_BB1_d930880_8dd56b5">'Controle Indeling QRT Niveau'!$E$212</definedName>
    <definedName name="_vena_DYNR_SControleIndelingQRT_BB1_d930880_8e989826">'Controle Indeling QRT Niveau'!$E$26</definedName>
    <definedName name="_vena_DYNR_SControleIndelingQRT_BB1_d930880_8f0dbc45">'Controle Indeling QRT Niveau'!$E$195</definedName>
    <definedName name="_vena_DYNR_SControleIndelingQRT_BB1_d930880_8f74e688">'Controle Indeling QRT Niveau'!$E$62</definedName>
    <definedName name="_vena_DYNR_SControleIndelingQRT_BB1_d930880_9055c127">'Controle Indeling QRT Niveau'!$E$52</definedName>
    <definedName name="_vena_DYNR_SControleIndelingQRT_BB1_d930880_92296c05">'Controle Indeling QRT Niveau'!$E$151</definedName>
    <definedName name="_vena_DYNR_SControleIndelingQRT_BB1_d930880_96fb2ae1">'Controle Indeling QRT Niveau'!$E$164</definedName>
    <definedName name="_vena_DYNR_SControleIndelingQRT_BB1_d930880_97082a57">'Controle Indeling QRT Niveau'!$E$59</definedName>
    <definedName name="_vena_DYNR_SControleIndelingQRT_BB1_d930880_98285140">'Controle Indeling QRT Niveau'!$E$159</definedName>
    <definedName name="_vena_DYNR_SControleIndelingQRT_BB1_d930880_98955255">'Controle Indeling QRT Niveau'!$E$160</definedName>
    <definedName name="_vena_DYNR_SControleIndelingQRT_BB1_d930880_99658bb8">'Controle Indeling QRT Niveau'!$E$33</definedName>
    <definedName name="_vena_DYNR_SControleIndelingQRT_BB1_d930880_9a0baeac">'Controle Indeling QRT Niveau'!$E$153</definedName>
    <definedName name="_vena_DYNR_SControleIndelingQRT_BB1_d930880_9aa1b8f3">'Controle Indeling QRT Niveau'!$E$51</definedName>
    <definedName name="_vena_DYNR_SControleIndelingQRT_BB1_d930880_9aa4dae0">'Controle Indeling QRT Niveau'!$E$196</definedName>
    <definedName name="_vena_DYNR_SControleIndelingQRT_BB1_d930880_9cc5ec87">'Controle Indeling QRT Niveau'!$E$115</definedName>
    <definedName name="_vena_DYNR_SControleIndelingQRT_BB1_d930880_9d75b63">'Controle Indeling QRT Niveau'!$E$179</definedName>
    <definedName name="_vena_DYNR_SControleIndelingQRT_BB1_d930880_a03ad525">'Controle Indeling QRT Niveau'!$E$184</definedName>
    <definedName name="_vena_DYNR_SControleIndelingQRT_BB1_d930880_a0c316bc">'Controle Indeling QRT Niveau'!$E$152</definedName>
    <definedName name="_vena_DYNR_SControleIndelingQRT_BB1_d930880_a1b87b82">'Controle Indeling QRT Niveau'!$E$150</definedName>
    <definedName name="_vena_DYNR_SControleIndelingQRT_BB1_d930880_a2256911">'Controle Indeling QRT Niveau'!$E$58</definedName>
    <definedName name="_vena_DYNR_SControleIndelingQRT_BB1_d930880_a35bf089">'Controle Indeling QRT Niveau'!$E$31</definedName>
    <definedName name="_vena_DYNR_SControleIndelingQRT_BB1_d930880_a79ebd29">'Controle Indeling QRT Niveau'!$E$107</definedName>
    <definedName name="_vena_DYNR_SControleIndelingQRT_BB1_d930880_a9504186">'Controle Indeling QRT Niveau'!$E$99</definedName>
    <definedName name="_vena_DYNR_SControleIndelingQRT_BB1_d930880_ab7225df">'Controle Indeling QRT Niveau'!$E$38</definedName>
    <definedName name="_vena_DYNR_SControleIndelingQRT_BB1_d930880_ab728978">'Controle Indeling QRT Niveau'!$E$149</definedName>
    <definedName name="_vena_DYNR_SControleIndelingQRT_BB1_d930880_ac09a38b">'Controle Indeling QRT Niveau'!$E$136</definedName>
    <definedName name="_vena_DYNR_SControleIndelingQRT_BB1_d930880_ad171ae3">'Controle Indeling QRT Niveau'!$E$168</definedName>
    <definedName name="_vena_DYNR_SControleIndelingQRT_BB1_d930880_aeaf772e">'Controle Indeling QRT Niveau'!$E$118</definedName>
    <definedName name="_vena_DYNR_SControleIndelingQRT_BB1_d930880_b05f39ea">'Controle Indeling QRT Niveau'!$E$49</definedName>
    <definedName name="_vena_DYNR_SControleIndelingQRT_BB1_d930880_b1459c1b">'Controle Indeling QRT Niveau'!$E$82</definedName>
    <definedName name="_vena_DYNR_SControleIndelingQRT_BB1_d930880_b17fbd61">'Controle Indeling QRT Niveau'!$E$76</definedName>
    <definedName name="_vena_DYNR_SControleIndelingQRT_BB1_d930880_b460b2a">'Controle Indeling QRT Niveau'!$E$45</definedName>
    <definedName name="_vena_DYNR_SControleIndelingQRT_BB1_d930880_b76b04f6">'Controle Indeling QRT Niveau'!$E$20</definedName>
    <definedName name="_vena_DYNR_SControleIndelingQRT_BB1_d930880_ba30b0c1">'Controle Indeling QRT Niveau'!$E$56</definedName>
    <definedName name="_vena_DYNR_SControleIndelingQRT_BB1_d930880_bc2cf97c">'Controle Indeling QRT Niveau'!$E$27</definedName>
    <definedName name="_vena_DYNR_SControleIndelingQRT_BB1_d930880_bd92e9e7">'Controle Indeling QRT Niveau'!$E$29</definedName>
    <definedName name="_vena_DYNR_SControleIndelingQRT_BB1_d930880_bf7e8b8a">'Controle Indeling QRT Niveau'!$E$121</definedName>
    <definedName name="_vena_DYNR_SControleIndelingQRT_BB1_d930880_bfbd9a01">'Controle Indeling QRT Niveau'!$E$88</definedName>
    <definedName name="_vena_DYNR_SControleIndelingQRT_BB1_d930880_c55720f2">'Controle Indeling QRT Niveau'!$E$24</definedName>
    <definedName name="_vena_DYNR_SControleIndelingQRT_BB1_d930880_c71716e">'Controle Indeling QRT Niveau'!$E$81</definedName>
    <definedName name="_vena_DYNR_SControleIndelingQRT_BB1_d930880_c99d8bda">'Controle Indeling QRT Niveau'!$E$122</definedName>
    <definedName name="_vena_DYNR_SControleIndelingQRT_BB1_d930880_ca8ee28e">'Controle Indeling QRT Niveau'!$E$162</definedName>
    <definedName name="_vena_DYNR_SControleIndelingQRT_BB1_d930880_cb47b006">'Controle Indeling QRT Niveau'!$E$130</definedName>
    <definedName name="_vena_DYNR_SControleIndelingQRT_BB1_d930880_cb635212">'Controle Indeling QRT Niveau'!$E$123</definedName>
    <definedName name="_vena_DYNR_SControleIndelingQRT_BB1_d930880_cba2af02">'Controle Indeling QRT Niveau'!$E$83</definedName>
    <definedName name="_vena_DYNR_SControleIndelingQRT_BB1_d930880_cbd09015">'Controle Indeling QRT Niveau'!$E$105</definedName>
    <definedName name="_vena_DYNR_SControleIndelingQRT_BB1_d930880_cc61b5f6">'Controle Indeling QRT Niveau'!$E$208</definedName>
    <definedName name="_vena_DYNR_SControleIndelingQRT_BB1_d930880_cc64a1b1">'Controle Indeling QRT Niveau'!$E$94</definedName>
    <definedName name="_vena_DYNR_SControleIndelingQRT_BB1_d930880_cd8b6ed6">'Controle Indeling QRT Niveau'!$E$78</definedName>
    <definedName name="_vena_DYNR_SControleIndelingQRT_BB1_d930880_ce6ffa9f">'Controle Indeling QRT Niveau'!$E$199</definedName>
    <definedName name="_vena_DYNR_SControleIndelingQRT_BB1_d930880_cf412b91">'Controle Indeling QRT Niveau'!$E$63</definedName>
    <definedName name="_vena_DYNR_SControleIndelingQRT_BB1_d930880_d1f758a3">'Controle Indeling QRT Niveau'!$E$46</definedName>
    <definedName name="_vena_DYNR_SControleIndelingQRT_BB1_d930880_d25f30ac">'Controle Indeling QRT Niveau'!$E$44</definedName>
    <definedName name="_vena_DYNR_SControleIndelingQRT_BB1_d930880_d2964e6a">'Controle Indeling QRT Niveau'!$E$34</definedName>
    <definedName name="_vena_DYNR_SControleIndelingQRT_BB1_d930880_d2a6bf43">'Controle Indeling QRT Niveau'!$E$74</definedName>
    <definedName name="_vena_DYNR_SControleIndelingQRT_BB1_d930880_d5e52e3c">'Controle Indeling QRT Niveau'!$E$50</definedName>
    <definedName name="_vena_DYNR_SControleIndelingQRT_BB1_d930880_d788365d">'Controle Indeling QRT Niveau'!$E$68</definedName>
    <definedName name="_vena_DYNR_SControleIndelingQRT_BB1_d930880_d8f19ecc">'Controle Indeling QRT Niveau'!$E$201</definedName>
    <definedName name="_vena_DYNR_SControleIndelingQRT_BB1_d930880_d98f1909">'Controle Indeling QRT Niveau'!$E$111</definedName>
    <definedName name="_vena_DYNR_SControleIndelingQRT_BB1_d930880_dbd6a764">'Controle Indeling QRT Niveau'!$E$206</definedName>
    <definedName name="_vena_DYNR_SControleIndelingQRT_BB1_d930880_dc501ff8">'Controle Indeling QRT Niveau'!$E$30</definedName>
    <definedName name="_vena_DYNR_SControleIndelingQRT_BB1_d930880_dd3ea869">'Controle Indeling QRT Niveau'!$E$163</definedName>
    <definedName name="_vena_DYNR_SControleIndelingQRT_BB1_d930880_dee0847a">'Controle Indeling QRT Niveau'!$E$66</definedName>
    <definedName name="_vena_DYNR_SControleIndelingQRT_BB1_d930880_df5c09aa">'Controle Indeling QRT Niveau'!$E$80</definedName>
    <definedName name="_vena_DYNR_SControleIndelingQRT_BB1_d930880_e01420e3">'Controle Indeling QRT Niveau'!$E$100</definedName>
    <definedName name="_vena_DYNR_SControleIndelingQRT_BB1_d930880_e0dd0406">'Controle Indeling QRT Niveau'!$E$167</definedName>
    <definedName name="_vena_DYNR_SControleIndelingQRT_BB1_d930880_e1a2d5c2">'Controle Indeling QRT Niveau'!$E$54</definedName>
    <definedName name="_vena_DYNR_SControleIndelingQRT_BB1_d930880_e283842">'Controle Indeling QRT Niveau'!$E$200</definedName>
    <definedName name="_vena_DYNR_SControleIndelingQRT_BB1_d930880_e40aadc9">'Controle Indeling QRT Niveau'!$E$22</definedName>
    <definedName name="_vena_DYNR_SControleIndelingQRT_BB1_d930880_e5aea3a2">'Controle Indeling QRT Niveau'!$E$69</definedName>
    <definedName name="_vena_DYNR_SControleIndelingQRT_BB1_d930880_e5c224c5">'Controle Indeling QRT Niveau'!$E$110</definedName>
    <definedName name="_vena_DYNR_SControleIndelingQRT_BB1_d930880_e5f2c4d3">'Controle Indeling QRT Niveau'!$E$174</definedName>
    <definedName name="_vena_DYNR_SControleIndelingQRT_BB1_d930880_e825ab1b">'Controle Indeling QRT Niveau'!$E$36</definedName>
    <definedName name="_vena_DYNR_SControleIndelingQRT_BB1_d930880_e839928a">'Controle Indeling QRT Niveau'!$E$90</definedName>
    <definedName name="_vena_DYNR_SControleIndelingQRT_BB1_d930880_e8caaf52">'Controle Indeling QRT Niveau'!$E$39</definedName>
    <definedName name="_vena_DYNR_SControleIndelingQRT_BB1_d930880_e92237fb">'Controle Indeling QRT Niveau'!$E$161</definedName>
    <definedName name="_vena_DYNR_SControleIndelingQRT_BB1_d930880_e97732ad">'Controle Indeling QRT Niveau'!$E$209</definedName>
    <definedName name="_vena_DYNR_SControleIndelingQRT_BB1_d930880_ee219484">'Controle Indeling QRT Niveau'!$E$79</definedName>
    <definedName name="_vena_DYNR_SControleIndelingQRT_BB1_d930880_ef143dc1">'Controle Indeling QRT Niveau'!$E$95</definedName>
    <definedName name="_vena_DYNR_SControleIndelingQRT_BB1_d930880_f072cdbb">'Controle Indeling QRT Niveau'!$E$166</definedName>
    <definedName name="_vena_DYNR_SControleIndelingQRT_BB1_d930880_f0f94331">'Controle Indeling QRT Niveau'!$E$102</definedName>
    <definedName name="_vena_DYNR_SControleIndelingQRT_BB1_d930880_f1b2580e">'Controle Indeling QRT Niveau'!$E$205</definedName>
    <definedName name="_vena_DYNR_SControleIndelingQRT_BB1_d930880_f21eb5fe">'Controle Indeling QRT Niveau'!$E$145</definedName>
    <definedName name="_vena_DYNR_SControleIndelingQRT_BB1_d930880_f3229ef0">'Controle Indeling QRT Niveau'!$E$171</definedName>
    <definedName name="_vena_DYNR_SControleIndelingQRT_BB1_d930880_f3bd3879">'Controle Indeling QRT Niveau'!$E$109</definedName>
    <definedName name="_vena_DYNR_SControleIndelingQRT_BB1_d930880_f4434352">'Controle Indeling QRT Niveau'!$E$169</definedName>
    <definedName name="_vena_DYNR_SControleIndelingQRT_BB1_d930880_f5bb851">'Controle Indeling QRT Niveau'!$E$113</definedName>
    <definedName name="_vena_DYNR_SControleIndelingQRT_BB1_d930880_f6180b0f">'Controle Indeling QRT Niveau'!$E$103</definedName>
    <definedName name="_vena_DYNR_SControleIndelingQRT_BB1_d930880_f64148d9">'Controle Indeling QRT Niveau'!$E$173</definedName>
    <definedName name="_vena_DYNR_SControleIndelingQRT_BB1_d930880_f95daa53">'Controle Indeling QRT Niveau'!$E$148</definedName>
    <definedName name="_vena_DYNR_SControleIndelingQRT_BB1_d930880_fae4ff70">'Controle Indeling QRT Niveau'!$E$134</definedName>
    <definedName name="_vena_DYNR_SControleIndelingQRT_BB1_d930880_fb49c2e7">'Controle Indeling QRT Niveau'!$E$157</definedName>
    <definedName name="_vena_DYNR_SControleIndelingQRT_BB1_d930880_fcb7ce12">'Controle Indeling QRT Niveau'!$E$178</definedName>
    <definedName name="_vena_DYNR_SControleIndelingQRT_BB1_d930880_fd3819f7">'Controle Indeling QRT Niveau'!$E$217</definedName>
    <definedName name="_vena_DYNR_SControleIndelingQRT_BB1_d930880_ffff48e5">'Controle Indeling QRT Niveau'!$E$42</definedName>
    <definedName name="_vena_DYNR_SControleIndelingQRTSub_BB1_3e6c8fc6">'Controle Indeling QRT Subniveau'!$E$24</definedName>
    <definedName name="_vena_DYNR_SControleIndelingQRTSub_BB1_3e6c8fc6_1020c209">'Controle Indeling QRT Subniveau'!$E$182</definedName>
    <definedName name="_vena_DYNR_SControleIndelingQRTSub_BB1_3e6c8fc6_14fb1c12">'Controle Indeling QRT Subniveau'!$E$187</definedName>
    <definedName name="_vena_DYNR_SControleIndelingQRTSub_BB1_3e6c8fc6_196affa9">'Controle Indeling QRT Subniveau'!$E$189</definedName>
    <definedName name="_vena_DYNR_SControleIndelingQRTSub_BB1_3e6c8fc6_19b5a4cb">'Controle Indeling QRT Subniveau'!$E$170</definedName>
    <definedName name="_vena_DYNR_SControleIndelingQRTSub_BB1_3e6c8fc6_19d19e33">'Controle Indeling QRT Subniveau'!$E$39</definedName>
    <definedName name="_vena_DYNR_SControleIndelingQRTSub_BB1_3e6c8fc6_19d32145">'Controle Indeling QRT Subniveau'!$E$207</definedName>
    <definedName name="_vena_DYNR_SControleIndelingQRTSub_BB1_3e6c8fc6_1ae13179">'Controle Indeling QRT Subniveau'!$E$191</definedName>
    <definedName name="_vena_DYNR_SControleIndelingQRTSub_BB1_3e6c8fc6_1aebf35">'Controle Indeling QRT Subniveau'!$E$26</definedName>
    <definedName name="_vena_DYNR_SControleIndelingQRTSub_BB1_3e6c8fc6_1d05c190">'Controle Indeling QRT Subniveau'!$E$72</definedName>
    <definedName name="_vena_DYNR_SControleIndelingQRTSub_BB1_3e6c8fc6_1e44704d">'Controle Indeling QRT Subniveau'!$E$50</definedName>
    <definedName name="_vena_DYNR_SControleIndelingQRTSub_BB1_3e6c8fc6_1e855ef8">'Controle Indeling QRT Subniveau'!$E$184</definedName>
    <definedName name="_vena_DYNR_SControleIndelingQRTSub_BB1_3e6c8fc6_204765c4">'Controle Indeling QRT Subniveau'!$E$99</definedName>
    <definedName name="_vena_DYNR_SControleIndelingQRTSub_BB1_3e6c8fc6_2175bbf9">'Controle Indeling QRT Subniveau'!$E$185</definedName>
    <definedName name="_vena_DYNR_SControleIndelingQRTSub_BB1_3e6c8fc6_2211971">'Controle Indeling QRT Subniveau'!$E$149</definedName>
    <definedName name="_vena_DYNR_SControleIndelingQRTSub_BB1_3e6c8fc6_22870963">'Controle Indeling QRT Subniveau'!$E$198</definedName>
    <definedName name="_vena_DYNR_SControleIndelingQRTSub_BB1_3e6c8fc6_230f8e9b">'Controle Indeling QRT Subniveau'!$E$160</definedName>
    <definedName name="_vena_DYNR_SControleIndelingQRTSub_BB1_3e6c8fc6_24a700a7">'Controle Indeling QRT Subniveau'!$E$102</definedName>
    <definedName name="_vena_DYNR_SControleIndelingQRTSub_BB1_3e6c8fc6_25180440">'Controle Indeling QRT Subniveau'!$E$47</definedName>
    <definedName name="_vena_DYNR_SControleIndelingQRTSub_BB1_3e6c8fc6_2818725c">'Controle Indeling QRT Subniveau'!$E$93</definedName>
    <definedName name="_vena_DYNR_SControleIndelingQRTSub_BB1_3e6c8fc6_287eadd0">'Controle Indeling QRT Subniveau'!$E$117</definedName>
    <definedName name="_vena_DYNR_SControleIndelingQRTSub_BB1_3e6c8fc6_29a40866">'Controle Indeling QRT Subniveau'!$E$132</definedName>
    <definedName name="_vena_DYNR_SControleIndelingQRTSub_BB1_3e6c8fc6_2d98dc77">'Controle Indeling QRT Subniveau'!$E$166</definedName>
    <definedName name="_vena_DYNR_SControleIndelingQRTSub_BB1_3e6c8fc6_2df27850">'Controle Indeling QRT Subniveau'!$E$107</definedName>
    <definedName name="_vena_DYNR_SControleIndelingQRTSub_BB1_3e6c8fc6_2f2a09d5">'Controle Indeling QRT Subniveau'!$E$87</definedName>
    <definedName name="_vena_DYNR_SControleIndelingQRTSub_BB1_3e6c8fc6_2f6e8e4c">'Controle Indeling QRT Subniveau'!$E$55</definedName>
    <definedName name="_vena_DYNR_SControleIndelingQRTSub_BB1_3e6c8fc6_3151f169">'Controle Indeling QRT Subniveau'!$E$83</definedName>
    <definedName name="_vena_DYNR_SControleIndelingQRTSub_BB1_3e6c8fc6_324abc44">'Controle Indeling QRT Subniveau'!$E$77</definedName>
    <definedName name="_vena_DYNR_SControleIndelingQRTSub_BB1_3e6c8fc6_32d497ed">'Controle Indeling QRT Subniveau'!$E$70</definedName>
    <definedName name="_vena_DYNR_SControleIndelingQRTSub_BB1_3e6c8fc6_34885f61">'Controle Indeling QRT Subniveau'!$E$200</definedName>
    <definedName name="_vena_DYNR_SControleIndelingQRTSub_BB1_3e6c8fc6_36bccca4">'Controle Indeling QRT Subniveau'!$E$162</definedName>
    <definedName name="_vena_DYNR_SControleIndelingQRTSub_BB1_3e6c8fc6_39e1965c">'Controle Indeling QRT Subniveau'!$E$42</definedName>
    <definedName name="_vena_DYNR_SControleIndelingQRTSub_BB1_3e6c8fc6_3aaf3557">'Controle Indeling QRT Subniveau'!$E$154</definedName>
    <definedName name="_vena_DYNR_SControleIndelingQRTSub_BB1_3e6c8fc6_3b6e40f9">'Controle Indeling QRT Subniveau'!$E$157</definedName>
    <definedName name="_vena_DYNR_SControleIndelingQRTSub_BB1_3e6c8fc6_3b97ff47">'Controle Indeling QRT Subniveau'!$E$176</definedName>
    <definedName name="_vena_DYNR_SControleIndelingQRTSub_BB1_3e6c8fc6_3f600324">'Controle Indeling QRT Subniveau'!$E$213</definedName>
    <definedName name="_vena_DYNR_SControleIndelingQRTSub_BB1_3e6c8fc6_3fff8a55">'Controle Indeling QRT Subniveau'!$E$56</definedName>
    <definedName name="_vena_DYNR_SControleIndelingQRTSub_BB1_3e6c8fc6_402da04b">'Controle Indeling QRT Subniveau'!$E$168</definedName>
    <definedName name="_vena_DYNR_SControleIndelingQRTSub_BB1_3e6c8fc6_40919c1">'Controle Indeling QRT Subniveau'!$E$37</definedName>
    <definedName name="_vena_DYNR_SControleIndelingQRTSub_BB1_3e6c8fc6_4309c6eb">'Controle Indeling QRT Subniveau'!$E$25</definedName>
    <definedName name="_vena_DYNR_SControleIndelingQRTSub_BB1_3e6c8fc6_4378f41e">'Controle Indeling QRT Subniveau'!$E$101</definedName>
    <definedName name="_vena_DYNR_SControleIndelingQRTSub_BB1_3e6c8fc6_492ace5e">'Controle Indeling QRT Subniveau'!$E$129</definedName>
    <definedName name="_vena_DYNR_SControleIndelingQRTSub_BB1_3e6c8fc6_4a07a5ba">'Controle Indeling QRT Subniveau'!$E$196</definedName>
    <definedName name="_vena_DYNR_SControleIndelingQRTSub_BB1_3e6c8fc6_4ab4544b">'Controle Indeling QRT Subniveau'!$E$61</definedName>
    <definedName name="_vena_DYNR_SControleIndelingQRTSub_BB1_3e6c8fc6_4ab5e509">'Controle Indeling QRT Subniveau'!$E$153</definedName>
    <definedName name="_vena_DYNR_SControleIndelingQRTSub_BB1_3e6c8fc6_4ae8ced5">'Controle Indeling QRT Subniveau'!$E$122</definedName>
    <definedName name="_vena_DYNR_SControleIndelingQRTSub_BB1_3e6c8fc6_4e0b6485">'Controle Indeling QRT Subniveau'!$E$105</definedName>
    <definedName name="_vena_DYNR_SControleIndelingQRTSub_BB1_3e6c8fc6_51b8e2f1">'Controle Indeling QRT Subniveau'!$E$218</definedName>
    <definedName name="_vena_DYNR_SControleIndelingQRTSub_BB1_3e6c8fc6_52c785e9">'Controle Indeling QRT Subniveau'!$E$85</definedName>
    <definedName name="_vena_DYNR_SControleIndelingQRTSub_BB1_3e6c8fc6_53c05eef">'Controle Indeling QRT Subniveau'!$E$174</definedName>
    <definedName name="_vena_DYNR_SControleIndelingQRTSub_BB1_3e6c8fc6_53efa327">'Controle Indeling QRT Subniveau'!$E$216</definedName>
    <definedName name="_vena_DYNR_SControleIndelingQRTSub_BB1_3e6c8fc6_54b3fa2f">'Controle Indeling QRT Subniveau'!$E$66</definedName>
    <definedName name="_vena_DYNR_SControleIndelingQRTSub_BB1_3e6c8fc6_592fcf9">'Controle Indeling QRT Subniveau'!$E$165</definedName>
    <definedName name="_vena_DYNR_SControleIndelingQRTSub_BB1_3e6c8fc6_5cd90b77">'Controle Indeling QRT Subniveau'!$E$145</definedName>
    <definedName name="_vena_DYNR_SControleIndelingQRTSub_BB1_3e6c8fc6_5d0da3e6">'Controle Indeling QRT Subniveau'!$E$123</definedName>
    <definedName name="_vena_DYNR_SControleIndelingQRTSub_BB1_3e6c8fc6_5d8e6bb">'Controle Indeling QRT Subniveau'!$E$95</definedName>
    <definedName name="_vena_DYNR_SControleIndelingQRTSub_BB1_3e6c8fc6_5e37d61e">'Controle Indeling QRT Subniveau'!$E$69</definedName>
    <definedName name="_vena_DYNR_SControleIndelingQRTSub_BB1_3e6c8fc6_5eda0e97">'Controle Indeling QRT Subniveau'!$E$208</definedName>
    <definedName name="_vena_DYNR_SControleIndelingQRTSub_BB1_3e6c8fc6_5ef16902">'Controle Indeling QRT Subniveau'!$E$195</definedName>
    <definedName name="_vena_DYNR_SControleIndelingQRTSub_BB1_3e6c8fc6_60747b4e">'Controle Indeling QRT Subniveau'!$E$179</definedName>
    <definedName name="_vena_DYNR_SControleIndelingQRTSub_BB1_3e6c8fc6_62c1a57d">'Controle Indeling QRT Subniveau'!$E$144</definedName>
    <definedName name="_vena_DYNR_SControleIndelingQRTSub_BB1_3e6c8fc6_63c43c6">'Controle Indeling QRT Subniveau'!$E$219</definedName>
    <definedName name="_vena_DYNR_SControleIndelingQRTSub_BB1_3e6c8fc6_64b90ab5">'Controle Indeling QRT Subniveau'!$E$71</definedName>
    <definedName name="_vena_DYNR_SControleIndelingQRTSub_BB1_3e6c8fc6_666aa664">'Controle Indeling QRT Subniveau'!$E$40</definedName>
    <definedName name="_vena_DYNR_SControleIndelingQRTSub_BB1_3e6c8fc6_676fd9e6">'Controle Indeling QRT Subniveau'!$E$115</definedName>
    <definedName name="_vena_DYNR_SControleIndelingQRTSub_BB1_3e6c8fc6_689f56b3">'Controle Indeling QRT Subniveau'!$E$146</definedName>
    <definedName name="_vena_DYNR_SControleIndelingQRTSub_BB1_3e6c8fc6_69e6e554">'Controle Indeling QRT Subniveau'!$E$104</definedName>
    <definedName name="_vena_DYNR_SControleIndelingQRTSub_BB1_3e6c8fc6_6e03bca4">'Controle Indeling QRT Subniveau'!$E$133</definedName>
    <definedName name="_vena_DYNR_SControleIndelingQRTSub_BB1_3e6c8fc6_6ed0683">'Controle Indeling QRT Subniveau'!$E$221</definedName>
    <definedName name="_vena_DYNR_SControleIndelingQRTSub_BB1_3e6c8fc6_701a8270">'Controle Indeling QRT Subniveau'!$E$152</definedName>
    <definedName name="_vena_DYNR_SControleIndelingQRTSub_BB1_3e6c8fc6_721166d7">'Controle Indeling QRT Subniveau'!$E$202</definedName>
    <definedName name="_vena_DYNR_SControleIndelingQRTSub_BB1_3e6c8fc6_727869d2">'Controle Indeling QRT Subniveau'!$E$46</definedName>
    <definedName name="_vena_DYNR_SControleIndelingQRTSub_BB1_3e6c8fc6_730a4876">'Controle Indeling QRT Subniveau'!$E$44</definedName>
    <definedName name="_vena_DYNR_SControleIndelingQRTSub_BB1_3e6c8fc6_7353c6ee">'Controle Indeling QRT Subniveau'!$E$172</definedName>
    <definedName name="_vena_DYNR_SControleIndelingQRTSub_BB1_3e6c8fc6_73b22a83">'Controle Indeling QRT Subniveau'!$E$90</definedName>
    <definedName name="_vena_DYNR_SControleIndelingQRTSub_BB1_3e6c8fc6_743916e4">'Controle Indeling QRT Subniveau'!$E$60</definedName>
    <definedName name="_vena_DYNR_SControleIndelingQRTSub_BB1_3e6c8fc6_7467e1a1">'Controle Indeling QRT Subniveau'!$E$139</definedName>
    <definedName name="_vena_DYNR_SControleIndelingQRTSub_BB1_3e6c8fc6_76c8b327">'Controle Indeling QRT Subniveau'!$E$32</definedName>
    <definedName name="_vena_DYNR_SControleIndelingQRTSub_BB1_3e6c8fc6_78e6cabb">'Controle Indeling QRT Subniveau'!$E$181</definedName>
    <definedName name="_vena_DYNR_SControleIndelingQRTSub_BB1_3e6c8fc6_7954b441">'Controle Indeling QRT Subniveau'!$E$137</definedName>
    <definedName name="_vena_DYNR_SControleIndelingQRTSub_BB1_3e6c8fc6_7aa9c18a">'Controle Indeling QRT Subniveau'!$E$215</definedName>
    <definedName name="_vena_DYNR_SControleIndelingQRTSub_BB1_3e6c8fc6_7ac09406">'Controle Indeling QRT Subniveau'!$E$124</definedName>
    <definedName name="_vena_DYNR_SControleIndelingQRTSub_BB1_3e6c8fc6_7cc437e7">'Controle Indeling QRT Subniveau'!$E$186</definedName>
    <definedName name="_vena_DYNR_SControleIndelingQRTSub_BB1_3e6c8fc6_7dfb83bf">'Controle Indeling QRT Subniveau'!$E$54</definedName>
    <definedName name="_vena_DYNR_SControleIndelingQRTSub_BB1_3e6c8fc6_7e86bfd1">'Controle Indeling QRT Subniveau'!$E$163</definedName>
    <definedName name="_vena_DYNR_SControleIndelingQRTSub_BB1_3e6c8fc6_7fad579f">'Controle Indeling QRT Subniveau'!$E$158</definedName>
    <definedName name="_vena_DYNR_SControleIndelingQRTSub_BB1_3e6c8fc6_7fe04d7">'Controle Indeling QRT Subniveau'!$E$169</definedName>
    <definedName name="_vena_DYNR_SControleIndelingQRTSub_BB1_3e6c8fc6_829e4c44">'Controle Indeling QRT Subniveau'!$E$80</definedName>
    <definedName name="_vena_DYNR_SControleIndelingQRTSub_BB1_3e6c8fc6_83bb5299">'Controle Indeling QRT Subniveau'!$E$108</definedName>
    <definedName name="_vena_DYNR_SControleIndelingQRTSub_BB1_3e6c8fc6_84201150">'Controle Indeling QRT Subniveau'!$E$143</definedName>
    <definedName name="_vena_DYNR_SControleIndelingQRTSub_BB1_3e6c8fc6_88d2b3f9">'Controle Indeling QRT Subniveau'!$E$205</definedName>
    <definedName name="_vena_DYNR_SControleIndelingQRTSub_BB1_3e6c8fc6_890a0559">'Controle Indeling QRT Subniveau'!$E$223</definedName>
    <definedName name="_vena_DYNR_SControleIndelingQRTSub_BB1_3e6c8fc6_8cbc311">'Controle Indeling QRT Subniveau'!$E$30</definedName>
    <definedName name="_vena_DYNR_SControleIndelingQRTSub_BB1_3e6c8fc6_8dd15993">'Controle Indeling QRT Subniveau'!$E$74</definedName>
    <definedName name="_vena_DYNR_SControleIndelingQRTSub_BB1_3e6c8fc6_8fabbab">'Controle Indeling QRT Subniveau'!$E$151</definedName>
    <definedName name="_vena_DYNR_SControleIndelingQRTSub_BB1_3e6c8fc6_91668624">'Controle Indeling QRT Subniveau'!$E$82</definedName>
    <definedName name="_vena_DYNR_SControleIndelingQRTSub_BB1_3e6c8fc6_91f199aa">'Controle Indeling QRT Subniveau'!$E$78</definedName>
    <definedName name="_vena_DYNR_SControleIndelingQRTSub_BB1_3e6c8fc6_92534c44">'Controle Indeling QRT Subniveau'!$E$167</definedName>
    <definedName name="_vena_DYNR_SControleIndelingQRTSub_BB1_3e6c8fc6_92f3b43">'Controle Indeling QRT Subniveau'!$E$88</definedName>
    <definedName name="_vena_DYNR_SControleIndelingQRTSub_BB1_3e6c8fc6_943e2e3d">'Controle Indeling QRT Subniveau'!$E$35</definedName>
    <definedName name="_vena_DYNR_SControleIndelingQRTSub_BB1_3e6c8fc6_951c438a">'Controle Indeling QRT Subniveau'!$E$127</definedName>
    <definedName name="_vena_DYNR_SControleIndelingQRTSub_BB1_3e6c8fc6_9626fa28">'Controle Indeling QRT Subniveau'!$E$113</definedName>
    <definedName name="_vena_DYNR_SControleIndelingQRTSub_BB1_3e6c8fc6_97294920">'Controle Indeling QRT Subniveau'!$E$96</definedName>
    <definedName name="_vena_DYNR_SControleIndelingQRTSub_BB1_3e6c8fc6_9852a011">'Controle Indeling QRT Subniveau'!$E$65</definedName>
    <definedName name="_vena_DYNR_SControleIndelingQRTSub_BB1_3e6c8fc6_98f59ffe">'Controle Indeling QRT Subniveau'!$E$193</definedName>
    <definedName name="_vena_DYNR_SControleIndelingQRTSub_BB1_3e6c8fc6_9b007567">'Controle Indeling QRT Subniveau'!$E$171</definedName>
    <definedName name="_vena_DYNR_SControleIndelingQRTSub_BB1_3e6c8fc6_9b38ec1">'Controle Indeling QRT Subniveau'!$E$147</definedName>
    <definedName name="_vena_DYNR_SControleIndelingQRTSub_BB1_3e6c8fc6_9c5e8e4c">'Controle Indeling QRT Subniveau'!$E$128</definedName>
    <definedName name="_vena_DYNR_SControleIndelingQRTSub_BB1_3e6c8fc6_9d11b3c3">'Controle Indeling QRT Subniveau'!$E$109</definedName>
    <definedName name="_vena_DYNR_SControleIndelingQRTSub_BB1_3e6c8fc6_9de7a1d7">'Controle Indeling QRT Subniveau'!$E$62</definedName>
    <definedName name="_vena_DYNR_SControleIndelingQRTSub_BB1_3e6c8fc6_9e20e6c9">'Controle Indeling QRT Subniveau'!$E$92</definedName>
    <definedName name="_vena_DYNR_SControleIndelingQRTSub_BB1_3e6c8fc6_9e23c46e">'Controle Indeling QRT Subniveau'!$E$220</definedName>
    <definedName name="_vena_DYNR_SControleIndelingQRTSub_BB1_3e6c8fc6_9f3ef649">'Controle Indeling QRT Subniveau'!$E$79</definedName>
    <definedName name="_vena_DYNR_SControleIndelingQRTSub_BB1_3e6c8fc6_a02433ec">'Controle Indeling QRT Subniveau'!$E$126</definedName>
    <definedName name="_vena_DYNR_SControleIndelingQRTSub_BB1_3e6c8fc6_a0fff4a8">'Controle Indeling QRT Subniveau'!$E$222</definedName>
    <definedName name="_vena_DYNR_SControleIndelingQRTSub_BB1_3e6c8fc6_a101592a">'Controle Indeling QRT Subniveau'!$E$209</definedName>
    <definedName name="_vena_DYNR_SControleIndelingQRTSub_BB1_3e6c8fc6_a127dd53">'Controle Indeling QRT Subniveau'!$E$214</definedName>
    <definedName name="_vena_DYNR_SControleIndelingQRTSub_BB1_3e6c8fc6_a687c34b">'Controle Indeling QRT Subniveau'!$E$142</definedName>
    <definedName name="_vena_DYNR_SControleIndelingQRTSub_BB1_3e6c8fc6_a7c2b978">'Controle Indeling QRT Subniveau'!$E$161</definedName>
    <definedName name="_vena_DYNR_SControleIndelingQRTSub_BB1_3e6c8fc6_a7c7d10">'Controle Indeling QRT Subniveau'!$E$192</definedName>
    <definedName name="_vena_DYNR_SControleIndelingQRTSub_BB1_3e6c8fc6_aa05f0df">'Controle Indeling QRT Subniveau'!$E$155</definedName>
    <definedName name="_vena_DYNR_SControleIndelingQRTSub_BB1_3e6c8fc6_aad00ec3">'Controle Indeling QRT Subniveau'!$E$91</definedName>
    <definedName name="_vena_DYNR_SControleIndelingQRTSub_BB1_3e6c8fc6_aad37e9a">'Controle Indeling QRT Subniveau'!$E$84</definedName>
    <definedName name="_vena_DYNR_SControleIndelingQRTSub_BB1_3e6c8fc6_ab0443c0">'Controle Indeling QRT Subniveau'!$E$41</definedName>
    <definedName name="_vena_DYNR_SControleIndelingQRTSub_BB1_3e6c8fc6_ab74fa15">'Controle Indeling QRT Subniveau'!$E$136</definedName>
    <definedName name="_vena_DYNR_SControleIndelingQRTSub_BB1_3e6c8fc6_ad19256a">'Controle Indeling QRT Subniveau'!$E$27</definedName>
    <definedName name="_vena_DYNR_SControleIndelingQRTSub_BB1_3e6c8fc6_ad6ffb13">'Controle Indeling QRT Subniveau'!$E$52</definedName>
    <definedName name="_vena_DYNR_SControleIndelingQRTSub_BB1_3e6c8fc6_ae5b1bdd">'Controle Indeling QRT Subniveau'!$E$111</definedName>
    <definedName name="_vena_DYNR_SControleIndelingQRTSub_BB1_3e6c8fc6_af5241a4">'Controle Indeling QRT Subniveau'!$E$53</definedName>
    <definedName name="_vena_DYNR_SControleIndelingQRTSub_BB1_3e6c8fc6_afdb9352">'Controle Indeling QRT Subniveau'!$E$212</definedName>
    <definedName name="_vena_DYNR_SControleIndelingQRTSub_BB1_3e6c8fc6_b0977b46">'Controle Indeling QRT Subniveau'!$E$28</definedName>
    <definedName name="_vena_DYNR_SControleIndelingQRTSub_BB1_3e6c8fc6_b0fb7a5f">'Controle Indeling QRT Subniveau'!$E$68</definedName>
    <definedName name="_vena_DYNR_SControleIndelingQRTSub_BB1_3e6c8fc6_b1146f2e">'Controle Indeling QRT Subniveau'!$E$63</definedName>
    <definedName name="_vena_DYNR_SControleIndelingQRTSub_BB1_3e6c8fc6_b66ed15d">'Controle Indeling QRT Subniveau'!$E$121</definedName>
    <definedName name="_vena_DYNR_SControleIndelingQRTSub_BB1_3e6c8fc6_b76885b6">'Controle Indeling QRT Subniveau'!$E$180</definedName>
    <definedName name="_vena_DYNR_SControleIndelingQRTSub_BB1_3e6c8fc6_b9a4c1cf">'Controle Indeling QRT Subniveau'!$E$177</definedName>
    <definedName name="_vena_DYNR_SControleIndelingQRTSub_BB1_3e6c8fc6_bb2acba7">'Controle Indeling QRT Subniveau'!$E$64</definedName>
    <definedName name="_vena_DYNR_SControleIndelingQRTSub_BB1_3e6c8fc6_bb87e93c">'Controle Indeling QRT Subniveau'!$E$164</definedName>
    <definedName name="_vena_DYNR_SControleIndelingQRTSub_BB1_3e6c8fc6_bc1c53f1">'Controle Indeling QRT Subniveau'!$E$118</definedName>
    <definedName name="_vena_DYNR_SControleIndelingQRTSub_BB1_3e6c8fc6_bce4cbc5">'Controle Indeling QRT Subniveau'!$E$148</definedName>
    <definedName name="_vena_DYNR_SControleIndelingQRTSub_BB1_3e6c8fc6_bd5d786e">'Controle Indeling QRT Subniveau'!$E$201</definedName>
    <definedName name="_vena_DYNR_SControleIndelingQRTSub_BB1_3e6c8fc6_bf784bf2">'Controle Indeling QRT Subniveau'!$E$48</definedName>
    <definedName name="_vena_DYNR_SControleIndelingQRTSub_BB1_3e6c8fc6_c169a036">'Controle Indeling QRT Subniveau'!$E$173</definedName>
    <definedName name="_vena_DYNR_SControleIndelingQRTSub_BB1_3e6c8fc6_c2f8b913">'Controle Indeling QRT Subniveau'!$E$206</definedName>
    <definedName name="_vena_DYNR_SControleIndelingQRTSub_BB1_3e6c8fc6_c346787d">'Controle Indeling QRT Subniveau'!$E$98</definedName>
    <definedName name="_vena_DYNR_SControleIndelingQRTSub_BB1_3e6c8fc6_c362a542">'Controle Indeling QRT Subniveau'!$E$204</definedName>
    <definedName name="_vena_DYNR_SControleIndelingQRTSub_BB1_3e6c8fc6_c54f5c57">'Controle Indeling QRT Subniveau'!$E$131</definedName>
    <definedName name="_vena_DYNR_SControleIndelingQRTSub_BB1_3e6c8fc6_c5b271cc">'Controle Indeling QRT Subniveau'!$E$120</definedName>
    <definedName name="_vena_DYNR_SControleIndelingQRTSub_BB1_3e6c8fc6_c708f816">'Controle Indeling QRT Subniveau'!$E$67</definedName>
    <definedName name="_vena_DYNR_SControleIndelingQRTSub_BB1_3e6c8fc6_c8674047">'Controle Indeling QRT Subniveau'!$E$49</definedName>
    <definedName name="_vena_DYNR_SControleIndelingQRTSub_BB1_3e6c8fc6_c8d0c03b">'Controle Indeling QRT Subniveau'!$E$38</definedName>
    <definedName name="_vena_DYNR_SControleIndelingQRTSub_BB1_3e6c8fc6_c92cf413">'Controle Indeling QRT Subniveau'!$E$188</definedName>
    <definedName name="_vena_DYNR_SControleIndelingQRTSub_BB1_3e6c8fc6_ca63e481">'Controle Indeling QRT Subniveau'!$E$150</definedName>
    <definedName name="_vena_DYNR_SControleIndelingQRTSub_BB1_3e6c8fc6_ca652f29">'Controle Indeling QRT Subniveau'!$E$110</definedName>
    <definedName name="_vena_DYNR_SControleIndelingQRTSub_BB1_3e6c8fc6_ca8d9eb0">'Controle Indeling QRT Subniveau'!$E$203</definedName>
    <definedName name="_vena_DYNR_SControleIndelingQRTSub_BB1_3e6c8fc6_cad1864f">'Controle Indeling QRT Subniveau'!$E$43</definedName>
    <definedName name="_vena_DYNR_SControleIndelingQRTSub_BB1_3e6c8fc6_cadd02d7">'Controle Indeling QRT Subniveau'!$E$59</definedName>
    <definedName name="_vena_DYNR_SControleIndelingQRTSub_BB1_3e6c8fc6_cb1fb4d5">'Controle Indeling QRT Subniveau'!$E$178</definedName>
    <definedName name="_vena_DYNR_SControleIndelingQRTSub_BB1_3e6c8fc6_cb5ca8ea">'Controle Indeling QRT Subniveau'!$E$114</definedName>
    <definedName name="_vena_DYNR_SControleIndelingQRTSub_BB1_3e6c8fc6_cd0d6bd3">'Controle Indeling QRT Subniveau'!$E$76</definedName>
    <definedName name="_vena_DYNR_SControleIndelingQRTSub_BB1_3e6c8fc6_cd3026d7">'Controle Indeling QRT Subniveau'!$E$125</definedName>
    <definedName name="_vena_DYNR_SControleIndelingQRTSub_BB1_3e6c8fc6_cdb24113">'Controle Indeling QRT Subniveau'!$E$211</definedName>
    <definedName name="_vena_DYNR_SControleIndelingQRTSub_BB1_3e6c8fc6_d058d24a">'Controle Indeling QRT Subniveau'!$E$58</definedName>
    <definedName name="_vena_DYNR_SControleIndelingQRTSub_BB1_3e6c8fc6_d07734ab">'Controle Indeling QRT Subniveau'!$E$112</definedName>
    <definedName name="_vena_DYNR_SControleIndelingQRTSub_BB1_3e6c8fc6_d2770487">'Controle Indeling QRT Subniveau'!$E$73</definedName>
    <definedName name="_vena_DYNR_SControleIndelingQRTSub_BB1_3e6c8fc6_d28a3679">'Controle Indeling QRT Subniveau'!$E$103</definedName>
    <definedName name="_vena_DYNR_SControleIndelingQRTSub_BB1_3e6c8fc6_d43a0b9">'Controle Indeling QRT Subniveau'!$E$34</definedName>
    <definedName name="_vena_DYNR_SControleIndelingQRTSub_BB1_3e6c8fc6_d5527fe4">'Controle Indeling QRT Subniveau'!$E$134</definedName>
    <definedName name="_vena_DYNR_SControleIndelingQRTSub_BB1_3e6c8fc6_d5df9c23">'Controle Indeling QRT Subniveau'!$E$45</definedName>
    <definedName name="_vena_DYNR_SControleIndelingQRTSub_BB1_3e6c8fc6_d86fb0fb">'Controle Indeling QRT Subniveau'!$E$106</definedName>
    <definedName name="_vena_DYNR_SControleIndelingQRTSub_BB1_3e6c8fc6_da26d1b7">'Controle Indeling QRT Subniveau'!$E$140</definedName>
    <definedName name="_vena_DYNR_SControleIndelingQRTSub_BB1_3e6c8fc6_da3c0e6">'Controle Indeling QRT Subniveau'!$E$119</definedName>
    <definedName name="_vena_DYNR_SControleIndelingQRTSub_BB1_3e6c8fc6_dab3bf2b">'Controle Indeling QRT Subniveau'!$E$159</definedName>
    <definedName name="_vena_DYNR_SControleIndelingQRTSub_BB1_3e6c8fc6_df3cb19">'Controle Indeling QRT Subniveau'!$E$81</definedName>
    <definedName name="_vena_DYNR_SControleIndelingQRTSub_BB1_3e6c8fc6_df6e921d">'Controle Indeling QRT Subniveau'!$E$138</definedName>
    <definedName name="_vena_DYNR_SControleIndelingQRTSub_BB1_3e6c8fc6_df9fc109">'Controle Indeling QRT Subniveau'!$E$199</definedName>
    <definedName name="_vena_DYNR_SControleIndelingQRTSub_BB1_3e6c8fc6_e1c5edf7">'Controle Indeling QRT Subniveau'!$E$29</definedName>
    <definedName name="_vena_DYNR_SControleIndelingQRTSub_BB1_3e6c8fc6_e4c44609">'Controle Indeling QRT Subniveau'!$E$224</definedName>
    <definedName name="_vena_DYNR_SControleIndelingQRTSub_BB1_3e6c8fc6_e53936b6">'Controle Indeling QRT Subniveau'!$E$183</definedName>
    <definedName name="_vena_DYNR_SControleIndelingQRTSub_BB1_3e6c8fc6_e57c1ec9">'Controle Indeling QRT Subniveau'!$E$57</definedName>
    <definedName name="_vena_DYNR_SControleIndelingQRTSub_BB1_3e6c8fc6_e66d77b5">'Controle Indeling QRT Subniveau'!$E$97</definedName>
    <definedName name="_vena_DYNR_SControleIndelingQRTSub_BB1_3e6c8fc6_e7c22ade">'Controle Indeling QRT Subniveau'!$E$141</definedName>
    <definedName name="_vena_DYNR_SControleIndelingQRTSub_BB1_3e6c8fc6_eacbcd76">'Controle Indeling QRT Subniveau'!$E$116</definedName>
    <definedName name="_vena_DYNR_SControleIndelingQRTSub_BB1_3e6c8fc6_ec1015f">'Controle Indeling QRT Subniveau'!$E$210</definedName>
    <definedName name="_vena_DYNR_SControleIndelingQRTSub_BB1_3e6c8fc6_ecc5d0c5">'Controle Indeling QRT Subniveau'!$E$86</definedName>
    <definedName name="_vena_DYNR_SControleIndelingQRTSub_BB1_3e6c8fc6_ed4d6d4b">'Controle Indeling QRT Subniveau'!$E$31</definedName>
    <definedName name="_vena_DYNR_SControleIndelingQRTSub_BB1_3e6c8fc6_eef60ed9">'Controle Indeling QRT Subniveau'!$E$197</definedName>
    <definedName name="_vena_DYNR_SControleIndelingQRTSub_BB1_3e6c8fc6_ef0bf5e3">'Controle Indeling QRT Subniveau'!$E$190</definedName>
    <definedName name="_vena_DYNR_SControleIndelingQRTSub_BB1_3e6c8fc6_f1610181">'Controle Indeling QRT Subniveau'!$E$94</definedName>
    <definedName name="_vena_DYNR_SControleIndelingQRTSub_BB1_3e6c8fc6_f2119a03">'Controle Indeling QRT Subniveau'!$E$130</definedName>
    <definedName name="_vena_DYNR_SControleIndelingQRTSub_BB1_3e6c8fc6_f3216054">'Controle Indeling QRT Subniveau'!$E$135</definedName>
    <definedName name="_vena_DYNR_SControleIndelingQRTSub_BB1_3e6c8fc6_f37efd23">'Controle Indeling QRT Subniveau'!$E$89</definedName>
    <definedName name="_vena_DYNR_SControleIndelingQRTSub_BB1_3e6c8fc6_f3b55d62">'Controle Indeling QRT Subniveau'!$E$156</definedName>
    <definedName name="_vena_DYNR_SControleIndelingQRTSub_BB1_3e6c8fc6_f4e033d9">'Controle Indeling QRT Subniveau'!$E$51</definedName>
    <definedName name="_vena_DYNR_SControleIndelingQRTSub_BB1_3e6c8fc6_f535b04b">'Controle Indeling QRT Subniveau'!$E$100</definedName>
    <definedName name="_vena_DYNR_SControleIndelingQRTSub_BB1_3e6c8fc6_f67f6b29">'Controle Indeling QRT Subniveau'!$E$75</definedName>
    <definedName name="_vena_DYNR_SControleIndelingQRTSub_BB1_3e6c8fc6_f84c873c">'Controle Indeling QRT Subniveau'!$E$217</definedName>
    <definedName name="_vena_DYNR_SControleIndelingQRTSub_BB1_3e6c8fc6_f9c5ee07">'Controle Indeling QRT Subniveau'!$E$175</definedName>
    <definedName name="_vena_DYNR_SControleIndelingQRTSub_BB1_3e6c8fc6_fa6e894a">'Controle Indeling QRT Subniveau'!$E$194</definedName>
    <definedName name="_vena_DYNR_SControleIndelingQRTSub_BB1_3e6c8fc6_fc06dbd6">'Controle Indeling QRT Subniveau'!$E$36</definedName>
    <definedName name="_vena_DYNR_SControleIndelingQRTSub_BB1_3e6c8fc6_fd10a10">'Controle Indeling QRT Subniveau'!$E$33</definedName>
    <definedName name="_vena_DYNR_SControleIndelingQRTSub_BB1_575fcc0f">'Controle Indeling QRT Subniveau'!$E$225</definedName>
    <definedName name="_vena_DYNR_SControleIndelingQRTSub_BB1_575fcc0f_10c36634">'Controle Indeling QRT Subniveau'!$E$260</definedName>
    <definedName name="_vena_DYNR_SControleIndelingQRTSub_BB1_575fcc0f_1634a3f6">'Controle Indeling QRT Subniveau'!$E$257</definedName>
    <definedName name="_vena_DYNR_SControleIndelingQRTSub_BB1_575fcc0f_19a743c8">'Controle Indeling QRT Subniveau'!$E$262</definedName>
    <definedName name="_vena_DYNR_SControleIndelingQRTSub_BB1_575fcc0f_2198d42c">'Controle Indeling QRT Subniveau'!$E$263</definedName>
    <definedName name="_vena_DYNR_SControleIndelingQRTSub_BB1_575fcc0f_21e6e3d6">'Controle Indeling QRT Subniveau'!$E$244</definedName>
    <definedName name="_vena_DYNR_SControleIndelingQRTSub_BB1_575fcc0f_27ac6099">'Controle Indeling QRT Subniveau'!$E$261</definedName>
    <definedName name="_vena_DYNR_SControleIndelingQRTSub_BB1_575fcc0f_2cdcca61">'Controle Indeling QRT Subniveau'!$E$255</definedName>
    <definedName name="_vena_DYNR_SControleIndelingQRTSub_BB1_575fcc0f_30b82fef">'Controle Indeling QRT Subniveau'!$E$249</definedName>
    <definedName name="_vena_DYNR_SControleIndelingQRTSub_BB1_575fcc0f_352818c">'Controle Indeling QRT Subniveau'!$E$259</definedName>
    <definedName name="_vena_DYNR_SControleIndelingQRTSub_BB1_575fcc0f_3d30d5fb">'Controle Indeling QRT Subniveau'!$E$238</definedName>
    <definedName name="_vena_DYNR_SControleIndelingQRTSub_BB1_575fcc0f_3ea909db">'Controle Indeling QRT Subniveau'!$E$254</definedName>
    <definedName name="_vena_DYNR_SControleIndelingQRTSub_BB1_575fcc0f_3fceb1b5">'Controle Indeling QRT Subniveau'!$E$242</definedName>
    <definedName name="_vena_DYNR_SControleIndelingQRTSub_BB1_575fcc0f_4362f2c9">'Controle Indeling QRT Subniveau'!$E$228</definedName>
    <definedName name="_vena_DYNR_SControleIndelingQRTSub_BB1_575fcc0f_458fda26">'Controle Indeling QRT Subniveau'!$E$258</definedName>
    <definedName name="_vena_DYNR_SControleIndelingQRTSub_BB1_575fcc0f_4693a051">'Controle Indeling QRT Subniveau'!$E$235</definedName>
    <definedName name="_vena_DYNR_SControleIndelingQRTSub_BB1_575fcc0f_48a3b5e5">'Controle Indeling QRT Subniveau'!$E$248</definedName>
    <definedName name="_vena_DYNR_SControleIndelingQRTSub_BB1_575fcc0f_528eaffd">'Controle Indeling QRT Subniveau'!$E$239</definedName>
    <definedName name="_vena_DYNR_SControleIndelingQRTSub_BB1_575fcc0f_532c88e0">'Controle Indeling QRT Subniveau'!$E$230</definedName>
    <definedName name="_vena_DYNR_SControleIndelingQRTSub_BB1_575fcc0f_5e417afb">'Controle Indeling QRT Subniveau'!$E$245</definedName>
    <definedName name="_vena_DYNR_SControleIndelingQRTSub_BB1_575fcc0f_65499496">'Controle Indeling QRT Subniveau'!$E$226</definedName>
    <definedName name="_vena_DYNR_SControleIndelingQRTSub_BB1_575fcc0f_6695f733">'Controle Indeling QRT Subniveau'!$E$236</definedName>
    <definedName name="_vena_DYNR_SControleIndelingQRTSub_BB1_575fcc0f_68e13a63">'Controle Indeling QRT Subniveau'!$E$232</definedName>
    <definedName name="_vena_DYNR_SControleIndelingQRTSub_BB1_575fcc0f_6b1863e6">'Controle Indeling QRT Subniveau'!$E$234</definedName>
    <definedName name="_vena_DYNR_SControleIndelingQRTSub_BB1_575fcc0f_6d7edbdd">'Controle Indeling QRT Subniveau'!$E$241</definedName>
    <definedName name="_vena_DYNR_SControleIndelingQRTSub_BB1_575fcc0f_935b0a9a">'Controle Indeling QRT Subniveau'!$E$231</definedName>
    <definedName name="_vena_DYNR_SControleIndelingQRTSub_BB1_575fcc0f_961e9751">'Controle Indeling QRT Subniveau'!$E$246</definedName>
    <definedName name="_vena_DYNR_SControleIndelingQRTSub_BB1_575fcc0f_9de3531b">'Controle Indeling QRT Subniveau'!$E$227</definedName>
    <definedName name="_vena_DYNR_SControleIndelingQRTSub_BB1_575fcc0f_a10abc60">'Controle Indeling QRT Subniveau'!$E$250</definedName>
    <definedName name="_vena_DYNR_SControleIndelingQRTSub_BB1_575fcc0f_a21d1c2a">'Controle Indeling QRT Subniveau'!$E$251</definedName>
    <definedName name="_vena_DYNR_SControleIndelingQRTSub_BB1_575fcc0f_cb4645b6">'Controle Indeling QRT Subniveau'!$E$252</definedName>
    <definedName name="_vena_DYNR_SControleIndelingQRTSub_BB1_575fcc0f_cf23a773">'Controle Indeling QRT Subniveau'!$E$240</definedName>
    <definedName name="_vena_DYNR_SControleIndelingQRTSub_BB1_575fcc0f_d3ebe643">'Controle Indeling QRT Subniveau'!$E$229</definedName>
    <definedName name="_vena_DYNR_SControleIndelingQRTSub_BB1_575fcc0f_d820daf2">'Controle Indeling QRT Subniveau'!$E$256</definedName>
    <definedName name="_vena_DYNR_SControleIndelingQRTSub_BB1_575fcc0f_e4035817">'Controle Indeling QRT Subniveau'!$E$243</definedName>
    <definedName name="_vena_DYNR_SControleIndelingQRTSub_BB1_575fcc0f_ebded686">'Controle Indeling QRT Subniveau'!$E$237</definedName>
    <definedName name="_vena_DYNR_SControleIndelingQRTSub_BB1_575fcc0f_f3ea7214">'Controle Indeling QRT Subniveau'!$E$253</definedName>
    <definedName name="_vena_DYNR_SControleIndelingQRTSub_BB1_575fcc0f_f46fe958">'Controle Indeling QRT Subniveau'!$E$247</definedName>
    <definedName name="_vena_DYNR_SControleIndelingQRTSub_BB1_575fcc0f_f8f4f918">'Controle Indeling QRT Subniveau'!$E$233</definedName>
    <definedName name="_vena_DYNR_SControleIndelingQRTSub_BB1_73e5a69c">'Controle Indeling QRT Subniveau'!$E$296</definedName>
    <definedName name="_vena_DYNR_SControleIndelingQRTSub_BB1_73e5a69c_152b0c28">'Controle Indeling QRT Subniveau'!$E$329</definedName>
    <definedName name="_vena_DYNR_SControleIndelingQRTSub_BB1_73e5a69c_155ef897">'Controle Indeling QRT Subniveau'!$E$305</definedName>
    <definedName name="_vena_DYNR_SControleIndelingQRTSub_BB1_73e5a69c_18b06d53">'Controle Indeling QRT Subniveau'!$E$320</definedName>
    <definedName name="_vena_DYNR_SControleIndelingQRTSub_BB1_73e5a69c_1a55361f">'Controle Indeling QRT Subniveau'!$E$353</definedName>
    <definedName name="_vena_DYNR_SControleIndelingQRTSub_BB1_73e5a69c_1afb0c2c">'Controle Indeling QRT Subniveau'!$E$355</definedName>
    <definedName name="_vena_DYNR_SControleIndelingQRTSub_BB1_73e5a69c_1cf5ce71">'Controle Indeling QRT Subniveau'!$E$354</definedName>
    <definedName name="_vena_DYNR_SControleIndelingQRTSub_BB1_73e5a69c_1dd8fc6c">'Controle Indeling QRT Subniveau'!$E$369</definedName>
    <definedName name="_vena_DYNR_SControleIndelingQRTSub_BB1_73e5a69c_1fe6dd7f">'Controle Indeling QRT Subniveau'!$E$328</definedName>
    <definedName name="_vena_DYNR_SControleIndelingQRTSub_BB1_73e5a69c_240162a6">'Controle Indeling QRT Subniveau'!$E$317</definedName>
    <definedName name="_vena_DYNR_SControleIndelingQRTSub_BB1_73e5a69c_25ea7bc9">'Controle Indeling QRT Subniveau'!$E$302</definedName>
    <definedName name="_vena_DYNR_SControleIndelingQRTSub_BB1_73e5a69c_27183b09">'Controle Indeling QRT Subniveau'!$E$344</definedName>
    <definedName name="_vena_DYNR_SControleIndelingQRTSub_BB1_73e5a69c_2722dd53">'Controle Indeling QRT Subniveau'!$E$367</definedName>
    <definedName name="_vena_DYNR_SControleIndelingQRTSub_BB1_73e5a69c_2d15468f">'Controle Indeling QRT Subniveau'!$E$377</definedName>
    <definedName name="_vena_DYNR_SControleIndelingQRTSub_BB1_73e5a69c_2e9898e0">'Controle Indeling QRT Subniveau'!$E$326</definedName>
    <definedName name="_vena_DYNR_SControleIndelingQRTSub_BB1_73e5a69c_312ad704">'Controle Indeling QRT Subniveau'!$E$372</definedName>
    <definedName name="_vena_DYNR_SControleIndelingQRTSub_BB1_73e5a69c_365e4ed6">'Controle Indeling QRT Subniveau'!$E$322</definedName>
    <definedName name="_vena_DYNR_SControleIndelingQRTSub_BB1_73e5a69c_36af199f">'Controle Indeling QRT Subniveau'!$E$371</definedName>
    <definedName name="_vena_DYNR_SControleIndelingQRTSub_BB1_73e5a69c_38c6ddd5">'Controle Indeling QRT Subniveau'!$E$330</definedName>
    <definedName name="_vena_DYNR_SControleIndelingQRTSub_BB1_73e5a69c_3a2bead8">'Controle Indeling QRT Subniveau'!$E$340</definedName>
    <definedName name="_vena_DYNR_SControleIndelingQRTSub_BB1_73e5a69c_3d3afcd9">'Controle Indeling QRT Subniveau'!$E$304</definedName>
    <definedName name="_vena_DYNR_SControleIndelingQRTSub_BB1_73e5a69c_40f11808">'Controle Indeling QRT Subniveau'!$E$307</definedName>
    <definedName name="_vena_DYNR_SControleIndelingQRTSub_BB1_73e5a69c_42271e05">'Controle Indeling QRT Subniveau'!$E$335</definedName>
    <definedName name="_vena_DYNR_SControleIndelingQRTSub_BB1_73e5a69c_457df8fb">'Controle Indeling QRT Subniveau'!$E$316</definedName>
    <definedName name="_vena_DYNR_SControleIndelingQRTSub_BB1_73e5a69c_47e8da72">'Controle Indeling QRT Subniveau'!$E$364</definedName>
    <definedName name="_vena_DYNR_SControleIndelingQRTSub_BB1_73e5a69c_4901c310">'Controle Indeling QRT Subniveau'!$E$356</definedName>
    <definedName name="_vena_DYNR_SControleIndelingQRTSub_BB1_73e5a69c_4c87e6e7">'Controle Indeling QRT Subniveau'!$E$300</definedName>
    <definedName name="_vena_DYNR_SControleIndelingQRTSub_BB1_73e5a69c_5281090c">'Controle Indeling QRT Subniveau'!$E$315</definedName>
    <definedName name="_vena_DYNR_SControleIndelingQRTSub_BB1_73e5a69c_530673c2">'Controle Indeling QRT Subniveau'!$E$323</definedName>
    <definedName name="_vena_DYNR_SControleIndelingQRTSub_BB1_73e5a69c_53dc0f2a">'Controle Indeling QRT Subniveau'!$E$325</definedName>
    <definedName name="_vena_DYNR_SControleIndelingQRTSub_BB1_73e5a69c_56e3fcdf">'Controle Indeling QRT Subniveau'!$E$306</definedName>
    <definedName name="_vena_DYNR_SControleIndelingQRTSub_BB1_73e5a69c_5e762fda">'Controle Indeling QRT Subniveau'!$E$351</definedName>
    <definedName name="_vena_DYNR_SControleIndelingQRTSub_BB1_73e5a69c_63b5bb49">'Controle Indeling QRT Subniveau'!$E$368</definedName>
    <definedName name="_vena_DYNR_SControleIndelingQRTSub_BB1_73e5a69c_65263f2a">'Controle Indeling QRT Subniveau'!$E$309</definedName>
    <definedName name="_vena_DYNR_SControleIndelingQRTSub_BB1_73e5a69c_6b648b0c">'Controle Indeling QRT Subniveau'!$E$298</definedName>
    <definedName name="_vena_DYNR_SControleIndelingQRTSub_BB1_73e5a69c_6ceffb55">'Controle Indeling QRT Subniveau'!$E$311</definedName>
    <definedName name="_vena_DYNR_SControleIndelingQRTSub_BB1_73e5a69c_6d4c7bf5">'Controle Indeling QRT Subniveau'!$E$331</definedName>
    <definedName name="_vena_DYNR_SControleIndelingQRTSub_BB1_73e5a69c_75abc31f">'Controle Indeling QRT Subniveau'!$E$374</definedName>
    <definedName name="_vena_DYNR_SControleIndelingQRTSub_BB1_73e5a69c_7fe575e9">'Controle Indeling QRT Subniveau'!$E$345</definedName>
    <definedName name="_vena_DYNR_SControleIndelingQRTSub_BB1_73e5a69c_819173">'Controle Indeling QRT Subniveau'!$E$327</definedName>
    <definedName name="_vena_DYNR_SControleIndelingQRTSub_BB1_73e5a69c_82922c28">'Controle Indeling QRT Subniveau'!$E$333</definedName>
    <definedName name="_vena_DYNR_SControleIndelingQRTSub_BB1_73e5a69c_833fd690">'Controle Indeling QRT Subniveau'!$E$342</definedName>
    <definedName name="_vena_DYNR_SControleIndelingQRTSub_BB1_73e5a69c_86056c69">'Controle Indeling QRT Subniveau'!$E$303</definedName>
    <definedName name="_vena_DYNR_SControleIndelingQRTSub_BB1_73e5a69c_87a5c129">'Controle Indeling QRT Subniveau'!$E$361</definedName>
    <definedName name="_vena_DYNR_SControleIndelingQRTSub_BB1_73e5a69c_8a5836d9">'Controle Indeling QRT Subniveau'!$E$337</definedName>
    <definedName name="_vena_DYNR_SControleIndelingQRTSub_BB1_73e5a69c_94f01592">'Controle Indeling QRT Subniveau'!$E$339</definedName>
    <definedName name="_vena_DYNR_SControleIndelingQRTSub_BB1_73e5a69c_978eaa81">'Controle Indeling QRT Subniveau'!$E$347</definedName>
    <definedName name="_vena_DYNR_SControleIndelingQRTSub_BB1_73e5a69c_9fa1f583">'Controle Indeling QRT Subniveau'!$E$370</definedName>
    <definedName name="_vena_DYNR_SControleIndelingQRTSub_BB1_73e5a69c_a22b5dfe">'Controle Indeling QRT Subniveau'!$E$363</definedName>
    <definedName name="_vena_DYNR_SControleIndelingQRTSub_BB1_73e5a69c_a2469df3">'Controle Indeling QRT Subniveau'!$E$341</definedName>
    <definedName name="_vena_DYNR_SControleIndelingQRTSub_BB1_73e5a69c_a35c5e8a">'Controle Indeling QRT Subniveau'!$E$357</definedName>
    <definedName name="_vena_DYNR_SControleIndelingQRTSub_BB1_73e5a69c_a4b53719">'Controle Indeling QRT Subniveau'!$E$301</definedName>
    <definedName name="_vena_DYNR_SControleIndelingQRTSub_BB1_73e5a69c_a51a5bc8">'Controle Indeling QRT Subniveau'!$E$338</definedName>
    <definedName name="_vena_DYNR_SControleIndelingQRTSub_BB1_73e5a69c_a72b35f5">'Controle Indeling QRT Subniveau'!$E$376</definedName>
    <definedName name="_vena_DYNR_SControleIndelingQRTSub_BB1_73e5a69c_a7a035ad">'Controle Indeling QRT Subniveau'!$E$359</definedName>
    <definedName name="_vena_DYNR_SControleIndelingQRTSub_BB1_73e5a69c_acde77e8">'Controle Indeling QRT Subniveau'!$E$319</definedName>
    <definedName name="_vena_DYNR_SControleIndelingQRTSub_BB1_73e5a69c_b33305fa">'Controle Indeling QRT Subniveau'!$E$373</definedName>
    <definedName name="_vena_DYNR_SControleIndelingQRTSub_BB1_73e5a69c_b3596789">'Controle Indeling QRT Subniveau'!$E$312</definedName>
    <definedName name="_vena_DYNR_SControleIndelingQRTSub_BB1_73e5a69c_b8637d6e">'Controle Indeling QRT Subniveau'!$E$324</definedName>
    <definedName name="_vena_DYNR_SControleIndelingQRTSub_BB1_73e5a69c_bd82e06c">'Controle Indeling QRT Subniveau'!$E$346</definedName>
    <definedName name="_vena_DYNR_SControleIndelingQRTSub_BB1_73e5a69c_c06a580b">'Controle Indeling QRT Subniveau'!$E$349</definedName>
    <definedName name="_vena_DYNR_SControleIndelingQRTSub_BB1_73e5a69c_c7abd268">'Controle Indeling QRT Subniveau'!$E$343</definedName>
    <definedName name="_vena_DYNR_SControleIndelingQRTSub_BB1_73e5a69c_c888399a">'Controle Indeling QRT Subniveau'!$E$348</definedName>
    <definedName name="_vena_DYNR_SControleIndelingQRTSub_BB1_73e5a69c_cb044e64">'Controle Indeling QRT Subniveau'!$E$321</definedName>
    <definedName name="_vena_DYNR_SControleIndelingQRTSub_BB1_73e5a69c_cf898830">'Controle Indeling QRT Subniveau'!$E$308</definedName>
    <definedName name="_vena_DYNR_SControleIndelingQRTSub_BB1_73e5a69c_d4fa426e">'Controle Indeling QRT Subniveau'!$E$299</definedName>
    <definedName name="_vena_DYNR_SControleIndelingQRTSub_BB1_73e5a69c_dfb00bc">'Controle Indeling QRT Subniveau'!$E$318</definedName>
    <definedName name="_vena_DYNR_SControleIndelingQRTSub_BB1_73e5a69c_e079a01">'Controle Indeling QRT Subniveau'!$E$334</definedName>
    <definedName name="_vena_DYNR_SControleIndelingQRTSub_BB1_73e5a69c_e0fd4fa4">'Controle Indeling QRT Subniveau'!$E$297</definedName>
    <definedName name="_vena_DYNR_SControleIndelingQRTSub_BB1_73e5a69c_e7c85426">'Controle Indeling QRT Subniveau'!$E$314</definedName>
    <definedName name="_vena_DYNR_SControleIndelingQRTSub_BB1_73e5a69c_e8352fe3">'Controle Indeling QRT Subniveau'!$E$310</definedName>
    <definedName name="_vena_DYNR_SControleIndelingQRTSub_BB1_73e5a69c_e9baea72">'Controle Indeling QRT Subniveau'!$E$332</definedName>
    <definedName name="_vena_DYNR_SControleIndelingQRTSub_BB1_73e5a69c_ebd94083">'Controle Indeling QRT Subniveau'!$E$366</definedName>
    <definedName name="_vena_DYNR_SControleIndelingQRTSub_BB1_73e5a69c_edce41a6">'Controle Indeling QRT Subniveau'!$E$362</definedName>
    <definedName name="_vena_DYNR_SControleIndelingQRTSub_BB1_73e5a69c_ef391587">'Controle Indeling QRT Subniveau'!$E$352</definedName>
    <definedName name="_vena_DYNR_SControleIndelingQRTSub_BB1_73e5a69c_f53c98ab">'Controle Indeling QRT Subniveau'!$E$375</definedName>
    <definedName name="_vena_DYNR_SControleIndelingQRTSub_BB1_73e5a69c_f8ae3e37">'Controle Indeling QRT Subniveau'!$E$358</definedName>
    <definedName name="_vena_DYNR_SControleIndelingQRTSub_BB1_73e5a69c_f97b02ba">'Controle Indeling QRT Subniveau'!$E$365</definedName>
    <definedName name="_vena_DYNR_SControleIndelingQRTSub_BB1_73e5a69c_f9da927">'Controle Indeling QRT Subniveau'!$E$360</definedName>
    <definedName name="_vena_DYNR_SControleIndelingQRTSub_BB1_73e5a69c_fd874e70">'Controle Indeling QRT Subniveau'!$E$350</definedName>
    <definedName name="_vena_DYNR_SControleIndelingQRTSub_BB1_73e5a69c_fee90669">'Controle Indeling QRT Subniveau'!$E$336</definedName>
    <definedName name="_vena_DYNR_SControleIndelingQRTSub_BB1_73e5a69c_ff5a5d02">'Controle Indeling QRT Subniveau'!$E$313</definedName>
    <definedName name="_vena_DYNR_SControleIndelingQRTSub_BB1_93d18bb6">'Controle Indeling QRT Subniveau'!$E$378</definedName>
    <definedName name="_vena_DYNR_SControleIndelingQRTSub_BB1_93d18bb6_638bb6e5">'Controle Indeling QRT Subniveau'!$E$380</definedName>
    <definedName name="_vena_DYNR_SControleIndelingQRTSub_BB1_93d18bb6_a89be8d9">'Controle Indeling QRT Subniveau'!$E$379</definedName>
    <definedName name="_vena_DYNR_SControleIndelingQRTSub_BB1_ef97b077">'Controle Indeling QRT Subniveau'!$E$264</definedName>
    <definedName name="_vena_DYNR_SControleIndelingQRTSub_BB1_ef97b077_14ba3aaa">'Controle Indeling QRT Subniveau'!$E$293</definedName>
    <definedName name="_vena_DYNR_SControleIndelingQRTSub_BB1_ef97b077_2440368">'Controle Indeling QRT Subniveau'!$E$268</definedName>
    <definedName name="_vena_DYNR_SControleIndelingQRTSub_BB1_ef97b077_2897029e">'Controle Indeling QRT Subniveau'!$E$272</definedName>
    <definedName name="_vena_DYNR_SControleIndelingQRTSub_BB1_ef97b077_2d3de437">'Controle Indeling QRT Subniveau'!$E$294</definedName>
    <definedName name="_vena_DYNR_SControleIndelingQRTSub_BB1_ef97b077_2d6bab">'Controle Indeling QRT Subniveau'!$E$267</definedName>
    <definedName name="_vena_DYNR_SControleIndelingQRTSub_BB1_ef97b077_322b19c2">'Controle Indeling QRT Subniveau'!$E$271</definedName>
    <definedName name="_vena_DYNR_SControleIndelingQRTSub_BB1_ef97b077_3be2c596">'Controle Indeling QRT Subniveau'!$E$287</definedName>
    <definedName name="_vena_DYNR_SControleIndelingQRTSub_BB1_ef97b077_3dc19cb0">'Controle Indeling QRT Subniveau'!$E$284</definedName>
    <definedName name="_vena_DYNR_SControleIndelingQRTSub_BB1_ef97b077_40bed74e">'Controle Indeling QRT Subniveau'!$E$280</definedName>
    <definedName name="_vena_DYNR_SControleIndelingQRTSub_BB1_ef97b077_426bc939">'Controle Indeling QRT Subniveau'!$E$295</definedName>
    <definedName name="_vena_DYNR_SControleIndelingQRTSub_BB1_ef97b077_45b36316">'Controle Indeling QRT Subniveau'!$E$288</definedName>
    <definedName name="_vena_DYNR_SControleIndelingQRTSub_BB1_ef97b077_4d8d290d">'Controle Indeling QRT Subniveau'!$E$274</definedName>
    <definedName name="_vena_DYNR_SControleIndelingQRTSub_BB1_ef97b077_4e177656">'Controle Indeling QRT Subniveau'!$E$276</definedName>
    <definedName name="_vena_DYNR_SControleIndelingQRTSub_BB1_ef97b077_5ac64a40">'Controle Indeling QRT Subniveau'!$E$265</definedName>
    <definedName name="_vena_DYNR_SControleIndelingQRTSub_BB1_ef97b077_6d709e6e">'Controle Indeling QRT Subniveau'!$E$273</definedName>
    <definedName name="_vena_DYNR_SControleIndelingQRTSub_BB1_ef97b077_6f73b04f">'Controle Indeling QRT Subniveau'!$E$291</definedName>
    <definedName name="_vena_DYNR_SControleIndelingQRTSub_BB1_ef97b077_7471da9b">'Controle Indeling QRT Subniveau'!$E$283</definedName>
    <definedName name="_vena_DYNR_SControleIndelingQRTSub_BB1_ef97b077_779b83da">'Controle Indeling QRT Subniveau'!$E$278</definedName>
    <definedName name="_vena_DYNR_SControleIndelingQRTSub_BB1_ef97b077_7b0b0cbd">'Controle Indeling QRT Subniveau'!$E$281</definedName>
    <definedName name="_vena_DYNR_SControleIndelingQRTSub_BB1_ef97b077_80672c79">'Controle Indeling QRT Subniveau'!$E$282</definedName>
    <definedName name="_vena_DYNR_SControleIndelingQRTSub_BB1_ef97b077_81f9e769">'Controle Indeling QRT Subniveau'!$E$279</definedName>
    <definedName name="_vena_DYNR_SControleIndelingQRTSub_BB1_ef97b077_869be74d">'Controle Indeling QRT Subniveau'!$E$270</definedName>
    <definedName name="_vena_DYNR_SControleIndelingQRTSub_BB1_ef97b077_872b8a78">'Controle Indeling QRT Subniveau'!$E$292</definedName>
    <definedName name="_vena_DYNR_SControleIndelingQRTSub_BB1_ef97b077_a766180e">'Controle Indeling QRT Subniveau'!$E$269</definedName>
    <definedName name="_vena_DYNR_SControleIndelingQRTSub_BB1_ef97b077_a972a980">'Controle Indeling QRT Subniveau'!$E$285</definedName>
    <definedName name="_vena_DYNR_SControleIndelingQRTSub_BB1_ef97b077_b009750b">'Controle Indeling QRT Subniveau'!$E$275</definedName>
    <definedName name="_vena_DYNR_SControleIndelingQRTSub_BB1_ef97b077_de87f421">'Controle Indeling QRT Subniveau'!$E$277</definedName>
    <definedName name="_vena_DYNR_SControleIndelingQRTSub_BB1_ef97b077_f286b0d">'Controle Indeling QRT Subniveau'!$E$290</definedName>
    <definedName name="_vena_DYNR_SControleIndelingQRTSub_BB1_ef97b077_f353d6e6">'Controle Indeling QRT Subniveau'!$E$289</definedName>
    <definedName name="_vena_DYNR_SControleIndelingQRTSub_BB1_ef97b077_f7561244">'Controle Indeling QRT Subniveau'!$E$286</definedName>
    <definedName name="_vena_DYNR_SControleIndelingQRTSub_BB1_ef97b077_f9a1b0f9">'Controle Indeling QRT Subniveau'!$E$266</definedName>
    <definedName name="_vena_DYNR_SInputModelpuntInfo1_BB1_7af2b78c">ModelpuntInfo!$H$24</definedName>
    <definedName name="_vena_DYNR_SInputModelpuntInfo1_BB1_7af2b78c_10376c69">ModelpuntInfo!$H$227</definedName>
    <definedName name="_vena_DYNR_SInputModelpuntInfo1_BB1_7af2b78c_1066315c">ModelpuntInfo!$H$108</definedName>
    <definedName name="_vena_DYNR_SInputModelpuntInfo1_BB1_7af2b78c_122c4455">ModelpuntInfo!$H$138</definedName>
    <definedName name="_vena_DYNR_SInputModelpuntInfo1_BB1_7af2b78c_124b40ac">ModelpuntInfo!$H$167</definedName>
    <definedName name="_vena_DYNR_SInputModelpuntInfo1_BB1_7af2b78c_13223c9a">ModelpuntInfo!$H$302</definedName>
    <definedName name="_vena_DYNR_SInputModelpuntInfo1_BB1_7af2b78c_13d6ec96">ModelpuntInfo!$H$96</definedName>
    <definedName name="_vena_DYNR_SInputModelpuntInfo1_BB1_7af2b78c_141c1f5d">ModelpuntInfo!$H$265</definedName>
    <definedName name="_vena_DYNR_SInputModelpuntInfo1_BB1_7af2b78c_14b9563c">ModelpuntInfo!$H$326</definedName>
    <definedName name="_vena_DYNR_SInputModelpuntInfo1_BB1_7af2b78c_1527227">ModelpuntInfo!$H$368</definedName>
    <definedName name="_vena_DYNR_SInputModelpuntInfo1_BB1_7af2b78c_156511d8">ModelpuntInfo!$H$154</definedName>
    <definedName name="_vena_DYNR_SInputModelpuntInfo1_BB1_7af2b78c_158fa84e">ModelpuntInfo!$H$281</definedName>
    <definedName name="_vena_DYNR_SInputModelpuntInfo1_BB1_7af2b78c_15a05a59">ModelpuntInfo!$H$40</definedName>
    <definedName name="_vena_DYNR_SInputModelpuntInfo1_BB1_7af2b78c_15fa60b8">ModelpuntInfo!$H$369</definedName>
    <definedName name="_vena_DYNR_SInputModelpuntInfo1_BB1_7af2b78c_163ff544">ModelpuntInfo!$H$236</definedName>
    <definedName name="_vena_DYNR_SInputModelpuntInfo1_BB1_7af2b78c_16e70cfd">ModelpuntInfo!$H$93</definedName>
    <definedName name="_vena_DYNR_SInputModelpuntInfo1_BB1_7af2b78c_16ec5366">ModelpuntInfo!$H$122</definedName>
    <definedName name="_vena_DYNR_SInputModelpuntInfo1_BB1_7af2b78c_19a73b4e">ModelpuntInfo!$H$293</definedName>
    <definedName name="_vena_DYNR_SInputModelpuntInfo1_BB1_7af2b78c_1a3ffb1">ModelpuntInfo!$H$332</definedName>
    <definedName name="_vena_DYNR_SInputModelpuntInfo1_BB1_7af2b78c_1a4bd38c">ModelpuntInfo!$H$165</definedName>
    <definedName name="_vena_DYNR_SInputModelpuntInfo1_BB1_7af2b78c_1a950041">ModelpuntInfo!$H$202</definedName>
    <definedName name="_vena_DYNR_SInputModelpuntInfo1_BB1_7af2b78c_1b17b281">ModelpuntInfo!$H$291</definedName>
    <definedName name="_vena_DYNR_SInputModelpuntInfo1_BB1_7af2b78c_1b761964">ModelpuntInfo!$H$252</definedName>
    <definedName name="_vena_DYNR_SInputModelpuntInfo1_BB1_7af2b78c_1cf792d0">ModelpuntInfo!$H$255</definedName>
    <definedName name="_vena_DYNR_SInputModelpuntInfo1_BB1_7af2b78c_1d2aac38">ModelpuntInfo!$H$162</definedName>
    <definedName name="_vena_DYNR_SInputModelpuntInfo1_BB1_7af2b78c_1d6f7f8">ModelpuntInfo!$H$358</definedName>
    <definedName name="_vena_DYNR_SInputModelpuntInfo1_BB1_7af2b78c_1d705d07">ModelpuntInfo!$H$262</definedName>
    <definedName name="_vena_DYNR_SInputModelpuntInfo1_BB1_7af2b78c_1d73c11f">ModelpuntInfo!$H$370</definedName>
    <definedName name="_vena_DYNR_SInputModelpuntInfo1_BB1_7af2b78c_1de07466">ModelpuntInfo!$H$324</definedName>
    <definedName name="_vena_DYNR_SInputModelpuntInfo1_BB1_7af2b78c_1e26ad">ModelpuntInfo!$H$82</definedName>
    <definedName name="_vena_DYNR_SInputModelpuntInfo1_BB1_7af2b78c_1e282bf9">ModelpuntInfo!$H$248</definedName>
    <definedName name="_vena_DYNR_SInputModelpuntInfo1_BB1_7af2b78c_1fd3daf3">ModelpuntInfo!$H$136</definedName>
    <definedName name="_vena_DYNR_SInputModelpuntInfo1_BB1_7af2b78c_20c87ab">ModelpuntInfo!$H$346</definedName>
    <definedName name="_vena_DYNR_SInputModelpuntInfo1_BB1_7af2b78c_20e8067e">ModelpuntInfo!$H$330</definedName>
    <definedName name="_vena_DYNR_SInputModelpuntInfo1_BB1_7af2b78c_217040ae">ModelpuntInfo!$H$91</definedName>
    <definedName name="_vena_DYNR_SInputModelpuntInfo1_BB1_7af2b78c_21b23683">ModelpuntInfo!$H$273</definedName>
    <definedName name="_vena_DYNR_SInputModelpuntInfo1_BB1_7af2b78c_21c0aa3a">ModelpuntInfo!$H$158</definedName>
    <definedName name="_vena_DYNR_SInputModelpuntInfo1_BB1_7af2b78c_21f098f2">ModelpuntInfo!$H$294</definedName>
    <definedName name="_vena_DYNR_SInputModelpuntInfo1_BB1_7af2b78c_2238c42e">ModelpuntInfo!$H$363</definedName>
    <definedName name="_vena_DYNR_SInputModelpuntInfo1_BB1_7af2b78c_2315a54e">ModelpuntInfo!$H$258</definedName>
    <definedName name="_vena_DYNR_SInputModelpuntInfo1_BB1_7af2b78c_235da68e">ModelpuntInfo!$H$260</definedName>
    <definedName name="_vena_DYNR_SInputModelpuntInfo1_BB1_7af2b78c_2426c1f9">ModelpuntInfo!$H$179</definedName>
    <definedName name="_vena_DYNR_SInputModelpuntInfo1_BB1_7af2b78c_25b66b07">ModelpuntInfo!$H$34</definedName>
    <definedName name="_vena_DYNR_SInputModelpuntInfo1_BB1_7af2b78c_263444c0">ModelpuntInfo!$H$362</definedName>
    <definedName name="_vena_DYNR_SInputModelpuntInfo1_BB1_7af2b78c_26fc4bf3">ModelpuntInfo!$H$373</definedName>
    <definedName name="_vena_DYNR_SInputModelpuntInfo1_BB1_7af2b78c_27c86560">ModelpuntInfo!$H$54</definedName>
    <definedName name="_vena_DYNR_SInputModelpuntInfo1_BB1_7af2b78c_2806efb2">ModelpuntInfo!$H$171</definedName>
    <definedName name="_vena_DYNR_SInputModelpuntInfo1_BB1_7af2b78c_28799135">ModelpuntInfo!$H$261</definedName>
    <definedName name="_vena_DYNR_SInputModelpuntInfo1_BB1_7af2b78c_297ece07">ModelpuntInfo!$H$229</definedName>
    <definedName name="_vena_DYNR_SInputModelpuntInfo1_BB1_7af2b78c_299b4dd2">ModelpuntInfo!$H$149</definedName>
    <definedName name="_vena_DYNR_SInputModelpuntInfo1_BB1_7af2b78c_2a1d1b8">ModelpuntInfo!$H$276</definedName>
    <definedName name="_vena_DYNR_SInputModelpuntInfo1_BB1_7af2b78c_2a2433ba">ModelpuntInfo!$H$225</definedName>
    <definedName name="_vena_DYNR_SInputModelpuntInfo1_BB1_7af2b78c_2b4e96af">ModelpuntInfo!$H$67</definedName>
    <definedName name="_vena_DYNR_SInputModelpuntInfo1_BB1_7af2b78c_2b9d2055">ModelpuntInfo!$H$123</definedName>
    <definedName name="_vena_DYNR_SInputModelpuntInfo1_BB1_7af2b78c_2bc9f73a">ModelpuntInfo!$H$278</definedName>
    <definedName name="_vena_DYNR_SInputModelpuntInfo1_BB1_7af2b78c_2c096a73">ModelpuntInfo!$H$51</definedName>
    <definedName name="_vena_DYNR_SInputModelpuntInfo1_BB1_7af2b78c_2c5062b2">ModelpuntInfo!$H$340</definedName>
    <definedName name="_vena_DYNR_SInputModelpuntInfo1_BB1_7af2b78c_2d453a75">ModelpuntInfo!$H$78</definedName>
    <definedName name="_vena_DYNR_SInputModelpuntInfo1_BB1_7af2b78c_2dad6510">ModelpuntInfo!$H$297</definedName>
    <definedName name="_vena_DYNR_SInputModelpuntInfo1_BB1_7af2b78c_2dc82052">ModelpuntInfo!$H$42</definedName>
    <definedName name="_vena_DYNR_SInputModelpuntInfo1_BB1_7af2b78c_2eec074b">ModelpuntInfo!$H$232</definedName>
    <definedName name="_vena_DYNR_SInputModelpuntInfo1_BB1_7af2b78c_303f13e7">ModelpuntInfo!$H$94</definedName>
    <definedName name="_vena_DYNR_SInputModelpuntInfo1_BB1_7af2b78c_30a6f92f">ModelpuntInfo!$H$266</definedName>
    <definedName name="_vena_DYNR_SInputModelpuntInfo1_BB1_7af2b78c_316e0057">ModelpuntInfo!$H$143</definedName>
    <definedName name="_vena_DYNR_SInputModelpuntInfo1_BB1_7af2b78c_3276edc4">ModelpuntInfo!$H$244</definedName>
    <definedName name="_vena_DYNR_SInputModelpuntInfo1_BB1_7af2b78c_3323737">ModelpuntInfo!$H$30</definedName>
    <definedName name="_vena_DYNR_SInputModelpuntInfo1_BB1_7af2b78c_332a0793">ModelpuntInfo!$H$134</definedName>
    <definedName name="_vena_DYNR_SInputModelpuntInfo1_BB1_7af2b78c_33f1571e">ModelpuntInfo!$H$58</definedName>
    <definedName name="_vena_DYNR_SInputModelpuntInfo1_BB1_7af2b78c_3509869b">ModelpuntInfo!$H$342</definedName>
    <definedName name="_vena_DYNR_SInputModelpuntInfo1_BB1_7af2b78c_357f2a9b">ModelpuntInfo!$H$133</definedName>
    <definedName name="_vena_DYNR_SInputModelpuntInfo1_BB1_7af2b78c_358b6202">ModelpuntInfo!$H$354</definedName>
    <definedName name="_vena_DYNR_SInputModelpuntInfo1_BB1_7af2b78c_3617e6bd">ModelpuntInfo!$H$31</definedName>
    <definedName name="_vena_DYNR_SInputModelpuntInfo1_BB1_7af2b78c_375c6ce9">ModelpuntInfo!$H$341</definedName>
    <definedName name="_vena_DYNR_SInputModelpuntInfo1_BB1_7af2b78c_39730f21">ModelpuntInfo!$H$39</definedName>
    <definedName name="_vena_DYNR_SInputModelpuntInfo1_BB1_7af2b78c_3a23ae4f">ModelpuntInfo!$H$53</definedName>
    <definedName name="_vena_DYNR_SInputModelpuntInfo1_BB1_7af2b78c_3ac0f2c4">ModelpuntInfo!$H$41</definedName>
    <definedName name="_vena_DYNR_SInputModelpuntInfo1_BB1_7af2b78c_3b5826dd">ModelpuntInfo!$H$114</definedName>
    <definedName name="_vena_DYNR_SInputModelpuntInfo1_BB1_7af2b78c_3f7f8780">ModelpuntInfo!$H$216</definedName>
    <definedName name="_vena_DYNR_SInputModelpuntInfo1_BB1_7af2b78c_408d9e8a">ModelpuntInfo!$H$195</definedName>
    <definedName name="_vena_DYNR_SInputModelpuntInfo1_BB1_7af2b78c_40e2aa9e">ModelpuntInfo!$H$353</definedName>
    <definedName name="_vena_DYNR_SInputModelpuntInfo1_BB1_7af2b78c_41447330">ModelpuntInfo!$H$254</definedName>
    <definedName name="_vena_DYNR_SInputModelpuntInfo1_BB1_7af2b78c_417b0609">ModelpuntInfo!$H$349</definedName>
    <definedName name="_vena_DYNR_SInputModelpuntInfo1_BB1_7af2b78c_41d9db88">ModelpuntInfo!$H$99</definedName>
    <definedName name="_vena_DYNR_SInputModelpuntInfo1_BB1_7af2b78c_4219ef74">ModelpuntInfo!$H$164</definedName>
    <definedName name="_vena_DYNR_SInputModelpuntInfo1_BB1_7af2b78c_4233fc7c">ModelpuntInfo!$H$366</definedName>
    <definedName name="_vena_DYNR_SInputModelpuntInfo1_BB1_7af2b78c_42db50a9">ModelpuntInfo!$H$300</definedName>
    <definedName name="_vena_DYNR_SInputModelpuntInfo1_BB1_7af2b78c_43abef9e">ModelpuntInfo!$H$259</definedName>
    <definedName name="_vena_DYNR_SInputModelpuntInfo1_BB1_7af2b78c_43ef4016">ModelpuntInfo!$H$116</definedName>
    <definedName name="_vena_DYNR_SInputModelpuntInfo1_BB1_7af2b78c_44531216">ModelpuntInfo!$H$47</definedName>
    <definedName name="_vena_DYNR_SInputModelpuntInfo1_BB1_7af2b78c_447362f3">ModelpuntInfo!$H$59</definedName>
    <definedName name="_vena_DYNR_SInputModelpuntInfo1_BB1_7af2b78c_44a949ae">ModelpuntInfo!$H$145</definedName>
    <definedName name="_vena_DYNR_SInputModelpuntInfo1_BB1_7af2b78c_45aebe13">ModelpuntInfo!$H$190</definedName>
    <definedName name="_vena_DYNR_SInputModelpuntInfo1_BB1_7af2b78c_46d64a03">ModelpuntInfo!$H$271</definedName>
    <definedName name="_vena_DYNR_SInputModelpuntInfo1_BB1_7af2b78c_480b3647">ModelpuntInfo!$H$128</definedName>
    <definedName name="_vena_DYNR_SInputModelpuntInfo1_BB1_7af2b78c_489f3b22">ModelpuntInfo!$H$100</definedName>
    <definedName name="_vena_DYNR_SInputModelpuntInfo1_BB1_7af2b78c_490bf570">ModelpuntInfo!$H$56</definedName>
    <definedName name="_vena_DYNR_SInputModelpuntInfo1_BB1_7af2b78c_49ac311f">ModelpuntInfo!$H$79</definedName>
    <definedName name="_vena_DYNR_SInputModelpuntInfo1_BB1_7af2b78c_4a31444e">ModelpuntInfo!$H$139</definedName>
    <definedName name="_vena_DYNR_SInputModelpuntInfo1_BB1_7af2b78c_4a726d7b">ModelpuntInfo!$H$325</definedName>
    <definedName name="_vena_DYNR_SInputModelpuntInfo1_BB1_7af2b78c_4b9ff0df">ModelpuntInfo!$H$217</definedName>
    <definedName name="_vena_DYNR_SInputModelpuntInfo1_BB1_7af2b78c_4bec3792">ModelpuntInfo!$H$25</definedName>
    <definedName name="_vena_DYNR_SInputModelpuntInfo1_BB1_7af2b78c_4c4c7c17">ModelpuntInfo!$H$38</definedName>
    <definedName name="_vena_DYNR_SInputModelpuntInfo1_BB1_7af2b78c_4d4de08f">ModelpuntInfo!$H$290</definedName>
    <definedName name="_vena_DYNR_SInputModelpuntInfo1_BB1_7af2b78c_4da14c1c">ModelpuntInfo!$H$65</definedName>
    <definedName name="_vena_DYNR_SInputModelpuntInfo1_BB1_7af2b78c_4eb5f380">ModelpuntInfo!$H$186</definedName>
    <definedName name="_vena_DYNR_SInputModelpuntInfo1_BB1_7af2b78c_4ed321f3">ModelpuntInfo!$H$280</definedName>
    <definedName name="_vena_DYNR_SInputModelpuntInfo1_BB1_7af2b78c_4f3a8059">ModelpuntInfo!$H$193</definedName>
    <definedName name="_vena_DYNR_SInputModelpuntInfo1_BB1_7af2b78c_50044a1e">ModelpuntInfo!$H$60</definedName>
    <definedName name="_vena_DYNR_SInputModelpuntInfo1_BB1_7af2b78c_50106431">ModelpuntInfo!$H$235</definedName>
    <definedName name="_vena_DYNR_SInputModelpuntInfo1_BB1_7af2b78c_514bacac">ModelpuntInfo!$H$35</definedName>
    <definedName name="_vena_DYNR_SInputModelpuntInfo1_BB1_7af2b78c_517cb76f">ModelpuntInfo!$H$292</definedName>
    <definedName name="_vena_DYNR_SInputModelpuntInfo1_BB1_7af2b78c_51e4ffd6">ModelpuntInfo!$H$121</definedName>
    <definedName name="_vena_DYNR_SInputModelpuntInfo1_BB1_7af2b78c_5202a54b">ModelpuntInfo!$H$104</definedName>
    <definedName name="_vena_DYNR_SInputModelpuntInfo1_BB1_7af2b78c_52066165">ModelpuntInfo!$H$187</definedName>
    <definedName name="_vena_DYNR_SInputModelpuntInfo1_BB1_7af2b78c_5241bdc4">ModelpuntInfo!$H$98</definedName>
    <definedName name="_vena_DYNR_SInputModelpuntInfo1_BB1_7af2b78c_53936284">ModelpuntInfo!$H$110</definedName>
    <definedName name="_vena_DYNR_SInputModelpuntInfo1_BB1_7af2b78c_5448a1cc">ModelpuntInfo!$H$75</definedName>
    <definedName name="_vena_DYNR_SInputModelpuntInfo1_BB1_7af2b78c_54a92ab4">ModelpuntInfo!$H$286</definedName>
    <definedName name="_vena_DYNR_SInputModelpuntInfo1_BB1_7af2b78c_54f7c132">ModelpuntInfo!$H$45</definedName>
    <definedName name="_vena_DYNR_SInputModelpuntInfo1_BB1_7af2b78c_57d61be9">ModelpuntInfo!$H$33</definedName>
    <definedName name="_vena_DYNR_SInputModelpuntInfo1_BB1_7af2b78c_5838bce3">ModelpuntInfo!$H$328</definedName>
    <definedName name="_vena_DYNR_SInputModelpuntInfo1_BB1_7af2b78c_58515432">ModelpuntInfo!$H$184</definedName>
    <definedName name="_vena_DYNR_SInputModelpuntInfo1_BB1_7af2b78c_5ab3375">ModelpuntInfo!$H$55</definedName>
    <definedName name="_vena_DYNR_SInputModelpuntInfo1_BB1_7af2b78c_5b2a9532">ModelpuntInfo!$H$303</definedName>
    <definedName name="_vena_DYNR_SInputModelpuntInfo1_BB1_7af2b78c_5bd6cc25">ModelpuntInfo!$H$26</definedName>
    <definedName name="_vena_DYNR_SInputModelpuntInfo1_BB1_7af2b78c_5c62c123">ModelpuntInfo!$H$337</definedName>
    <definedName name="_vena_DYNR_SInputModelpuntInfo1_BB1_7af2b78c_5c6c5f8e">ModelpuntInfo!$H$210</definedName>
    <definedName name="_vena_DYNR_SInputModelpuntInfo1_BB1_7af2b78c_5d064de5">ModelpuntInfo!$H$311</definedName>
    <definedName name="_vena_DYNR_SInputModelpuntInfo1_BB1_7af2b78c_5da8136b">ModelpuntInfo!$H$80</definedName>
    <definedName name="_vena_DYNR_SInputModelpuntInfo1_BB1_7af2b78c_5dc40ff7">ModelpuntInfo!$H$230</definedName>
    <definedName name="_vena_DYNR_SInputModelpuntInfo1_BB1_7af2b78c_5e2433d2">ModelpuntInfo!$H$140</definedName>
    <definedName name="_vena_DYNR_SInputModelpuntInfo1_BB1_7af2b78c_5f23a7f3">ModelpuntInfo!$H$319</definedName>
    <definedName name="_vena_DYNR_SInputModelpuntInfo1_BB1_7af2b78c_5f6430c8">ModelpuntInfo!$H$275</definedName>
    <definedName name="_vena_DYNR_SInputModelpuntInfo1_BB1_7af2b78c_6073e441">ModelpuntInfo!$H$245</definedName>
    <definedName name="_vena_DYNR_SInputModelpuntInfo1_BB1_7af2b78c_607bf028">ModelpuntInfo!$H$84</definedName>
    <definedName name="_vena_DYNR_SInputModelpuntInfo1_BB1_7af2b78c_607f922e">ModelpuntInfo!$H$285</definedName>
    <definedName name="_vena_DYNR_SInputModelpuntInfo1_BB1_7af2b78c_60c7ef80">ModelpuntInfo!$H$211</definedName>
    <definedName name="_vena_DYNR_SInputModelpuntInfo1_BB1_7af2b78c_62741998">ModelpuntInfo!$H$350</definedName>
    <definedName name="_vena_DYNR_SInputModelpuntInfo1_BB1_7af2b78c_63196644">ModelpuntInfo!$H$112</definedName>
    <definedName name="_vena_DYNR_SInputModelpuntInfo1_BB1_7af2b78c_6343145c">ModelpuntInfo!$H$196</definedName>
    <definedName name="_vena_DYNR_SInputModelpuntInfo1_BB1_7af2b78c_64c0efdb">ModelpuntInfo!$H$327</definedName>
    <definedName name="_vena_DYNR_SInputModelpuntInfo1_BB1_7af2b78c_65fcc7c8">ModelpuntInfo!$H$289</definedName>
    <definedName name="_vena_DYNR_SInputModelpuntInfo1_BB1_7af2b78c_668364fa">ModelpuntInfo!$H$283</definedName>
    <definedName name="_vena_DYNR_SInputModelpuntInfo1_BB1_7af2b78c_66ba24b7">ModelpuntInfo!$H$272</definedName>
    <definedName name="_vena_DYNR_SInputModelpuntInfo1_BB1_7af2b78c_66c9b79">ModelpuntInfo!$H$361</definedName>
    <definedName name="_vena_DYNR_SInputModelpuntInfo1_BB1_7af2b78c_673734e6">ModelpuntInfo!$H$320</definedName>
    <definedName name="_vena_DYNR_SInputModelpuntInfo1_BB1_7af2b78c_69107471">ModelpuntInfo!$H$268</definedName>
    <definedName name="_vena_DYNR_SInputModelpuntInfo1_BB1_7af2b78c_6965660c">ModelpuntInfo!$H$74</definedName>
    <definedName name="_vena_DYNR_SInputModelpuntInfo1_BB1_7af2b78c_6a72fe3e">ModelpuntInfo!$H$36</definedName>
    <definedName name="_vena_DYNR_SInputModelpuntInfo1_BB1_7af2b78c_6bd2c477">ModelpuntInfo!$H$169</definedName>
    <definedName name="_vena_DYNR_SInputModelpuntInfo1_BB1_7af2b78c_6bf1f88d">ModelpuntInfo!$H$310</definedName>
    <definedName name="_vena_DYNR_SInputModelpuntInfo1_BB1_7af2b78c_6c6f5f8c">ModelpuntInfo!$H$64</definedName>
    <definedName name="_vena_DYNR_SInputModelpuntInfo1_BB1_7af2b78c_6ca35fe9">ModelpuntInfo!$H$146</definedName>
    <definedName name="_vena_DYNR_SInputModelpuntInfo1_BB1_7af2b78c_6d92e96e">ModelpuntInfo!$H$185</definedName>
    <definedName name="_vena_DYNR_SInputModelpuntInfo1_BB1_7af2b78c_6e36f813">ModelpuntInfo!$H$201</definedName>
    <definedName name="_vena_DYNR_SInputModelpuntInfo1_BB1_7af2b78c_6e459a87">ModelpuntInfo!$H$208</definedName>
    <definedName name="_vena_DYNR_SInputModelpuntInfo1_BB1_7af2b78c_6f390871">ModelpuntInfo!$H$49</definedName>
    <definedName name="_vena_DYNR_SInputModelpuntInfo1_BB1_7af2b78c_6fcdfa84">ModelpuntInfo!$H$323</definedName>
    <definedName name="_vena_DYNR_SInputModelpuntInfo1_BB1_7af2b78c_706972e7">ModelpuntInfo!$H$212</definedName>
    <definedName name="_vena_DYNR_SInputModelpuntInfo1_BB1_7af2b78c_7078e9fe">ModelpuntInfo!$H$43</definedName>
    <definedName name="_vena_DYNR_SInputModelpuntInfo1_BB1_7af2b78c_718a6846">ModelpuntInfo!$H$359</definedName>
    <definedName name="_vena_DYNR_SInputModelpuntInfo1_BB1_7af2b78c_719a244d">ModelpuntInfo!$H$218</definedName>
    <definedName name="_vena_DYNR_SInputModelpuntInfo1_BB1_7af2b78c_74e86412">ModelpuntInfo!$H$277</definedName>
    <definedName name="_vena_DYNR_SInputModelpuntInfo1_BB1_7af2b78c_7574af6c">ModelpuntInfo!$H$151</definedName>
    <definedName name="_vena_DYNR_SInputModelpuntInfo1_BB1_7af2b78c_7587d742">ModelpuntInfo!$H$107</definedName>
    <definedName name="_vena_DYNR_SInputModelpuntInfo1_BB1_7af2b78c_76be75e7">ModelpuntInfo!$H$351</definedName>
    <definedName name="_vena_DYNR_SInputModelpuntInfo1_BB1_7af2b78c_776ae59a">ModelpuntInfo!$H$152</definedName>
    <definedName name="_vena_DYNR_SInputModelpuntInfo1_BB1_7af2b78c_7777dd0">ModelpuntInfo!$H$48</definedName>
    <definedName name="_vena_DYNR_SInputModelpuntInfo1_BB1_7af2b78c_78207bca">ModelpuntInfo!$H$142</definedName>
    <definedName name="_vena_DYNR_SInputModelpuntInfo1_BB1_7af2b78c_78e12b64">ModelpuntInfo!$H$329</definedName>
    <definedName name="_vena_DYNR_SInputModelpuntInfo1_BB1_7af2b78c_7985c8d9">ModelpuntInfo!$H$70</definedName>
    <definedName name="_vena_DYNR_SInputModelpuntInfo1_BB1_7af2b78c_79f5f729">ModelpuntInfo!$H$322</definedName>
    <definedName name="_vena_DYNR_SInputModelpuntInfo1_BB1_7af2b78c_7acabcf0">ModelpuntInfo!$H$95</definedName>
    <definedName name="_vena_DYNR_SInputModelpuntInfo1_BB1_7af2b78c_7b8bb425">ModelpuntInfo!$H$115</definedName>
    <definedName name="_vena_DYNR_SInputModelpuntInfo1_BB1_7af2b78c_7bb5d0cf">ModelpuntInfo!$H$345</definedName>
    <definedName name="_vena_DYNR_SInputModelpuntInfo1_BB1_7af2b78c_7ce69b47">ModelpuntInfo!$H$62</definedName>
    <definedName name="_vena_DYNR_SInputModelpuntInfo1_BB1_7af2b78c_7ddcdee9">ModelpuntInfo!$H$44</definedName>
    <definedName name="_vena_DYNR_SInputModelpuntInfo1_BB1_7af2b78c_7eb0329c">ModelpuntInfo!$H$214</definedName>
    <definedName name="_vena_DYNR_SInputModelpuntInfo1_BB1_7af2b78c_7f2ff8f7">ModelpuntInfo!$H$308</definedName>
    <definedName name="_vena_DYNR_SInputModelpuntInfo1_BB1_7af2b78c_7f9440d6">ModelpuntInfo!$H$191</definedName>
    <definedName name="_vena_DYNR_SInputModelpuntInfo1_BB1_7af2b78c_7fe2819c">ModelpuntInfo!$H$256</definedName>
    <definedName name="_vena_DYNR_SInputModelpuntInfo1_BB1_7af2b78c_8165a140">ModelpuntInfo!$H$335</definedName>
    <definedName name="_vena_DYNR_SInputModelpuntInfo1_BB1_7af2b78c_82155a84">ModelpuntInfo!$H$207</definedName>
    <definedName name="_vena_DYNR_SInputModelpuntInfo1_BB1_7af2b78c_83864706">ModelpuntInfo!$H$296</definedName>
    <definedName name="_vena_DYNR_SInputModelpuntInfo1_BB1_7af2b78c_8437574b">ModelpuntInfo!$H$111</definedName>
    <definedName name="_vena_DYNR_SInputModelpuntInfo1_BB1_7af2b78c_84b5aca8">ModelpuntInfo!$H$168</definedName>
    <definedName name="_vena_DYNR_SInputModelpuntInfo1_BB1_7af2b78c_84d4e67d">ModelpuntInfo!$H$124</definedName>
    <definedName name="_vena_DYNR_SInputModelpuntInfo1_BB1_7af2b78c_84e04f33">ModelpuntInfo!$H$360</definedName>
    <definedName name="_vena_DYNR_SInputModelpuntInfo1_BB1_7af2b78c_863bf9b5">ModelpuntInfo!$H$63</definedName>
    <definedName name="_vena_DYNR_SInputModelpuntInfo1_BB1_7af2b78c_8681d1a7">ModelpuntInfo!$H$295</definedName>
    <definedName name="_vena_DYNR_SInputModelpuntInfo1_BB1_7af2b78c_8688aa29">ModelpuntInfo!$H$374</definedName>
    <definedName name="_vena_DYNR_SInputModelpuntInfo1_BB1_7af2b78c_87070f9f">ModelpuntInfo!$H$69</definedName>
    <definedName name="_vena_DYNR_SInputModelpuntInfo1_BB1_7af2b78c_872058de">ModelpuntInfo!$H$372</definedName>
    <definedName name="_vena_DYNR_SInputModelpuntInfo1_BB1_7af2b78c_89503044">ModelpuntInfo!$H$247</definedName>
    <definedName name="_vena_DYNR_SInputModelpuntInfo1_BB1_7af2b78c_8990ea9a">ModelpuntInfo!$H$105</definedName>
    <definedName name="_vena_DYNR_SInputModelpuntInfo1_BB1_7af2b78c_89c2026f">ModelpuntInfo!$H$304</definedName>
    <definedName name="_vena_DYNR_SInputModelpuntInfo1_BB1_7af2b78c_89d8276f">ModelpuntInfo!$H$318</definedName>
    <definedName name="_vena_DYNR_SInputModelpuntInfo1_BB1_7af2b78c_8a0b9a72">ModelpuntInfo!$H$243</definedName>
    <definedName name="_vena_DYNR_SInputModelpuntInfo1_BB1_7af2b78c_8b2b5c54">ModelpuntInfo!$H$141</definedName>
    <definedName name="_vena_DYNR_SInputModelpuntInfo1_BB1_7af2b78c_8b7b818a">ModelpuntInfo!$H$257</definedName>
    <definedName name="_vena_DYNR_SInputModelpuntInfo1_BB1_7af2b78c_8c1a27aa">ModelpuntInfo!$H$213</definedName>
    <definedName name="_vena_DYNR_SInputModelpuntInfo1_BB1_7af2b78c_8d34825d">ModelpuntInfo!$H$270</definedName>
    <definedName name="_vena_DYNR_SInputModelpuntInfo1_BB1_7af2b78c_8de453f5">ModelpuntInfo!$H$125</definedName>
    <definedName name="_vena_DYNR_SInputModelpuntInfo1_BB1_7af2b78c_8e57c3be">ModelpuntInfo!$H$348</definedName>
    <definedName name="_vena_DYNR_SInputModelpuntInfo1_BB1_7af2b78c_8fb6878e">ModelpuntInfo!$H$365</definedName>
    <definedName name="_vena_DYNR_SInputModelpuntInfo1_BB1_7af2b78c_8fe50313">ModelpuntInfo!$H$52</definedName>
    <definedName name="_vena_DYNR_SInputModelpuntInfo1_BB1_7af2b78c_90087e5f">ModelpuntInfo!$H$299</definedName>
    <definedName name="_vena_DYNR_SInputModelpuntInfo1_BB1_7af2b78c_90f3840c">ModelpuntInfo!$H$339</definedName>
    <definedName name="_vena_DYNR_SInputModelpuntInfo1_BB1_7af2b78c_92dac029">ModelpuntInfo!$H$333</definedName>
    <definedName name="_vena_DYNR_SInputModelpuntInfo1_BB1_7af2b78c_92f7e0a1">ModelpuntInfo!$H$144</definedName>
    <definedName name="_vena_DYNR_SInputModelpuntInfo1_BB1_7af2b78c_94263657">ModelpuntInfo!$H$288</definedName>
    <definedName name="_vena_DYNR_SInputModelpuntInfo1_BB1_7af2b78c_94975d12">ModelpuntInfo!$H$287</definedName>
    <definedName name="_vena_DYNR_SInputModelpuntInfo1_BB1_7af2b78c_94d06a50">ModelpuntInfo!$H$239</definedName>
    <definedName name="_vena_DYNR_SInputModelpuntInfo1_BB1_7af2b78c_95eaa4c8">ModelpuntInfo!$H$284</definedName>
    <definedName name="_vena_DYNR_SInputModelpuntInfo1_BB1_7af2b78c_961c3d2e">ModelpuntInfo!$H$118</definedName>
    <definedName name="_vena_DYNR_SInputModelpuntInfo1_BB1_7af2b78c_9887b7c5">ModelpuntInfo!$H$159</definedName>
    <definedName name="_vena_DYNR_SInputModelpuntInfo1_BB1_7af2b78c_98bada2d">ModelpuntInfo!$H$237</definedName>
    <definedName name="_vena_DYNR_SInputModelpuntInfo1_BB1_7af2b78c_992ee22e">ModelpuntInfo!$H$32</definedName>
    <definedName name="_vena_DYNR_SInputModelpuntInfo1_BB1_7af2b78c_9a08e31a">ModelpuntInfo!$H$160</definedName>
    <definedName name="_vena_DYNR_SInputModelpuntInfo1_BB1_7af2b78c_9aaa71d1">ModelpuntInfo!$H$234</definedName>
    <definedName name="_vena_DYNR_SInputModelpuntInfo1_BB1_7af2b78c_9b251217">ModelpuntInfo!$H$117</definedName>
    <definedName name="_vena_DYNR_SInputModelpuntInfo1_BB1_7af2b78c_9e0c4a29">ModelpuntInfo!$H$81</definedName>
    <definedName name="_vena_DYNR_SInputModelpuntInfo1_BB1_7af2b78c_9e118e61">ModelpuntInfo!$H$92</definedName>
    <definedName name="_vena_DYNR_SInputModelpuntInfo1_BB1_7af2b78c_9e43d3fa">ModelpuntInfo!$H$238</definedName>
    <definedName name="_vena_DYNR_SInputModelpuntInfo1_BB1_7af2b78c_9f507f6">ModelpuntInfo!$H$352</definedName>
    <definedName name="_vena_DYNR_SInputModelpuntInfo1_BB1_7af2b78c_9fd4d485">ModelpuntInfo!$H$66</definedName>
    <definedName name="_vena_DYNR_SInputModelpuntInfo1_BB1_7af2b78c_a0a08b14">ModelpuntInfo!$H$174</definedName>
    <definedName name="_vena_DYNR_SInputModelpuntInfo1_BB1_7af2b78c_a2073278">ModelpuntInfo!$H$334</definedName>
    <definedName name="_vena_DYNR_SInputModelpuntInfo1_BB1_7af2b78c_a36dc68d">ModelpuntInfo!$H$77</definedName>
    <definedName name="_vena_DYNR_SInputModelpuntInfo1_BB1_7af2b78c_a4022a1f">ModelpuntInfo!$H$301</definedName>
    <definedName name="_vena_DYNR_SInputModelpuntInfo1_BB1_7af2b78c_a43c6937">ModelpuntInfo!$H$175</definedName>
    <definedName name="_vena_DYNR_SInputModelpuntInfo1_BB1_7af2b78c_a448abc3">ModelpuntInfo!$H$101</definedName>
    <definedName name="_vena_DYNR_SInputModelpuntInfo1_BB1_7af2b78c_a63bfd6e">ModelpuntInfo!$H$197</definedName>
    <definedName name="_vena_DYNR_SInputModelpuntInfo1_BB1_7af2b78c_a768938a">ModelpuntInfo!$H$231</definedName>
    <definedName name="_vena_DYNR_SInputModelpuntInfo1_BB1_7af2b78c_a863fc91">ModelpuntInfo!$H$89</definedName>
    <definedName name="_vena_DYNR_SInputModelpuntInfo1_BB1_7af2b78c_a8e01e72">ModelpuntInfo!$H$127</definedName>
    <definedName name="_vena_DYNR_SInputModelpuntInfo1_BB1_7af2b78c_a9526704">ModelpuntInfo!$H$203</definedName>
    <definedName name="_vena_DYNR_SInputModelpuntInfo1_BB1_7af2b78c_a9aa0943">ModelpuntInfo!$H$37</definedName>
    <definedName name="_vena_DYNR_SInputModelpuntInfo1_BB1_7af2b78c_aaa11f8c">ModelpuntInfo!$H$307</definedName>
    <definedName name="_vena_DYNR_SInputModelpuntInfo1_BB1_7af2b78c_aaf75d8a">ModelpuntInfo!$H$119</definedName>
    <definedName name="_vena_DYNR_SInputModelpuntInfo1_BB1_7af2b78c_ab6b4b4d">ModelpuntInfo!$H$148</definedName>
    <definedName name="_vena_DYNR_SInputModelpuntInfo1_BB1_7af2b78c_ac2196ba">ModelpuntInfo!$H$250</definedName>
    <definedName name="_vena_DYNR_SInputModelpuntInfo1_BB1_7af2b78c_acb1bbf2">ModelpuntInfo!$H$282</definedName>
    <definedName name="_vena_DYNR_SInputModelpuntInfo1_BB1_7af2b78c_aea002b9">ModelpuntInfo!$H$306</definedName>
    <definedName name="_vena_DYNR_SInputModelpuntInfo1_BB1_7af2b78c_aefd14cc">ModelpuntInfo!$H$269</definedName>
    <definedName name="_vena_DYNR_SInputModelpuntInfo1_BB1_7af2b78c_af8f8d7e">ModelpuntInfo!$H$120</definedName>
    <definedName name="_vena_DYNR_SInputModelpuntInfo1_BB1_7af2b78c_afbf6232">ModelpuntInfo!$H$249</definedName>
    <definedName name="_vena_DYNR_SInputModelpuntInfo1_BB1_7af2b78c_b023a6c2">ModelpuntInfo!$H$209</definedName>
    <definedName name="_vena_DYNR_SInputModelpuntInfo1_BB1_7af2b78c_b0569b86">ModelpuntInfo!$H$135</definedName>
    <definedName name="_vena_DYNR_SInputModelpuntInfo1_BB1_7af2b78c_b0a507cf">ModelpuntInfo!$H$153</definedName>
    <definedName name="_vena_DYNR_SInputModelpuntInfo1_BB1_7af2b78c_b1074170">ModelpuntInfo!$H$215</definedName>
    <definedName name="_vena_DYNR_SInputModelpuntInfo1_BB1_7af2b78c_b1ebd66">ModelpuntInfo!$H$200</definedName>
    <definedName name="_vena_DYNR_SInputModelpuntInfo1_BB1_7af2b78c_b25c4dee">ModelpuntInfo!$H$137</definedName>
    <definedName name="_vena_DYNR_SInputModelpuntInfo1_BB1_7af2b78c_b31f22a1">ModelpuntInfo!$H$178</definedName>
    <definedName name="_vena_DYNR_SInputModelpuntInfo1_BB1_7af2b78c_b376fc80">ModelpuntInfo!$H$83</definedName>
    <definedName name="_vena_DYNR_SInputModelpuntInfo1_BB1_7af2b78c_b3891c4b">ModelpuntInfo!$H$61</definedName>
    <definedName name="_vena_DYNR_SInputModelpuntInfo1_BB1_7af2b78c_b42a42d0">ModelpuntInfo!$H$113</definedName>
    <definedName name="_vena_DYNR_SInputModelpuntInfo1_BB1_7af2b78c_b493ae26">ModelpuntInfo!$H$315</definedName>
    <definedName name="_vena_DYNR_SInputModelpuntInfo1_BB1_7af2b78c_b6c9e72a">ModelpuntInfo!$H$367</definedName>
    <definedName name="_vena_DYNR_SInputModelpuntInfo1_BB1_7af2b78c_b84f7f0a">ModelpuntInfo!$H$313</definedName>
    <definedName name="_vena_DYNR_SInputModelpuntInfo1_BB1_7af2b78c_b937344d">ModelpuntInfo!$H$305</definedName>
    <definedName name="_vena_DYNR_SInputModelpuntInfo1_BB1_7af2b78c_bb23214c">ModelpuntInfo!$H$206</definedName>
    <definedName name="_vena_DYNR_SInputModelpuntInfo1_BB1_7af2b78c_bc1bb7f7">ModelpuntInfo!$H$317</definedName>
    <definedName name="_vena_DYNR_SInputModelpuntInfo1_BB1_7af2b78c_be878c9e">ModelpuntInfo!$H$129</definedName>
    <definedName name="_vena_DYNR_SInputModelpuntInfo1_BB1_7af2b78c_bf39eb34">ModelpuntInfo!$H$219</definedName>
    <definedName name="_vena_DYNR_SInputModelpuntInfo1_BB1_7af2b78c_bf518299">ModelpuntInfo!$H$150</definedName>
    <definedName name="_vena_DYNR_SInputModelpuntInfo1_BB1_7af2b78c_bfa45c19">ModelpuntInfo!$H$87</definedName>
    <definedName name="_vena_DYNR_SInputModelpuntInfo1_BB1_7af2b78c_bfdf4eb3">ModelpuntInfo!$H$85</definedName>
    <definedName name="_vena_DYNR_SInputModelpuntInfo1_BB1_7af2b78c_c06d383f">ModelpuntInfo!$H$312</definedName>
    <definedName name="_vena_DYNR_SInputModelpuntInfo1_BB1_7af2b78c_c0d18a33">ModelpuntInfo!$H$180</definedName>
    <definedName name="_vena_DYNR_SInputModelpuntInfo1_BB1_7af2b78c_c0ea6a2d">ModelpuntInfo!$H$220</definedName>
    <definedName name="_vena_DYNR_SInputModelpuntInfo1_BB1_7af2b78c_c2948888">ModelpuntInfo!$H$314</definedName>
    <definedName name="_vena_DYNR_SInputModelpuntInfo1_BB1_7af2b78c_c3e68276">ModelpuntInfo!$H$126</definedName>
    <definedName name="_vena_DYNR_SInputModelpuntInfo1_BB1_7af2b78c_c3f9a6c5">ModelpuntInfo!$H$241</definedName>
    <definedName name="_vena_DYNR_SInputModelpuntInfo1_BB1_7af2b78c_c519d0a3">ModelpuntInfo!$H$156</definedName>
    <definedName name="_vena_DYNR_SInputModelpuntInfo1_BB1_7af2b78c_c6a8cf4d">ModelpuntInfo!$H$68</definedName>
    <definedName name="_vena_DYNR_SInputModelpuntInfo1_BB1_7af2b78c_c6db1ec6">ModelpuntInfo!$H$309</definedName>
    <definedName name="_vena_DYNR_SInputModelpuntInfo1_BB1_7af2b78c_c7071616">ModelpuntInfo!$H$57</definedName>
    <definedName name="_vena_DYNR_SInputModelpuntInfo1_BB1_7af2b78c_c79afc1e">ModelpuntInfo!$H$331</definedName>
    <definedName name="_vena_DYNR_SInputModelpuntInfo1_BB1_7af2b78c_c7f707f4">ModelpuntInfo!$H$172</definedName>
    <definedName name="_vena_DYNR_SInputModelpuntInfo1_BB1_7af2b78c_c8ba9cca">ModelpuntInfo!$H$163</definedName>
    <definedName name="_vena_DYNR_SInputModelpuntInfo1_BB1_7af2b78c_c9879dbb">ModelpuntInfo!$H$88</definedName>
    <definedName name="_vena_DYNR_SInputModelpuntInfo1_BB1_7af2b78c_c9b7af9b">ModelpuntInfo!$H$131</definedName>
    <definedName name="_vena_DYNR_SInputModelpuntInfo1_BB1_7af2b78c_ca0f71ef">ModelpuntInfo!$H$109</definedName>
    <definedName name="_vena_DYNR_SInputModelpuntInfo1_BB1_7af2b78c_ca68ec66">ModelpuntInfo!$H$97</definedName>
    <definedName name="_vena_DYNR_SInputModelpuntInfo1_BB1_7af2b78c_caade14d">ModelpuntInfo!$H$182</definedName>
    <definedName name="_vena_DYNR_SInputModelpuntInfo1_BB1_7af2b78c_cc2d9ac8">ModelpuntInfo!$H$199</definedName>
    <definedName name="_vena_DYNR_SInputModelpuntInfo1_BB1_7af2b78c_cc30c35">ModelpuntInfo!$H$166</definedName>
    <definedName name="_vena_DYNR_SInputModelpuntInfo1_BB1_7af2b78c_cd1435f4">ModelpuntInfo!$H$71</definedName>
    <definedName name="_vena_DYNR_SInputModelpuntInfo1_BB1_7af2b78c_cd290d11">ModelpuntInfo!$H$279</definedName>
    <definedName name="_vena_DYNR_SInputModelpuntInfo1_BB1_7af2b78c_ce3c5813">ModelpuntInfo!$H$173</definedName>
    <definedName name="_vena_DYNR_SInputModelpuntInfo1_BB1_7af2b78c_ce820e87">ModelpuntInfo!$H$157</definedName>
    <definedName name="_vena_DYNR_SInputModelpuntInfo1_BB1_7af2b78c_cf4961f5">ModelpuntInfo!$H$347</definedName>
    <definedName name="_vena_DYNR_SInputModelpuntInfo1_BB1_7af2b78c_cff79abb">ModelpuntInfo!$H$364</definedName>
    <definedName name="_vena_DYNR_SInputModelpuntInfo1_BB1_7af2b78c_d0c4b187">ModelpuntInfo!$H$103</definedName>
    <definedName name="_vena_DYNR_SInputModelpuntInfo1_BB1_7af2b78c_d1ad3cb5">ModelpuntInfo!$H$223</definedName>
    <definedName name="_vena_DYNR_SInputModelpuntInfo1_BB1_7af2b78c_d24b2a7">ModelpuntInfo!$H$181</definedName>
    <definedName name="_vena_DYNR_SInputModelpuntInfo1_BB1_7af2b78c_d4f65764">ModelpuntInfo!$H$371</definedName>
    <definedName name="_vena_DYNR_SInputModelpuntInfo1_BB1_7af2b78c_d707bf36">ModelpuntInfo!$H$28</definedName>
    <definedName name="_vena_DYNR_SInputModelpuntInfo1_BB1_7af2b78c_d7b2926">ModelpuntInfo!$H$27</definedName>
    <definedName name="_vena_DYNR_SInputModelpuntInfo1_BB1_7af2b78c_d84bfb4a">ModelpuntInfo!$H$263</definedName>
    <definedName name="_vena_DYNR_SInputModelpuntInfo1_BB1_7af2b78c_d87f2c2c">ModelpuntInfo!$H$161</definedName>
    <definedName name="_vena_DYNR_SInputModelpuntInfo1_BB1_7af2b78c_d8b5073d">ModelpuntInfo!$H$246</definedName>
    <definedName name="_vena_DYNR_SInputModelpuntInfo1_BB1_7af2b78c_db4b08c4">ModelpuntInfo!$H$338</definedName>
    <definedName name="_vena_DYNR_SInputModelpuntInfo1_BB1_7af2b78c_dbcc043b">ModelpuntInfo!$H$194</definedName>
    <definedName name="_vena_DYNR_SInputModelpuntInfo1_BB1_7af2b78c_dc2c5ae5">ModelpuntInfo!$H$221</definedName>
    <definedName name="_vena_DYNR_SInputModelpuntInfo1_BB1_7af2b78c_dd110e8e">ModelpuntInfo!$H$228</definedName>
    <definedName name="_vena_DYNR_SInputModelpuntInfo1_BB1_7af2b78c_de422e5a">ModelpuntInfo!$H$356</definedName>
    <definedName name="_vena_DYNR_SInputModelpuntInfo1_BB1_7af2b78c_de604b7c">ModelpuntInfo!$H$73</definedName>
    <definedName name="_vena_DYNR_SInputModelpuntInfo1_BB1_7af2b78c_df5f80f5">ModelpuntInfo!$H$147</definedName>
    <definedName name="_vena_DYNR_SInputModelpuntInfo1_BB1_7af2b78c_df9e34a1">ModelpuntInfo!$H$170</definedName>
    <definedName name="_vena_DYNR_SInputModelpuntInfo1_BB1_7af2b78c_df9fc99">ModelpuntInfo!$H$316</definedName>
    <definedName name="_vena_DYNR_SInputModelpuntInfo1_BB1_7af2b78c_e03573ef">ModelpuntInfo!$H$198</definedName>
    <definedName name="_vena_DYNR_SInputModelpuntInfo1_BB1_7af2b78c_e0736506">ModelpuntInfo!$H$155</definedName>
    <definedName name="_vena_DYNR_SInputModelpuntInfo1_BB1_7af2b78c_e0b24ccd">ModelpuntInfo!$H$177</definedName>
    <definedName name="_vena_DYNR_SInputModelpuntInfo1_BB1_7af2b78c_e1336ac4">ModelpuntInfo!$H$226</definedName>
    <definedName name="_vena_DYNR_SInputModelpuntInfo1_BB1_7af2b78c_e13ee5b7">ModelpuntInfo!$H$242</definedName>
    <definedName name="_vena_DYNR_SInputModelpuntInfo1_BB1_7af2b78c_e38974e">ModelpuntInfo!$H$46</definedName>
    <definedName name="_vena_DYNR_SInputModelpuntInfo1_BB1_7af2b78c_e45d18ad">ModelpuntInfo!$H$233</definedName>
    <definedName name="_vena_DYNR_SInputModelpuntInfo1_BB1_7af2b78c_e5981f71">ModelpuntInfo!$H$298</definedName>
    <definedName name="_vena_DYNR_SInputModelpuntInfo1_BB1_7af2b78c_e5a66195">ModelpuntInfo!$H$188</definedName>
    <definedName name="_vena_DYNR_SInputModelpuntInfo1_BB1_7af2b78c_e5de7eb1">ModelpuntInfo!$H$86</definedName>
    <definedName name="_vena_DYNR_SInputModelpuntInfo1_BB1_7af2b78c_e7d3fe00">ModelpuntInfo!$H$240</definedName>
    <definedName name="_vena_DYNR_SInputModelpuntInfo1_BB1_7af2b78c_e8c4c2f6">ModelpuntInfo!$H$130</definedName>
    <definedName name="_vena_DYNR_SInputModelpuntInfo1_BB1_7af2b78c_ec2df56a">ModelpuntInfo!$H$76</definedName>
    <definedName name="_vena_DYNR_SInputModelpuntInfo1_BB1_7af2b78c_ed2cf09">ModelpuntInfo!$H$106</definedName>
    <definedName name="_vena_DYNR_SInputModelpuntInfo1_BB1_7af2b78c_ed7d225f">ModelpuntInfo!$H$176</definedName>
    <definedName name="_vena_DYNR_SInputModelpuntInfo1_BB1_7af2b78c_ef208b30">ModelpuntInfo!$H$264</definedName>
    <definedName name="_vena_DYNR_SInputModelpuntInfo1_BB1_7af2b78c_ef258a61">ModelpuntInfo!$H$90</definedName>
    <definedName name="_vena_DYNR_SInputModelpuntInfo1_BB1_7af2b78c_f07ca9c3">ModelpuntInfo!$H$343</definedName>
    <definedName name="_vena_DYNR_SInputModelpuntInfo1_BB1_7af2b78c_f0e94bdb">ModelpuntInfo!$H$189</definedName>
    <definedName name="_vena_DYNR_SInputModelpuntInfo1_BB1_7af2b78c_f10c3d29">ModelpuntInfo!$H$132</definedName>
    <definedName name="_vena_DYNR_SInputModelpuntInfo1_BB1_7af2b78c_f2484443">ModelpuntInfo!$H$222</definedName>
    <definedName name="_vena_DYNR_SInputModelpuntInfo1_BB1_7af2b78c_f389ebd7">ModelpuntInfo!$H$274</definedName>
    <definedName name="_vena_DYNR_SInputModelpuntInfo1_BB1_7af2b78c_f448d1c0">ModelpuntInfo!$H$357</definedName>
    <definedName name="_vena_DYNR_SInputModelpuntInfo1_BB1_7af2b78c_f59f9aa5">ModelpuntInfo!$H$192</definedName>
    <definedName name="_vena_DYNR_SInputModelpuntInfo1_BB1_7af2b78c_f5da4a7d">ModelpuntInfo!$H$344</definedName>
    <definedName name="_vena_DYNR_SInputModelpuntInfo1_BB1_7af2b78c_f5f558b0">ModelpuntInfo!$H$204</definedName>
    <definedName name="_vena_DYNR_SInputModelpuntInfo1_BB1_7af2b78c_f67ecf2e">ModelpuntInfo!$H$50</definedName>
    <definedName name="_vena_DYNR_SInputModelpuntInfo1_BB1_7af2b78c_f72594fd">ModelpuntInfo!$H$72</definedName>
    <definedName name="_vena_DYNR_SInputModelpuntInfo1_BB1_7af2b78c_f742dde">ModelpuntInfo!$H$355</definedName>
    <definedName name="_vena_DYNR_SInputModelpuntInfo1_BB1_7af2b78c_f74e77d1">ModelpuntInfo!$H$102</definedName>
    <definedName name="_vena_DYNR_SInputModelpuntInfo1_BB1_7af2b78c_f84e01bf">ModelpuntInfo!$H$183</definedName>
    <definedName name="_vena_DYNR_SInputModelpuntInfo1_BB1_7af2b78c_f9214420">ModelpuntInfo!$H$224</definedName>
    <definedName name="_vena_DYNR_SInputModelpuntInfo1_BB1_7af2b78c_f9cf3832">ModelpuntInfo!$H$251</definedName>
    <definedName name="_vena_DYNR_SInputModelpuntInfo1_BB1_7af2b78c_faa2bb07">ModelpuntInfo!$H$321</definedName>
    <definedName name="_vena_DYNR_SInputModelpuntInfo1_BB1_7af2b78c_fad1dbed">ModelpuntInfo!$H$205</definedName>
    <definedName name="_vena_DYNR_SInputModelpuntInfo1_BB1_7af2b78c_fb730b98">ModelpuntInfo!$H$253</definedName>
    <definedName name="_vena_DYNR_SInputModelpuntInfo1_BB1_7af2b78c_fc669361">ModelpuntInfo!$H$267</definedName>
    <definedName name="_vena_DYNR_SInputModelpuntInfo1_BB1_7af2b78c_fe0e41">ModelpuntInfo!$H$336</definedName>
    <definedName name="_vena_DYNR_SInputModelpuntInfo1_BB1_7af2b78c_fed3f6af">ModelpuntInfo!$H$29</definedName>
    <definedName name="_vena_InputModelpuntInfo1_B1_C_6_720393359609823232">ModelpuntInfo!$K$23</definedName>
    <definedName name="_vena_InputModelpuntInfo1_B1_C_6_720393359609823234">ModelpuntInfo!$L$23</definedName>
    <definedName name="_vena_InputModelpuntInfo1_B1_C_6_720393359614017537">ModelpuntInfo!$M$23</definedName>
    <definedName name="_vena_InputModelpuntInfo1_B1_C_6_720393359614017539">ModelpuntInfo!$O$23</definedName>
    <definedName name="_vena_InputModelpuntInfo1_B1_C_6_720665202280235008_1">ModelpuntInfo!$T$23</definedName>
    <definedName name="_vena_InputModelpuntInfo1_B1_C_6_720665299868581888">ModelpuntInfo!$Q$23</definedName>
    <definedName name="_vena_InputModelpuntInfo1_B1_C_6_720665407972573184">ModelpuntInfo!$R$23</definedName>
    <definedName name="_vena_InputModelpuntInfo1_B1_C_6_720691950702952448">ModelpuntInfo!$I$23</definedName>
    <definedName name="_vena_InputModelpuntInfo1_B1_C_6_720731102261411840">ModelpuntInfo!$J$23</definedName>
    <definedName name="_vena_InputModelpuntInfo1_B1_C_6_735971751968899072">ModelpuntInfo!$AA$23</definedName>
    <definedName name="_vena_InputModelpuntInfo1_B1_C_6_736286423456546816">ModelpuntInfo!$AB$23</definedName>
    <definedName name="_vena_InputModelpuntInfo1_B1_C_6_737484536015486980">ModelpuntInfo!$V$23</definedName>
    <definedName name="_vena_InputModelpuntInfo1_B1_C_6_737485107493208064">ModelpuntInfo!$W$23</definedName>
    <definedName name="_vena_InputModelpuntInfo1_B1_C_6_737485363800178688">ModelpuntInfo!$X$23</definedName>
    <definedName name="_vena_InputModelpuntInfo1_B1_C_6_737485530494664704">ModelpuntInfo!$Y$23</definedName>
    <definedName name="_vena_InputModelpuntInfo1_B1_C_6_737485666981380096">ModelpuntInfo!$Z$23</definedName>
    <definedName name="_vena_InputModelpuntInfo1_B1_C_6_738099557837045839">ModelpuntInfo!$N$23</definedName>
    <definedName name="_vena_InputModelpuntInfo1_B1_C_6_738100703410520079">ModelpuntInfo!$P$23</definedName>
    <definedName name="_vena_InputModelpuntInfo1_B1_C_6_787067506727583744">ModelpuntInfo!$U$23</definedName>
    <definedName name="_vena_InputModelpuntInfo1_B1_C_6_787067506777915394">ModelpuntInfo!$S$23</definedName>
    <definedName name="_vena_InputModelpuntInfo1_B1_R_3_1015700822930489354">ModelpuntInfo!$H$197</definedName>
    <definedName name="_vena_InputModelpuntInfo1_B1_R_3_1015700822968238094">ModelpuntInfo!$H$25</definedName>
    <definedName name="_vena_InputModelpuntInfo1_B1_R_3_1051217086871765008">ModelpuntInfo!$H$139</definedName>
    <definedName name="_vena_InputModelpuntInfo1_B1_R_3_718947653497389058">ModelpuntInfo!$H$58</definedName>
    <definedName name="_vena_InputModelpuntInfo1_B1_R_3_718947653505777666">ModelpuntInfo!$H$354</definedName>
    <definedName name="_vena_InputModelpuntInfo1_B1_R_3_718947653509971971">ModelpuntInfo!$H$356</definedName>
    <definedName name="_vena_InputModelpuntInfo1_B1_R_3_718949073356980224">ModelpuntInfo!$H$27</definedName>
    <definedName name="_vena_InputModelpuntInfo1_B1_R_3_718949073365368832">ModelpuntInfo!$H$28</definedName>
    <definedName name="_vena_InputModelpuntInfo1_B1_R_3_718949073369563137">ModelpuntInfo!$H$29</definedName>
    <definedName name="_vena_InputModelpuntInfo1_B1_R_3_718949073373757441">ModelpuntInfo!$H$30</definedName>
    <definedName name="_vena_InputModelpuntInfo1_B1_R_3_718949073373757443">ModelpuntInfo!$H$31</definedName>
    <definedName name="_vena_InputModelpuntInfo1_B1_R_3_718949073377951745">ModelpuntInfo!$H$32</definedName>
    <definedName name="_vena_InputModelpuntInfo1_B1_R_3_718949073382146049">ModelpuntInfo!$H$33</definedName>
    <definedName name="_vena_InputModelpuntInfo1_B1_R_3_718949073382146051">ModelpuntInfo!$H$34</definedName>
    <definedName name="_vena_InputModelpuntInfo1_B1_R_3_718949073386340353">ModelpuntInfo!$H$35</definedName>
    <definedName name="_vena_InputModelpuntInfo1_B1_R_3_718949073390534657">ModelpuntInfo!$H$36</definedName>
    <definedName name="_vena_InputModelpuntInfo1_B1_R_3_718949073394728961">ModelpuntInfo!$H$37</definedName>
    <definedName name="_vena_InputModelpuntInfo1_B1_R_3_718949073394728963">ModelpuntInfo!$H$38</definedName>
    <definedName name="_vena_InputModelpuntInfo1_B1_R_3_718949073398923265">ModelpuntInfo!$H$39</definedName>
    <definedName name="_vena_InputModelpuntInfo1_B1_R_3_718949073403117569">ModelpuntInfo!$H$40</definedName>
    <definedName name="_vena_InputModelpuntInfo1_B1_R_3_718949073407311872">ModelpuntInfo!$H$41</definedName>
    <definedName name="_vena_InputModelpuntInfo1_B1_R_3_718949073411506177">ModelpuntInfo!$H$44</definedName>
    <definedName name="_vena_InputModelpuntInfo1_B1_R_3_718949073415700481">ModelpuntInfo!$H$45</definedName>
    <definedName name="_vena_InputModelpuntInfo1_B1_R_3_718949073415700483">ModelpuntInfo!$H$46</definedName>
    <definedName name="_vena_InputModelpuntInfo1_B1_R_3_718949073419894785">ModelpuntInfo!$H$47</definedName>
    <definedName name="_vena_InputModelpuntInfo1_B1_R_3_718949073424089089">ModelpuntInfo!$H$48</definedName>
    <definedName name="_vena_InputModelpuntInfo1_B1_R_3_718949073424089091">ModelpuntInfo!$H$49</definedName>
    <definedName name="_vena_InputModelpuntInfo1_B1_R_3_718949073428283393">ModelpuntInfo!$H$50</definedName>
    <definedName name="_vena_InputModelpuntInfo1_B1_R_3_718949073432477697">ModelpuntInfo!$H$51</definedName>
    <definedName name="_vena_InputModelpuntInfo1_B1_R_3_718949073432477699">ModelpuntInfo!$H$52</definedName>
    <definedName name="_vena_InputModelpuntInfo1_B1_R_3_718949073436672001">ModelpuntInfo!$H$53</definedName>
    <definedName name="_vena_InputModelpuntInfo1_B1_R_3_718949073440866305">ModelpuntInfo!$H$54</definedName>
    <definedName name="_vena_InputModelpuntInfo1_B1_R_3_718949073440866307">ModelpuntInfo!$H$55</definedName>
    <definedName name="_vena_InputModelpuntInfo1_B1_R_3_718949073445060609">ModelpuntInfo!$H$56</definedName>
    <definedName name="_vena_InputModelpuntInfo1_B1_R_3_718949073449254913">ModelpuntInfo!$H$57</definedName>
    <definedName name="_vena_InputModelpuntInfo1_B1_R_3_718949073453449218">ModelpuntInfo!$H$60</definedName>
    <definedName name="_vena_InputModelpuntInfo1_B1_R_3_718949073457643521">ModelpuntInfo!$H$61</definedName>
    <definedName name="_vena_InputModelpuntInfo1_B1_R_3_718949073457643523">ModelpuntInfo!$H$62</definedName>
    <definedName name="_vena_InputModelpuntInfo1_B1_R_3_718949073461837825">ModelpuntInfo!$H$63</definedName>
    <definedName name="_vena_InputModelpuntInfo1_B1_R_3_718949073466032129">ModelpuntInfo!$H$64</definedName>
    <definedName name="_vena_InputModelpuntInfo1_B1_R_3_718949073466032131">ModelpuntInfo!$H$65</definedName>
    <definedName name="_vena_InputModelpuntInfo1_B1_R_3_718949073470226433">ModelpuntInfo!$H$66</definedName>
    <definedName name="_vena_InputModelpuntInfo1_B1_R_3_718949073474420737">ModelpuntInfo!$H$67</definedName>
    <definedName name="_vena_InputModelpuntInfo1_B1_R_3_718949073478615041">ModelpuntInfo!$H$68</definedName>
    <definedName name="_vena_InputModelpuntInfo1_B1_R_3_718949073478615043">ModelpuntInfo!$H$69</definedName>
    <definedName name="_vena_InputModelpuntInfo1_B1_R_3_718949073482809345">ModelpuntInfo!$H$70</definedName>
    <definedName name="_vena_InputModelpuntInfo1_B1_R_3_718949073487003649">ModelpuntInfo!$H$71</definedName>
    <definedName name="_vena_InputModelpuntInfo1_B1_R_3_718949073487003651">ModelpuntInfo!$H$72</definedName>
    <definedName name="_vena_InputModelpuntInfo1_B1_R_3_718949073491197953">ModelpuntInfo!$H$73</definedName>
    <definedName name="_vena_InputModelpuntInfo1_B1_R_3_718949073499586560">ModelpuntInfo!$H$74</definedName>
    <definedName name="_vena_InputModelpuntInfo1_B1_R_3_718949073499586562">ModelpuntInfo!$H$75</definedName>
    <definedName name="_vena_InputModelpuntInfo1_B1_R_3_718949073503780865">ModelpuntInfo!$H$76</definedName>
    <definedName name="_vena_InputModelpuntInfo1_B1_R_3_718949073507975169">ModelpuntInfo!$H$77</definedName>
    <definedName name="_vena_InputModelpuntInfo1_B1_R_3_718949073507975171">ModelpuntInfo!$H$78</definedName>
    <definedName name="_vena_InputModelpuntInfo1_B1_R_3_718949073512169473">ModelpuntInfo!$H$79</definedName>
    <definedName name="_vena_InputModelpuntInfo1_B1_R_3_718949073516363777">ModelpuntInfo!$H$82</definedName>
    <definedName name="_vena_InputModelpuntInfo1_B1_R_3_718949073520558081">ModelpuntInfo!$H$83</definedName>
    <definedName name="_vena_InputModelpuntInfo1_B1_R_3_718949073520558083">ModelpuntInfo!$H$84</definedName>
    <definedName name="_vena_InputModelpuntInfo1_B1_R_3_718949073524752385">ModelpuntInfo!$H$85</definedName>
    <definedName name="_vena_InputModelpuntInfo1_B1_R_3_718949073528946689">ModelpuntInfo!$H$86</definedName>
    <definedName name="_vena_InputModelpuntInfo1_B1_R_3_718949073528946691">ModelpuntInfo!$H$87</definedName>
    <definedName name="_vena_InputModelpuntInfo1_B1_R_3_718949073533140993">ModelpuntInfo!$H$88</definedName>
    <definedName name="_vena_InputModelpuntInfo1_B1_R_3_718949073537335297">ModelpuntInfo!$H$89</definedName>
    <definedName name="_vena_InputModelpuntInfo1_B1_R_3_718949073537335299">ModelpuntInfo!$H$90</definedName>
    <definedName name="_vena_InputModelpuntInfo1_B1_R_3_718949073541529601">ModelpuntInfo!$H$91</definedName>
    <definedName name="_vena_InputModelpuntInfo1_B1_R_3_718949073545723905">ModelpuntInfo!$H$92</definedName>
    <definedName name="_vena_InputModelpuntInfo1_B1_R_3_718949073549918209">ModelpuntInfo!$H$93</definedName>
    <definedName name="_vena_InputModelpuntInfo1_B1_R_3_718949073558306816">ModelpuntInfo!$H$94</definedName>
    <definedName name="_vena_InputModelpuntInfo1_B1_R_3_718949073558306818">ModelpuntInfo!$H$95</definedName>
    <definedName name="_vena_InputModelpuntInfo1_B1_R_3_718949073566695424">ModelpuntInfo!$H$96</definedName>
    <definedName name="_vena_InputModelpuntInfo1_B1_R_3_718949073566695426">ModelpuntInfo!$H$97</definedName>
    <definedName name="_vena_InputModelpuntInfo1_B1_R_3_718949073575084032">ModelpuntInfo!$H$98</definedName>
    <definedName name="_vena_InputModelpuntInfo1_B1_R_3_718949073575084034">ModelpuntInfo!$H$99</definedName>
    <definedName name="_vena_InputModelpuntInfo1_B1_R_3_718949073579278337">ModelpuntInfo!$H$100</definedName>
    <definedName name="_vena_InputModelpuntInfo1_B1_R_3_718949073583472641">ModelpuntInfo!$H$101</definedName>
    <definedName name="_vena_InputModelpuntInfo1_B1_R_3_718949073583472643">ModelpuntInfo!$H$102</definedName>
    <definedName name="_vena_InputModelpuntInfo1_B1_R_3_718949073591861248">ModelpuntInfo!$H$103</definedName>
    <definedName name="_vena_InputModelpuntInfo1_B1_R_3_718949073596055552">ModelpuntInfo!$H$132</definedName>
    <definedName name="_vena_InputModelpuntInfo1_B1_R_3_718949073600249857">ModelpuntInfo!$H$133</definedName>
    <definedName name="_vena_InputModelpuntInfo1_B1_R_3_718949073608638464">ModelpuntInfo!$H$134</definedName>
    <definedName name="_vena_InputModelpuntInfo1_B1_R_3_718949073608638466">ModelpuntInfo!$H$135</definedName>
    <definedName name="_vena_InputModelpuntInfo1_B1_R_3_718949073612832769">ModelpuntInfo!$H$136</definedName>
    <definedName name="_vena_InputModelpuntInfo1_B1_R_3_718949073617027073">ModelpuntInfo!$H$137</definedName>
    <definedName name="_vena_InputModelpuntInfo1_B1_R_3_718949073621221376">ModelpuntInfo!$H$138</definedName>
    <definedName name="_vena_InputModelpuntInfo1_B1_R_3_718949073625415681">ModelpuntInfo!$H$140</definedName>
    <definedName name="_vena_InputModelpuntInfo1_B1_R_3_718949073629609985">ModelpuntInfo!$H$141</definedName>
    <definedName name="_vena_InputModelpuntInfo1_B1_R_3_718949073633804289">ModelpuntInfo!$H$142</definedName>
    <definedName name="_vena_InputModelpuntInfo1_B1_R_3_718949073637998593">ModelpuntInfo!$H$143</definedName>
    <definedName name="_vena_InputModelpuntInfo1_B1_R_3_718949073637998595">ModelpuntInfo!$H$144</definedName>
    <definedName name="_vena_InputModelpuntInfo1_B1_R_3_718949073642192897">ModelpuntInfo!$H$145</definedName>
    <definedName name="_vena_InputModelpuntInfo1_B1_R_3_718949073646387201">ModelpuntInfo!$H$146</definedName>
    <definedName name="_vena_InputModelpuntInfo1_B1_R_3_718949073650581505">ModelpuntInfo!$H$147</definedName>
    <definedName name="_vena_InputModelpuntInfo1_B1_R_3_718949073654775809">ModelpuntInfo!$H$148</definedName>
    <definedName name="_vena_InputModelpuntInfo1_B1_R_3_718949073654775811">ModelpuntInfo!$H$149</definedName>
    <definedName name="_vena_InputModelpuntInfo1_B1_R_3_718949073658970113">ModelpuntInfo!$H$150</definedName>
    <definedName name="_vena_InputModelpuntInfo1_B1_R_3_718949073663164417">ModelpuntInfo!$H$151</definedName>
    <definedName name="_vena_InputModelpuntInfo1_B1_R_3_718949073667358721">ModelpuntInfo!$H$152</definedName>
    <definedName name="_vena_InputModelpuntInfo1_B1_R_3_718949073667358723">ModelpuntInfo!$H$153</definedName>
    <definedName name="_vena_InputModelpuntInfo1_B1_R_3_718949073671553025">ModelpuntInfo!$H$154</definedName>
    <definedName name="_vena_InputModelpuntInfo1_B1_R_3_718949073675747329">ModelpuntInfo!$H$155</definedName>
    <definedName name="_vena_InputModelpuntInfo1_B1_R_3_718949073679941633">ModelpuntInfo!$H$156</definedName>
    <definedName name="_vena_InputModelpuntInfo1_B1_R_3_718949073684135937">ModelpuntInfo!$H$157</definedName>
    <definedName name="_vena_InputModelpuntInfo1_B1_R_3_718949073684135939">ModelpuntInfo!$H$158</definedName>
    <definedName name="_vena_InputModelpuntInfo1_B1_R_3_718949073688330241">ModelpuntInfo!$H$159</definedName>
    <definedName name="_vena_InputModelpuntInfo1_B1_R_3_718949073692524545">ModelpuntInfo!$H$160</definedName>
    <definedName name="_vena_InputModelpuntInfo1_B1_R_3_718949073696718849">ModelpuntInfo!$H$161</definedName>
    <definedName name="_vena_InputModelpuntInfo1_B1_R_3_718949073696718851">ModelpuntInfo!$H$162</definedName>
    <definedName name="_vena_InputModelpuntInfo1_B1_R_3_718949073700913153">ModelpuntInfo!$H$163</definedName>
    <definedName name="_vena_InputModelpuntInfo1_B1_R_3_718949073705107457">ModelpuntInfo!$H$164</definedName>
    <definedName name="_vena_InputModelpuntInfo1_B1_R_3_718949073705107459">ModelpuntInfo!$H$165</definedName>
    <definedName name="_vena_InputModelpuntInfo1_B1_R_3_718949073709301761">ModelpuntInfo!$H$166</definedName>
    <definedName name="_vena_InputModelpuntInfo1_B1_R_3_718949073713496065">ModelpuntInfo!$H$167</definedName>
    <definedName name="_vena_InputModelpuntInfo1_B1_R_3_718949073713496067">ModelpuntInfo!$H$168</definedName>
    <definedName name="_vena_InputModelpuntInfo1_B1_R_3_718949073717690369">ModelpuntInfo!$H$169</definedName>
    <definedName name="_vena_InputModelpuntInfo1_B1_R_3_718949073721884673">ModelpuntInfo!$H$170</definedName>
    <definedName name="_vena_InputModelpuntInfo1_B1_R_3_718949073726078977">ModelpuntInfo!$H$171</definedName>
    <definedName name="_vena_InputModelpuntInfo1_B1_R_3_718949073726078979">ModelpuntInfo!$H$172</definedName>
    <definedName name="_vena_InputModelpuntInfo1_B1_R_3_718949073730273281">ModelpuntInfo!$H$173</definedName>
    <definedName name="_vena_InputModelpuntInfo1_B1_R_3_718949073734467585">ModelpuntInfo!$H$174</definedName>
    <definedName name="_vena_InputModelpuntInfo1_B1_R_3_718949073734467587">ModelpuntInfo!$H$175</definedName>
    <definedName name="_vena_InputModelpuntInfo1_B1_R_3_718949073738661889">ModelpuntInfo!$H$176</definedName>
    <definedName name="_vena_InputModelpuntInfo1_B1_R_3_718949073742856193">ModelpuntInfo!$H$177</definedName>
    <definedName name="_vena_InputModelpuntInfo1_B1_R_3_718949073747050497">ModelpuntInfo!$H$178</definedName>
    <definedName name="_vena_InputModelpuntInfo1_B1_R_3_718949073751244801">ModelpuntInfo!$H$179</definedName>
    <definedName name="_vena_InputModelpuntInfo1_B1_R_3_718949073759633408">ModelpuntInfo!$H$180</definedName>
    <definedName name="_vena_InputModelpuntInfo1_B1_R_3_718949073763827713">ModelpuntInfo!$H$181</definedName>
    <definedName name="_vena_InputModelpuntInfo1_B1_R_3_718949073768022016">ModelpuntInfo!$H$182</definedName>
    <definedName name="_vena_InputModelpuntInfo1_B1_R_3_718949073772216321">ModelpuntInfo!$H$183</definedName>
    <definedName name="_vena_InputModelpuntInfo1_B1_R_3_718949073776410624">ModelpuntInfo!$H$184</definedName>
    <definedName name="_vena_InputModelpuntInfo1_B1_R_3_718949073780604928">ModelpuntInfo!$H$185</definedName>
    <definedName name="_vena_InputModelpuntInfo1_B1_R_3_718949073784799233">ModelpuntInfo!$H$186</definedName>
    <definedName name="_vena_InputModelpuntInfo1_B1_R_3_718949073788993536">ModelpuntInfo!$H$187</definedName>
    <definedName name="_vena_InputModelpuntInfo1_B1_R_3_718949073788993538">ModelpuntInfo!$H$188</definedName>
    <definedName name="_vena_InputModelpuntInfo1_B1_R_3_718949073793187841">ModelpuntInfo!$H$189</definedName>
    <definedName name="_vena_InputModelpuntInfo1_B1_R_3_718949073797382145">ModelpuntInfo!$H$190</definedName>
    <definedName name="_vena_InputModelpuntInfo1_B1_R_3_718949073801576449">ModelpuntInfo!$H$191</definedName>
    <definedName name="_vena_InputModelpuntInfo1_B1_R_3_718949073805770753">ModelpuntInfo!$H$200</definedName>
    <definedName name="_vena_InputModelpuntInfo1_B1_R_3_718949073809965057">ModelpuntInfo!$H$201</definedName>
    <definedName name="_vena_InputModelpuntInfo1_B1_R_3_718949073809965059">ModelpuntInfo!$H$203</definedName>
    <definedName name="_vena_InputModelpuntInfo1_B1_R_3_718949073818353664">ModelpuntInfo!$H$204</definedName>
    <definedName name="_vena_InputModelpuntInfo1_B1_R_3_718949073822547969">ModelpuntInfo!$H$205</definedName>
    <definedName name="_vena_InputModelpuntInfo1_B1_R_3_718949073826742273">ModelpuntInfo!$H$206</definedName>
    <definedName name="_vena_InputModelpuntInfo1_B1_R_3_718949073830936577">ModelpuntInfo!$H$207</definedName>
    <definedName name="_vena_InputModelpuntInfo1_B1_R_3_718949073835130881">ModelpuntInfo!$H$208</definedName>
    <definedName name="_vena_InputModelpuntInfo1_B1_R_3_718949073839325185">ModelpuntInfo!$H$209</definedName>
    <definedName name="_vena_InputModelpuntInfo1_B1_R_3_718949073839325187">ModelpuntInfo!$H$210</definedName>
    <definedName name="_vena_InputModelpuntInfo1_B1_R_3_718949073843519489">ModelpuntInfo!$H$211</definedName>
    <definedName name="_vena_InputModelpuntInfo1_B1_R_3_718949073847713793">ModelpuntInfo!$H$212</definedName>
    <definedName name="_vena_InputModelpuntInfo1_B1_R_3_718949073851908096">ModelpuntInfo!$H$213</definedName>
    <definedName name="_vena_InputModelpuntInfo1_B1_R_3_718949073856102401">ModelpuntInfo!$H$214</definedName>
    <definedName name="_vena_InputModelpuntInfo1_B1_R_3_718949073860296705">ModelpuntInfo!$H$215</definedName>
    <definedName name="_vena_InputModelpuntInfo1_B1_R_3_718949073860296707">ModelpuntInfo!$H$216</definedName>
    <definedName name="_vena_InputModelpuntInfo1_B1_R_3_718949073864491009">ModelpuntInfo!$H$217</definedName>
    <definedName name="_vena_InputModelpuntInfo1_B1_R_3_718949073868685313">ModelpuntInfo!$H$218</definedName>
    <definedName name="_vena_InputModelpuntInfo1_B1_R_3_718949073868685315">ModelpuntInfo!$H$219</definedName>
    <definedName name="_vena_InputModelpuntInfo1_B1_R_3_718949073872879617">ModelpuntInfo!$H$220</definedName>
    <definedName name="_vena_InputModelpuntInfo1_B1_R_3_718949073877073921">ModelpuntInfo!$H$221</definedName>
    <definedName name="_vena_InputModelpuntInfo1_B1_R_3_718949073881268225">ModelpuntInfo!$H$222</definedName>
    <definedName name="_vena_InputModelpuntInfo1_B1_R_3_718949073881268227">ModelpuntInfo!$H$223</definedName>
    <definedName name="_vena_InputModelpuntInfo1_B1_R_3_718949073885462529">ModelpuntInfo!$H$224</definedName>
    <definedName name="_vena_InputModelpuntInfo1_B1_R_3_718949073889656833">ModelpuntInfo!$H$225</definedName>
    <definedName name="_vena_InputModelpuntInfo1_B1_R_3_718949073893851137">ModelpuntInfo!$H$226</definedName>
    <definedName name="_vena_InputModelpuntInfo1_B1_R_3_718949073893851139">ModelpuntInfo!$H$227</definedName>
    <definedName name="_vena_InputModelpuntInfo1_B1_R_3_718949073898045441">ModelpuntInfo!$H$228</definedName>
    <definedName name="_vena_InputModelpuntInfo1_B1_R_3_718949073902239745">ModelpuntInfo!$H$229</definedName>
    <definedName name="_vena_InputModelpuntInfo1_B1_R_3_718949073902239747">ModelpuntInfo!$H$230</definedName>
    <definedName name="_vena_InputModelpuntInfo1_B1_R_3_718949073906434049">ModelpuntInfo!$H$231</definedName>
    <definedName name="_vena_InputModelpuntInfo1_B1_R_3_718949073910628353">ModelpuntInfo!$H$232</definedName>
    <definedName name="_vena_InputModelpuntInfo1_B1_R_3_718949073914822657">ModelpuntInfo!$H$233</definedName>
    <definedName name="_vena_InputModelpuntInfo1_B1_R_3_718949073914822659">ModelpuntInfo!$H$234</definedName>
    <definedName name="_vena_InputModelpuntInfo1_B1_R_3_718949073919016961">ModelpuntInfo!$H$235</definedName>
    <definedName name="_vena_InputModelpuntInfo1_B1_R_3_718949073923211265">ModelpuntInfo!$H$236</definedName>
    <definedName name="_vena_InputModelpuntInfo1_B1_R_3_718949073923211267">ModelpuntInfo!$H$237</definedName>
    <definedName name="_vena_InputModelpuntInfo1_B1_R_3_718949073927405569">ModelpuntInfo!$H$238</definedName>
    <definedName name="_vena_InputModelpuntInfo1_B1_R_3_718949073931599873">ModelpuntInfo!$H$239</definedName>
    <definedName name="_vena_InputModelpuntInfo1_B1_R_3_718949073935794176">ModelpuntInfo!$H$240</definedName>
    <definedName name="_vena_InputModelpuntInfo1_B1_R_3_718949073935794178">ModelpuntInfo!$H$241</definedName>
    <definedName name="_vena_InputModelpuntInfo1_B1_R_3_718949073939988481">ModelpuntInfo!$H$249</definedName>
    <definedName name="_vena_InputModelpuntInfo1_B1_R_3_718949073944182785">ModelpuntInfo!$H$250</definedName>
    <definedName name="_vena_InputModelpuntInfo1_B1_R_3_718949073944182787">ModelpuntInfo!$H$251</definedName>
    <definedName name="_vena_InputModelpuntInfo1_B1_R_3_718949073948377089">ModelpuntInfo!$H$252</definedName>
    <definedName name="_vena_InputModelpuntInfo1_B1_R_3_718949073952571393">ModelpuntInfo!$H$253</definedName>
    <definedName name="_vena_InputModelpuntInfo1_B1_R_3_718949073952571395">ModelpuntInfo!$H$254</definedName>
    <definedName name="_vena_InputModelpuntInfo1_B1_R_3_718949073956765697">ModelpuntInfo!$H$255</definedName>
    <definedName name="_vena_InputModelpuntInfo1_B1_R_3_718949073960960001">ModelpuntInfo!$H$256</definedName>
    <definedName name="_vena_InputModelpuntInfo1_B1_R_3_718949073965154304">ModelpuntInfo!$H$257</definedName>
    <definedName name="_vena_InputModelpuntInfo1_B1_R_3_718949073965154306">ModelpuntInfo!$H$258</definedName>
    <definedName name="_vena_InputModelpuntInfo1_B1_R_3_718949073969348609">ModelpuntInfo!$H$259</definedName>
    <definedName name="_vena_InputModelpuntInfo1_B1_R_3_718949073973542913">ModelpuntInfo!$H$260</definedName>
    <definedName name="_vena_InputModelpuntInfo1_B1_R_3_718949073973542915">ModelpuntInfo!$H$261</definedName>
    <definedName name="_vena_InputModelpuntInfo1_B1_R_3_718949073977737217">ModelpuntInfo!$H$266</definedName>
    <definedName name="_vena_InputModelpuntInfo1_B1_R_3_718949073981931521">ModelpuntInfo!$H$267</definedName>
    <definedName name="_vena_InputModelpuntInfo1_B1_R_3_718949073986125824">ModelpuntInfo!$H$268</definedName>
    <definedName name="_vena_InputModelpuntInfo1_B1_R_3_718949073990320129">ModelpuntInfo!$H$269</definedName>
    <definedName name="_vena_InputModelpuntInfo1_B1_R_3_718949073994514432">ModelpuntInfo!$H$270</definedName>
    <definedName name="_vena_InputModelpuntInfo1_B1_R_3_718949073998708737">ModelpuntInfo!$H$271</definedName>
    <definedName name="_vena_InputModelpuntInfo1_B1_R_3_718949073998708739">ModelpuntInfo!$H$272</definedName>
    <definedName name="_vena_InputModelpuntInfo1_B1_R_3_718949074002903041">ModelpuntInfo!$H$273</definedName>
    <definedName name="_vena_InputModelpuntInfo1_B1_R_3_718949074007097345">ModelpuntInfo!$H$274</definedName>
    <definedName name="_vena_InputModelpuntInfo1_B1_R_3_718949074011291649">ModelpuntInfo!$H$275</definedName>
    <definedName name="_vena_InputModelpuntInfo1_B1_R_3_718949074011291651">ModelpuntInfo!$H$276</definedName>
    <definedName name="_vena_InputModelpuntInfo1_B1_R_3_718949074015485953">ModelpuntInfo!$H$277</definedName>
    <definedName name="_vena_InputModelpuntInfo1_B1_R_3_718949074019680257">ModelpuntInfo!$H$278</definedName>
    <definedName name="_vena_InputModelpuntInfo1_B1_R_3_718949074019680259">ModelpuntInfo!$H$279</definedName>
    <definedName name="_vena_InputModelpuntInfo1_B1_R_3_718949074023874561">ModelpuntInfo!$H$280</definedName>
    <definedName name="_vena_InputModelpuntInfo1_B1_R_3_718949074028068865">ModelpuntInfo!$H$281</definedName>
    <definedName name="_vena_InputModelpuntInfo1_B1_R_3_718949074028068867">ModelpuntInfo!$H$282</definedName>
    <definedName name="_vena_InputModelpuntInfo1_B1_R_3_718949074032263169">ModelpuntInfo!$H$284</definedName>
    <definedName name="_vena_InputModelpuntInfo1_B1_R_3_718949074036457473">ModelpuntInfo!$H$285</definedName>
    <definedName name="_vena_InputModelpuntInfo1_B1_R_3_718949074036457475">ModelpuntInfo!$H$286</definedName>
    <definedName name="_vena_InputModelpuntInfo1_B1_R_3_718949074040651777">ModelpuntInfo!$H$287</definedName>
    <definedName name="_vena_InputModelpuntInfo1_B1_R_3_718949074044846081">ModelpuntInfo!$H$288</definedName>
    <definedName name="_vena_InputModelpuntInfo1_B1_R_3_718949074049040385">ModelpuntInfo!$H$289</definedName>
    <definedName name="_vena_InputModelpuntInfo1_B1_R_3_718949074049040387">ModelpuntInfo!$H$290</definedName>
    <definedName name="_vena_InputModelpuntInfo1_B1_R_3_718949074053234689">ModelpuntInfo!$H$291</definedName>
    <definedName name="_vena_InputModelpuntInfo1_B1_R_3_718949074057428993">ModelpuntInfo!$H$292</definedName>
    <definedName name="_vena_InputModelpuntInfo1_B1_R_3_718949074057428995">ModelpuntInfo!$H$293</definedName>
    <definedName name="_vena_InputModelpuntInfo1_B1_R_3_718949074061623297">ModelpuntInfo!$H$294</definedName>
    <definedName name="_vena_InputModelpuntInfo1_B1_R_3_718949074065817601">ModelpuntInfo!$H$295</definedName>
    <definedName name="_vena_InputModelpuntInfo1_B1_R_3_718949074065817603">ModelpuntInfo!$H$296</definedName>
    <definedName name="_vena_InputModelpuntInfo1_B1_R_3_718949074070011905">ModelpuntInfo!$H$299</definedName>
    <definedName name="_vena_InputModelpuntInfo1_B1_R_3_718949074074206209">ModelpuntInfo!$H$300</definedName>
    <definedName name="_vena_InputModelpuntInfo1_B1_R_3_718949074078400513">ModelpuntInfo!$H$301</definedName>
    <definedName name="_vena_InputModelpuntInfo1_B1_R_3_718949074078400515">ModelpuntInfo!$H$302</definedName>
    <definedName name="_vena_InputModelpuntInfo1_B1_R_3_718949074082594817">ModelpuntInfo!$H$303</definedName>
    <definedName name="_vena_InputModelpuntInfo1_B1_R_3_718949074086789121">ModelpuntInfo!$H$304</definedName>
    <definedName name="_vena_InputModelpuntInfo1_B1_R_3_718949074086789123">ModelpuntInfo!$H$305</definedName>
    <definedName name="_vena_InputModelpuntInfo1_B1_R_3_718949074090983425">ModelpuntInfo!$H$306</definedName>
    <definedName name="_vena_InputModelpuntInfo1_B1_R_3_718949074095177729">ModelpuntInfo!$H$309</definedName>
    <definedName name="_vena_InputModelpuntInfo1_B1_R_3_718949074095177731">ModelpuntInfo!$H$310</definedName>
    <definedName name="_vena_InputModelpuntInfo1_B1_R_3_718949074099372033">ModelpuntInfo!$H$314</definedName>
    <definedName name="_vena_InputModelpuntInfo1_B1_R_3_718949074103566337">ModelpuntInfo!$H$315</definedName>
    <definedName name="_vena_InputModelpuntInfo1_B1_R_3_718949074103566339">ModelpuntInfo!$H$316</definedName>
    <definedName name="_vena_InputModelpuntInfo1_B1_R_3_718949074111954944">ModelpuntInfo!$H$317</definedName>
    <definedName name="_vena_InputModelpuntInfo1_B1_R_3_718949074111954946">ModelpuntInfo!$H$318</definedName>
    <definedName name="_vena_InputModelpuntInfo1_B1_R_3_718949074116149249">ModelpuntInfo!$H$319</definedName>
    <definedName name="_vena_InputModelpuntInfo1_B1_R_3_718949074120343553">ModelpuntInfo!$H$320</definedName>
    <definedName name="_vena_InputModelpuntInfo1_B1_R_3_718949074124537857">ModelpuntInfo!$H$321</definedName>
    <definedName name="_vena_InputModelpuntInfo1_B1_R_3_718949074124537859">ModelpuntInfo!$H$322</definedName>
    <definedName name="_vena_InputModelpuntInfo1_B1_R_3_718949074128732161">ModelpuntInfo!$H$323</definedName>
    <definedName name="_vena_InputModelpuntInfo1_B1_R_3_718949074132926465">ModelpuntInfo!$H$324</definedName>
    <definedName name="_vena_InputModelpuntInfo1_B1_R_3_718949074132926467">ModelpuntInfo!$H$326</definedName>
    <definedName name="_vena_InputModelpuntInfo1_B1_R_3_718949074137120769">ModelpuntInfo!$H$327</definedName>
    <definedName name="_vena_InputModelpuntInfo1_B1_R_3_718949074141315073">ModelpuntInfo!$H$328</definedName>
    <definedName name="_vena_InputModelpuntInfo1_B1_R_3_718949074141315075">ModelpuntInfo!$H$329</definedName>
    <definedName name="_vena_InputModelpuntInfo1_B1_R_3_718949074145509377">ModelpuntInfo!$H$330</definedName>
    <definedName name="_vena_InputModelpuntInfo1_B1_R_3_718949074149703681">ModelpuntInfo!$H$331</definedName>
    <definedName name="_vena_InputModelpuntInfo1_B1_R_3_718949074153897985">ModelpuntInfo!$H$332</definedName>
    <definedName name="_vena_InputModelpuntInfo1_B1_R_3_718949074153897987">ModelpuntInfo!$H$333</definedName>
    <definedName name="_vena_InputModelpuntInfo1_B1_R_3_718949074158092289">ModelpuntInfo!$H$334</definedName>
    <definedName name="_vena_InputModelpuntInfo1_B1_R_3_718949074162286593">ModelpuntInfo!$H$335</definedName>
    <definedName name="_vena_InputModelpuntInfo1_B1_R_3_718949074162286595">ModelpuntInfo!$H$336</definedName>
    <definedName name="_vena_InputModelpuntInfo1_B1_R_3_718949074166480897">ModelpuntInfo!$H$337</definedName>
    <definedName name="_vena_InputModelpuntInfo1_B1_R_3_718949074170675201">ModelpuntInfo!$H$338</definedName>
    <definedName name="_vena_InputModelpuntInfo1_B1_R_3_718949074170675203">ModelpuntInfo!$H$339</definedName>
    <definedName name="_vena_InputModelpuntInfo1_B1_R_3_718949074174869505">ModelpuntInfo!$H$340</definedName>
    <definedName name="_vena_InputModelpuntInfo1_B1_R_3_718949074179063809">ModelpuntInfo!$H$341</definedName>
    <definedName name="_vena_InputModelpuntInfo1_B1_R_3_718949074179063811">ModelpuntInfo!$H$342</definedName>
    <definedName name="_vena_InputModelpuntInfo1_B1_R_3_718949074183258113">ModelpuntInfo!$H$343</definedName>
    <definedName name="_vena_InputModelpuntInfo1_B1_R_3_718949074187452417">ModelpuntInfo!$H$344</definedName>
    <definedName name="_vena_InputModelpuntInfo1_B1_R_3_718949074191646721">ModelpuntInfo!$H$345</definedName>
    <definedName name="_vena_InputModelpuntInfo1_B1_R_3_718949074191646723">ModelpuntInfo!$H$346</definedName>
    <definedName name="_vena_InputModelpuntInfo1_B1_R_3_718949074195841025">ModelpuntInfo!$H$347</definedName>
    <definedName name="_vena_InputModelpuntInfo1_B1_R_3_718949074200035329">ModelpuntInfo!$H$348</definedName>
    <definedName name="_vena_InputModelpuntInfo1_B1_R_3_718949074200035331">ModelpuntInfo!$H$349</definedName>
    <definedName name="_vena_InputModelpuntInfo1_B1_R_3_718949074204229633">ModelpuntInfo!$H$350</definedName>
    <definedName name="_vena_InputModelpuntInfo1_B1_R_3_718949074208423937">ModelpuntInfo!$H$351</definedName>
    <definedName name="_vena_InputModelpuntInfo1_B1_R_3_718949074212618241">ModelpuntInfo!$H$352</definedName>
    <definedName name="_vena_InputModelpuntInfo1_B1_R_3_718949074212618243">ModelpuntInfo!$H$353</definedName>
    <definedName name="_vena_InputModelpuntInfo1_B1_R_3_718949074221006848">ModelpuntInfo!$H$355</definedName>
    <definedName name="_vena_InputModelpuntInfo1_B1_R_3_718949074221006851">ModelpuntInfo!$H$357</definedName>
    <definedName name="_vena_InputModelpuntInfo1_B1_R_3_718949074225201153">ModelpuntInfo!$H$358</definedName>
    <definedName name="_vena_InputModelpuntInfo1_B1_R_3_718949074229395457">ModelpuntInfo!$H$359</definedName>
    <definedName name="_vena_InputModelpuntInfo1_B1_R_3_718949074229395459">ModelpuntInfo!$H$360</definedName>
    <definedName name="_vena_InputModelpuntInfo1_B1_R_3_718949074233589761">ModelpuntInfo!$H$361</definedName>
    <definedName name="_vena_InputModelpuntInfo1_B1_R_3_718949074237784065">ModelpuntInfo!$H$362</definedName>
    <definedName name="_vena_InputModelpuntInfo1_B1_R_3_718949074237784067">ModelpuntInfo!$H$363</definedName>
    <definedName name="_vena_InputModelpuntInfo1_B1_R_3_718949074241978369">ModelpuntInfo!$H$364</definedName>
    <definedName name="_vena_InputModelpuntInfo1_B1_R_3_718949074246172673">ModelpuntInfo!$H$365</definedName>
    <definedName name="_vena_InputModelpuntInfo1_B1_R_3_718949074246172675">ModelpuntInfo!$H$366</definedName>
    <definedName name="_vena_InputModelpuntInfo1_B1_R_3_718949074250366977">ModelpuntInfo!$H$367</definedName>
    <definedName name="_vena_InputModelpuntInfo1_B1_R_3_718949074254561281">ModelpuntInfo!$H$368</definedName>
    <definedName name="_vena_InputModelpuntInfo1_B1_R_3_718949074258755585">ModelpuntInfo!$H$369</definedName>
    <definedName name="_vena_InputModelpuntInfo1_B1_R_3_718949074258755587">ModelpuntInfo!$H$370</definedName>
    <definedName name="_vena_InputModelpuntInfo1_B1_R_3_718949074262949889">ModelpuntInfo!$H$371</definedName>
    <definedName name="_vena_InputModelpuntInfo1_B1_R_3_718949074267144193">ModelpuntInfo!$H$372</definedName>
    <definedName name="_vena_InputModelpuntInfo1_B1_R_3_718949074267144195">ModelpuntInfo!$H$373</definedName>
    <definedName name="_vena_InputModelpuntInfo1_B1_R_3_718949074271338497">ModelpuntInfo!$H$374</definedName>
    <definedName name="_vena_InputModelpuntInfo1_B1_R_3_733406386659655682">ModelpuntInfo!$H$26</definedName>
    <definedName name="_vena_InputModelpuntInfo1_B1_R_3_738101605178277888">ModelpuntInfo!$H$283</definedName>
    <definedName name="_vena_InputModelpuntInfo1_B1_R_3_738101643779637251">ModelpuntInfo!$H$262</definedName>
    <definedName name="_vena_InputModelpuntInfo1_B1_R_3_738101800095187049">ModelpuntInfo!$H$263</definedName>
    <definedName name="_vena_InputModelpuntInfo1_B1_R_3_741036978346524672">ModelpuntInfo!$H$104</definedName>
    <definedName name="_vena_InputModelpuntInfo1_B1_R_3_741036978350718977">ModelpuntInfo!$H$105</definedName>
    <definedName name="_vena_InputModelpuntInfo1_B1_R_3_741036978350718979">ModelpuntInfo!$H$106</definedName>
    <definedName name="_vena_InputModelpuntInfo1_B1_R_3_741036978354913281">ModelpuntInfo!$H$107</definedName>
    <definedName name="_vena_InputModelpuntInfo1_B1_R_3_741036978354913283">ModelpuntInfo!$H$108</definedName>
    <definedName name="_vena_InputModelpuntInfo1_B1_R_3_741036978354913285">ModelpuntInfo!$H$109</definedName>
    <definedName name="_vena_InputModelpuntInfo1_B1_R_3_741036978359107585">ModelpuntInfo!$H$110</definedName>
    <definedName name="_vena_InputModelpuntInfo1_B1_R_3_741036978359107587">ModelpuntInfo!$H$111</definedName>
    <definedName name="_vena_InputModelpuntInfo1_B1_R_3_741036978359107589">ModelpuntInfo!$H$112</definedName>
    <definedName name="_vena_InputModelpuntInfo1_B1_R_3_741036978363301889">ModelpuntInfo!$H$113</definedName>
    <definedName name="_vena_InputModelpuntInfo1_B1_R_3_741036978363301891">ModelpuntInfo!$H$114</definedName>
    <definedName name="_vena_InputModelpuntInfo1_B1_R_3_741036978367496193">ModelpuntInfo!$H$115</definedName>
    <definedName name="_vena_InputModelpuntInfo1_B1_R_3_741036978367496195">ModelpuntInfo!$H$116</definedName>
    <definedName name="_vena_InputModelpuntInfo1_B1_R_3_741036978367496197">ModelpuntInfo!$H$117</definedName>
    <definedName name="_vena_InputModelpuntInfo1_B1_R_3_741036978371690497">ModelpuntInfo!$H$118</definedName>
    <definedName name="_vena_InputModelpuntInfo1_B1_R_3_741036978371690499">ModelpuntInfo!$H$119</definedName>
    <definedName name="_vena_InputModelpuntInfo1_B1_R_3_741036978375884801">ModelpuntInfo!$H$120</definedName>
    <definedName name="_vena_InputModelpuntInfo1_B1_R_3_741036978375884803">ModelpuntInfo!$H$121</definedName>
    <definedName name="_vena_InputModelpuntInfo1_B1_R_3_741036978375884805">ModelpuntInfo!$H$122</definedName>
    <definedName name="_vena_InputModelpuntInfo1_B1_R_3_741036978380079105">ModelpuntInfo!$H$123</definedName>
    <definedName name="_vena_InputModelpuntInfo1_B1_R_3_741036978380079107">ModelpuntInfo!$H$124</definedName>
    <definedName name="_vena_InputModelpuntInfo1_B1_R_3_741036978380079109">ModelpuntInfo!$H$125</definedName>
    <definedName name="_vena_InputModelpuntInfo1_B1_R_3_741036978384273409">ModelpuntInfo!$H$126</definedName>
    <definedName name="_vena_InputModelpuntInfo1_B1_R_3_741036978384273411">ModelpuntInfo!$H$127</definedName>
    <definedName name="_vena_InputModelpuntInfo1_B1_R_3_741036978384273413">ModelpuntInfo!$H$128</definedName>
    <definedName name="_vena_InputModelpuntInfo1_B1_R_3_741036978388467713">ModelpuntInfo!$H$129</definedName>
    <definedName name="_vena_InputModelpuntInfo1_B1_R_3_741036978388467715">ModelpuntInfo!$H$130</definedName>
    <definedName name="_vena_InputModelpuntInfo1_B1_R_3_741036978392662016">ModelpuntInfo!$H$131</definedName>
    <definedName name="_vena_InputModelpuntInfo1_B1_R_3_745374605280018432">ModelpuntInfo!$H$202</definedName>
    <definedName name="_vena_InputModelpuntInfo1_B1_R_3_745375016732721152">ModelpuntInfo!$H$42</definedName>
    <definedName name="_vena_InputModelpuntInfo1_B1_R_3_745375106469593088">ModelpuntInfo!$H$43</definedName>
    <definedName name="_vena_InputModelpuntInfo1_B1_R_3_787067506366873601">ModelpuntInfo!$H$192</definedName>
    <definedName name="_vena_InputModelpuntInfo1_B1_R_3_787067506375262209">ModelpuntInfo!$H$193</definedName>
    <definedName name="_vena_InputModelpuntInfo1_B1_R_3_787067506396233730">ModelpuntInfo!$H$195</definedName>
    <definedName name="_vena_InputModelpuntInfo1_B1_R_3_787067506400428033">ModelpuntInfo!$H$196</definedName>
    <definedName name="_vena_InputModelpuntInfo1_B1_R_3_787067506425593862">ModelpuntInfo!$H$198</definedName>
    <definedName name="_vena_InputModelpuntInfo1_B1_R_3_787067506429788172">ModelpuntInfo!$H$298</definedName>
    <definedName name="_vena_InputModelpuntInfo1_B1_R_3_787067506442371085">ModelpuntInfo!$H$297</definedName>
    <definedName name="_vena_InputModelpuntInfo1_B1_R_3_787067506459148326">ModelpuntInfo!$H$81</definedName>
    <definedName name="_vena_InputModelpuntInfo1_B1_R_3_787067506467536902">ModelpuntInfo!$H$80</definedName>
    <definedName name="_vena_InputModelpuntInfo1_B1_R_3_787067506484314126">ModelpuntInfo!$H$325</definedName>
    <definedName name="_vena_InputModelpuntInfo1_B1_R_3_787067506509479942">ModelpuntInfo!$H$265</definedName>
    <definedName name="_vena_InputModelpuntInfo1_B1_R_3_787067506526257152">ModelpuntInfo!$H$264</definedName>
    <definedName name="_vena_InputModelpuntInfo1_B1_R_3_848292094858231812">ModelpuntInfo!$H$59</definedName>
    <definedName name="_vena_InputModelpuntInfo1_B1_R_3_947147459226107910">ModelpuntInfo!$H$242</definedName>
    <definedName name="_vena_InputModelpuntInfo1_B1_R_3_947147459238690817">ModelpuntInfo!$H$243</definedName>
    <definedName name="_vena_InputModelpuntInfo1_B1_R_3_947147459259662336">ModelpuntInfo!$H$199</definedName>
    <definedName name="_vena_InputModelpuntInfo1_B1_R_3_947147459272245252">ModelpuntInfo!$H$245</definedName>
    <definedName name="_vena_InputModelpuntInfo1_B1_R_3_947147459276439554">ModelpuntInfo!$H$246</definedName>
    <definedName name="_vena_InputModelpuntInfo1_B1_R_3_947147459284828166">ModelpuntInfo!$H$194</definedName>
    <definedName name="_vena_InputModelpuntInfo1_B1_R_3_947147459297411075">ModelpuntInfo!$H$244</definedName>
    <definedName name="_vena_InputModelpuntInfo1_B1_R_3_947147459318382595">ModelpuntInfo!$H$247</definedName>
    <definedName name="_vena_InputModelpuntInfo1_B1_R_3_947147459322576897">ModelpuntInfo!$H$248</definedName>
    <definedName name="_vena_InputModelpuntInfo1_B1_R_3_947147459377102859">ModelpuntInfo!$H$307</definedName>
    <definedName name="_vena_InputModelpuntInfo1_B1_R_3_947147459385491457">ModelpuntInfo!$H$308</definedName>
    <definedName name="_vena_InputModelpuntInfo1_B1_R_3_982737416803450901">ModelpuntInfo!$H$313</definedName>
    <definedName name="_vena_InputModelpuntInfo1_B1_R_3_982737416811839488">ModelpuntInfo!$H$311</definedName>
    <definedName name="_vena_InputModelpuntInfo1_B1_R_3_982737416862171137">ModelpuntInfo!$H$312</definedName>
    <definedName name="_vena_InputModelpuntInfo1_P_4_718931129058590721" comment="*">ModelpuntInfo!$D$7</definedName>
    <definedName name="_vena_InputModelpuntInfo1_P_5_718931142656917509" comment="*">ModelpuntInfo!$D$8</definedName>
    <definedName name="_vena_InputModelpuntInfo1_P_7_720673044374355968" comment="*">ModelpuntInfo!$D$10</definedName>
    <definedName name="_vena_InputModelpuntInfo1_P_FV_18833718d1654aadbc8e26067c178bd5" comment="*">ModelpuntInfo!$D$4</definedName>
    <definedName name="_vena_InputModelpuntInfo1_P_FV_a29e5bcf45ca496da8833af34d35696d" comment="*">ModelpuntInfo!$D$5</definedName>
    <definedName name="_vena_InputModelpuntInfo2_B1_C_FV_5d39d27143854b42aac3e80e185356a2">ModelpuntInfo!$I$14</definedName>
    <definedName name="_vena_InputModelpuntInfo2_B1_R_6_733092863753191424">ModelpuntInfo!$H$15</definedName>
    <definedName name="_vena_InputModelpuntInfo2_B1_R_6_733092908485705728">ModelpuntInfo!$H$16</definedName>
    <definedName name="_vena_InputModelpuntInfo2_B1_R_6_735209071112224768">ModelpuntInfo!$H$17</definedName>
    <definedName name="_vena_InputModelpuntInfo2_B1_R_6_735209262570405888">ModelpuntInfo!$H$18</definedName>
    <definedName name="_vena_InputModelpuntInfo2_P_3_718931117436043267" comment="*">ModelpuntInfo!$G$6</definedName>
    <definedName name="_vena_InputModelpuntInfo2_P_4_718931129058590721" comment="*">ModelpuntInfo!$G$7</definedName>
    <definedName name="_vena_InputModelpuntInfo2_P_7_720673044374355968" comment="*">ModelpuntInfo!$G$10</definedName>
    <definedName name="_vena_InputModelpuntInfo2_P_FV_18833718d1654aadbc8e26067c178bd5" comment="*">ModelpuntInfo!$G$4</definedName>
    <definedName name="_vena_InputModelpuntInfo2_P_FV_a29e5bcf45ca496da8833af34d35696d" comment="*">ModelpuntInfo!$G$5</definedName>
    <definedName name="_vena_Selectie_P_GV_720667124808679427" comment="*">Selectie!$C$3</definedName>
    <definedName name="_vena_Selectie_P_GV_720667363321839617" comment="*">Selectie!$C$2</definedName>
    <definedName name="anscount" hidden="1">1</definedName>
    <definedName name="InleesDataAant">Invoer!$B$10</definedName>
    <definedName name="InleesDataStart">Invoer!$A$6</definedName>
    <definedName name="InvoerRanges">Invoer!$B$7:$H$9</definedName>
    <definedName name="InvoerTimeStamps">Invoer!$J$7:$J$9</definedName>
    <definedName name="IxFile">Invoer!$M$6</definedName>
    <definedName name="IxLoc">Invoer!$B$6</definedName>
    <definedName name="IxRcnt">Invoer!$L$6</definedName>
    <definedName name="IxRng">Invoer!$E$6</definedName>
    <definedName name="IxSaved">Invoer!$J$6</definedName>
    <definedName name="IxScRng">Invoer!$G$6</definedName>
    <definedName name="IxScVal">Invoer!$H$6</definedName>
    <definedName name="IxScWs">Invoer!$F$6</definedName>
    <definedName name="IxStart">Invoer!$I$6</definedName>
    <definedName name="IxWb">Invoer!$C$6</definedName>
    <definedName name="IxWs">Invoer!$D$6</definedName>
    <definedName name="LayoutMelding">Invoer!$B$4</definedName>
    <definedName name="LOCok">'LoC Recap'!$B$4</definedName>
    <definedName name="MacroLastRun">Invoer!$J$4</definedName>
    <definedName name="Modelpuntoverzicht">'Overview MP Life'!$A:$AM</definedName>
    <definedName name="OSM_Info_PerMP">ModelpuntenInfoOSM!$C:$M</definedName>
    <definedName name="start1">'Overview MP Life'!$A$5</definedName>
    <definedName name="start2">ModelpuntenInfoOSM!$A$3</definedName>
    <definedName name="Z_6AE763D5_8F55_434E_96B2_971E17BAA2DB_.wvu.FilterData" localSheetId="4" hidden="1">Invoer!$A$6:$M$10</definedName>
    <definedName name="Z_915D2422_C043_4D06_937E_1A96F53B569A_.wvu.FilterData" localSheetId="4" hidden="1">Invoer!$A$6:$M$10</definedName>
    <definedName name="Z_A096F828_F848_45A2_860C_032F43C1DD7B_.wvu.PrintArea" localSheetId="4" hidden="1">Invoer!$A$1:$Z$7</definedName>
    <definedName name="Z_A096F828_F848_45A2_860C_032F43C1DD7B_.wvu.PrintArea" localSheetId="2" hidden="1">Versiebeheer!$A$1:$I$8</definedName>
  </definedNames>
  <calcPr calcId="191029"/>
  <customWorkbookViews>
    <customWorkbookView name="Uijl J. den (Hans) - Persoonlijke weergave" guid="{6AE763D5-8F55-434E-96B2-971E17BAA2DB}" mergeInterval="0" personalView="1" maximized="1" windowWidth="1676" windowHeight="888" tabRatio="845" activeSheetId="12"/>
    <customWorkbookView name="Hendriks F.B. (Francis) - Persoonlijke weergave" guid="{EF4B4CDC-758A-4938-83F8-35AA65D8B641}" mergeInterval="0" personalView="1" xWindow="63" yWindow="109" windowWidth="674" windowHeight="460" tabRatio="868" activeSheetId="18"/>
    <customWorkbookView name="Hans den Uijl - Persoonlijke weergave" guid="{A096F828-F848-45A2-860C-032F43C1DD7B}" mergeInterval="0" personalView="1" maximized="1" windowWidth="1333" windowHeight="576" tabRatio="868" activeSheetId="1"/>
    <customWorkbookView name="Clement J.J.M. (Jantine) - Persoonlijke weergave" guid="{6EC36B47-2B70-4722-AE23-A1EAC28F57E6}" mergeInterval="0" personalView="1" maximized="1" windowWidth="1920" windowHeight="941" tabRatio="868" activeSheetId="2"/>
    <customWorkbookView name="Jansen A.M. (Angela) - Persoonlijke weergave" guid="{915D2422-C043-4D06-937E-1A96F53B569A}" mergeInterval="0" personalView="1" maximized="1" windowWidth="1920" windowHeight="895" tabRatio="845" activeSheetId="4"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F33" i="79"/>
  <c r="G33" i="79" s="1"/>
  <c r="I139" i="76"/>
  <c r="N139" i="76" s="1"/>
  <c r="G39" i="81"/>
  <c r="F39" i="81"/>
  <c r="H39" i="81" s="1"/>
  <c r="G55" i="77"/>
  <c r="F55" i="77"/>
  <c r="F311" i="83"/>
  <c r="G311" i="83" s="1"/>
  <c r="G316" i="82"/>
  <c r="F316" i="82"/>
  <c r="H316" i="82" s="1"/>
  <c r="AG20" i="74" a="1"/>
  <c r="AG20" i="74" s="1"/>
  <c r="O139" i="76" l="1"/>
  <c r="P139" i="76"/>
  <c r="J139" i="76"/>
  <c r="R139" i="76"/>
  <c r="Q139" i="76"/>
  <c r="K139" i="76"/>
  <c r="S139" i="76"/>
  <c r="M139" i="76"/>
  <c r="L139" i="76"/>
  <c r="T139" i="76"/>
  <c r="C7" i="4"/>
  <c r="D8" i="4" l="1"/>
  <c r="D7" i="4"/>
  <c r="C8" i="4"/>
  <c r="B7" i="4"/>
  <c r="B8" i="4" s="1"/>
  <c r="AG6" i="74" a="1"/>
  <c r="AG6" i="74" s="1"/>
  <c r="AG7" i="74" a="1"/>
  <c r="AG7" i="74" s="1"/>
  <c r="AO9" i="68" l="1" a="1"/>
  <c r="AO9" i="68" s="1"/>
  <c r="AO8" i="68" a="1"/>
  <c r="AO8" i="68" s="1"/>
  <c r="AO7" i="68" a="1"/>
  <c r="AO7" i="68" s="1"/>
  <c r="AO6" i="68" a="1"/>
  <c r="AO6" i="68" s="1"/>
  <c r="AM1" i="23"/>
  <c r="I18" i="76" l="1"/>
  <c r="A404" i="86" l="1"/>
  <c r="A403" i="86"/>
  <c r="A402" i="86"/>
  <c r="A401" i="86"/>
  <c r="B401" i="86" s="1"/>
  <c r="A400" i="86"/>
  <c r="A399" i="86"/>
  <c r="A398" i="86"/>
  <c r="A397" i="86"/>
  <c r="B397" i="86" s="1"/>
  <c r="A396" i="86"/>
  <c r="A395" i="86"/>
  <c r="A394" i="86"/>
  <c r="B394" i="86" s="1"/>
  <c r="A393" i="86"/>
  <c r="B393" i="86" s="1"/>
  <c r="A392" i="86"/>
  <c r="A391" i="86"/>
  <c r="B391" i="86" s="1"/>
  <c r="C391" i="86" s="1"/>
  <c r="A390" i="86"/>
  <c r="A389" i="86"/>
  <c r="B389" i="86" s="1"/>
  <c r="A388" i="86"/>
  <c r="B388" i="86" s="1"/>
  <c r="A387" i="86"/>
  <c r="A386" i="86"/>
  <c r="A385" i="86"/>
  <c r="B385" i="86" s="1"/>
  <c r="A384" i="86"/>
  <c r="A383" i="86"/>
  <c r="B383" i="86" s="1"/>
  <c r="C383" i="86" s="1"/>
  <c r="A382" i="86"/>
  <c r="A381" i="86"/>
  <c r="B381" i="86" s="1"/>
  <c r="A380" i="86"/>
  <c r="A379" i="86"/>
  <c r="A378" i="86"/>
  <c r="B378" i="86" s="1"/>
  <c r="A377" i="86"/>
  <c r="B377" i="86" s="1"/>
  <c r="A376" i="86"/>
  <c r="A375" i="86"/>
  <c r="B375" i="86" s="1"/>
  <c r="C375" i="86" s="1"/>
  <c r="A374" i="86"/>
  <c r="A373" i="86"/>
  <c r="B373" i="86" s="1"/>
  <c r="A372" i="86"/>
  <c r="B372" i="86" s="1"/>
  <c r="A371" i="86"/>
  <c r="A370" i="86"/>
  <c r="A369" i="86"/>
  <c r="B369" i="86" s="1"/>
  <c r="A368" i="86"/>
  <c r="A367" i="86"/>
  <c r="B367" i="86" s="1"/>
  <c r="C367" i="86" s="1"/>
  <c r="A366" i="86"/>
  <c r="A365" i="86"/>
  <c r="B365" i="86" s="1"/>
  <c r="A364" i="86"/>
  <c r="A363" i="86"/>
  <c r="A362" i="86"/>
  <c r="B362" i="86" s="1"/>
  <c r="A361" i="86"/>
  <c r="B361" i="86" s="1"/>
  <c r="A360" i="86"/>
  <c r="A359" i="86"/>
  <c r="B359" i="86" s="1"/>
  <c r="C359" i="86" s="1"/>
  <c r="A358" i="86"/>
  <c r="A357" i="86"/>
  <c r="B357" i="86" s="1"/>
  <c r="A356" i="86"/>
  <c r="B356" i="86" s="1"/>
  <c r="A355" i="86"/>
  <c r="A354" i="86"/>
  <c r="A353" i="86"/>
  <c r="A352" i="86"/>
  <c r="A351" i="86"/>
  <c r="B351" i="86" s="1"/>
  <c r="C351" i="86" s="1"/>
  <c r="A350" i="86"/>
  <c r="A349" i="86"/>
  <c r="B349" i="86" s="1"/>
  <c r="A348" i="86"/>
  <c r="A347" i="86"/>
  <c r="A346" i="86"/>
  <c r="B346" i="86" s="1"/>
  <c r="A345" i="86"/>
  <c r="B345" i="86" s="1"/>
  <c r="A344" i="86"/>
  <c r="A343" i="86"/>
  <c r="B343" i="86" s="1"/>
  <c r="C343" i="86" s="1"/>
  <c r="A342" i="86"/>
  <c r="A341" i="86"/>
  <c r="B341" i="86" s="1"/>
  <c r="A340" i="86"/>
  <c r="A339" i="86"/>
  <c r="B339" i="86" s="1"/>
  <c r="C339" i="86" s="1"/>
  <c r="A338" i="86"/>
  <c r="A337" i="86"/>
  <c r="B337" i="86" s="1"/>
  <c r="A336" i="86"/>
  <c r="A335" i="86"/>
  <c r="B335" i="86" s="1"/>
  <c r="A334" i="86"/>
  <c r="A333" i="86"/>
  <c r="B333" i="86" s="1"/>
  <c r="A332" i="86"/>
  <c r="B332" i="86" s="1"/>
  <c r="A331" i="86"/>
  <c r="A330" i="86"/>
  <c r="A329" i="86"/>
  <c r="B329" i="86" s="1"/>
  <c r="A328" i="86"/>
  <c r="A327" i="86"/>
  <c r="B327" i="86" s="1"/>
  <c r="A326" i="86"/>
  <c r="A325" i="86"/>
  <c r="B325" i="86" s="1"/>
  <c r="C325" i="86" s="1"/>
  <c r="A324" i="86"/>
  <c r="A323" i="86"/>
  <c r="A322" i="86"/>
  <c r="A321" i="86"/>
  <c r="B321" i="86" s="1"/>
  <c r="A320" i="86"/>
  <c r="A319" i="86"/>
  <c r="B319" i="86" s="1"/>
  <c r="A318" i="86"/>
  <c r="A317" i="86"/>
  <c r="B317" i="86" s="1"/>
  <c r="C317" i="86" s="1"/>
  <c r="A316" i="86"/>
  <c r="A315" i="86"/>
  <c r="A314" i="86"/>
  <c r="A313" i="86"/>
  <c r="B313" i="86" s="1"/>
  <c r="A312" i="86"/>
  <c r="A311" i="86"/>
  <c r="B311" i="86" s="1"/>
  <c r="C311" i="86" s="1"/>
  <c r="A310" i="86"/>
  <c r="A309" i="86"/>
  <c r="B309" i="86" s="1"/>
  <c r="A308" i="86"/>
  <c r="A307" i="86"/>
  <c r="A306" i="86"/>
  <c r="A305" i="86"/>
  <c r="B305" i="86" s="1"/>
  <c r="A304" i="86"/>
  <c r="B304" i="86" s="1"/>
  <c r="A303" i="86"/>
  <c r="B303" i="86" s="1"/>
  <c r="A302" i="86"/>
  <c r="A301" i="86"/>
  <c r="B301" i="86" s="1"/>
  <c r="A300" i="86"/>
  <c r="A299" i="86"/>
  <c r="A298" i="86"/>
  <c r="A297" i="86"/>
  <c r="B297" i="86" s="1"/>
  <c r="A296" i="86"/>
  <c r="B296" i="86" s="1"/>
  <c r="A295" i="86"/>
  <c r="B295" i="86" s="1"/>
  <c r="A294" i="86"/>
  <c r="A293" i="86"/>
  <c r="B293" i="86" s="1"/>
  <c r="A292" i="86"/>
  <c r="A291" i="86"/>
  <c r="A290" i="86"/>
  <c r="A289" i="86"/>
  <c r="B289" i="86" s="1"/>
  <c r="C289" i="86" s="1"/>
  <c r="A288" i="86"/>
  <c r="A287" i="86"/>
  <c r="B287" i="86" s="1"/>
  <c r="A286" i="86"/>
  <c r="A285" i="86"/>
  <c r="B285" i="86" s="1"/>
  <c r="A284" i="86"/>
  <c r="A283" i="86"/>
  <c r="B283" i="86" s="1"/>
  <c r="C283" i="86" s="1"/>
  <c r="A282" i="86"/>
  <c r="A281" i="86"/>
  <c r="B281" i="86" s="1"/>
  <c r="A280" i="86"/>
  <c r="A279" i="86"/>
  <c r="B279" i="86" s="1"/>
  <c r="A278" i="86"/>
  <c r="A277" i="86"/>
  <c r="B277" i="86" s="1"/>
  <c r="A276" i="86"/>
  <c r="A275" i="86"/>
  <c r="B275" i="86" s="1"/>
  <c r="C275" i="86" s="1"/>
  <c r="A274" i="86"/>
  <c r="A273" i="86"/>
  <c r="A272" i="86"/>
  <c r="A271" i="86"/>
  <c r="B271" i="86" s="1"/>
  <c r="A270" i="86"/>
  <c r="A269" i="86"/>
  <c r="B269" i="86" s="1"/>
  <c r="A268" i="86"/>
  <c r="B268" i="86" s="1"/>
  <c r="A267" i="86"/>
  <c r="B267" i="86" s="1"/>
  <c r="A266" i="86"/>
  <c r="A265" i="86"/>
  <c r="A264" i="86"/>
  <c r="A263" i="86"/>
  <c r="B263" i="86" s="1"/>
  <c r="A262" i="86"/>
  <c r="A261" i="86"/>
  <c r="A260" i="86"/>
  <c r="A259" i="86"/>
  <c r="B259" i="86" s="1"/>
  <c r="A258" i="86"/>
  <c r="A257" i="86"/>
  <c r="A256" i="86"/>
  <c r="A255" i="86"/>
  <c r="B255" i="86" s="1"/>
  <c r="A254" i="86"/>
  <c r="A253" i="86"/>
  <c r="A252" i="86"/>
  <c r="A251" i="86"/>
  <c r="B251" i="86" s="1"/>
  <c r="A250" i="86"/>
  <c r="A249" i="86"/>
  <c r="A248" i="86"/>
  <c r="A247" i="86"/>
  <c r="B247" i="86" s="1"/>
  <c r="C247" i="86" s="1"/>
  <c r="A246" i="86"/>
  <c r="A245" i="86"/>
  <c r="A244" i="86"/>
  <c r="A243" i="86"/>
  <c r="B243" i="86" s="1"/>
  <c r="A242" i="86"/>
  <c r="A241" i="86"/>
  <c r="A240" i="86"/>
  <c r="B240" i="86" s="1"/>
  <c r="A239" i="86"/>
  <c r="B239" i="86" s="1"/>
  <c r="A238" i="86"/>
  <c r="A237" i="86"/>
  <c r="B237" i="86" s="1"/>
  <c r="A236" i="86"/>
  <c r="A235" i="86"/>
  <c r="B235" i="86" s="1"/>
  <c r="A234" i="86"/>
  <c r="A233" i="86"/>
  <c r="A232" i="86"/>
  <c r="B232" i="86" s="1"/>
  <c r="A231" i="86"/>
  <c r="A230" i="86"/>
  <c r="A229" i="86"/>
  <c r="A228" i="86"/>
  <c r="A227" i="86"/>
  <c r="B227" i="86" s="1"/>
  <c r="A226" i="86"/>
  <c r="A225" i="86"/>
  <c r="A224" i="86"/>
  <c r="A223" i="86"/>
  <c r="B223" i="86" s="1"/>
  <c r="A222" i="86"/>
  <c r="A221" i="86"/>
  <c r="B221" i="86" s="1"/>
  <c r="A220" i="86"/>
  <c r="A219" i="86"/>
  <c r="B219" i="86" s="1"/>
  <c r="C219" i="86" s="1"/>
  <c r="A218" i="86"/>
  <c r="A217" i="86"/>
  <c r="A216" i="86"/>
  <c r="A215" i="86"/>
  <c r="A214" i="86"/>
  <c r="A213" i="86"/>
  <c r="A212" i="86"/>
  <c r="A211" i="86"/>
  <c r="B211" i="86" s="1"/>
  <c r="A210" i="86"/>
  <c r="A209" i="86"/>
  <c r="A208" i="86"/>
  <c r="A207" i="86"/>
  <c r="A206" i="86"/>
  <c r="A205" i="86"/>
  <c r="B205" i="86" s="1"/>
  <c r="A204" i="86"/>
  <c r="B204" i="86" s="1"/>
  <c r="A203" i="86"/>
  <c r="A202" i="86"/>
  <c r="A201" i="86"/>
  <c r="A200" i="86"/>
  <c r="A199" i="86"/>
  <c r="A198" i="86"/>
  <c r="A197" i="86"/>
  <c r="A196" i="86"/>
  <c r="A195" i="86"/>
  <c r="A194" i="86"/>
  <c r="A193" i="86"/>
  <c r="A192" i="86"/>
  <c r="A191" i="86"/>
  <c r="A190" i="86"/>
  <c r="A189" i="86"/>
  <c r="A188" i="86"/>
  <c r="A187" i="86"/>
  <c r="A186" i="86"/>
  <c r="A185" i="86"/>
  <c r="A184" i="86"/>
  <c r="A183" i="86"/>
  <c r="B183" i="86" s="1"/>
  <c r="A182" i="86"/>
  <c r="A181" i="86"/>
  <c r="B181" i="86" s="1"/>
  <c r="A180" i="86"/>
  <c r="A179" i="86"/>
  <c r="A178" i="86"/>
  <c r="A177" i="86"/>
  <c r="A176" i="86"/>
  <c r="B176" i="86" s="1"/>
  <c r="A175" i="86"/>
  <c r="A174" i="86"/>
  <c r="A173" i="86"/>
  <c r="B173" i="86" s="1"/>
  <c r="A172" i="86"/>
  <c r="A171" i="86"/>
  <c r="A170" i="86"/>
  <c r="A169" i="86"/>
  <c r="A168" i="86"/>
  <c r="B168" i="86" s="1"/>
  <c r="A167" i="86"/>
  <c r="A166" i="86"/>
  <c r="A165" i="86"/>
  <c r="A164" i="86"/>
  <c r="A163" i="86"/>
  <c r="B163" i="86" s="1"/>
  <c r="A162" i="86"/>
  <c r="A161" i="86"/>
  <c r="B161" i="86" s="1"/>
  <c r="A160" i="86"/>
  <c r="A159" i="86"/>
  <c r="A158" i="86"/>
  <c r="A157" i="86"/>
  <c r="A156" i="86"/>
  <c r="A155" i="86"/>
  <c r="B155" i="86" s="1"/>
  <c r="A154" i="86"/>
  <c r="A153" i="86"/>
  <c r="A152" i="86"/>
  <c r="A151" i="86"/>
  <c r="A150" i="86"/>
  <c r="A149" i="86"/>
  <c r="A148" i="86"/>
  <c r="A147" i="86"/>
  <c r="B147" i="86" s="1"/>
  <c r="A146" i="86"/>
  <c r="A145" i="86"/>
  <c r="A144" i="86"/>
  <c r="B144" i="86" s="1"/>
  <c r="A143" i="86"/>
  <c r="A142" i="86"/>
  <c r="A141" i="86"/>
  <c r="A140" i="86"/>
  <c r="A139" i="86"/>
  <c r="A138" i="86"/>
  <c r="A137" i="86"/>
  <c r="A136" i="86"/>
  <c r="A135" i="86"/>
  <c r="A134" i="86"/>
  <c r="A133" i="86"/>
  <c r="B133" i="86" s="1"/>
  <c r="A132" i="86"/>
  <c r="A131" i="86"/>
  <c r="B131" i="86" s="1"/>
  <c r="A130" i="86"/>
  <c r="A129" i="86"/>
  <c r="A128" i="86"/>
  <c r="A127" i="86"/>
  <c r="A126" i="86"/>
  <c r="A125" i="86"/>
  <c r="A124" i="86"/>
  <c r="A123" i="86"/>
  <c r="A122" i="86"/>
  <c r="A121" i="86"/>
  <c r="A120" i="86"/>
  <c r="A119" i="86"/>
  <c r="A118" i="86"/>
  <c r="A117" i="86"/>
  <c r="A116" i="86"/>
  <c r="A115" i="86"/>
  <c r="B115" i="86" s="1"/>
  <c r="A114" i="86"/>
  <c r="A113" i="86"/>
  <c r="A112" i="86"/>
  <c r="B112" i="86" s="1"/>
  <c r="A111" i="86"/>
  <c r="A110" i="86"/>
  <c r="A109" i="86"/>
  <c r="A108" i="86"/>
  <c r="A107" i="86"/>
  <c r="A106" i="86"/>
  <c r="A105" i="86"/>
  <c r="A104" i="86"/>
  <c r="A103" i="86"/>
  <c r="A102" i="86"/>
  <c r="A101" i="86"/>
  <c r="A100" i="86"/>
  <c r="A99" i="86"/>
  <c r="B99" i="86" s="1"/>
  <c r="A98" i="86"/>
  <c r="A97" i="86"/>
  <c r="A96" i="86"/>
  <c r="A95" i="86"/>
  <c r="A94" i="86"/>
  <c r="A93" i="86"/>
  <c r="A92" i="86"/>
  <c r="A91" i="86"/>
  <c r="B91" i="86" s="1"/>
  <c r="A90" i="86"/>
  <c r="A89" i="86"/>
  <c r="A88" i="86"/>
  <c r="A87" i="86"/>
  <c r="A86" i="86"/>
  <c r="A85" i="86"/>
  <c r="A84" i="86"/>
  <c r="A83" i="86"/>
  <c r="B83" i="86" s="1"/>
  <c r="A82" i="86"/>
  <c r="A81" i="86"/>
  <c r="A80" i="86"/>
  <c r="A79" i="86"/>
  <c r="A78" i="86"/>
  <c r="A77" i="86"/>
  <c r="A76" i="86"/>
  <c r="A75" i="86"/>
  <c r="A74" i="86"/>
  <c r="A73" i="86"/>
  <c r="A72" i="86"/>
  <c r="A71" i="86"/>
  <c r="A70" i="86"/>
  <c r="A69" i="86"/>
  <c r="B69" i="86" s="1"/>
  <c r="A68" i="86"/>
  <c r="A67" i="86"/>
  <c r="B67" i="86" s="1"/>
  <c r="A66" i="86"/>
  <c r="A65" i="86"/>
  <c r="A64" i="86"/>
  <c r="A63" i="86"/>
  <c r="A62" i="86"/>
  <c r="A61" i="86"/>
  <c r="A60" i="86"/>
  <c r="A59" i="86"/>
  <c r="A58" i="86"/>
  <c r="A57" i="86"/>
  <c r="A56" i="86"/>
  <c r="A55" i="86"/>
  <c r="A54" i="86"/>
  <c r="A53" i="86"/>
  <c r="A52" i="86"/>
  <c r="A51" i="86"/>
  <c r="B51" i="86" s="1"/>
  <c r="A50" i="86"/>
  <c r="A49" i="86"/>
  <c r="A48" i="86"/>
  <c r="B48" i="86" s="1"/>
  <c r="A47" i="86"/>
  <c r="A46" i="86"/>
  <c r="A45" i="86"/>
  <c r="A44" i="86"/>
  <c r="A43" i="86"/>
  <c r="A42" i="86"/>
  <c r="A41" i="86"/>
  <c r="A40" i="86"/>
  <c r="A39" i="86"/>
  <c r="A38" i="86"/>
  <c r="A37" i="86"/>
  <c r="A36" i="86"/>
  <c r="A35" i="86"/>
  <c r="B35" i="86" s="1"/>
  <c r="A34" i="86"/>
  <c r="A33" i="86"/>
  <c r="A32" i="86"/>
  <c r="A31" i="86"/>
  <c r="A30" i="86"/>
  <c r="A29" i="86"/>
  <c r="A28" i="86"/>
  <c r="A27" i="86"/>
  <c r="B27" i="86" s="1"/>
  <c r="A26" i="86"/>
  <c r="A25" i="86"/>
  <c r="A24" i="86"/>
  <c r="A23" i="86"/>
  <c r="A22" i="86"/>
  <c r="A21" i="86"/>
  <c r="A20" i="86"/>
  <c r="A19" i="86"/>
  <c r="A18" i="86"/>
  <c r="A17" i="86"/>
  <c r="A16" i="86"/>
  <c r="A15" i="86"/>
  <c r="B15" i="86" s="1"/>
  <c r="A14" i="86"/>
  <c r="A13" i="86"/>
  <c r="A12" i="86"/>
  <c r="A11" i="86"/>
  <c r="A10" i="86"/>
  <c r="A9" i="86"/>
  <c r="A8" i="86"/>
  <c r="A7" i="86"/>
  <c r="A6" i="86"/>
  <c r="A5" i="86"/>
  <c r="B5" i="86" s="1"/>
  <c r="A2" i="86"/>
  <c r="A2" i="85"/>
  <c r="I16" i="76"/>
  <c r="B353" i="86"/>
  <c r="B404" i="86"/>
  <c r="B399" i="86"/>
  <c r="C399" i="86" s="1"/>
  <c r="A13" i="85"/>
  <c r="A10" i="85"/>
  <c r="A9" i="85"/>
  <c r="A14" i="85"/>
  <c r="A12" i="85"/>
  <c r="A11" i="85"/>
  <c r="A8" i="85"/>
  <c r="C268" i="86" l="1"/>
  <c r="C372" i="86"/>
  <c r="C227" i="86"/>
  <c r="C235" i="86"/>
  <c r="C243" i="86"/>
  <c r="C251" i="86"/>
  <c r="C259" i="86"/>
  <c r="C267" i="86"/>
  <c r="B403" i="86"/>
  <c r="C403" i="86" s="1"/>
  <c r="B395" i="86"/>
  <c r="C395" i="86" s="1"/>
  <c r="B387" i="86"/>
  <c r="C387" i="86" s="1"/>
  <c r="B379" i="86"/>
  <c r="C379" i="86" s="1"/>
  <c r="B371" i="86"/>
  <c r="C371" i="86" s="1"/>
  <c r="B363" i="86"/>
  <c r="C363" i="86" s="1"/>
  <c r="B355" i="86"/>
  <c r="C355" i="86" s="1"/>
  <c r="B347" i="86"/>
  <c r="C347" i="86" s="1"/>
  <c r="B331" i="86"/>
  <c r="C331" i="86" s="1"/>
  <c r="B323" i="86"/>
  <c r="C323" i="86" s="1"/>
  <c r="B315" i="86"/>
  <c r="C315" i="86" s="1"/>
  <c r="B307" i="86"/>
  <c r="C307" i="86" s="1"/>
  <c r="B299" i="86"/>
  <c r="C299" i="86" s="1"/>
  <c r="B291" i="86"/>
  <c r="C291" i="86" s="1"/>
  <c r="C296" i="86"/>
  <c r="C281" i="86"/>
  <c r="C285" i="86"/>
  <c r="C293" i="86"/>
  <c r="C301" i="86"/>
  <c r="C305" i="86"/>
  <c r="C309" i="86"/>
  <c r="C321" i="86"/>
  <c r="C333" i="86"/>
  <c r="C337" i="86"/>
  <c r="C341" i="86"/>
  <c r="B231" i="86"/>
  <c r="C231" i="86" s="1"/>
  <c r="B215" i="86"/>
  <c r="C215" i="86" s="1"/>
  <c r="C240" i="86"/>
  <c r="B9" i="86"/>
  <c r="C9" i="86" s="1"/>
  <c r="B17" i="86"/>
  <c r="C17" i="86" s="1"/>
  <c r="B21" i="86"/>
  <c r="C21" i="86" s="1"/>
  <c r="B25" i="86"/>
  <c r="C25" i="86" s="1"/>
  <c r="B33" i="86"/>
  <c r="C33" i="86" s="1"/>
  <c r="B37" i="86"/>
  <c r="C37" i="86" s="1"/>
  <c r="B41" i="86"/>
  <c r="C41" i="86" s="1"/>
  <c r="B45" i="86"/>
  <c r="C45" i="86" s="1"/>
  <c r="B49" i="86"/>
  <c r="C49" i="86" s="1"/>
  <c r="B53" i="86"/>
  <c r="C53" i="86" s="1"/>
  <c r="B57" i="86"/>
  <c r="C57" i="86" s="1"/>
  <c r="B61" i="86"/>
  <c r="C61" i="86" s="1"/>
  <c r="B65" i="86"/>
  <c r="C65" i="86" s="1"/>
  <c r="B73" i="86"/>
  <c r="C73" i="86" s="1"/>
  <c r="B77" i="86"/>
  <c r="C77" i="86" s="1"/>
  <c r="B81" i="86"/>
  <c r="C81" i="86" s="1"/>
  <c r="B85" i="86"/>
  <c r="C85" i="86" s="1"/>
  <c r="B89" i="86"/>
  <c r="C89" i="86" s="1"/>
  <c r="B93" i="86"/>
  <c r="C93" i="86" s="1"/>
  <c r="B97" i="86"/>
  <c r="C97" i="86" s="1"/>
  <c r="B101" i="86"/>
  <c r="C101" i="86" s="1"/>
  <c r="B105" i="86"/>
  <c r="C105" i="86" s="1"/>
  <c r="B109" i="86"/>
  <c r="C109" i="86" s="1"/>
  <c r="B113" i="86"/>
  <c r="C113" i="86" s="1"/>
  <c r="B117" i="86"/>
  <c r="C117" i="86" s="1"/>
  <c r="B121" i="86"/>
  <c r="C121" i="86" s="1"/>
  <c r="B125" i="86"/>
  <c r="C125" i="86" s="1"/>
  <c r="B129" i="86"/>
  <c r="C129" i="86" s="1"/>
  <c r="B137" i="86"/>
  <c r="C137" i="86" s="1"/>
  <c r="B145" i="86"/>
  <c r="C145" i="86" s="1"/>
  <c r="B153" i="86"/>
  <c r="C153" i="86" s="1"/>
  <c r="B165" i="86"/>
  <c r="C165" i="86" s="1"/>
  <c r="B6" i="86"/>
  <c r="C6" i="86" s="1"/>
  <c r="B14" i="86"/>
  <c r="C14" i="86" s="1"/>
  <c r="B18" i="86"/>
  <c r="C18" i="86" s="1"/>
  <c r="B22" i="86"/>
  <c r="C22" i="86" s="1"/>
  <c r="B30" i="86"/>
  <c r="C30" i="86" s="1"/>
  <c r="B34" i="86"/>
  <c r="C34" i="86" s="1"/>
  <c r="B38" i="86"/>
  <c r="C38" i="86" s="1"/>
  <c r="B42" i="86"/>
  <c r="C42" i="86" s="1"/>
  <c r="B46" i="86"/>
  <c r="C46" i="86" s="1"/>
  <c r="B50" i="86"/>
  <c r="C50" i="86" s="1"/>
  <c r="B54" i="86"/>
  <c r="C54" i="86" s="1"/>
  <c r="B58" i="86"/>
  <c r="C58" i="86" s="1"/>
  <c r="B62" i="86"/>
  <c r="C62" i="86" s="1"/>
  <c r="B66" i="86"/>
  <c r="C66" i="86" s="1"/>
  <c r="B70" i="86"/>
  <c r="C70" i="86" s="1"/>
  <c r="B74" i="86"/>
  <c r="C74" i="86" s="1"/>
  <c r="B78" i="86"/>
  <c r="C78" i="86" s="1"/>
  <c r="B82" i="86"/>
  <c r="C82" i="86" s="1"/>
  <c r="B86" i="86"/>
  <c r="C86" i="86" s="1"/>
  <c r="B90" i="86"/>
  <c r="C90" i="86" s="1"/>
  <c r="B94" i="86"/>
  <c r="C94" i="86" s="1"/>
  <c r="B98" i="86"/>
  <c r="C98" i="86" s="1"/>
  <c r="B102" i="86"/>
  <c r="C102" i="86" s="1"/>
  <c r="B106" i="86"/>
  <c r="C106" i="86" s="1"/>
  <c r="B110" i="86"/>
  <c r="C110" i="86" s="1"/>
  <c r="B114" i="86"/>
  <c r="C114" i="86" s="1"/>
  <c r="B118" i="86"/>
  <c r="C118" i="86" s="1"/>
  <c r="B122" i="86"/>
  <c r="C122" i="86" s="1"/>
  <c r="B126" i="86"/>
  <c r="C126" i="86" s="1"/>
  <c r="B130" i="86"/>
  <c r="C130" i="86" s="1"/>
  <c r="B134" i="86"/>
  <c r="C134" i="86" s="1"/>
  <c r="B138" i="86"/>
  <c r="C138" i="86" s="1"/>
  <c r="B142" i="86"/>
  <c r="C142" i="86" s="1"/>
  <c r="B146" i="86"/>
  <c r="C146" i="86" s="1"/>
  <c r="B150" i="86"/>
  <c r="C150" i="86" s="1"/>
  <c r="B154" i="86"/>
  <c r="C154" i="86" s="1"/>
  <c r="B158" i="86"/>
  <c r="C158" i="86" s="1"/>
  <c r="B162" i="86"/>
  <c r="C162" i="86" s="1"/>
  <c r="B166" i="86"/>
  <c r="C166" i="86" s="1"/>
  <c r="B170" i="86"/>
  <c r="C170" i="86" s="1"/>
  <c r="B174" i="86"/>
  <c r="C174" i="86" s="1"/>
  <c r="B178" i="86"/>
  <c r="C178" i="86" s="1"/>
  <c r="B182" i="86"/>
  <c r="C182" i="86" s="1"/>
  <c r="B186" i="86"/>
  <c r="C186" i="86" s="1"/>
  <c r="B190" i="86"/>
  <c r="C190" i="86" s="1"/>
  <c r="B194" i="86"/>
  <c r="C194" i="86" s="1"/>
  <c r="B198" i="86"/>
  <c r="C198" i="86" s="1"/>
  <c r="B202" i="86"/>
  <c r="C202" i="86" s="1"/>
  <c r="B206" i="86"/>
  <c r="C206" i="86" s="1"/>
  <c r="B210" i="86"/>
  <c r="C210" i="86" s="1"/>
  <c r="B214" i="86"/>
  <c r="C214" i="86" s="1"/>
  <c r="B218" i="86"/>
  <c r="C218" i="86" s="1"/>
  <c r="B222" i="86"/>
  <c r="C222" i="86" s="1"/>
  <c r="B226" i="86"/>
  <c r="C226" i="86" s="1"/>
  <c r="B230" i="86"/>
  <c r="C230" i="86" s="1"/>
  <c r="B234" i="86"/>
  <c r="C234" i="86" s="1"/>
  <c r="B238" i="86"/>
  <c r="C238" i="86" s="1"/>
  <c r="B242" i="86"/>
  <c r="C242" i="86" s="1"/>
  <c r="B246" i="86"/>
  <c r="C246" i="86" s="1"/>
  <c r="B250" i="86"/>
  <c r="C250" i="86" s="1"/>
  <c r="B254" i="86"/>
  <c r="C254" i="86" s="1"/>
  <c r="B258" i="86"/>
  <c r="C258" i="86" s="1"/>
  <c r="B262" i="86"/>
  <c r="C262" i="86" s="1"/>
  <c r="B266" i="86"/>
  <c r="C266" i="86" s="1"/>
  <c r="B270" i="86"/>
  <c r="C270" i="86" s="1"/>
  <c r="B274" i="86"/>
  <c r="C274" i="86" s="1"/>
  <c r="B278" i="86"/>
  <c r="C278" i="86" s="1"/>
  <c r="B282" i="86"/>
  <c r="C282" i="86" s="1"/>
  <c r="B286" i="86"/>
  <c r="C286" i="86" s="1"/>
  <c r="B290" i="86"/>
  <c r="C290" i="86" s="1"/>
  <c r="B294" i="86"/>
  <c r="C294" i="86" s="1"/>
  <c r="B298" i="86"/>
  <c r="C298" i="86" s="1"/>
  <c r="B302" i="86"/>
  <c r="C302" i="86" s="1"/>
  <c r="B306" i="86"/>
  <c r="C306" i="86" s="1"/>
  <c r="B310" i="86"/>
  <c r="C310" i="86" s="1"/>
  <c r="B314" i="86"/>
  <c r="C314" i="86" s="1"/>
  <c r="B318" i="86"/>
  <c r="C318" i="86" s="1"/>
  <c r="B322" i="86"/>
  <c r="C322" i="86" s="1"/>
  <c r="B326" i="86"/>
  <c r="C326" i="86" s="1"/>
  <c r="B330" i="86"/>
  <c r="C330" i="86" s="1"/>
  <c r="B334" i="86"/>
  <c r="C334" i="86" s="1"/>
  <c r="B338" i="86"/>
  <c r="C338" i="86" s="1"/>
  <c r="B342" i="86"/>
  <c r="C342" i="86" s="1"/>
  <c r="B350" i="86"/>
  <c r="C350" i="86" s="1"/>
  <c r="B354" i="86"/>
  <c r="C354" i="86" s="1"/>
  <c r="B358" i="86"/>
  <c r="C358" i="86" s="1"/>
  <c r="B366" i="86"/>
  <c r="C366" i="86" s="1"/>
  <c r="B370" i="86"/>
  <c r="C370" i="86" s="1"/>
  <c r="B374" i="86"/>
  <c r="C374" i="86" s="1"/>
  <c r="B382" i="86"/>
  <c r="C382" i="86" s="1"/>
  <c r="B386" i="86"/>
  <c r="C386" i="86" s="1"/>
  <c r="B390" i="86"/>
  <c r="C390" i="86" s="1"/>
  <c r="B398" i="86"/>
  <c r="C398" i="86" s="1"/>
  <c r="B402" i="86"/>
  <c r="C402" i="86" s="1"/>
  <c r="B261" i="86"/>
  <c r="C261" i="86" s="1"/>
  <c r="B253" i="86"/>
  <c r="C253" i="86" s="1"/>
  <c r="B245" i="86"/>
  <c r="C245" i="86" s="1"/>
  <c r="B229" i="86"/>
  <c r="C229" i="86" s="1"/>
  <c r="B213" i="86"/>
  <c r="C213" i="86" s="1"/>
  <c r="B197" i="86"/>
  <c r="C197" i="86" s="1"/>
  <c r="B189" i="86"/>
  <c r="C189" i="86" s="1"/>
  <c r="C394" i="86"/>
  <c r="C211" i="86"/>
  <c r="C183" i="86"/>
  <c r="C155" i="86"/>
  <c r="C91" i="86"/>
  <c r="B13" i="86"/>
  <c r="C13" i="86" s="1"/>
  <c r="B29" i="86"/>
  <c r="C29" i="86" s="1"/>
  <c r="B141" i="86"/>
  <c r="C141" i="86" s="1"/>
  <c r="B149" i="86"/>
  <c r="C149" i="86" s="1"/>
  <c r="B157" i="86"/>
  <c r="C157" i="86" s="1"/>
  <c r="C173" i="86"/>
  <c r="C221" i="86"/>
  <c r="C237" i="86"/>
  <c r="C277" i="86"/>
  <c r="B7" i="86"/>
  <c r="C7" i="86" s="1"/>
  <c r="B11" i="86"/>
  <c r="C11" i="86" s="1"/>
  <c r="C15" i="86"/>
  <c r="B19" i="86"/>
  <c r="C19" i="86" s="1"/>
  <c r="B23" i="86"/>
  <c r="C23" i="86" s="1"/>
  <c r="C35" i="86"/>
  <c r="C51" i="86"/>
  <c r="C67" i="86"/>
  <c r="C83" i="86"/>
  <c r="C99" i="86"/>
  <c r="C115" i="86"/>
  <c r="C131" i="86"/>
  <c r="C147" i="86"/>
  <c r="C163" i="86"/>
  <c r="C263" i="86"/>
  <c r="C279" i="86"/>
  <c r="C295" i="86"/>
  <c r="C327" i="86"/>
  <c r="B203" i="86"/>
  <c r="C203" i="86" s="1"/>
  <c r="B195" i="86"/>
  <c r="C195" i="86" s="1"/>
  <c r="B187" i="86"/>
  <c r="C187" i="86" s="1"/>
  <c r="B179" i="86"/>
  <c r="C179" i="86" s="1"/>
  <c r="B171" i="86"/>
  <c r="C171" i="86" s="1"/>
  <c r="B159" i="86"/>
  <c r="C159" i="86" s="1"/>
  <c r="B143" i="86"/>
  <c r="C143" i="86" s="1"/>
  <c r="B127" i="86"/>
  <c r="C127" i="86" s="1"/>
  <c r="B111" i="86"/>
  <c r="C111" i="86" s="1"/>
  <c r="B95" i="86"/>
  <c r="C95" i="86" s="1"/>
  <c r="B79" i="86"/>
  <c r="C79" i="86" s="1"/>
  <c r="B63" i="86"/>
  <c r="C63" i="86" s="1"/>
  <c r="B47" i="86"/>
  <c r="C47" i="86" s="1"/>
  <c r="B31" i="86"/>
  <c r="C31" i="86" s="1"/>
  <c r="B10" i="86"/>
  <c r="C10" i="86" s="1"/>
  <c r="C388" i="86"/>
  <c r="C346" i="86"/>
  <c r="C232" i="86"/>
  <c r="C204" i="86"/>
  <c r="C176" i="86"/>
  <c r="C144" i="86"/>
  <c r="C69" i="86"/>
  <c r="C181" i="86"/>
  <c r="C205" i="86"/>
  <c r="C269" i="86"/>
  <c r="B8" i="86"/>
  <c r="C8" i="86" s="1"/>
  <c r="B12" i="86"/>
  <c r="C12" i="86" s="1"/>
  <c r="B16" i="86"/>
  <c r="C16" i="86" s="1"/>
  <c r="B24" i="86"/>
  <c r="C24" i="86" s="1"/>
  <c r="B28" i="86"/>
  <c r="C28" i="86" s="1"/>
  <c r="B32" i="86"/>
  <c r="C32" i="86" s="1"/>
  <c r="B36" i="86"/>
  <c r="C36" i="86" s="1"/>
  <c r="B40" i="86"/>
  <c r="C40" i="86" s="1"/>
  <c r="B44" i="86"/>
  <c r="C44" i="86" s="1"/>
  <c r="B52" i="86"/>
  <c r="C52" i="86" s="1"/>
  <c r="B56" i="86"/>
  <c r="C56" i="86" s="1"/>
  <c r="B60" i="86"/>
  <c r="C60" i="86" s="1"/>
  <c r="B64" i="86"/>
  <c r="C64" i="86" s="1"/>
  <c r="B68" i="86"/>
  <c r="C68" i="86" s="1"/>
  <c r="B72" i="86"/>
  <c r="C72" i="86" s="1"/>
  <c r="B76" i="86"/>
  <c r="C76" i="86" s="1"/>
  <c r="B80" i="86"/>
  <c r="C80" i="86" s="1"/>
  <c r="B84" i="86"/>
  <c r="C84" i="86" s="1"/>
  <c r="B88" i="86"/>
  <c r="C88" i="86" s="1"/>
  <c r="B92" i="86"/>
  <c r="C92" i="86" s="1"/>
  <c r="B96" i="86"/>
  <c r="C96" i="86" s="1"/>
  <c r="B100" i="86"/>
  <c r="C100" i="86" s="1"/>
  <c r="B104" i="86"/>
  <c r="C104" i="86" s="1"/>
  <c r="B108" i="86"/>
  <c r="C108" i="86" s="1"/>
  <c r="B116" i="86"/>
  <c r="C116" i="86" s="1"/>
  <c r="B120" i="86"/>
  <c r="C120" i="86" s="1"/>
  <c r="B124" i="86"/>
  <c r="C124" i="86" s="1"/>
  <c r="B128" i="86"/>
  <c r="C128" i="86" s="1"/>
  <c r="B132" i="86"/>
  <c r="C132" i="86" s="1"/>
  <c r="B136" i="86"/>
  <c r="C136" i="86" s="1"/>
  <c r="B140" i="86"/>
  <c r="C140" i="86" s="1"/>
  <c r="B148" i="86"/>
  <c r="C148" i="86" s="1"/>
  <c r="B152" i="86"/>
  <c r="C152" i="86" s="1"/>
  <c r="B156" i="86"/>
  <c r="C156" i="86" s="1"/>
  <c r="B160" i="86"/>
  <c r="C160" i="86" s="1"/>
  <c r="B164" i="86"/>
  <c r="C164" i="86" s="1"/>
  <c r="B172" i="86"/>
  <c r="C172" i="86" s="1"/>
  <c r="B180" i="86"/>
  <c r="C180" i="86" s="1"/>
  <c r="B184" i="86"/>
  <c r="C184" i="86" s="1"/>
  <c r="B188" i="86"/>
  <c r="C188" i="86" s="1"/>
  <c r="B192" i="86"/>
  <c r="C192" i="86" s="1"/>
  <c r="B196" i="86"/>
  <c r="C196" i="86" s="1"/>
  <c r="B200" i="86"/>
  <c r="C200" i="86" s="1"/>
  <c r="B208" i="86"/>
  <c r="C208" i="86" s="1"/>
  <c r="B212" i="86"/>
  <c r="C212" i="86" s="1"/>
  <c r="B216" i="86"/>
  <c r="C216" i="86" s="1"/>
  <c r="B220" i="86"/>
  <c r="C220" i="86" s="1"/>
  <c r="B224" i="86"/>
  <c r="C224" i="86" s="1"/>
  <c r="B228" i="86"/>
  <c r="C228" i="86" s="1"/>
  <c r="B236" i="86"/>
  <c r="C236" i="86" s="1"/>
  <c r="B244" i="86"/>
  <c r="C244" i="86" s="1"/>
  <c r="B248" i="86"/>
  <c r="C248" i="86" s="1"/>
  <c r="B252" i="86"/>
  <c r="C252" i="86" s="1"/>
  <c r="B256" i="86"/>
  <c r="C256" i="86" s="1"/>
  <c r="B260" i="86"/>
  <c r="C260" i="86" s="1"/>
  <c r="B264" i="86"/>
  <c r="C264" i="86" s="1"/>
  <c r="B272" i="86"/>
  <c r="C272" i="86" s="1"/>
  <c r="B276" i="86"/>
  <c r="C276" i="86" s="1"/>
  <c r="B280" i="86"/>
  <c r="C280" i="86" s="1"/>
  <c r="B284" i="86"/>
  <c r="C284" i="86" s="1"/>
  <c r="B288" i="86"/>
  <c r="C288" i="86" s="1"/>
  <c r="B292" i="86"/>
  <c r="C292" i="86" s="1"/>
  <c r="B300" i="86"/>
  <c r="C300" i="86" s="1"/>
  <c r="B308" i="86"/>
  <c r="C308" i="86" s="1"/>
  <c r="B312" i="86"/>
  <c r="C312" i="86" s="1"/>
  <c r="B316" i="86"/>
  <c r="C316" i="86" s="1"/>
  <c r="B320" i="86"/>
  <c r="C320" i="86" s="1"/>
  <c r="B324" i="86"/>
  <c r="C324" i="86" s="1"/>
  <c r="B328" i="86"/>
  <c r="C328" i="86" s="1"/>
  <c r="B336" i="86"/>
  <c r="C336" i="86" s="1"/>
  <c r="B340" i="86"/>
  <c r="C340" i="86" s="1"/>
  <c r="B344" i="86"/>
  <c r="C344" i="86" s="1"/>
  <c r="B348" i="86"/>
  <c r="C348" i="86" s="1"/>
  <c r="B352" i="86"/>
  <c r="C352" i="86" s="1"/>
  <c r="B360" i="86"/>
  <c r="C360" i="86" s="1"/>
  <c r="B364" i="86"/>
  <c r="C364" i="86" s="1"/>
  <c r="B368" i="86"/>
  <c r="C368" i="86" s="1"/>
  <c r="B376" i="86"/>
  <c r="C376" i="86" s="1"/>
  <c r="B380" i="86"/>
  <c r="C380" i="86" s="1"/>
  <c r="B384" i="86"/>
  <c r="C384" i="86" s="1"/>
  <c r="B392" i="86"/>
  <c r="C392" i="86" s="1"/>
  <c r="B396" i="86"/>
  <c r="C396" i="86" s="1"/>
  <c r="B400" i="86"/>
  <c r="C400" i="86" s="1"/>
  <c r="B273" i="86"/>
  <c r="C273" i="86" s="1"/>
  <c r="B265" i="86"/>
  <c r="C265" i="86" s="1"/>
  <c r="B257" i="86"/>
  <c r="C257" i="86" s="1"/>
  <c r="B249" i="86"/>
  <c r="C249" i="86" s="1"/>
  <c r="B241" i="86"/>
  <c r="C241" i="86" s="1"/>
  <c r="B233" i="86"/>
  <c r="C233" i="86" s="1"/>
  <c r="B225" i="86"/>
  <c r="C225" i="86" s="1"/>
  <c r="B217" i="86"/>
  <c r="C217" i="86" s="1"/>
  <c r="B209" i="86"/>
  <c r="C209" i="86" s="1"/>
  <c r="B201" i="86"/>
  <c r="C201" i="86" s="1"/>
  <c r="B193" i="86"/>
  <c r="C193" i="86" s="1"/>
  <c r="B185" i="86"/>
  <c r="C185" i="86" s="1"/>
  <c r="B177" i="86"/>
  <c r="C177" i="86" s="1"/>
  <c r="B169" i="86"/>
  <c r="C169" i="86" s="1"/>
  <c r="B139" i="86"/>
  <c r="C139" i="86" s="1"/>
  <c r="B123" i="86"/>
  <c r="C123" i="86" s="1"/>
  <c r="B107" i="86"/>
  <c r="C107" i="86" s="1"/>
  <c r="B75" i="86"/>
  <c r="C75" i="86" s="1"/>
  <c r="B59" i="86"/>
  <c r="C59" i="86" s="1"/>
  <c r="B43" i="86"/>
  <c r="C43" i="86" s="1"/>
  <c r="B26" i="86"/>
  <c r="C26" i="86" s="1"/>
  <c r="C404" i="86"/>
  <c r="C362" i="86"/>
  <c r="C168" i="86"/>
  <c r="C133" i="86"/>
  <c r="C48" i="86"/>
  <c r="B207" i="86"/>
  <c r="C207" i="86" s="1"/>
  <c r="B199" i="86"/>
  <c r="C199" i="86" s="1"/>
  <c r="B191" i="86"/>
  <c r="C191" i="86" s="1"/>
  <c r="B175" i="86"/>
  <c r="C175" i="86" s="1"/>
  <c r="B167" i="86"/>
  <c r="C167" i="86" s="1"/>
  <c r="B151" i="86"/>
  <c r="C151" i="86" s="1"/>
  <c r="B135" i="86"/>
  <c r="C135" i="86" s="1"/>
  <c r="B119" i="86"/>
  <c r="C119" i="86" s="1"/>
  <c r="B103" i="86"/>
  <c r="C103" i="86" s="1"/>
  <c r="B87" i="86"/>
  <c r="C87" i="86" s="1"/>
  <c r="B71" i="86"/>
  <c r="C71" i="86" s="1"/>
  <c r="B55" i="86"/>
  <c r="C55" i="86" s="1"/>
  <c r="B39" i="86"/>
  <c r="C39" i="86" s="1"/>
  <c r="B20" i="86"/>
  <c r="C20" i="86" s="1"/>
  <c r="C378" i="86"/>
  <c r="C356" i="86"/>
  <c r="C332" i="86"/>
  <c r="C304" i="86"/>
  <c r="C161" i="86"/>
  <c r="C112" i="86"/>
  <c r="C27" i="86"/>
  <c r="C297" i="86"/>
  <c r="C313" i="86"/>
  <c r="C329" i="86"/>
  <c r="C345" i="86"/>
  <c r="C349" i="86"/>
  <c r="C353" i="86"/>
  <c r="C357" i="86"/>
  <c r="C361" i="86"/>
  <c r="C365" i="86"/>
  <c r="C369" i="86"/>
  <c r="C373" i="86"/>
  <c r="C377" i="86"/>
  <c r="C381" i="86"/>
  <c r="C385" i="86"/>
  <c r="C389" i="86"/>
  <c r="C393" i="86"/>
  <c r="C397" i="86"/>
  <c r="C401" i="86"/>
  <c r="C5" i="86"/>
  <c r="C223" i="86"/>
  <c r="C239" i="86"/>
  <c r="C255" i="86"/>
  <c r="C271" i="86"/>
  <c r="C287" i="86"/>
  <c r="C303" i="86"/>
  <c r="C319" i="86"/>
  <c r="C335" i="86"/>
  <c r="F17" i="83"/>
  <c r="F16" i="83"/>
  <c r="F12" i="83" l="1"/>
  <c r="F22" i="82" l="1"/>
  <c r="F21" i="82"/>
  <c r="F17" i="84"/>
  <c r="F16" i="84"/>
  <c r="F12" i="82" l="1"/>
  <c r="F12" i="84"/>
  <c r="F17" i="79"/>
  <c r="F16" i="79"/>
  <c r="F12" i="79" l="1"/>
  <c r="F23" i="81" l="1"/>
  <c r="F22" i="81"/>
  <c r="F12" i="81" l="1"/>
  <c r="F17" i="77"/>
  <c r="F16" i="77"/>
  <c r="F12" i="77" l="1"/>
  <c r="I14" i="76" l="1"/>
  <c r="G5" i="76"/>
  <c r="G4" i="76"/>
  <c r="D5" i="76"/>
  <c r="D4" i="76"/>
  <c r="I12" i="76" l="1"/>
  <c r="I22" i="76"/>
  <c r="B2" i="86" l="1"/>
  <c r="B2" i="85"/>
  <c r="A8" i="75"/>
  <c r="A7" i="75"/>
  <c r="AG8" i="74" l="1" a="1"/>
  <c r="AG8" i="74" s="1"/>
  <c r="AG1" i="74" l="1" a="1"/>
  <c r="AG1" i="74" s="1"/>
  <c r="B8" i="75" s="1"/>
  <c r="AO5" i="68" l="1" a="1"/>
  <c r="AO5" i="68" s="1"/>
  <c r="AO1" i="68" s="1" a="1"/>
  <c r="AO1" i="68" l="1"/>
  <c r="B7" i="75" s="1"/>
  <c r="B4" i="75" s="1"/>
  <c r="AL1" i="23"/>
  <c r="AK1" i="23"/>
  <c r="AJ1" i="23"/>
  <c r="AI1" i="23"/>
  <c r="AH1" i="23"/>
  <c r="AG1" i="23"/>
  <c r="AF1" i="23"/>
  <c r="AE1" i="23"/>
  <c r="AD1" i="23"/>
  <c r="AC1" i="23"/>
  <c r="AB1" i="23"/>
  <c r="AA1" i="23"/>
  <c r="Z1" i="23"/>
  <c r="Y1" i="23"/>
  <c r="X1" i="23"/>
  <c r="W1" i="23"/>
  <c r="V1" i="23"/>
  <c r="U1" i="23"/>
  <c r="T1" i="23"/>
  <c r="S1" i="23"/>
  <c r="R1" i="23"/>
  <c r="Q1" i="23"/>
  <c r="P1" i="23"/>
  <c r="O1" i="23"/>
  <c r="N1" i="23"/>
  <c r="M1" i="23"/>
  <c r="L1" i="23"/>
  <c r="K1" i="23"/>
  <c r="J1" i="23"/>
  <c r="I1" i="23"/>
  <c r="H1" i="23"/>
  <c r="G1" i="23"/>
  <c r="F1" i="23"/>
  <c r="E1" i="23"/>
  <c r="D1" i="23"/>
  <c r="C1" i="23"/>
  <c r="B1" i="23"/>
  <c r="I25" i="76" l="1"/>
  <c r="G213" i="81"/>
  <c r="F362" i="83"/>
  <c r="G362" i="83" s="1"/>
  <c r="G297" i="82"/>
  <c r="F166" i="82"/>
  <c r="F253" i="83"/>
  <c r="G253" i="83" s="1"/>
  <c r="F335" i="83"/>
  <c r="G335" i="83" s="1"/>
  <c r="G95" i="81"/>
  <c r="F377" i="77"/>
  <c r="G377" i="77" s="1"/>
  <c r="F366" i="82"/>
  <c r="G166" i="82"/>
  <c r="F213" i="81"/>
  <c r="F361" i="83"/>
  <c r="G361" i="83" s="1"/>
  <c r="F297" i="82"/>
  <c r="G380" i="82"/>
  <c r="G366" i="82"/>
  <c r="F104" i="79"/>
  <c r="G104" i="79" s="1"/>
  <c r="F252" i="83"/>
  <c r="G252" i="83" s="1"/>
  <c r="F291" i="83"/>
  <c r="G291" i="83" s="1"/>
  <c r="F380" i="82"/>
  <c r="G241" i="82"/>
  <c r="F161" i="83"/>
  <c r="G161" i="83" s="1"/>
  <c r="F193" i="77"/>
  <c r="G193" i="77" s="1"/>
  <c r="G281" i="82"/>
  <c r="G340" i="82"/>
  <c r="I197" i="76"/>
  <c r="F208" i="79"/>
  <c r="G208" i="79" s="1"/>
  <c r="F281" i="82"/>
  <c r="F340" i="82"/>
  <c r="H340" i="82" s="1"/>
  <c r="F95" i="81"/>
  <c r="F241" i="82"/>
  <c r="F294" i="81"/>
  <c r="I313" i="76"/>
  <c r="I312" i="76"/>
  <c r="I311" i="76"/>
  <c r="F309" i="79"/>
  <c r="G309" i="79" s="1"/>
  <c r="F308" i="79"/>
  <c r="G308" i="79" s="1"/>
  <c r="F262" i="82"/>
  <c r="F374" i="82"/>
  <c r="F371" i="83"/>
  <c r="G371" i="83" s="1"/>
  <c r="F351" i="77"/>
  <c r="G351" i="77" s="1"/>
  <c r="G374" i="81"/>
  <c r="G293" i="81"/>
  <c r="F370" i="83"/>
  <c r="G370" i="83" s="1"/>
  <c r="F374" i="81"/>
  <c r="F293" i="81"/>
  <c r="G375" i="82"/>
  <c r="F386" i="77"/>
  <c r="G386" i="77" s="1"/>
  <c r="F288" i="83"/>
  <c r="G288" i="83" s="1"/>
  <c r="F375" i="82"/>
  <c r="H375" i="82" s="1"/>
  <c r="F385" i="77"/>
  <c r="G385" i="77" s="1"/>
  <c r="G262" i="82"/>
  <c r="G374" i="82"/>
  <c r="F307" i="79"/>
  <c r="G307" i="79" s="1"/>
  <c r="G294" i="81"/>
  <c r="F149" i="83"/>
  <c r="G149" i="83" s="1"/>
  <c r="I308" i="76"/>
  <c r="I246" i="76"/>
  <c r="I242" i="76"/>
  <c r="G157" i="82"/>
  <c r="G155" i="82"/>
  <c r="G130" i="82"/>
  <c r="F204" i="79"/>
  <c r="G204" i="79" s="1"/>
  <c r="F153" i="79"/>
  <c r="G153" i="79" s="1"/>
  <c r="F149" i="79"/>
  <c r="G149" i="79" s="1"/>
  <c r="F84" i="77"/>
  <c r="G84" i="77" s="1"/>
  <c r="F143" i="81"/>
  <c r="F141" i="81"/>
  <c r="F139" i="81"/>
  <c r="F96" i="81"/>
  <c r="F116" i="77"/>
  <c r="G116" i="77" s="1"/>
  <c r="G210" i="81"/>
  <c r="F186" i="77"/>
  <c r="G186" i="77" s="1"/>
  <c r="F245" i="81"/>
  <c r="F286" i="83"/>
  <c r="G286" i="83" s="1"/>
  <c r="G260" i="82"/>
  <c r="G226" i="82"/>
  <c r="F355" i="83"/>
  <c r="G355" i="83" s="1"/>
  <c r="F361" i="82"/>
  <c r="F359" i="82"/>
  <c r="G356" i="81"/>
  <c r="I247" i="76"/>
  <c r="I59" i="76"/>
  <c r="F154" i="79"/>
  <c r="G154" i="79" s="1"/>
  <c r="F85" i="77"/>
  <c r="G85" i="77" s="1"/>
  <c r="G139" i="81"/>
  <c r="F209" i="81"/>
  <c r="F213" i="77"/>
  <c r="G213" i="77" s="1"/>
  <c r="G361" i="82"/>
  <c r="F152" i="83"/>
  <c r="G152" i="83" s="1"/>
  <c r="F125" i="83"/>
  <c r="G125" i="83" s="1"/>
  <c r="I307" i="76"/>
  <c r="I245" i="76"/>
  <c r="I199" i="76"/>
  <c r="F157" i="82"/>
  <c r="F155" i="82"/>
  <c r="H155" i="82" s="1"/>
  <c r="F130" i="82"/>
  <c r="F203" i="79"/>
  <c r="G203" i="79" s="1"/>
  <c r="F152" i="79"/>
  <c r="G152" i="79" s="1"/>
  <c r="F106" i="79"/>
  <c r="G106" i="79" s="1"/>
  <c r="G144" i="81"/>
  <c r="G142" i="81"/>
  <c r="G140" i="81"/>
  <c r="G138" i="81"/>
  <c r="G92" i="81"/>
  <c r="F98" i="77"/>
  <c r="G98" i="77" s="1"/>
  <c r="F210" i="81"/>
  <c r="F185" i="77"/>
  <c r="G185" i="77" s="1"/>
  <c r="F285" i="83"/>
  <c r="G285" i="83" s="1"/>
  <c r="F260" i="82"/>
  <c r="F226" i="82"/>
  <c r="F354" i="83"/>
  <c r="G354" i="83" s="1"/>
  <c r="G360" i="82"/>
  <c r="G337" i="82"/>
  <c r="F356" i="81"/>
  <c r="F21" i="84"/>
  <c r="G21" i="84" s="1"/>
  <c r="F154" i="82"/>
  <c r="G143" i="81"/>
  <c r="G96" i="81"/>
  <c r="F117" i="77"/>
  <c r="G117" i="77" s="1"/>
  <c r="G245" i="81"/>
  <c r="F259" i="82"/>
  <c r="G359" i="82"/>
  <c r="F151" i="83"/>
  <c r="G151" i="83" s="1"/>
  <c r="F47" i="83"/>
  <c r="G47" i="83" s="1"/>
  <c r="I248" i="76"/>
  <c r="I244" i="76"/>
  <c r="I194" i="76"/>
  <c r="G156" i="82"/>
  <c r="G154" i="82"/>
  <c r="G52" i="82"/>
  <c r="F155" i="79"/>
  <c r="G155" i="79" s="1"/>
  <c r="F151" i="79"/>
  <c r="G151" i="79" s="1"/>
  <c r="F101" i="79"/>
  <c r="G101" i="79" s="1"/>
  <c r="F144" i="81"/>
  <c r="F142" i="81"/>
  <c r="H142" i="81" s="1"/>
  <c r="F140" i="81"/>
  <c r="F138" i="81"/>
  <c r="F92" i="81"/>
  <c r="F153" i="77"/>
  <c r="G153" i="77" s="1"/>
  <c r="G209" i="81"/>
  <c r="F241" i="79"/>
  <c r="G241" i="79" s="1"/>
  <c r="F217" i="77"/>
  <c r="G217" i="77" s="1"/>
  <c r="G259" i="82"/>
  <c r="F273" i="77"/>
  <c r="G273" i="77" s="1"/>
  <c r="F332" i="83"/>
  <c r="G332" i="83" s="1"/>
  <c r="F360" i="82"/>
  <c r="F337" i="82"/>
  <c r="F150" i="83"/>
  <c r="G150" i="83" s="1"/>
  <c r="I243" i="76"/>
  <c r="F156" i="82"/>
  <c r="F52" i="82"/>
  <c r="F150" i="79"/>
  <c r="G150" i="79" s="1"/>
  <c r="G141" i="81"/>
  <c r="F152" i="77"/>
  <c r="G152" i="77" s="1"/>
  <c r="F221" i="83"/>
  <c r="G221" i="83" s="1"/>
  <c r="F356" i="83"/>
  <c r="G356" i="83" s="1"/>
  <c r="F348" i="77"/>
  <c r="G348" i="77" s="1"/>
  <c r="G377" i="82"/>
  <c r="F377" i="82"/>
  <c r="G296" i="81"/>
  <c r="F296" i="81"/>
  <c r="F388" i="77"/>
  <c r="G388" i="77" s="1"/>
  <c r="F373" i="83"/>
  <c r="G373" i="83" s="1"/>
  <c r="F170" i="83"/>
  <c r="G170" i="83" s="1"/>
  <c r="I264" i="76"/>
  <c r="I80" i="76"/>
  <c r="F73" i="82"/>
  <c r="F79" i="77"/>
  <c r="G79" i="77" s="1"/>
  <c r="G90" i="81"/>
  <c r="F199" i="81"/>
  <c r="F263" i="79"/>
  <c r="G263" i="79" s="1"/>
  <c r="F259" i="77"/>
  <c r="G259" i="77" s="1"/>
  <c r="G239" i="82"/>
  <c r="F294" i="77"/>
  <c r="G294" i="77" s="1"/>
  <c r="G302" i="82"/>
  <c r="F382" i="77"/>
  <c r="G382" i="77" s="1"/>
  <c r="F124" i="83"/>
  <c r="G124" i="83" s="1"/>
  <c r="I198" i="76"/>
  <c r="G175" i="82"/>
  <c r="F194" i="79"/>
  <c r="G194" i="79" s="1"/>
  <c r="F78" i="77"/>
  <c r="G78" i="77" s="1"/>
  <c r="F90" i="81"/>
  <c r="G179" i="81"/>
  <c r="F262" i="79"/>
  <c r="G262" i="79" s="1"/>
  <c r="F276" i="83"/>
  <c r="G276" i="83" s="1"/>
  <c r="F239" i="82"/>
  <c r="F334" i="83"/>
  <c r="G334" i="83" s="1"/>
  <c r="F302" i="82"/>
  <c r="F123" i="83"/>
  <c r="G123" i="83" s="1"/>
  <c r="I196" i="76"/>
  <c r="F175" i="82"/>
  <c r="F193" i="79"/>
  <c r="G193" i="79" s="1"/>
  <c r="G94" i="81"/>
  <c r="F147" i="77"/>
  <c r="G147" i="77" s="1"/>
  <c r="F179" i="81"/>
  <c r="G305" i="81"/>
  <c r="F275" i="83"/>
  <c r="G275" i="83" s="1"/>
  <c r="G237" i="82"/>
  <c r="F333" i="83"/>
  <c r="G333" i="83" s="1"/>
  <c r="G366" i="81"/>
  <c r="F68" i="83"/>
  <c r="G68" i="83" s="1"/>
  <c r="I195" i="76"/>
  <c r="G129" i="82"/>
  <c r="F105" i="79"/>
  <c r="G105" i="79" s="1"/>
  <c r="F94" i="81"/>
  <c r="F135" i="77"/>
  <c r="G135" i="77" s="1"/>
  <c r="F181" i="77"/>
  <c r="G181" i="77" s="1"/>
  <c r="F305" i="81"/>
  <c r="F248" i="83"/>
  <c r="G248" i="83" s="1"/>
  <c r="F237" i="82"/>
  <c r="F297" i="83"/>
  <c r="G297" i="83" s="1"/>
  <c r="F366" i="81"/>
  <c r="I325" i="76"/>
  <c r="I193" i="76"/>
  <c r="F129" i="82"/>
  <c r="F103" i="79"/>
  <c r="G103" i="79" s="1"/>
  <c r="G93" i="81"/>
  <c r="F171" i="77"/>
  <c r="G171" i="77" s="1"/>
  <c r="F180" i="77"/>
  <c r="G180" i="77" s="1"/>
  <c r="G267" i="81"/>
  <c r="F247" i="83"/>
  <c r="G247" i="83" s="1"/>
  <c r="G291" i="82"/>
  <c r="G339" i="82"/>
  <c r="G365" i="81"/>
  <c r="I298" i="76"/>
  <c r="I192" i="76"/>
  <c r="G128" i="82"/>
  <c r="F102" i="79"/>
  <c r="G102" i="79" s="1"/>
  <c r="F93" i="81"/>
  <c r="G200" i="81"/>
  <c r="F321" i="79"/>
  <c r="G321" i="79" s="1"/>
  <c r="F267" i="81"/>
  <c r="F244" i="83"/>
  <c r="G244" i="83" s="1"/>
  <c r="F291" i="82"/>
  <c r="F339" i="82"/>
  <c r="F365" i="81"/>
  <c r="I297" i="76"/>
  <c r="F128" i="82"/>
  <c r="F100" i="79"/>
  <c r="G100" i="79" s="1"/>
  <c r="G91" i="81"/>
  <c r="F200" i="81"/>
  <c r="F299" i="79"/>
  <c r="G299" i="79" s="1"/>
  <c r="G266" i="81"/>
  <c r="G254" i="82"/>
  <c r="G278" i="82"/>
  <c r="G338" i="82"/>
  <c r="F361" i="77"/>
  <c r="G361" i="77" s="1"/>
  <c r="I265" i="76"/>
  <c r="I81" i="76"/>
  <c r="G73" i="82"/>
  <c r="F99" i="79"/>
  <c r="G99" i="79" s="1"/>
  <c r="F91" i="81"/>
  <c r="G199" i="81"/>
  <c r="F298" i="79"/>
  <c r="G298" i="79" s="1"/>
  <c r="F266" i="81"/>
  <c r="F254" i="82"/>
  <c r="F278" i="82"/>
  <c r="F338" i="82"/>
  <c r="F368" i="77"/>
  <c r="G368" i="77" s="1"/>
  <c r="F219" i="83"/>
  <c r="G219" i="83" s="1"/>
  <c r="F206" i="83"/>
  <c r="G206" i="83" s="1"/>
  <c r="F199" i="83"/>
  <c r="G199" i="83" s="1"/>
  <c r="F193" i="83"/>
  <c r="G193" i="83" s="1"/>
  <c r="F187" i="83"/>
  <c r="G187" i="83" s="1"/>
  <c r="F174" i="83"/>
  <c r="G174" i="83" s="1"/>
  <c r="F167" i="83"/>
  <c r="G167" i="83" s="1"/>
  <c r="F160" i="83"/>
  <c r="G160" i="83" s="1"/>
  <c r="F154" i="83"/>
  <c r="G154" i="83" s="1"/>
  <c r="F137" i="83"/>
  <c r="G137" i="83" s="1"/>
  <c r="F130" i="83"/>
  <c r="G130" i="83" s="1"/>
  <c r="F117" i="83"/>
  <c r="G117" i="83" s="1"/>
  <c r="F104" i="83"/>
  <c r="G104" i="83" s="1"/>
  <c r="F97" i="83"/>
  <c r="G97" i="83" s="1"/>
  <c r="F91" i="83"/>
  <c r="G91" i="83" s="1"/>
  <c r="F85" i="83"/>
  <c r="G85" i="83" s="1"/>
  <c r="F72" i="83"/>
  <c r="G72" i="83" s="1"/>
  <c r="F65" i="83"/>
  <c r="G65" i="83" s="1"/>
  <c r="F59" i="83"/>
  <c r="G59" i="83" s="1"/>
  <c r="F53" i="83"/>
  <c r="G53" i="83" s="1"/>
  <c r="F40" i="83"/>
  <c r="G40" i="83" s="1"/>
  <c r="F34" i="83"/>
  <c r="G34" i="83" s="1"/>
  <c r="F28" i="83"/>
  <c r="G28" i="83" s="1"/>
  <c r="F22" i="83"/>
  <c r="G22" i="83" s="1"/>
  <c r="F58" i="79"/>
  <c r="G58" i="79" s="1"/>
  <c r="F51" i="79"/>
  <c r="G51" i="79" s="1"/>
  <c r="F44" i="79"/>
  <c r="G44" i="79" s="1"/>
  <c r="F37" i="79"/>
  <c r="G37" i="79" s="1"/>
  <c r="F29" i="79"/>
  <c r="G29" i="79" s="1"/>
  <c r="F22" i="79"/>
  <c r="G22" i="79" s="1"/>
  <c r="F23" i="84"/>
  <c r="G23" i="84" s="1"/>
  <c r="F277" i="83"/>
  <c r="G277" i="83" s="1"/>
  <c r="F270" i="83"/>
  <c r="G270" i="83" s="1"/>
  <c r="F264" i="83"/>
  <c r="G264" i="83" s="1"/>
  <c r="F258" i="83"/>
  <c r="G258" i="83" s="1"/>
  <c r="F243" i="83"/>
  <c r="G243" i="83" s="1"/>
  <c r="F237" i="83"/>
  <c r="G237" i="83" s="1"/>
  <c r="F231" i="83"/>
  <c r="G231" i="83" s="1"/>
  <c r="F224" i="83"/>
  <c r="G224" i="83" s="1"/>
  <c r="F201" i="79"/>
  <c r="G201" i="79" s="1"/>
  <c r="F188" i="79"/>
  <c r="G188" i="79" s="1"/>
  <c r="F182" i="79"/>
  <c r="G182" i="79" s="1"/>
  <c r="F175" i="79"/>
  <c r="G175" i="79" s="1"/>
  <c r="F169" i="79"/>
  <c r="G169" i="79" s="1"/>
  <c r="F156" i="79"/>
  <c r="G156" i="79" s="1"/>
  <c r="F143" i="79"/>
  <c r="G143" i="79" s="1"/>
  <c r="F136" i="79"/>
  <c r="G136" i="79" s="1"/>
  <c r="F130" i="79"/>
  <c r="G130" i="79" s="1"/>
  <c r="F117" i="79"/>
  <c r="G117" i="79" s="1"/>
  <c r="F111" i="79"/>
  <c r="G111" i="79" s="1"/>
  <c r="F95" i="79"/>
  <c r="G95" i="79" s="1"/>
  <c r="F82" i="79"/>
  <c r="G82" i="79" s="1"/>
  <c r="F76" i="79"/>
  <c r="G76" i="79" s="1"/>
  <c r="F32" i="77"/>
  <c r="G32" i="77" s="1"/>
  <c r="F26" i="77"/>
  <c r="G26" i="77" s="1"/>
  <c r="F353" i="83"/>
  <c r="G353" i="83" s="1"/>
  <c r="F346" i="83"/>
  <c r="G346" i="83" s="1"/>
  <c r="F340" i="83"/>
  <c r="G340" i="83" s="1"/>
  <c r="F325" i="83"/>
  <c r="G325" i="83" s="1"/>
  <c r="F319" i="83"/>
  <c r="G319" i="83" s="1"/>
  <c r="F312" i="83"/>
  <c r="G312" i="83" s="1"/>
  <c r="F305" i="83"/>
  <c r="G305" i="83" s="1"/>
  <c r="F293" i="83"/>
  <c r="G293" i="83" s="1"/>
  <c r="F366" i="79"/>
  <c r="G366" i="79" s="1"/>
  <c r="F359" i="79"/>
  <c r="G359" i="79" s="1"/>
  <c r="F353" i="79"/>
  <c r="G353" i="79" s="1"/>
  <c r="F218" i="83"/>
  <c r="G218" i="83" s="1"/>
  <c r="F212" i="83"/>
  <c r="G212" i="83" s="1"/>
  <c r="F205" i="83"/>
  <c r="G205" i="83" s="1"/>
  <c r="F192" i="83"/>
  <c r="G192" i="83" s="1"/>
  <c r="F186" i="83"/>
  <c r="G186" i="83" s="1"/>
  <c r="F180" i="83"/>
  <c r="G180" i="83" s="1"/>
  <c r="F173" i="83"/>
  <c r="G173" i="83" s="1"/>
  <c r="F159" i="83"/>
  <c r="G159" i="83" s="1"/>
  <c r="F153" i="83"/>
  <c r="G153" i="83" s="1"/>
  <c r="F143" i="83"/>
  <c r="G143" i="83" s="1"/>
  <c r="F136" i="83"/>
  <c r="G136" i="83" s="1"/>
  <c r="F122" i="83"/>
  <c r="G122" i="83" s="1"/>
  <c r="F116" i="83"/>
  <c r="G116" i="83" s="1"/>
  <c r="F110" i="83"/>
  <c r="G110" i="83" s="1"/>
  <c r="F103" i="83"/>
  <c r="G103" i="83" s="1"/>
  <c r="F90" i="83"/>
  <c r="G90" i="83" s="1"/>
  <c r="F84" i="83"/>
  <c r="G84" i="83" s="1"/>
  <c r="F78" i="83"/>
  <c r="G78" i="83" s="1"/>
  <c r="F71" i="83"/>
  <c r="G71" i="83" s="1"/>
  <c r="F58" i="83"/>
  <c r="G58" i="83" s="1"/>
  <c r="F52" i="83"/>
  <c r="G52" i="83" s="1"/>
  <c r="F45" i="83"/>
  <c r="G45" i="83" s="1"/>
  <c r="F39" i="83"/>
  <c r="G39" i="83" s="1"/>
  <c r="F33" i="83"/>
  <c r="G33" i="83" s="1"/>
  <c r="F27" i="83"/>
  <c r="G27" i="83" s="1"/>
  <c r="F21" i="83"/>
  <c r="G21" i="83" s="1"/>
  <c r="F65" i="79"/>
  <c r="G65" i="79" s="1"/>
  <c r="F50" i="79"/>
  <c r="G50" i="79" s="1"/>
  <c r="F43" i="79"/>
  <c r="G43" i="79" s="1"/>
  <c r="F36" i="79"/>
  <c r="G36" i="79" s="1"/>
  <c r="F28" i="79"/>
  <c r="G28" i="79" s="1"/>
  <c r="F21" i="79"/>
  <c r="G21" i="79" s="1"/>
  <c r="F22" i="84"/>
  <c r="G22" i="84" s="1"/>
  <c r="F283" i="83"/>
  <c r="G283" i="83" s="1"/>
  <c r="F263" i="83"/>
  <c r="G263" i="83" s="1"/>
  <c r="F257" i="83"/>
  <c r="G257" i="83" s="1"/>
  <c r="F249" i="83"/>
  <c r="G249" i="83" s="1"/>
  <c r="F242" i="83"/>
  <c r="G242" i="83" s="1"/>
  <c r="F236" i="83"/>
  <c r="G236" i="83" s="1"/>
  <c r="F230" i="83"/>
  <c r="G230" i="83" s="1"/>
  <c r="F200" i="79"/>
  <c r="G200" i="79" s="1"/>
  <c r="F187" i="79"/>
  <c r="G187" i="79" s="1"/>
  <c r="F181" i="79"/>
  <c r="G181" i="79" s="1"/>
  <c r="F168" i="79"/>
  <c r="G168" i="79" s="1"/>
  <c r="F162" i="79"/>
  <c r="G162" i="79" s="1"/>
  <c r="F148" i="79"/>
  <c r="G148" i="79" s="1"/>
  <c r="F142" i="79"/>
  <c r="G142" i="79" s="1"/>
  <c r="F129" i="79"/>
  <c r="G129" i="79" s="1"/>
  <c r="F123" i="79"/>
  <c r="G123" i="79" s="1"/>
  <c r="F116" i="79"/>
  <c r="G116" i="79" s="1"/>
  <c r="F110" i="79"/>
  <c r="G110" i="79" s="1"/>
  <c r="F94" i="79"/>
  <c r="G94" i="79" s="1"/>
  <c r="F88" i="79"/>
  <c r="G88" i="79" s="1"/>
  <c r="F81" i="79"/>
  <c r="G81" i="79" s="1"/>
  <c r="F75" i="79"/>
  <c r="G75" i="79" s="1"/>
  <c r="F25" i="77"/>
  <c r="G25" i="77" s="1"/>
  <c r="F367" i="83"/>
  <c r="G367" i="83" s="1"/>
  <c r="F363" i="83"/>
  <c r="G363" i="83" s="1"/>
  <c r="F352" i="83"/>
  <c r="G352" i="83" s="1"/>
  <c r="F339" i="83"/>
  <c r="G339" i="83" s="1"/>
  <c r="F331" i="83"/>
  <c r="G331" i="83" s="1"/>
  <c r="F324" i="83"/>
  <c r="G324" i="83" s="1"/>
  <c r="F318" i="83"/>
  <c r="G318" i="83" s="1"/>
  <c r="F304" i="83"/>
  <c r="G304" i="83" s="1"/>
  <c r="F217" i="83"/>
  <c r="G217" i="83" s="1"/>
  <c r="F211" i="83"/>
  <c r="G211" i="83" s="1"/>
  <c r="F198" i="83"/>
  <c r="G198" i="83" s="1"/>
  <c r="F191" i="83"/>
  <c r="G191" i="83" s="1"/>
  <c r="F185" i="83"/>
  <c r="G185" i="83" s="1"/>
  <c r="F179" i="83"/>
  <c r="G179" i="83" s="1"/>
  <c r="F166" i="83"/>
  <c r="G166" i="83" s="1"/>
  <c r="F158" i="83"/>
  <c r="G158" i="83" s="1"/>
  <c r="F148" i="83"/>
  <c r="G148" i="83" s="1"/>
  <c r="F142" i="83"/>
  <c r="G142" i="83" s="1"/>
  <c r="F129" i="83"/>
  <c r="G129" i="83" s="1"/>
  <c r="F121" i="83"/>
  <c r="G121" i="83" s="1"/>
  <c r="F115" i="83"/>
  <c r="G115" i="83" s="1"/>
  <c r="F109" i="83"/>
  <c r="G109" i="83" s="1"/>
  <c r="F96" i="83"/>
  <c r="G96" i="83" s="1"/>
  <c r="F89" i="83"/>
  <c r="G89" i="83" s="1"/>
  <c r="F83" i="83"/>
  <c r="G83" i="83" s="1"/>
  <c r="F77" i="83"/>
  <c r="G77" i="83" s="1"/>
  <c r="F64" i="83"/>
  <c r="G64" i="83" s="1"/>
  <c r="F57" i="83"/>
  <c r="G57" i="83" s="1"/>
  <c r="F51" i="83"/>
  <c r="G51" i="83" s="1"/>
  <c r="F44" i="83"/>
  <c r="G44" i="83" s="1"/>
  <c r="F26" i="83"/>
  <c r="G26" i="83" s="1"/>
  <c r="F20" i="83"/>
  <c r="G20" i="83" s="1"/>
  <c r="F64" i="79"/>
  <c r="G64" i="79" s="1"/>
  <c r="F57" i="79"/>
  <c r="G57" i="79" s="1"/>
  <c r="F42" i="79"/>
  <c r="G42" i="79" s="1"/>
  <c r="F35" i="79"/>
  <c r="G35" i="79" s="1"/>
  <c r="F27" i="79"/>
  <c r="G27" i="79" s="1"/>
  <c r="F20" i="79"/>
  <c r="G20" i="79" s="1"/>
  <c r="F20" i="84"/>
  <c r="G20" i="84" s="1"/>
  <c r="F282" i="83"/>
  <c r="G282" i="83" s="1"/>
  <c r="F269" i="83"/>
  <c r="G269" i="83" s="1"/>
  <c r="F262" i="83"/>
  <c r="G262" i="83" s="1"/>
  <c r="F256" i="83"/>
  <c r="G256" i="83" s="1"/>
  <c r="F229" i="83"/>
  <c r="G229" i="83" s="1"/>
  <c r="F223" i="83"/>
  <c r="G223" i="83" s="1"/>
  <c r="F199" i="79"/>
  <c r="G199" i="79" s="1"/>
  <c r="F180" i="79"/>
  <c r="G180" i="79" s="1"/>
  <c r="F174" i="79"/>
  <c r="G174" i="79" s="1"/>
  <c r="F167" i="79"/>
  <c r="G167" i="79" s="1"/>
  <c r="F161" i="79"/>
  <c r="G161" i="79" s="1"/>
  <c r="F141" i="79"/>
  <c r="G141" i="79" s="1"/>
  <c r="F135" i="79"/>
  <c r="G135" i="79" s="1"/>
  <c r="F128" i="79"/>
  <c r="G128" i="79" s="1"/>
  <c r="F122" i="79"/>
  <c r="G122" i="79" s="1"/>
  <c r="F109" i="79"/>
  <c r="G109" i="79" s="1"/>
  <c r="F93" i="79"/>
  <c r="G93" i="79" s="1"/>
  <c r="F87" i="79"/>
  <c r="G87" i="79" s="1"/>
  <c r="F74" i="79"/>
  <c r="G74" i="79" s="1"/>
  <c r="F31" i="77"/>
  <c r="G31" i="77" s="1"/>
  <c r="F24" i="77"/>
  <c r="G24" i="77" s="1"/>
  <c r="F351" i="83"/>
  <c r="G351" i="83" s="1"/>
  <c r="F345" i="83"/>
  <c r="G345" i="83" s="1"/>
  <c r="F338" i="83"/>
  <c r="G338" i="83" s="1"/>
  <c r="F330" i="83"/>
  <c r="G330" i="83" s="1"/>
  <c r="F317" i="83"/>
  <c r="G317" i="83" s="1"/>
  <c r="F310" i="83"/>
  <c r="G310" i="83" s="1"/>
  <c r="F303" i="83"/>
  <c r="G303" i="83" s="1"/>
  <c r="F364" i="79"/>
  <c r="G364" i="79" s="1"/>
  <c r="F358" i="79"/>
  <c r="G358" i="79" s="1"/>
  <c r="F351" i="79"/>
  <c r="G351" i="79" s="1"/>
  <c r="F216" i="83"/>
  <c r="G216" i="83" s="1"/>
  <c r="F210" i="83"/>
  <c r="G210" i="83" s="1"/>
  <c r="F204" i="83"/>
  <c r="G204" i="83" s="1"/>
  <c r="F197" i="83"/>
  <c r="G197" i="83" s="1"/>
  <c r="F184" i="83"/>
  <c r="G184" i="83" s="1"/>
  <c r="F178" i="83"/>
  <c r="G178" i="83" s="1"/>
  <c r="F172" i="83"/>
  <c r="G172" i="83" s="1"/>
  <c r="F165" i="83"/>
  <c r="G165" i="83" s="1"/>
  <c r="F147" i="83"/>
  <c r="G147" i="83" s="1"/>
  <c r="F141" i="83"/>
  <c r="G141" i="83" s="1"/>
  <c r="F135" i="83"/>
  <c r="G135" i="83" s="1"/>
  <c r="F128" i="83"/>
  <c r="G128" i="83" s="1"/>
  <c r="F114" i="83"/>
  <c r="G114" i="83" s="1"/>
  <c r="F108" i="83"/>
  <c r="G108" i="83" s="1"/>
  <c r="F102" i="83"/>
  <c r="G102" i="83" s="1"/>
  <c r="F95" i="83"/>
  <c r="G95" i="83" s="1"/>
  <c r="F82" i="83"/>
  <c r="G82" i="83" s="1"/>
  <c r="F76" i="83"/>
  <c r="G76" i="83" s="1"/>
  <c r="F70" i="83"/>
  <c r="G70" i="83" s="1"/>
  <c r="F63" i="83"/>
  <c r="G63" i="83" s="1"/>
  <c r="F50" i="83"/>
  <c r="G50" i="83" s="1"/>
  <c r="F43" i="83"/>
  <c r="G43" i="83" s="1"/>
  <c r="F38" i="83"/>
  <c r="G38" i="83" s="1"/>
  <c r="F32" i="83"/>
  <c r="G32" i="83" s="1"/>
  <c r="F25" i="83"/>
  <c r="G25" i="83" s="1"/>
  <c r="F70" i="79"/>
  <c r="G70" i="79" s="1"/>
  <c r="F63" i="79"/>
  <c r="G63" i="79" s="1"/>
  <c r="F56" i="79"/>
  <c r="G56" i="79" s="1"/>
  <c r="F49" i="79"/>
  <c r="G49" i="79" s="1"/>
  <c r="F34" i="79"/>
  <c r="G34" i="79" s="1"/>
  <c r="F26" i="79"/>
  <c r="G26" i="79" s="1"/>
  <c r="F21" i="77"/>
  <c r="G21" i="77" s="1"/>
  <c r="F281" i="83"/>
  <c r="G281" i="83" s="1"/>
  <c r="F268" i="83"/>
  <c r="G268" i="83" s="1"/>
  <c r="F255" i="83"/>
  <c r="G255" i="83" s="1"/>
  <c r="F241" i="83"/>
  <c r="G241" i="83" s="1"/>
  <c r="F235" i="83"/>
  <c r="G235" i="83" s="1"/>
  <c r="F228" i="83"/>
  <c r="G228" i="83" s="1"/>
  <c r="F222" i="83"/>
  <c r="G222" i="83" s="1"/>
  <c r="F192" i="79"/>
  <c r="G192" i="79" s="1"/>
  <c r="F186" i="79"/>
  <c r="G186" i="79" s="1"/>
  <c r="F179" i="79"/>
  <c r="G179" i="79" s="1"/>
  <c r="F173" i="79"/>
  <c r="G173" i="79" s="1"/>
  <c r="F160" i="79"/>
  <c r="G160" i="79" s="1"/>
  <c r="F147" i="79"/>
  <c r="G147" i="79" s="1"/>
  <c r="F140" i="79"/>
  <c r="G140" i="79" s="1"/>
  <c r="F134" i="79"/>
  <c r="G134" i="79" s="1"/>
  <c r="F121" i="79"/>
  <c r="G121" i="79" s="1"/>
  <c r="F115" i="79"/>
  <c r="G115" i="79" s="1"/>
  <c r="F108" i="79"/>
  <c r="G108" i="79" s="1"/>
  <c r="F86" i="79"/>
  <c r="G86" i="79" s="1"/>
  <c r="F80" i="79"/>
  <c r="G80" i="79" s="1"/>
  <c r="F73" i="79"/>
  <c r="G73" i="79" s="1"/>
  <c r="F30" i="77"/>
  <c r="G30" i="77" s="1"/>
  <c r="F366" i="83"/>
  <c r="G366" i="83" s="1"/>
  <c r="F360" i="83"/>
  <c r="G360" i="83" s="1"/>
  <c r="F350" i="83"/>
  <c r="G350" i="83" s="1"/>
  <c r="F344" i="83"/>
  <c r="G344" i="83" s="1"/>
  <c r="F329" i="83"/>
  <c r="G329" i="83" s="1"/>
  <c r="F323" i="83"/>
  <c r="G323" i="83" s="1"/>
  <c r="F316" i="83"/>
  <c r="G316" i="83" s="1"/>
  <c r="F309" i="83"/>
  <c r="G309" i="83" s="1"/>
  <c r="F296" i="83"/>
  <c r="G296" i="83" s="1"/>
  <c r="F370" i="79"/>
  <c r="G370" i="79" s="1"/>
  <c r="F363" i="79"/>
  <c r="G363" i="79" s="1"/>
  <c r="F357" i="79"/>
  <c r="G357" i="79" s="1"/>
  <c r="F215" i="83"/>
  <c r="G215" i="83" s="1"/>
  <c r="F209" i="83"/>
  <c r="G209" i="83" s="1"/>
  <c r="F203" i="83"/>
  <c r="G203" i="83" s="1"/>
  <c r="F190" i="83"/>
  <c r="G190" i="83" s="1"/>
  <c r="F183" i="83"/>
  <c r="G183" i="83" s="1"/>
  <c r="F177" i="83"/>
  <c r="G177" i="83" s="1"/>
  <c r="F171" i="83"/>
  <c r="G171" i="83" s="1"/>
  <c r="F157" i="83"/>
  <c r="G157" i="83" s="1"/>
  <c r="F146" i="83"/>
  <c r="G146" i="83" s="1"/>
  <c r="F140" i="83"/>
  <c r="G140" i="83" s="1"/>
  <c r="F134" i="83"/>
  <c r="G134" i="83" s="1"/>
  <c r="F120" i="83"/>
  <c r="G120" i="83" s="1"/>
  <c r="F113" i="83"/>
  <c r="G113" i="83" s="1"/>
  <c r="F107" i="83"/>
  <c r="G107" i="83" s="1"/>
  <c r="F101" i="83"/>
  <c r="G101" i="83" s="1"/>
  <c r="F88" i="83"/>
  <c r="G88" i="83" s="1"/>
  <c r="F81" i="83"/>
  <c r="G81" i="83" s="1"/>
  <c r="F75" i="83"/>
  <c r="G75" i="83" s="1"/>
  <c r="F69" i="83"/>
  <c r="G69" i="83" s="1"/>
  <c r="F56" i="83"/>
  <c r="G56" i="83" s="1"/>
  <c r="F49" i="83"/>
  <c r="G49" i="83" s="1"/>
  <c r="F37" i="83"/>
  <c r="G37" i="83" s="1"/>
  <c r="F31" i="83"/>
  <c r="G31" i="83" s="1"/>
  <c r="F69" i="79"/>
  <c r="G69" i="79" s="1"/>
  <c r="F62" i="79"/>
  <c r="G62" i="79" s="1"/>
  <c r="F55" i="79"/>
  <c r="G55" i="79" s="1"/>
  <c r="F48" i="79"/>
  <c r="G48" i="79" s="1"/>
  <c r="F41" i="79"/>
  <c r="G41" i="79" s="1"/>
  <c r="F25" i="79"/>
  <c r="G25" i="79" s="1"/>
  <c r="F20" i="77"/>
  <c r="G20" i="77" s="1"/>
  <c r="F289" i="83"/>
  <c r="G289" i="83" s="1"/>
  <c r="F280" i="83"/>
  <c r="G280" i="83" s="1"/>
  <c r="F274" i="83"/>
  <c r="G274" i="83" s="1"/>
  <c r="F261" i="83"/>
  <c r="G261" i="83" s="1"/>
  <c r="F254" i="83"/>
  <c r="G254" i="83" s="1"/>
  <c r="F246" i="83"/>
  <c r="G246" i="83" s="1"/>
  <c r="F240" i="83"/>
  <c r="G240" i="83" s="1"/>
  <c r="F234" i="83"/>
  <c r="G234" i="83" s="1"/>
  <c r="F206" i="79"/>
  <c r="G206" i="79" s="1"/>
  <c r="F198" i="79"/>
  <c r="G198" i="79" s="1"/>
  <c r="F191" i="79"/>
  <c r="G191" i="79" s="1"/>
  <c r="F185" i="79"/>
  <c r="G185" i="79" s="1"/>
  <c r="F172" i="79"/>
  <c r="G172" i="79" s="1"/>
  <c r="F166" i="79"/>
  <c r="G166" i="79" s="1"/>
  <c r="F159" i="79"/>
  <c r="G159" i="79" s="1"/>
  <c r="F146" i="79"/>
  <c r="G146" i="79" s="1"/>
  <c r="F133" i="79"/>
  <c r="G133" i="79" s="1"/>
  <c r="F127" i="79"/>
  <c r="G127" i="79" s="1"/>
  <c r="F120" i="79"/>
  <c r="G120" i="79" s="1"/>
  <c r="F114" i="79"/>
  <c r="G114" i="79" s="1"/>
  <c r="F98" i="79"/>
  <c r="G98" i="79" s="1"/>
  <c r="F92" i="79"/>
  <c r="G92" i="79" s="1"/>
  <c r="F85" i="79"/>
  <c r="G85" i="79" s="1"/>
  <c r="F79" i="79"/>
  <c r="G79" i="79" s="1"/>
  <c r="F29" i="77"/>
  <c r="G29" i="77" s="1"/>
  <c r="F23" i="77"/>
  <c r="G23" i="77" s="1"/>
  <c r="F359" i="83"/>
  <c r="G359" i="83" s="1"/>
  <c r="F343" i="83"/>
  <c r="G343" i="83" s="1"/>
  <c r="F337" i="83"/>
  <c r="G337" i="83" s="1"/>
  <c r="F328" i="83"/>
  <c r="G328" i="83" s="1"/>
  <c r="F322" i="83"/>
  <c r="G322" i="83" s="1"/>
  <c r="F308" i="83"/>
  <c r="G308" i="83" s="1"/>
  <c r="F302" i="83"/>
  <c r="G302" i="83" s="1"/>
  <c r="F369" i="79"/>
  <c r="G369" i="79" s="1"/>
  <c r="F356" i="79"/>
  <c r="G356" i="79" s="1"/>
  <c r="F350" i="79"/>
  <c r="G350" i="79" s="1"/>
  <c r="F208" i="83"/>
  <c r="G208" i="83" s="1"/>
  <c r="F202" i="83"/>
  <c r="G202" i="83" s="1"/>
  <c r="F196" i="83"/>
  <c r="G196" i="83" s="1"/>
  <c r="F189" i="83"/>
  <c r="G189" i="83" s="1"/>
  <c r="F176" i="83"/>
  <c r="G176" i="83" s="1"/>
  <c r="F164" i="83"/>
  <c r="G164" i="83" s="1"/>
  <c r="F156" i="83"/>
  <c r="G156" i="83" s="1"/>
  <c r="F139" i="83"/>
  <c r="G139" i="83" s="1"/>
  <c r="F133" i="83"/>
  <c r="G133" i="83" s="1"/>
  <c r="F127" i="83"/>
  <c r="G127" i="83" s="1"/>
  <c r="F119" i="83"/>
  <c r="G119" i="83" s="1"/>
  <c r="F106" i="83"/>
  <c r="G106" i="83" s="1"/>
  <c r="F100" i="83"/>
  <c r="G100" i="83" s="1"/>
  <c r="F94" i="83"/>
  <c r="G94" i="83" s="1"/>
  <c r="F87" i="83"/>
  <c r="G87" i="83" s="1"/>
  <c r="F74" i="83"/>
  <c r="G74" i="83" s="1"/>
  <c r="F62" i="83"/>
  <c r="G62" i="83" s="1"/>
  <c r="F55" i="83"/>
  <c r="G55" i="83" s="1"/>
  <c r="F42" i="83"/>
  <c r="G42" i="83" s="1"/>
  <c r="F24" i="83"/>
  <c r="G24" i="83" s="1"/>
  <c r="F68" i="79"/>
  <c r="G68" i="79" s="1"/>
  <c r="F61" i="79"/>
  <c r="G61" i="79" s="1"/>
  <c r="F54" i="79"/>
  <c r="G54" i="79" s="1"/>
  <c r="F47" i="79"/>
  <c r="G47" i="79" s="1"/>
  <c r="F40" i="79"/>
  <c r="G40" i="79" s="1"/>
  <c r="F32" i="79"/>
  <c r="G32" i="79" s="1"/>
  <c r="F25" i="84"/>
  <c r="G25" i="84" s="1"/>
  <c r="F279" i="83"/>
  <c r="G279" i="83" s="1"/>
  <c r="F273" i="83"/>
  <c r="G273" i="83" s="1"/>
  <c r="F267" i="83"/>
  <c r="G267" i="83" s="1"/>
  <c r="F260" i="83"/>
  <c r="G260" i="83" s="1"/>
  <c r="F245" i="83"/>
  <c r="G245" i="83" s="1"/>
  <c r="F233" i="83"/>
  <c r="G233" i="83" s="1"/>
  <c r="F227" i="83"/>
  <c r="G227" i="83" s="1"/>
  <c r="F205" i="79"/>
  <c r="G205" i="79" s="1"/>
  <c r="F197" i="79"/>
  <c r="G197" i="79" s="1"/>
  <c r="F184" i="79"/>
  <c r="G184" i="79" s="1"/>
  <c r="F178" i="79"/>
  <c r="G178" i="79" s="1"/>
  <c r="F171" i="79"/>
  <c r="G171" i="79" s="1"/>
  <c r="F165" i="79"/>
  <c r="G165" i="79" s="1"/>
  <c r="F145" i="79"/>
  <c r="G145" i="79" s="1"/>
  <c r="F139" i="79"/>
  <c r="G139" i="79" s="1"/>
  <c r="F132" i="79"/>
  <c r="G132" i="79" s="1"/>
  <c r="F126" i="79"/>
  <c r="G126" i="79" s="1"/>
  <c r="F113" i="79"/>
  <c r="G113" i="79" s="1"/>
  <c r="F107" i="79"/>
  <c r="G107" i="79" s="1"/>
  <c r="F97" i="79"/>
  <c r="G97" i="79" s="1"/>
  <c r="F91" i="79"/>
  <c r="G91" i="79" s="1"/>
  <c r="F78" i="79"/>
  <c r="G78" i="79" s="1"/>
  <c r="F72" i="79"/>
  <c r="G72" i="79" s="1"/>
  <c r="F28" i="77"/>
  <c r="G28" i="77" s="1"/>
  <c r="F372" i="83"/>
  <c r="G372" i="83" s="1"/>
  <c r="F365" i="83"/>
  <c r="G365" i="83" s="1"/>
  <c r="F358" i="83"/>
  <c r="G358" i="83" s="1"/>
  <c r="F349" i="83"/>
  <c r="G349" i="83" s="1"/>
  <c r="F342" i="83"/>
  <c r="G342" i="83" s="1"/>
  <c r="F336" i="83"/>
  <c r="G336" i="83" s="1"/>
  <c r="F321" i="83"/>
  <c r="G321" i="83" s="1"/>
  <c r="F315" i="83"/>
  <c r="G315" i="83" s="1"/>
  <c r="F307" i="83"/>
  <c r="G307" i="83" s="1"/>
  <c r="F301" i="83"/>
  <c r="G301" i="83" s="1"/>
  <c r="F368" i="79"/>
  <c r="G368" i="79" s="1"/>
  <c r="F362" i="79"/>
  <c r="G362" i="79" s="1"/>
  <c r="F355" i="79"/>
  <c r="G355" i="79" s="1"/>
  <c r="F349" i="79"/>
  <c r="G349" i="79" s="1"/>
  <c r="F214" i="83"/>
  <c r="G214" i="83" s="1"/>
  <c r="F207" i="83"/>
  <c r="G207" i="83" s="1"/>
  <c r="F201" i="83"/>
  <c r="G201" i="83" s="1"/>
  <c r="F195" i="83"/>
  <c r="G195" i="83" s="1"/>
  <c r="F213" i="83"/>
  <c r="G213" i="83" s="1"/>
  <c r="F200" i="83"/>
  <c r="G200" i="83" s="1"/>
  <c r="F194" i="83"/>
  <c r="G194" i="83" s="1"/>
  <c r="F188" i="83"/>
  <c r="G188" i="83" s="1"/>
  <c r="F181" i="83"/>
  <c r="G181" i="83" s="1"/>
  <c r="F168" i="83"/>
  <c r="G168" i="83" s="1"/>
  <c r="F162" i="83"/>
  <c r="G162" i="83" s="1"/>
  <c r="F155" i="83"/>
  <c r="G155" i="83" s="1"/>
  <c r="F144" i="83"/>
  <c r="G144" i="83" s="1"/>
  <c r="F131" i="83"/>
  <c r="G131" i="83" s="1"/>
  <c r="F118" i="83"/>
  <c r="G118" i="83" s="1"/>
  <c r="F111" i="83"/>
  <c r="G111" i="83" s="1"/>
  <c r="F98" i="83"/>
  <c r="G98" i="83" s="1"/>
  <c r="F92" i="83"/>
  <c r="G92" i="83" s="1"/>
  <c r="F86" i="83"/>
  <c r="G86" i="83" s="1"/>
  <c r="F79" i="83"/>
  <c r="G79" i="83" s="1"/>
  <c r="F66" i="83"/>
  <c r="G66" i="83" s="1"/>
  <c r="F60" i="83"/>
  <c r="G60" i="83" s="1"/>
  <c r="F54" i="83"/>
  <c r="G54" i="83" s="1"/>
  <c r="F46" i="83"/>
  <c r="G46" i="83" s="1"/>
  <c r="F35" i="83"/>
  <c r="G35" i="83" s="1"/>
  <c r="F29" i="83"/>
  <c r="G29" i="83" s="1"/>
  <c r="F66" i="79"/>
  <c r="G66" i="79" s="1"/>
  <c r="F59" i="79"/>
  <c r="G59" i="79" s="1"/>
  <c r="F52" i="79"/>
  <c r="G52" i="79" s="1"/>
  <c r="F45" i="79"/>
  <c r="G45" i="79" s="1"/>
  <c r="F38" i="79"/>
  <c r="G38" i="79" s="1"/>
  <c r="F30" i="79"/>
  <c r="G30" i="79" s="1"/>
  <c r="F23" i="79"/>
  <c r="G23" i="79" s="1"/>
  <c r="F24" i="84"/>
  <c r="G24" i="84" s="1"/>
  <c r="F284" i="83"/>
  <c r="G284" i="83" s="1"/>
  <c r="F271" i="83"/>
  <c r="G271" i="83" s="1"/>
  <c r="F265" i="83"/>
  <c r="G265" i="83" s="1"/>
  <c r="F259" i="83"/>
  <c r="G259" i="83" s="1"/>
  <c r="F250" i="83"/>
  <c r="G250" i="83" s="1"/>
  <c r="F238" i="83"/>
  <c r="G238" i="83" s="1"/>
  <c r="F225" i="83"/>
  <c r="G225" i="83" s="1"/>
  <c r="F202" i="79"/>
  <c r="G202" i="79" s="1"/>
  <c r="F195" i="79"/>
  <c r="G195" i="79" s="1"/>
  <c r="F189" i="79"/>
  <c r="G189" i="79" s="1"/>
  <c r="F176" i="79"/>
  <c r="G176" i="79" s="1"/>
  <c r="F170" i="79"/>
  <c r="G170" i="79" s="1"/>
  <c r="F163" i="79"/>
  <c r="G163" i="79" s="1"/>
  <c r="F157" i="79"/>
  <c r="G157" i="79" s="1"/>
  <c r="F137" i="79"/>
  <c r="G137" i="79" s="1"/>
  <c r="F131" i="79"/>
  <c r="G131" i="79" s="1"/>
  <c r="F124" i="79"/>
  <c r="G124" i="79" s="1"/>
  <c r="F132" i="83"/>
  <c r="G132" i="83" s="1"/>
  <c r="F80" i="83"/>
  <c r="G80" i="83" s="1"/>
  <c r="F30" i="83"/>
  <c r="G30" i="83" s="1"/>
  <c r="F24" i="79"/>
  <c r="G24" i="79" s="1"/>
  <c r="F177" i="79"/>
  <c r="G177" i="79" s="1"/>
  <c r="F119" i="79"/>
  <c r="G119" i="79" s="1"/>
  <c r="F90" i="79"/>
  <c r="G90" i="79" s="1"/>
  <c r="F348" i="83"/>
  <c r="G348" i="83" s="1"/>
  <c r="F320" i="83"/>
  <c r="G320" i="83" s="1"/>
  <c r="F298" i="83"/>
  <c r="G298" i="83" s="1"/>
  <c r="F360" i="79"/>
  <c r="G360" i="79" s="1"/>
  <c r="F346" i="79"/>
  <c r="G346" i="79" s="1"/>
  <c r="F339" i="79"/>
  <c r="G339" i="79" s="1"/>
  <c r="F333" i="79"/>
  <c r="G333" i="79" s="1"/>
  <c r="F320" i="79"/>
  <c r="G320" i="79" s="1"/>
  <c r="F314" i="79"/>
  <c r="G314" i="79" s="1"/>
  <c r="F304" i="79"/>
  <c r="G304" i="79" s="1"/>
  <c r="F285" i="79"/>
  <c r="G285" i="79" s="1"/>
  <c r="F279" i="79"/>
  <c r="G279" i="79" s="1"/>
  <c r="F182" i="83"/>
  <c r="G182" i="83" s="1"/>
  <c r="F175" i="83"/>
  <c r="G175" i="83" s="1"/>
  <c r="F169" i="83"/>
  <c r="G169" i="83" s="1"/>
  <c r="F112" i="83"/>
  <c r="G112" i="83" s="1"/>
  <c r="F61" i="83"/>
  <c r="G61" i="83" s="1"/>
  <c r="F60" i="79"/>
  <c r="G60" i="79" s="1"/>
  <c r="F278" i="83"/>
  <c r="G278" i="83" s="1"/>
  <c r="F226" i="83"/>
  <c r="G226" i="83" s="1"/>
  <c r="F158" i="79"/>
  <c r="G158" i="79" s="1"/>
  <c r="F83" i="79"/>
  <c r="G83" i="79" s="1"/>
  <c r="F368" i="83"/>
  <c r="G368" i="83" s="1"/>
  <c r="F341" i="83"/>
  <c r="G341" i="83" s="1"/>
  <c r="F313" i="83"/>
  <c r="G313" i="83" s="1"/>
  <c r="F292" i="83"/>
  <c r="G292" i="83" s="1"/>
  <c r="F354" i="79"/>
  <c r="G354" i="79" s="1"/>
  <c r="F343" i="79"/>
  <c r="G343" i="79" s="1"/>
  <c r="F337" i="79"/>
  <c r="G337" i="79" s="1"/>
  <c r="F324" i="79"/>
  <c r="G324" i="79" s="1"/>
  <c r="F318" i="79"/>
  <c r="G318" i="79" s="1"/>
  <c r="F311" i="79"/>
  <c r="G311" i="79" s="1"/>
  <c r="F302" i="79"/>
  <c r="G302" i="79" s="1"/>
  <c r="F289" i="79"/>
  <c r="G289" i="79" s="1"/>
  <c r="F283" i="79"/>
  <c r="G283" i="79" s="1"/>
  <c r="F276" i="79"/>
  <c r="G276" i="79" s="1"/>
  <c r="F270" i="79"/>
  <c r="G270" i="79" s="1"/>
  <c r="F257" i="79"/>
  <c r="G257" i="79" s="1"/>
  <c r="F251" i="79"/>
  <c r="G251" i="79" s="1"/>
  <c r="F244" i="79"/>
  <c r="G244" i="79" s="1"/>
  <c r="F237" i="79"/>
  <c r="G237" i="79" s="1"/>
  <c r="F224" i="79"/>
  <c r="G224" i="79" s="1"/>
  <c r="F218" i="79"/>
  <c r="G218" i="79" s="1"/>
  <c r="F211" i="79"/>
  <c r="G211" i="79" s="1"/>
  <c r="F36" i="77"/>
  <c r="G36" i="77" s="1"/>
  <c r="F63" i="77"/>
  <c r="G63" i="77" s="1"/>
  <c r="F57" i="77"/>
  <c r="G57" i="77" s="1"/>
  <c r="I368" i="76"/>
  <c r="I364" i="76"/>
  <c r="I362" i="76"/>
  <c r="F163" i="83"/>
  <c r="G163" i="83" s="1"/>
  <c r="F105" i="83"/>
  <c r="G105" i="83" s="1"/>
  <c r="F53" i="79"/>
  <c r="G53" i="79" s="1"/>
  <c r="F272" i="83"/>
  <c r="G272" i="83" s="1"/>
  <c r="F144" i="79"/>
  <c r="G144" i="79" s="1"/>
  <c r="F77" i="79"/>
  <c r="G77" i="79" s="1"/>
  <c r="F367" i="79"/>
  <c r="G367" i="79" s="1"/>
  <c r="F352" i="79"/>
  <c r="G352" i="79" s="1"/>
  <c r="F336" i="79"/>
  <c r="G336" i="79" s="1"/>
  <c r="F330" i="79"/>
  <c r="G330" i="79" s="1"/>
  <c r="F323" i="79"/>
  <c r="G323" i="79" s="1"/>
  <c r="F317" i="79"/>
  <c r="G317" i="79" s="1"/>
  <c r="F301" i="79"/>
  <c r="G301" i="79" s="1"/>
  <c r="F295" i="79"/>
  <c r="G295" i="79" s="1"/>
  <c r="F288" i="79"/>
  <c r="G288" i="79" s="1"/>
  <c r="F282" i="79"/>
  <c r="G282" i="79" s="1"/>
  <c r="F145" i="83"/>
  <c r="G145" i="83" s="1"/>
  <c r="F138" i="83"/>
  <c r="G138" i="83" s="1"/>
  <c r="F36" i="83"/>
  <c r="G36" i="83" s="1"/>
  <c r="F31" i="79"/>
  <c r="G31" i="79" s="1"/>
  <c r="F251" i="83"/>
  <c r="G251" i="83" s="1"/>
  <c r="F183" i="79"/>
  <c r="G183" i="79" s="1"/>
  <c r="F125" i="79"/>
  <c r="G125" i="79" s="1"/>
  <c r="F96" i="79"/>
  <c r="G96" i="79" s="1"/>
  <c r="F33" i="77"/>
  <c r="G33" i="77" s="1"/>
  <c r="F326" i="83"/>
  <c r="G326" i="83" s="1"/>
  <c r="F299" i="83"/>
  <c r="G299" i="83" s="1"/>
  <c r="F361" i="79"/>
  <c r="G361" i="79" s="1"/>
  <c r="F340" i="79"/>
  <c r="G340" i="79" s="1"/>
  <c r="F334" i="79"/>
  <c r="G334" i="79" s="1"/>
  <c r="F327" i="79"/>
  <c r="G327" i="79" s="1"/>
  <c r="F305" i="79"/>
  <c r="G305" i="79" s="1"/>
  <c r="F292" i="79"/>
  <c r="G292" i="79" s="1"/>
  <c r="F286" i="79"/>
  <c r="G286" i="79" s="1"/>
  <c r="F273" i="79"/>
  <c r="G273" i="79" s="1"/>
  <c r="F267" i="79"/>
  <c r="G267" i="79" s="1"/>
  <c r="F260" i="79"/>
  <c r="G260" i="79" s="1"/>
  <c r="F254" i="79"/>
  <c r="G254" i="79" s="1"/>
  <c r="F240" i="79"/>
  <c r="G240" i="79" s="1"/>
  <c r="F234" i="79"/>
  <c r="G234" i="79" s="1"/>
  <c r="F227" i="79"/>
  <c r="G227" i="79" s="1"/>
  <c r="F221" i="79"/>
  <c r="G221" i="79" s="1"/>
  <c r="F39" i="77"/>
  <c r="G39" i="77" s="1"/>
  <c r="F49" i="77"/>
  <c r="G49" i="77" s="1"/>
  <c r="F42" i="77"/>
  <c r="G42" i="77" s="1"/>
  <c r="F60" i="77"/>
  <c r="G60" i="77" s="1"/>
  <c r="I374" i="76"/>
  <c r="F126" i="83"/>
  <c r="G126" i="83" s="1"/>
  <c r="F23" i="83"/>
  <c r="G23" i="83" s="1"/>
  <c r="F239" i="83"/>
  <c r="G239" i="83" s="1"/>
  <c r="F118" i="79"/>
  <c r="G118" i="79" s="1"/>
  <c r="F27" i="77"/>
  <c r="G27" i="77" s="1"/>
  <c r="F93" i="83"/>
  <c r="G93" i="83" s="1"/>
  <c r="F39" i="79"/>
  <c r="G39" i="79" s="1"/>
  <c r="F190" i="79"/>
  <c r="G190" i="79" s="1"/>
  <c r="F357" i="83"/>
  <c r="G357" i="83" s="1"/>
  <c r="F300" i="83"/>
  <c r="G300" i="83" s="1"/>
  <c r="F347" i="79"/>
  <c r="G347" i="79" s="1"/>
  <c r="F322" i="79"/>
  <c r="G322" i="79" s="1"/>
  <c r="F306" i="79"/>
  <c r="G306" i="79" s="1"/>
  <c r="F293" i="79"/>
  <c r="G293" i="79" s="1"/>
  <c r="F280" i="79"/>
  <c r="G280" i="79" s="1"/>
  <c r="F271" i="79"/>
  <c r="G271" i="79" s="1"/>
  <c r="F253" i="79"/>
  <c r="G253" i="79" s="1"/>
  <c r="F245" i="79"/>
  <c r="G245" i="79" s="1"/>
  <c r="F235" i="79"/>
  <c r="G235" i="79" s="1"/>
  <c r="F210" i="79"/>
  <c r="G210" i="79" s="1"/>
  <c r="F48" i="77"/>
  <c r="G48" i="77" s="1"/>
  <c r="F64" i="77"/>
  <c r="G64" i="77" s="1"/>
  <c r="F54" i="77"/>
  <c r="G54" i="77" s="1"/>
  <c r="I365" i="76"/>
  <c r="I360" i="76"/>
  <c r="I346" i="76"/>
  <c r="I345" i="76"/>
  <c r="I330" i="76"/>
  <c r="I329" i="76"/>
  <c r="I321" i="76"/>
  <c r="I317" i="76"/>
  <c r="I310" i="76"/>
  <c r="I304" i="76"/>
  <c r="I301" i="76"/>
  <c r="F73" i="83"/>
  <c r="G73" i="83" s="1"/>
  <c r="F89" i="79"/>
  <c r="G89" i="79" s="1"/>
  <c r="F347" i="83"/>
  <c r="G347" i="83" s="1"/>
  <c r="F295" i="83"/>
  <c r="G295" i="83" s="1"/>
  <c r="F41" i="83"/>
  <c r="G41" i="83" s="1"/>
  <c r="F34" i="77"/>
  <c r="G34" i="77" s="1"/>
  <c r="F327" i="83"/>
  <c r="G327" i="83" s="1"/>
  <c r="F365" i="79"/>
  <c r="G365" i="79" s="1"/>
  <c r="F341" i="79"/>
  <c r="G341" i="79" s="1"/>
  <c r="F328" i="79"/>
  <c r="G328" i="79" s="1"/>
  <c r="F315" i="79"/>
  <c r="G315" i="79" s="1"/>
  <c r="F287" i="79"/>
  <c r="G287" i="79" s="1"/>
  <c r="F275" i="79"/>
  <c r="G275" i="79" s="1"/>
  <c r="F266" i="79"/>
  <c r="G266" i="79" s="1"/>
  <c r="F258" i="79"/>
  <c r="G258" i="79" s="1"/>
  <c r="F249" i="79"/>
  <c r="G249" i="79" s="1"/>
  <c r="F239" i="79"/>
  <c r="G239" i="79" s="1"/>
  <c r="F231" i="79"/>
  <c r="G231" i="79" s="1"/>
  <c r="F214" i="79"/>
  <c r="G214" i="79" s="1"/>
  <c r="F37" i="77"/>
  <c r="G37" i="77" s="1"/>
  <c r="F44" i="77"/>
  <c r="G44" i="77" s="1"/>
  <c r="F59" i="77"/>
  <c r="G59" i="77" s="1"/>
  <c r="I369" i="76"/>
  <c r="I354" i="76"/>
  <c r="I353" i="76"/>
  <c r="I338" i="76"/>
  <c r="I337" i="76"/>
  <c r="I327" i="76"/>
  <c r="I323" i="76"/>
  <c r="I319" i="76"/>
  <c r="I315" i="76"/>
  <c r="I306" i="76"/>
  <c r="I302" i="76"/>
  <c r="F232" i="83"/>
  <c r="G232" i="83" s="1"/>
  <c r="F369" i="83"/>
  <c r="G369" i="83" s="1"/>
  <c r="F335" i="79"/>
  <c r="G335" i="79" s="1"/>
  <c r="F297" i="79"/>
  <c r="G297" i="79" s="1"/>
  <c r="F281" i="79"/>
  <c r="G281" i="79" s="1"/>
  <c r="F268" i="79"/>
  <c r="G268" i="79" s="1"/>
  <c r="F256" i="79"/>
  <c r="G256" i="79" s="1"/>
  <c r="F246" i="79"/>
  <c r="G246" i="79" s="1"/>
  <c r="F233" i="79"/>
  <c r="G233" i="79" s="1"/>
  <c r="F222" i="79"/>
  <c r="G222" i="79" s="1"/>
  <c r="F46" i="77"/>
  <c r="G46" i="77" s="1"/>
  <c r="F58" i="77"/>
  <c r="G58" i="77" s="1"/>
  <c r="I373" i="76"/>
  <c r="F99" i="83"/>
  <c r="G99" i="83" s="1"/>
  <c r="F67" i="83"/>
  <c r="G67" i="83" s="1"/>
  <c r="F164" i="79"/>
  <c r="G164" i="79" s="1"/>
  <c r="F348" i="79"/>
  <c r="G348" i="79" s="1"/>
  <c r="F331" i="79"/>
  <c r="G331" i="79" s="1"/>
  <c r="F313" i="79"/>
  <c r="G313" i="79" s="1"/>
  <c r="F294" i="79"/>
  <c r="G294" i="79" s="1"/>
  <c r="F277" i="79"/>
  <c r="G277" i="79" s="1"/>
  <c r="F265" i="79"/>
  <c r="G265" i="79" s="1"/>
  <c r="F255" i="79"/>
  <c r="G255" i="79" s="1"/>
  <c r="F243" i="79"/>
  <c r="G243" i="79" s="1"/>
  <c r="F230" i="79"/>
  <c r="G230" i="79" s="1"/>
  <c r="F219" i="79"/>
  <c r="G219" i="79" s="1"/>
  <c r="F38" i="77"/>
  <c r="G38" i="77" s="1"/>
  <c r="F43" i="77"/>
  <c r="G43" i="77" s="1"/>
  <c r="F56" i="77"/>
  <c r="G56" i="77" s="1"/>
  <c r="F48" i="83"/>
  <c r="G48" i="83" s="1"/>
  <c r="F138" i="79"/>
  <c r="G138" i="79" s="1"/>
  <c r="F345" i="79"/>
  <c r="G345" i="79" s="1"/>
  <c r="F329" i="79"/>
  <c r="G329" i="79" s="1"/>
  <c r="F312" i="79"/>
  <c r="G312" i="79" s="1"/>
  <c r="F291" i="79"/>
  <c r="G291" i="79" s="1"/>
  <c r="F264" i="79"/>
  <c r="G264" i="79" s="1"/>
  <c r="F252" i="79"/>
  <c r="G252" i="79" s="1"/>
  <c r="F242" i="79"/>
  <c r="G242" i="79" s="1"/>
  <c r="F229" i="79"/>
  <c r="G229" i="79" s="1"/>
  <c r="F217" i="79"/>
  <c r="G217" i="79" s="1"/>
  <c r="F53" i="77"/>
  <c r="G53" i="77" s="1"/>
  <c r="I352" i="76"/>
  <c r="I342" i="76"/>
  <c r="I335" i="76"/>
  <c r="I332" i="76"/>
  <c r="I326" i="76"/>
  <c r="I305" i="76"/>
  <c r="I296" i="76"/>
  <c r="I288" i="76"/>
  <c r="I280" i="76"/>
  <c r="I272" i="76"/>
  <c r="I256" i="76"/>
  <c r="I241" i="76"/>
  <c r="I233" i="76"/>
  <c r="I225" i="76"/>
  <c r="I216" i="76"/>
  <c r="I186" i="76"/>
  <c r="I180" i="76"/>
  <c r="I177" i="76"/>
  <c r="I159" i="76"/>
  <c r="I148" i="76"/>
  <c r="I145" i="76"/>
  <c r="I130" i="76"/>
  <c r="I125" i="76"/>
  <c r="I123" i="76"/>
  <c r="F67" i="79"/>
  <c r="G67" i="79" s="1"/>
  <c r="F112" i="79"/>
  <c r="G112" i="79" s="1"/>
  <c r="F314" i="83"/>
  <c r="G314" i="83" s="1"/>
  <c r="F344" i="79"/>
  <c r="G344" i="79" s="1"/>
  <c r="F326" i="79"/>
  <c r="G326" i="79" s="1"/>
  <c r="F310" i="79"/>
  <c r="G310" i="79" s="1"/>
  <c r="F290" i="79"/>
  <c r="G290" i="79" s="1"/>
  <c r="F274" i="79"/>
  <c r="G274" i="79" s="1"/>
  <c r="F228" i="79"/>
  <c r="G228" i="79" s="1"/>
  <c r="F216" i="79"/>
  <c r="G216" i="79" s="1"/>
  <c r="F51" i="77"/>
  <c r="G51" i="77" s="1"/>
  <c r="F41" i="77"/>
  <c r="G41" i="77" s="1"/>
  <c r="I371" i="76"/>
  <c r="F46" i="79"/>
  <c r="G46" i="79" s="1"/>
  <c r="F287" i="83"/>
  <c r="G287" i="83" s="1"/>
  <c r="F84" i="79"/>
  <c r="G84" i="79" s="1"/>
  <c r="F294" i="83"/>
  <c r="G294" i="83" s="1"/>
  <c r="F303" i="79"/>
  <c r="G303" i="79" s="1"/>
  <c r="F284" i="79"/>
  <c r="G284" i="79" s="1"/>
  <c r="F248" i="79"/>
  <c r="G248" i="79" s="1"/>
  <c r="F236" i="79"/>
  <c r="G236" i="79" s="1"/>
  <c r="F225" i="79"/>
  <c r="G225" i="79" s="1"/>
  <c r="F213" i="79"/>
  <c r="G213" i="79" s="1"/>
  <c r="I370" i="76"/>
  <c r="F266" i="83"/>
  <c r="G266" i="83" s="1"/>
  <c r="F338" i="79"/>
  <c r="G338" i="79" s="1"/>
  <c r="F319" i="79"/>
  <c r="G319" i="79" s="1"/>
  <c r="F300" i="79"/>
  <c r="G300" i="79" s="1"/>
  <c r="F269" i="79"/>
  <c r="G269" i="79" s="1"/>
  <c r="F259" i="79"/>
  <c r="G259" i="79" s="1"/>
  <c r="F247" i="79"/>
  <c r="G247" i="79" s="1"/>
  <c r="F223" i="79"/>
  <c r="G223" i="79" s="1"/>
  <c r="F212" i="79"/>
  <c r="G212" i="79" s="1"/>
  <c r="F47" i="77"/>
  <c r="G47" i="77" s="1"/>
  <c r="F61" i="77"/>
  <c r="G61" i="77" s="1"/>
  <c r="I366" i="76"/>
  <c r="I363" i="76"/>
  <c r="I357" i="76"/>
  <c r="I347" i="76"/>
  <c r="I318" i="76"/>
  <c r="I300" i="76"/>
  <c r="I292" i="76"/>
  <c r="I284" i="76"/>
  <c r="I276" i="76"/>
  <c r="I268" i="76"/>
  <c r="I260" i="76"/>
  <c r="I252" i="76"/>
  <c r="I237" i="76"/>
  <c r="I229" i="76"/>
  <c r="I221" i="76"/>
  <c r="I215" i="76"/>
  <c r="I213" i="76"/>
  <c r="I190" i="76"/>
  <c r="I181" i="76"/>
  <c r="I175" i="76"/>
  <c r="I164" i="76"/>
  <c r="I161" i="76"/>
  <c r="I143" i="76"/>
  <c r="I131" i="76"/>
  <c r="I120" i="76"/>
  <c r="I114" i="76"/>
  <c r="I109" i="76"/>
  <c r="F196" i="79"/>
  <c r="G196" i="79" s="1"/>
  <c r="F316" i="79"/>
  <c r="G316" i="79" s="1"/>
  <c r="F209" i="79"/>
  <c r="G209" i="79" s="1"/>
  <c r="I351" i="76"/>
  <c r="I349" i="76"/>
  <c r="F364" i="83"/>
  <c r="G364" i="83" s="1"/>
  <c r="F296" i="79"/>
  <c r="G296" i="79" s="1"/>
  <c r="F45" i="77"/>
  <c r="G45" i="77" s="1"/>
  <c r="I358" i="76"/>
  <c r="I356" i="76"/>
  <c r="I343" i="76"/>
  <c r="I341" i="76"/>
  <c r="I339" i="76"/>
  <c r="I328" i="76"/>
  <c r="F306" i="83"/>
  <c r="G306" i="83" s="1"/>
  <c r="F238" i="79"/>
  <c r="G238" i="79" s="1"/>
  <c r="F62" i="77"/>
  <c r="G62" i="77" s="1"/>
  <c r="I303" i="76"/>
  <c r="I290" i="76"/>
  <c r="I273" i="76"/>
  <c r="I271" i="76"/>
  <c r="I258" i="76"/>
  <c r="I234" i="76"/>
  <c r="I232" i="76"/>
  <c r="I219" i="76"/>
  <c r="I208" i="76"/>
  <c r="I206" i="76"/>
  <c r="I179" i="76"/>
  <c r="I176" i="76"/>
  <c r="I151" i="76"/>
  <c r="I146" i="76"/>
  <c r="I138" i="76"/>
  <c r="I132" i="76"/>
  <c r="I116" i="76"/>
  <c r="I110" i="76"/>
  <c r="I92" i="76"/>
  <c r="I86" i="76"/>
  <c r="I79" i="76"/>
  <c r="I60" i="76"/>
  <c r="I53" i="76"/>
  <c r="I48" i="76"/>
  <c r="I46" i="76"/>
  <c r="F222" i="82"/>
  <c r="G218" i="82"/>
  <c r="F215" i="82"/>
  <c r="F278" i="79"/>
  <c r="G278" i="79" s="1"/>
  <c r="F232" i="79"/>
  <c r="G232" i="79" s="1"/>
  <c r="I350" i="76"/>
  <c r="I348" i="76"/>
  <c r="I333" i="76"/>
  <c r="I331" i="76"/>
  <c r="I322" i="76"/>
  <c r="F342" i="79"/>
  <c r="G342" i="79" s="1"/>
  <c r="F332" i="79"/>
  <c r="G332" i="79" s="1"/>
  <c r="F220" i="79"/>
  <c r="G220" i="79" s="1"/>
  <c r="I372" i="76"/>
  <c r="I367" i="76"/>
  <c r="I359" i="76"/>
  <c r="I340" i="76"/>
  <c r="I316" i="76"/>
  <c r="F325" i="79"/>
  <c r="G325" i="79" s="1"/>
  <c r="F261" i="79"/>
  <c r="G261" i="79" s="1"/>
  <c r="F215" i="79"/>
  <c r="G215" i="79" s="1"/>
  <c r="I355" i="76"/>
  <c r="I336" i="76"/>
  <c r="I334" i="76"/>
  <c r="I320" i="76"/>
  <c r="I289" i="76"/>
  <c r="I287" i="76"/>
  <c r="I274" i="76"/>
  <c r="I257" i="76"/>
  <c r="I255" i="76"/>
  <c r="I235" i="76"/>
  <c r="I218" i="76"/>
  <c r="I214" i="76"/>
  <c r="I182" i="76"/>
  <c r="I169" i="76"/>
  <c r="I157" i="76"/>
  <c r="I152" i="76"/>
  <c r="I142" i="76"/>
  <c r="I140" i="76"/>
  <c r="I129" i="76"/>
  <c r="I108" i="76"/>
  <c r="I102" i="76"/>
  <c r="I97" i="76"/>
  <c r="I95" i="76"/>
  <c r="I76" i="76"/>
  <c r="I70" i="76"/>
  <c r="I65" i="76"/>
  <c r="I63" i="76"/>
  <c r="I43" i="76"/>
  <c r="I37" i="76"/>
  <c r="I32" i="76"/>
  <c r="I30" i="76"/>
  <c r="F224" i="82"/>
  <c r="G220" i="82"/>
  <c r="G216" i="82"/>
  <c r="I309" i="76"/>
  <c r="I299" i="76"/>
  <c r="I293" i="76"/>
  <c r="I279" i="76"/>
  <c r="I259" i="76"/>
  <c r="I203" i="76"/>
  <c r="I166" i="76"/>
  <c r="I149" i="76"/>
  <c r="I135" i="76"/>
  <c r="I128" i="76"/>
  <c r="I126" i="76"/>
  <c r="I117" i="76"/>
  <c r="I96" i="76"/>
  <c r="I90" i="76"/>
  <c r="I83" i="76"/>
  <c r="F272" i="79"/>
  <c r="G272" i="79" s="1"/>
  <c r="I314" i="76"/>
  <c r="F250" i="79"/>
  <c r="G250" i="79" s="1"/>
  <c r="I361" i="76"/>
  <c r="I324" i="76"/>
  <c r="F226" i="79"/>
  <c r="G226" i="79" s="1"/>
  <c r="I344" i="76"/>
  <c r="I295" i="76"/>
  <c r="I275" i="76"/>
  <c r="I231" i="76"/>
  <c r="I211" i="76"/>
  <c r="I172" i="76"/>
  <c r="I168" i="76"/>
  <c r="I158" i="76"/>
  <c r="I137" i="76"/>
  <c r="I134" i="76"/>
  <c r="I124" i="76"/>
  <c r="I112" i="76"/>
  <c r="I107" i="76"/>
  <c r="I105" i="76"/>
  <c r="I84" i="76"/>
  <c r="I78" i="76"/>
  <c r="I71" i="76"/>
  <c r="I69" i="76"/>
  <c r="I47" i="76"/>
  <c r="I41" i="76"/>
  <c r="I34" i="76"/>
  <c r="G224" i="82"/>
  <c r="G219" i="82"/>
  <c r="G211" i="82"/>
  <c r="F208" i="82"/>
  <c r="G204" i="82"/>
  <c r="F197" i="82"/>
  <c r="G193" i="82"/>
  <c r="F190" i="82"/>
  <c r="G186" i="82"/>
  <c r="F183" i="82"/>
  <c r="G179" i="82"/>
  <c r="F176" i="82"/>
  <c r="G172" i="82"/>
  <c r="F164" i="82"/>
  <c r="G160" i="82"/>
  <c r="F153" i="82"/>
  <c r="G149" i="82"/>
  <c r="F146" i="82"/>
  <c r="G142" i="82"/>
  <c r="F139" i="82"/>
  <c r="G135" i="82"/>
  <c r="F127" i="82"/>
  <c r="G123" i="82"/>
  <c r="F120" i="82"/>
  <c r="G116" i="82"/>
  <c r="F113" i="82"/>
  <c r="G109" i="82"/>
  <c r="F106" i="82"/>
  <c r="G102" i="82"/>
  <c r="F95" i="82"/>
  <c r="G91" i="82"/>
  <c r="F50" i="77"/>
  <c r="G50" i="77" s="1"/>
  <c r="I286" i="76"/>
  <c r="I269" i="76"/>
  <c r="I266" i="76"/>
  <c r="I249" i="76"/>
  <c r="I239" i="76"/>
  <c r="I228" i="76"/>
  <c r="I222" i="76"/>
  <c r="I202" i="76"/>
  <c r="I187" i="76"/>
  <c r="I184" i="76"/>
  <c r="I178" i="76"/>
  <c r="I155" i="76"/>
  <c r="I141" i="76"/>
  <c r="I136" i="76"/>
  <c r="I133" i="76"/>
  <c r="I127" i="76"/>
  <c r="I115" i="76"/>
  <c r="I104" i="76"/>
  <c r="I98" i="76"/>
  <c r="I91" i="76"/>
  <c r="I89" i="76"/>
  <c r="I294" i="76"/>
  <c r="I283" i="76"/>
  <c r="I291" i="76"/>
  <c r="I285" i="76"/>
  <c r="I282" i="76"/>
  <c r="I262" i="76"/>
  <c r="I251" i="76"/>
  <c r="I238" i="76"/>
  <c r="I224" i="76"/>
  <c r="I209" i="76"/>
  <c r="I189" i="76"/>
  <c r="I183" i="76"/>
  <c r="I173" i="76"/>
  <c r="I170" i="76"/>
  <c r="I160" i="76"/>
  <c r="I147" i="76"/>
  <c r="I111" i="76"/>
  <c r="I106" i="76"/>
  <c r="I99" i="76"/>
  <c r="I77" i="76"/>
  <c r="I55" i="76"/>
  <c r="I49" i="76"/>
  <c r="I42" i="76"/>
  <c r="I40" i="76"/>
  <c r="I27" i="76"/>
  <c r="G221" i="82"/>
  <c r="F217" i="82"/>
  <c r="F213" i="82"/>
  <c r="G209" i="82"/>
  <c r="F206" i="82"/>
  <c r="G202" i="82"/>
  <c r="F199" i="82"/>
  <c r="G195" i="82"/>
  <c r="F192" i="82"/>
  <c r="G188" i="82"/>
  <c r="F181" i="82"/>
  <c r="G177" i="82"/>
  <c r="F174" i="82"/>
  <c r="G170" i="82"/>
  <c r="F167" i="82"/>
  <c r="G162" i="82"/>
  <c r="F159" i="82"/>
  <c r="G151" i="82"/>
  <c r="F144" i="82"/>
  <c r="G140" i="82"/>
  <c r="F137" i="82"/>
  <c r="G133" i="82"/>
  <c r="G125" i="82"/>
  <c r="F122" i="82"/>
  <c r="G118" i="82"/>
  <c r="F111" i="82"/>
  <c r="G107" i="82"/>
  <c r="F104" i="82"/>
  <c r="G100" i="82"/>
  <c r="F97" i="82"/>
  <c r="G93" i="82"/>
  <c r="F90" i="82"/>
  <c r="I227" i="76"/>
  <c r="I210" i="76"/>
  <c r="I204" i="76"/>
  <c r="I171" i="76"/>
  <c r="I150" i="76"/>
  <c r="I93" i="76"/>
  <c r="I64" i="76"/>
  <c r="I51" i="76"/>
  <c r="I39" i="76"/>
  <c r="I28" i="76"/>
  <c r="F223" i="82"/>
  <c r="F216" i="82"/>
  <c r="F207" i="82"/>
  <c r="F202" i="82"/>
  <c r="H202" i="82" s="1"/>
  <c r="G197" i="82"/>
  <c r="F188" i="82"/>
  <c r="G183" i="82"/>
  <c r="G178" i="82"/>
  <c r="G173" i="82"/>
  <c r="F169" i="82"/>
  <c r="G163" i="82"/>
  <c r="G158" i="82"/>
  <c r="F150" i="82"/>
  <c r="F145" i="82"/>
  <c r="F140" i="82"/>
  <c r="F131" i="82"/>
  <c r="F125" i="82"/>
  <c r="G120" i="82"/>
  <c r="G115" i="82"/>
  <c r="G106" i="82"/>
  <c r="G101" i="82"/>
  <c r="G96" i="82"/>
  <c r="F92" i="82"/>
  <c r="G87" i="82"/>
  <c r="F84" i="82"/>
  <c r="G80" i="82"/>
  <c r="F77" i="82"/>
  <c r="F70" i="82"/>
  <c r="G66" i="82"/>
  <c r="F59" i="82"/>
  <c r="I281" i="76"/>
  <c r="I250" i="76"/>
  <c r="I226" i="76"/>
  <c r="I188" i="76"/>
  <c r="I163" i="76"/>
  <c r="I156" i="76"/>
  <c r="I101" i="76"/>
  <c r="I67" i="76"/>
  <c r="I54" i="76"/>
  <c r="G222" i="82"/>
  <c r="F211" i="82"/>
  <c r="G206" i="82"/>
  <c r="G201" i="82"/>
  <c r="G192" i="82"/>
  <c r="G187" i="82"/>
  <c r="G182" i="82"/>
  <c r="F178" i="82"/>
  <c r="F173" i="82"/>
  <c r="G168" i="82"/>
  <c r="F163" i="82"/>
  <c r="F158" i="82"/>
  <c r="F149" i="82"/>
  <c r="G144" i="82"/>
  <c r="F135" i="82"/>
  <c r="G124" i="82"/>
  <c r="G119" i="82"/>
  <c r="F115" i="82"/>
  <c r="G110" i="82"/>
  <c r="G105" i="82"/>
  <c r="F101" i="82"/>
  <c r="F96" i="82"/>
  <c r="F91" i="82"/>
  <c r="F87" i="82"/>
  <c r="G83" i="82"/>
  <c r="F80" i="82"/>
  <c r="G76" i="82"/>
  <c r="G69" i="82"/>
  <c r="I267" i="76"/>
  <c r="I261" i="76"/>
  <c r="I220" i="76"/>
  <c r="I162" i="76"/>
  <c r="I122" i="76"/>
  <c r="I100" i="76"/>
  <c r="I87" i="76"/>
  <c r="I73" i="76"/>
  <c r="I61" i="76"/>
  <c r="I57" i="76"/>
  <c r="I45" i="76"/>
  <c r="I36" i="76"/>
  <c r="I33" i="76"/>
  <c r="F221" i="82"/>
  <c r="G215" i="82"/>
  <c r="G210" i="82"/>
  <c r="G205" i="82"/>
  <c r="F201" i="82"/>
  <c r="G196" i="82"/>
  <c r="G191" i="82"/>
  <c r="F187" i="82"/>
  <c r="F182" i="82"/>
  <c r="F177" i="82"/>
  <c r="H177" i="82" s="1"/>
  <c r="F168" i="82"/>
  <c r="F162" i="82"/>
  <c r="G153" i="82"/>
  <c r="G148" i="82"/>
  <c r="G139" i="82"/>
  <c r="I236" i="76"/>
  <c r="I207" i="76"/>
  <c r="I174" i="76"/>
  <c r="I154" i="76"/>
  <c r="I121" i="76"/>
  <c r="I82" i="76"/>
  <c r="I72" i="76"/>
  <c r="I35" i="76"/>
  <c r="G214" i="82"/>
  <c r="F210" i="82"/>
  <c r="F205" i="82"/>
  <c r="G200" i="82"/>
  <c r="F196" i="82"/>
  <c r="F191" i="82"/>
  <c r="F186" i="82"/>
  <c r="G181" i="82"/>
  <c r="F172" i="82"/>
  <c r="G167" i="82"/>
  <c r="G161" i="82"/>
  <c r="G152" i="82"/>
  <c r="F148" i="82"/>
  <c r="G143" i="82"/>
  <c r="G138" i="82"/>
  <c r="F134" i="82"/>
  <c r="F123" i="82"/>
  <c r="F114" i="82"/>
  <c r="F109" i="82"/>
  <c r="G104" i="82"/>
  <c r="G99" i="82"/>
  <c r="G90" i="82"/>
  <c r="G86" i="82"/>
  <c r="F79" i="82"/>
  <c r="G75" i="82"/>
  <c r="F72" i="82"/>
  <c r="G68" i="82"/>
  <c r="F65" i="82"/>
  <c r="G61" i="82"/>
  <c r="F58" i="82"/>
  <c r="G54" i="82"/>
  <c r="F46" i="82"/>
  <c r="G42" i="82"/>
  <c r="F39" i="82"/>
  <c r="G35" i="82"/>
  <c r="F32" i="82"/>
  <c r="G28" i="82"/>
  <c r="F25" i="82"/>
  <c r="F256" i="82"/>
  <c r="G252" i="82"/>
  <c r="F249" i="82"/>
  <c r="G245" i="82"/>
  <c r="F242" i="82"/>
  <c r="F234" i="82"/>
  <c r="G230" i="82"/>
  <c r="F72" i="81"/>
  <c r="G68" i="81"/>
  <c r="F65" i="81"/>
  <c r="G61" i="81"/>
  <c r="F58" i="81"/>
  <c r="G54" i="81"/>
  <c r="F51" i="81"/>
  <c r="G47" i="81"/>
  <c r="F40" i="81"/>
  <c r="G35" i="81"/>
  <c r="F32" i="81"/>
  <c r="G28" i="81"/>
  <c r="G295" i="82"/>
  <c r="F292" i="82"/>
  <c r="G288" i="82"/>
  <c r="F285" i="82"/>
  <c r="G280" i="82"/>
  <c r="F273" i="82"/>
  <c r="G269" i="82"/>
  <c r="F266" i="82"/>
  <c r="G161" i="81"/>
  <c r="F158" i="81"/>
  <c r="G154" i="81"/>
  <c r="F151" i="81"/>
  <c r="G147" i="81"/>
  <c r="F133" i="81"/>
  <c r="I278" i="76"/>
  <c r="I254" i="76"/>
  <c r="I230" i="76"/>
  <c r="I201" i="76"/>
  <c r="I167" i="76"/>
  <c r="I153" i="76"/>
  <c r="I75" i="76"/>
  <c r="I50" i="76"/>
  <c r="I38" i="76"/>
  <c r="F220" i="82"/>
  <c r="F214" i="82"/>
  <c r="F209" i="82"/>
  <c r="H209" i="82" s="1"/>
  <c r="F200" i="82"/>
  <c r="F195" i="82"/>
  <c r="G190" i="82"/>
  <c r="G185" i="82"/>
  <c r="G176" i="82"/>
  <c r="G171" i="82"/>
  <c r="G165" i="82"/>
  <c r="F161" i="82"/>
  <c r="H161" i="82" s="1"/>
  <c r="F152" i="82"/>
  <c r="G147" i="82"/>
  <c r="F143" i="82"/>
  <c r="H143" i="82" s="1"/>
  <c r="F138" i="82"/>
  <c r="F133" i="82"/>
  <c r="G127" i="82"/>
  <c r="F118" i="82"/>
  <c r="G113" i="82"/>
  <c r="H113" i="82" s="1"/>
  <c r="G108" i="82"/>
  <c r="G103" i="82"/>
  <c r="F99" i="82"/>
  <c r="G94" i="82"/>
  <c r="G89" i="82"/>
  <c r="F86" i="82"/>
  <c r="G82" i="82"/>
  <c r="F75" i="82"/>
  <c r="G71" i="82"/>
  <c r="F68" i="82"/>
  <c r="G64" i="82"/>
  <c r="F61" i="82"/>
  <c r="I277" i="76"/>
  <c r="I270" i="76"/>
  <c r="I253" i="76"/>
  <c r="I223" i="76"/>
  <c r="I212" i="76"/>
  <c r="I103" i="76"/>
  <c r="I68" i="76"/>
  <c r="I66" i="76"/>
  <c r="I56" i="76"/>
  <c r="I44" i="76"/>
  <c r="I31" i="76"/>
  <c r="I29" i="76"/>
  <c r="I26" i="76"/>
  <c r="F219" i="82"/>
  <c r="G213" i="82"/>
  <c r="F204" i="82"/>
  <c r="G199" i="82"/>
  <c r="G194" i="82"/>
  <c r="G189" i="82"/>
  <c r="F185" i="82"/>
  <c r="G180" i="82"/>
  <c r="F171" i="82"/>
  <c r="F165" i="82"/>
  <c r="F160" i="82"/>
  <c r="F147" i="82"/>
  <c r="F142" i="82"/>
  <c r="G137" i="82"/>
  <c r="G132" i="82"/>
  <c r="G122" i="82"/>
  <c r="G117" i="82"/>
  <c r="G112" i="82"/>
  <c r="F108" i="82"/>
  <c r="F103" i="82"/>
  <c r="G98" i="82"/>
  <c r="F94" i="82"/>
  <c r="F89" i="82"/>
  <c r="G85" i="82"/>
  <c r="F82" i="82"/>
  <c r="G78" i="82"/>
  <c r="F71" i="82"/>
  <c r="G67" i="82"/>
  <c r="I240" i="76"/>
  <c r="I217" i="76"/>
  <c r="I205" i="76"/>
  <c r="I200" i="76"/>
  <c r="I191" i="76"/>
  <c r="I185" i="76"/>
  <c r="I165" i="76"/>
  <c r="I119" i="76"/>
  <c r="I113" i="76"/>
  <c r="I94" i="76"/>
  <c r="I85" i="76"/>
  <c r="F218" i="82"/>
  <c r="G212" i="82"/>
  <c r="G208" i="82"/>
  <c r="G203" i="82"/>
  <c r="G198" i="82"/>
  <c r="F194" i="82"/>
  <c r="H194" i="82" s="1"/>
  <c r="F189" i="82"/>
  <c r="G184" i="82"/>
  <c r="F180" i="82"/>
  <c r="F170" i="82"/>
  <c r="H170" i="82" s="1"/>
  <c r="G164" i="82"/>
  <c r="F151" i="82"/>
  <c r="G146" i="82"/>
  <c r="G141" i="82"/>
  <c r="I263" i="76"/>
  <c r="I144" i="76"/>
  <c r="I118" i="76"/>
  <c r="I88" i="76"/>
  <c r="I74" i="76"/>
  <c r="I62" i="76"/>
  <c r="I58" i="76"/>
  <c r="I52" i="76"/>
  <c r="G223" i="82"/>
  <c r="H223" i="82" s="1"/>
  <c r="G217" i="82"/>
  <c r="F212" i="82"/>
  <c r="G207" i="82"/>
  <c r="F203" i="82"/>
  <c r="F198" i="82"/>
  <c r="F193" i="82"/>
  <c r="H193" i="82" s="1"/>
  <c r="F184" i="82"/>
  <c r="F179" i="82"/>
  <c r="G174" i="82"/>
  <c r="G169" i="82"/>
  <c r="G159" i="82"/>
  <c r="G150" i="82"/>
  <c r="H150" i="82" s="1"/>
  <c r="G145" i="82"/>
  <c r="F141" i="82"/>
  <c r="F136" i="82"/>
  <c r="G131" i="82"/>
  <c r="F126" i="82"/>
  <c r="F121" i="82"/>
  <c r="F116" i="82"/>
  <c r="G111" i="82"/>
  <c r="F102" i="82"/>
  <c r="G97" i="82"/>
  <c r="G92" i="82"/>
  <c r="F88" i="82"/>
  <c r="G84" i="82"/>
  <c r="F81" i="82"/>
  <c r="G77" i="82"/>
  <c r="F74" i="82"/>
  <c r="G70" i="82"/>
  <c r="F63" i="82"/>
  <c r="G59" i="82"/>
  <c r="F56" i="82"/>
  <c r="G51" i="82"/>
  <c r="F48" i="82"/>
  <c r="G44" i="82"/>
  <c r="F41" i="82"/>
  <c r="G37" i="82"/>
  <c r="F30" i="82"/>
  <c r="G26" i="82"/>
  <c r="F72" i="77"/>
  <c r="G72" i="77" s="1"/>
  <c r="F67" i="77"/>
  <c r="G67" i="77" s="1"/>
  <c r="F258" i="82"/>
  <c r="F251" i="82"/>
  <c r="G247" i="82"/>
  <c r="G235" i="82"/>
  <c r="F232" i="82"/>
  <c r="G228" i="82"/>
  <c r="F74" i="81"/>
  <c r="G70" i="81"/>
  <c r="F67" i="81"/>
  <c r="G63" i="81"/>
  <c r="F56" i="81"/>
  <c r="G52" i="81"/>
  <c r="F49" i="81"/>
  <c r="G45" i="81"/>
  <c r="F42" i="81"/>
  <c r="G37" i="81"/>
  <c r="F34" i="81"/>
  <c r="G30" i="81"/>
  <c r="F82" i="77"/>
  <c r="G82" i="77" s="1"/>
  <c r="F290" i="82"/>
  <c r="G286" i="82"/>
  <c r="F283" i="82"/>
  <c r="F275" i="82"/>
  <c r="G271" i="82"/>
  <c r="F268" i="82"/>
  <c r="G163" i="81"/>
  <c r="F156" i="81"/>
  <c r="G152" i="81"/>
  <c r="F149" i="81"/>
  <c r="G145" i="81"/>
  <c r="F135" i="81"/>
  <c r="G131" i="81"/>
  <c r="G136" i="82"/>
  <c r="F117" i="82"/>
  <c r="F98" i="82"/>
  <c r="G81" i="82"/>
  <c r="F67" i="82"/>
  <c r="H67" i="82" s="1"/>
  <c r="F60" i="82"/>
  <c r="F49" i="82"/>
  <c r="F44" i="82"/>
  <c r="G39" i="82"/>
  <c r="G34" i="82"/>
  <c r="G25" i="82"/>
  <c r="F68" i="77"/>
  <c r="G68" i="77" s="1"/>
  <c r="G257" i="82"/>
  <c r="F253" i="82"/>
  <c r="F248" i="82"/>
  <c r="G243" i="82"/>
  <c r="F238" i="82"/>
  <c r="F233" i="82"/>
  <c r="F228" i="82"/>
  <c r="G72" i="81"/>
  <c r="F63" i="81"/>
  <c r="G58" i="81"/>
  <c r="G53" i="81"/>
  <c r="G48" i="81"/>
  <c r="F44" i="81"/>
  <c r="G38" i="81"/>
  <c r="G33" i="81"/>
  <c r="F29" i="81"/>
  <c r="F83" i="77"/>
  <c r="G83" i="77" s="1"/>
  <c r="F76" i="77"/>
  <c r="G76" i="77" s="1"/>
  <c r="G292" i="82"/>
  <c r="G287" i="82"/>
  <c r="G282" i="82"/>
  <c r="F277" i="82"/>
  <c r="G272" i="82"/>
  <c r="G267" i="82"/>
  <c r="F162" i="81"/>
  <c r="F157" i="81"/>
  <c r="F152" i="81"/>
  <c r="F136" i="81"/>
  <c r="F131" i="81"/>
  <c r="G127" i="81"/>
  <c r="F124" i="81"/>
  <c r="G120" i="81"/>
  <c r="F113" i="81"/>
  <c r="G109" i="81"/>
  <c r="F106" i="81"/>
  <c r="G102" i="81"/>
  <c r="F99" i="81"/>
  <c r="F89" i="81"/>
  <c r="G85" i="81"/>
  <c r="F78" i="81"/>
  <c r="F373" i="82"/>
  <c r="G369" i="82"/>
  <c r="F365" i="82"/>
  <c r="G358" i="82"/>
  <c r="F355" i="82"/>
  <c r="G351" i="82"/>
  <c r="F344" i="82"/>
  <c r="F335" i="82"/>
  <c r="G331" i="82"/>
  <c r="F328" i="82"/>
  <c r="G324" i="82"/>
  <c r="F321" i="82"/>
  <c r="G317" i="82"/>
  <c r="F309" i="82"/>
  <c r="G305" i="82"/>
  <c r="G299" i="82"/>
  <c r="F208" i="81"/>
  <c r="G204" i="81"/>
  <c r="F201" i="81"/>
  <c r="G134" i="82"/>
  <c r="G114" i="82"/>
  <c r="G95" i="82"/>
  <c r="G79" i="82"/>
  <c r="F66" i="82"/>
  <c r="F54" i="82"/>
  <c r="G48" i="82"/>
  <c r="G43" i="82"/>
  <c r="G38" i="82"/>
  <c r="F34" i="82"/>
  <c r="G29" i="82"/>
  <c r="F74" i="77"/>
  <c r="G74" i="77" s="1"/>
  <c r="F257" i="82"/>
  <c r="F252" i="82"/>
  <c r="H252" i="82" s="1"/>
  <c r="F243" i="82"/>
  <c r="G232" i="82"/>
  <c r="G227" i="82"/>
  <c r="G67" i="81"/>
  <c r="G62" i="81"/>
  <c r="G57" i="81"/>
  <c r="F53" i="81"/>
  <c r="F48" i="81"/>
  <c r="G43" i="81"/>
  <c r="F38" i="81"/>
  <c r="F33" i="81"/>
  <c r="F28" i="81"/>
  <c r="F287" i="82"/>
  <c r="F282" i="82"/>
  <c r="G276" i="82"/>
  <c r="F272" i="82"/>
  <c r="F267" i="82"/>
  <c r="F161" i="81"/>
  <c r="G156" i="81"/>
  <c r="F147" i="81"/>
  <c r="G135" i="81"/>
  <c r="G130" i="81"/>
  <c r="F127" i="81"/>
  <c r="G123" i="81"/>
  <c r="F120" i="81"/>
  <c r="G116" i="81"/>
  <c r="F109" i="81"/>
  <c r="G105" i="81"/>
  <c r="F102" i="81"/>
  <c r="G98" i="81"/>
  <c r="G88" i="81"/>
  <c r="F85" i="81"/>
  <c r="G81" i="81"/>
  <c r="F91" i="77"/>
  <c r="G91" i="77" s="1"/>
  <c r="G372" i="82"/>
  <c r="F132" i="82"/>
  <c r="F112" i="82"/>
  <c r="F93" i="82"/>
  <c r="F78" i="82"/>
  <c r="G65" i="82"/>
  <c r="G58" i="82"/>
  <c r="G53" i="82"/>
  <c r="G47" i="82"/>
  <c r="F43" i="82"/>
  <c r="F38" i="82"/>
  <c r="G33" i="82"/>
  <c r="F29" i="82"/>
  <c r="F66" i="77"/>
  <c r="G66" i="77" s="1"/>
  <c r="G256" i="82"/>
  <c r="F247" i="82"/>
  <c r="G242" i="82"/>
  <c r="G236" i="82"/>
  <c r="G231" i="82"/>
  <c r="F227" i="82"/>
  <c r="G71" i="81"/>
  <c r="G66" i="81"/>
  <c r="F62" i="81"/>
  <c r="F57" i="81"/>
  <c r="F52" i="81"/>
  <c r="F43" i="81"/>
  <c r="F37" i="81"/>
  <c r="G32" i="81"/>
  <c r="G27" i="81"/>
  <c r="F81" i="77"/>
  <c r="G81" i="77" s="1"/>
  <c r="F286" i="82"/>
  <c r="F276" i="82"/>
  <c r="F271" i="82"/>
  <c r="G266" i="82"/>
  <c r="G160" i="81"/>
  <c r="G151" i="81"/>
  <c r="G146" i="81"/>
  <c r="G134" i="81"/>
  <c r="F130" i="81"/>
  <c r="G126" i="81"/>
  <c r="F123" i="81"/>
  <c r="G119" i="81"/>
  <c r="F116" i="81"/>
  <c r="G112" i="81"/>
  <c r="F105" i="81"/>
  <c r="G101" i="81"/>
  <c r="F98" i="81"/>
  <c r="F88" i="81"/>
  <c r="G84" i="81"/>
  <c r="F81" i="81"/>
  <c r="G77" i="81"/>
  <c r="F90" i="77"/>
  <c r="G90" i="77" s="1"/>
  <c r="F372" i="82"/>
  <c r="G368" i="82"/>
  <c r="F364" i="82"/>
  <c r="G357" i="82"/>
  <c r="F354" i="82"/>
  <c r="G350" i="82"/>
  <c r="F347" i="82"/>
  <c r="G343" i="82"/>
  <c r="F334" i="82"/>
  <c r="G330" i="82"/>
  <c r="F327" i="82"/>
  <c r="G323" i="82"/>
  <c r="F320" i="82"/>
  <c r="G315" i="82"/>
  <c r="F312" i="82"/>
  <c r="G308" i="82"/>
  <c r="F301" i="82"/>
  <c r="G298" i="82"/>
  <c r="F207" i="81"/>
  <c r="G203" i="81"/>
  <c r="G196" i="81"/>
  <c r="F193" i="81"/>
  <c r="F110" i="82"/>
  <c r="F76" i="82"/>
  <c r="F64" i="82"/>
  <c r="G57" i="82"/>
  <c r="F53" i="82"/>
  <c r="F47" i="82"/>
  <c r="F42" i="82"/>
  <c r="F33" i="82"/>
  <c r="F28" i="82"/>
  <c r="F73" i="77"/>
  <c r="G73" i="77" s="1"/>
  <c r="G263" i="82"/>
  <c r="G251" i="82"/>
  <c r="G246" i="82"/>
  <c r="G240" i="82"/>
  <c r="F236" i="82"/>
  <c r="F231" i="82"/>
  <c r="G75" i="81"/>
  <c r="F71" i="81"/>
  <c r="F66" i="81"/>
  <c r="F61" i="81"/>
  <c r="G56" i="81"/>
  <c r="F47" i="81"/>
  <c r="G42" i="81"/>
  <c r="G36" i="81"/>
  <c r="G31" i="81"/>
  <c r="F27" i="81"/>
  <c r="F295" i="82"/>
  <c r="G290" i="82"/>
  <c r="F280" i="82"/>
  <c r="G275" i="82"/>
  <c r="G270" i="82"/>
  <c r="G265" i="82"/>
  <c r="F160" i="81"/>
  <c r="H160" i="81" s="1"/>
  <c r="G155" i="81"/>
  <c r="G150" i="81"/>
  <c r="F146" i="81"/>
  <c r="F134" i="81"/>
  <c r="G129" i="81"/>
  <c r="F126" i="81"/>
  <c r="G122" i="81"/>
  <c r="F119" i="81"/>
  <c r="G115" i="81"/>
  <c r="F112" i="81"/>
  <c r="G108" i="81"/>
  <c r="F101" i="81"/>
  <c r="G97" i="81"/>
  <c r="G87" i="81"/>
  <c r="F84" i="81"/>
  <c r="G80" i="81"/>
  <c r="F77" i="81"/>
  <c r="F368" i="82"/>
  <c r="G363" i="82"/>
  <c r="F357" i="82"/>
  <c r="G353" i="82"/>
  <c r="F350" i="82"/>
  <c r="G346" i="82"/>
  <c r="F343" i="82"/>
  <c r="F330" i="82"/>
  <c r="G326" i="82"/>
  <c r="F323" i="82"/>
  <c r="G319" i="82"/>
  <c r="F315" i="82"/>
  <c r="G311" i="82"/>
  <c r="F308" i="82"/>
  <c r="G304" i="82"/>
  <c r="F298" i="82"/>
  <c r="G206" i="81"/>
  <c r="F203" i="81"/>
  <c r="F196" i="81"/>
  <c r="G192" i="81"/>
  <c r="F189" i="81"/>
  <c r="G185" i="81"/>
  <c r="F178" i="81"/>
  <c r="G174" i="81"/>
  <c r="F171" i="81"/>
  <c r="G167" i="81"/>
  <c r="F112" i="77"/>
  <c r="G112" i="77" s="1"/>
  <c r="F107" i="77"/>
  <c r="G107" i="77" s="1"/>
  <c r="G379" i="82"/>
  <c r="F352" i="81"/>
  <c r="G348" i="81"/>
  <c r="F341" i="81"/>
  <c r="G337" i="81"/>
  <c r="F334" i="81"/>
  <c r="G330" i="81"/>
  <c r="F327" i="81"/>
  <c r="G323" i="81"/>
  <c r="F320" i="81"/>
  <c r="G316" i="81"/>
  <c r="F309" i="81"/>
  <c r="F302" i="81"/>
  <c r="G298" i="81"/>
  <c r="F292" i="81"/>
  <c r="G288" i="81"/>
  <c r="F285" i="81"/>
  <c r="G281" i="81"/>
  <c r="F274" i="81"/>
  <c r="G270" i="81"/>
  <c r="G263" i="81"/>
  <c r="F260" i="81"/>
  <c r="G256" i="81"/>
  <c r="F253" i="81"/>
  <c r="G249" i="81"/>
  <c r="F241" i="81"/>
  <c r="G237" i="81"/>
  <c r="F234" i="81"/>
  <c r="G230" i="81"/>
  <c r="F228" i="81"/>
  <c r="G224" i="81"/>
  <c r="F221" i="81"/>
  <c r="G217" i="81"/>
  <c r="F372" i="81"/>
  <c r="G368" i="81"/>
  <c r="F358" i="81"/>
  <c r="F128" i="77"/>
  <c r="G128" i="77" s="1"/>
  <c r="F169" i="77"/>
  <c r="G169" i="77" s="1"/>
  <c r="F163" i="77"/>
  <c r="G163" i="77" s="1"/>
  <c r="F157" i="77"/>
  <c r="G157" i="77" s="1"/>
  <c r="F202" i="77"/>
  <c r="G202" i="77" s="1"/>
  <c r="F195" i="77"/>
  <c r="G195" i="77" s="1"/>
  <c r="F208" i="77"/>
  <c r="G208" i="77" s="1"/>
  <c r="F216" i="77"/>
  <c r="G216" i="77" s="1"/>
  <c r="F261" i="77"/>
  <c r="G261" i="77" s="1"/>
  <c r="F254" i="77"/>
  <c r="G254" i="77" s="1"/>
  <c r="F248" i="77"/>
  <c r="G248" i="77" s="1"/>
  <c r="F242" i="77"/>
  <c r="G242" i="77" s="1"/>
  <c r="F229" i="77"/>
  <c r="G229" i="77" s="1"/>
  <c r="F222" i="77"/>
  <c r="G222" i="77" s="1"/>
  <c r="F272" i="77"/>
  <c r="G272" i="77" s="1"/>
  <c r="F336" i="77"/>
  <c r="G336" i="77" s="1"/>
  <c r="F323" i="77"/>
  <c r="G323" i="77" s="1"/>
  <c r="F316" i="77"/>
  <c r="G316" i="77" s="1"/>
  <c r="F310" i="77"/>
  <c r="G310" i="77" s="1"/>
  <c r="F304" i="77"/>
  <c r="G304" i="77" s="1"/>
  <c r="G126" i="82"/>
  <c r="F107" i="82"/>
  <c r="G88" i="82"/>
  <c r="G74" i="82"/>
  <c r="G63" i="82"/>
  <c r="F57" i="82"/>
  <c r="F51" i="82"/>
  <c r="G46" i="82"/>
  <c r="F37" i="82"/>
  <c r="G32" i="82"/>
  <c r="G27" i="82"/>
  <c r="F263" i="82"/>
  <c r="G255" i="82"/>
  <c r="G250" i="82"/>
  <c r="F246" i="82"/>
  <c r="F240" i="82"/>
  <c r="F235" i="82"/>
  <c r="F75" i="81"/>
  <c r="F70" i="81"/>
  <c r="G65" i="81"/>
  <c r="G60" i="81"/>
  <c r="G51" i="81"/>
  <c r="G46" i="81"/>
  <c r="G41" i="81"/>
  <c r="F36" i="81"/>
  <c r="F31" i="81"/>
  <c r="G26" i="81"/>
  <c r="F80" i="77"/>
  <c r="G80" i="77" s="1"/>
  <c r="G294" i="82"/>
  <c r="G285" i="82"/>
  <c r="G279" i="82"/>
  <c r="G274" i="82"/>
  <c r="F270" i="82"/>
  <c r="F265" i="82"/>
  <c r="G159" i="81"/>
  <c r="F155" i="81"/>
  <c r="F150" i="81"/>
  <c r="F145" i="81"/>
  <c r="G133" i="81"/>
  <c r="F129" i="81"/>
  <c r="G125" i="81"/>
  <c r="F122" i="81"/>
  <c r="G118" i="81"/>
  <c r="F115" i="81"/>
  <c r="G111" i="81"/>
  <c r="F108" i="81"/>
  <c r="G104" i="81"/>
  <c r="F97" i="81"/>
  <c r="F87" i="81"/>
  <c r="H87" i="81" s="1"/>
  <c r="G83" i="81"/>
  <c r="F80" i="81"/>
  <c r="F94" i="77"/>
  <c r="G94" i="77" s="1"/>
  <c r="F89" i="77"/>
  <c r="G89" i="77" s="1"/>
  <c r="G371" i="82"/>
  <c r="F363" i="82"/>
  <c r="G356" i="82"/>
  <c r="F353" i="82"/>
  <c r="G349" i="82"/>
  <c r="F346" i="82"/>
  <c r="G342" i="82"/>
  <c r="G333" i="82"/>
  <c r="F326" i="82"/>
  <c r="G322" i="82"/>
  <c r="F319" i="82"/>
  <c r="G314" i="82"/>
  <c r="F311" i="82"/>
  <c r="G307" i="82"/>
  <c r="F304" i="82"/>
  <c r="F124" i="82"/>
  <c r="F105" i="82"/>
  <c r="G72" i="82"/>
  <c r="G62" i="82"/>
  <c r="G56" i="82"/>
  <c r="G50" i="82"/>
  <c r="G41" i="82"/>
  <c r="G36" i="82"/>
  <c r="G31" i="82"/>
  <c r="F27" i="82"/>
  <c r="F71" i="77"/>
  <c r="G71" i="77" s="1"/>
  <c r="G261" i="82"/>
  <c r="F255" i="82"/>
  <c r="F250" i="82"/>
  <c r="F245" i="82"/>
  <c r="F230" i="82"/>
  <c r="G74" i="81"/>
  <c r="G69" i="81"/>
  <c r="G64" i="81"/>
  <c r="F60" i="81"/>
  <c r="G55" i="81"/>
  <c r="G50" i="81"/>
  <c r="F46" i="81"/>
  <c r="F41" i="81"/>
  <c r="F35" i="81"/>
  <c r="H35" i="81" s="1"/>
  <c r="F26" i="81"/>
  <c r="F294" i="82"/>
  <c r="G289" i="82"/>
  <c r="G284" i="82"/>
  <c r="F279" i="82"/>
  <c r="F274" i="82"/>
  <c r="F269" i="82"/>
  <c r="F159" i="81"/>
  <c r="F154" i="81"/>
  <c r="G149" i="81"/>
  <c r="G137" i="81"/>
  <c r="F125" i="81"/>
  <c r="G121" i="81"/>
  <c r="F118" i="81"/>
  <c r="G114" i="81"/>
  <c r="F111" i="81"/>
  <c r="G107" i="81"/>
  <c r="F104" i="81"/>
  <c r="G100" i="81"/>
  <c r="G86" i="81"/>
  <c r="F83" i="81"/>
  <c r="G79" i="81"/>
  <c r="G376" i="82"/>
  <c r="F371" i="82"/>
  <c r="G367" i="82"/>
  <c r="F356" i="82"/>
  <c r="G352" i="82"/>
  <c r="F349" i="82"/>
  <c r="G345" i="82"/>
  <c r="F342" i="82"/>
  <c r="G336" i="82"/>
  <c r="F333" i="82"/>
  <c r="G329" i="82"/>
  <c r="F322" i="82"/>
  <c r="G318" i="82"/>
  <c r="F314" i="82"/>
  <c r="G310" i="82"/>
  <c r="F307" i="82"/>
  <c r="G303" i="82"/>
  <c r="G211" i="81"/>
  <c r="F202" i="81"/>
  <c r="G198" i="81"/>
  <c r="G121" i="82"/>
  <c r="F85" i="82"/>
  <c r="F62" i="82"/>
  <c r="G55" i="82"/>
  <c r="F50" i="82"/>
  <c r="G45" i="82"/>
  <c r="G40" i="82"/>
  <c r="F36" i="82"/>
  <c r="F31" i="82"/>
  <c r="F26" i="82"/>
  <c r="F70" i="77"/>
  <c r="G70" i="77" s="1"/>
  <c r="F261" i="82"/>
  <c r="G249" i="82"/>
  <c r="G244" i="82"/>
  <c r="F119" i="82"/>
  <c r="F100" i="82"/>
  <c r="F83" i="82"/>
  <c r="F69" i="82"/>
  <c r="G60" i="82"/>
  <c r="F55" i="82"/>
  <c r="H55" i="82" s="1"/>
  <c r="G49" i="82"/>
  <c r="F45" i="82"/>
  <c r="H45" i="82" s="1"/>
  <c r="F40" i="82"/>
  <c r="F35" i="82"/>
  <c r="G30" i="82"/>
  <c r="F69" i="77"/>
  <c r="G69" i="77" s="1"/>
  <c r="G258" i="82"/>
  <c r="G253" i="82"/>
  <c r="G248" i="82"/>
  <c r="F244" i="82"/>
  <c r="H244" i="82" s="1"/>
  <c r="G238" i="82"/>
  <c r="G233" i="82"/>
  <c r="F229" i="82"/>
  <c r="F73" i="81"/>
  <c r="F68" i="81"/>
  <c r="F59" i="81"/>
  <c r="F54" i="81"/>
  <c r="G49" i="81"/>
  <c r="G44" i="81"/>
  <c r="G34" i="81"/>
  <c r="G29" i="81"/>
  <c r="F86" i="77"/>
  <c r="G86" i="77" s="1"/>
  <c r="F77" i="77"/>
  <c r="G77" i="77" s="1"/>
  <c r="F293" i="82"/>
  <c r="F288" i="82"/>
  <c r="G283" i="82"/>
  <c r="G277" i="82"/>
  <c r="G268" i="82"/>
  <c r="G162" i="81"/>
  <c r="G157" i="81"/>
  <c r="F153" i="81"/>
  <c r="F148" i="81"/>
  <c r="G136" i="81"/>
  <c r="F132" i="81"/>
  <c r="F128" i="81"/>
  <c r="G124" i="81"/>
  <c r="F117" i="81"/>
  <c r="G113" i="81"/>
  <c r="F110" i="81"/>
  <c r="G106" i="81"/>
  <c r="F103" i="81"/>
  <c r="G99" i="81"/>
  <c r="G89" i="81"/>
  <c r="F82" i="81"/>
  <c r="G78" i="81"/>
  <c r="F92" i="77"/>
  <c r="G92" i="77" s="1"/>
  <c r="G373" i="82"/>
  <c r="F370" i="82"/>
  <c r="G365" i="82"/>
  <c r="F362" i="82"/>
  <c r="G355" i="82"/>
  <c r="F348" i="82"/>
  <c r="G344" i="82"/>
  <c r="F341" i="82"/>
  <c r="G335" i="82"/>
  <c r="F332" i="82"/>
  <c r="G328" i="82"/>
  <c r="F325" i="82"/>
  <c r="G321" i="82"/>
  <c r="F313" i="82"/>
  <c r="G309" i="82"/>
  <c r="F306" i="82"/>
  <c r="F300" i="82"/>
  <c r="G208" i="81"/>
  <c r="F205" i="81"/>
  <c r="G201" i="81"/>
  <c r="F194" i="81"/>
  <c r="G190" i="81"/>
  <c r="F187" i="81"/>
  <c r="G183" i="81"/>
  <c r="F180" i="81"/>
  <c r="G176" i="81"/>
  <c r="F173" i="81"/>
  <c r="G169" i="81"/>
  <c r="F115" i="77"/>
  <c r="G115" i="77" s="1"/>
  <c r="F104" i="77"/>
  <c r="G104" i="77" s="1"/>
  <c r="F99" i="77"/>
  <c r="G99" i="77" s="1"/>
  <c r="G353" i="81"/>
  <c r="F350" i="81"/>
  <c r="G346" i="81"/>
  <c r="F343" i="81"/>
  <c r="G339" i="81"/>
  <c r="F336" i="81"/>
  <c r="G332" i="81"/>
  <c r="F325" i="81"/>
  <c r="G321" i="81"/>
  <c r="F318" i="81"/>
  <c r="G314" i="81"/>
  <c r="F311" i="81"/>
  <c r="G307" i="81"/>
  <c r="F304" i="81"/>
  <c r="G300" i="81"/>
  <c r="F290" i="81"/>
  <c r="G286" i="81"/>
  <c r="F283" i="81"/>
  <c r="G279" i="81"/>
  <c r="F276" i="81"/>
  <c r="G272" i="81"/>
  <c r="F269" i="81"/>
  <c r="G265" i="81"/>
  <c r="F258" i="81"/>
  <c r="G254" i="81"/>
  <c r="F251" i="81"/>
  <c r="G247" i="81"/>
  <c r="F243" i="81"/>
  <c r="G239" i="81"/>
  <c r="F236" i="81"/>
  <c r="G232" i="81"/>
  <c r="F226" i="81"/>
  <c r="G222" i="81"/>
  <c r="F219" i="81"/>
  <c r="G215" i="81"/>
  <c r="F124" i="77"/>
  <c r="G124" i="77" s="1"/>
  <c r="F370" i="81"/>
  <c r="G363" i="81"/>
  <c r="F360" i="81"/>
  <c r="F131" i="77"/>
  <c r="G131" i="77" s="1"/>
  <c r="F173" i="77"/>
  <c r="G173" i="77" s="1"/>
  <c r="F160" i="77"/>
  <c r="G160" i="77" s="1"/>
  <c r="F187" i="77"/>
  <c r="G187" i="77" s="1"/>
  <c r="F179" i="77"/>
  <c r="G179" i="77" s="1"/>
  <c r="F199" i="77"/>
  <c r="G199" i="77" s="1"/>
  <c r="F205" i="77"/>
  <c r="G205" i="77" s="1"/>
  <c r="F270" i="77"/>
  <c r="G270" i="77" s="1"/>
  <c r="F264" i="77"/>
  <c r="G264" i="77" s="1"/>
  <c r="F258" i="77"/>
  <c r="G258" i="77" s="1"/>
  <c r="F245" i="77"/>
  <c r="G245" i="77" s="1"/>
  <c r="F238" i="77"/>
  <c r="G238" i="77" s="1"/>
  <c r="F232" i="77"/>
  <c r="G232" i="77" s="1"/>
  <c r="F226" i="77"/>
  <c r="G226" i="77" s="1"/>
  <c r="F339" i="77"/>
  <c r="G339" i="77" s="1"/>
  <c r="F332" i="77"/>
  <c r="G332" i="77" s="1"/>
  <c r="F326" i="77"/>
  <c r="G326" i="77" s="1"/>
  <c r="F320" i="77"/>
  <c r="G320" i="77" s="1"/>
  <c r="F307" i="77"/>
  <c r="G307" i="77" s="1"/>
  <c r="F50" i="81"/>
  <c r="F289" i="82"/>
  <c r="G148" i="81"/>
  <c r="G110" i="81"/>
  <c r="F79" i="81"/>
  <c r="F358" i="82"/>
  <c r="G327" i="82"/>
  <c r="G312" i="82"/>
  <c r="F299" i="82"/>
  <c r="G188" i="81"/>
  <c r="F184" i="81"/>
  <c r="F174" i="81"/>
  <c r="F165" i="81"/>
  <c r="F105" i="77"/>
  <c r="G105" i="77" s="1"/>
  <c r="G351" i="81"/>
  <c r="F347" i="81"/>
  <c r="F342" i="81"/>
  <c r="F337" i="81"/>
  <c r="F328" i="81"/>
  <c r="F323" i="81"/>
  <c r="G318" i="81"/>
  <c r="G234" i="82"/>
  <c r="F45" i="81"/>
  <c r="F284" i="82"/>
  <c r="F137" i="81"/>
  <c r="F107" i="81"/>
  <c r="F93" i="77"/>
  <c r="G93" i="77" s="1"/>
  <c r="G341" i="82"/>
  <c r="G325" i="82"/>
  <c r="F310" i="82"/>
  <c r="F211" i="81"/>
  <c r="G193" i="81"/>
  <c r="F188" i="81"/>
  <c r="F183" i="81"/>
  <c r="G178" i="81"/>
  <c r="F169" i="81"/>
  <c r="F120" i="77"/>
  <c r="G120" i="77" s="1"/>
  <c r="F111" i="77"/>
  <c r="G111" i="77" s="1"/>
  <c r="F96" i="77"/>
  <c r="G96" i="77" s="1"/>
  <c r="F351" i="81"/>
  <c r="F346" i="81"/>
  <c r="H346" i="81" s="1"/>
  <c r="G341" i="81"/>
  <c r="F332" i="81"/>
  <c r="G327" i="81"/>
  <c r="G322" i="81"/>
  <c r="G317" i="81"/>
  <c r="F313" i="81"/>
  <c r="G308" i="81"/>
  <c r="G303" i="81"/>
  <c r="F299" i="81"/>
  <c r="F291" i="81"/>
  <c r="F286" i="81"/>
  <c r="F277" i="81"/>
  <c r="F272" i="81"/>
  <c r="G262" i="81"/>
  <c r="G253" i="81"/>
  <c r="G248" i="81"/>
  <c r="G242" i="81"/>
  <c r="F238" i="81"/>
  <c r="F233" i="81"/>
  <c r="G229" i="81"/>
  <c r="F225" i="81"/>
  <c r="F220" i="81"/>
  <c r="F215" i="81"/>
  <c r="F122" i="77"/>
  <c r="G122" i="77" s="1"/>
  <c r="F371" i="81"/>
  <c r="F362" i="81"/>
  <c r="G357" i="81"/>
  <c r="F148" i="77"/>
  <c r="G148" i="77" s="1"/>
  <c r="F143" i="77"/>
  <c r="G143" i="77" s="1"/>
  <c r="F130" i="77"/>
  <c r="G130" i="77" s="1"/>
  <c r="F170" i="77"/>
  <c r="G170" i="77" s="1"/>
  <c r="F161" i="77"/>
  <c r="G161" i="77" s="1"/>
  <c r="F194" i="77"/>
  <c r="G194" i="77" s="1"/>
  <c r="F204" i="77"/>
  <c r="G204" i="77" s="1"/>
  <c r="F268" i="77"/>
  <c r="G268" i="77" s="1"/>
  <c r="F251" i="77"/>
  <c r="G251" i="77" s="1"/>
  <c r="F243" i="77"/>
  <c r="G243" i="77" s="1"/>
  <c r="F234" i="77"/>
  <c r="G234" i="77" s="1"/>
  <c r="F225" i="77"/>
  <c r="G225" i="77" s="1"/>
  <c r="F274" i="77"/>
  <c r="G274" i="77" s="1"/>
  <c r="F334" i="77"/>
  <c r="G334" i="77" s="1"/>
  <c r="F325" i="77"/>
  <c r="G325" i="77" s="1"/>
  <c r="F317" i="77"/>
  <c r="G317" i="77" s="1"/>
  <c r="F308" i="77"/>
  <c r="G308" i="77" s="1"/>
  <c r="F300" i="77"/>
  <c r="G300" i="77" s="1"/>
  <c r="F288" i="77"/>
  <c r="G288" i="77" s="1"/>
  <c r="F344" i="77"/>
  <c r="G344" i="77" s="1"/>
  <c r="F356" i="77"/>
  <c r="G356" i="77" s="1"/>
  <c r="F370" i="77"/>
  <c r="G370" i="77" s="1"/>
  <c r="G229" i="82"/>
  <c r="G40" i="81"/>
  <c r="G132" i="81"/>
  <c r="G103" i="81"/>
  <c r="F376" i="82"/>
  <c r="G354" i="82"/>
  <c r="F324" i="82"/>
  <c r="G207" i="81"/>
  <c r="F198" i="81"/>
  <c r="F192" i="81"/>
  <c r="G187" i="81"/>
  <c r="G182" i="81"/>
  <c r="G173" i="81"/>
  <c r="G168" i="81"/>
  <c r="F119" i="77"/>
  <c r="G119" i="77" s="1"/>
  <c r="F110" i="77"/>
  <c r="G110" i="77" s="1"/>
  <c r="F103" i="77"/>
  <c r="G103" i="77" s="1"/>
  <c r="F379" i="82"/>
  <c r="G350" i="81"/>
  <c r="G345" i="81"/>
  <c r="G336" i="81"/>
  <c r="G331" i="81"/>
  <c r="G326" i="81"/>
  <c r="F322" i="81"/>
  <c r="F317" i="81"/>
  <c r="G312" i="81"/>
  <c r="F308" i="81"/>
  <c r="F303" i="81"/>
  <c r="F298" i="81"/>
  <c r="G290" i="81"/>
  <c r="F281" i="81"/>
  <c r="G276" i="81"/>
  <c r="H276" i="81" s="1"/>
  <c r="G271" i="81"/>
  <c r="F262" i="81"/>
  <c r="G257" i="81"/>
  <c r="G252" i="81"/>
  <c r="F248" i="81"/>
  <c r="F242" i="81"/>
  <c r="F237" i="81"/>
  <c r="F229" i="81"/>
  <c r="F224" i="81"/>
  <c r="G219" i="81"/>
  <c r="G214" i="81"/>
  <c r="G73" i="81"/>
  <c r="G273" i="82"/>
  <c r="G128" i="81"/>
  <c r="F100" i="81"/>
  <c r="G370" i="82"/>
  <c r="F352" i="82"/>
  <c r="F336" i="82"/>
  <c r="G306" i="82"/>
  <c r="F206" i="81"/>
  <c r="G197" i="81"/>
  <c r="G191" i="81"/>
  <c r="G186" i="81"/>
  <c r="F182" i="81"/>
  <c r="G177" i="81"/>
  <c r="G172" i="81"/>
  <c r="F168" i="81"/>
  <c r="F118" i="77"/>
  <c r="G118" i="77" s="1"/>
  <c r="F109" i="77"/>
  <c r="G109" i="77" s="1"/>
  <c r="F102" i="77"/>
  <c r="G102" i="77" s="1"/>
  <c r="G354" i="81"/>
  <c r="G349" i="81"/>
  <c r="F345" i="81"/>
  <c r="G340" i="81"/>
  <c r="G335" i="81"/>
  <c r="F331" i="81"/>
  <c r="F326" i="81"/>
  <c r="F69" i="81"/>
  <c r="F30" i="81"/>
  <c r="F369" i="82"/>
  <c r="F351" i="82"/>
  <c r="G334" i="82"/>
  <c r="G320" i="82"/>
  <c r="F305" i="82"/>
  <c r="G205" i="81"/>
  <c r="F197" i="81"/>
  <c r="F191" i="81"/>
  <c r="F186" i="81"/>
  <c r="G181" i="81"/>
  <c r="F177" i="81"/>
  <c r="F172" i="81"/>
  <c r="F167" i="81"/>
  <c r="F64" i="81"/>
  <c r="F87" i="77"/>
  <c r="G87" i="77" s="1"/>
  <c r="F163" i="81"/>
  <c r="F121" i="81"/>
  <c r="F367" i="82"/>
  <c r="G348" i="82"/>
  <c r="G332" i="82"/>
  <c r="F318" i="82"/>
  <c r="F303" i="82"/>
  <c r="F204" i="81"/>
  <c r="G195" i="81"/>
  <c r="F190" i="81"/>
  <c r="F181" i="81"/>
  <c r="H181" i="81" s="1"/>
  <c r="F176" i="81"/>
  <c r="G171" i="81"/>
  <c r="G166" i="81"/>
  <c r="F114" i="77"/>
  <c r="G114" i="77" s="1"/>
  <c r="F100" i="77"/>
  <c r="G100" i="77" s="1"/>
  <c r="F353" i="81"/>
  <c r="F344" i="81"/>
  <c r="F339" i="81"/>
  <c r="G334" i="81"/>
  <c r="G329" i="81"/>
  <c r="G320" i="81"/>
  <c r="G315" i="81"/>
  <c r="G310" i="81"/>
  <c r="F306" i="81"/>
  <c r="F301" i="81"/>
  <c r="G295" i="81"/>
  <c r="F289" i="81"/>
  <c r="F284" i="81"/>
  <c r="F279" i="81"/>
  <c r="G274" i="81"/>
  <c r="F265" i="81"/>
  <c r="G260" i="81"/>
  <c r="G255" i="81"/>
  <c r="G250" i="81"/>
  <c r="F246" i="81"/>
  <c r="G240" i="81"/>
  <c r="G235" i="81"/>
  <c r="F231" i="81"/>
  <c r="F227" i="81"/>
  <c r="F222" i="81"/>
  <c r="F125" i="77"/>
  <c r="G125" i="77" s="1"/>
  <c r="G373" i="81"/>
  <c r="F369" i="81"/>
  <c r="G364" i="81"/>
  <c r="G359" i="81"/>
  <c r="F151" i="77"/>
  <c r="G151" i="77" s="1"/>
  <c r="F140" i="77"/>
  <c r="G140" i="77" s="1"/>
  <c r="F166" i="77"/>
  <c r="G166" i="77" s="1"/>
  <c r="F158" i="77"/>
  <c r="G158" i="77" s="1"/>
  <c r="F198" i="77"/>
  <c r="G198" i="77" s="1"/>
  <c r="F209" i="77"/>
  <c r="G209" i="77" s="1"/>
  <c r="F214" i="77"/>
  <c r="G214" i="77" s="1"/>
  <c r="F263" i="77"/>
  <c r="G263" i="77" s="1"/>
  <c r="F255" i="77"/>
  <c r="G255" i="77" s="1"/>
  <c r="F246" i="77"/>
  <c r="G246" i="77" s="1"/>
  <c r="F221" i="77"/>
  <c r="G221" i="77" s="1"/>
  <c r="F338" i="77"/>
  <c r="G338" i="77" s="1"/>
  <c r="F330" i="77"/>
  <c r="G330" i="77" s="1"/>
  <c r="F313" i="77"/>
  <c r="G313" i="77" s="1"/>
  <c r="F305" i="77"/>
  <c r="G305" i="77" s="1"/>
  <c r="F291" i="77"/>
  <c r="G291" i="77" s="1"/>
  <c r="F284" i="77"/>
  <c r="G284" i="77" s="1"/>
  <c r="F278" i="77"/>
  <c r="G278" i="77" s="1"/>
  <c r="F387" i="77"/>
  <c r="G387" i="77" s="1"/>
  <c r="G59" i="81"/>
  <c r="G158" i="81"/>
  <c r="G117" i="81"/>
  <c r="F86" i="81"/>
  <c r="G364" i="82"/>
  <c r="G347" i="82"/>
  <c r="F331" i="82"/>
  <c r="F317" i="82"/>
  <c r="G301" i="82"/>
  <c r="G202" i="81"/>
  <c r="F195" i="81"/>
  <c r="F185" i="81"/>
  <c r="G180" i="81"/>
  <c r="G175" i="81"/>
  <c r="G170" i="81"/>
  <c r="F166" i="81"/>
  <c r="F106" i="77"/>
  <c r="G106" i="77" s="1"/>
  <c r="F348" i="81"/>
  <c r="G343" i="81"/>
  <c r="G338" i="81"/>
  <c r="G333" i="81"/>
  <c r="F329" i="81"/>
  <c r="G324" i="81"/>
  <c r="G319" i="81"/>
  <c r="F315" i="81"/>
  <c r="F310" i="81"/>
  <c r="F295" i="81"/>
  <c r="F288" i="81"/>
  <c r="G283" i="81"/>
  <c r="G278" i="81"/>
  <c r="G269" i="81"/>
  <c r="G264" i="81"/>
  <c r="G259" i="81"/>
  <c r="F255" i="81"/>
  <c r="F250" i="81"/>
  <c r="G244" i="81"/>
  <c r="F240" i="81"/>
  <c r="F235" i="81"/>
  <c r="F230" i="81"/>
  <c r="G226" i="81"/>
  <c r="F217" i="81"/>
  <c r="G238" i="81"/>
  <c r="F168" i="77"/>
  <c r="G168" i="77" s="1"/>
  <c r="F191" i="77"/>
  <c r="G191" i="77" s="1"/>
  <c r="F249" i="77"/>
  <c r="G249" i="77" s="1"/>
  <c r="F227" i="77"/>
  <c r="G227" i="77" s="1"/>
  <c r="F318" i="77"/>
  <c r="G318" i="77" s="1"/>
  <c r="F297" i="77"/>
  <c r="G297" i="77" s="1"/>
  <c r="F280" i="77"/>
  <c r="G280" i="77" s="1"/>
  <c r="F364" i="77"/>
  <c r="G364" i="77" s="1"/>
  <c r="F373" i="77"/>
  <c r="G373" i="77" s="1"/>
  <c r="F145" i="77"/>
  <c r="G145" i="77" s="1"/>
  <c r="F269" i="77"/>
  <c r="G269" i="77" s="1"/>
  <c r="F327" i="77"/>
  <c r="G327" i="77" s="1"/>
  <c r="F346" i="77"/>
  <c r="G346" i="77" s="1"/>
  <c r="F321" i="77"/>
  <c r="G321" i="77" s="1"/>
  <c r="F392" i="77"/>
  <c r="G392" i="77" s="1"/>
  <c r="G293" i="82"/>
  <c r="G300" i="82"/>
  <c r="G165" i="81"/>
  <c r="G352" i="81"/>
  <c r="F333" i="81"/>
  <c r="F307" i="81"/>
  <c r="G297" i="81"/>
  <c r="G285" i="81"/>
  <c r="G275" i="81"/>
  <c r="F257" i="81"/>
  <c r="F247" i="81"/>
  <c r="G228" i="81"/>
  <c r="G218" i="81"/>
  <c r="G369" i="81"/>
  <c r="F363" i="81"/>
  <c r="F357" i="81"/>
  <c r="F146" i="77"/>
  <c r="G146" i="77" s="1"/>
  <c r="F139" i="77"/>
  <c r="G139" i="77" s="1"/>
  <c r="F129" i="77"/>
  <c r="G129" i="77" s="1"/>
  <c r="F167" i="77"/>
  <c r="G167" i="77" s="1"/>
  <c r="F189" i="77"/>
  <c r="G189" i="77" s="1"/>
  <c r="F201" i="77"/>
  <c r="G201" i="77" s="1"/>
  <c r="F210" i="77"/>
  <c r="G210" i="77" s="1"/>
  <c r="F247" i="77"/>
  <c r="G247" i="77" s="1"/>
  <c r="F236" i="77"/>
  <c r="G236" i="77" s="1"/>
  <c r="F224" i="77"/>
  <c r="G224" i="77" s="1"/>
  <c r="F328" i="77"/>
  <c r="G328" i="77" s="1"/>
  <c r="F296" i="77"/>
  <c r="G296" i="77" s="1"/>
  <c r="F287" i="77"/>
  <c r="G287" i="77" s="1"/>
  <c r="F279" i="77"/>
  <c r="G279" i="77" s="1"/>
  <c r="F349" i="77"/>
  <c r="G349" i="77" s="1"/>
  <c r="F363" i="77"/>
  <c r="G363" i="77" s="1"/>
  <c r="F380" i="77"/>
  <c r="G380" i="77" s="1"/>
  <c r="F390" i="77"/>
  <c r="G390" i="77" s="1"/>
  <c r="F368" i="81"/>
  <c r="F188" i="77"/>
  <c r="G188" i="77" s="1"/>
  <c r="F223" i="77"/>
  <c r="G223" i="77" s="1"/>
  <c r="F303" i="77"/>
  <c r="G303" i="77" s="1"/>
  <c r="F384" i="77"/>
  <c r="G384" i="77" s="1"/>
  <c r="F374" i="77"/>
  <c r="G374" i="77" s="1"/>
  <c r="G153" i="81"/>
  <c r="F349" i="81"/>
  <c r="F330" i="81"/>
  <c r="F316" i="81"/>
  <c r="G306" i="81"/>
  <c r="F297" i="81"/>
  <c r="G284" i="81"/>
  <c r="F275" i="81"/>
  <c r="F256" i="81"/>
  <c r="G246" i="81"/>
  <c r="G236" i="81"/>
  <c r="G227" i="81"/>
  <c r="F218" i="81"/>
  <c r="G375" i="81"/>
  <c r="G362" i="81"/>
  <c r="F138" i="77"/>
  <c r="G138" i="77" s="1"/>
  <c r="F165" i="77"/>
  <c r="G165" i="77" s="1"/>
  <c r="F257" i="77"/>
  <c r="G257" i="77" s="1"/>
  <c r="F315" i="77"/>
  <c r="G315" i="77" s="1"/>
  <c r="F286" i="77"/>
  <c r="G286" i="77" s="1"/>
  <c r="F367" i="77"/>
  <c r="G367" i="77" s="1"/>
  <c r="F343" i="77"/>
  <c r="G343" i="77" s="1"/>
  <c r="F114" i="81"/>
  <c r="G194" i="81"/>
  <c r="F113" i="77"/>
  <c r="G113" i="77" s="1"/>
  <c r="G347" i="81"/>
  <c r="G328" i="81"/>
  <c r="F314" i="81"/>
  <c r="G292" i="81"/>
  <c r="G282" i="81"/>
  <c r="G273" i="81"/>
  <c r="F264" i="81"/>
  <c r="F254" i="81"/>
  <c r="F244" i="81"/>
  <c r="G234" i="81"/>
  <c r="G216" i="81"/>
  <c r="F375" i="81"/>
  <c r="G367" i="81"/>
  <c r="G361" i="81"/>
  <c r="F144" i="77"/>
  <c r="G144" i="77" s="1"/>
  <c r="F137" i="77"/>
  <c r="G137" i="77" s="1"/>
  <c r="F175" i="77"/>
  <c r="G175" i="77" s="1"/>
  <c r="F164" i="77"/>
  <c r="G164" i="77" s="1"/>
  <c r="F184" i="77"/>
  <c r="G184" i="77" s="1"/>
  <c r="F200" i="77"/>
  <c r="G200" i="77" s="1"/>
  <c r="F206" i="77"/>
  <c r="G206" i="77" s="1"/>
  <c r="F267" i="77"/>
  <c r="G267" i="77" s="1"/>
  <c r="F256" i="77"/>
  <c r="G256" i="77" s="1"/>
  <c r="F244" i="77"/>
  <c r="G244" i="77" s="1"/>
  <c r="F233" i="77"/>
  <c r="G233" i="77" s="1"/>
  <c r="F337" i="77"/>
  <c r="G337" i="77" s="1"/>
  <c r="F324" i="77"/>
  <c r="G324" i="77" s="1"/>
  <c r="F314" i="77"/>
  <c r="G314" i="77" s="1"/>
  <c r="F302" i="77"/>
  <c r="G302" i="77" s="1"/>
  <c r="F293" i="77"/>
  <c r="G293" i="77" s="1"/>
  <c r="F285" i="77"/>
  <c r="G285" i="77" s="1"/>
  <c r="F355" i="77"/>
  <c r="G355" i="77" s="1"/>
  <c r="F366" i="77"/>
  <c r="G366" i="77" s="1"/>
  <c r="F383" i="77"/>
  <c r="G383" i="77" s="1"/>
  <c r="F379" i="77"/>
  <c r="G379" i="77" s="1"/>
  <c r="G304" i="81"/>
  <c r="F273" i="81"/>
  <c r="G243" i="81"/>
  <c r="G225" i="81"/>
  <c r="F216" i="81"/>
  <c r="F367" i="81"/>
  <c r="F150" i="77"/>
  <c r="G150" i="77" s="1"/>
  <c r="F136" i="77"/>
  <c r="G136" i="77" s="1"/>
  <c r="F162" i="77"/>
  <c r="G162" i="77" s="1"/>
  <c r="F197" i="77"/>
  <c r="G197" i="77" s="1"/>
  <c r="F266" i="77"/>
  <c r="G266" i="77" s="1"/>
  <c r="F231" i="77"/>
  <c r="G231" i="77" s="1"/>
  <c r="F335" i="77"/>
  <c r="G335" i="77" s="1"/>
  <c r="F312" i="77"/>
  <c r="G312" i="77" s="1"/>
  <c r="F292" i="77"/>
  <c r="G292" i="77" s="1"/>
  <c r="F360" i="77"/>
  <c r="G360" i="77" s="1"/>
  <c r="F378" i="77"/>
  <c r="G378" i="77" s="1"/>
  <c r="F324" i="81"/>
  <c r="F252" i="81"/>
  <c r="F214" i="81"/>
  <c r="G360" i="81"/>
  <c r="F265" i="77"/>
  <c r="G265" i="77" s="1"/>
  <c r="F230" i="77"/>
  <c r="G230" i="77" s="1"/>
  <c r="F322" i="77"/>
  <c r="G322" i="77" s="1"/>
  <c r="F283" i="77"/>
  <c r="G283" i="77" s="1"/>
  <c r="F375" i="77"/>
  <c r="G375" i="77" s="1"/>
  <c r="F149" i="77"/>
  <c r="G149" i="77" s="1"/>
  <c r="F252" i="77"/>
  <c r="G252" i="77" s="1"/>
  <c r="F228" i="77"/>
  <c r="G228" i="77" s="1"/>
  <c r="F290" i="77"/>
  <c r="G290" i="77" s="1"/>
  <c r="F381" i="77"/>
  <c r="G381" i="77" s="1"/>
  <c r="G82" i="81"/>
  <c r="G189" i="81"/>
  <c r="F108" i="77"/>
  <c r="G108" i="77" s="1"/>
  <c r="G344" i="81"/>
  <c r="G325" i="81"/>
  <c r="G313" i="81"/>
  <c r="G291" i="81"/>
  <c r="F282" i="81"/>
  <c r="F263" i="81"/>
  <c r="G233" i="81"/>
  <c r="F373" i="81"/>
  <c r="F361" i="81"/>
  <c r="H361" i="81" s="1"/>
  <c r="F174" i="77"/>
  <c r="G174" i="77" s="1"/>
  <c r="F183" i="77"/>
  <c r="G183" i="77" s="1"/>
  <c r="F220" i="77"/>
  <c r="G220" i="77" s="1"/>
  <c r="F301" i="77"/>
  <c r="G301" i="77" s="1"/>
  <c r="F345" i="77"/>
  <c r="G345" i="77" s="1"/>
  <c r="F271" i="81"/>
  <c r="G241" i="81"/>
  <c r="G223" i="81"/>
  <c r="F172" i="77"/>
  <c r="G172" i="77" s="1"/>
  <c r="F196" i="77"/>
  <c r="G196" i="77" s="1"/>
  <c r="F253" i="77"/>
  <c r="G253" i="77" s="1"/>
  <c r="F276" i="77"/>
  <c r="G276" i="77" s="1"/>
  <c r="F311" i="77"/>
  <c r="G311" i="77" s="1"/>
  <c r="F359" i="81"/>
  <c r="F275" i="77"/>
  <c r="G275" i="77" s="1"/>
  <c r="F371" i="77"/>
  <c r="G371" i="77" s="1"/>
  <c r="G362" i="82"/>
  <c r="G184" i="81"/>
  <c r="G342" i="81"/>
  <c r="F312" i="81"/>
  <c r="G302" i="81"/>
  <c r="G280" i="81"/>
  <c r="G261" i="81"/>
  <c r="F232" i="81"/>
  <c r="G372" i="81"/>
  <c r="F142" i="77"/>
  <c r="G142" i="77" s="1"/>
  <c r="F182" i="77"/>
  <c r="G182" i="77" s="1"/>
  <c r="F241" i="77"/>
  <c r="G241" i="77" s="1"/>
  <c r="F333" i="77"/>
  <c r="G333" i="77" s="1"/>
  <c r="F354" i="77"/>
  <c r="G354" i="77" s="1"/>
  <c r="F218" i="77"/>
  <c r="G218" i="77" s="1"/>
  <c r="F240" i="77"/>
  <c r="G240" i="77" s="1"/>
  <c r="F299" i="77"/>
  <c r="G299" i="77" s="1"/>
  <c r="F345" i="82"/>
  <c r="F101" i="77"/>
  <c r="G101" i="77" s="1"/>
  <c r="F340" i="81"/>
  <c r="F321" i="81"/>
  <c r="G311" i="81"/>
  <c r="G301" i="81"/>
  <c r="G289" i="81"/>
  <c r="F280" i="81"/>
  <c r="F270" i="81"/>
  <c r="F261" i="81"/>
  <c r="G251" i="81"/>
  <c r="G231" i="81"/>
  <c r="F223" i="81"/>
  <c r="F126" i="77"/>
  <c r="G126" i="77" s="1"/>
  <c r="G371" i="81"/>
  <c r="F134" i="77"/>
  <c r="G134" i="77" s="1"/>
  <c r="F159" i="77"/>
  <c r="G159" i="77" s="1"/>
  <c r="F262" i="77"/>
  <c r="G262" i="77" s="1"/>
  <c r="F282" i="77"/>
  <c r="G282" i="77" s="1"/>
  <c r="F329" i="82"/>
  <c r="F175" i="81"/>
  <c r="F97" i="77"/>
  <c r="G97" i="77" s="1"/>
  <c r="F338" i="81"/>
  <c r="G309" i="81"/>
  <c r="F300" i="81"/>
  <c r="G287" i="81"/>
  <c r="F278" i="81"/>
  <c r="G268" i="81"/>
  <c r="F259" i="81"/>
  <c r="F239" i="81"/>
  <c r="G221" i="81"/>
  <c r="F123" i="77"/>
  <c r="G123" i="77" s="1"/>
  <c r="G370" i="81"/>
  <c r="G358" i="81"/>
  <c r="F141" i="77"/>
  <c r="G141" i="77" s="1"/>
  <c r="F133" i="77"/>
  <c r="G133" i="77" s="1"/>
  <c r="F178" i="77"/>
  <c r="G178" i="77" s="1"/>
  <c r="F192" i="77"/>
  <c r="G192" i="77" s="1"/>
  <c r="F215" i="77"/>
  <c r="G215" i="77" s="1"/>
  <c r="F250" i="77"/>
  <c r="G250" i="77" s="1"/>
  <c r="F239" i="77"/>
  <c r="G239" i="77" s="1"/>
  <c r="F341" i="77"/>
  <c r="G341" i="77" s="1"/>
  <c r="F331" i="77"/>
  <c r="G331" i="77" s="1"/>
  <c r="F319" i="77"/>
  <c r="G319" i="77" s="1"/>
  <c r="F298" i="77"/>
  <c r="G298" i="77" s="1"/>
  <c r="F281" i="77"/>
  <c r="G281" i="77" s="1"/>
  <c r="F352" i="77"/>
  <c r="G352" i="77" s="1"/>
  <c r="F358" i="77"/>
  <c r="G358" i="77" s="1"/>
  <c r="F391" i="77"/>
  <c r="G391" i="77" s="1"/>
  <c r="F55" i="81"/>
  <c r="G313" i="82"/>
  <c r="F170" i="81"/>
  <c r="F354" i="81"/>
  <c r="F335" i="81"/>
  <c r="F319" i="81"/>
  <c r="G299" i="81"/>
  <c r="F287" i="81"/>
  <c r="G277" i="81"/>
  <c r="F268" i="81"/>
  <c r="G258" i="81"/>
  <c r="F249" i="81"/>
  <c r="H249" i="81" s="1"/>
  <c r="G220" i="81"/>
  <c r="F364" i="81"/>
  <c r="F132" i="77"/>
  <c r="G132" i="77" s="1"/>
  <c r="F156" i="77"/>
  <c r="G156" i="77" s="1"/>
  <c r="F177" i="77"/>
  <c r="G177" i="77" s="1"/>
  <c r="F212" i="77"/>
  <c r="G212" i="77" s="1"/>
  <c r="F260" i="77"/>
  <c r="G260" i="77" s="1"/>
  <c r="F237" i="77"/>
  <c r="G237" i="77" s="1"/>
  <c r="F340" i="77"/>
  <c r="G340" i="77" s="1"/>
  <c r="F329" i="77"/>
  <c r="G329" i="77" s="1"/>
  <c r="F306" i="77"/>
  <c r="G306" i="77" s="1"/>
  <c r="F289" i="77"/>
  <c r="G289" i="77" s="1"/>
  <c r="F350" i="77"/>
  <c r="G350" i="77" s="1"/>
  <c r="F369" i="77"/>
  <c r="G369" i="77" s="1"/>
  <c r="F154" i="77"/>
  <c r="G154" i="77" s="1"/>
  <c r="F207" i="77"/>
  <c r="G207" i="77" s="1"/>
  <c r="F235" i="77"/>
  <c r="G235" i="77" s="1"/>
  <c r="F295" i="77"/>
  <c r="G295" i="77" s="1"/>
  <c r="F362" i="77"/>
  <c r="G362" i="77" s="1"/>
  <c r="F309" i="77"/>
  <c r="G309" i="77" s="1"/>
  <c r="I24" i="76"/>
  <c r="S24" i="76" s="1"/>
  <c r="F290" i="83"/>
  <c r="G290" i="83" s="1"/>
  <c r="G225" i="82"/>
  <c r="F264" i="82"/>
  <c r="F220" i="83"/>
  <c r="G220" i="83" s="1"/>
  <c r="G378" i="82"/>
  <c r="G24" i="82"/>
  <c r="F225" i="82"/>
  <c r="F19" i="83"/>
  <c r="G19" i="83" s="1"/>
  <c r="G296" i="82"/>
  <c r="F378" i="82"/>
  <c r="F24" i="82"/>
  <c r="F296" i="82"/>
  <c r="G264" i="82"/>
  <c r="F19" i="84"/>
  <c r="F207" i="79"/>
  <c r="G207" i="79" s="1"/>
  <c r="F71" i="79"/>
  <c r="G71" i="79" s="1"/>
  <c r="F19" i="79"/>
  <c r="G19" i="79" s="1"/>
  <c r="G164" i="81"/>
  <c r="F212" i="81"/>
  <c r="G76" i="81"/>
  <c r="G355" i="81"/>
  <c r="F76" i="81"/>
  <c r="F355" i="81"/>
  <c r="F25" i="81"/>
  <c r="F164" i="81"/>
  <c r="G25" i="81"/>
  <c r="G212" i="81"/>
  <c r="F376" i="77"/>
  <c r="G376" i="77" s="1"/>
  <c r="F357" i="77"/>
  <c r="G357" i="77" s="1"/>
  <c r="F277" i="77"/>
  <c r="G277" i="77" s="1"/>
  <c r="F203" i="77"/>
  <c r="G203" i="77" s="1"/>
  <c r="F127" i="77"/>
  <c r="G127" i="77" s="1"/>
  <c r="F75" i="77"/>
  <c r="G75" i="77" s="1"/>
  <c r="F35" i="77"/>
  <c r="G35" i="77" s="1"/>
  <c r="F353" i="77"/>
  <c r="G353" i="77" s="1"/>
  <c r="F190" i="77"/>
  <c r="G190" i="77" s="1"/>
  <c r="F121" i="77"/>
  <c r="G121" i="77" s="1"/>
  <c r="F22" i="77"/>
  <c r="G22" i="77" s="1"/>
  <c r="F219" i="77"/>
  <c r="G219" i="77" s="1"/>
  <c r="F95" i="77"/>
  <c r="G95" i="77" s="1"/>
  <c r="F40" i="77"/>
  <c r="G40" i="77" s="1"/>
  <c r="F372" i="77"/>
  <c r="G372" i="77" s="1"/>
  <c r="F271" i="77"/>
  <c r="G271" i="77" s="1"/>
  <c r="F65" i="77"/>
  <c r="G65" i="77" s="1"/>
  <c r="F347" i="77"/>
  <c r="G347" i="77" s="1"/>
  <c r="F52" i="77"/>
  <c r="G52" i="77" s="1"/>
  <c r="F88" i="77"/>
  <c r="G88" i="77" s="1"/>
  <c r="F365" i="77"/>
  <c r="G365" i="77" s="1"/>
  <c r="F176" i="77"/>
  <c r="G176" i="77" s="1"/>
  <c r="F19" i="77"/>
  <c r="G19" i="77" s="1"/>
  <c r="F389" i="77"/>
  <c r="G389" i="77" s="1"/>
  <c r="F359" i="77"/>
  <c r="G359" i="77" s="1"/>
  <c r="F342" i="77"/>
  <c r="G342" i="77" s="1"/>
  <c r="F211" i="77"/>
  <c r="G211" i="77" s="1"/>
  <c r="F155" i="77"/>
  <c r="G155" i="77" s="1"/>
  <c r="AF410" i="68" a="1"/>
  <c r="AF410" i="68" s="1"/>
  <c r="H156" i="82" l="1"/>
  <c r="H360" i="82"/>
  <c r="H92" i="81"/>
  <c r="H356" i="81"/>
  <c r="H130" i="82"/>
  <c r="H213" i="81"/>
  <c r="H138" i="81"/>
  <c r="H374" i="81"/>
  <c r="H226" i="82"/>
  <c r="H157" i="82"/>
  <c r="H241" i="82"/>
  <c r="H52" i="82"/>
  <c r="H260" i="82"/>
  <c r="H95" i="81"/>
  <c r="H297" i="82"/>
  <c r="H320" i="82"/>
  <c r="H166" i="82"/>
  <c r="H281" i="82"/>
  <c r="H380" i="82"/>
  <c r="N197" i="76"/>
  <c r="K197" i="76"/>
  <c r="P197" i="76"/>
  <c r="S197" i="76"/>
  <c r="J197" i="76"/>
  <c r="M197" i="76"/>
  <c r="L197" i="76"/>
  <c r="T197" i="76"/>
  <c r="R197" i="76"/>
  <c r="Q197" i="76"/>
  <c r="O197" i="76"/>
  <c r="H366" i="82"/>
  <c r="R25" i="76"/>
  <c r="L25" i="76"/>
  <c r="O25" i="76"/>
  <c r="J25" i="76"/>
  <c r="T25" i="76"/>
  <c r="N25" i="76"/>
  <c r="M25" i="76"/>
  <c r="P25" i="76"/>
  <c r="Q25" i="76"/>
  <c r="K25" i="76"/>
  <c r="S25" i="76"/>
  <c r="H337" i="82"/>
  <c r="H210" i="81"/>
  <c r="H339" i="82"/>
  <c r="H179" i="81"/>
  <c r="H374" i="82"/>
  <c r="H293" i="81"/>
  <c r="H262" i="82"/>
  <c r="T311" i="76"/>
  <c r="Q311" i="76"/>
  <c r="S311" i="76"/>
  <c r="P311" i="76"/>
  <c r="M311" i="76"/>
  <c r="O311" i="76"/>
  <c r="K311" i="76"/>
  <c r="L311" i="76"/>
  <c r="N311" i="76"/>
  <c r="R311" i="76"/>
  <c r="J311" i="76"/>
  <c r="T312" i="76"/>
  <c r="J312" i="76"/>
  <c r="M312" i="76"/>
  <c r="N312" i="76"/>
  <c r="K312" i="76"/>
  <c r="L312" i="76"/>
  <c r="Q312" i="76"/>
  <c r="R312" i="76"/>
  <c r="O312" i="76"/>
  <c r="P312" i="76"/>
  <c r="S312" i="76"/>
  <c r="T313" i="76"/>
  <c r="S313" i="76"/>
  <c r="M313" i="76"/>
  <c r="J313" i="76"/>
  <c r="L313" i="76"/>
  <c r="Q313" i="76"/>
  <c r="N313" i="76"/>
  <c r="K313" i="76"/>
  <c r="P313" i="76"/>
  <c r="R313" i="76"/>
  <c r="O313" i="76"/>
  <c r="H294" i="81"/>
  <c r="R244" i="76"/>
  <c r="S244" i="76"/>
  <c r="N244" i="76"/>
  <c r="P244" i="76"/>
  <c r="Q244" i="76"/>
  <c r="L244" i="76"/>
  <c r="M244" i="76"/>
  <c r="K244" i="76"/>
  <c r="T244" i="76"/>
  <c r="O244" i="76"/>
  <c r="J244" i="76"/>
  <c r="H140" i="81"/>
  <c r="H209" i="81"/>
  <c r="N59" i="76"/>
  <c r="O59" i="76"/>
  <c r="Q59" i="76"/>
  <c r="J59" i="76"/>
  <c r="L59" i="76"/>
  <c r="R59" i="76"/>
  <c r="T59" i="76"/>
  <c r="S59" i="76"/>
  <c r="M59" i="76"/>
  <c r="P59" i="76"/>
  <c r="K59" i="76"/>
  <c r="H361" i="82"/>
  <c r="H143" i="81"/>
  <c r="R242" i="76"/>
  <c r="K242" i="76"/>
  <c r="S242" i="76"/>
  <c r="N242" i="76"/>
  <c r="P242" i="76"/>
  <c r="J242" i="76"/>
  <c r="T242" i="76"/>
  <c r="M242" i="76"/>
  <c r="O242" i="76"/>
  <c r="Q242" i="76"/>
  <c r="L242" i="76"/>
  <c r="N243" i="76"/>
  <c r="P243" i="76"/>
  <c r="Q243" i="76"/>
  <c r="K243" i="76"/>
  <c r="S243" i="76"/>
  <c r="M243" i="76"/>
  <c r="R243" i="76"/>
  <c r="T243" i="76"/>
  <c r="O243" i="76"/>
  <c r="J243" i="76"/>
  <c r="L243" i="76"/>
  <c r="R248" i="76"/>
  <c r="T248" i="76"/>
  <c r="O248" i="76"/>
  <c r="J248" i="76"/>
  <c r="K248" i="76"/>
  <c r="M248" i="76"/>
  <c r="L248" i="76"/>
  <c r="S248" i="76"/>
  <c r="N248" i="76"/>
  <c r="P248" i="76"/>
  <c r="Q248" i="76"/>
  <c r="H259" i="82"/>
  <c r="N199" i="76"/>
  <c r="R199" i="76"/>
  <c r="T199" i="76"/>
  <c r="P199" i="76"/>
  <c r="K199" i="76"/>
  <c r="O199" i="76"/>
  <c r="J199" i="76"/>
  <c r="L199" i="76"/>
  <c r="M199" i="76"/>
  <c r="Q199" i="76"/>
  <c r="S199" i="76"/>
  <c r="N247" i="76"/>
  <c r="M247" i="76"/>
  <c r="O247" i="76"/>
  <c r="Q247" i="76"/>
  <c r="J247" i="76"/>
  <c r="L247" i="76"/>
  <c r="R247" i="76"/>
  <c r="T247" i="76"/>
  <c r="S247" i="76"/>
  <c r="P247" i="76"/>
  <c r="K247" i="76"/>
  <c r="H245" i="81"/>
  <c r="H96" i="81"/>
  <c r="R246" i="76"/>
  <c r="L246" i="76"/>
  <c r="T246" i="76"/>
  <c r="O246" i="76"/>
  <c r="Q246" i="76"/>
  <c r="S246" i="76"/>
  <c r="M246" i="76"/>
  <c r="N246" i="76"/>
  <c r="P246" i="76"/>
  <c r="J246" i="76"/>
  <c r="K246" i="76"/>
  <c r="H154" i="82"/>
  <c r="H144" i="81"/>
  <c r="N245" i="76"/>
  <c r="S245" i="76"/>
  <c r="O245" i="76"/>
  <c r="J245" i="76"/>
  <c r="L245" i="76"/>
  <c r="M245" i="76"/>
  <c r="P245" i="76"/>
  <c r="K245" i="76"/>
  <c r="Q245" i="76"/>
  <c r="R245" i="76"/>
  <c r="T245" i="76"/>
  <c r="H139" i="81"/>
  <c r="R308" i="76"/>
  <c r="K308" i="76"/>
  <c r="S308" i="76"/>
  <c r="N308" i="76"/>
  <c r="P308" i="76"/>
  <c r="J308" i="76"/>
  <c r="T308" i="76"/>
  <c r="M308" i="76"/>
  <c r="O308" i="76"/>
  <c r="Q308" i="76"/>
  <c r="L308" i="76"/>
  <c r="R194" i="76"/>
  <c r="T194" i="76"/>
  <c r="O194" i="76"/>
  <c r="J194" i="76"/>
  <c r="K194" i="76"/>
  <c r="M194" i="76"/>
  <c r="L194" i="76"/>
  <c r="S194" i="76"/>
  <c r="N194" i="76"/>
  <c r="P194" i="76"/>
  <c r="Q194" i="76"/>
  <c r="N307" i="76"/>
  <c r="M307" i="76"/>
  <c r="R307" i="76"/>
  <c r="T307" i="76"/>
  <c r="P307" i="76"/>
  <c r="K307" i="76"/>
  <c r="O307" i="76"/>
  <c r="J307" i="76"/>
  <c r="L307" i="76"/>
  <c r="Q307" i="76"/>
  <c r="S307" i="76"/>
  <c r="H359" i="82"/>
  <c r="H141" i="81"/>
  <c r="H326" i="82"/>
  <c r="H54" i="82"/>
  <c r="H91" i="81"/>
  <c r="H365" i="81"/>
  <c r="H366" i="81"/>
  <c r="H302" i="82"/>
  <c r="H45" i="81"/>
  <c r="H26" i="82"/>
  <c r="H200" i="81"/>
  <c r="H367" i="82"/>
  <c r="H371" i="82"/>
  <c r="H357" i="81"/>
  <c r="H337" i="81"/>
  <c r="H349" i="82"/>
  <c r="H356" i="82"/>
  <c r="H287" i="81"/>
  <c r="H296" i="81"/>
  <c r="H217" i="81"/>
  <c r="H42" i="82"/>
  <c r="H75" i="82"/>
  <c r="H291" i="82"/>
  <c r="H237" i="82"/>
  <c r="H239" i="82"/>
  <c r="H275" i="81"/>
  <c r="H369" i="82"/>
  <c r="H328" i="82"/>
  <c r="H145" i="81"/>
  <c r="H87" i="82"/>
  <c r="H178" i="82"/>
  <c r="H377" i="82"/>
  <c r="H166" i="81"/>
  <c r="H151" i="82"/>
  <c r="H55" i="81"/>
  <c r="H278" i="81"/>
  <c r="H86" i="81"/>
  <c r="H233" i="82"/>
  <c r="H236" i="82"/>
  <c r="H351" i="82"/>
  <c r="H99" i="81"/>
  <c r="H297" i="81"/>
  <c r="H230" i="81"/>
  <c r="H263" i="82"/>
  <c r="H27" i="81"/>
  <c r="H71" i="81"/>
  <c r="H99" i="82"/>
  <c r="H331" i="82"/>
  <c r="H244" i="81"/>
  <c r="H347" i="81"/>
  <c r="H257" i="81"/>
  <c r="H300" i="82"/>
  <c r="H119" i="82"/>
  <c r="H338" i="82"/>
  <c r="H364" i="81"/>
  <c r="H300" i="81"/>
  <c r="H360" i="81"/>
  <c r="H254" i="82"/>
  <c r="H305" i="81"/>
  <c r="H260" i="81"/>
  <c r="H129" i="82"/>
  <c r="H175" i="82"/>
  <c r="H170" i="81"/>
  <c r="H112" i="82"/>
  <c r="H298" i="81"/>
  <c r="H263" i="81"/>
  <c r="H228" i="81"/>
  <c r="H180" i="81"/>
  <c r="H206" i="81"/>
  <c r="H29" i="81"/>
  <c r="H83" i="82"/>
  <c r="H31" i="81"/>
  <c r="H75" i="81"/>
  <c r="H231" i="82"/>
  <c r="H329" i="82"/>
  <c r="H316" i="81"/>
  <c r="H68" i="81"/>
  <c r="H245" i="82"/>
  <c r="H107" i="82"/>
  <c r="H184" i="81"/>
  <c r="H332" i="82"/>
  <c r="H35" i="82"/>
  <c r="H100" i="82"/>
  <c r="H235" i="82"/>
  <c r="H37" i="82"/>
  <c r="H33" i="82"/>
  <c r="H266" i="81"/>
  <c r="H121" i="82"/>
  <c r="H32" i="82"/>
  <c r="H372" i="81"/>
  <c r="H310" i="81"/>
  <c r="H348" i="81"/>
  <c r="H327" i="81"/>
  <c r="H77" i="82"/>
  <c r="H207" i="82"/>
  <c r="H128" i="82"/>
  <c r="H90" i="81"/>
  <c r="H93" i="81"/>
  <c r="H94" i="81"/>
  <c r="H354" i="81"/>
  <c r="H373" i="81"/>
  <c r="H317" i="82"/>
  <c r="H121" i="81"/>
  <c r="H370" i="82"/>
  <c r="H365" i="82"/>
  <c r="H74" i="81"/>
  <c r="H124" i="82"/>
  <c r="H108" i="81"/>
  <c r="H286" i="82"/>
  <c r="H161" i="81"/>
  <c r="H134" i="82"/>
  <c r="H216" i="82"/>
  <c r="H259" i="81"/>
  <c r="H175" i="81"/>
  <c r="H359" i="81"/>
  <c r="H271" i="81"/>
  <c r="H163" i="81"/>
  <c r="H191" i="81"/>
  <c r="H30" i="81"/>
  <c r="H100" i="81"/>
  <c r="H237" i="81"/>
  <c r="H281" i="81"/>
  <c r="H137" i="81"/>
  <c r="H299" i="82"/>
  <c r="H41" i="81"/>
  <c r="H230" i="82"/>
  <c r="H61" i="81"/>
  <c r="H120" i="81"/>
  <c r="H214" i="82"/>
  <c r="H115" i="82"/>
  <c r="H211" i="82"/>
  <c r="H289" i="82"/>
  <c r="H69" i="81"/>
  <c r="H354" i="82"/>
  <c r="H258" i="82"/>
  <c r="H304" i="82"/>
  <c r="H65" i="82"/>
  <c r="H190" i="81"/>
  <c r="H340" i="81"/>
  <c r="H312" i="81"/>
  <c r="H330" i="81"/>
  <c r="H64" i="81"/>
  <c r="H211" i="81"/>
  <c r="H76" i="82"/>
  <c r="H78" i="82"/>
  <c r="H97" i="82"/>
  <c r="H146" i="82"/>
  <c r="H199" i="82"/>
  <c r="H133" i="82"/>
  <c r="H183" i="82"/>
  <c r="H280" i="82"/>
  <c r="H247" i="82"/>
  <c r="H311" i="81"/>
  <c r="H292" i="81"/>
  <c r="H222" i="81"/>
  <c r="H208" i="81"/>
  <c r="H269" i="82"/>
  <c r="H292" i="82"/>
  <c r="H118" i="82"/>
  <c r="H167" i="82"/>
  <c r="H221" i="82"/>
  <c r="H353" i="81"/>
  <c r="H231" i="81"/>
  <c r="H321" i="81"/>
  <c r="H314" i="81"/>
  <c r="H265" i="81"/>
  <c r="H118" i="81"/>
  <c r="H155" i="81"/>
  <c r="H112" i="81"/>
  <c r="H295" i="82"/>
  <c r="H64" i="82"/>
  <c r="H58" i="81"/>
  <c r="H220" i="82"/>
  <c r="H123" i="82"/>
  <c r="H172" i="82"/>
  <c r="H247" i="81"/>
  <c r="H185" i="81"/>
  <c r="H279" i="81"/>
  <c r="H318" i="82"/>
  <c r="H167" i="81"/>
  <c r="H305" i="82"/>
  <c r="H310" i="82"/>
  <c r="H162" i="81"/>
  <c r="H122" i="81"/>
  <c r="H265" i="82"/>
  <c r="H110" i="82"/>
  <c r="H66" i="82"/>
  <c r="H102" i="82"/>
  <c r="H160" i="82"/>
  <c r="H204" i="82"/>
  <c r="H186" i="82"/>
  <c r="H91" i="82"/>
  <c r="H135" i="82"/>
  <c r="H345" i="82"/>
  <c r="H254" i="81"/>
  <c r="H299" i="81"/>
  <c r="H270" i="81"/>
  <c r="H343" i="81"/>
  <c r="H214" i="81"/>
  <c r="H286" i="81"/>
  <c r="H174" i="81"/>
  <c r="H319" i="82"/>
  <c r="H42" i="81"/>
  <c r="H132" i="82"/>
  <c r="H147" i="81"/>
  <c r="H116" i="82"/>
  <c r="H149" i="82"/>
  <c r="H220" i="81"/>
  <c r="H158" i="81"/>
  <c r="H338" i="81"/>
  <c r="H232" i="81"/>
  <c r="H243" i="81"/>
  <c r="H114" i="81"/>
  <c r="H363" i="81"/>
  <c r="H352" i="82"/>
  <c r="H198" i="81"/>
  <c r="H229" i="82"/>
  <c r="H332" i="81"/>
  <c r="H26" i="81"/>
  <c r="H363" i="82"/>
  <c r="H51" i="82"/>
  <c r="H275" i="82"/>
  <c r="H47" i="81"/>
  <c r="H52" i="81"/>
  <c r="H242" i="82"/>
  <c r="H109" i="81"/>
  <c r="H28" i="81"/>
  <c r="H34" i="82"/>
  <c r="H212" i="82"/>
  <c r="H218" i="82"/>
  <c r="H273" i="81"/>
  <c r="H50" i="82"/>
  <c r="H198" i="82"/>
  <c r="H182" i="82"/>
  <c r="H80" i="82"/>
  <c r="H96" i="82"/>
  <c r="H243" i="82"/>
  <c r="H68" i="82"/>
  <c r="H86" i="82"/>
  <c r="H345" i="81"/>
  <c r="H317" i="81"/>
  <c r="H83" i="81"/>
  <c r="H77" i="81"/>
  <c r="H216" i="81"/>
  <c r="H333" i="81"/>
  <c r="H329" i="81"/>
  <c r="H168" i="81"/>
  <c r="H62" i="82"/>
  <c r="H85" i="81"/>
  <c r="H272" i="82"/>
  <c r="H240" i="81"/>
  <c r="H168" i="82"/>
  <c r="H324" i="81"/>
  <c r="H186" i="81"/>
  <c r="H229" i="81"/>
  <c r="H322" i="81"/>
  <c r="H314" i="82"/>
  <c r="H125" i="81"/>
  <c r="H250" i="82"/>
  <c r="H57" i="81"/>
  <c r="P192" i="76"/>
  <c r="J192" i="76"/>
  <c r="R192" i="76"/>
  <c r="Q192" i="76"/>
  <c r="K192" i="76"/>
  <c r="N192" i="76"/>
  <c r="S192" i="76"/>
  <c r="L192" i="76"/>
  <c r="O192" i="76"/>
  <c r="M192" i="76"/>
  <c r="T192" i="76"/>
  <c r="P195" i="76"/>
  <c r="L195" i="76"/>
  <c r="M195" i="76"/>
  <c r="O195" i="76"/>
  <c r="T195" i="76"/>
  <c r="Q195" i="76"/>
  <c r="J195" i="76"/>
  <c r="R195" i="76"/>
  <c r="K195" i="76"/>
  <c r="S195" i="76"/>
  <c r="N195" i="76"/>
  <c r="P198" i="76"/>
  <c r="R198" i="76"/>
  <c r="Q198" i="76"/>
  <c r="K198" i="76"/>
  <c r="N198" i="76"/>
  <c r="S198" i="76"/>
  <c r="M198" i="76"/>
  <c r="L198" i="76"/>
  <c r="O198" i="76"/>
  <c r="T198" i="76"/>
  <c r="J198" i="76"/>
  <c r="H199" i="81"/>
  <c r="H278" i="82"/>
  <c r="T81" i="76"/>
  <c r="M81" i="76"/>
  <c r="N81" i="76"/>
  <c r="J81" i="76"/>
  <c r="O81" i="76"/>
  <c r="R81" i="76"/>
  <c r="K81" i="76"/>
  <c r="P81" i="76"/>
  <c r="S81" i="76"/>
  <c r="L81" i="76"/>
  <c r="Q81" i="76"/>
  <c r="P298" i="76"/>
  <c r="S298" i="76"/>
  <c r="L298" i="76"/>
  <c r="O298" i="76"/>
  <c r="Q298" i="76"/>
  <c r="T298" i="76"/>
  <c r="J298" i="76"/>
  <c r="M298" i="76"/>
  <c r="R298" i="76"/>
  <c r="N298" i="76"/>
  <c r="K298" i="76"/>
  <c r="P265" i="76"/>
  <c r="J265" i="76"/>
  <c r="R265" i="76"/>
  <c r="K265" i="76"/>
  <c r="M265" i="76"/>
  <c r="N265" i="76"/>
  <c r="Q265" i="76"/>
  <c r="S265" i="76"/>
  <c r="O265" i="76"/>
  <c r="L265" i="76"/>
  <c r="T265" i="76"/>
  <c r="H73" i="82"/>
  <c r="T193" i="76"/>
  <c r="N193" i="76"/>
  <c r="M193" i="76"/>
  <c r="J193" i="76"/>
  <c r="O193" i="76"/>
  <c r="R193" i="76"/>
  <c r="L193" i="76"/>
  <c r="K193" i="76"/>
  <c r="S193" i="76"/>
  <c r="Q193" i="76"/>
  <c r="P193" i="76"/>
  <c r="T196" i="76"/>
  <c r="O196" i="76"/>
  <c r="R196" i="76"/>
  <c r="Q196" i="76"/>
  <c r="K196" i="76"/>
  <c r="M196" i="76"/>
  <c r="P196" i="76"/>
  <c r="S196" i="76"/>
  <c r="L196" i="76"/>
  <c r="N196" i="76"/>
  <c r="J196" i="76"/>
  <c r="P80" i="76"/>
  <c r="Q80" i="76"/>
  <c r="K80" i="76"/>
  <c r="N80" i="76"/>
  <c r="S80" i="76"/>
  <c r="L80" i="76"/>
  <c r="O80" i="76"/>
  <c r="T80" i="76"/>
  <c r="M80" i="76"/>
  <c r="R80" i="76"/>
  <c r="J80" i="76"/>
  <c r="T297" i="76"/>
  <c r="M297" i="76"/>
  <c r="P297" i="76"/>
  <c r="S297" i="76"/>
  <c r="L297" i="76"/>
  <c r="N297" i="76"/>
  <c r="Q297" i="76"/>
  <c r="J297" i="76"/>
  <c r="O297" i="76"/>
  <c r="R297" i="76"/>
  <c r="K297" i="76"/>
  <c r="T325" i="76"/>
  <c r="J325" i="76"/>
  <c r="O325" i="76"/>
  <c r="R325" i="76"/>
  <c r="L325" i="76"/>
  <c r="K325" i="76"/>
  <c r="P325" i="76"/>
  <c r="S325" i="76"/>
  <c r="M325" i="76"/>
  <c r="N325" i="76"/>
  <c r="Q325" i="76"/>
  <c r="T264" i="76"/>
  <c r="N264" i="76"/>
  <c r="J264" i="76"/>
  <c r="O264" i="76"/>
  <c r="Q264" i="76"/>
  <c r="R264" i="76"/>
  <c r="K264" i="76"/>
  <c r="P264" i="76"/>
  <c r="S264" i="76"/>
  <c r="M264" i="76"/>
  <c r="L264" i="76"/>
  <c r="H267" i="81"/>
  <c r="H103" i="81"/>
  <c r="H102" i="81"/>
  <c r="H287" i="82"/>
  <c r="H111" i="81"/>
  <c r="H105" i="81"/>
  <c r="H48" i="81"/>
  <c r="H141" i="82"/>
  <c r="H103" i="82"/>
  <c r="H147" i="82"/>
  <c r="H140" i="82"/>
  <c r="H349" i="81"/>
  <c r="H227" i="82"/>
  <c r="H38" i="82"/>
  <c r="H144" i="82"/>
  <c r="H331" i="81"/>
  <c r="H215" i="81"/>
  <c r="H368" i="82"/>
  <c r="H372" i="82"/>
  <c r="H48" i="82"/>
  <c r="H173" i="82"/>
  <c r="H326" i="81"/>
  <c r="H298" i="82"/>
  <c r="H330" i="82"/>
  <c r="H63" i="81"/>
  <c r="H232" i="82"/>
  <c r="H223" i="81"/>
  <c r="H261" i="81"/>
  <c r="H31" i="82"/>
  <c r="H255" i="82"/>
  <c r="H282" i="82"/>
  <c r="H53" i="81"/>
  <c r="H81" i="82"/>
  <c r="H71" i="82"/>
  <c r="H108" i="82"/>
  <c r="H250" i="81"/>
  <c r="H295" i="81"/>
  <c r="H195" i="81"/>
  <c r="H60" i="81"/>
  <c r="H353" i="82"/>
  <c r="H135" i="81"/>
  <c r="H201" i="82"/>
  <c r="H101" i="82"/>
  <c r="H255" i="81"/>
  <c r="H169" i="81"/>
  <c r="H40" i="82"/>
  <c r="H322" i="82"/>
  <c r="H104" i="81"/>
  <c r="H294" i="82"/>
  <c r="H97" i="81"/>
  <c r="H129" i="81"/>
  <c r="H240" i="82"/>
  <c r="H126" i="81"/>
  <c r="H62" i="81"/>
  <c r="H82" i="82"/>
  <c r="H148" i="82"/>
  <c r="H196" i="82"/>
  <c r="H344" i="81"/>
  <c r="H333" i="82"/>
  <c r="H101" i="81"/>
  <c r="H134" i="81"/>
  <c r="H163" i="82"/>
  <c r="H282" i="81"/>
  <c r="H264" i="81"/>
  <c r="H315" i="81"/>
  <c r="H242" i="81"/>
  <c r="H351" i="81"/>
  <c r="H173" i="81"/>
  <c r="H205" i="81"/>
  <c r="H325" i="82"/>
  <c r="H362" i="82"/>
  <c r="H128" i="81"/>
  <c r="H284" i="82"/>
  <c r="H307" i="82"/>
  <c r="H342" i="82"/>
  <c r="H224" i="81"/>
  <c r="H256" i="81"/>
  <c r="H288" i="81"/>
  <c r="H323" i="81"/>
  <c r="H379" i="82"/>
  <c r="H189" i="81"/>
  <c r="H308" i="82"/>
  <c r="H343" i="82"/>
  <c r="H80" i="81"/>
  <c r="H115" i="81"/>
  <c r="H98" i="81"/>
  <c r="H130" i="81"/>
  <c r="H257" i="82"/>
  <c r="H106" i="81"/>
  <c r="H152" i="81"/>
  <c r="H248" i="82"/>
  <c r="H49" i="82"/>
  <c r="H37" i="81"/>
  <c r="H70" i="81"/>
  <c r="H44" i="82"/>
  <c r="N88" i="76"/>
  <c r="T88" i="76"/>
  <c r="P88" i="76"/>
  <c r="L88" i="76"/>
  <c r="R88" i="76"/>
  <c r="O88" i="76"/>
  <c r="K88" i="76"/>
  <c r="S88" i="76"/>
  <c r="J88" i="76"/>
  <c r="Q88" i="76"/>
  <c r="M88" i="76"/>
  <c r="M185" i="76"/>
  <c r="L185" i="76"/>
  <c r="P185" i="76"/>
  <c r="Q185" i="76"/>
  <c r="S185" i="76"/>
  <c r="K185" i="76"/>
  <c r="J185" i="76"/>
  <c r="O185" i="76"/>
  <c r="N185" i="76"/>
  <c r="R185" i="76"/>
  <c r="T185" i="76"/>
  <c r="H165" i="82"/>
  <c r="N66" i="76"/>
  <c r="R66" i="76"/>
  <c r="S66" i="76"/>
  <c r="M66" i="76"/>
  <c r="K66" i="76"/>
  <c r="Q66" i="76"/>
  <c r="L66" i="76"/>
  <c r="T66" i="76"/>
  <c r="P66" i="76"/>
  <c r="O66" i="76"/>
  <c r="J66" i="76"/>
  <c r="K277" i="76"/>
  <c r="T277" i="76"/>
  <c r="M277" i="76"/>
  <c r="S277" i="76"/>
  <c r="O277" i="76"/>
  <c r="R277" i="76"/>
  <c r="N277" i="76"/>
  <c r="Q277" i="76"/>
  <c r="L277" i="76"/>
  <c r="P277" i="76"/>
  <c r="J277" i="76"/>
  <c r="H89" i="82"/>
  <c r="R38" i="76"/>
  <c r="K38" i="76"/>
  <c r="M38" i="76"/>
  <c r="Q38" i="76"/>
  <c r="O38" i="76"/>
  <c r="J38" i="76"/>
  <c r="T38" i="76"/>
  <c r="P38" i="76"/>
  <c r="L38" i="76"/>
  <c r="N38" i="76"/>
  <c r="S38" i="76"/>
  <c r="T278" i="76"/>
  <c r="M278" i="76"/>
  <c r="O278" i="76"/>
  <c r="R278" i="76"/>
  <c r="N278" i="76"/>
  <c r="J278" i="76"/>
  <c r="P278" i="76"/>
  <c r="K278" i="76"/>
  <c r="Q278" i="76"/>
  <c r="S278" i="76"/>
  <c r="L278" i="76"/>
  <c r="H39" i="82"/>
  <c r="H72" i="82"/>
  <c r="H114" i="82"/>
  <c r="H205" i="82"/>
  <c r="N174" i="76"/>
  <c r="M174" i="76"/>
  <c r="L174" i="76"/>
  <c r="K174" i="76"/>
  <c r="O174" i="76"/>
  <c r="J174" i="76"/>
  <c r="R174" i="76"/>
  <c r="S174" i="76"/>
  <c r="P174" i="76"/>
  <c r="T174" i="76"/>
  <c r="Q174" i="76"/>
  <c r="K87" i="76"/>
  <c r="R87" i="76"/>
  <c r="M87" i="76"/>
  <c r="O87" i="76"/>
  <c r="Q87" i="76"/>
  <c r="J87" i="76"/>
  <c r="L87" i="76"/>
  <c r="N87" i="76"/>
  <c r="T87" i="76"/>
  <c r="S87" i="76"/>
  <c r="P87" i="76"/>
  <c r="H69" i="82"/>
  <c r="H187" i="82"/>
  <c r="J101" i="76"/>
  <c r="M101" i="76"/>
  <c r="R101" i="76"/>
  <c r="S101" i="76"/>
  <c r="L101" i="76"/>
  <c r="K101" i="76"/>
  <c r="O101" i="76"/>
  <c r="P101" i="76"/>
  <c r="N101" i="76"/>
  <c r="T101" i="76"/>
  <c r="Q101" i="76"/>
  <c r="H145" i="82"/>
  <c r="H188" i="82"/>
  <c r="N51" i="76"/>
  <c r="M51" i="76"/>
  <c r="J51" i="76"/>
  <c r="T51" i="76"/>
  <c r="Q51" i="76"/>
  <c r="P51" i="76"/>
  <c r="R51" i="76"/>
  <c r="K51" i="76"/>
  <c r="L51" i="76"/>
  <c r="O51" i="76"/>
  <c r="S51" i="76"/>
  <c r="H90" i="82"/>
  <c r="H122" i="82"/>
  <c r="H159" i="82"/>
  <c r="H192" i="82"/>
  <c r="K106" i="76"/>
  <c r="S106" i="76"/>
  <c r="R106" i="76"/>
  <c r="M106" i="76"/>
  <c r="N106" i="76"/>
  <c r="O106" i="76"/>
  <c r="J106" i="76"/>
  <c r="Q106" i="76"/>
  <c r="T106" i="76"/>
  <c r="L106" i="76"/>
  <c r="P106" i="76"/>
  <c r="Q209" i="76"/>
  <c r="T209" i="76"/>
  <c r="K209" i="76"/>
  <c r="L209" i="76"/>
  <c r="P209" i="76"/>
  <c r="R209" i="76"/>
  <c r="S209" i="76"/>
  <c r="N209" i="76"/>
  <c r="J209" i="76"/>
  <c r="M209" i="76"/>
  <c r="O209" i="76"/>
  <c r="M291" i="76"/>
  <c r="S291" i="76"/>
  <c r="K291" i="76"/>
  <c r="Q291" i="76"/>
  <c r="P291" i="76"/>
  <c r="L291" i="76"/>
  <c r="J291" i="76"/>
  <c r="O291" i="76"/>
  <c r="N291" i="76"/>
  <c r="R291" i="76"/>
  <c r="T291" i="76"/>
  <c r="R115" i="76"/>
  <c r="K115" i="76"/>
  <c r="J115" i="76"/>
  <c r="M115" i="76"/>
  <c r="Q115" i="76"/>
  <c r="O115" i="76"/>
  <c r="T115" i="76"/>
  <c r="P115" i="76"/>
  <c r="L115" i="76"/>
  <c r="N115" i="76"/>
  <c r="S115" i="76"/>
  <c r="T187" i="76"/>
  <c r="K187" i="76"/>
  <c r="O187" i="76"/>
  <c r="M187" i="76"/>
  <c r="S187" i="76"/>
  <c r="L187" i="76"/>
  <c r="P187" i="76"/>
  <c r="R187" i="76"/>
  <c r="N187" i="76"/>
  <c r="Q187" i="76"/>
  <c r="J187" i="76"/>
  <c r="T266" i="76"/>
  <c r="O266" i="76"/>
  <c r="M266" i="76"/>
  <c r="R266" i="76"/>
  <c r="N266" i="76"/>
  <c r="P266" i="76"/>
  <c r="K266" i="76"/>
  <c r="Q266" i="76"/>
  <c r="L266" i="76"/>
  <c r="S266" i="76"/>
  <c r="J266" i="76"/>
  <c r="H109" i="82"/>
  <c r="H142" i="82"/>
  <c r="H179" i="82"/>
  <c r="M78" i="76"/>
  <c r="S78" i="76"/>
  <c r="R78" i="76"/>
  <c r="N78" i="76"/>
  <c r="K78" i="76"/>
  <c r="L78" i="76"/>
  <c r="O78" i="76"/>
  <c r="J78" i="76"/>
  <c r="P78" i="76"/>
  <c r="Q78" i="76"/>
  <c r="T78" i="76"/>
  <c r="M158" i="76"/>
  <c r="N158" i="76"/>
  <c r="L158" i="76"/>
  <c r="K158" i="76"/>
  <c r="O158" i="76"/>
  <c r="J158" i="76"/>
  <c r="S158" i="76"/>
  <c r="P158" i="76"/>
  <c r="R158" i="76"/>
  <c r="T158" i="76"/>
  <c r="Q158" i="76"/>
  <c r="N96" i="76"/>
  <c r="M96" i="76"/>
  <c r="Q96" i="76"/>
  <c r="K96" i="76"/>
  <c r="O96" i="76"/>
  <c r="S96" i="76"/>
  <c r="P96" i="76"/>
  <c r="J96" i="76"/>
  <c r="T96" i="76"/>
  <c r="L96" i="76"/>
  <c r="R96" i="76"/>
  <c r="M259" i="76"/>
  <c r="S259" i="76"/>
  <c r="K259" i="76"/>
  <c r="L259" i="76"/>
  <c r="Q259" i="76"/>
  <c r="P259" i="76"/>
  <c r="J259" i="76"/>
  <c r="O259" i="76"/>
  <c r="N259" i="76"/>
  <c r="R259" i="76"/>
  <c r="T259" i="76"/>
  <c r="O30" i="76"/>
  <c r="M30" i="76"/>
  <c r="K30" i="76"/>
  <c r="J30" i="76"/>
  <c r="R30" i="76"/>
  <c r="Q30" i="76"/>
  <c r="T30" i="76"/>
  <c r="P30" i="76"/>
  <c r="L30" i="76"/>
  <c r="N30" i="76"/>
  <c r="S30" i="76"/>
  <c r="O95" i="76"/>
  <c r="M95" i="76"/>
  <c r="K95" i="76"/>
  <c r="R95" i="76"/>
  <c r="Q95" i="76"/>
  <c r="J95" i="76"/>
  <c r="T95" i="76"/>
  <c r="P95" i="76"/>
  <c r="L95" i="76"/>
  <c r="N95" i="76"/>
  <c r="S95" i="76"/>
  <c r="O157" i="76"/>
  <c r="N157" i="76"/>
  <c r="J157" i="76"/>
  <c r="M157" i="76"/>
  <c r="Q157" i="76"/>
  <c r="K157" i="76"/>
  <c r="P157" i="76"/>
  <c r="R157" i="76"/>
  <c r="S157" i="76"/>
  <c r="T157" i="76"/>
  <c r="L157" i="76"/>
  <c r="T274" i="76"/>
  <c r="O274" i="76"/>
  <c r="M274" i="76"/>
  <c r="R274" i="76"/>
  <c r="N274" i="76"/>
  <c r="J274" i="76"/>
  <c r="P274" i="76"/>
  <c r="K274" i="76"/>
  <c r="L274" i="76"/>
  <c r="Q274" i="76"/>
  <c r="S274" i="76"/>
  <c r="O79" i="76"/>
  <c r="Q79" i="76"/>
  <c r="K79" i="76"/>
  <c r="J79" i="76"/>
  <c r="R79" i="76"/>
  <c r="M79" i="76"/>
  <c r="S79" i="76"/>
  <c r="T79" i="76"/>
  <c r="P79" i="76"/>
  <c r="L79" i="76"/>
  <c r="N79" i="76"/>
  <c r="N146" i="76"/>
  <c r="R146" i="76"/>
  <c r="O146" i="76"/>
  <c r="M146" i="76"/>
  <c r="J146" i="76"/>
  <c r="S146" i="76"/>
  <c r="L146" i="76"/>
  <c r="K146" i="76"/>
  <c r="T146" i="76"/>
  <c r="P146" i="76"/>
  <c r="Q146" i="76"/>
  <c r="T219" i="76"/>
  <c r="O219" i="76"/>
  <c r="M219" i="76"/>
  <c r="R219" i="76"/>
  <c r="P219" i="76"/>
  <c r="Q219" i="76"/>
  <c r="S219" i="76"/>
  <c r="N219" i="76"/>
  <c r="J219" i="76"/>
  <c r="K219" i="76"/>
  <c r="L219" i="76"/>
  <c r="Q358" i="76"/>
  <c r="O358" i="76"/>
  <c r="T358" i="76"/>
  <c r="J358" i="76"/>
  <c r="S358" i="76"/>
  <c r="L358" i="76"/>
  <c r="N358" i="76"/>
  <c r="P358" i="76"/>
  <c r="R358" i="76"/>
  <c r="K358" i="76"/>
  <c r="M358" i="76"/>
  <c r="O164" i="76"/>
  <c r="Q164" i="76"/>
  <c r="R164" i="76"/>
  <c r="M164" i="76"/>
  <c r="J164" i="76"/>
  <c r="K164" i="76"/>
  <c r="L164" i="76"/>
  <c r="N164" i="76"/>
  <c r="P164" i="76"/>
  <c r="T164" i="76"/>
  <c r="S164" i="76"/>
  <c r="Q237" i="76"/>
  <c r="K237" i="76"/>
  <c r="J237" i="76"/>
  <c r="S237" i="76"/>
  <c r="M237" i="76"/>
  <c r="N237" i="76"/>
  <c r="T237" i="76"/>
  <c r="P237" i="76"/>
  <c r="R237" i="76"/>
  <c r="L237" i="76"/>
  <c r="O237" i="76"/>
  <c r="Q318" i="76"/>
  <c r="P318" i="76"/>
  <c r="K318" i="76"/>
  <c r="O318" i="76"/>
  <c r="N318" i="76"/>
  <c r="S318" i="76"/>
  <c r="R318" i="76"/>
  <c r="T318" i="76"/>
  <c r="L318" i="76"/>
  <c r="J318" i="76"/>
  <c r="M318" i="76"/>
  <c r="T370" i="76"/>
  <c r="O370" i="76"/>
  <c r="S370" i="76"/>
  <c r="R370" i="76"/>
  <c r="M370" i="76"/>
  <c r="J370" i="76"/>
  <c r="Q370" i="76"/>
  <c r="L370" i="76"/>
  <c r="K370" i="76"/>
  <c r="P370" i="76"/>
  <c r="N370" i="76"/>
  <c r="M180" i="76"/>
  <c r="O180" i="76"/>
  <c r="T180" i="76"/>
  <c r="K180" i="76"/>
  <c r="Q180" i="76"/>
  <c r="N180" i="76"/>
  <c r="R180" i="76"/>
  <c r="J180" i="76"/>
  <c r="S180" i="76"/>
  <c r="P180" i="76"/>
  <c r="L180" i="76"/>
  <c r="Q335" i="76"/>
  <c r="L335" i="76"/>
  <c r="R335" i="76"/>
  <c r="N335" i="76"/>
  <c r="T335" i="76"/>
  <c r="P335" i="76"/>
  <c r="S335" i="76"/>
  <c r="K335" i="76"/>
  <c r="J335" i="76"/>
  <c r="O335" i="76"/>
  <c r="M335" i="76"/>
  <c r="M373" i="76"/>
  <c r="P373" i="76"/>
  <c r="S373" i="76"/>
  <c r="L373" i="76"/>
  <c r="K373" i="76"/>
  <c r="Q373" i="76"/>
  <c r="N373" i="76"/>
  <c r="J373" i="76"/>
  <c r="O373" i="76"/>
  <c r="R373" i="76"/>
  <c r="T373" i="76"/>
  <c r="Q319" i="76"/>
  <c r="N319" i="76"/>
  <c r="S319" i="76"/>
  <c r="P319" i="76"/>
  <c r="J319" i="76"/>
  <c r="T319" i="76"/>
  <c r="O319" i="76"/>
  <c r="L319" i="76"/>
  <c r="R319" i="76"/>
  <c r="K319" i="76"/>
  <c r="M319" i="76"/>
  <c r="Q310" i="76"/>
  <c r="S310" i="76"/>
  <c r="N310" i="76"/>
  <c r="K310" i="76"/>
  <c r="R310" i="76"/>
  <c r="P310" i="76"/>
  <c r="T310" i="76"/>
  <c r="O310" i="76"/>
  <c r="L310" i="76"/>
  <c r="J310" i="76"/>
  <c r="M310" i="76"/>
  <c r="S360" i="76"/>
  <c r="Q360" i="76"/>
  <c r="L360" i="76"/>
  <c r="K360" i="76"/>
  <c r="P360" i="76"/>
  <c r="N360" i="76"/>
  <c r="J360" i="76"/>
  <c r="O360" i="76"/>
  <c r="M360" i="76"/>
  <c r="R360" i="76"/>
  <c r="T360" i="76"/>
  <c r="H367" i="81"/>
  <c r="H319" i="81"/>
  <c r="H235" i="81"/>
  <c r="H362" i="81"/>
  <c r="H233" i="81"/>
  <c r="H277" i="81"/>
  <c r="H176" i="81"/>
  <c r="H132" i="81"/>
  <c r="H202" i="81"/>
  <c r="H358" i="81"/>
  <c r="H192" i="81"/>
  <c r="H311" i="82"/>
  <c r="H346" i="82"/>
  <c r="H301" i="82"/>
  <c r="H334" i="82"/>
  <c r="H53" i="82"/>
  <c r="H335" i="82"/>
  <c r="H373" i="82"/>
  <c r="H157" i="81"/>
  <c r="H253" i="82"/>
  <c r="H60" i="82"/>
  <c r="K118" i="76"/>
  <c r="S118" i="76"/>
  <c r="R118" i="76"/>
  <c r="N118" i="76"/>
  <c r="M118" i="76"/>
  <c r="T118" i="76"/>
  <c r="P118" i="76"/>
  <c r="L118" i="76"/>
  <c r="Q118" i="76"/>
  <c r="O118" i="76"/>
  <c r="J118" i="76"/>
  <c r="O191" i="76"/>
  <c r="K191" i="76"/>
  <c r="S191" i="76"/>
  <c r="T191" i="76"/>
  <c r="M191" i="76"/>
  <c r="L191" i="76"/>
  <c r="P191" i="76"/>
  <c r="R191" i="76"/>
  <c r="N191" i="76"/>
  <c r="Q191" i="76"/>
  <c r="J191" i="76"/>
  <c r="H117" i="82"/>
  <c r="N68" i="76"/>
  <c r="M68" i="76"/>
  <c r="J68" i="76"/>
  <c r="K68" i="76"/>
  <c r="T68" i="76"/>
  <c r="Q68" i="76"/>
  <c r="S68" i="76"/>
  <c r="P68" i="76"/>
  <c r="R68" i="76"/>
  <c r="O68" i="76"/>
  <c r="L68" i="76"/>
  <c r="Q50" i="76"/>
  <c r="J50" i="76"/>
  <c r="O50" i="76"/>
  <c r="R50" i="76"/>
  <c r="M50" i="76"/>
  <c r="K50" i="76"/>
  <c r="T50" i="76"/>
  <c r="L50" i="76"/>
  <c r="N50" i="76"/>
  <c r="S50" i="76"/>
  <c r="P50" i="76"/>
  <c r="H133" i="81"/>
  <c r="H273" i="82"/>
  <c r="H32" i="81"/>
  <c r="H65" i="81"/>
  <c r="H249" i="82"/>
  <c r="M207" i="76"/>
  <c r="T207" i="76"/>
  <c r="O207" i="76"/>
  <c r="R207" i="76"/>
  <c r="N207" i="76"/>
  <c r="J207" i="76"/>
  <c r="Q207" i="76"/>
  <c r="S207" i="76"/>
  <c r="P207" i="76"/>
  <c r="K207" i="76"/>
  <c r="L207" i="76"/>
  <c r="N100" i="76"/>
  <c r="J100" i="76"/>
  <c r="K100" i="76"/>
  <c r="T100" i="76"/>
  <c r="Q100" i="76"/>
  <c r="S100" i="76"/>
  <c r="R100" i="76"/>
  <c r="O100" i="76"/>
  <c r="P100" i="76"/>
  <c r="L100" i="76"/>
  <c r="M100" i="76"/>
  <c r="H105" i="82"/>
  <c r="R156" i="76"/>
  <c r="K156" i="76"/>
  <c r="J156" i="76"/>
  <c r="M156" i="76"/>
  <c r="O156" i="76"/>
  <c r="Q156" i="76"/>
  <c r="T156" i="76"/>
  <c r="P156" i="76"/>
  <c r="N156" i="76"/>
  <c r="S156" i="76"/>
  <c r="L156" i="76"/>
  <c r="H70" i="82"/>
  <c r="N64" i="76"/>
  <c r="L64" i="76"/>
  <c r="M64" i="76"/>
  <c r="Q64" i="76"/>
  <c r="K64" i="76"/>
  <c r="O64" i="76"/>
  <c r="S64" i="76"/>
  <c r="P64" i="76"/>
  <c r="J64" i="76"/>
  <c r="T64" i="76"/>
  <c r="R64" i="76"/>
  <c r="H93" i="82"/>
  <c r="H125" i="82"/>
  <c r="H162" i="82"/>
  <c r="H195" i="82"/>
  <c r="R27" i="76"/>
  <c r="L27" i="76"/>
  <c r="Q27" i="76"/>
  <c r="P27" i="76"/>
  <c r="M27" i="76"/>
  <c r="J27" i="76"/>
  <c r="T27" i="76"/>
  <c r="O27" i="76"/>
  <c r="N27" i="76"/>
  <c r="S27" i="76"/>
  <c r="K27" i="76"/>
  <c r="J111" i="76"/>
  <c r="Q111" i="76"/>
  <c r="O111" i="76"/>
  <c r="R111" i="76"/>
  <c r="K111" i="76"/>
  <c r="M111" i="76"/>
  <c r="N111" i="76"/>
  <c r="S111" i="76"/>
  <c r="T111" i="76"/>
  <c r="P111" i="76"/>
  <c r="L111" i="76"/>
  <c r="M224" i="76"/>
  <c r="L224" i="76"/>
  <c r="S224" i="76"/>
  <c r="Q224" i="76"/>
  <c r="P224" i="76"/>
  <c r="K224" i="76"/>
  <c r="R224" i="76"/>
  <c r="N224" i="76"/>
  <c r="J224" i="76"/>
  <c r="T224" i="76"/>
  <c r="O224" i="76"/>
  <c r="M283" i="76"/>
  <c r="P283" i="76"/>
  <c r="S283" i="76"/>
  <c r="L283" i="76"/>
  <c r="K283" i="76"/>
  <c r="Q283" i="76"/>
  <c r="T283" i="76"/>
  <c r="R283" i="76"/>
  <c r="N283" i="76"/>
  <c r="O283" i="76"/>
  <c r="J283" i="76"/>
  <c r="Q127" i="76"/>
  <c r="J127" i="76"/>
  <c r="M127" i="76"/>
  <c r="K127" i="76"/>
  <c r="R127" i="76"/>
  <c r="O127" i="76"/>
  <c r="T127" i="76"/>
  <c r="P127" i="76"/>
  <c r="L127" i="76"/>
  <c r="N127" i="76"/>
  <c r="S127" i="76"/>
  <c r="K269" i="76"/>
  <c r="T269" i="76"/>
  <c r="S269" i="76"/>
  <c r="M269" i="76"/>
  <c r="O269" i="76"/>
  <c r="J269" i="76"/>
  <c r="Q269" i="76"/>
  <c r="P269" i="76"/>
  <c r="N269" i="76"/>
  <c r="R269" i="76"/>
  <c r="L269" i="76"/>
  <c r="H219" i="82"/>
  <c r="N84" i="76"/>
  <c r="M84" i="76"/>
  <c r="J84" i="76"/>
  <c r="T84" i="76"/>
  <c r="Q84" i="76"/>
  <c r="P84" i="76"/>
  <c r="R84" i="76"/>
  <c r="K84" i="76"/>
  <c r="L84" i="76"/>
  <c r="O84" i="76"/>
  <c r="S84" i="76"/>
  <c r="J168" i="76"/>
  <c r="Q168" i="76"/>
  <c r="K168" i="76"/>
  <c r="R168" i="76"/>
  <c r="O168" i="76"/>
  <c r="M168" i="76"/>
  <c r="N168" i="76"/>
  <c r="S168" i="76"/>
  <c r="T168" i="76"/>
  <c r="L168" i="76"/>
  <c r="P168" i="76"/>
  <c r="Q324" i="76"/>
  <c r="K324" i="76"/>
  <c r="P324" i="76"/>
  <c r="T324" i="76"/>
  <c r="N324" i="76"/>
  <c r="J324" i="76"/>
  <c r="S324" i="76"/>
  <c r="O324" i="76"/>
  <c r="L324" i="76"/>
  <c r="R324" i="76"/>
  <c r="M324" i="76"/>
  <c r="M117" i="76"/>
  <c r="S117" i="76"/>
  <c r="J117" i="76"/>
  <c r="R117" i="76"/>
  <c r="L117" i="76"/>
  <c r="K117" i="76"/>
  <c r="O117" i="76"/>
  <c r="P117" i="76"/>
  <c r="T117" i="76"/>
  <c r="Q117" i="76"/>
  <c r="N117" i="76"/>
  <c r="M279" i="76"/>
  <c r="L279" i="76"/>
  <c r="S279" i="76"/>
  <c r="P279" i="76"/>
  <c r="K279" i="76"/>
  <c r="Q279" i="76"/>
  <c r="N279" i="76"/>
  <c r="J279" i="76"/>
  <c r="T279" i="76"/>
  <c r="R279" i="76"/>
  <c r="O279" i="76"/>
  <c r="S32" i="76"/>
  <c r="J32" i="76"/>
  <c r="R32" i="76"/>
  <c r="M32" i="76"/>
  <c r="T32" i="76"/>
  <c r="L32" i="76"/>
  <c r="Q32" i="76"/>
  <c r="K32" i="76"/>
  <c r="N32" i="76"/>
  <c r="O32" i="76"/>
  <c r="P32" i="76"/>
  <c r="S97" i="76"/>
  <c r="J97" i="76"/>
  <c r="M97" i="76"/>
  <c r="R97" i="76"/>
  <c r="T97" i="76"/>
  <c r="L97" i="76"/>
  <c r="Q97" i="76"/>
  <c r="K97" i="76"/>
  <c r="N97" i="76"/>
  <c r="O97" i="76"/>
  <c r="P97" i="76"/>
  <c r="O169" i="76"/>
  <c r="K169" i="76"/>
  <c r="N169" i="76"/>
  <c r="S169" i="76"/>
  <c r="T169" i="76"/>
  <c r="R169" i="76"/>
  <c r="J169" i="76"/>
  <c r="Q169" i="76"/>
  <c r="P169" i="76"/>
  <c r="L169" i="76"/>
  <c r="M169" i="76"/>
  <c r="M287" i="76"/>
  <c r="Q287" i="76"/>
  <c r="L287" i="76"/>
  <c r="K287" i="76"/>
  <c r="S287" i="76"/>
  <c r="P287" i="76"/>
  <c r="R287" i="76"/>
  <c r="J287" i="76"/>
  <c r="T287" i="76"/>
  <c r="O287" i="76"/>
  <c r="N287" i="76"/>
  <c r="H215" i="82"/>
  <c r="M151" i="76"/>
  <c r="Q151" i="76"/>
  <c r="K151" i="76"/>
  <c r="R151" i="76"/>
  <c r="S151" i="76"/>
  <c r="P151" i="76"/>
  <c r="N151" i="76"/>
  <c r="O151" i="76"/>
  <c r="T151" i="76"/>
  <c r="L151" i="76"/>
  <c r="J151" i="76"/>
  <c r="M232" i="76"/>
  <c r="Q232" i="76"/>
  <c r="K232" i="76"/>
  <c r="L232" i="76"/>
  <c r="P232" i="76"/>
  <c r="S232" i="76"/>
  <c r="O232" i="76"/>
  <c r="T232" i="76"/>
  <c r="R232" i="76"/>
  <c r="J232" i="76"/>
  <c r="N232" i="76"/>
  <c r="R175" i="76"/>
  <c r="K175" i="76"/>
  <c r="Q175" i="76"/>
  <c r="M175" i="76"/>
  <c r="T175" i="76"/>
  <c r="N175" i="76"/>
  <c r="J175" i="76"/>
  <c r="P175" i="76"/>
  <c r="L175" i="76"/>
  <c r="S175" i="76"/>
  <c r="O175" i="76"/>
  <c r="Q252" i="76"/>
  <c r="K252" i="76"/>
  <c r="R252" i="76"/>
  <c r="S252" i="76"/>
  <c r="P252" i="76"/>
  <c r="T252" i="76"/>
  <c r="O252" i="76"/>
  <c r="N252" i="76"/>
  <c r="J252" i="76"/>
  <c r="M252" i="76"/>
  <c r="L252" i="76"/>
  <c r="Q347" i="76"/>
  <c r="L347" i="76"/>
  <c r="R347" i="76"/>
  <c r="J347" i="76"/>
  <c r="P347" i="76"/>
  <c r="S347" i="76"/>
  <c r="K347" i="76"/>
  <c r="O347" i="76"/>
  <c r="N347" i="76"/>
  <c r="T347" i="76"/>
  <c r="M347" i="76"/>
  <c r="O123" i="76"/>
  <c r="J123" i="76"/>
  <c r="R123" i="76"/>
  <c r="Q123" i="76"/>
  <c r="K123" i="76"/>
  <c r="M123" i="76"/>
  <c r="S123" i="76"/>
  <c r="T123" i="76"/>
  <c r="P123" i="76"/>
  <c r="L123" i="76"/>
  <c r="N123" i="76"/>
  <c r="K186" i="76"/>
  <c r="P186" i="76"/>
  <c r="J186" i="76"/>
  <c r="M186" i="76"/>
  <c r="O186" i="76"/>
  <c r="T186" i="76"/>
  <c r="L186" i="76"/>
  <c r="N186" i="76"/>
  <c r="Q186" i="76"/>
  <c r="R186" i="76"/>
  <c r="S186" i="76"/>
  <c r="Q272" i="76"/>
  <c r="K272" i="76"/>
  <c r="R272" i="76"/>
  <c r="N272" i="76"/>
  <c r="J272" i="76"/>
  <c r="P272" i="76"/>
  <c r="L272" i="76"/>
  <c r="T272" i="76"/>
  <c r="S272" i="76"/>
  <c r="M272" i="76"/>
  <c r="O272" i="76"/>
  <c r="Q342" i="76"/>
  <c r="O342" i="76"/>
  <c r="T342" i="76"/>
  <c r="J342" i="76"/>
  <c r="S342" i="76"/>
  <c r="L342" i="76"/>
  <c r="R342" i="76"/>
  <c r="P342" i="76"/>
  <c r="N342" i="76"/>
  <c r="K342" i="76"/>
  <c r="M342" i="76"/>
  <c r="Q323" i="76"/>
  <c r="N323" i="76"/>
  <c r="S323" i="76"/>
  <c r="T323" i="76"/>
  <c r="L323" i="76"/>
  <c r="R323" i="76"/>
  <c r="P323" i="76"/>
  <c r="O323" i="76"/>
  <c r="J323" i="76"/>
  <c r="K323" i="76"/>
  <c r="M323" i="76"/>
  <c r="Q317" i="76"/>
  <c r="S317" i="76"/>
  <c r="N317" i="76"/>
  <c r="O317" i="76"/>
  <c r="J317" i="76"/>
  <c r="T317" i="76"/>
  <c r="L317" i="76"/>
  <c r="K317" i="76"/>
  <c r="R317" i="76"/>
  <c r="P317" i="76"/>
  <c r="M317" i="76"/>
  <c r="Q365" i="76"/>
  <c r="K365" i="76"/>
  <c r="S365" i="76"/>
  <c r="M365" i="76"/>
  <c r="P365" i="76"/>
  <c r="L365" i="76"/>
  <c r="N365" i="76"/>
  <c r="J365" i="76"/>
  <c r="O365" i="76"/>
  <c r="R365" i="76"/>
  <c r="T365" i="76"/>
  <c r="H268" i="81"/>
  <c r="H252" i="81"/>
  <c r="H238" i="81"/>
  <c r="H165" i="81"/>
  <c r="H219" i="81"/>
  <c r="H251" i="81"/>
  <c r="H283" i="81"/>
  <c r="H318" i="81"/>
  <c r="H350" i="81"/>
  <c r="H146" i="81"/>
  <c r="H78" i="81"/>
  <c r="H113" i="81"/>
  <c r="H149" i="81"/>
  <c r="H283" i="82"/>
  <c r="H126" i="82"/>
  <c r="M144" i="76"/>
  <c r="K144" i="76"/>
  <c r="O144" i="76"/>
  <c r="J144" i="76"/>
  <c r="R144" i="76"/>
  <c r="Q144" i="76"/>
  <c r="T144" i="76"/>
  <c r="P144" i="76"/>
  <c r="L144" i="76"/>
  <c r="S144" i="76"/>
  <c r="N144" i="76"/>
  <c r="H180" i="82"/>
  <c r="S200" i="76"/>
  <c r="L200" i="76"/>
  <c r="P200" i="76"/>
  <c r="M200" i="76"/>
  <c r="Q200" i="76"/>
  <c r="K200" i="76"/>
  <c r="O200" i="76"/>
  <c r="T200" i="76"/>
  <c r="R200" i="76"/>
  <c r="J200" i="76"/>
  <c r="N200" i="76"/>
  <c r="H85" i="82"/>
  <c r="M75" i="76"/>
  <c r="K75" i="76"/>
  <c r="R75" i="76"/>
  <c r="Q75" i="76"/>
  <c r="O75" i="76"/>
  <c r="J75" i="76"/>
  <c r="P75" i="76"/>
  <c r="L75" i="76"/>
  <c r="S75" i="76"/>
  <c r="T75" i="76"/>
  <c r="N75" i="76"/>
  <c r="H46" i="82"/>
  <c r="H79" i="82"/>
  <c r="M236" i="76"/>
  <c r="K236" i="76"/>
  <c r="S236" i="76"/>
  <c r="P236" i="76"/>
  <c r="L236" i="76"/>
  <c r="Q236" i="76"/>
  <c r="N236" i="76"/>
  <c r="J236" i="76"/>
  <c r="O236" i="76"/>
  <c r="T236" i="76"/>
  <c r="R236" i="76"/>
  <c r="N33" i="76"/>
  <c r="K33" i="76"/>
  <c r="R33" i="76"/>
  <c r="M33" i="76"/>
  <c r="S33" i="76"/>
  <c r="Q33" i="76"/>
  <c r="L33" i="76"/>
  <c r="J33" i="76"/>
  <c r="T33" i="76"/>
  <c r="P33" i="76"/>
  <c r="O33" i="76"/>
  <c r="M122" i="76"/>
  <c r="K122" i="76"/>
  <c r="R122" i="76"/>
  <c r="S122" i="76"/>
  <c r="N122" i="76"/>
  <c r="T122" i="76"/>
  <c r="P122" i="76"/>
  <c r="J122" i="76"/>
  <c r="L122" i="76"/>
  <c r="O122" i="76"/>
  <c r="Q122" i="76"/>
  <c r="K163" i="76"/>
  <c r="R163" i="76"/>
  <c r="M163" i="76"/>
  <c r="Q163" i="76"/>
  <c r="L163" i="76"/>
  <c r="S163" i="76"/>
  <c r="J163" i="76"/>
  <c r="T163" i="76"/>
  <c r="O163" i="76"/>
  <c r="P163" i="76"/>
  <c r="N163" i="76"/>
  <c r="H158" i="82"/>
  <c r="R93" i="76"/>
  <c r="S93" i="76"/>
  <c r="M93" i="76"/>
  <c r="J93" i="76"/>
  <c r="T93" i="76"/>
  <c r="P93" i="76"/>
  <c r="N93" i="76"/>
  <c r="L93" i="76"/>
  <c r="Q93" i="76"/>
  <c r="O93" i="76"/>
  <c r="K93" i="76"/>
  <c r="M40" i="76"/>
  <c r="S40" i="76"/>
  <c r="R40" i="76"/>
  <c r="J40" i="76"/>
  <c r="K40" i="76"/>
  <c r="T40" i="76"/>
  <c r="P40" i="76"/>
  <c r="Q40" i="76"/>
  <c r="L40" i="76"/>
  <c r="O40" i="76"/>
  <c r="N40" i="76"/>
  <c r="K147" i="76"/>
  <c r="Q147" i="76"/>
  <c r="R147" i="76"/>
  <c r="M147" i="76"/>
  <c r="P147" i="76"/>
  <c r="L147" i="76"/>
  <c r="N147" i="76"/>
  <c r="J147" i="76"/>
  <c r="O147" i="76"/>
  <c r="T147" i="76"/>
  <c r="S147" i="76"/>
  <c r="K238" i="76"/>
  <c r="T238" i="76"/>
  <c r="M238" i="76"/>
  <c r="O238" i="76"/>
  <c r="S238" i="76"/>
  <c r="R238" i="76"/>
  <c r="N238" i="76"/>
  <c r="Q238" i="76"/>
  <c r="L238" i="76"/>
  <c r="P238" i="76"/>
  <c r="J238" i="76"/>
  <c r="T294" i="76"/>
  <c r="M294" i="76"/>
  <c r="O294" i="76"/>
  <c r="R294" i="76"/>
  <c r="N294" i="76"/>
  <c r="J294" i="76"/>
  <c r="P294" i="76"/>
  <c r="K294" i="76"/>
  <c r="S294" i="76"/>
  <c r="Q294" i="76"/>
  <c r="L294" i="76"/>
  <c r="M133" i="76"/>
  <c r="N133" i="76"/>
  <c r="L133" i="76"/>
  <c r="K133" i="76"/>
  <c r="O133" i="76"/>
  <c r="J133" i="76"/>
  <c r="S133" i="76"/>
  <c r="P133" i="76"/>
  <c r="Q133" i="76"/>
  <c r="R133" i="76"/>
  <c r="T133" i="76"/>
  <c r="T286" i="76"/>
  <c r="M286" i="76"/>
  <c r="O286" i="76"/>
  <c r="R286" i="76"/>
  <c r="N286" i="76"/>
  <c r="Q286" i="76"/>
  <c r="L286" i="76"/>
  <c r="S286" i="76"/>
  <c r="J286" i="76"/>
  <c r="P286" i="76"/>
  <c r="K286" i="76"/>
  <c r="M105" i="76"/>
  <c r="S105" i="76"/>
  <c r="R105" i="76"/>
  <c r="J105" i="76"/>
  <c r="K105" i="76"/>
  <c r="T105" i="76"/>
  <c r="P105" i="76"/>
  <c r="Q105" i="76"/>
  <c r="L105" i="76"/>
  <c r="O105" i="76"/>
  <c r="N105" i="76"/>
  <c r="K172" i="76"/>
  <c r="R172" i="76"/>
  <c r="M172" i="76"/>
  <c r="Q172" i="76"/>
  <c r="O172" i="76"/>
  <c r="J172" i="76"/>
  <c r="S172" i="76"/>
  <c r="T172" i="76"/>
  <c r="P172" i="76"/>
  <c r="N172" i="76"/>
  <c r="L172" i="76"/>
  <c r="M361" i="76"/>
  <c r="L361" i="76"/>
  <c r="P361" i="76"/>
  <c r="K361" i="76"/>
  <c r="S361" i="76"/>
  <c r="Q361" i="76"/>
  <c r="N361" i="76"/>
  <c r="J361" i="76"/>
  <c r="O361" i="76"/>
  <c r="T361" i="76"/>
  <c r="R361" i="76"/>
  <c r="N126" i="76"/>
  <c r="R126" i="76"/>
  <c r="K126" i="76"/>
  <c r="S126" i="76"/>
  <c r="M126" i="76"/>
  <c r="T126" i="76"/>
  <c r="O126" i="76"/>
  <c r="Q126" i="76"/>
  <c r="P126" i="76"/>
  <c r="L126" i="76"/>
  <c r="J126" i="76"/>
  <c r="K293" i="76"/>
  <c r="T293" i="76"/>
  <c r="M293" i="76"/>
  <c r="S293" i="76"/>
  <c r="O293" i="76"/>
  <c r="L293" i="76"/>
  <c r="P293" i="76"/>
  <c r="R293" i="76"/>
  <c r="N293" i="76"/>
  <c r="Q293" i="76"/>
  <c r="J293" i="76"/>
  <c r="R37" i="76"/>
  <c r="N37" i="76"/>
  <c r="S37" i="76"/>
  <c r="M37" i="76"/>
  <c r="K37" i="76"/>
  <c r="J37" i="76"/>
  <c r="Q37" i="76"/>
  <c r="P37" i="76"/>
  <c r="T37" i="76"/>
  <c r="L37" i="76"/>
  <c r="O37" i="76"/>
  <c r="R102" i="76"/>
  <c r="N102" i="76"/>
  <c r="M102" i="76"/>
  <c r="S102" i="76"/>
  <c r="K102" i="76"/>
  <c r="J102" i="76"/>
  <c r="Q102" i="76"/>
  <c r="P102" i="76"/>
  <c r="T102" i="76"/>
  <c r="L102" i="76"/>
  <c r="O102" i="76"/>
  <c r="K182" i="76"/>
  <c r="Q182" i="76"/>
  <c r="P182" i="76"/>
  <c r="S182" i="76"/>
  <c r="M182" i="76"/>
  <c r="O182" i="76"/>
  <c r="R182" i="76"/>
  <c r="J182" i="76"/>
  <c r="T182" i="76"/>
  <c r="L182" i="76"/>
  <c r="N182" i="76"/>
  <c r="T289" i="76"/>
  <c r="K289" i="76"/>
  <c r="S289" i="76"/>
  <c r="M289" i="76"/>
  <c r="O289" i="76"/>
  <c r="P289" i="76"/>
  <c r="R289" i="76"/>
  <c r="N289" i="76"/>
  <c r="J289" i="76"/>
  <c r="L289" i="76"/>
  <c r="Q289" i="76"/>
  <c r="Q316" i="76"/>
  <c r="K316" i="76"/>
  <c r="P316" i="76"/>
  <c r="N316" i="76"/>
  <c r="T316" i="76"/>
  <c r="O316" i="76"/>
  <c r="S316" i="76"/>
  <c r="R316" i="76"/>
  <c r="L316" i="76"/>
  <c r="J316" i="76"/>
  <c r="M316" i="76"/>
  <c r="Q322" i="76"/>
  <c r="P322" i="76"/>
  <c r="K322" i="76"/>
  <c r="S322" i="76"/>
  <c r="L322" i="76"/>
  <c r="R322" i="76"/>
  <c r="N322" i="76"/>
  <c r="J322" i="76"/>
  <c r="T322" i="76"/>
  <c r="O322" i="76"/>
  <c r="M322" i="76"/>
  <c r="R86" i="76"/>
  <c r="S86" i="76"/>
  <c r="N86" i="76"/>
  <c r="M86" i="76"/>
  <c r="K86" i="76"/>
  <c r="T86" i="76"/>
  <c r="P86" i="76"/>
  <c r="L86" i="76"/>
  <c r="Q86" i="76"/>
  <c r="O86" i="76"/>
  <c r="J86" i="76"/>
  <c r="M176" i="76"/>
  <c r="Q176" i="76"/>
  <c r="J176" i="76"/>
  <c r="K176" i="76"/>
  <c r="O176" i="76"/>
  <c r="R176" i="76"/>
  <c r="T176" i="76"/>
  <c r="P176" i="76"/>
  <c r="L176" i="76"/>
  <c r="S176" i="76"/>
  <c r="N176" i="76"/>
  <c r="T234" i="76"/>
  <c r="K234" i="76"/>
  <c r="S234" i="76"/>
  <c r="O234" i="76"/>
  <c r="M234" i="76"/>
  <c r="N234" i="76"/>
  <c r="J234" i="76"/>
  <c r="L234" i="76"/>
  <c r="P234" i="76"/>
  <c r="R234" i="76"/>
  <c r="Q234" i="76"/>
  <c r="S109" i="76"/>
  <c r="R109" i="76"/>
  <c r="M109" i="76"/>
  <c r="J109" i="76"/>
  <c r="T109" i="76"/>
  <c r="P109" i="76"/>
  <c r="L109" i="76"/>
  <c r="Q109" i="76"/>
  <c r="O109" i="76"/>
  <c r="N109" i="76"/>
  <c r="K109" i="76"/>
  <c r="P181" i="76"/>
  <c r="L181" i="76"/>
  <c r="Q181" i="76"/>
  <c r="M181" i="76"/>
  <c r="S181" i="76"/>
  <c r="K181" i="76"/>
  <c r="R181" i="76"/>
  <c r="J181" i="76"/>
  <c r="O181" i="76"/>
  <c r="T181" i="76"/>
  <c r="N181" i="76"/>
  <c r="Q260" i="76"/>
  <c r="K260" i="76"/>
  <c r="J260" i="76"/>
  <c r="S260" i="76"/>
  <c r="M260" i="76"/>
  <c r="T260" i="76"/>
  <c r="R260" i="76"/>
  <c r="O260" i="76"/>
  <c r="N260" i="76"/>
  <c r="P260" i="76"/>
  <c r="L260" i="76"/>
  <c r="Q357" i="76"/>
  <c r="R357" i="76"/>
  <c r="L357" i="76"/>
  <c r="S357" i="76"/>
  <c r="K357" i="76"/>
  <c r="P357" i="76"/>
  <c r="T357" i="76"/>
  <c r="O357" i="76"/>
  <c r="J357" i="76"/>
  <c r="N357" i="76"/>
  <c r="M357" i="76"/>
  <c r="S125" i="76"/>
  <c r="R125" i="76"/>
  <c r="M125" i="76"/>
  <c r="J125" i="76"/>
  <c r="T125" i="76"/>
  <c r="P125" i="76"/>
  <c r="N125" i="76"/>
  <c r="L125" i="76"/>
  <c r="Q125" i="76"/>
  <c r="O125" i="76"/>
  <c r="K125" i="76"/>
  <c r="K280" i="76"/>
  <c r="Q280" i="76"/>
  <c r="M280" i="76"/>
  <c r="P280" i="76"/>
  <c r="N280" i="76"/>
  <c r="O280" i="76"/>
  <c r="R280" i="76"/>
  <c r="J280" i="76"/>
  <c r="S280" i="76"/>
  <c r="L280" i="76"/>
  <c r="T280" i="76"/>
  <c r="Q352" i="76"/>
  <c r="T352" i="76"/>
  <c r="J352" i="76"/>
  <c r="O352" i="76"/>
  <c r="N352" i="76"/>
  <c r="R352" i="76"/>
  <c r="S352" i="76"/>
  <c r="L352" i="76"/>
  <c r="K352" i="76"/>
  <c r="P352" i="76"/>
  <c r="M352" i="76"/>
  <c r="Q327" i="76"/>
  <c r="N327" i="76"/>
  <c r="S327" i="76"/>
  <c r="J327" i="76"/>
  <c r="P327" i="76"/>
  <c r="T327" i="76"/>
  <c r="R327" i="76"/>
  <c r="L327" i="76"/>
  <c r="K327" i="76"/>
  <c r="O327" i="76"/>
  <c r="M327" i="76"/>
  <c r="Q321" i="76"/>
  <c r="S321" i="76"/>
  <c r="N321" i="76"/>
  <c r="R321" i="76"/>
  <c r="K321" i="76"/>
  <c r="L321" i="76"/>
  <c r="P321" i="76"/>
  <c r="O321" i="76"/>
  <c r="T321" i="76"/>
  <c r="J321" i="76"/>
  <c r="M321" i="76"/>
  <c r="Q374" i="76"/>
  <c r="L374" i="76"/>
  <c r="K374" i="76"/>
  <c r="S374" i="76"/>
  <c r="R374" i="76"/>
  <c r="M374" i="76"/>
  <c r="J374" i="76"/>
  <c r="O374" i="76"/>
  <c r="N374" i="76"/>
  <c r="P374" i="76"/>
  <c r="T374" i="76"/>
  <c r="H369" i="81"/>
  <c r="H246" i="81"/>
  <c r="H289" i="81"/>
  <c r="H177" i="81"/>
  <c r="H335" i="81"/>
  <c r="H371" i="81"/>
  <c r="H291" i="81"/>
  <c r="H148" i="81"/>
  <c r="H293" i="82"/>
  <c r="H59" i="81"/>
  <c r="H107" i="81"/>
  <c r="H368" i="81"/>
  <c r="H234" i="81"/>
  <c r="H302" i="81"/>
  <c r="H334" i="81"/>
  <c r="H193" i="81"/>
  <c r="H312" i="82"/>
  <c r="H347" i="82"/>
  <c r="H66" i="81"/>
  <c r="H309" i="82"/>
  <c r="H344" i="82"/>
  <c r="H267" i="82"/>
  <c r="H49" i="81"/>
  <c r="H56" i="82"/>
  <c r="H88" i="82"/>
  <c r="M263" i="76"/>
  <c r="L263" i="76"/>
  <c r="P263" i="76"/>
  <c r="K263" i="76"/>
  <c r="S263" i="76"/>
  <c r="Q263" i="76"/>
  <c r="R263" i="76"/>
  <c r="N263" i="76"/>
  <c r="J263" i="76"/>
  <c r="T263" i="76"/>
  <c r="O263" i="76"/>
  <c r="J85" i="76"/>
  <c r="R85" i="76"/>
  <c r="S85" i="76"/>
  <c r="M85" i="76"/>
  <c r="L85" i="76"/>
  <c r="K85" i="76"/>
  <c r="O85" i="76"/>
  <c r="P85" i="76"/>
  <c r="N85" i="76"/>
  <c r="T85" i="76"/>
  <c r="Q85" i="76"/>
  <c r="P205" i="76"/>
  <c r="K205" i="76"/>
  <c r="J205" i="76"/>
  <c r="M205" i="76"/>
  <c r="Q205" i="76"/>
  <c r="O205" i="76"/>
  <c r="T205" i="76"/>
  <c r="L205" i="76"/>
  <c r="N205" i="76"/>
  <c r="R205" i="76"/>
  <c r="S205" i="76"/>
  <c r="Q26" i="76"/>
  <c r="M26" i="76"/>
  <c r="R26" i="76"/>
  <c r="S26" i="76"/>
  <c r="J26" i="76"/>
  <c r="N26" i="76"/>
  <c r="L26" i="76"/>
  <c r="O26" i="76"/>
  <c r="P26" i="76"/>
  <c r="K26" i="76"/>
  <c r="T26" i="76"/>
  <c r="R103" i="76"/>
  <c r="K103" i="76"/>
  <c r="J103" i="76"/>
  <c r="M103" i="76"/>
  <c r="Q103" i="76"/>
  <c r="O103" i="76"/>
  <c r="T103" i="76"/>
  <c r="P103" i="76"/>
  <c r="L103" i="76"/>
  <c r="N103" i="76"/>
  <c r="S103" i="76"/>
  <c r="O153" i="76"/>
  <c r="K153" i="76"/>
  <c r="S153" i="76"/>
  <c r="T153" i="76"/>
  <c r="N153" i="76"/>
  <c r="R153" i="76"/>
  <c r="Q153" i="76"/>
  <c r="J153" i="76"/>
  <c r="P153" i="76"/>
  <c r="L153" i="76"/>
  <c r="M153" i="76"/>
  <c r="H151" i="81"/>
  <c r="H285" i="82"/>
  <c r="H40" i="81"/>
  <c r="H72" i="81"/>
  <c r="H256" i="82"/>
  <c r="N35" i="76"/>
  <c r="M35" i="76"/>
  <c r="J35" i="76"/>
  <c r="K35" i="76"/>
  <c r="T35" i="76"/>
  <c r="Q35" i="76"/>
  <c r="S35" i="76"/>
  <c r="P35" i="76"/>
  <c r="R35" i="76"/>
  <c r="L35" i="76"/>
  <c r="O35" i="76"/>
  <c r="H191" i="82"/>
  <c r="J36" i="76"/>
  <c r="R36" i="76"/>
  <c r="S36" i="76"/>
  <c r="M36" i="76"/>
  <c r="L36" i="76"/>
  <c r="K36" i="76"/>
  <c r="O36" i="76"/>
  <c r="P36" i="76"/>
  <c r="N36" i="76"/>
  <c r="T36" i="76"/>
  <c r="Q36" i="76"/>
  <c r="N162" i="76"/>
  <c r="R162" i="76"/>
  <c r="Q162" i="76"/>
  <c r="K162" i="76"/>
  <c r="O162" i="76"/>
  <c r="T162" i="76"/>
  <c r="L162" i="76"/>
  <c r="J162" i="76"/>
  <c r="S162" i="76"/>
  <c r="M162" i="76"/>
  <c r="P162" i="76"/>
  <c r="T188" i="76"/>
  <c r="O188" i="76"/>
  <c r="M188" i="76"/>
  <c r="R188" i="76"/>
  <c r="N188" i="76"/>
  <c r="J188" i="76"/>
  <c r="Q188" i="76"/>
  <c r="P188" i="76"/>
  <c r="K188" i="76"/>
  <c r="S188" i="76"/>
  <c r="L188" i="76"/>
  <c r="M150" i="76"/>
  <c r="N150" i="76"/>
  <c r="L150" i="76"/>
  <c r="K150" i="76"/>
  <c r="O150" i="76"/>
  <c r="R150" i="76"/>
  <c r="J150" i="76"/>
  <c r="S150" i="76"/>
  <c r="P150" i="76"/>
  <c r="T150" i="76"/>
  <c r="Q150" i="76"/>
  <c r="M42" i="76"/>
  <c r="Q42" i="76"/>
  <c r="K42" i="76"/>
  <c r="J42" i="76"/>
  <c r="R42" i="76"/>
  <c r="O42" i="76"/>
  <c r="P42" i="76"/>
  <c r="L42" i="76"/>
  <c r="T42" i="76"/>
  <c r="N42" i="76"/>
  <c r="S42" i="76"/>
  <c r="M160" i="76"/>
  <c r="O160" i="76"/>
  <c r="R160" i="76"/>
  <c r="Q160" i="76"/>
  <c r="K160" i="76"/>
  <c r="J160" i="76"/>
  <c r="P160" i="76"/>
  <c r="L160" i="76"/>
  <c r="S160" i="76"/>
  <c r="T160" i="76"/>
  <c r="N160" i="76"/>
  <c r="M251" i="76"/>
  <c r="P251" i="76"/>
  <c r="S251" i="76"/>
  <c r="Q251" i="76"/>
  <c r="K251" i="76"/>
  <c r="L251" i="76"/>
  <c r="T251" i="76"/>
  <c r="R251" i="76"/>
  <c r="N251" i="76"/>
  <c r="O251" i="76"/>
  <c r="J251" i="76"/>
  <c r="O136" i="76"/>
  <c r="K136" i="76"/>
  <c r="S136" i="76"/>
  <c r="J136" i="76"/>
  <c r="T136" i="76"/>
  <c r="R136" i="76"/>
  <c r="Q136" i="76"/>
  <c r="N136" i="76"/>
  <c r="P136" i="76"/>
  <c r="L136" i="76"/>
  <c r="M136" i="76"/>
  <c r="O202" i="76"/>
  <c r="S202" i="76"/>
  <c r="K202" i="76"/>
  <c r="T202" i="76"/>
  <c r="M202" i="76"/>
  <c r="L202" i="76"/>
  <c r="P202" i="76"/>
  <c r="R202" i="76"/>
  <c r="N202" i="76"/>
  <c r="Q202" i="76"/>
  <c r="J202" i="76"/>
  <c r="H120" i="82"/>
  <c r="H153" i="82"/>
  <c r="H190" i="82"/>
  <c r="J34" i="76"/>
  <c r="Q34" i="76"/>
  <c r="R34" i="76"/>
  <c r="O34" i="76"/>
  <c r="M34" i="76"/>
  <c r="K34" i="76"/>
  <c r="N34" i="76"/>
  <c r="S34" i="76"/>
  <c r="T34" i="76"/>
  <c r="P34" i="76"/>
  <c r="L34" i="76"/>
  <c r="M107" i="76"/>
  <c r="O107" i="76"/>
  <c r="Q107" i="76"/>
  <c r="R107" i="76"/>
  <c r="K107" i="76"/>
  <c r="J107" i="76"/>
  <c r="T107" i="76"/>
  <c r="P107" i="76"/>
  <c r="L107" i="76"/>
  <c r="N107" i="76"/>
  <c r="S107" i="76"/>
  <c r="T211" i="76"/>
  <c r="O211" i="76"/>
  <c r="M211" i="76"/>
  <c r="J211" i="76"/>
  <c r="P211" i="76"/>
  <c r="K211" i="76"/>
  <c r="N211" i="76"/>
  <c r="Q211" i="76"/>
  <c r="S211" i="76"/>
  <c r="R211" i="76"/>
  <c r="L211" i="76"/>
  <c r="N128" i="76"/>
  <c r="M128" i="76"/>
  <c r="Q128" i="76"/>
  <c r="K128" i="76"/>
  <c r="O128" i="76"/>
  <c r="S128" i="76"/>
  <c r="P128" i="76"/>
  <c r="J128" i="76"/>
  <c r="T128" i="76"/>
  <c r="L128" i="76"/>
  <c r="R128" i="76"/>
  <c r="M299" i="76"/>
  <c r="L299" i="76"/>
  <c r="P299" i="76"/>
  <c r="S299" i="76"/>
  <c r="Q299" i="76"/>
  <c r="K299" i="76"/>
  <c r="R299" i="76"/>
  <c r="N299" i="76"/>
  <c r="O299" i="76"/>
  <c r="T299" i="76"/>
  <c r="J299" i="76"/>
  <c r="N43" i="76"/>
  <c r="T43" i="76"/>
  <c r="L43" i="76"/>
  <c r="R43" i="76"/>
  <c r="M43" i="76"/>
  <c r="O43" i="76"/>
  <c r="J43" i="76"/>
  <c r="K43" i="76"/>
  <c r="S43" i="76"/>
  <c r="Q43" i="76"/>
  <c r="P43" i="76"/>
  <c r="N108" i="76"/>
  <c r="L108" i="76"/>
  <c r="R108" i="76"/>
  <c r="M108" i="76"/>
  <c r="J108" i="76"/>
  <c r="K108" i="76"/>
  <c r="S108" i="76"/>
  <c r="T108" i="76"/>
  <c r="Q108" i="76"/>
  <c r="P108" i="76"/>
  <c r="O108" i="76"/>
  <c r="M214" i="76"/>
  <c r="T214" i="76"/>
  <c r="K214" i="76"/>
  <c r="S214" i="76"/>
  <c r="O214" i="76"/>
  <c r="L214" i="76"/>
  <c r="P214" i="76"/>
  <c r="R214" i="76"/>
  <c r="N214" i="76"/>
  <c r="Q214" i="76"/>
  <c r="J214" i="76"/>
  <c r="Q320" i="76"/>
  <c r="K320" i="76"/>
  <c r="P320" i="76"/>
  <c r="R320" i="76"/>
  <c r="J320" i="76"/>
  <c r="T320" i="76"/>
  <c r="S320" i="76"/>
  <c r="L320" i="76"/>
  <c r="N320" i="76"/>
  <c r="O320" i="76"/>
  <c r="M320" i="76"/>
  <c r="Q340" i="76"/>
  <c r="T340" i="76"/>
  <c r="J340" i="76"/>
  <c r="O340" i="76"/>
  <c r="R340" i="76"/>
  <c r="K340" i="76"/>
  <c r="P340" i="76"/>
  <c r="S340" i="76"/>
  <c r="N340" i="76"/>
  <c r="L340" i="76"/>
  <c r="M340" i="76"/>
  <c r="Q331" i="76"/>
  <c r="L331" i="76"/>
  <c r="R331" i="76"/>
  <c r="J331" i="76"/>
  <c r="P331" i="76"/>
  <c r="N331" i="76"/>
  <c r="T331" i="76"/>
  <c r="O331" i="76"/>
  <c r="K331" i="76"/>
  <c r="S331" i="76"/>
  <c r="M331" i="76"/>
  <c r="H222" i="82"/>
  <c r="N92" i="76"/>
  <c r="T92" i="76"/>
  <c r="L92" i="76"/>
  <c r="S92" i="76"/>
  <c r="R92" i="76"/>
  <c r="M92" i="76"/>
  <c r="J92" i="76"/>
  <c r="P92" i="76"/>
  <c r="K92" i="76"/>
  <c r="O92" i="76"/>
  <c r="Q92" i="76"/>
  <c r="K179" i="76"/>
  <c r="T179" i="76"/>
  <c r="S179" i="76"/>
  <c r="M179" i="76"/>
  <c r="N179" i="76"/>
  <c r="Q179" i="76"/>
  <c r="L179" i="76"/>
  <c r="R179" i="76"/>
  <c r="J179" i="76"/>
  <c r="O179" i="76"/>
  <c r="P179" i="76"/>
  <c r="T258" i="76"/>
  <c r="O258" i="76"/>
  <c r="M258" i="76"/>
  <c r="R258" i="76"/>
  <c r="N258" i="76"/>
  <c r="J258" i="76"/>
  <c r="Q258" i="76"/>
  <c r="L258" i="76"/>
  <c r="P258" i="76"/>
  <c r="K258" i="76"/>
  <c r="S258" i="76"/>
  <c r="Q328" i="76"/>
  <c r="K328" i="76"/>
  <c r="P328" i="76"/>
  <c r="J328" i="76"/>
  <c r="R328" i="76"/>
  <c r="N328" i="76"/>
  <c r="S328" i="76"/>
  <c r="O328" i="76"/>
  <c r="T328" i="76"/>
  <c r="L328" i="76"/>
  <c r="M328" i="76"/>
  <c r="R114" i="76"/>
  <c r="M114" i="76"/>
  <c r="K114" i="76"/>
  <c r="S114" i="76"/>
  <c r="N114" i="76"/>
  <c r="P114" i="76"/>
  <c r="L114" i="76"/>
  <c r="O114" i="76"/>
  <c r="T114" i="76"/>
  <c r="J114" i="76"/>
  <c r="Q114" i="76"/>
  <c r="Q190" i="76"/>
  <c r="T190" i="76"/>
  <c r="L190" i="76"/>
  <c r="R190" i="76"/>
  <c r="S190" i="76"/>
  <c r="O190" i="76"/>
  <c r="P190" i="76"/>
  <c r="K190" i="76"/>
  <c r="N190" i="76"/>
  <c r="J190" i="76"/>
  <c r="M190" i="76"/>
  <c r="Q268" i="76"/>
  <c r="K268" i="76"/>
  <c r="R268" i="76"/>
  <c r="S268" i="76"/>
  <c r="N268" i="76"/>
  <c r="J268" i="76"/>
  <c r="M268" i="76"/>
  <c r="L268" i="76"/>
  <c r="P268" i="76"/>
  <c r="T268" i="76"/>
  <c r="O268" i="76"/>
  <c r="Q363" i="76"/>
  <c r="K363" i="76"/>
  <c r="P363" i="76"/>
  <c r="S363" i="76"/>
  <c r="M363" i="76"/>
  <c r="R363" i="76"/>
  <c r="N363" i="76"/>
  <c r="O363" i="76"/>
  <c r="T363" i="76"/>
  <c r="L363" i="76"/>
  <c r="J363" i="76"/>
  <c r="Q371" i="76"/>
  <c r="P371" i="76"/>
  <c r="K371" i="76"/>
  <c r="M371" i="76"/>
  <c r="S371" i="76"/>
  <c r="T371" i="76"/>
  <c r="R371" i="76"/>
  <c r="N371" i="76"/>
  <c r="L371" i="76"/>
  <c r="O371" i="76"/>
  <c r="J371" i="76"/>
  <c r="K130" i="76"/>
  <c r="Q130" i="76"/>
  <c r="M130" i="76"/>
  <c r="S130" i="76"/>
  <c r="N130" i="76"/>
  <c r="R130" i="76"/>
  <c r="L130" i="76"/>
  <c r="T130" i="76"/>
  <c r="P130" i="76"/>
  <c r="O130" i="76"/>
  <c r="J130" i="76"/>
  <c r="P216" i="76"/>
  <c r="S216" i="76"/>
  <c r="K216" i="76"/>
  <c r="Q216" i="76"/>
  <c r="M216" i="76"/>
  <c r="L216" i="76"/>
  <c r="R216" i="76"/>
  <c r="J216" i="76"/>
  <c r="T216" i="76"/>
  <c r="O216" i="76"/>
  <c r="N216" i="76"/>
  <c r="Q288" i="76"/>
  <c r="K288" i="76"/>
  <c r="R288" i="76"/>
  <c r="N288" i="76"/>
  <c r="J288" i="76"/>
  <c r="P288" i="76"/>
  <c r="S288" i="76"/>
  <c r="L288" i="76"/>
  <c r="M288" i="76"/>
  <c r="T288" i="76"/>
  <c r="O288" i="76"/>
  <c r="Q337" i="76"/>
  <c r="R337" i="76"/>
  <c r="L337" i="76"/>
  <c r="O337" i="76"/>
  <c r="S337" i="76"/>
  <c r="J337" i="76"/>
  <c r="P337" i="76"/>
  <c r="K337" i="76"/>
  <c r="T337" i="76"/>
  <c r="N337" i="76"/>
  <c r="M337" i="76"/>
  <c r="H280" i="81"/>
  <c r="H284" i="81"/>
  <c r="H172" i="81"/>
  <c r="H262" i="81"/>
  <c r="H308" i="81"/>
  <c r="H248" i="81"/>
  <c r="H183" i="81"/>
  <c r="H328" i="81"/>
  <c r="H79" i="81"/>
  <c r="H226" i="81"/>
  <c r="H258" i="81"/>
  <c r="H290" i="81"/>
  <c r="H325" i="81"/>
  <c r="H187" i="81"/>
  <c r="H306" i="82"/>
  <c r="H341" i="82"/>
  <c r="H110" i="81"/>
  <c r="H153" i="81"/>
  <c r="H261" i="82"/>
  <c r="H303" i="82"/>
  <c r="H336" i="82"/>
  <c r="H376" i="82"/>
  <c r="H159" i="81"/>
  <c r="H27" i="82"/>
  <c r="H270" i="82"/>
  <c r="H36" i="81"/>
  <c r="H171" i="81"/>
  <c r="H203" i="81"/>
  <c r="H323" i="82"/>
  <c r="H357" i="82"/>
  <c r="H47" i="82"/>
  <c r="H196" i="81"/>
  <c r="H315" i="82"/>
  <c r="H350" i="82"/>
  <c r="H81" i="81"/>
  <c r="H116" i="81"/>
  <c r="H29" i="82"/>
  <c r="H88" i="81"/>
  <c r="H123" i="81"/>
  <c r="H38" i="81"/>
  <c r="H89" i="81"/>
  <c r="H124" i="81"/>
  <c r="H33" i="81"/>
  <c r="H228" i="82"/>
  <c r="H98" i="82"/>
  <c r="H156" i="81"/>
  <c r="H290" i="82"/>
  <c r="H136" i="82"/>
  <c r="H184" i="82"/>
  <c r="J52" i="76"/>
  <c r="M52" i="76"/>
  <c r="S52" i="76"/>
  <c r="R52" i="76"/>
  <c r="L52" i="76"/>
  <c r="K52" i="76"/>
  <c r="O52" i="76"/>
  <c r="P52" i="76"/>
  <c r="T52" i="76"/>
  <c r="Q52" i="76"/>
  <c r="N52" i="76"/>
  <c r="H189" i="82"/>
  <c r="M94" i="76"/>
  <c r="N94" i="76"/>
  <c r="R94" i="76"/>
  <c r="S94" i="76"/>
  <c r="K94" i="76"/>
  <c r="T94" i="76"/>
  <c r="O94" i="76"/>
  <c r="P94" i="76"/>
  <c r="L94" i="76"/>
  <c r="J94" i="76"/>
  <c r="Q94" i="76"/>
  <c r="K217" i="76"/>
  <c r="Q217" i="76"/>
  <c r="P217" i="76"/>
  <c r="O217" i="76"/>
  <c r="T217" i="76"/>
  <c r="L217" i="76"/>
  <c r="J217" i="76"/>
  <c r="R217" i="76"/>
  <c r="N217" i="76"/>
  <c r="S217" i="76"/>
  <c r="M217" i="76"/>
  <c r="H94" i="82"/>
  <c r="H185" i="82"/>
  <c r="M29" i="76"/>
  <c r="R29" i="76"/>
  <c r="S29" i="76"/>
  <c r="N29" i="76"/>
  <c r="K29" i="76"/>
  <c r="T29" i="76"/>
  <c r="O29" i="76"/>
  <c r="P29" i="76"/>
  <c r="L29" i="76"/>
  <c r="J29" i="76"/>
  <c r="Q29" i="76"/>
  <c r="M212" i="76"/>
  <c r="P212" i="76"/>
  <c r="K212" i="76"/>
  <c r="L212" i="76"/>
  <c r="S212" i="76"/>
  <c r="Q212" i="76"/>
  <c r="T212" i="76"/>
  <c r="R212" i="76"/>
  <c r="N212" i="76"/>
  <c r="O212" i="76"/>
  <c r="J212" i="76"/>
  <c r="H152" i="82"/>
  <c r="H200" i="82"/>
  <c r="M167" i="76"/>
  <c r="K167" i="76"/>
  <c r="R167" i="76"/>
  <c r="Q167" i="76"/>
  <c r="T167" i="76"/>
  <c r="P167" i="76"/>
  <c r="L167" i="76"/>
  <c r="N167" i="76"/>
  <c r="S167" i="76"/>
  <c r="J167" i="76"/>
  <c r="O167" i="76"/>
  <c r="H154" i="81"/>
  <c r="H288" i="82"/>
  <c r="H25" i="82"/>
  <c r="H58" i="82"/>
  <c r="H138" i="82"/>
  <c r="N72" i="76"/>
  <c r="T72" i="76"/>
  <c r="P72" i="76"/>
  <c r="L72" i="76"/>
  <c r="K72" i="76"/>
  <c r="R72" i="76"/>
  <c r="O72" i="76"/>
  <c r="M72" i="76"/>
  <c r="J72" i="76"/>
  <c r="S72" i="76"/>
  <c r="Q72" i="76"/>
  <c r="M45" i="76"/>
  <c r="N45" i="76"/>
  <c r="R45" i="76"/>
  <c r="K45" i="76"/>
  <c r="S45" i="76"/>
  <c r="L45" i="76"/>
  <c r="O45" i="76"/>
  <c r="J45" i="76"/>
  <c r="T45" i="76"/>
  <c r="P45" i="76"/>
  <c r="Q45" i="76"/>
  <c r="M220" i="76"/>
  <c r="S220" i="76"/>
  <c r="K220" i="76"/>
  <c r="P220" i="76"/>
  <c r="Q220" i="76"/>
  <c r="L220" i="76"/>
  <c r="J220" i="76"/>
  <c r="O220" i="76"/>
  <c r="N220" i="76"/>
  <c r="R220" i="76"/>
  <c r="T220" i="76"/>
  <c r="T226" i="76"/>
  <c r="K226" i="76"/>
  <c r="O226" i="76"/>
  <c r="M226" i="76"/>
  <c r="S226" i="76"/>
  <c r="Q226" i="76"/>
  <c r="L226" i="76"/>
  <c r="R226" i="76"/>
  <c r="J226" i="76"/>
  <c r="N226" i="76"/>
  <c r="P226" i="76"/>
  <c r="H169" i="82"/>
  <c r="Q171" i="76"/>
  <c r="M171" i="76"/>
  <c r="R171" i="76"/>
  <c r="K171" i="76"/>
  <c r="N171" i="76"/>
  <c r="S171" i="76"/>
  <c r="T171" i="76"/>
  <c r="P171" i="76"/>
  <c r="O171" i="76"/>
  <c r="L171" i="76"/>
  <c r="J171" i="76"/>
  <c r="H104" i="82"/>
  <c r="H137" i="82"/>
  <c r="H174" i="82"/>
  <c r="H206" i="82"/>
  <c r="N49" i="76"/>
  <c r="S49" i="76"/>
  <c r="R49" i="76"/>
  <c r="M49" i="76"/>
  <c r="K49" i="76"/>
  <c r="P49" i="76"/>
  <c r="L49" i="76"/>
  <c r="O49" i="76"/>
  <c r="T49" i="76"/>
  <c r="J49" i="76"/>
  <c r="Q49" i="76"/>
  <c r="N170" i="76"/>
  <c r="R170" i="76"/>
  <c r="L170" i="76"/>
  <c r="Q170" i="76"/>
  <c r="M170" i="76"/>
  <c r="K170" i="76"/>
  <c r="S170" i="76"/>
  <c r="T170" i="76"/>
  <c r="P170" i="76"/>
  <c r="O170" i="76"/>
  <c r="J170" i="76"/>
  <c r="T262" i="76"/>
  <c r="M262" i="76"/>
  <c r="O262" i="76"/>
  <c r="R262" i="76"/>
  <c r="N262" i="76"/>
  <c r="J262" i="76"/>
  <c r="P262" i="76"/>
  <c r="K262" i="76"/>
  <c r="S262" i="76"/>
  <c r="Q262" i="76"/>
  <c r="L262" i="76"/>
  <c r="M89" i="76"/>
  <c r="J89" i="76"/>
  <c r="S89" i="76"/>
  <c r="R89" i="76"/>
  <c r="K89" i="76"/>
  <c r="N89" i="76"/>
  <c r="T89" i="76"/>
  <c r="P89" i="76"/>
  <c r="Q89" i="76"/>
  <c r="O89" i="76"/>
  <c r="L89" i="76"/>
  <c r="O141" i="76"/>
  <c r="J141" i="76"/>
  <c r="N141" i="76"/>
  <c r="L141" i="76"/>
  <c r="R141" i="76"/>
  <c r="M141" i="76"/>
  <c r="S141" i="76"/>
  <c r="T141" i="76"/>
  <c r="P141" i="76"/>
  <c r="Q141" i="76"/>
  <c r="K141" i="76"/>
  <c r="K222" i="76"/>
  <c r="T222" i="76"/>
  <c r="M222" i="76"/>
  <c r="O222" i="76"/>
  <c r="S222" i="76"/>
  <c r="L222" i="76"/>
  <c r="P222" i="76"/>
  <c r="R222" i="76"/>
  <c r="N222" i="76"/>
  <c r="Q222" i="76"/>
  <c r="J222" i="76"/>
  <c r="K41" i="76"/>
  <c r="S41" i="76"/>
  <c r="R41" i="76"/>
  <c r="N41" i="76"/>
  <c r="M41" i="76"/>
  <c r="O41" i="76"/>
  <c r="J41" i="76"/>
  <c r="Q41" i="76"/>
  <c r="T41" i="76"/>
  <c r="L41" i="76"/>
  <c r="P41" i="76"/>
  <c r="N112" i="76"/>
  <c r="M112" i="76"/>
  <c r="Q112" i="76"/>
  <c r="O112" i="76"/>
  <c r="P112" i="76"/>
  <c r="S112" i="76"/>
  <c r="R112" i="76"/>
  <c r="J112" i="76"/>
  <c r="T112" i="76"/>
  <c r="K112" i="76"/>
  <c r="L112" i="76"/>
  <c r="T231" i="76"/>
  <c r="O231" i="76"/>
  <c r="M231" i="76"/>
  <c r="R231" i="76"/>
  <c r="N231" i="76"/>
  <c r="J231" i="76"/>
  <c r="Q231" i="76"/>
  <c r="P231" i="76"/>
  <c r="K231" i="76"/>
  <c r="L231" i="76"/>
  <c r="S231" i="76"/>
  <c r="Q314" i="76"/>
  <c r="P314" i="76"/>
  <c r="K314" i="76"/>
  <c r="L314" i="76"/>
  <c r="S314" i="76"/>
  <c r="J314" i="76"/>
  <c r="N314" i="76"/>
  <c r="O314" i="76"/>
  <c r="T314" i="76"/>
  <c r="R314" i="76"/>
  <c r="M314" i="76"/>
  <c r="J135" i="76"/>
  <c r="Q135" i="76"/>
  <c r="O135" i="76"/>
  <c r="K135" i="76"/>
  <c r="M135" i="76"/>
  <c r="R135" i="76"/>
  <c r="N135" i="76"/>
  <c r="S135" i="76"/>
  <c r="T135" i="76"/>
  <c r="P135" i="76"/>
  <c r="L135" i="76"/>
  <c r="Q309" i="76"/>
  <c r="K309" i="76"/>
  <c r="P309" i="76"/>
  <c r="J309" i="76"/>
  <c r="R309" i="76"/>
  <c r="S309" i="76"/>
  <c r="L309" i="76"/>
  <c r="T309" i="76"/>
  <c r="O309" i="76"/>
  <c r="N309" i="76"/>
  <c r="M309" i="76"/>
  <c r="O63" i="76"/>
  <c r="R63" i="76"/>
  <c r="J63" i="76"/>
  <c r="Q63" i="76"/>
  <c r="M63" i="76"/>
  <c r="K63" i="76"/>
  <c r="T63" i="76"/>
  <c r="P63" i="76"/>
  <c r="L63" i="76"/>
  <c r="N63" i="76"/>
  <c r="S63" i="76"/>
  <c r="J129" i="76"/>
  <c r="M129" i="76"/>
  <c r="R129" i="76"/>
  <c r="S129" i="76"/>
  <c r="T129" i="76"/>
  <c r="L129" i="76"/>
  <c r="Q129" i="76"/>
  <c r="K129" i="76"/>
  <c r="N129" i="76"/>
  <c r="O129" i="76"/>
  <c r="P129" i="76"/>
  <c r="T218" i="76"/>
  <c r="K218" i="76"/>
  <c r="M218" i="76"/>
  <c r="S218" i="76"/>
  <c r="O218" i="76"/>
  <c r="L218" i="76"/>
  <c r="P218" i="76"/>
  <c r="R218" i="76"/>
  <c r="N218" i="76"/>
  <c r="Q218" i="76"/>
  <c r="J218" i="76"/>
  <c r="Q334" i="76"/>
  <c r="O334" i="76"/>
  <c r="T334" i="76"/>
  <c r="J334" i="76"/>
  <c r="L334" i="76"/>
  <c r="S334" i="76"/>
  <c r="K334" i="76"/>
  <c r="R334" i="76"/>
  <c r="N334" i="76"/>
  <c r="P334" i="76"/>
  <c r="M334" i="76"/>
  <c r="R359" i="76"/>
  <c r="L359" i="76"/>
  <c r="S359" i="76"/>
  <c r="N359" i="76"/>
  <c r="J359" i="76"/>
  <c r="T359" i="76"/>
  <c r="P359" i="76"/>
  <c r="O359" i="76"/>
  <c r="K359" i="76"/>
  <c r="Q359" i="76"/>
  <c r="M359" i="76"/>
  <c r="Q333" i="76"/>
  <c r="R333" i="76"/>
  <c r="L333" i="76"/>
  <c r="K333" i="76"/>
  <c r="S333" i="76"/>
  <c r="O333" i="76"/>
  <c r="T333" i="76"/>
  <c r="N333" i="76"/>
  <c r="J333" i="76"/>
  <c r="P333" i="76"/>
  <c r="M333" i="76"/>
  <c r="O46" i="76"/>
  <c r="K46" i="76"/>
  <c r="R46" i="76"/>
  <c r="Q46" i="76"/>
  <c r="M46" i="76"/>
  <c r="J46" i="76"/>
  <c r="S46" i="76"/>
  <c r="T46" i="76"/>
  <c r="P46" i="76"/>
  <c r="L46" i="76"/>
  <c r="N46" i="76"/>
  <c r="N110" i="76"/>
  <c r="S110" i="76"/>
  <c r="R110" i="76"/>
  <c r="M110" i="76"/>
  <c r="K110" i="76"/>
  <c r="L110" i="76"/>
  <c r="O110" i="76"/>
  <c r="J110" i="76"/>
  <c r="T110" i="76"/>
  <c r="P110" i="76"/>
  <c r="Q110" i="76"/>
  <c r="M271" i="76"/>
  <c r="Q271" i="76"/>
  <c r="S271" i="76"/>
  <c r="P271" i="76"/>
  <c r="L271" i="76"/>
  <c r="K271" i="76"/>
  <c r="O271" i="76"/>
  <c r="T271" i="76"/>
  <c r="R271" i="76"/>
  <c r="J271" i="76"/>
  <c r="N271" i="76"/>
  <c r="Q339" i="76"/>
  <c r="L339" i="76"/>
  <c r="R339" i="76"/>
  <c r="P339" i="76"/>
  <c r="J339" i="76"/>
  <c r="K339" i="76"/>
  <c r="T339" i="76"/>
  <c r="O339" i="76"/>
  <c r="S339" i="76"/>
  <c r="N339" i="76"/>
  <c r="M339" i="76"/>
  <c r="N120" i="76"/>
  <c r="T120" i="76"/>
  <c r="P120" i="76"/>
  <c r="L120" i="76"/>
  <c r="O120" i="76"/>
  <c r="S120" i="76"/>
  <c r="R120" i="76"/>
  <c r="J120" i="76"/>
  <c r="M120" i="76"/>
  <c r="Q120" i="76"/>
  <c r="K120" i="76"/>
  <c r="P213" i="76"/>
  <c r="Q213" i="76"/>
  <c r="L213" i="76"/>
  <c r="R213" i="76"/>
  <c r="N213" i="76"/>
  <c r="K213" i="76"/>
  <c r="M213" i="76"/>
  <c r="J213" i="76"/>
  <c r="S213" i="76"/>
  <c r="O213" i="76"/>
  <c r="T213" i="76"/>
  <c r="Q276" i="76"/>
  <c r="K276" i="76"/>
  <c r="J276" i="76"/>
  <c r="S276" i="76"/>
  <c r="M276" i="76"/>
  <c r="N276" i="76"/>
  <c r="T276" i="76"/>
  <c r="P276" i="76"/>
  <c r="R276" i="76"/>
  <c r="L276" i="76"/>
  <c r="O276" i="76"/>
  <c r="J366" i="76"/>
  <c r="O366" i="76"/>
  <c r="Q366" i="76"/>
  <c r="P366" i="76"/>
  <c r="K366" i="76"/>
  <c r="S366" i="76"/>
  <c r="N366" i="76"/>
  <c r="T366" i="76"/>
  <c r="R366" i="76"/>
  <c r="L366" i="76"/>
  <c r="M366" i="76"/>
  <c r="O145" i="76"/>
  <c r="K145" i="76"/>
  <c r="S145" i="76"/>
  <c r="T145" i="76"/>
  <c r="J145" i="76"/>
  <c r="R145" i="76"/>
  <c r="N145" i="76"/>
  <c r="P145" i="76"/>
  <c r="L145" i="76"/>
  <c r="M145" i="76"/>
  <c r="Q145" i="76"/>
  <c r="K225" i="76"/>
  <c r="Q225" i="76"/>
  <c r="M225" i="76"/>
  <c r="P225" i="76"/>
  <c r="N225" i="76"/>
  <c r="S225" i="76"/>
  <c r="L225" i="76"/>
  <c r="T225" i="76"/>
  <c r="O225" i="76"/>
  <c r="R225" i="76"/>
  <c r="J225" i="76"/>
  <c r="K296" i="76"/>
  <c r="Q296" i="76"/>
  <c r="M296" i="76"/>
  <c r="P296" i="76"/>
  <c r="N296" i="76"/>
  <c r="S296" i="76"/>
  <c r="O296" i="76"/>
  <c r="L296" i="76"/>
  <c r="R296" i="76"/>
  <c r="T296" i="76"/>
  <c r="J296" i="76"/>
  <c r="Q338" i="76"/>
  <c r="O338" i="76"/>
  <c r="T338" i="76"/>
  <c r="J338" i="76"/>
  <c r="P338" i="76"/>
  <c r="N338" i="76"/>
  <c r="S338" i="76"/>
  <c r="R338" i="76"/>
  <c r="K338" i="76"/>
  <c r="L338" i="76"/>
  <c r="M338" i="76"/>
  <c r="Q329" i="76"/>
  <c r="R329" i="76"/>
  <c r="L329" i="76"/>
  <c r="O329" i="76"/>
  <c r="K329" i="76"/>
  <c r="T329" i="76"/>
  <c r="P329" i="76"/>
  <c r="N329" i="76"/>
  <c r="J329" i="76"/>
  <c r="S329" i="76"/>
  <c r="M329" i="76"/>
  <c r="H301" i="81"/>
  <c r="H303" i="81"/>
  <c r="H73" i="81"/>
  <c r="H241" i="81"/>
  <c r="H274" i="81"/>
  <c r="H309" i="81"/>
  <c r="H341" i="81"/>
  <c r="H246" i="82"/>
  <c r="H84" i="81"/>
  <c r="H119" i="81"/>
  <c r="H201" i="81"/>
  <c r="H321" i="82"/>
  <c r="H355" i="82"/>
  <c r="H127" i="81"/>
  <c r="H277" i="82"/>
  <c r="H56" i="81"/>
  <c r="H30" i="82"/>
  <c r="H63" i="82"/>
  <c r="M58" i="76"/>
  <c r="O58" i="76"/>
  <c r="R58" i="76"/>
  <c r="Q58" i="76"/>
  <c r="K58" i="76"/>
  <c r="J58" i="76"/>
  <c r="L58" i="76"/>
  <c r="N58" i="76"/>
  <c r="S58" i="76"/>
  <c r="T58" i="76"/>
  <c r="P58" i="76"/>
  <c r="J113" i="76"/>
  <c r="M113" i="76"/>
  <c r="S113" i="76"/>
  <c r="R113" i="76"/>
  <c r="T113" i="76"/>
  <c r="L113" i="76"/>
  <c r="Q113" i="76"/>
  <c r="K113" i="76"/>
  <c r="O113" i="76"/>
  <c r="P113" i="76"/>
  <c r="N113" i="76"/>
  <c r="M240" i="76"/>
  <c r="L240" i="76"/>
  <c r="P240" i="76"/>
  <c r="Q240" i="76"/>
  <c r="S240" i="76"/>
  <c r="K240" i="76"/>
  <c r="N240" i="76"/>
  <c r="J240" i="76"/>
  <c r="T240" i="76"/>
  <c r="R240" i="76"/>
  <c r="O240" i="76"/>
  <c r="N31" i="76"/>
  <c r="L31" i="76"/>
  <c r="M31" i="76"/>
  <c r="Q31" i="76"/>
  <c r="K31" i="76"/>
  <c r="O31" i="76"/>
  <c r="S31" i="76"/>
  <c r="P31" i="76"/>
  <c r="J31" i="76"/>
  <c r="T31" i="76"/>
  <c r="R31" i="76"/>
  <c r="T223" i="76"/>
  <c r="M223" i="76"/>
  <c r="O223" i="76"/>
  <c r="R223" i="76"/>
  <c r="N223" i="76"/>
  <c r="J223" i="76"/>
  <c r="Q223" i="76"/>
  <c r="P223" i="76"/>
  <c r="K223" i="76"/>
  <c r="S223" i="76"/>
  <c r="L223" i="76"/>
  <c r="Q201" i="76"/>
  <c r="P201" i="76"/>
  <c r="K201" i="76"/>
  <c r="R201" i="76"/>
  <c r="N201" i="76"/>
  <c r="J201" i="76"/>
  <c r="O201" i="76"/>
  <c r="L201" i="76"/>
  <c r="S201" i="76"/>
  <c r="M201" i="76"/>
  <c r="T201" i="76"/>
  <c r="H51" i="81"/>
  <c r="H234" i="82"/>
  <c r="H28" i="82"/>
  <c r="H61" i="82"/>
  <c r="N82" i="76"/>
  <c r="M82" i="76"/>
  <c r="K82" i="76"/>
  <c r="S82" i="76"/>
  <c r="R82" i="76"/>
  <c r="P82" i="76"/>
  <c r="L82" i="76"/>
  <c r="O82" i="76"/>
  <c r="T82" i="76"/>
  <c r="J82" i="76"/>
  <c r="Q82" i="76"/>
  <c r="S57" i="76"/>
  <c r="K57" i="76"/>
  <c r="R57" i="76"/>
  <c r="N57" i="76"/>
  <c r="M57" i="76"/>
  <c r="T57" i="76"/>
  <c r="P57" i="76"/>
  <c r="J57" i="76"/>
  <c r="L57" i="76"/>
  <c r="O57" i="76"/>
  <c r="Q57" i="76"/>
  <c r="K261" i="76"/>
  <c r="T261" i="76"/>
  <c r="M261" i="76"/>
  <c r="S261" i="76"/>
  <c r="O261" i="76"/>
  <c r="L261" i="76"/>
  <c r="P261" i="76"/>
  <c r="R261" i="76"/>
  <c r="N261" i="76"/>
  <c r="Q261" i="76"/>
  <c r="J261" i="76"/>
  <c r="T250" i="76"/>
  <c r="O250" i="76"/>
  <c r="M250" i="76"/>
  <c r="R250" i="76"/>
  <c r="N250" i="76"/>
  <c r="J250" i="76"/>
  <c r="Q250" i="76"/>
  <c r="S250" i="76"/>
  <c r="P250" i="76"/>
  <c r="K250" i="76"/>
  <c r="L250" i="76"/>
  <c r="H84" i="82"/>
  <c r="K204" i="76"/>
  <c r="Q204" i="76"/>
  <c r="P204" i="76"/>
  <c r="S204" i="76"/>
  <c r="M204" i="76"/>
  <c r="L204" i="76"/>
  <c r="N204" i="76"/>
  <c r="J204" i="76"/>
  <c r="O204" i="76"/>
  <c r="R204" i="76"/>
  <c r="T204" i="76"/>
  <c r="N55" i="76"/>
  <c r="T55" i="76"/>
  <c r="P55" i="76"/>
  <c r="L55" i="76"/>
  <c r="R55" i="76"/>
  <c r="O55" i="76"/>
  <c r="S55" i="76"/>
  <c r="M55" i="76"/>
  <c r="J55" i="76"/>
  <c r="Q55" i="76"/>
  <c r="K55" i="76"/>
  <c r="O173" i="76"/>
  <c r="J173" i="76"/>
  <c r="N173" i="76"/>
  <c r="K173" i="76"/>
  <c r="S173" i="76"/>
  <c r="T173" i="76"/>
  <c r="R173" i="76"/>
  <c r="P173" i="76"/>
  <c r="L173" i="76"/>
  <c r="M173" i="76"/>
  <c r="Q173" i="76"/>
  <c r="M91" i="76"/>
  <c r="Q91" i="76"/>
  <c r="J91" i="76"/>
  <c r="R91" i="76"/>
  <c r="O91" i="76"/>
  <c r="K91" i="76"/>
  <c r="S91" i="76"/>
  <c r="T91" i="76"/>
  <c r="P91" i="76"/>
  <c r="N91" i="76"/>
  <c r="L91" i="76"/>
  <c r="Q155" i="76"/>
  <c r="K155" i="76"/>
  <c r="M155" i="76"/>
  <c r="R155" i="76"/>
  <c r="T155" i="76"/>
  <c r="P155" i="76"/>
  <c r="S155" i="76"/>
  <c r="L155" i="76"/>
  <c r="N155" i="76"/>
  <c r="O155" i="76"/>
  <c r="J155" i="76"/>
  <c r="M228" i="76"/>
  <c r="P228" i="76"/>
  <c r="S228" i="76"/>
  <c r="K228" i="76"/>
  <c r="Q228" i="76"/>
  <c r="L228" i="76"/>
  <c r="R228" i="76"/>
  <c r="N228" i="76"/>
  <c r="O228" i="76"/>
  <c r="T228" i="76"/>
  <c r="J228" i="76"/>
  <c r="H95" i="82"/>
  <c r="H127" i="82"/>
  <c r="H164" i="82"/>
  <c r="H197" i="82"/>
  <c r="N47" i="76"/>
  <c r="L47" i="76"/>
  <c r="M47" i="76"/>
  <c r="Q47" i="76"/>
  <c r="O47" i="76"/>
  <c r="P47" i="76"/>
  <c r="S47" i="76"/>
  <c r="R47" i="76"/>
  <c r="J47" i="76"/>
  <c r="K47" i="76"/>
  <c r="T47" i="76"/>
  <c r="N124" i="76"/>
  <c r="L124" i="76"/>
  <c r="S124" i="76"/>
  <c r="R124" i="76"/>
  <c r="M124" i="76"/>
  <c r="J124" i="76"/>
  <c r="P124" i="76"/>
  <c r="O124" i="76"/>
  <c r="K124" i="76"/>
  <c r="T124" i="76"/>
  <c r="Q124" i="76"/>
  <c r="M275" i="76"/>
  <c r="K275" i="76"/>
  <c r="S275" i="76"/>
  <c r="Q275" i="76"/>
  <c r="P275" i="76"/>
  <c r="L275" i="76"/>
  <c r="N275" i="76"/>
  <c r="J275" i="76"/>
  <c r="O275" i="76"/>
  <c r="R275" i="76"/>
  <c r="T275" i="76"/>
  <c r="J149" i="76"/>
  <c r="N149" i="76"/>
  <c r="O149" i="76"/>
  <c r="S149" i="76"/>
  <c r="T149" i="76"/>
  <c r="P149" i="76"/>
  <c r="M149" i="76"/>
  <c r="L149" i="76"/>
  <c r="R149" i="76"/>
  <c r="Q149" i="76"/>
  <c r="K149" i="76"/>
  <c r="S65" i="76"/>
  <c r="R65" i="76"/>
  <c r="M65" i="76"/>
  <c r="J65" i="76"/>
  <c r="T65" i="76"/>
  <c r="L65" i="76"/>
  <c r="Q65" i="76"/>
  <c r="K65" i="76"/>
  <c r="N65" i="76"/>
  <c r="O65" i="76"/>
  <c r="P65" i="76"/>
  <c r="K140" i="76"/>
  <c r="R140" i="76"/>
  <c r="Q140" i="76"/>
  <c r="J140" i="76"/>
  <c r="O140" i="76"/>
  <c r="M140" i="76"/>
  <c r="S140" i="76"/>
  <c r="T140" i="76"/>
  <c r="P140" i="76"/>
  <c r="N140" i="76"/>
  <c r="L140" i="76"/>
  <c r="T235" i="76"/>
  <c r="M235" i="76"/>
  <c r="O235" i="76"/>
  <c r="R235" i="76"/>
  <c r="N235" i="76"/>
  <c r="J235" i="76"/>
  <c r="Q235" i="76"/>
  <c r="L235" i="76"/>
  <c r="P235" i="76"/>
  <c r="K235" i="76"/>
  <c r="S235" i="76"/>
  <c r="Q336" i="76"/>
  <c r="T336" i="76"/>
  <c r="J336" i="76"/>
  <c r="O336" i="76"/>
  <c r="N336" i="76"/>
  <c r="L336" i="76"/>
  <c r="S336" i="76"/>
  <c r="R336" i="76"/>
  <c r="K336" i="76"/>
  <c r="P336" i="76"/>
  <c r="M336" i="76"/>
  <c r="Q367" i="76"/>
  <c r="K367" i="76"/>
  <c r="P367" i="76"/>
  <c r="S367" i="76"/>
  <c r="M367" i="76"/>
  <c r="J367" i="76"/>
  <c r="O367" i="76"/>
  <c r="L367" i="76"/>
  <c r="N367" i="76"/>
  <c r="R367" i="76"/>
  <c r="T367" i="76"/>
  <c r="Q348" i="76"/>
  <c r="T348" i="76"/>
  <c r="J348" i="76"/>
  <c r="O348" i="76"/>
  <c r="K348" i="76"/>
  <c r="R348" i="76"/>
  <c r="N348" i="76"/>
  <c r="P348" i="76"/>
  <c r="L348" i="76"/>
  <c r="S348" i="76"/>
  <c r="M348" i="76"/>
  <c r="S48" i="76"/>
  <c r="R48" i="76"/>
  <c r="M48" i="76"/>
  <c r="J48" i="76"/>
  <c r="T48" i="76"/>
  <c r="L48" i="76"/>
  <c r="Q48" i="76"/>
  <c r="K48" i="76"/>
  <c r="O48" i="76"/>
  <c r="P48" i="76"/>
  <c r="N48" i="76"/>
  <c r="N116" i="76"/>
  <c r="J116" i="76"/>
  <c r="T116" i="76"/>
  <c r="Q116" i="76"/>
  <c r="R116" i="76"/>
  <c r="K116" i="76"/>
  <c r="P116" i="76"/>
  <c r="L116" i="76"/>
  <c r="M116" i="76"/>
  <c r="S116" i="76"/>
  <c r="O116" i="76"/>
  <c r="T273" i="76"/>
  <c r="K273" i="76"/>
  <c r="M273" i="76"/>
  <c r="S273" i="76"/>
  <c r="O273" i="76"/>
  <c r="N273" i="76"/>
  <c r="J273" i="76"/>
  <c r="L273" i="76"/>
  <c r="P273" i="76"/>
  <c r="R273" i="76"/>
  <c r="Q273" i="76"/>
  <c r="Q341" i="76"/>
  <c r="R341" i="76"/>
  <c r="L341" i="76"/>
  <c r="S341" i="76"/>
  <c r="K341" i="76"/>
  <c r="N341" i="76"/>
  <c r="O341" i="76"/>
  <c r="T341" i="76"/>
  <c r="P341" i="76"/>
  <c r="J341" i="76"/>
  <c r="M341" i="76"/>
  <c r="Q349" i="76"/>
  <c r="R349" i="76"/>
  <c r="L349" i="76"/>
  <c r="K349" i="76"/>
  <c r="S349" i="76"/>
  <c r="J349" i="76"/>
  <c r="T349" i="76"/>
  <c r="O349" i="76"/>
  <c r="N349" i="76"/>
  <c r="P349" i="76"/>
  <c r="M349" i="76"/>
  <c r="O131" i="76"/>
  <c r="K131" i="76"/>
  <c r="Q131" i="76"/>
  <c r="R131" i="76"/>
  <c r="M131" i="76"/>
  <c r="J131" i="76"/>
  <c r="L131" i="76"/>
  <c r="N131" i="76"/>
  <c r="T131" i="76"/>
  <c r="P131" i="76"/>
  <c r="S131" i="76"/>
  <c r="M215" i="76"/>
  <c r="O215" i="76"/>
  <c r="T215" i="76"/>
  <c r="K215" i="76"/>
  <c r="Q215" i="76"/>
  <c r="N215" i="76"/>
  <c r="R215" i="76"/>
  <c r="J215" i="76"/>
  <c r="S215" i="76"/>
  <c r="P215" i="76"/>
  <c r="L215" i="76"/>
  <c r="Q284" i="76"/>
  <c r="K284" i="76"/>
  <c r="R284" i="76"/>
  <c r="S284" i="76"/>
  <c r="P284" i="76"/>
  <c r="O284" i="76"/>
  <c r="L284" i="76"/>
  <c r="T284" i="76"/>
  <c r="N284" i="76"/>
  <c r="J284" i="76"/>
  <c r="M284" i="76"/>
  <c r="O148" i="76"/>
  <c r="M148" i="76"/>
  <c r="K148" i="76"/>
  <c r="J148" i="76"/>
  <c r="R148" i="76"/>
  <c r="Q148" i="76"/>
  <c r="P148" i="76"/>
  <c r="L148" i="76"/>
  <c r="N148" i="76"/>
  <c r="T148" i="76"/>
  <c r="S148" i="76"/>
  <c r="Q233" i="76"/>
  <c r="K233" i="76"/>
  <c r="R233" i="76"/>
  <c r="N233" i="76"/>
  <c r="J233" i="76"/>
  <c r="P233" i="76"/>
  <c r="L233" i="76"/>
  <c r="T233" i="76"/>
  <c r="S233" i="76"/>
  <c r="M233" i="76"/>
  <c r="O233" i="76"/>
  <c r="Q305" i="76"/>
  <c r="P305" i="76"/>
  <c r="K305" i="76"/>
  <c r="O305" i="76"/>
  <c r="S305" i="76"/>
  <c r="J305" i="76"/>
  <c r="T305" i="76"/>
  <c r="R305" i="76"/>
  <c r="N305" i="76"/>
  <c r="L305" i="76"/>
  <c r="M305" i="76"/>
  <c r="Q302" i="76"/>
  <c r="N302" i="76"/>
  <c r="S302" i="76"/>
  <c r="T302" i="76"/>
  <c r="L302" i="76"/>
  <c r="J302" i="76"/>
  <c r="K302" i="76"/>
  <c r="P302" i="76"/>
  <c r="O302" i="76"/>
  <c r="R302" i="76"/>
  <c r="M302" i="76"/>
  <c r="Q353" i="76"/>
  <c r="R353" i="76"/>
  <c r="L353" i="76"/>
  <c r="O353" i="76"/>
  <c r="N353" i="76"/>
  <c r="T353" i="76"/>
  <c r="S353" i="76"/>
  <c r="K353" i="76"/>
  <c r="J353" i="76"/>
  <c r="P353" i="76"/>
  <c r="M353" i="76"/>
  <c r="Q330" i="76"/>
  <c r="O330" i="76"/>
  <c r="T330" i="76"/>
  <c r="J330" i="76"/>
  <c r="P330" i="76"/>
  <c r="R330" i="76"/>
  <c r="K330" i="76"/>
  <c r="N330" i="76"/>
  <c r="L330" i="76"/>
  <c r="S330" i="76"/>
  <c r="M330" i="76"/>
  <c r="O362" i="76"/>
  <c r="T362" i="76"/>
  <c r="R362" i="76"/>
  <c r="M362" i="76"/>
  <c r="N362" i="76"/>
  <c r="Q362" i="76"/>
  <c r="L362" i="76"/>
  <c r="P362" i="76"/>
  <c r="S362" i="76"/>
  <c r="J362" i="76"/>
  <c r="K362" i="76"/>
  <c r="H375" i="81"/>
  <c r="H218" i="81"/>
  <c r="H306" i="81"/>
  <c r="H182" i="81"/>
  <c r="H342" i="81"/>
  <c r="H188" i="81"/>
  <c r="H236" i="81"/>
  <c r="H269" i="81"/>
  <c r="H304" i="81"/>
  <c r="H336" i="81"/>
  <c r="H194" i="81"/>
  <c r="H313" i="82"/>
  <c r="H348" i="82"/>
  <c r="H82" i="81"/>
  <c r="H117" i="81"/>
  <c r="H274" i="82"/>
  <c r="H36" i="82"/>
  <c r="H279" i="82"/>
  <c r="H46" i="81"/>
  <c r="H178" i="81"/>
  <c r="H57" i="82"/>
  <c r="H204" i="81"/>
  <c r="H324" i="82"/>
  <c r="H358" i="82"/>
  <c r="H44" i="81"/>
  <c r="H238" i="82"/>
  <c r="H268" i="82"/>
  <c r="M62" i="76"/>
  <c r="K62" i="76"/>
  <c r="S62" i="76"/>
  <c r="R62" i="76"/>
  <c r="N62" i="76"/>
  <c r="T62" i="76"/>
  <c r="O62" i="76"/>
  <c r="Q62" i="76"/>
  <c r="P62" i="76"/>
  <c r="L62" i="76"/>
  <c r="J62" i="76"/>
  <c r="M119" i="76"/>
  <c r="O119" i="76"/>
  <c r="K119" i="76"/>
  <c r="Q119" i="76"/>
  <c r="R119" i="76"/>
  <c r="J119" i="76"/>
  <c r="P119" i="76"/>
  <c r="L119" i="76"/>
  <c r="N119" i="76"/>
  <c r="S119" i="76"/>
  <c r="T119" i="76"/>
  <c r="R44" i="76"/>
  <c r="M44" i="76"/>
  <c r="S44" i="76"/>
  <c r="J44" i="76"/>
  <c r="T44" i="76"/>
  <c r="P44" i="76"/>
  <c r="L44" i="76"/>
  <c r="Q44" i="76"/>
  <c r="O44" i="76"/>
  <c r="N44" i="76"/>
  <c r="K44" i="76"/>
  <c r="K253" i="76"/>
  <c r="T253" i="76"/>
  <c r="S253" i="76"/>
  <c r="M253" i="76"/>
  <c r="O253" i="76"/>
  <c r="N253" i="76"/>
  <c r="J253" i="76"/>
  <c r="Q253" i="76"/>
  <c r="P253" i="76"/>
  <c r="L253" i="76"/>
  <c r="R253" i="76"/>
  <c r="K230" i="76"/>
  <c r="T230" i="76"/>
  <c r="S230" i="76"/>
  <c r="O230" i="76"/>
  <c r="M230" i="76"/>
  <c r="J230" i="76"/>
  <c r="Q230" i="76"/>
  <c r="P230" i="76"/>
  <c r="N230" i="76"/>
  <c r="R230" i="76"/>
  <c r="L230" i="76"/>
  <c r="H54" i="81"/>
  <c r="R121" i="76"/>
  <c r="J121" i="76"/>
  <c r="S121" i="76"/>
  <c r="M121" i="76"/>
  <c r="K121" i="76"/>
  <c r="N121" i="76"/>
  <c r="T121" i="76"/>
  <c r="P121" i="76"/>
  <c r="Q121" i="76"/>
  <c r="L121" i="76"/>
  <c r="O121" i="76"/>
  <c r="R61" i="76"/>
  <c r="J61" i="76"/>
  <c r="S61" i="76"/>
  <c r="M61" i="76"/>
  <c r="T61" i="76"/>
  <c r="P61" i="76"/>
  <c r="N61" i="76"/>
  <c r="L61" i="76"/>
  <c r="Q61" i="76"/>
  <c r="O61" i="76"/>
  <c r="K61" i="76"/>
  <c r="M267" i="76"/>
  <c r="P267" i="76"/>
  <c r="L267" i="76"/>
  <c r="Q267" i="76"/>
  <c r="S267" i="76"/>
  <c r="K267" i="76"/>
  <c r="R267" i="76"/>
  <c r="N267" i="76"/>
  <c r="O267" i="76"/>
  <c r="T267" i="76"/>
  <c r="J267" i="76"/>
  <c r="K54" i="76"/>
  <c r="R54" i="76"/>
  <c r="J54" i="76"/>
  <c r="M54" i="76"/>
  <c r="Q54" i="76"/>
  <c r="O54" i="76"/>
  <c r="L54" i="76"/>
  <c r="N54" i="76"/>
  <c r="T54" i="76"/>
  <c r="P54" i="76"/>
  <c r="S54" i="76"/>
  <c r="T281" i="76"/>
  <c r="K281" i="76"/>
  <c r="O281" i="76"/>
  <c r="S281" i="76"/>
  <c r="M281" i="76"/>
  <c r="R281" i="76"/>
  <c r="J281" i="76"/>
  <c r="Q281" i="76"/>
  <c r="L281" i="76"/>
  <c r="P281" i="76"/>
  <c r="N281" i="76"/>
  <c r="H131" i="82"/>
  <c r="R28" i="76"/>
  <c r="S28" i="76"/>
  <c r="M28" i="76"/>
  <c r="J28" i="76"/>
  <c r="T28" i="76"/>
  <c r="P28" i="76"/>
  <c r="N28" i="76"/>
  <c r="L28" i="76"/>
  <c r="Q28" i="76"/>
  <c r="O28" i="76"/>
  <c r="K28" i="76"/>
  <c r="T210" i="76"/>
  <c r="K210" i="76"/>
  <c r="O210" i="76"/>
  <c r="S210" i="76"/>
  <c r="M210" i="76"/>
  <c r="L210" i="76"/>
  <c r="P210" i="76"/>
  <c r="R210" i="76"/>
  <c r="N210" i="76"/>
  <c r="Q210" i="76"/>
  <c r="J210" i="76"/>
  <c r="H111" i="82"/>
  <c r="H181" i="82"/>
  <c r="H213" i="82"/>
  <c r="R77" i="76"/>
  <c r="S77" i="76"/>
  <c r="M77" i="76"/>
  <c r="J77" i="76"/>
  <c r="T77" i="76"/>
  <c r="P77" i="76"/>
  <c r="L77" i="76"/>
  <c r="Q77" i="76"/>
  <c r="O77" i="76"/>
  <c r="N77" i="76"/>
  <c r="K77" i="76"/>
  <c r="K183" i="76"/>
  <c r="T183" i="76"/>
  <c r="M183" i="76"/>
  <c r="O183" i="76"/>
  <c r="S183" i="76"/>
  <c r="L183" i="76"/>
  <c r="P183" i="76"/>
  <c r="R183" i="76"/>
  <c r="N183" i="76"/>
  <c r="Q183" i="76"/>
  <c r="J183" i="76"/>
  <c r="T282" i="76"/>
  <c r="O282" i="76"/>
  <c r="M282" i="76"/>
  <c r="R282" i="76"/>
  <c r="N282" i="76"/>
  <c r="P282" i="76"/>
  <c r="S282" i="76"/>
  <c r="K282" i="76"/>
  <c r="Q282" i="76"/>
  <c r="J282" i="76"/>
  <c r="L282" i="76"/>
  <c r="N98" i="76"/>
  <c r="S98" i="76"/>
  <c r="K98" i="76"/>
  <c r="R98" i="76"/>
  <c r="M98" i="76"/>
  <c r="Q98" i="76"/>
  <c r="L98" i="76"/>
  <c r="J98" i="76"/>
  <c r="T98" i="76"/>
  <c r="P98" i="76"/>
  <c r="O98" i="76"/>
  <c r="N178" i="76"/>
  <c r="R178" i="76"/>
  <c r="P178" i="76"/>
  <c r="L178" i="76"/>
  <c r="Q178" i="76"/>
  <c r="J178" i="76"/>
  <c r="T178" i="76"/>
  <c r="K178" i="76"/>
  <c r="O178" i="76"/>
  <c r="S178" i="76"/>
  <c r="M178" i="76"/>
  <c r="T239" i="76"/>
  <c r="M239" i="76"/>
  <c r="O239" i="76"/>
  <c r="R239" i="76"/>
  <c r="N239" i="76"/>
  <c r="J239" i="76"/>
  <c r="Q239" i="76"/>
  <c r="P239" i="76"/>
  <c r="K239" i="76"/>
  <c r="S239" i="76"/>
  <c r="L239" i="76"/>
  <c r="J69" i="76"/>
  <c r="S69" i="76"/>
  <c r="R69" i="76"/>
  <c r="M69" i="76"/>
  <c r="L69" i="76"/>
  <c r="K69" i="76"/>
  <c r="O69" i="76"/>
  <c r="P69" i="76"/>
  <c r="Q69" i="76"/>
  <c r="N69" i="76"/>
  <c r="T69" i="76"/>
  <c r="M134" i="76"/>
  <c r="R134" i="76"/>
  <c r="Q134" i="76"/>
  <c r="K134" i="76"/>
  <c r="T134" i="76"/>
  <c r="P134" i="76"/>
  <c r="L134" i="76"/>
  <c r="J134" i="76"/>
  <c r="O134" i="76"/>
  <c r="N134" i="76"/>
  <c r="S134" i="76"/>
  <c r="M295" i="76"/>
  <c r="L295" i="76"/>
  <c r="Q295" i="76"/>
  <c r="P295" i="76"/>
  <c r="S295" i="76"/>
  <c r="K295" i="76"/>
  <c r="R295" i="76"/>
  <c r="N295" i="76"/>
  <c r="J295" i="76"/>
  <c r="T295" i="76"/>
  <c r="O295" i="76"/>
  <c r="Q83" i="76"/>
  <c r="J83" i="76"/>
  <c r="R83" i="76"/>
  <c r="K83" i="76"/>
  <c r="M83" i="76"/>
  <c r="O83" i="76"/>
  <c r="T83" i="76"/>
  <c r="S83" i="76"/>
  <c r="P83" i="76"/>
  <c r="L83" i="76"/>
  <c r="N83" i="76"/>
  <c r="M166" i="76"/>
  <c r="N166" i="76"/>
  <c r="L166" i="76"/>
  <c r="K166" i="76"/>
  <c r="O166" i="76"/>
  <c r="J166" i="76"/>
  <c r="S166" i="76"/>
  <c r="P166" i="76"/>
  <c r="Q166" i="76"/>
  <c r="R166" i="76"/>
  <c r="T166" i="76"/>
  <c r="R70" i="76"/>
  <c r="K70" i="76"/>
  <c r="N70" i="76"/>
  <c r="M70" i="76"/>
  <c r="S70" i="76"/>
  <c r="J70" i="76"/>
  <c r="Q70" i="76"/>
  <c r="P70" i="76"/>
  <c r="O70" i="76"/>
  <c r="T70" i="76"/>
  <c r="L70" i="76"/>
  <c r="N142" i="76"/>
  <c r="M142" i="76"/>
  <c r="L142" i="76"/>
  <c r="K142" i="76"/>
  <c r="O142" i="76"/>
  <c r="J142" i="76"/>
  <c r="S142" i="76"/>
  <c r="P142" i="76"/>
  <c r="T142" i="76"/>
  <c r="Q142" i="76"/>
  <c r="R142" i="76"/>
  <c r="M255" i="76"/>
  <c r="Q255" i="76"/>
  <c r="S255" i="76"/>
  <c r="K255" i="76"/>
  <c r="P255" i="76"/>
  <c r="L255" i="76"/>
  <c r="J255" i="76"/>
  <c r="O255" i="76"/>
  <c r="T255" i="76"/>
  <c r="R255" i="76"/>
  <c r="N255" i="76"/>
  <c r="Q355" i="76"/>
  <c r="L355" i="76"/>
  <c r="R355" i="76"/>
  <c r="P355" i="76"/>
  <c r="J355" i="76"/>
  <c r="O355" i="76"/>
  <c r="T355" i="76"/>
  <c r="S355" i="76"/>
  <c r="K355" i="76"/>
  <c r="N355" i="76"/>
  <c r="M355" i="76"/>
  <c r="S372" i="76"/>
  <c r="Q372" i="76"/>
  <c r="L372" i="76"/>
  <c r="K372" i="76"/>
  <c r="R372" i="76"/>
  <c r="P372" i="76"/>
  <c r="M372" i="76"/>
  <c r="J372" i="76"/>
  <c r="T372" i="76"/>
  <c r="O372" i="76"/>
  <c r="N372" i="76"/>
  <c r="Q350" i="76"/>
  <c r="O350" i="76"/>
  <c r="T350" i="76"/>
  <c r="J350" i="76"/>
  <c r="L350" i="76"/>
  <c r="S350" i="76"/>
  <c r="P350" i="76"/>
  <c r="N350" i="76"/>
  <c r="K350" i="76"/>
  <c r="R350" i="76"/>
  <c r="M350" i="76"/>
  <c r="R53" i="76"/>
  <c r="M53" i="76"/>
  <c r="S53" i="76"/>
  <c r="N53" i="76"/>
  <c r="K53" i="76"/>
  <c r="T53" i="76"/>
  <c r="P53" i="76"/>
  <c r="L53" i="76"/>
  <c r="Q53" i="76"/>
  <c r="O53" i="76"/>
  <c r="J53" i="76"/>
  <c r="J132" i="76"/>
  <c r="O132" i="76"/>
  <c r="N132" i="76"/>
  <c r="Q132" i="76"/>
  <c r="K132" i="76"/>
  <c r="S132" i="76"/>
  <c r="L132" i="76"/>
  <c r="M132" i="76"/>
  <c r="T132" i="76"/>
  <c r="P132" i="76"/>
  <c r="R132" i="76"/>
  <c r="O206" i="76"/>
  <c r="T206" i="76"/>
  <c r="K206" i="76"/>
  <c r="M206" i="76"/>
  <c r="S206" i="76"/>
  <c r="L206" i="76"/>
  <c r="P206" i="76"/>
  <c r="R206" i="76"/>
  <c r="N206" i="76"/>
  <c r="Q206" i="76"/>
  <c r="J206" i="76"/>
  <c r="T290" i="76"/>
  <c r="M290" i="76"/>
  <c r="O290" i="76"/>
  <c r="R290" i="76"/>
  <c r="N290" i="76"/>
  <c r="L290" i="76"/>
  <c r="J290" i="76"/>
  <c r="P290" i="76"/>
  <c r="K290" i="76"/>
  <c r="Q290" i="76"/>
  <c r="S290" i="76"/>
  <c r="Q343" i="76"/>
  <c r="L343" i="76"/>
  <c r="R343" i="76"/>
  <c r="T343" i="76"/>
  <c r="N343" i="76"/>
  <c r="O343" i="76"/>
  <c r="K343" i="76"/>
  <c r="S343" i="76"/>
  <c r="P343" i="76"/>
  <c r="J343" i="76"/>
  <c r="M343" i="76"/>
  <c r="Q351" i="76"/>
  <c r="L351" i="76"/>
  <c r="R351" i="76"/>
  <c r="N351" i="76"/>
  <c r="T351" i="76"/>
  <c r="K351" i="76"/>
  <c r="S351" i="76"/>
  <c r="O351" i="76"/>
  <c r="J351" i="76"/>
  <c r="P351" i="76"/>
  <c r="M351" i="76"/>
  <c r="R143" i="76"/>
  <c r="M143" i="76"/>
  <c r="K143" i="76"/>
  <c r="Q143" i="76"/>
  <c r="T143" i="76"/>
  <c r="N143" i="76"/>
  <c r="P143" i="76"/>
  <c r="J143" i="76"/>
  <c r="L143" i="76"/>
  <c r="S143" i="76"/>
  <c r="O143" i="76"/>
  <c r="K221" i="76"/>
  <c r="P221" i="76"/>
  <c r="J221" i="76"/>
  <c r="M221" i="76"/>
  <c r="O221" i="76"/>
  <c r="T221" i="76"/>
  <c r="L221" i="76"/>
  <c r="N221" i="76"/>
  <c r="S221" i="76"/>
  <c r="Q221" i="76"/>
  <c r="R221" i="76"/>
  <c r="Q292" i="76"/>
  <c r="K292" i="76"/>
  <c r="J292" i="76"/>
  <c r="S292" i="76"/>
  <c r="M292" i="76"/>
  <c r="T292" i="76"/>
  <c r="R292" i="76"/>
  <c r="O292" i="76"/>
  <c r="N292" i="76"/>
  <c r="P292" i="76"/>
  <c r="L292" i="76"/>
  <c r="R159" i="76"/>
  <c r="Q159" i="76"/>
  <c r="M159" i="76"/>
  <c r="K159" i="76"/>
  <c r="L159" i="76"/>
  <c r="N159" i="76"/>
  <c r="S159" i="76"/>
  <c r="T159" i="76"/>
  <c r="P159" i="76"/>
  <c r="J159" i="76"/>
  <c r="O159" i="76"/>
  <c r="K241" i="76"/>
  <c r="Q241" i="76"/>
  <c r="M241" i="76"/>
  <c r="P241" i="76"/>
  <c r="N241" i="76"/>
  <c r="O241" i="76"/>
  <c r="R241" i="76"/>
  <c r="J241" i="76"/>
  <c r="L241" i="76"/>
  <c r="S241" i="76"/>
  <c r="T241" i="76"/>
  <c r="Q326" i="76"/>
  <c r="P326" i="76"/>
  <c r="K326" i="76"/>
  <c r="O326" i="76"/>
  <c r="T326" i="76"/>
  <c r="R326" i="76"/>
  <c r="N326" i="76"/>
  <c r="L326" i="76"/>
  <c r="S326" i="76"/>
  <c r="J326" i="76"/>
  <c r="M326" i="76"/>
  <c r="Q306" i="76"/>
  <c r="N306" i="76"/>
  <c r="S306" i="76"/>
  <c r="J306" i="76"/>
  <c r="P306" i="76"/>
  <c r="L306" i="76"/>
  <c r="O306" i="76"/>
  <c r="T306" i="76"/>
  <c r="R306" i="76"/>
  <c r="K306" i="76"/>
  <c r="M306" i="76"/>
  <c r="Q354" i="76"/>
  <c r="O354" i="76"/>
  <c r="T354" i="76"/>
  <c r="J354" i="76"/>
  <c r="P354" i="76"/>
  <c r="S354" i="76"/>
  <c r="K354" i="76"/>
  <c r="R354" i="76"/>
  <c r="L354" i="76"/>
  <c r="N354" i="76"/>
  <c r="M354" i="76"/>
  <c r="N301" i="76"/>
  <c r="K301" i="76"/>
  <c r="P301" i="76"/>
  <c r="T301" i="76"/>
  <c r="O301" i="76"/>
  <c r="S301" i="76"/>
  <c r="L301" i="76"/>
  <c r="R301" i="76"/>
  <c r="M301" i="76"/>
  <c r="Q301" i="76"/>
  <c r="J301" i="76"/>
  <c r="Q345" i="76"/>
  <c r="R345" i="76"/>
  <c r="L345" i="76"/>
  <c r="O345" i="76"/>
  <c r="P345" i="76"/>
  <c r="K345" i="76"/>
  <c r="S345" i="76"/>
  <c r="N345" i="76"/>
  <c r="T345" i="76"/>
  <c r="J345" i="76"/>
  <c r="M345" i="76"/>
  <c r="S364" i="76"/>
  <c r="Q364" i="76"/>
  <c r="L364" i="76"/>
  <c r="K364" i="76"/>
  <c r="N364" i="76"/>
  <c r="P364" i="76"/>
  <c r="J364" i="76"/>
  <c r="T364" i="76"/>
  <c r="M364" i="76"/>
  <c r="R364" i="76"/>
  <c r="O364" i="76"/>
  <c r="H227" i="81"/>
  <c r="H197" i="81"/>
  <c r="H225" i="81"/>
  <c r="H313" i="81"/>
  <c r="H370" i="81"/>
  <c r="H239" i="81"/>
  <c r="H272" i="81"/>
  <c r="H307" i="81"/>
  <c r="H339" i="81"/>
  <c r="H50" i="81"/>
  <c r="H221" i="81"/>
  <c r="H253" i="81"/>
  <c r="H285" i="81"/>
  <c r="H320" i="81"/>
  <c r="H352" i="81"/>
  <c r="H150" i="81"/>
  <c r="H207" i="81"/>
  <c r="H327" i="82"/>
  <c r="H364" i="82"/>
  <c r="H276" i="82"/>
  <c r="H43" i="81"/>
  <c r="H43" i="82"/>
  <c r="H136" i="81"/>
  <c r="H131" i="81"/>
  <c r="H271" i="82"/>
  <c r="H34" i="81"/>
  <c r="H67" i="81"/>
  <c r="H251" i="82"/>
  <c r="H41" i="82"/>
  <c r="H74" i="82"/>
  <c r="K74" i="76"/>
  <c r="S74" i="76"/>
  <c r="N74" i="76"/>
  <c r="R74" i="76"/>
  <c r="M74" i="76"/>
  <c r="O74" i="76"/>
  <c r="J74" i="76"/>
  <c r="Q74" i="76"/>
  <c r="T74" i="76"/>
  <c r="P74" i="76"/>
  <c r="L74" i="76"/>
  <c r="H203" i="82"/>
  <c r="J165" i="76"/>
  <c r="O165" i="76"/>
  <c r="N165" i="76"/>
  <c r="P165" i="76"/>
  <c r="L165" i="76"/>
  <c r="R165" i="76"/>
  <c r="K165" i="76"/>
  <c r="T165" i="76"/>
  <c r="M165" i="76"/>
  <c r="Q165" i="76"/>
  <c r="S165" i="76"/>
  <c r="M56" i="76"/>
  <c r="S56" i="76"/>
  <c r="R56" i="76"/>
  <c r="J56" i="76"/>
  <c r="K56" i="76"/>
  <c r="N56" i="76"/>
  <c r="T56" i="76"/>
  <c r="P56" i="76"/>
  <c r="Q56" i="76"/>
  <c r="L56" i="76"/>
  <c r="O56" i="76"/>
  <c r="T270" i="76"/>
  <c r="M270" i="76"/>
  <c r="O270" i="76"/>
  <c r="R270" i="76"/>
  <c r="N270" i="76"/>
  <c r="Q270" i="76"/>
  <c r="L270" i="76"/>
  <c r="J270" i="76"/>
  <c r="S270" i="76"/>
  <c r="P270" i="76"/>
  <c r="K270" i="76"/>
  <c r="H171" i="82"/>
  <c r="T254" i="76"/>
  <c r="O254" i="76"/>
  <c r="M254" i="76"/>
  <c r="R254" i="76"/>
  <c r="N254" i="76"/>
  <c r="J254" i="76"/>
  <c r="Q254" i="76"/>
  <c r="L254" i="76"/>
  <c r="S254" i="76"/>
  <c r="K254" i="76"/>
  <c r="P254" i="76"/>
  <c r="H266" i="82"/>
  <c r="N154" i="76"/>
  <c r="R154" i="76"/>
  <c r="K154" i="76"/>
  <c r="O154" i="76"/>
  <c r="J154" i="76"/>
  <c r="P154" i="76"/>
  <c r="T154" i="76"/>
  <c r="L154" i="76"/>
  <c r="Q154" i="76"/>
  <c r="S154" i="76"/>
  <c r="M154" i="76"/>
  <c r="H210" i="82"/>
  <c r="M73" i="76"/>
  <c r="R73" i="76"/>
  <c r="S73" i="76"/>
  <c r="J73" i="76"/>
  <c r="K73" i="76"/>
  <c r="T73" i="76"/>
  <c r="P73" i="76"/>
  <c r="Q73" i="76"/>
  <c r="L73" i="76"/>
  <c r="O73" i="76"/>
  <c r="N73" i="76"/>
  <c r="J67" i="76"/>
  <c r="Q67" i="76"/>
  <c r="M67" i="76"/>
  <c r="K67" i="76"/>
  <c r="R67" i="76"/>
  <c r="O67" i="76"/>
  <c r="N67" i="76"/>
  <c r="S67" i="76"/>
  <c r="L67" i="76"/>
  <c r="P67" i="76"/>
  <c r="T67" i="76"/>
  <c r="H59" i="82"/>
  <c r="H92" i="82"/>
  <c r="N39" i="76"/>
  <c r="T39" i="76"/>
  <c r="P39" i="76"/>
  <c r="L39" i="76"/>
  <c r="K39" i="76"/>
  <c r="R39" i="76"/>
  <c r="O39" i="76"/>
  <c r="J39" i="76"/>
  <c r="Q39" i="76"/>
  <c r="M39" i="76"/>
  <c r="S39" i="76"/>
  <c r="T227" i="76"/>
  <c r="O227" i="76"/>
  <c r="M227" i="76"/>
  <c r="R227" i="76"/>
  <c r="N227" i="76"/>
  <c r="J227" i="76"/>
  <c r="Q227" i="76"/>
  <c r="L227" i="76"/>
  <c r="S227" i="76"/>
  <c r="P227" i="76"/>
  <c r="K227" i="76"/>
  <c r="H217" i="82"/>
  <c r="J99" i="76"/>
  <c r="Q99" i="76"/>
  <c r="R99" i="76"/>
  <c r="O99" i="76"/>
  <c r="M99" i="76"/>
  <c r="K99" i="76"/>
  <c r="L99" i="76"/>
  <c r="N99" i="76"/>
  <c r="S99" i="76"/>
  <c r="T99" i="76"/>
  <c r="P99" i="76"/>
  <c r="M189" i="76"/>
  <c r="P189" i="76"/>
  <c r="S189" i="76"/>
  <c r="Q189" i="76"/>
  <c r="K189" i="76"/>
  <c r="L189" i="76"/>
  <c r="R189" i="76"/>
  <c r="N189" i="76"/>
  <c r="J189" i="76"/>
  <c r="T189" i="76"/>
  <c r="O189" i="76"/>
  <c r="K285" i="76"/>
  <c r="T285" i="76"/>
  <c r="S285" i="76"/>
  <c r="O285" i="76"/>
  <c r="M285" i="76"/>
  <c r="N285" i="76"/>
  <c r="J285" i="76"/>
  <c r="Q285" i="76"/>
  <c r="P285" i="76"/>
  <c r="R285" i="76"/>
  <c r="L285" i="76"/>
  <c r="N104" i="76"/>
  <c r="T104" i="76"/>
  <c r="P104" i="76"/>
  <c r="L104" i="76"/>
  <c r="K104" i="76"/>
  <c r="O104" i="76"/>
  <c r="R104" i="76"/>
  <c r="J104" i="76"/>
  <c r="M104" i="76"/>
  <c r="Q104" i="76"/>
  <c r="S104" i="76"/>
  <c r="T184" i="76"/>
  <c r="M184" i="76"/>
  <c r="O184" i="76"/>
  <c r="R184" i="76"/>
  <c r="P184" i="76"/>
  <c r="Q184" i="76"/>
  <c r="S184" i="76"/>
  <c r="N184" i="76"/>
  <c r="J184" i="76"/>
  <c r="K184" i="76"/>
  <c r="L184" i="76"/>
  <c r="T249" i="76"/>
  <c r="K249" i="76"/>
  <c r="O249" i="76"/>
  <c r="M249" i="76"/>
  <c r="S249" i="76"/>
  <c r="R249" i="76"/>
  <c r="J249" i="76"/>
  <c r="Q249" i="76"/>
  <c r="L249" i="76"/>
  <c r="N249" i="76"/>
  <c r="P249" i="76"/>
  <c r="H106" i="82"/>
  <c r="H139" i="82"/>
  <c r="H176" i="82"/>
  <c r="H208" i="82"/>
  <c r="R71" i="76"/>
  <c r="K71" i="76"/>
  <c r="Q71" i="76"/>
  <c r="O71" i="76"/>
  <c r="M71" i="76"/>
  <c r="J71" i="76"/>
  <c r="T71" i="76"/>
  <c r="P71" i="76"/>
  <c r="L71" i="76"/>
  <c r="N71" i="76"/>
  <c r="S71" i="76"/>
  <c r="N137" i="76"/>
  <c r="R137" i="76"/>
  <c r="J137" i="76"/>
  <c r="S137" i="76"/>
  <c r="T137" i="76"/>
  <c r="Q137" i="76"/>
  <c r="M137" i="76"/>
  <c r="P137" i="76"/>
  <c r="L137" i="76"/>
  <c r="K137" i="76"/>
  <c r="O137" i="76"/>
  <c r="Q344" i="76"/>
  <c r="T344" i="76"/>
  <c r="J344" i="76"/>
  <c r="O344" i="76"/>
  <c r="N344" i="76"/>
  <c r="S344" i="76"/>
  <c r="K344" i="76"/>
  <c r="R344" i="76"/>
  <c r="P344" i="76"/>
  <c r="L344" i="76"/>
  <c r="M344" i="76"/>
  <c r="S90" i="76"/>
  <c r="K90" i="76"/>
  <c r="M90" i="76"/>
  <c r="R90" i="76"/>
  <c r="N90" i="76"/>
  <c r="T90" i="76"/>
  <c r="P90" i="76"/>
  <c r="J90" i="76"/>
  <c r="L90" i="76"/>
  <c r="O90" i="76"/>
  <c r="Q90" i="76"/>
  <c r="M203" i="76"/>
  <c r="T203" i="76"/>
  <c r="O203" i="76"/>
  <c r="R203" i="76"/>
  <c r="P203" i="76"/>
  <c r="N203" i="76"/>
  <c r="J203" i="76"/>
  <c r="K203" i="76"/>
  <c r="S203" i="76"/>
  <c r="Q203" i="76"/>
  <c r="L203" i="76"/>
  <c r="H224" i="82"/>
  <c r="N76" i="76"/>
  <c r="T76" i="76"/>
  <c r="L76" i="76"/>
  <c r="R76" i="76"/>
  <c r="M76" i="76"/>
  <c r="O76" i="76"/>
  <c r="J76" i="76"/>
  <c r="P76" i="76"/>
  <c r="Q76" i="76"/>
  <c r="K76" i="76"/>
  <c r="S76" i="76"/>
  <c r="Q152" i="76"/>
  <c r="J152" i="76"/>
  <c r="R152" i="76"/>
  <c r="M152" i="76"/>
  <c r="O152" i="76"/>
  <c r="K152" i="76"/>
  <c r="T152" i="76"/>
  <c r="L152" i="76"/>
  <c r="N152" i="76"/>
  <c r="S152" i="76"/>
  <c r="P152" i="76"/>
  <c r="T257" i="76"/>
  <c r="K257" i="76"/>
  <c r="S257" i="76"/>
  <c r="O257" i="76"/>
  <c r="M257" i="76"/>
  <c r="P257" i="76"/>
  <c r="R257" i="76"/>
  <c r="N257" i="76"/>
  <c r="J257" i="76"/>
  <c r="L257" i="76"/>
  <c r="Q257" i="76"/>
  <c r="N60" i="76"/>
  <c r="T60" i="76"/>
  <c r="L60" i="76"/>
  <c r="S60" i="76"/>
  <c r="R60" i="76"/>
  <c r="M60" i="76"/>
  <c r="O60" i="76"/>
  <c r="J60" i="76"/>
  <c r="P60" i="76"/>
  <c r="K60" i="76"/>
  <c r="Q60" i="76"/>
  <c r="Q138" i="76"/>
  <c r="R138" i="76"/>
  <c r="M138" i="76"/>
  <c r="K138" i="76"/>
  <c r="N138" i="76"/>
  <c r="S138" i="76"/>
  <c r="T138" i="76"/>
  <c r="L138" i="76"/>
  <c r="J138" i="76"/>
  <c r="O138" i="76"/>
  <c r="P138" i="76"/>
  <c r="Q208" i="76"/>
  <c r="K208" i="76"/>
  <c r="S208" i="76"/>
  <c r="P208" i="76"/>
  <c r="M208" i="76"/>
  <c r="L208" i="76"/>
  <c r="N208" i="76"/>
  <c r="J208" i="76"/>
  <c r="T208" i="76"/>
  <c r="R208" i="76"/>
  <c r="O208" i="76"/>
  <c r="Q303" i="76"/>
  <c r="K303" i="76"/>
  <c r="P303" i="76"/>
  <c r="T303" i="76"/>
  <c r="N303" i="76"/>
  <c r="O303" i="76"/>
  <c r="R303" i="76"/>
  <c r="S303" i="76"/>
  <c r="L303" i="76"/>
  <c r="J303" i="76"/>
  <c r="M303" i="76"/>
  <c r="Q356" i="76"/>
  <c r="T356" i="76"/>
  <c r="J356" i="76"/>
  <c r="O356" i="76"/>
  <c r="R356" i="76"/>
  <c r="K356" i="76"/>
  <c r="L356" i="76"/>
  <c r="P356" i="76"/>
  <c r="S356" i="76"/>
  <c r="N356" i="76"/>
  <c r="M356" i="76"/>
  <c r="O161" i="76"/>
  <c r="K161" i="76"/>
  <c r="S161" i="76"/>
  <c r="T161" i="76"/>
  <c r="R161" i="76"/>
  <c r="N161" i="76"/>
  <c r="P161" i="76"/>
  <c r="L161" i="76"/>
  <c r="M161" i="76"/>
  <c r="Q161" i="76"/>
  <c r="J161" i="76"/>
  <c r="Q229" i="76"/>
  <c r="K229" i="76"/>
  <c r="R229" i="76"/>
  <c r="S229" i="76"/>
  <c r="T229" i="76"/>
  <c r="N229" i="76"/>
  <c r="J229" i="76"/>
  <c r="M229" i="76"/>
  <c r="P229" i="76"/>
  <c r="O229" i="76"/>
  <c r="L229" i="76"/>
  <c r="Q300" i="76"/>
  <c r="K300" i="76"/>
  <c r="R300" i="76"/>
  <c r="S300" i="76"/>
  <c r="N300" i="76"/>
  <c r="J300" i="76"/>
  <c r="M300" i="76"/>
  <c r="L300" i="76"/>
  <c r="P300" i="76"/>
  <c r="T300" i="76"/>
  <c r="O300" i="76"/>
  <c r="O177" i="76"/>
  <c r="K177" i="76"/>
  <c r="S177" i="76"/>
  <c r="T177" i="76"/>
  <c r="R177" i="76"/>
  <c r="P177" i="76"/>
  <c r="L177" i="76"/>
  <c r="M177" i="76"/>
  <c r="Q177" i="76"/>
  <c r="N177" i="76"/>
  <c r="J177" i="76"/>
  <c r="K256" i="76"/>
  <c r="Q256" i="76"/>
  <c r="R256" i="76"/>
  <c r="N256" i="76"/>
  <c r="J256" i="76"/>
  <c r="P256" i="76"/>
  <c r="S256" i="76"/>
  <c r="M256" i="76"/>
  <c r="L256" i="76"/>
  <c r="T256" i="76"/>
  <c r="O256" i="76"/>
  <c r="Q332" i="76"/>
  <c r="T332" i="76"/>
  <c r="J332" i="76"/>
  <c r="O332" i="76"/>
  <c r="K332" i="76"/>
  <c r="R332" i="76"/>
  <c r="S332" i="76"/>
  <c r="N332" i="76"/>
  <c r="L332" i="76"/>
  <c r="P332" i="76"/>
  <c r="M332" i="76"/>
  <c r="Q315" i="76"/>
  <c r="N315" i="76"/>
  <c r="S315" i="76"/>
  <c r="L315" i="76"/>
  <c r="T315" i="76"/>
  <c r="P315" i="76"/>
  <c r="J315" i="76"/>
  <c r="R315" i="76"/>
  <c r="O315" i="76"/>
  <c r="K315" i="76"/>
  <c r="M315" i="76"/>
  <c r="Q369" i="76"/>
  <c r="K369" i="76"/>
  <c r="S369" i="76"/>
  <c r="P369" i="76"/>
  <c r="L369" i="76"/>
  <c r="M369" i="76"/>
  <c r="N369" i="76"/>
  <c r="O369" i="76"/>
  <c r="J369" i="76"/>
  <c r="T369" i="76"/>
  <c r="R369" i="76"/>
  <c r="Q304" i="76"/>
  <c r="S304" i="76"/>
  <c r="N304" i="76"/>
  <c r="O304" i="76"/>
  <c r="T304" i="76"/>
  <c r="L304" i="76"/>
  <c r="R304" i="76"/>
  <c r="P304" i="76"/>
  <c r="J304" i="76"/>
  <c r="K304" i="76"/>
  <c r="M304" i="76"/>
  <c r="Q346" i="76"/>
  <c r="O346" i="76"/>
  <c r="T346" i="76"/>
  <c r="J346" i="76"/>
  <c r="P346" i="76"/>
  <c r="L346" i="76"/>
  <c r="R346" i="76"/>
  <c r="N346" i="76"/>
  <c r="K346" i="76"/>
  <c r="S346" i="76"/>
  <c r="M346" i="76"/>
  <c r="S368" i="76"/>
  <c r="L368" i="76"/>
  <c r="Q368" i="76"/>
  <c r="K368" i="76"/>
  <c r="T368" i="76"/>
  <c r="P368" i="76"/>
  <c r="M368" i="76"/>
  <c r="R368" i="76"/>
  <c r="N368" i="76"/>
  <c r="O368" i="76"/>
  <c r="J368" i="76"/>
  <c r="P24" i="76"/>
  <c r="N24" i="76"/>
  <c r="I20" i="76"/>
  <c r="J20" i="76" s="1"/>
  <c r="B8" i="85" s="1"/>
  <c r="H296" i="82"/>
  <c r="F14" i="83"/>
  <c r="G14" i="83" s="1"/>
  <c r="B14" i="85" s="1"/>
  <c r="T24" i="76"/>
  <c r="M24" i="76"/>
  <c r="R24" i="76"/>
  <c r="L24" i="76"/>
  <c r="J24" i="76"/>
  <c r="Q24" i="76"/>
  <c r="K24" i="76"/>
  <c r="O24" i="76"/>
  <c r="H24" i="82"/>
  <c r="H225" i="82"/>
  <c r="H164" i="81"/>
  <c r="H25" i="81"/>
  <c r="H355" i="81"/>
  <c r="H212" i="81"/>
  <c r="H264" i="82"/>
  <c r="F14" i="77"/>
  <c r="G14" i="77" s="1"/>
  <c r="B9" i="85" s="1"/>
  <c r="H76" i="81"/>
  <c r="G19" i="84"/>
  <c r="F14" i="84"/>
  <c r="G14" i="84" s="1"/>
  <c r="B12" i="85" s="1"/>
  <c r="H378" i="82"/>
  <c r="F14" i="79"/>
  <c r="G14" i="79" s="1"/>
  <c r="B11" i="85" s="1"/>
  <c r="M8" i="4"/>
  <c r="K8" i="4"/>
  <c r="F14" i="81" l="1"/>
  <c r="G14" i="81" s="1"/>
  <c r="B10" i="85" s="1"/>
  <c r="F14" i="82"/>
  <c r="G14" i="82" s="1"/>
  <c r="B13" i="85" s="1"/>
  <c r="L8" i="4"/>
  <c r="B5" i="85" l="1"/>
  <c r="H111" i="67"/>
  <c r="G111" i="67"/>
  <c r="I111" i="67" l="1"/>
  <c r="F2" i="67" s="1"/>
  <c r="B4" i="4" l="1"/>
  <c r="I17" i="76" s="1"/>
  <c r="B10" i="4" l="1"/>
  <c r="L9" i="4" l="1"/>
  <c r="M7" i="4"/>
  <c r="I15" i="76" s="1"/>
  <c r="K7" i="4"/>
  <c r="L7" i="4" l="1"/>
  <c r="L10" i="4" s="1" a="1"/>
  <c r="L10" i="4" s="1"/>
  <c r="B3"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Hans den Uijl</author>
  </authors>
  <commentList>
    <comment ref="B3" authorId="0" shapeId="0" xr:uid="{00000000-0006-0000-0400-000001000000}">
      <text>
        <r>
          <rPr>
            <b/>
            <sz val="9"/>
            <color indexed="81"/>
            <rFont val="Tahoma"/>
            <family val="2"/>
          </rPr>
          <t>Cel met mogelijke foutmelding</t>
        </r>
        <r>
          <rPr>
            <sz val="9"/>
            <color indexed="81"/>
            <rFont val="Tahoma"/>
            <family val="2"/>
          </rPr>
          <t xml:space="preserve">
</t>
        </r>
      </text>
    </comment>
    <comment ref="B4" authorId="0" shapeId="0" xr:uid="{00000000-0006-0000-0400-000002000000}">
      <text>
        <r>
          <rPr>
            <b/>
            <sz val="9"/>
            <color indexed="81"/>
            <rFont val="Tahoma"/>
            <family val="2"/>
          </rPr>
          <t>Cel met mogelijke foutmelding</t>
        </r>
        <r>
          <rPr>
            <sz val="9"/>
            <color indexed="81"/>
            <rFont val="Tahoma"/>
            <family val="2"/>
          </rPr>
          <t xml:space="preserve">
</t>
        </r>
      </text>
    </comment>
    <comment ref="L10" authorId="0" shapeId="0" xr:uid="{00000000-0006-0000-0400-000005000000}">
      <text>
        <r>
          <rPr>
            <b/>
            <sz val="9"/>
            <color indexed="81"/>
            <rFont val="Tahoma"/>
            <family val="2"/>
          </rPr>
          <t>Matrixformule</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Niekerk C.A. van (Connie)</author>
  </authors>
  <commentList>
    <comment ref="B4" authorId="0" shapeId="0" xr:uid="{C08B3084-7A79-4C78-AD42-73896A88C7BE}">
      <text>
        <r>
          <rPr>
            <sz val="9"/>
            <color indexed="81"/>
            <rFont val="Tahoma"/>
            <family val="2"/>
          </rPr>
          <t>Voor de reviewer:
OK kiezen als de controles akkoord zijn. Anders blanco laten.
Dit resultaat wordt opgeslagen in de database in de variabele MPControle Recap.
Vergeet niet de knop "Update attributen" in te drukken.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Hans den Uijl</author>
    <author>dba003</author>
  </authors>
  <commentList>
    <comment ref="A5" authorId="0" shapeId="0" xr:uid="{94DD8050-B3BF-4B34-A26F-C060C3BEF2B8}">
      <text>
        <r>
          <rPr>
            <b/>
            <sz val="9"/>
            <color indexed="81"/>
            <rFont val="Tahoma"/>
            <family val="2"/>
          </rPr>
          <t>Startcel plakgebied macro (Start1)</t>
        </r>
      </text>
    </comment>
    <comment ref="T9" authorId="1" shapeId="0" xr:uid="{12E11C5B-6F00-49E2-85FC-46ECEB17E5CF}">
      <text>
        <r>
          <rPr>
            <sz val="9"/>
            <color indexed="81"/>
            <rFont val="Tahoma"/>
            <family val="2"/>
          </rPr>
          <t xml:space="preserve">=IRVM voor alle spaarhypotheek MP's
=ALM voor </t>
        </r>
        <r>
          <rPr>
            <sz val="9"/>
            <color indexed="81"/>
            <rFont val="Tahoma"/>
            <family val="2"/>
          </rPr>
          <t>alle</t>
        </r>
        <r>
          <rPr>
            <sz val="9"/>
            <color indexed="81"/>
            <rFont val="Tahoma"/>
            <family val="2"/>
          </rPr>
          <t xml:space="preserve"> overige MP's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Hans den Uijl</author>
    <author>Uijl J. den (Hans)</author>
    <author>FHE006</author>
    <author>dba003</author>
  </authors>
  <commentList>
    <comment ref="A5" authorId="0" shapeId="0" xr:uid="{5FCB0651-25F7-48CE-97BE-875E4431CF65}">
      <text>
        <r>
          <rPr>
            <b/>
            <sz val="9"/>
            <color indexed="81"/>
            <rFont val="Tahoma"/>
            <family val="2"/>
          </rPr>
          <t>Startcel plakgebied macro</t>
        </r>
        <r>
          <rPr>
            <sz val="9"/>
            <color indexed="81"/>
            <rFont val="Tahoma"/>
            <family val="2"/>
          </rPr>
          <t xml:space="preserve">
</t>
        </r>
      </text>
    </comment>
    <comment ref="AO5" authorId="1" shapeId="0" xr:uid="{BE5B16D4-E5DE-4AA5-B529-BEA6A28D110B}">
      <text>
        <r>
          <rPr>
            <b/>
            <sz val="9"/>
            <color indexed="81"/>
            <rFont val="Tahoma"/>
            <family val="2"/>
          </rPr>
          <t>Matrixform.</t>
        </r>
      </text>
    </comment>
    <comment ref="AO6" authorId="1" shapeId="0" xr:uid="{40B2378B-F801-4456-8A17-982BCE7B47D1}">
      <text>
        <r>
          <rPr>
            <b/>
            <sz val="9"/>
            <color indexed="81"/>
            <rFont val="Tahoma"/>
            <family val="2"/>
          </rPr>
          <t>Matrixform.</t>
        </r>
      </text>
    </comment>
    <comment ref="AO7" authorId="1" shapeId="0" xr:uid="{09B81468-68AA-47D8-9B4C-DEBEFE9A433D}">
      <text>
        <r>
          <rPr>
            <b/>
            <sz val="9"/>
            <color indexed="81"/>
            <rFont val="Tahoma"/>
            <family val="2"/>
          </rPr>
          <t>Matrixform.</t>
        </r>
      </text>
    </comment>
    <comment ref="AO8" authorId="1" shapeId="0" xr:uid="{A35C514E-BEE9-4C95-828C-377E1C291F9D}">
      <text>
        <r>
          <rPr>
            <b/>
            <sz val="9"/>
            <color indexed="81"/>
            <rFont val="Tahoma"/>
            <family val="2"/>
          </rPr>
          <t>Matrixform.</t>
        </r>
      </text>
    </comment>
    <comment ref="H9" authorId="2" shapeId="0" xr:uid="{CFEB783E-9477-4446-8E9C-176BE3EFE590}">
      <text>
        <r>
          <rPr>
            <b/>
            <sz val="9"/>
            <color indexed="81"/>
            <rFont val="Tahoma"/>
            <family val="2"/>
          </rPr>
          <t>FHE006:</t>
        </r>
        <r>
          <rPr>
            <sz val="9"/>
            <color indexed="81"/>
            <rFont val="Tahoma"/>
            <family val="2"/>
          </rPr>
          <t xml:space="preserve">
volgens verslagstaten:
verzekeringen in geld, individueel: 1
verzekeringen in geld, collectief: 2
beleggingen: individueel: 3
beleggingen, collectief: 4
spaarkasverzekeringen: 5
</t>
        </r>
      </text>
    </comment>
    <comment ref="M9" authorId="2" shapeId="0" xr:uid="{AA8E62C5-FA6B-4D75-9EBE-0B860BE2A51A}">
      <text>
        <r>
          <rPr>
            <b/>
            <sz val="9"/>
            <color indexed="81"/>
            <rFont val="Tahoma"/>
            <family val="2"/>
          </rPr>
          <t>FHE006:</t>
        </r>
        <r>
          <rPr>
            <sz val="9"/>
            <color indexed="81"/>
            <rFont val="Tahoma"/>
            <family val="2"/>
          </rPr>
          <t xml:space="preserve">
lijfrente: 100%
wisntdelend: 75%
de rest: 50%
</t>
        </r>
      </text>
    </comment>
    <comment ref="T9" authorId="3" shapeId="0" xr:uid="{0FF09BEB-5660-4BB0-8F20-6483B428514D}">
      <text>
        <r>
          <rPr>
            <sz val="9"/>
            <color indexed="81"/>
            <rFont val="Tahoma"/>
            <family val="2"/>
          </rPr>
          <t xml:space="preserve">=IRVM voor alle spaarhypotheek MP's
=ALM voor </t>
        </r>
        <r>
          <rPr>
            <sz val="9"/>
            <color indexed="81"/>
            <rFont val="Tahoma"/>
            <family val="2"/>
          </rPr>
          <t>alle</t>
        </r>
        <r>
          <rPr>
            <sz val="9"/>
            <color indexed="81"/>
            <rFont val="Tahoma"/>
            <family val="2"/>
          </rPr>
          <t xml:space="preserve"> overige MP's</t>
        </r>
      </text>
    </comment>
    <comment ref="AO9" authorId="1" shapeId="0" xr:uid="{E8892EB4-B3C4-4496-B985-F5D83987A12E}">
      <text>
        <r>
          <rPr>
            <b/>
            <sz val="9"/>
            <color indexed="81"/>
            <rFont val="Tahoma"/>
            <family val="2"/>
          </rPr>
          <t>Matrixform.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<sst xmlns="http://schemas.openxmlformats.org/spreadsheetml/2006/main" count="11146" uniqueCount="1218">
  <si>
    <t>Map</t>
  </si>
  <si>
    <t>Werkblad</t>
  </si>
  <si>
    <t>Scenario
Werkblad
(optioneel)</t>
  </si>
  <si>
    <t>Scenario
Cel
(optioneel)</t>
  </si>
  <si>
    <t>Scenario
Waarde
(optioneel)</t>
  </si>
  <si>
    <t>Meest 
recente 
versie</t>
  </si>
  <si>
    <t>Map+Bestand</t>
  </si>
  <si>
    <t>Last macrorun:</t>
  </si>
  <si>
    <t>Aantal in te lezen bestanden:</t>
  </si>
  <si>
    <t>Alle bestanden meest recent:</t>
  </si>
  <si>
    <t>groen</t>
  </si>
  <si>
    <t>Last saved 
used in macro</t>
  </si>
  <si>
    <t>Last saved 
on network</t>
  </si>
  <si>
    <t>Werkbladen met algemene toelichtingen; niet nodig voor berekeningen</t>
  </si>
  <si>
    <t>Toelichting op de werkmap</t>
  </si>
  <si>
    <t>Hoofdinvoerblad</t>
  </si>
  <si>
    <t>Einde tabel</t>
  </si>
  <si>
    <t>Werkbladen:</t>
  </si>
  <si>
    <t>Datum</t>
  </si>
  <si>
    <t>Omschrijving</t>
  </si>
  <si>
    <t>Werkblad wordt door macro gevuld (cellen in dit werkblad zijn niet deze kleur, tenzij voor extra duidelijkheid)</t>
  </si>
  <si>
    <t>Cel wordt door macro gevuld (Tabkleur is niet deze kleur, tenzij cel extra duidelijkheid behoeft)</t>
  </si>
  <si>
    <t>Bestand</t>
  </si>
  <si>
    <t>Kleurcoderingen</t>
  </si>
  <si>
    <t>Cel die "moet" opvallen</t>
  </si>
  <si>
    <t>Kopteksten en scheidingslijnen</t>
  </si>
  <si>
    <t>grijs</t>
  </si>
  <si>
    <t>rood</t>
  </si>
  <si>
    <t>felgeel</t>
  </si>
  <si>
    <t>felblauw</t>
  </si>
  <si>
    <t>lichtgroen</t>
  </si>
  <si>
    <t>felgroen</t>
  </si>
  <si>
    <t>Cellen:</t>
  </si>
  <si>
    <t>Foutmelding bij voorwaardelijke opmaak</t>
  </si>
  <si>
    <t>Goedmelding bij voorwaardelijke opmaak</t>
  </si>
  <si>
    <t>Onbeveiligde cellen; input gevraagd</t>
  </si>
  <si>
    <t>Bereik</t>
  </si>
  <si>
    <t>MP
Naam</t>
  </si>
  <si>
    <t>blauw</t>
  </si>
  <si>
    <t>Losse
ingelezen 
getallen</t>
  </si>
  <si>
    <t>oranje</t>
  </si>
  <si>
    <t>Lay-out controle op de door de macro gevulde werkbladen</t>
  </si>
  <si>
    <t>Naam
Plakgebied</t>
  </si>
  <si>
    <t>Data up-to-date</t>
  </si>
  <si>
    <t>Lay-out-controle</t>
  </si>
  <si>
    <t>Algemeen:</t>
  </si>
  <si>
    <t>Beveiligingscategorie:</t>
  </si>
  <si>
    <t>Businessline</t>
  </si>
  <si>
    <t>OTSO Leven</t>
  </si>
  <si>
    <t>Impact</t>
  </si>
  <si>
    <t>Complexiteit</t>
  </si>
  <si>
    <t>Rapportage keten</t>
  </si>
  <si>
    <t>Solvency II</t>
  </si>
  <si>
    <t>Gebruik</t>
  </si>
  <si>
    <t>Naam van het model</t>
  </si>
  <si>
    <t>Beheerder</t>
  </si>
  <si>
    <t>Eigenaar</t>
  </si>
  <si>
    <t>Wil Deelen</t>
  </si>
  <si>
    <t>Versie</t>
  </si>
  <si>
    <t>Beschrijving van het model*:</t>
  </si>
  <si>
    <t>* Alleen invullen als invoerveld(en) grijs gekleurd zijn</t>
  </si>
  <si>
    <t>Doel van het model</t>
  </si>
  <si>
    <t>Werking van het model</t>
  </si>
  <si>
    <t>Interfaces</t>
  </si>
  <si>
    <t>Hoog</t>
  </si>
  <si>
    <t xml:space="preserve">Financieel </t>
  </si>
  <si>
    <t>Zeer groot</t>
  </si>
  <si>
    <t>Rapportagekwartaal</t>
  </si>
  <si>
    <t>Layout gelijk ?</t>
  </si>
  <si>
    <t>Zeer Klein</t>
  </si>
  <si>
    <t>Laag</t>
  </si>
  <si>
    <t>Analytisch</t>
  </si>
  <si>
    <t>Klein</t>
  </si>
  <si>
    <t>Middel</t>
  </si>
  <si>
    <t>Operationeel</t>
  </si>
  <si>
    <t xml:space="preserve">Groot </t>
  </si>
  <si>
    <t>Transactioneel</t>
  </si>
  <si>
    <t>EUC</t>
  </si>
  <si>
    <t>Risiconiveau</t>
  </si>
  <si>
    <t>Type</t>
  </si>
  <si>
    <t>Classificatie</t>
  </si>
  <si>
    <t>Niveau_3</t>
  </si>
  <si>
    <t>Niveau_2</t>
  </si>
  <si>
    <t>Niveau_1</t>
  </si>
  <si>
    <t>Zeer klein</t>
  </si>
  <si>
    <t>Complexiteit kolom</t>
  </si>
  <si>
    <t>Niveau</t>
  </si>
  <si>
    <t>A</t>
  </si>
  <si>
    <t>B</t>
  </si>
  <si>
    <t>C</t>
  </si>
  <si>
    <t>Jaar</t>
  </si>
  <si>
    <t>Periode</t>
  </si>
  <si>
    <t>Scenario</t>
  </si>
  <si>
    <t>Eindcontrole-blad ten behoeve van accordering</t>
  </si>
  <si>
    <t>Werkblad waarop de gebruiker de benodigde invoergegevens moet invoeren</t>
  </si>
  <si>
    <t>Werkbladen met grafieken en tabellen ten behoeve van rapportage</t>
  </si>
  <si>
    <t>Werkbladen ten behoeve van analyses</t>
  </si>
  <si>
    <t>Werkbladen met eindberekeningen/Werkbladen waarop gegevens naar de database worden weggeschreven en eventueel worden opgehaald</t>
  </si>
  <si>
    <t>Werkbladen met hulpberekeningen/Werkbladen waarop alleen gegevens uit de database worden gehaald</t>
  </si>
  <si>
    <t>lichtgeel</t>
  </si>
  <si>
    <t>lichtblauw</t>
  </si>
  <si>
    <t>Beveiligde cellen met formule (gekoppeld met database)</t>
  </si>
  <si>
    <t>lichtoranje</t>
  </si>
  <si>
    <t>Beveiligde cellen zonder formule (gekoppeld met database)</t>
  </si>
  <si>
    <t>Beveiligde cellen met formule (niet gekoppeld aan database)</t>
  </si>
  <si>
    <t>lichtrood</t>
  </si>
  <si>
    <t>Versiebeheer</t>
  </si>
  <si>
    <t>Versienummer dat betrekking heeft op de functionaliteit van de EUC en wordt, als er ook versienummers gebruikt worden voor verschillende leveringen, niet aan het einde van de naam van het bestand gezet. Die plaats is voor de leveringenversie.</t>
  </si>
  <si>
    <t>Status</t>
  </si>
  <si>
    <t>Ontwikkelaar</t>
  </si>
  <si>
    <t>Tester</t>
  </si>
  <si>
    <t>Opmerkingen</t>
  </si>
  <si>
    <t>Initiële versie bij implementatie Vena.</t>
  </si>
  <si>
    <t>#hiderow</t>
  </si>
  <si>
    <t>#hidecolumn</t>
  </si>
  <si>
    <t>Section</t>
  </si>
  <si>
    <t>Dimension</t>
  </si>
  <si>
    <t>Position</t>
  </si>
  <si>
    <t>Member</t>
  </si>
  <si>
    <t>Page</t>
  </si>
  <si>
    <t>Run</t>
  </si>
  <si>
    <t>Variabele</t>
  </si>
  <si>
    <t>Row</t>
  </si>
  <si>
    <t>Projectie</t>
  </si>
  <si>
    <t>Column</t>
  </si>
  <si>
    <t>Run niet gespecificeerd</t>
  </si>
  <si>
    <t>Projectie niet gespecificeerd</t>
  </si>
  <si>
    <t>Niveau niet gespecificeerd</t>
  </si>
  <si>
    <t>NB: Sheet is ingericht op maximaal 400 modelpunten (vanaf T13).</t>
  </si>
  <si>
    <t># MP =</t>
  </si>
  <si>
    <t>OSM2</t>
  </si>
  <si>
    <t>Hash =</t>
  </si>
  <si>
    <t>Data_segment en Cons_segment</t>
  </si>
  <si>
    <t>Modeltype
LIFE (NOM)
UNIT LINKED</t>
  </si>
  <si>
    <t>Individueel
Collectief</t>
  </si>
  <si>
    <t>Verzekeringen in geld
beleggingsverzekeringen
spaarkas</t>
  </si>
  <si>
    <t>Homogene
Risico
Groep</t>
  </si>
  <si>
    <t>Productlijn
1=Uitvaart
2=Leven
3=Pensioenen</t>
  </si>
  <si>
    <t>Omschrijving
Homogene
Risico Groep</t>
  </si>
  <si>
    <t>Verslag
staat
groepnr.</t>
  </si>
  <si>
    <t>1=Winstdelend
2=Unit Linked
3=Niet winstdel.</t>
  </si>
  <si>
    <t>1=overlijden
2=overleven
3=arb.ong.
4=spaar</t>
  </si>
  <si>
    <t>1= UL met gar.
0=overig</t>
  </si>
  <si>
    <t>afkoop
baar
1=ja
2=nee</t>
  </si>
  <si>
    <t>illiquiditeits
klasse</t>
  </si>
  <si>
    <t>non-retail
(collectief)
0=nee
1=ja</t>
  </si>
  <si>
    <t>Portefeuille
aanduiding</t>
  </si>
  <si>
    <t>Nadere karakteristiek</t>
  </si>
  <si>
    <t>rekenrente</t>
  </si>
  <si>
    <t>Voor toedeling handinvoer naar MP (ECAP)
Gesplitste homogene risicogroepen</t>
  </si>
  <si>
    <t>Portefeuille</t>
  </si>
  <si>
    <t>Bron 
Maandinput</t>
  </si>
  <si>
    <t>3% of 4%</t>
  </si>
  <si>
    <t>perc.3% filter</t>
  </si>
  <si>
    <t>Product</t>
  </si>
  <si>
    <t>Meenemen in:
ECAP</t>
  </si>
  <si>
    <t>Meenemen in:
WFT</t>
  </si>
  <si>
    <t>Meenemen in:
VANB</t>
  </si>
  <si>
    <t>Aanduiding voor VANB</t>
  </si>
  <si>
    <t>Discretionaire
winstdeling (Ja)
ext. benchm. (nee)</t>
  </si>
  <si>
    <t>FL
OSM2
modellen</t>
  </si>
  <si>
    <t>SP
code
OSM2</t>
  </si>
  <si>
    <t>CL
Porte-
feuille
code</t>
  </si>
  <si>
    <t>SP code OSM2 voor R_DATA, is tevens nummering voor R_CONS</t>
  </si>
  <si>
    <t xml:space="preserve">
SL
Segment
Level</t>
  </si>
  <si>
    <t>Group Level in output template</t>
  </si>
  <si>
    <t>homogene risicogroep (Solcency 2)</t>
  </si>
  <si>
    <t>Afkoop methodiek</t>
  </si>
  <si>
    <t>Overview modelpunten 2018Q4 ASR Levensverzekering N.V.</t>
  </si>
  <si>
    <t>InputModelpuntInfo1</t>
  </si>
  <si>
    <t>Scenario niet gespecificeerd</t>
  </si>
  <si>
    <t>Modelpuntoverzicht</t>
  </si>
  <si>
    <t>ModelpuntenInfoOSM</t>
  </si>
  <si>
    <t>Workspace</t>
  </si>
  <si>
    <t>Nr#</t>
  </si>
  <si>
    <t>afdeling</t>
  </si>
  <si>
    <t>Leven</t>
  </si>
  <si>
    <t>Pensioen</t>
  </si>
  <si>
    <t>Product_List</t>
  </si>
  <si>
    <t>FUND product</t>
  </si>
  <si>
    <t>STOCHproduct</t>
  </si>
  <si>
    <t>F_TRAD</t>
  </si>
  <si>
    <t>FSTRAD</t>
  </si>
  <si>
    <t>Workspace_Leven</t>
  </si>
  <si>
    <t>F_UNLI</t>
  </si>
  <si>
    <t>FSUNLI</t>
  </si>
  <si>
    <t>Workspace_Pensioenen</t>
  </si>
  <si>
    <t>F_FSPD</t>
  </si>
  <si>
    <t>FSFSPD</t>
  </si>
  <si>
    <t>F_RSK_</t>
  </si>
  <si>
    <t>FSRSK_</t>
  </si>
  <si>
    <t>Segment_List</t>
  </si>
  <si>
    <t>Category_List</t>
  </si>
  <si>
    <t>Voor AOC</t>
  </si>
  <si>
    <t>HRG_list</t>
  </si>
  <si>
    <t>Modelpoint</t>
  </si>
  <si>
    <t>DATA product</t>
  </si>
  <si>
    <t>D_segment</t>
  </si>
  <si>
    <t>STOCH product</t>
  </si>
  <si>
    <t>F_Segment</t>
  </si>
  <si>
    <t>Category</t>
  </si>
  <si>
    <t>PL</t>
  </si>
  <si>
    <t>modelpoint controle</t>
  </si>
  <si>
    <t>Category_Level</t>
  </si>
  <si>
    <t>Productline</t>
  </si>
  <si>
    <t>PL level</t>
  </si>
  <si>
    <t>Name</t>
  </si>
  <si>
    <t>Explanatory Name</t>
  </si>
  <si>
    <t>$A$1:$AE$404</t>
  </si>
  <si>
    <t>Layout gelijk?</t>
  </si>
  <si>
    <t>Samenvatting van alle Layout-controles (LoC's)</t>
  </si>
  <si>
    <t>Totaalcontrole akkoord ?</t>
  </si>
  <si>
    <t>Bladnaam + Cel</t>
  </si>
  <si>
    <t>Input Modelpunt Info</t>
  </si>
  <si>
    <t>MPOverview Bestand</t>
  </si>
  <si>
    <t>MPOverview Tijdstip</t>
  </si>
  <si>
    <t>InputModelpuntInfo2</t>
  </si>
  <si>
    <t>PS_Reference</t>
  </si>
  <si>
    <t>OSM_PS_Reference</t>
  </si>
  <si>
    <t>Indicator Modelpunt Actief</t>
  </si>
  <si>
    <t>OSM_Product</t>
  </si>
  <si>
    <t>OSM_Segment</t>
  </si>
  <si>
    <t>Productlijn</t>
  </si>
  <si>
    <t>Ind_Afk</t>
  </si>
  <si>
    <t>Meth_Afk</t>
  </si>
  <si>
    <t>Ind_DiscrWD</t>
  </si>
  <si>
    <t>Ind_UL_Gar</t>
  </si>
  <si>
    <t>Variabele niet gespecificeerd</t>
  </si>
  <si>
    <t>Modelpunten</t>
  </si>
  <si>
    <t>ASR Leven - (Bottom Level - sorted)</t>
  </si>
  <si>
    <t>MPControle Recap</t>
  </si>
  <si>
    <t>Samenvatting van alle Modelpoint Controles</t>
  </si>
  <si>
    <t>ControleIndelingHRG</t>
  </si>
  <si>
    <t>HRG 1 (Uitvaart - discretionair winstdelend afkoopbaar) - (Bottom Level - sorted)</t>
  </si>
  <si>
    <t>HRG 2 (Uitvaart - winstdelend afkoopbaar) - (Bottom Level - sorted)</t>
  </si>
  <si>
    <t>Modelpunten per HRG</t>
  </si>
  <si>
    <t>Controle Indeling Homogene Risico Groep</t>
  </si>
  <si>
    <t>HRG 3 (Uitvaart - discretionair winstdelend niet afkoopbaar) - (Bottom Level - sorted)</t>
  </si>
  <si>
    <t>Controletelling # Actieve MP</t>
  </si>
  <si>
    <t>HRG uit Overview MP</t>
  </si>
  <si>
    <t>Controle</t>
  </si>
  <si>
    <t>Controletelling # MP met juiste HRG</t>
  </si>
  <si>
    <t>HRG 4 (Uitvaart - winstdelend niet afkoopbaar) - (Bottom Level - sorted)</t>
  </si>
  <si>
    <t>HRG 5 (Uitvaart - niet winstdelend afkoopbaar) - (Bottom Level - sorted)</t>
  </si>
  <si>
    <t>HRG 6 (Uitvaart - niet winstdelend niet afkoopbaar) - (Bottom Level - sorted)</t>
  </si>
  <si>
    <t>HRG 7 (Leven - ingegane lijfrentes) - (Bottom Level - sorted)</t>
  </si>
  <si>
    <t>HRG 8 (Leven - discretionair winstdelend spaar) - (Bottom Level - sorted)</t>
  </si>
  <si>
    <t>HRG 9 (Leven - winstdelend spaar) - (Bottom Level - sorted)</t>
  </si>
  <si>
    <t>HRG 10 (Leven - nominaal spaar hybride) - (Bottom Level - sorted)</t>
  </si>
  <si>
    <t>HRG 11 (Leven - unit linked spaar zonder garantie) - (Bottom Level - sorted)</t>
  </si>
  <si>
    <t>HRG 12 (Leven - unit linked spaar met garantie) - (Bottom Level - sorted)</t>
  </si>
  <si>
    <t>HRG 13 (Leven - niet winstdelend overlijdensrisico) - (Bottom Level - sorted)</t>
  </si>
  <si>
    <t>HRG 14 (Leven - spaarhypotheken extern) - (Bottom Level - sorted)</t>
  </si>
  <si>
    <t>HRG 15 (Leven - spaarhypotheken intern) - (Bottom Level - sorted)</t>
  </si>
  <si>
    <t>HRG 16 (Leven - niet winstdelend spaar) - (Bottom Level - sorted)</t>
  </si>
  <si>
    <t>HRG 17 (Pensioenen - winstdelend overleven) - (Bottom Level - sorted)</t>
  </si>
  <si>
    <t>HRG 18 (Pensioenen - winstdelend overleven eigen pensioenregeling) - (Bottom Level - sorted)</t>
  </si>
  <si>
    <t>HRG 19 (Pensioenen - winstdelend overleven zakelijk depots) - (Bottom Level - sorted)</t>
  </si>
  <si>
    <t>HRG 20 (Pensioenen - winstdelend spaar) - (Bottom Level - sorted)</t>
  </si>
  <si>
    <t>HRG 21 (Pensioenen - unit linked overleven zonder garantie) - (Bottom Level - sorted)</t>
  </si>
  <si>
    <t>HRG 22 (Pensioenen - unit linked overleven met garantie) - (Bottom Level - sorted)</t>
  </si>
  <si>
    <t>HRG 23 (Pensioenen - unit linked aanvullend) - (Bottom Level - sorted)</t>
  </si>
  <si>
    <t>HRG 24 (Pensioenen - unit linked spaar zonder garantie) - (Bottom Level - sorted)</t>
  </si>
  <si>
    <t>HRG 25 (Pensioenen - unit linked spaar met garantie) - (Bottom Level - sorted)</t>
  </si>
  <si>
    <t>HRG 26 (Pensioenen - winstdelend spaar kapitaal bij leven) - (Bottom Level - sorted)</t>
  </si>
  <si>
    <t>HRG 27 (Pensioenen - niet winstdelend overleven) - (Bottom Level - sorted)</t>
  </si>
  <si>
    <t>HRG 28 (Pensioenen - niet winstdelend spaar) - (Bottom Level - sorted)</t>
  </si>
  <si>
    <t>ControleIndelingPLNomUL</t>
  </si>
  <si>
    <t>Modelpunten per PLNomUL</t>
  </si>
  <si>
    <t>PL NOM/UL 1 (Uitvaart) - (Bottom Level - sorted)</t>
  </si>
  <si>
    <t>PL NOM/UL 2 (Leven Nominaal) - (Bottom Level - sorted)</t>
  </si>
  <si>
    <t>PL NOM/UL 3 (Leven Unit Linked) - (Bottom Level - sorted)</t>
  </si>
  <si>
    <t>PL NOM/UL 4 (Pensioenen Nominaal) - (Bottom Level - sorted)</t>
  </si>
  <si>
    <t>PL NOM/UL 5 (Pensioenen Unit Linked) - (Bottom Level - sorted)</t>
  </si>
  <si>
    <t>Vertaaltabel</t>
  </si>
  <si>
    <t>Productlijn uit Overview MP</t>
  </si>
  <si>
    <t>Nominaal of UL uit Overview MP</t>
  </si>
  <si>
    <t>1N</t>
  </si>
  <si>
    <t>2N</t>
  </si>
  <si>
    <t>3N</t>
  </si>
  <si>
    <t>3U</t>
  </si>
  <si>
    <t>Controletelling # MP met juiste PL Nom/UL</t>
  </si>
  <si>
    <t>2U</t>
  </si>
  <si>
    <t>ControleIndelingPL</t>
  </si>
  <si>
    <t>Controle Indeling naar Productlijn</t>
  </si>
  <si>
    <t>Controle Indeling naar Productlijn en Nominaal of Unit Linked</t>
  </si>
  <si>
    <t>PL 1 (Uitvaart) - (Bottom Level - sorted)</t>
  </si>
  <si>
    <t>PL 2 (Leven) - (Bottom Level - sorted)</t>
  </si>
  <si>
    <t>PL 3 (Pensioenen) - (Bottom Level - sorted)</t>
  </si>
  <si>
    <t>Controletelling # MP met juiste PL</t>
  </si>
  <si>
    <t>ControleIndelingEPR</t>
  </si>
  <si>
    <t>EPR (Eigen pensioenregeling) - (Bottom Level - sorted)</t>
  </si>
  <si>
    <t>ControleIndelingQRTSub</t>
  </si>
  <si>
    <t>Controle Indeling naar Eigen Pensioen Regeling</t>
  </si>
  <si>
    <t>Controle Indeling QRT Subniveau</t>
  </si>
  <si>
    <t>Controletelling # MP in EPR</t>
  </si>
  <si>
    <t>Modelpunten in EPR</t>
  </si>
  <si>
    <t>QRT-subniveau 1a (Insurance with profit participation) - (Bottom Level - sorted)</t>
  </si>
  <si>
    <t>QRT-subniveau 2a (Index-linked without options and guarantees) - (Bottom Level - sorted)</t>
  </si>
  <si>
    <t>QRT-subniveau 2b (Index-linked with options and guarantees) - (Bottom Level - sorted)</t>
  </si>
  <si>
    <t>QRT-subniveau 3a (Other life insurance without options and guarantees) - (Bottom Level - sorted)</t>
  </si>
  <si>
    <t>QRT-subniveau 3b (Other life insurance with options and guarantees) - (Bottom Level - sorted)</t>
  </si>
  <si>
    <t>Modelpunten per QRT Subniveau</t>
  </si>
  <si>
    <t>Controletelling # MP met juiste QRT Subniveau</t>
  </si>
  <si>
    <t>1a</t>
  </si>
  <si>
    <t>2a</t>
  </si>
  <si>
    <t>2b</t>
  </si>
  <si>
    <t>QRT niveau uit Overview MP</t>
  </si>
  <si>
    <t>UL met garantie uit Overview MP</t>
  </si>
  <si>
    <t>ControleIndelingQRT</t>
  </si>
  <si>
    <t>Controle Indeling QRT Niveau</t>
  </si>
  <si>
    <t>QRT-niveau 1 (Insurance with profit participation) - (Bottom Level - sorted)</t>
  </si>
  <si>
    <t>QRT-niveau 2 (Index-linked) - (Bottom Level - sorted)</t>
  </si>
  <si>
    <t>QRT-niveau 3 (Other life insurance) - (Bottom Level - sorted)</t>
  </si>
  <si>
    <t>Modelpunten per QRT niveau</t>
  </si>
  <si>
    <t>Controletelling # MP met juiste QRT niveau</t>
  </si>
  <si>
    <t>De indeling van de modelpunten in Vena naar rapportagelijnen wordt gecontroleerd.
De resultaten van de controles worden vastgelegd in Vena.
De modelpuntinfo die nodig is in Vena wordt overgenomen uit de ingelezen bladen en in de Vena database geplaatst.</t>
  </si>
  <si>
    <t>Toelichting</t>
  </si>
  <si>
    <t>Modelpunten uit Overview MP Life</t>
  </si>
  <si>
    <t>Modelpunten uit Vena</t>
  </si>
  <si>
    <t>Overeenkomst?</t>
  </si>
  <si>
    <t>Connie van Niekerk</t>
  </si>
  <si>
    <t>Modelpointindeling okee?</t>
  </si>
  <si>
    <t>Controle aanwezigheid Modelpunten</t>
  </si>
  <si>
    <t>MPOverview LoC</t>
  </si>
  <si>
    <t>Selmar van der Veen</t>
  </si>
  <si>
    <t>Resultaat geautomatiseerde controles</t>
  </si>
  <si>
    <t>Definitief</t>
  </si>
  <si>
    <t>Afkoop Uitkeringen</t>
  </si>
  <si>
    <t>Methode_RiskDriver_LapseMass</t>
  </si>
  <si>
    <t>EUNW</t>
  </si>
  <si>
    <t>IKNW</t>
  </si>
  <si>
    <t>EACG</t>
  </si>
  <si>
    <t>EACN</t>
  </si>
  <si>
    <t>EANW</t>
  </si>
  <si>
    <t>ERNW</t>
  </si>
  <si>
    <t>WPNW</t>
  </si>
  <si>
    <t>EUWD</t>
  </si>
  <si>
    <t>EUWV</t>
  </si>
  <si>
    <t>IKUL</t>
  </si>
  <si>
    <t>PRGP</t>
  </si>
  <si>
    <t>UKGP</t>
  </si>
  <si>
    <t>UKGS</t>
  </si>
  <si>
    <t>PRPF</t>
  </si>
  <si>
    <t>UKPF</t>
  </si>
  <si>
    <t>UKSA</t>
  </si>
  <si>
    <t>WPVZ</t>
  </si>
  <si>
    <t>GAGS</t>
  </si>
  <si>
    <t>PRVZ</t>
  </si>
  <si>
    <t>GASA</t>
  </si>
  <si>
    <t>WPSA</t>
  </si>
  <si>
    <t>IKAD</t>
  </si>
  <si>
    <t>IKAV</t>
  </si>
  <si>
    <t>IKKP</t>
  </si>
  <si>
    <t>EASD</t>
  </si>
  <si>
    <t>EASV</t>
  </si>
  <si>
    <t>EAZF</t>
  </si>
  <si>
    <t>EAZH</t>
  </si>
  <si>
    <t>EAZN</t>
  </si>
  <si>
    <t>EAZO</t>
  </si>
  <si>
    <t>EAZT</t>
  </si>
  <si>
    <t>ZAAC</t>
  </si>
  <si>
    <t>ZAND</t>
  </si>
  <si>
    <t>ZAPN</t>
  </si>
  <si>
    <t>ZAWV</t>
  </si>
  <si>
    <t>ZBCV</t>
  </si>
  <si>
    <t>ZBNP</t>
  </si>
  <si>
    <t>ZBOG</t>
  </si>
  <si>
    <t>ZBOS</t>
  </si>
  <si>
    <t>ZCCV</t>
  </si>
  <si>
    <t>ZCGP</t>
  </si>
  <si>
    <t>ZDAS</t>
  </si>
  <si>
    <t>ZDIG</t>
  </si>
  <si>
    <t>ZDNA</t>
  </si>
  <si>
    <t>ZDNK</t>
  </si>
  <si>
    <t>ZECO</t>
  </si>
  <si>
    <t>ZGWK</t>
  </si>
  <si>
    <t>ZHGL</t>
  </si>
  <si>
    <t>ZHNB</t>
  </si>
  <si>
    <t>ZKBS</t>
  </si>
  <si>
    <t>ZKCB</t>
  </si>
  <si>
    <t>ZLCX</t>
  </si>
  <si>
    <t>ZMBI</t>
  </si>
  <si>
    <t>ZMCB</t>
  </si>
  <si>
    <t>ZMEB</t>
  </si>
  <si>
    <t>ZMGR</t>
  </si>
  <si>
    <t>ZMOB</t>
  </si>
  <si>
    <t>ZMON</t>
  </si>
  <si>
    <t>ZMTB</t>
  </si>
  <si>
    <t>ZNHL</t>
  </si>
  <si>
    <t>ZNHZ</t>
  </si>
  <si>
    <t>ZONG</t>
  </si>
  <si>
    <t>ZOVZ</t>
  </si>
  <si>
    <t>ZPAI</t>
  </si>
  <si>
    <t>ZPAN</t>
  </si>
  <si>
    <t>ZPAT</t>
  </si>
  <si>
    <t>ZPCK</t>
  </si>
  <si>
    <t>ZPFC</t>
  </si>
  <si>
    <t>ZPGC</t>
  </si>
  <si>
    <t>ZPKS</t>
  </si>
  <si>
    <t>ZPLA</t>
  </si>
  <si>
    <t>ZPPK</t>
  </si>
  <si>
    <t>ZPPS</t>
  </si>
  <si>
    <t>ZPRB</t>
  </si>
  <si>
    <t>ZPRE</t>
  </si>
  <si>
    <t>ZPRO</t>
  </si>
  <si>
    <t>ZPZR</t>
  </si>
  <si>
    <t>ZRAE</t>
  </si>
  <si>
    <t>ZSON</t>
  </si>
  <si>
    <t>ZSSM</t>
  </si>
  <si>
    <t>ZSVK</t>
  </si>
  <si>
    <t>ZTON</t>
  </si>
  <si>
    <t>ZUSS</t>
  </si>
  <si>
    <t>ZUVE</t>
  </si>
  <si>
    <t>ZVBT</t>
  </si>
  <si>
    <t>ZVCR</t>
  </si>
  <si>
    <t>ZPFA</t>
  </si>
  <si>
    <t>ZPFG</t>
  </si>
  <si>
    <t>EABA</t>
  </si>
  <si>
    <t>EABB</t>
  </si>
  <si>
    <t>EABC</t>
  </si>
  <si>
    <t>EABD</t>
  </si>
  <si>
    <t>EABE</t>
  </si>
  <si>
    <t>EABF</t>
  </si>
  <si>
    <t>EABG</t>
  </si>
  <si>
    <t>EABJ</t>
  </si>
  <si>
    <t>EABK</t>
  </si>
  <si>
    <t>EABL</t>
  </si>
  <si>
    <t>EABM</t>
  </si>
  <si>
    <t>EABT</t>
  </si>
  <si>
    <t>EABV</t>
  </si>
  <si>
    <t>EAOA</t>
  </si>
  <si>
    <t>EAOB</t>
  </si>
  <si>
    <t>EAOC</t>
  </si>
  <si>
    <t>EAOD</t>
  </si>
  <si>
    <t>EAOE</t>
  </si>
  <si>
    <t>EAOF</t>
  </si>
  <si>
    <t>EAOG</t>
  </si>
  <si>
    <t>EAOJ</t>
  </si>
  <si>
    <t>EAOK</t>
  </si>
  <si>
    <t>EAOL</t>
  </si>
  <si>
    <t>EAOM</t>
  </si>
  <si>
    <t>EAOT</t>
  </si>
  <si>
    <t>EAOV</t>
  </si>
  <si>
    <t>EAPF</t>
  </si>
  <si>
    <t>EARA</t>
  </si>
  <si>
    <t>EARB</t>
  </si>
  <si>
    <t>EARC</t>
  </si>
  <si>
    <t>EARD</t>
  </si>
  <si>
    <t>EARE</t>
  </si>
  <si>
    <t>EARF</t>
  </si>
  <si>
    <t>EARG</t>
  </si>
  <si>
    <t>EARJ</t>
  </si>
  <si>
    <t>EARK</t>
  </si>
  <si>
    <t>EARL</t>
  </si>
  <si>
    <t>EARM</t>
  </si>
  <si>
    <t>EART</t>
  </si>
  <si>
    <t>EARV</t>
  </si>
  <si>
    <t>ERAK</t>
  </si>
  <si>
    <t>EROC</t>
  </si>
  <si>
    <t>EROD</t>
  </si>
  <si>
    <t>EROH</t>
  </si>
  <si>
    <t>EROT</t>
  </si>
  <si>
    <t>EROV</t>
  </si>
  <si>
    <t>ERRD</t>
  </si>
  <si>
    <t>ERRH</t>
  </si>
  <si>
    <t>ERRV</t>
  </si>
  <si>
    <t>IKLR</t>
  </si>
  <si>
    <t>IQNW</t>
  </si>
  <si>
    <t>IRNW</t>
  </si>
  <si>
    <t>ISNW</t>
  </si>
  <si>
    <t>IXNW</t>
  </si>
  <si>
    <t>IQIH</t>
  </si>
  <si>
    <t>IRIH</t>
  </si>
  <si>
    <t>ISIH</t>
  </si>
  <si>
    <t>ITIN</t>
  </si>
  <si>
    <t>ITIS</t>
  </si>
  <si>
    <t>IXIH</t>
  </si>
  <si>
    <t>IBSH</t>
  </si>
  <si>
    <t>IQSH</t>
  </si>
  <si>
    <t>IRSH</t>
  </si>
  <si>
    <t>ISSH</t>
  </si>
  <si>
    <t>ITNH</t>
  </si>
  <si>
    <t>ITSB</t>
  </si>
  <si>
    <t>ITSH</t>
  </si>
  <si>
    <t>ITSO</t>
  </si>
  <si>
    <t>IXSH</t>
  </si>
  <si>
    <t>SISA</t>
  </si>
  <si>
    <t>IBNW</t>
  </si>
  <si>
    <t>IGRN</t>
  </si>
  <si>
    <t>IQON</t>
  </si>
  <si>
    <t>IRRP</t>
  </si>
  <si>
    <t>ITRP</t>
  </si>
  <si>
    <t>UFSS</t>
  </si>
  <si>
    <t>UZRP</t>
  </si>
  <si>
    <t>FRGG</t>
  </si>
  <si>
    <t>FRGL</t>
  </si>
  <si>
    <t>FRGR</t>
  </si>
  <si>
    <t>FRNM</t>
  </si>
  <si>
    <t>IFNM</t>
  </si>
  <si>
    <t>IIUL</t>
  </si>
  <si>
    <t>IQUL</t>
  </si>
  <si>
    <t>UFGP</t>
  </si>
  <si>
    <t>UFGS</t>
  </si>
  <si>
    <t>UGGA</t>
  </si>
  <si>
    <t>UIGP</t>
  </si>
  <si>
    <t>UIGS</t>
  </si>
  <si>
    <t>ULGP</t>
  </si>
  <si>
    <t>ULGS</t>
  </si>
  <si>
    <t>UQGP</t>
  </si>
  <si>
    <t>UQGS</t>
  </si>
  <si>
    <t>URGP</t>
  </si>
  <si>
    <t>URGS</t>
  </si>
  <si>
    <t>FRGM</t>
  </si>
  <si>
    <t>FRKL</t>
  </si>
  <si>
    <t>FRKR</t>
  </si>
  <si>
    <t>IBNM</t>
  </si>
  <si>
    <t>ILNM</t>
  </si>
  <si>
    <t>IMNM</t>
  </si>
  <si>
    <t>UFPF</t>
  </si>
  <si>
    <t>UFSA</t>
  </si>
  <si>
    <t>UGNA</t>
  </si>
  <si>
    <t>UIPF</t>
  </si>
  <si>
    <t>UISA</t>
  </si>
  <si>
    <t>ULHP</t>
  </si>
  <si>
    <t>ULHS</t>
  </si>
  <si>
    <t>ULPF</t>
  </si>
  <si>
    <t>ULSA</t>
  </si>
  <si>
    <t>UMSA</t>
  </si>
  <si>
    <t>UQPF</t>
  </si>
  <si>
    <t>UQSA</t>
  </si>
  <si>
    <t>URPF</t>
  </si>
  <si>
    <t>URSA</t>
  </si>
  <si>
    <t>UZPF</t>
  </si>
  <si>
    <t>SIPF</t>
  </si>
  <si>
    <t>UFPS</t>
  </si>
  <si>
    <t>ULSP</t>
  </si>
  <si>
    <t>ULSS</t>
  </si>
  <si>
    <t>IAAN</t>
  </si>
  <si>
    <t>IAFN</t>
  </si>
  <si>
    <t>IAIA</t>
  </si>
  <si>
    <t>IAIN</t>
  </si>
  <si>
    <t>IAKN</t>
  </si>
  <si>
    <t>IANA</t>
  </si>
  <si>
    <t>IANN</t>
  </si>
  <si>
    <t>IANW</t>
  </si>
  <si>
    <t>IAPA</t>
  </si>
  <si>
    <t>IAPN</t>
  </si>
  <si>
    <t>IARA</t>
  </si>
  <si>
    <t>IARN</t>
  </si>
  <si>
    <t>IAUA</t>
  </si>
  <si>
    <t>IAUN</t>
  </si>
  <si>
    <t>IAXB</t>
  </si>
  <si>
    <t>IAXN</t>
  </si>
  <si>
    <t>IAZA</t>
  </si>
  <si>
    <t>IAZI</t>
  </si>
  <si>
    <t>IBWD</t>
  </si>
  <si>
    <t>IQAD</t>
  </si>
  <si>
    <t>IQAV</t>
  </si>
  <si>
    <t>IRKP</t>
  </si>
  <si>
    <t>IRWH</t>
  </si>
  <si>
    <t>ISAK</t>
  </si>
  <si>
    <t>ISAP</t>
  </si>
  <si>
    <t>ISCD</t>
  </si>
  <si>
    <t>ISCV</t>
  </si>
  <si>
    <t>ISKP</t>
  </si>
  <si>
    <t>ISMA</t>
  </si>
  <si>
    <t>ISTD</t>
  </si>
  <si>
    <t>ISUD</t>
  </si>
  <si>
    <t>ISVD</t>
  </si>
  <si>
    <t>ISVV</t>
  </si>
  <si>
    <t>ISZA</t>
  </si>
  <si>
    <t>ITWD</t>
  </si>
  <si>
    <t>ITWV</t>
  </si>
  <si>
    <t>IXAD</t>
  </si>
  <si>
    <t>IXKP</t>
  </si>
  <si>
    <t>IXKY</t>
  </si>
  <si>
    <t>IXUD</t>
  </si>
  <si>
    <t>IRMD</t>
  </si>
  <si>
    <t>IRMV</t>
  </si>
  <si>
    <t>IXEV</t>
  </si>
  <si>
    <t>IXKD</t>
  </si>
  <si>
    <t>IXKH</t>
  </si>
  <si>
    <t>IXKV</t>
  </si>
  <si>
    <t>IGLR</t>
  </si>
  <si>
    <t>IQLR</t>
  </si>
  <si>
    <t>IRLR</t>
  </si>
  <si>
    <t>ISLR</t>
  </si>
  <si>
    <t>IXLR</t>
  </si>
  <si>
    <t>IXLY</t>
  </si>
  <si>
    <t>IAAW</t>
  </si>
  <si>
    <t>IABE</t>
  </si>
  <si>
    <t>IACD</t>
  </si>
  <si>
    <t>IACV</t>
  </si>
  <si>
    <t>IADS</t>
  </si>
  <si>
    <t>IAFW</t>
  </si>
  <si>
    <t>IAGA</t>
  </si>
  <si>
    <t>IAKW</t>
  </si>
  <si>
    <t>IAMA</t>
  </si>
  <si>
    <t>IAMI</t>
  </si>
  <si>
    <t>IARM</t>
  </si>
  <si>
    <t>IARW</t>
  </si>
  <si>
    <t>IATD</t>
  </si>
  <si>
    <t>IAUW</t>
  </si>
  <si>
    <t>IAVA</t>
  </si>
  <si>
    <t>IAVD</t>
  </si>
  <si>
    <t>IAVO</t>
  </si>
  <si>
    <t>IAVV</t>
  </si>
  <si>
    <t>IAXA</t>
  </si>
  <si>
    <t>IAXC</t>
  </si>
  <si>
    <t>IAXD</t>
  </si>
  <si>
    <t>IAXE</t>
  </si>
  <si>
    <t>IAXF</t>
  </si>
  <si>
    <t>IAXP</t>
  </si>
  <si>
    <t>IAXQ</t>
  </si>
  <si>
    <t>LIFE</t>
  </si>
  <si>
    <t>Collectief</t>
  </si>
  <si>
    <t>Verzekeringen in geld</t>
  </si>
  <si>
    <t>COLLECTIEF winstdelend</t>
  </si>
  <si>
    <t>AMEV</t>
  </si>
  <si>
    <t>Winstdeling op basis van reële depots</t>
  </si>
  <si>
    <t>12. ASR Collectief Nominaal winstdelend excl ZPFA</t>
  </si>
  <si>
    <t>COLL_NOM</t>
  </si>
  <si>
    <t>FRM</t>
  </si>
  <si>
    <t>nvt</t>
  </si>
  <si>
    <t>P_Coll_Nom</t>
  </si>
  <si>
    <t>ja</t>
  </si>
  <si>
    <t>OR+BDC</t>
  </si>
  <si>
    <t>Pensioenen Nominaal</t>
  </si>
  <si>
    <t>Nee</t>
  </si>
  <si>
    <t>nee</t>
  </si>
  <si>
    <t>COLLECTIEF niet-winstdelend</t>
  </si>
  <si>
    <t>Niet winstdelend</t>
  </si>
  <si>
    <t>14. ASR Collectief Nominaal niet-winstdelend</t>
  </si>
  <si>
    <t>3% / 4%</t>
  </si>
  <si>
    <t>34% = 3%</t>
  </si>
  <si>
    <t>Winstdeling Overrente Fictief</t>
  </si>
  <si>
    <t xml:space="preserve"> 3% / 4%</t>
  </si>
  <si>
    <t>COLL_PF</t>
  </si>
  <si>
    <t>57% = 3%</t>
  </si>
  <si>
    <t>P_Coll_PF</t>
  </si>
  <si>
    <t>Rentestandskorting</t>
  </si>
  <si>
    <t>RSK</t>
  </si>
  <si>
    <t>Gesepareerd depot</t>
  </si>
  <si>
    <t>COLL_ZD</t>
  </si>
  <si>
    <t>P_Coll_ZD</t>
  </si>
  <si>
    <t>ZD</t>
  </si>
  <si>
    <t>NietWD hoort bij gesepareerd depot</t>
  </si>
  <si>
    <t xml:space="preserve"> 2,5% / 3% / 4%</t>
  </si>
  <si>
    <t>Gesepareerd depot overig</t>
  </si>
  <si>
    <t>Generali</t>
  </si>
  <si>
    <t>3% / 3,5% / 4%</t>
  </si>
  <si>
    <t>P_GenColl_Nom</t>
  </si>
  <si>
    <t>beleggingsverzekeringen</t>
  </si>
  <si>
    <t>COLLECTIEF UL met garantie</t>
  </si>
  <si>
    <t>Premiepensioen KBL (CKB1)</t>
  </si>
  <si>
    <t>18. ASR Unit-linked Collectief met garantie</t>
  </si>
  <si>
    <t>COL_UL</t>
  </si>
  <si>
    <t>P_Coll_UL</t>
  </si>
  <si>
    <t>Col UL</t>
  </si>
  <si>
    <t>Pensioenen Unit Linked</t>
  </si>
  <si>
    <t>UNIT LINKED</t>
  </si>
  <si>
    <t>Individueel</t>
  </si>
  <si>
    <t>Individueel UL met garantie</t>
  </si>
  <si>
    <t>Stad Rotterdam</t>
  </si>
  <si>
    <t>Fractieverzekeringen gemengd</t>
  </si>
  <si>
    <t>10. ASR UL Stad Rotterdam met garantie</t>
  </si>
  <si>
    <t>SR_UL</t>
  </si>
  <si>
    <t>P_SR_UL</t>
  </si>
  <si>
    <t>Fractieverzekeringen kapitaal bij leven</t>
  </si>
  <si>
    <t>Individueel UL zonder garantie</t>
  </si>
  <si>
    <t>9. ASR UL Stad Rotterdam zonder garantie</t>
  </si>
  <si>
    <t>Fractieverzekeringen met restitutie</t>
  </si>
  <si>
    <t>Voorziening voor garanties</t>
  </si>
  <si>
    <t>Overlijdensdekking vast kapitaal</t>
  </si>
  <si>
    <t>COLLECTIEF UL zonder garantie</t>
  </si>
  <si>
    <t>16. ASR Unit-linked Collectief zonder garantie</t>
  </si>
  <si>
    <t>Ardanta niet-winstdelend</t>
  </si>
  <si>
    <t>Ardanta</t>
  </si>
  <si>
    <t>DAV niet winstdelend</t>
  </si>
  <si>
    <t>2. Ardanta niet-winstdelend</t>
  </si>
  <si>
    <t>P_Ardanta</t>
  </si>
  <si>
    <t>Ardanta winstdelend</t>
  </si>
  <si>
    <t>DAV winstdelend externe benchmark (Overrente T-rend.)</t>
  </si>
  <si>
    <t>1. Ardanta Winstdelend</t>
  </si>
  <si>
    <t>België, winstdelend Externe benchmark (OTSO rend.)</t>
  </si>
  <si>
    <t>Ardanta België</t>
  </si>
  <si>
    <t>Ardanta HLS</t>
  </si>
  <si>
    <t>SR Winstdelend o.b.v. CBS-index</t>
  </si>
  <si>
    <t>P_Ard_HLS</t>
  </si>
  <si>
    <t>Loondienst, Met winstdeling (OTSO rend.), met indexatie</t>
  </si>
  <si>
    <t>Ardanta Nederland</t>
  </si>
  <si>
    <t>De Facultatieve Niet Winstdelend</t>
  </si>
  <si>
    <t>De Facultatieve Winstdelend (Overrente U-rend.)</t>
  </si>
  <si>
    <t>0,5%/2,5%/3%/4%</t>
  </si>
  <si>
    <t>50%=3%</t>
  </si>
  <si>
    <t>Loondienst Winstdeling (OTSO rend.) obv portefeuillerendement</t>
  </si>
  <si>
    <t>Ardanta  Priv. Lab. Internet</t>
  </si>
  <si>
    <t>Ardanta UGV</t>
  </si>
  <si>
    <t>NKV niet-winstdelend</t>
  </si>
  <si>
    <t xml:space="preserve"> 3%/ 3.5%/ 4%</t>
  </si>
  <si>
    <t>P_Ard_UGV</t>
  </si>
  <si>
    <t>NKV winstdelend (maatschappij winstdeling)</t>
  </si>
  <si>
    <t>Ja</t>
  </si>
  <si>
    <t>SR winstdelend o.b.v. MAR-percentage</t>
  </si>
  <si>
    <t>Loondienst Winstdelend, zonder indexatie</t>
  </si>
  <si>
    <t>3%/4%</t>
  </si>
  <si>
    <t>81%=3%</t>
  </si>
  <si>
    <t>NIVO Niet winstdelend</t>
  </si>
  <si>
    <t>5%=3%</t>
  </si>
  <si>
    <t>PC Uitvaart afkoopbaar</t>
  </si>
  <si>
    <t>PC Uitvaart niet afkoopbaar</t>
  </si>
  <si>
    <t>Generali niet-winstdelend</t>
  </si>
  <si>
    <t>3% / 3.5% / 4%</t>
  </si>
  <si>
    <t>2. Ardanta Generali niet-winstdelend</t>
  </si>
  <si>
    <t>1. Ardanta Generali Winstdelend</t>
  </si>
  <si>
    <t>Generali winstdelend (overrente)</t>
  </si>
  <si>
    <t>SR Winstdeling fictief 10-jaars tranches</t>
  </si>
  <si>
    <t>UGV niet winstdelend</t>
  </si>
  <si>
    <t>32%=3%</t>
  </si>
  <si>
    <t>UGV Maatschappijwinstdeling KBW</t>
  </si>
  <si>
    <t>12%=3%</t>
  </si>
  <si>
    <t>Priv. Lab. Internet Winstdeling (OTSO rend.) obv portefeuillerend.</t>
  </si>
  <si>
    <t>SR Winstdeling fictief 5-jaars tranches</t>
  </si>
  <si>
    <t>Volmacht Winstdeling (OTSO rend.) obv portefuillerendement</t>
  </si>
  <si>
    <t>SR winstdelend fictief 5-jaars tranches</t>
  </si>
  <si>
    <t>Axent</t>
  </si>
  <si>
    <t>Axent winstdelend (Overrente OTSO)</t>
  </si>
  <si>
    <t>1. Axent Winstdelend</t>
  </si>
  <si>
    <t>Ardanta Axent</t>
  </si>
  <si>
    <t>P_Axent</t>
  </si>
  <si>
    <t>Axent niet winstdelend</t>
  </si>
  <si>
    <t>divers</t>
  </si>
  <si>
    <t>2. Axent niet-winstdelend</t>
  </si>
  <si>
    <t>Axent maatschappijwinstdeling</t>
  </si>
  <si>
    <t>Axent winstdelend (D-winst Vast winstpercentage)</t>
  </si>
  <si>
    <t>Axent winstdelend (P-winst: Winstpot)</t>
  </si>
  <si>
    <t>Ardanta Loondienst Zonder winstdeling, met indexatie</t>
  </si>
  <si>
    <t>47%=3%</t>
  </si>
  <si>
    <t>VSB</t>
  </si>
  <si>
    <t>9. VSB UL</t>
  </si>
  <si>
    <t>VSB_UL</t>
  </si>
  <si>
    <t>P_VSB_UL</t>
  </si>
  <si>
    <t>ASR + VSB niet winstdelende kapitaalsverzekeringen</t>
  </si>
  <si>
    <t>8. VSB Niet-winstdelend</t>
  </si>
  <si>
    <t>VSB_NOM</t>
  </si>
  <si>
    <t>P_VSB_Nom</t>
  </si>
  <si>
    <t>Spaarhypotheek</t>
  </si>
  <si>
    <t>polisafhankelijk</t>
  </si>
  <si>
    <t>Actuariaat Leven</t>
  </si>
  <si>
    <t>ASR + VSB winstdelende kapitaalsverzekeringen</t>
  </si>
  <si>
    <t>Winstdeling o.b.v. t of u-rendement</t>
  </si>
  <si>
    <t>4. VSB Winstdelend</t>
  </si>
  <si>
    <t>Falcon</t>
  </si>
  <si>
    <t>Voorziening voor garanties en bijverzekeringen</t>
  </si>
  <si>
    <t>10. Falcon UL met garantie</t>
  </si>
  <si>
    <t>FALCON_UL</t>
  </si>
  <si>
    <t>P_Falcon_UL</t>
  </si>
  <si>
    <t>Ingegane lijfrenten winstdelend</t>
  </si>
  <si>
    <t>NGL</t>
  </si>
  <si>
    <t xml:space="preserve">DIL </t>
  </si>
  <si>
    <t>??</t>
  </si>
  <si>
    <t>5. ASR Individueel Nominaal DIL</t>
  </si>
  <si>
    <t>NGL_NOM</t>
  </si>
  <si>
    <t>P_NGL_NOM</t>
  </si>
  <si>
    <t>NGL DIL</t>
  </si>
  <si>
    <t>Leven Nominaal</t>
  </si>
  <si>
    <t>Overlijdensrisico (incl. ABC Kas contra) niet winstdelend</t>
  </si>
  <si>
    <t>Bevat sexe neutrale polissen</t>
  </si>
  <si>
    <t>6. ASR Individueel Nominaal Risico</t>
  </si>
  <si>
    <t>NGL Risico</t>
  </si>
  <si>
    <t>Interlloyd</t>
  </si>
  <si>
    <t>10. Interlloyd UL met garantie</t>
  </si>
  <si>
    <t>INTERLLOYD_UL</t>
  </si>
  <si>
    <t>P_Interlloyd_UL</t>
  </si>
  <si>
    <t>Amersfoortse</t>
  </si>
  <si>
    <t>Koopsom met rentestandskorting</t>
  </si>
  <si>
    <t>Ingegane lijfrente</t>
  </si>
  <si>
    <t>Bijverzekeringen (sterfte, invaliditeit)</t>
  </si>
  <si>
    <t>AMEV Levenslijn</t>
  </si>
  <si>
    <t>Bijverzekeringen</t>
  </si>
  <si>
    <t>9. ASR UL Levenslijn zonder garantie</t>
  </si>
  <si>
    <t>LL_UL</t>
  </si>
  <si>
    <t>P_LL_UL</t>
  </si>
  <si>
    <t>ABC 50 +</t>
  </si>
  <si>
    <t>9. ABC Unit Linked</t>
  </si>
  <si>
    <t>ABC50+</t>
  </si>
  <si>
    <t>P_ABC50+</t>
  </si>
  <si>
    <t>4. DA Individueel Nominaal winstdelend</t>
  </si>
  <si>
    <t>AMF_LEV_NOM</t>
  </si>
  <si>
    <t>P_AmfLev_Nom</t>
  </si>
  <si>
    <t>Overig</t>
  </si>
  <si>
    <t>Spaarhypotheek intern</t>
  </si>
  <si>
    <t>8. DA Individueel Nominaal niet winstdelend</t>
  </si>
  <si>
    <t>5. DA Individueel Nominaal DIL</t>
  </si>
  <si>
    <t>82,70% = 3%</t>
  </si>
  <si>
    <t>DIL</t>
  </si>
  <si>
    <t>Overlijdensrisicoverzekeringen</t>
  </si>
  <si>
    <t>10. DA individueel Unit Linked met garantie</t>
  </si>
  <si>
    <t>AMF_LEV_UL</t>
  </si>
  <si>
    <t>P_AmfLev_UL</t>
  </si>
  <si>
    <t>UL</t>
  </si>
  <si>
    <t>Leven Unit Linked</t>
  </si>
  <si>
    <t>8. Gen Individueel Nominaal kapitaal niet-winstdelend</t>
  </si>
  <si>
    <t>GEN_LEV_NOM</t>
  </si>
  <si>
    <t>P_GenLev_Nom</t>
  </si>
  <si>
    <t>4. Gen Individueel Nominaal kapitaal winstdelend</t>
  </si>
  <si>
    <t>DIL/DIP</t>
  </si>
  <si>
    <t>5. Generali Individueel Nominaal DIL</t>
  </si>
  <si>
    <t>Maatschappijwinstdeling</t>
  </si>
  <si>
    <t>1% / 2% / 3% / 4%</t>
  </si>
  <si>
    <t>6. Generali Individueel Nominaal Risico</t>
  </si>
  <si>
    <t>Spaarhypotheek extern</t>
  </si>
  <si>
    <t>Winstdelend, gemiddeld 3.5%</t>
  </si>
  <si>
    <t>Australische Dollars Koopsom</t>
  </si>
  <si>
    <t>4. ASR Individueel Nominaal kapitaal winstdelend</t>
  </si>
  <si>
    <t>SR_NOM</t>
  </si>
  <si>
    <t>P_SR_Nom</t>
  </si>
  <si>
    <t>Australische Dollars Premie</t>
  </si>
  <si>
    <t>Winstdeling o.b.v. CBS-index</t>
  </si>
  <si>
    <t>8. ASR Individueel Nominaal kapitaal niet-winstdelend</t>
  </si>
  <si>
    <t>3%  /4%</t>
  </si>
  <si>
    <t>6% = 3%</t>
  </si>
  <si>
    <t>17% = 3%</t>
  </si>
  <si>
    <t>Winstdeling o.b.v. MAR-percentage</t>
  </si>
  <si>
    <t>18%= 3%</t>
  </si>
  <si>
    <t>Winstdeling fictief 10-jaars tranches</t>
  </si>
  <si>
    <t>94% = 3%</t>
  </si>
  <si>
    <t>US-Dollars</t>
  </si>
  <si>
    <t>Winstdeling fictief 5-jaars tranches</t>
  </si>
  <si>
    <t>Zuid-Afrikaanse Randen</t>
  </si>
  <si>
    <t>Spaarhypotheek intern, bevat sekseneutrale polissen</t>
  </si>
  <si>
    <t>LL_NOM</t>
  </si>
  <si>
    <t>P_LL_Nom</t>
  </si>
  <si>
    <t>Sp Hyp Eigen</t>
  </si>
  <si>
    <t>Spaarhypotheek, bevat sekseneutrale polissen</t>
  </si>
  <si>
    <t>Spaarhypotheek BNP</t>
  </si>
  <si>
    <t>Spaarhypotheek Obvion</t>
  </si>
  <si>
    <t>Sp Hyp OBV</t>
  </si>
  <si>
    <t>AMEV KV</t>
  </si>
  <si>
    <t>Australische Dollars</t>
  </si>
  <si>
    <t>P_AMEV_KV</t>
  </si>
  <si>
    <t>winstdeling obv t of u rendement (oorspronkelijk EPW)</t>
  </si>
  <si>
    <t>2%=3%</t>
  </si>
  <si>
    <t>winstdeling obv t of u rendement (oorspronkelijk KBW)</t>
  </si>
  <si>
    <t>KPS</t>
  </si>
  <si>
    <t>(per 2013Q2) Bevat sekseneutrale polissen</t>
  </si>
  <si>
    <t>38%=3%</t>
  </si>
  <si>
    <t>Overlijdensdekking % van fondswaarde</t>
  </si>
  <si>
    <t>P_GenColl_UL</t>
  </si>
  <si>
    <t>Hybride sp hyp Overlijdensdekking % van fondswaarde</t>
  </si>
  <si>
    <t>9. Interlloyd UL zonder garantie</t>
  </si>
  <si>
    <t>Hybride sp hyp Overlijdensdekking vast kapitaal</t>
  </si>
  <si>
    <t>9. Falcon UL zonder garantie</t>
  </si>
  <si>
    <t>OVR</t>
  </si>
  <si>
    <t>UL NGL Garantie Sekse Afhankelijk</t>
  </si>
  <si>
    <t>10. ASR UL Levenslijn met garantie</t>
  </si>
  <si>
    <t>NGL_UL</t>
  </si>
  <si>
    <t>P_NGL_UL</t>
  </si>
  <si>
    <t>UL NGL Geen Garantie Sekse Afhankelijk</t>
  </si>
  <si>
    <t>9. DA individueel Unit Linked zonder garantie</t>
  </si>
  <si>
    <t>10. Generali individueel Unit Linked met garantie</t>
  </si>
  <si>
    <t>GEN_LEV_UL</t>
  </si>
  <si>
    <t>P_GenLev_UL</t>
  </si>
  <si>
    <t>9. Genarali individueel Unit Linked zonder garantie</t>
  </si>
  <si>
    <t>spaarkas</t>
  </si>
  <si>
    <t>ABC spaarkasverzekeringen</t>
  </si>
  <si>
    <t>ABC kas</t>
  </si>
  <si>
    <t>n.v.t.</t>
  </si>
  <si>
    <t>11. ABC Spaarkas</t>
  </si>
  <si>
    <t>ABCKAS UL</t>
  </si>
  <si>
    <t>P_ABCKAS</t>
  </si>
  <si>
    <t>6. ABC Spaarkas contra</t>
  </si>
  <si>
    <t>ABCKAS NOM</t>
  </si>
  <si>
    <t>P_Coll_WNP</t>
  </si>
  <si>
    <t>WnP</t>
  </si>
  <si>
    <t>Gesepareerd depot AAC</t>
  </si>
  <si>
    <t>2,5% / 3% / 4%</t>
  </si>
  <si>
    <t>Gesepareerd depot BCV</t>
  </si>
  <si>
    <t>2% / 3% / 4%</t>
  </si>
  <si>
    <t>P_GenColl_ZD</t>
  </si>
  <si>
    <t>Gesepareerd depot GWK</t>
  </si>
  <si>
    <t>2,5% / 4%</t>
  </si>
  <si>
    <t>Gesepareerd depot LCX</t>
  </si>
  <si>
    <t>Gesepareerd depot MCB</t>
  </si>
  <si>
    <t>Gesepareerd depot MGR</t>
  </si>
  <si>
    <t>Gesepareerd depot OVZ</t>
  </si>
  <si>
    <t>Gesepareerd depot PFA, Pensioenregeling ASR</t>
  </si>
  <si>
    <t>12. ASR Collectief Nominaal winstdelend ZPFA</t>
  </si>
  <si>
    <t>P_GenColl_PF</t>
  </si>
  <si>
    <t>Gesepareerd depot PKS</t>
  </si>
  <si>
    <t>Gesepareerd depot PPK</t>
  </si>
  <si>
    <t>Gesepareerd depot RAE</t>
  </si>
  <si>
    <t>R_DATA</t>
  </si>
  <si>
    <t>not_ok</t>
  </si>
  <si>
    <t>P_TRAD_1</t>
  </si>
  <si>
    <t>uitvaart_discretionairwinstdelend_afkoopbaar</t>
  </si>
  <si>
    <t>P_TRAD_2</t>
  </si>
  <si>
    <t>uitvaart_winstdelend_afkoopbaar</t>
  </si>
  <si>
    <t>P_TRAD_3</t>
  </si>
  <si>
    <t>uitvaart_discretionairwinstdelend_niet-afkoopbaar</t>
  </si>
  <si>
    <t>P_TRAD_4</t>
  </si>
  <si>
    <t>uitvaart_winstdelend_niet-afkoopbaar</t>
  </si>
  <si>
    <t>P_TRAD_5</t>
  </si>
  <si>
    <t>uitvaart_niet-winstdelend_afkoopbaar</t>
  </si>
  <si>
    <t>P_TRAD_6</t>
  </si>
  <si>
    <t>uitvaart_niet-winstdelend_niet-afkoopbaar</t>
  </si>
  <si>
    <t>P_TRAD_7</t>
  </si>
  <si>
    <t>leven_ingegane lijfrentes</t>
  </si>
  <si>
    <t>P_TRAD_8</t>
  </si>
  <si>
    <t>leven_discretionairwinstdelend_spaar</t>
  </si>
  <si>
    <t>P_TRAD_9</t>
  </si>
  <si>
    <t>leven_winstdelend_spaar</t>
  </si>
  <si>
    <t>P_TRAD_10</t>
  </si>
  <si>
    <t>leven_nominaal deel_ hybride spaarhypotheken</t>
  </si>
  <si>
    <t>P_TRAD_11</t>
  </si>
  <si>
    <t>leven_UL_spaar_zonder_garantie_(incl_UL_deel_hyb_en_DIL)</t>
  </si>
  <si>
    <t>P_UNLI_11</t>
  </si>
  <si>
    <t>P_TRAD_12</t>
  </si>
  <si>
    <t>leven_UL_spaar_met_garantie</t>
  </si>
  <si>
    <t>P_UNLI_12</t>
  </si>
  <si>
    <t>P_TRAD_13</t>
  </si>
  <si>
    <t>leven_niet-winstdelend_overlijdensrisico</t>
  </si>
  <si>
    <t>P_TRAD_14</t>
  </si>
  <si>
    <t>leven_spaarhypotheken_extern</t>
  </si>
  <si>
    <t>P_TRAD_15</t>
  </si>
  <si>
    <t>leven_spaarhypotheken_intern</t>
  </si>
  <si>
    <t>P_TRAD_16</t>
  </si>
  <si>
    <t>leven_niet-winstdelend_spaar</t>
  </si>
  <si>
    <t>P_FSPD_17</t>
  </si>
  <si>
    <t>pensioen_winstdelend_overleven</t>
  </si>
  <si>
    <t>P_RSK__17</t>
  </si>
  <si>
    <t>P_TRAD_17</t>
  </si>
  <si>
    <t>P_FSPD_18</t>
  </si>
  <si>
    <t>pensioen_winstdelend_overleven_ZPFA</t>
  </si>
  <si>
    <t>P_RSK__18</t>
  </si>
  <si>
    <t>P_FSPD_19</t>
  </si>
  <si>
    <t>pensioen_winstdelend_overleven_ZD</t>
  </si>
  <si>
    <t>P_TRAD_20</t>
  </si>
  <si>
    <t>pensioen_winstdelend_spaar</t>
  </si>
  <si>
    <t>P_UNLI_21</t>
  </si>
  <si>
    <t>Pensioen_UL_overleven_zonder-garantie</t>
  </si>
  <si>
    <t>P_UNLI_22</t>
  </si>
  <si>
    <t>Pensioen_UL_overleven_met-garantie</t>
  </si>
  <si>
    <t>P_TRAD_22</t>
  </si>
  <si>
    <t>P_TRAD_23</t>
  </si>
  <si>
    <t>Pensioen_UL_Aanvullend</t>
  </si>
  <si>
    <t>P_UNLI_24</t>
  </si>
  <si>
    <t>Pensioen_UL_spaar_zonder-garantie</t>
  </si>
  <si>
    <t>P_TRAD_25</t>
  </si>
  <si>
    <t>Pensioen_UL_spaar_met-garantie</t>
  </si>
  <si>
    <t>P_UNLI_25</t>
  </si>
  <si>
    <t>P_FSPD_26</t>
  </si>
  <si>
    <t>Pensioen_winstdelend_spaar_KBL</t>
  </si>
  <si>
    <t>P_TRAD_27</t>
  </si>
  <si>
    <t>Pensioen_niet-winstdelend_overleven</t>
  </si>
  <si>
    <t>P_TRAD_28</t>
  </si>
  <si>
    <t>Pensioen_niet-winstdelend_spaar</t>
  </si>
  <si>
    <t>Methode_RiskDriver_Kortleven</t>
  </si>
  <si>
    <t>Methode_RiskDriver_Langleven</t>
  </si>
  <si>
    <t>Methode_RiskDriver_AO</t>
  </si>
  <si>
    <t>Methode_RiskDriver_LapseUp</t>
  </si>
  <si>
    <t>Methode_RiskDriver_LapseDown</t>
  </si>
  <si>
    <t>codering nom/ul ivm toedeling operationeel risico.
0=conform GARC (finadmin)
1=niet conform GARC (UL wordt NOM)</t>
  </si>
  <si>
    <t>Ind_OR_UL_naar_Nom</t>
  </si>
  <si>
    <t>VVP (Math. Reserve)</t>
  </si>
  <si>
    <t>FN_PREM_IV</t>
  </si>
  <si>
    <t>$A$2:$AM$406</t>
  </si>
  <si>
    <t>Ind_VVP_Riskdriver_Corrigeren</t>
  </si>
  <si>
    <t>QRT_niveau</t>
  </si>
  <si>
    <t>3a</t>
  </si>
  <si>
    <t>EADP</t>
  </si>
  <si>
    <t>EADV</t>
  </si>
  <si>
    <t>IQDP</t>
  </si>
  <si>
    <t>Bovenstaande knop indrukken nadat de sheet akkoord is.</t>
  </si>
  <si>
    <t xml:space="preserve"> </t>
  </si>
  <si>
    <t>CAPITAL_AT_RISK</t>
  </si>
  <si>
    <t>Indicator_BEL_Cat_via_Riskap</t>
  </si>
  <si>
    <t>start1</t>
  </si>
  <si>
    <t>start2</t>
  </si>
  <si>
    <t>12. ASR Collectief Nominaal rentestandskorting EAPF</t>
  </si>
  <si>
    <t>COLL_PF_ACT</t>
  </si>
  <si>
    <t>P_Coll_PF_Act</t>
  </si>
  <si>
    <t>Ingegaan pensioen</t>
  </si>
  <si>
    <t>Unit linked</t>
  </si>
  <si>
    <t>9. KV UL</t>
  </si>
  <si>
    <t>FundProduct Number</t>
  </si>
  <si>
    <t>Combi_FUND_CL</t>
  </si>
  <si>
    <t>OSM_Data_Segment</t>
  </si>
  <si>
    <t>HRG 28 totaal (Pensioenen - niet winstdelend spaar totaal)</t>
  </si>
  <si>
    <t>EONW</t>
  </si>
  <si>
    <t>HRG 27 totaal (Pensioenen - niet winstdelend overleven totaal)</t>
  </si>
  <si>
    <t>HRG 26 totaal (Pensioenen - winstdelend spaar kapitaal bij leven  totaal)</t>
  </si>
  <si>
    <t>HRG 25 totaal (Pensioenen - unit linked spaar met garantie totaal)</t>
  </si>
  <si>
    <t>POGP</t>
  </si>
  <si>
    <t>HRG 24 totaal (Pensioenen - unit linked spaar zonder garantie totaal)</t>
  </si>
  <si>
    <t>POPF</t>
  </si>
  <si>
    <t>HRG 23 totaal (Pensioenen - unit linked aanvullend totaal)</t>
  </si>
  <si>
    <t>HRG 22 totaal (Pensioenen - unit linked overleven met garantie totaal)</t>
  </si>
  <si>
    <t>HRG 21 totaal (Pensioenen - unit linked overleven zonder garantie totaal)</t>
  </si>
  <si>
    <t>HRG 20 totaal (Pensioenen - winstdelend spaar totaal)</t>
  </si>
  <si>
    <t>HRG 19 totaal (Pensioenen - winstdelend overleven zakelijk depots totaal)</t>
  </si>
  <si>
    <t>ZCAO</t>
  </si>
  <si>
    <t>HRG 18 totaal (Pensioenen - winstdelend overleven eigen pensioenregeling totaal)</t>
  </si>
  <si>
    <t>EOWD</t>
  </si>
  <si>
    <t>HRG 17 totaal (Pensioenen - winstdelend overleven totaal)</t>
  </si>
  <si>
    <t>HRG 16 totaal (Leven - niet winstdelend spaar totaal)</t>
  </si>
  <si>
    <t>HRG 15 totaal (Leven - spaarhypotheken intern totaal)</t>
  </si>
  <si>
    <t>HRG 14 totaal (Leven - spaarhypotheken extern totaal)</t>
  </si>
  <si>
    <t>HRG 13 totaal (Leven - niet winstdelend overlijdensrisico totaal)</t>
  </si>
  <si>
    <t>IORA</t>
  </si>
  <si>
    <t>IORN</t>
  </si>
  <si>
    <t>HRG 12 totaal (Leven - unit linked spaar met garantie totaal)</t>
  </si>
  <si>
    <t>UOGP</t>
  </si>
  <si>
    <t>HRG 11 totaal (Leven - unit linked spaar zonder garantie totaal)</t>
  </si>
  <si>
    <t>IOUL</t>
  </si>
  <si>
    <t>UOPF</t>
  </si>
  <si>
    <t>HRG 10 totaal (Leven - nominaal spaar hybride totaal)</t>
  </si>
  <si>
    <t>Dummy</t>
  </si>
  <si>
    <t>HRG 09 totaal (Leven - winstdelend spaar totaal)</t>
  </si>
  <si>
    <t>HRG 05 totaal (Uitvaart - niet winstdelend afkoopbaar totaal)</t>
  </si>
  <si>
    <t>HRG 06 totaal (Uitvaart - niet winstdelend niet afkoopbaar totaal)</t>
  </si>
  <si>
    <t>HRG 08 totaal (Leven - discretionair winstdelend spaar totaal)</t>
  </si>
  <si>
    <t>HRG 07 totaal (Leven - ingegane lijfrentes totaal)</t>
  </si>
  <si>
    <t>IOLM</t>
  </si>
  <si>
    <t>IOLZ</t>
  </si>
  <si>
    <t>HRG 01 totaal (Uitvaart - discretionair winstdelend afkoopbaar totaal)</t>
  </si>
  <si>
    <t>HRG 02 totaal (Uitvaart - winstdelend afkoopbaar totaal)</t>
  </si>
  <si>
    <t>HRG 03 totaal (Uitvaart - discretionair winstdelend niet afkoopbaar totaal)</t>
  </si>
  <si>
    <t>HRG 04 totaal (Uitvaart - winstdelend niet afkoopbaar totaal)</t>
  </si>
  <si>
    <t>ASR Leven totaal</t>
  </si>
  <si>
    <t>HRG 01 totaal</t>
  </si>
  <si>
    <t>HRG 02 totaal</t>
  </si>
  <si>
    <t>HRG 03 totaal</t>
  </si>
  <si>
    <t>HRG 04 totaal</t>
  </si>
  <si>
    <t>HRG 05 totaal</t>
  </si>
  <si>
    <t>HRG 06 totaal</t>
  </si>
  <si>
    <t>HRG 07 totaal</t>
  </si>
  <si>
    <t>HRG 08 totaal</t>
  </si>
  <si>
    <t>HRG 09 totaal</t>
  </si>
  <si>
    <t>HRG 10 totaal</t>
  </si>
  <si>
    <t>HRG 11 totaal</t>
  </si>
  <si>
    <t>HRG 12 totaal</t>
  </si>
  <si>
    <t>HRG 13 totaal</t>
  </si>
  <si>
    <t>HRG 14 totaal</t>
  </si>
  <si>
    <t>HRG 15 totaal</t>
  </si>
  <si>
    <t>HRG 16 totaal</t>
  </si>
  <si>
    <t>HRG 17 totaal</t>
  </si>
  <si>
    <t>HRG 18 totaal</t>
  </si>
  <si>
    <t>HRG 19 totaal</t>
  </si>
  <si>
    <t>HRG 20 totaal</t>
  </si>
  <si>
    <t>HRG 21 totaal</t>
  </si>
  <si>
    <t>HRG 22 totaal</t>
  </si>
  <si>
    <t>HRG 23 totaal</t>
  </si>
  <si>
    <t>HRG 24 totaal</t>
  </si>
  <si>
    <t>HRG 25 totaal</t>
  </si>
  <si>
    <t>HRG 26 totaal</t>
  </si>
  <si>
    <t>HRG 27 totaal</t>
  </si>
  <si>
    <t>HRG 28 totaal</t>
  </si>
  <si>
    <t>Leven totaal</t>
  </si>
  <si>
    <t>Pensioenen totaal</t>
  </si>
  <si>
    <t>Uitvaart totaal</t>
  </si>
  <si>
    <t>EPR totaal</t>
  </si>
  <si>
    <t>FN_RISPREM</t>
  </si>
  <si>
    <t># Lijfrenteposten</t>
  </si>
  <si>
    <t># PremieVrije(PUP)</t>
  </si>
  <si>
    <t>CW(KD+PR)</t>
  </si>
  <si>
    <t>CW(PR)</t>
  </si>
  <si>
    <t>CW(PR) daling</t>
  </si>
  <si>
    <t>Wijzigingen 2019Q3:
Aanpassing layout blad "ModelpuntenInfoOSM" en layoutcontrole op blad "LoC ModelpuntenInfoOSM"
Toevoeging Methode_RiskDriver_Kortleven keuze "CAPITAL_AT_RISK"
Toevoeging Indicator Indicator_BEL_Cat_via_Riskap op blad "Modelpuntinfo"
Toevoeging OSM_DATA_Segment</t>
  </si>
  <si>
    <t>EAPG</t>
  </si>
  <si>
    <t>Input en Controle Modelpunten Informatie.xlsm</t>
  </si>
  <si>
    <t>SSC Actuarial Reporting Life</t>
  </si>
  <si>
    <t>Rutger Onrust</t>
  </si>
  <si>
    <t>Zie tabblad "Versiebeheer"</t>
  </si>
  <si>
    <t>In het blad "invoer" wordt het in te lezen modelpunt overzicht opgegeven, op basis van het geselecteerde jaar en periode.
Op blad MP Controle Recap moet gecheckt worden of de controles goed zijn en akkoord gegeven indien OK. 
Als alles in orde is kan de data gesaved worden naar de Vena database.
Zie ook tabblad "Toelichting"</t>
  </si>
  <si>
    <t>Deze sheet communiceert met de database, de cellen waar het om gaat zijn gekleurd aan de hand van de kleuren op het tabblad "Toelichting".</t>
  </si>
  <si>
    <t>2020Q3</t>
  </si>
  <si>
    <t>Versie t.b.v. productie 2020Q3</t>
  </si>
  <si>
    <t>IONW</t>
  </si>
  <si>
    <t>IVNW</t>
  </si>
  <si>
    <t>IVRA</t>
  </si>
  <si>
    <t>IVRN</t>
  </si>
  <si>
    <t>UVPF</t>
  </si>
  <si>
    <t>UVSA</t>
  </si>
  <si>
    <t>IOWH</t>
  </si>
  <si>
    <t>IVOD</t>
  </si>
  <si>
    <t>IVOV</t>
  </si>
  <si>
    <t>IVLR</t>
  </si>
  <si>
    <t>IVLW</t>
  </si>
  <si>
    <t>var</t>
  </si>
  <si>
    <t>12. ASR Collectief Nominaal rentestandskorting EAPG</t>
  </si>
  <si>
    <t>COLL_PG_ACT</t>
  </si>
  <si>
    <t>P_Coll_PG_Act</t>
  </si>
  <si>
    <t>Loyalis</t>
  </si>
  <si>
    <t>ANW</t>
  </si>
  <si>
    <t>14. Loyalis Collectief Nominaal niet-winstdelend</t>
  </si>
  <si>
    <t>LoyColl_Nom</t>
  </si>
  <si>
    <t>P_LoyColl_Nom</t>
  </si>
  <si>
    <t>Lijfrenten met indexatie</t>
  </si>
  <si>
    <t>nvb</t>
  </si>
  <si>
    <t>5. Loyalis Individueel Nominaal DIL</t>
  </si>
  <si>
    <t>LoyLev_Nom</t>
  </si>
  <si>
    <t>P_LoyLev_Nom</t>
  </si>
  <si>
    <t>Lijfrenten zonder indexatie</t>
  </si>
  <si>
    <t>8. Loyalis Individueel Nominaal niet winstdelend</t>
  </si>
  <si>
    <t>Overlijdensrisicoverzekeringen afkoopbaar</t>
  </si>
  <si>
    <t>6. Loyalis Individueel Nominaal Risico</t>
  </si>
  <si>
    <t>Overlijdensrisicoverzekeringen niet afkoopbaar</t>
  </si>
  <si>
    <t>Nominale voorziening bij UL</t>
  </si>
  <si>
    <t>9. Loyalis Unit Linked</t>
  </si>
  <si>
    <t>LoyLev_UL</t>
  </si>
  <si>
    <t>P_LoyLev_UL</t>
  </si>
  <si>
    <t>Winstdelend</t>
  </si>
  <si>
    <t>4. Loyalis Winstdelend</t>
  </si>
  <si>
    <t>VvAA</t>
  </si>
  <si>
    <t>Lijfrenten niet-winstdelend</t>
  </si>
  <si>
    <t>5. VvAA Individueel Nominaal DIL</t>
  </si>
  <si>
    <t>VvAA_Nom</t>
  </si>
  <si>
    <t>P_VvAA_Nom</t>
  </si>
  <si>
    <t>Lijfrenten winstdelend</t>
  </si>
  <si>
    <t>8. VvAA Individueel Nominaal niet winstdelend</t>
  </si>
  <si>
    <t>4. VvAA Individueel Nominaal winstdelend</t>
  </si>
  <si>
    <t>6. VvAA Individueel Nominaal Risico</t>
  </si>
  <si>
    <t>P_LoyColl_UL</t>
  </si>
  <si>
    <t xml:space="preserve">Levensloop LOGA en Pensioen/AOW aanvullingsplan </t>
  </si>
  <si>
    <t>10. Loyalis individueel Unit Linked met garantie</t>
  </si>
  <si>
    <t>Levensloop LOGA en Pensioen/AOW aanvullingsplan</t>
  </si>
  <si>
    <t>9. Loyalis individueel Unit Linked zonder garantie</t>
  </si>
  <si>
    <t>9. VvAA individueel Unit Linked zonder garantie</t>
  </si>
  <si>
    <t>VvAA_UL</t>
  </si>
  <si>
    <t>P_VvAA_UL</t>
  </si>
  <si>
    <t>P_LoyColl_ZD</t>
  </si>
  <si>
    <t>F_TRAD_1</t>
  </si>
  <si>
    <t>F_TRAD_2</t>
  </si>
  <si>
    <t>F_TRAD_3</t>
  </si>
  <si>
    <t>F_TRAD_4</t>
  </si>
  <si>
    <t>F_UNLI_5</t>
  </si>
  <si>
    <t>F_TRAD_6</t>
  </si>
  <si>
    <t>F_UNLI_7</t>
  </si>
  <si>
    <t>F_TRAD_8</t>
  </si>
  <si>
    <t>F_TRAD_9</t>
  </si>
  <si>
    <t>F_UNLI_10</t>
  </si>
  <si>
    <t>F_TRAD_11</t>
  </si>
  <si>
    <t>F_UNLI_12</t>
  </si>
  <si>
    <t>F_TRAD_13</t>
  </si>
  <si>
    <t>F_TRAD_14</t>
  </si>
  <si>
    <t>F_TRAD_15</t>
  </si>
  <si>
    <t>F_UNLI_16</t>
  </si>
  <si>
    <t>F_UNLI_17</t>
  </si>
  <si>
    <t>F_TRAD_18</t>
  </si>
  <si>
    <t>F_TRAD_19</t>
  </si>
  <si>
    <t>F_TRAD_20</t>
  </si>
  <si>
    <t>F_TRAD_21</t>
  </si>
  <si>
    <t>F_UNLI_22</t>
  </si>
  <si>
    <t>F_TRAD_23</t>
  </si>
  <si>
    <t>F_TRAD_24</t>
  </si>
  <si>
    <t>F_TRAD_25</t>
  </si>
  <si>
    <t>F_TRAD_26</t>
  </si>
  <si>
    <t>F_UNLI_26</t>
  </si>
  <si>
    <t>F_TRAD_27</t>
  </si>
  <si>
    <t>F_UNLI_28</t>
  </si>
  <si>
    <t>F_TRAD_29</t>
  </si>
  <si>
    <t>F_UNLI_30</t>
  </si>
  <si>
    <t>F_TRAD_31</t>
  </si>
  <si>
    <t>F_TRAD_32</t>
  </si>
  <si>
    <t>F_TRAD_33</t>
  </si>
  <si>
    <t>F_TRAD_34</t>
  </si>
  <si>
    <t>F_UNLI_35</t>
  </si>
  <si>
    <t>F_UNLI_36</t>
  </si>
  <si>
    <t>F_TRAD_37</t>
  </si>
  <si>
    <t>F_FSPD_37</t>
  </si>
  <si>
    <t>F_TRAD_38</t>
  </si>
  <si>
    <t>F_FSPD_38</t>
  </si>
  <si>
    <t>F_RSK__38</t>
  </si>
  <si>
    <t>F_FSPD_39</t>
  </si>
  <si>
    <t>F_FSPD_40</t>
  </si>
  <si>
    <t>F_RSK__41</t>
  </si>
  <si>
    <t>F_FSPD_42</t>
  </si>
  <si>
    <t>F_UNLI_43</t>
  </si>
  <si>
    <t>F_TRAD_44</t>
  </si>
  <si>
    <t>F_TRAD_45</t>
  </si>
  <si>
    <t>F_TRAD_49</t>
  </si>
  <si>
    <t>F_TRAD_52</t>
  </si>
  <si>
    <t>F_UNLI_53</t>
  </si>
  <si>
    <t>F_UNLI_54</t>
  </si>
  <si>
    <t>OK</t>
  </si>
  <si>
    <t>WPFN</t>
  </si>
  <si>
    <t>WPFV</t>
  </si>
  <si>
    <t>WPFS</t>
  </si>
  <si>
    <t>Q2</t>
  </si>
  <si>
    <t>ANWH</t>
  </si>
  <si>
    <t>QRT-subniveau 3b totaal (Other life insurance with options and guarantees totaal)</t>
  </si>
  <si>
    <t>IOSH</t>
  </si>
  <si>
    <t>QRT-subniveau 3a totaal (Other life insurance without options and guarantees totaal)</t>
  </si>
  <si>
    <t>QRT-subniveau 2b totaal (Index-linked with options and guarantees totaal)</t>
  </si>
  <si>
    <t>QRT-subniveau 2a totaal (Index-linked without options and guarantees totaal)</t>
  </si>
  <si>
    <t>QRT-subniveau 1a totaal (Insurance with profit participation totaal)</t>
  </si>
  <si>
    <t>Overview modelpunten 2021Q2 ASR Levensverzekering N.V.</t>
  </si>
  <si>
    <t>Niet winstdelend (EPR)</t>
  </si>
  <si>
    <t>P_COLL_WPF</t>
  </si>
  <si>
    <t>Overlijdensdekking vast kapitaal (EPR)</t>
  </si>
  <si>
    <t>Bijverzekeringen (EPR)</t>
  </si>
  <si>
    <t>M:\Master_2021Q2\07) OSM_Prophet\V01\Leven</t>
  </si>
  <si>
    <t>M:\Master_2021Q2\07) OSM_Prophet\V01\Pensioen</t>
  </si>
  <si>
    <t>P_Coll_WPF</t>
  </si>
  <si>
    <t>F_UNLI_46</t>
  </si>
  <si>
    <t>F_TRAD_47</t>
  </si>
  <si>
    <t>F_TRAD_48</t>
  </si>
  <si>
    <t>F_FSPD_49</t>
  </si>
  <si>
    <t>F_RSK__49</t>
  </si>
  <si>
    <t>F_RSK__50</t>
  </si>
  <si>
    <t>F_FSPD_51</t>
  </si>
  <si>
    <t>F_TRAD_55</t>
  </si>
  <si>
    <t>F_UNLI_56</t>
  </si>
  <si>
    <t>F_UNLI_57</t>
  </si>
  <si>
    <t>F_FSPD_58</t>
  </si>
  <si>
    <t>IAFU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</si>
</sst>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_(* \(#,##0.00\);_(* &quot;-&quot;??_);_(@_)"/>
    <numFmt numFmtId="165" formatCode="_-[$€]* #,##0.00_-;\-[$€]* #,##0.00_-;_-[$€]* &quot;-&quot;??_-;_-@_-"/>
    <numFmt numFmtId="166" formatCode="0.0"/>
    <numFmt numFmtId="167" formatCode="00"/>
    <numFmt numFmtId="168" formatCode="0.0%"/>
    <numFmt numFmtId="169" formatCode="_-* #,##0.00_-;_-* #,##0.00\-;_-* &quot;-&quot;??_-;_-@_-"/>
    <numFmt numFmtId="170" formatCode="_-[$€-2]\ * #,##0.00_-;_-[$€-2]\ * #,##0.00\-;_-[$€-2]\ * &quot;-&quot;??_-"/>
    <numFmt numFmtId="171" formatCode="_-* #,##0.00\ [$€-40C]_-;\-* #,##0.00\ [$€-40C]_-;_-* &quot;-&quot;??\ [$€-40C]_-;_-@_-"/>
    <numFmt numFmtId="172" formatCode="_-* #,##0.00\ _€_-;\-* #,##0.00\ _€_-;_-* &quot;-&quot;??\ _€_-;_-@_-"/>
    <numFmt numFmtId="173" formatCode="_-* #,##0.00\ &quot;€&quot;_-;\-* #,##0.00\ &quot;€&quot;_-;_-* &quot;-&quot;??\ &quot;€&quot;_-;_-@_-"/>
    <numFmt numFmtId="174" formatCode="dd/mm/yyyy\ "/>
    <numFmt numFmtId="175" formatCode="&quot;+ &quot;#,##0.00\ ;&quot;- &quot;#,##0.00\ ;0.00\ "/>
    <numFmt numFmtId="176" formatCode="#,##0\ ;&quot;- &quot;#,##0\ ;0\ "/>
    <numFmt numFmtId="177" formatCode="&quot;+ &quot;#,##0\ ;&quot;- &quot;#,##0\ ;0\ "/>
    <numFmt numFmtId="178" formatCode="_-[$€-2]\ * #,##0.00_-;_-[$€-2]\ * #,##0.00\-;_-[$€-2]\ * \-??_-"/>
    <numFmt numFmtId="179" formatCode="_-* #,##0\ _F_-;\-* #,##0\ _F_-;_-* &quot;-&quot;\ _F_-;_-@_-"/>
    <numFmt numFmtId="180" formatCode="_-* #,##0.00\ _F_-;\-* #,##0.00\ _F_-;_-* &quot;-&quot;??\ _F_-;_-@_-"/>
    <numFmt numFmtId="181" formatCode="#,##0.00\ ;&quot;- &quot;#,##0.00\ ;0.00\ "/>
    <numFmt numFmtId="182" formatCode="####0.000"/>
    <numFmt numFmtId="183" formatCode="#,##0.00%\ ;&quot;- &quot;#,##0.00%\ ;0.00%\ "/>
    <numFmt numFmtId="184" formatCode="&quot;+ &quot;#,##0.00%\ ;&quot;- &quot;#,##0.00%\ ;0.00%\ "/>
    <numFmt numFmtId="185" formatCode="#,##0%\ ;&quot;- &quot;#,##0%\ ;0%\ "/>
    <numFmt numFmtId="186" formatCode="&quot;+ &quot;#,##0%\ ;&quot;- &quot;#,##0%\ ;0%\ "/>
    <numFmt numFmtId="187" formatCode="_-* #,##0_-;_-* #,##0\-;_-* &quot;-&quot;_-;_-@_-"/>
    <numFmt numFmtId="188" formatCode="#,##0_-;\-#,##0_-;\-_;"/>
    <numFmt numFmtId="189" formatCode="@\ "/>
    <numFmt numFmtId="190" formatCode="_-&quot;€&quot;\ * #,##0_-;\-&quot;€&quot;\ * #,##0_-;_-&quot;€&quot;\ * &quot;-&quot;_-;_-@_-"/>
    <numFmt numFmtId="191" formatCode="_ * #,##0_ ;_ * \-#,##0_ ;_ * &quot;-&quot;??_ ;_ @_ "/>
    <numFmt numFmtId="192" formatCode="#,##0;&quot;-&quot;#,##0"/>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u/>
      <sz val="10"/>
      <color indexed="12"/>
      <name val="Arial"/>
      <family val="2"/>
    </font>
    <font>
      <sz val="8"/>
      <name val="Arial"/>
      <family val="2"/>
    </font>
    <font>
      <sz val="10"/>
      <color indexed="8"/>
      <name val="Arial"/>
      <family val="2"/>
    </font>
    <font>
      <b/>
      <sz val="10"/>
      <color indexed="12"/>
      <name val="Arial"/>
      <family val="2"/>
    </font>
    <font>
      <sz val="10"/>
      <color indexed="12"/>
      <name val="Arial"/>
      <family val="2"/>
    </font>
    <font>
      <sz val="8"/>
      <name val="Arial"/>
      <family val="2"/>
    </font>
    <font>
      <i/>
      <sz val="10"/>
      <color indexed="10"/>
      <name val="Arial"/>
      <family val="2"/>
    </font>
    <font>
      <sz val="11"/>
      <color indexed="8"/>
      <name val="Calibri"/>
      <family val="2"/>
    </font>
    <font>
      <sz val="11"/>
      <color indexed="9"/>
      <name val="Calibri"/>
      <family val="2"/>
    </font>
    <font>
      <sz val="11"/>
      <color indexed="10"/>
      <name val="Calibri"/>
      <family val="2"/>
    </font>
    <font>
      <sz val="11"/>
      <color indexed="20"/>
      <name val="Calibri"/>
      <family val="2"/>
    </font>
    <font>
      <b/>
      <sz val="11"/>
      <color indexed="52"/>
      <name val="Calibri"/>
      <family val="2"/>
    </font>
    <font>
      <sz val="11"/>
      <color indexed="52"/>
      <name val="Calibri"/>
      <family val="2"/>
    </font>
    <font>
      <b/>
      <sz val="11"/>
      <color indexed="9"/>
      <name val="Calibri"/>
      <family val="2"/>
    </font>
    <font>
      <sz val="9"/>
      <name val="Courier New"/>
      <family val="3"/>
    </font>
    <font>
      <sz val="11"/>
      <color indexed="62"/>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0"/>
      <name val="Calibri"/>
      <family val="2"/>
    </font>
    <font>
      <sz val="8"/>
      <name val="Courier New"/>
      <family val="3"/>
    </font>
    <font>
      <b/>
      <sz val="18"/>
      <color indexed="56"/>
      <name val="Cambria"/>
      <family val="2"/>
    </font>
    <font>
      <b/>
      <sz val="11"/>
      <color indexed="63"/>
      <name val="Calibri"/>
      <family val="2"/>
    </font>
    <font>
      <sz val="9"/>
      <name val="Arial"/>
      <family val="2"/>
    </font>
    <font>
      <sz val="8"/>
      <name val="Arial Narrow"/>
      <family val="2"/>
    </font>
    <font>
      <i/>
      <sz val="9"/>
      <name val="Arial"/>
      <family val="2"/>
    </font>
    <font>
      <sz val="9"/>
      <name val="Times New Roman"/>
      <family val="1"/>
    </font>
    <font>
      <u/>
      <sz val="8"/>
      <name val="Times New Roman"/>
      <family val="1"/>
    </font>
    <font>
      <b/>
      <sz val="11"/>
      <color indexed="8"/>
      <name val="Calibri"/>
      <family val="2"/>
    </font>
    <font>
      <sz val="12"/>
      <name val="Arial"/>
      <family val="2"/>
    </font>
    <font>
      <u/>
      <sz val="10"/>
      <name val="Arial"/>
      <family val="2"/>
    </font>
    <font>
      <b/>
      <sz val="10"/>
      <color rgb="FF0000FF"/>
      <name val="Arial"/>
      <family val="2"/>
    </font>
    <font>
      <sz val="11"/>
      <name val="Times New Roman"/>
      <family val="1"/>
    </font>
    <font>
      <sz val="9"/>
      <color indexed="81"/>
      <name val="Tahoma"/>
      <family val="2"/>
    </font>
    <font>
      <b/>
      <sz val="9"/>
      <color indexed="81"/>
      <name val="Tahoma"/>
      <family val="2"/>
    </font>
    <font>
      <sz val="11"/>
      <color theme="1"/>
      <name val="Calibri"/>
      <family val="2"/>
      <charset val="238"/>
      <scheme val="minor"/>
    </font>
    <font>
      <sz val="11"/>
      <color indexed="8"/>
      <name val="Calibri"/>
      <family val="2"/>
      <charset val="238"/>
    </font>
    <font>
      <sz val="11"/>
      <color theme="0"/>
      <name val="Calibri"/>
      <family val="2"/>
      <scheme val="minor"/>
    </font>
    <font>
      <sz val="11"/>
      <color theme="0"/>
      <name val="Calibri"/>
      <family val="2"/>
      <charset val="238"/>
      <scheme val="minor"/>
    </font>
    <font>
      <sz val="11"/>
      <color indexed="9"/>
      <name val="Calibri"/>
      <family val="2"/>
      <charset val="238"/>
    </font>
    <font>
      <sz val="11"/>
      <color rgb="FFFF0000"/>
      <name val="Calibri"/>
      <family val="2"/>
      <charset val="238"/>
      <scheme val="minor"/>
    </font>
    <font>
      <sz val="11"/>
      <color rgb="FF9C0006"/>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b/>
      <sz val="11"/>
      <color rgb="FFFA7D00"/>
      <name val="Calibri"/>
      <family val="2"/>
      <charset val="238"/>
      <scheme val="minor"/>
    </font>
    <font>
      <sz val="11"/>
      <color rgb="FFFA7D00"/>
      <name val="Calibri"/>
      <family val="2"/>
      <charset val="238"/>
      <scheme val="minor"/>
    </font>
    <font>
      <b/>
      <sz val="11"/>
      <color theme="0"/>
      <name val="Calibri"/>
      <family val="2"/>
      <charset val="238"/>
      <scheme val="minor"/>
    </font>
    <font>
      <sz val="9"/>
      <color indexed="61"/>
      <name val="Arial"/>
      <family val="2"/>
    </font>
    <font>
      <sz val="11"/>
      <color rgb="FF006100"/>
      <name val="Calibri"/>
      <family val="2"/>
      <charset val="238"/>
      <scheme val="minor"/>
    </font>
    <font>
      <sz val="10"/>
      <name val="Arial"/>
      <family val="2"/>
      <charset val="238"/>
    </font>
    <font>
      <sz val="11"/>
      <color rgb="FF3F3F76"/>
      <name val="Calibri"/>
      <family val="2"/>
      <charset val="238"/>
      <scheme val="minor"/>
    </font>
    <font>
      <i/>
      <sz val="11"/>
      <color rgb="FF7F7F7F"/>
      <name val="Calibri"/>
      <family val="2"/>
      <charset val="238"/>
      <scheme val="minor"/>
    </font>
    <font>
      <sz val="11"/>
      <color indexed="10"/>
      <name val="Calibri"/>
      <family val="2"/>
      <charset val="238"/>
    </font>
    <font>
      <u/>
      <sz val="11"/>
      <color theme="10"/>
      <name val="Calibri"/>
      <family val="2"/>
      <charset val="238"/>
      <scheme val="minor"/>
    </font>
    <font>
      <sz val="11"/>
      <color indexed="52"/>
      <name val="Calibri"/>
      <family val="2"/>
      <charset val="238"/>
    </font>
    <font>
      <b/>
      <i/>
      <sz val="10"/>
      <name val="Arial"/>
      <family val="2"/>
    </font>
    <font>
      <sz val="11"/>
      <color rgb="FF9C6500"/>
      <name val="Calibri"/>
      <family val="2"/>
      <charset val="238"/>
      <scheme val="minor"/>
    </font>
    <font>
      <sz val="12"/>
      <name val="SWISS"/>
    </font>
    <font>
      <sz val="8"/>
      <name val="CG Times (WN)"/>
      <family val="1"/>
    </font>
    <font>
      <b/>
      <sz val="8"/>
      <name val="CG Times (E1)"/>
    </font>
    <font>
      <u/>
      <sz val="8"/>
      <name val="CG Times (E1)"/>
    </font>
    <font>
      <sz val="11"/>
      <color theme="1"/>
      <name val="Czcionka tekstu podstawowego"/>
      <family val="2"/>
      <charset val="238"/>
    </font>
    <font>
      <sz val="10"/>
      <name val="Times New Roman"/>
      <family val="1"/>
    </font>
    <font>
      <sz val="11"/>
      <color indexed="20"/>
      <name val="Calibri"/>
      <family val="2"/>
      <charset val="238"/>
    </font>
    <font>
      <sz val="9"/>
      <color indexed="14"/>
      <name val="Arial"/>
      <family val="2"/>
    </font>
    <font>
      <b/>
      <sz val="11"/>
      <color rgb="FF3F3F3F"/>
      <name val="Calibri"/>
      <family val="2"/>
      <charset val="238"/>
      <scheme val="minor"/>
    </font>
    <font>
      <sz val="11"/>
      <color indexed="60"/>
      <name val="Calibri"/>
      <family val="2"/>
      <charset val="238"/>
    </font>
    <font>
      <b/>
      <sz val="18"/>
      <color indexed="62"/>
      <name val="Cambria"/>
      <family val="2"/>
    </font>
    <font>
      <sz val="10"/>
      <name val="Book Antiqua"/>
      <family val="1"/>
    </font>
    <font>
      <b/>
      <sz val="11"/>
      <color indexed="52"/>
      <name val="Calibri"/>
      <family val="2"/>
      <charset val="238"/>
    </font>
    <font>
      <sz val="10"/>
      <name val="Arial"/>
      <family val="2"/>
      <charset val="1"/>
    </font>
    <font>
      <b/>
      <sz val="18"/>
      <color theme="3"/>
      <name val="Cambria"/>
      <family val="2"/>
      <charset val="238"/>
      <scheme val="major"/>
    </font>
    <font>
      <sz val="8"/>
      <name val="MS Sans Serif"/>
      <family val="2"/>
    </font>
    <font>
      <b/>
      <sz val="16"/>
      <color theme="1"/>
      <name val="Arial"/>
      <family val="2"/>
    </font>
    <font>
      <b/>
      <sz val="16"/>
      <color theme="0"/>
      <name val="Calibri"/>
      <family val="2"/>
    </font>
    <font>
      <i/>
      <sz val="10"/>
      <color theme="1"/>
      <name val="Arial"/>
      <family val="2"/>
    </font>
    <font>
      <sz val="10"/>
      <color theme="1"/>
      <name val="Calibri"/>
      <family val="2"/>
      <scheme val="minor"/>
    </font>
    <font>
      <sz val="10"/>
      <color indexed="8"/>
      <name val="Calibri"/>
      <family val="2"/>
      <scheme val="minor"/>
    </font>
    <font>
      <sz val="10"/>
      <name val="Calibri"/>
      <family val="2"/>
      <scheme val="minor"/>
    </font>
    <font>
      <sz val="10"/>
      <color rgb="FF000000"/>
      <name val="Arial"/>
      <family val="2"/>
    </font>
    <font>
      <sz val="11"/>
      <color indexed="8"/>
      <name val="Calibri"/>
      <family val="2"/>
      <scheme val="minor"/>
    </font>
    <font>
      <b/>
      <sz val="10"/>
      <color indexed="12"/>
      <name val="Calibri"/>
      <family val="2"/>
      <scheme val="minor"/>
    </font>
    <font>
      <b/>
      <sz val="10"/>
      <name val="Calibri"/>
      <family val="2"/>
      <scheme val="minor"/>
    </font>
    <font>
      <sz val="10"/>
      <color indexed="9"/>
      <name val="Calibri"/>
      <family val="2"/>
      <scheme val="minor"/>
    </font>
    <font>
      <sz val="10"/>
      <color theme="0"/>
      <name val="Calibri"/>
      <family val="2"/>
      <scheme val="minor"/>
    </font>
    <font>
      <b/>
      <sz val="12"/>
      <color theme="1"/>
      <name val="Calibri"/>
      <family val="2"/>
      <scheme val="minor"/>
    </font>
    <font>
      <b/>
      <sz val="10"/>
      <color theme="1"/>
      <name val="Calibri"/>
      <family val="2"/>
      <scheme val="minor"/>
    </font>
    <font>
      <u/>
      <sz val="10"/>
      <color indexed="8"/>
      <name val="Calibri"/>
      <family val="2"/>
      <scheme val="minor"/>
    </font>
    <font>
      <b/>
      <sz val="14"/>
      <color indexed="8"/>
      <name val="Calibri"/>
      <family val="2"/>
      <scheme val="minor"/>
    </font>
    <font>
      <sz val="12"/>
      <color indexed="8"/>
      <name val="Calibri"/>
      <family val="2"/>
      <scheme val="minor"/>
    </font>
    <font>
      <sz val="10"/>
      <name val="Arial"/>
      <family val="2"/>
    </font>
    <font>
      <sz val="12"/>
      <name val="Calibri"/>
      <family val="2"/>
      <scheme val="minor"/>
    </font>
    <font>
      <i/>
      <sz val="10"/>
      <name val="Arial"/>
      <family val="2"/>
    </font>
    <font>
      <b/>
      <sz val="11"/>
      <color theme="0"/>
      <name val="Calibri"/>
      <family val="2"/>
      <scheme val="minor"/>
    </font>
    <font>
      <b/>
      <sz val="10"/>
      <color indexed="13"/>
      <name val="Arial"/>
      <family val="2"/>
    </font>
    <font>
      <b/>
      <sz val="18"/>
      <color theme="1"/>
      <name val="Calibri"/>
      <family val="2"/>
      <scheme val="minor"/>
    </font>
    <font>
      <b/>
      <sz val="11"/>
      <color theme="1"/>
      <name val="Calibri"/>
      <family val="2"/>
      <scheme val="minor"/>
    </font>
    <font>
      <sz val="11"/>
      <name val="Calibri"/>
      <family val="2"/>
      <scheme val="minor"/>
    </font>
    <font>
      <b/>
      <sz val="10"/>
      <color rgb="FFFF0000"/>
      <name val="Calibri"/>
      <family val="2"/>
      <scheme val="minor"/>
    </font>
    <font>
      <b/>
      <sz val="10"/>
      <color indexed="13"/>
      <name val="Calibri"/>
      <family val="2"/>
      <scheme val="minor"/>
    </font>
    <font>
      <sz val="10"/>
      <color rgb="FFFF0000"/>
      <name val="Arial"/>
      <family val="2"/>
    </font>
    <font>
      <b/>
      <sz val="11"/>
      <color rgb="FFFF0000"/>
      <name val="Calibri"/>
      <family val="2"/>
      <scheme val="minor"/>
    </font>
    <font>
      <sz val="11"/>
      <color rgb="FFFF0000"/>
      <name val="Calibri"/>
      <family val="2"/>
      <scheme val="minor"/>
    </font>
    <font>
      <sz val="10"/>
      <color rgb="FFFF0000"/>
      <name val="Calibri"/>
      <family val="2"/>
      <scheme val="minor"/>
    </font>
  </fonts>
  <fills count="12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gray0625"/>
    </fill>
    <fill>
      <patternFill patternType="solid">
        <fgColor indexed="43"/>
      </patternFill>
    </fill>
    <fill>
      <patternFill patternType="solid">
        <fgColor indexed="26"/>
        <bgColor indexed="64"/>
      </patternFill>
    </fill>
    <fill>
      <patternFill patternType="solid">
        <fgColor indexed="41"/>
        <bgColor indexed="64"/>
      </patternFill>
    </fill>
    <fill>
      <patternFill patternType="solid">
        <fgColor indexed="27"/>
        <bgColor indexed="64"/>
      </patternFill>
    </fill>
    <fill>
      <patternFill patternType="solid">
        <fgColor indexed="47"/>
        <bgColor indexed="64"/>
      </patternFill>
    </fill>
    <fill>
      <patternFill patternType="solid">
        <fgColor indexed="40"/>
        <bgColor indexed="64"/>
      </patternFill>
    </fill>
    <fill>
      <patternFill patternType="solid">
        <fgColor indexed="42"/>
        <bgColor indexed="64"/>
      </patternFill>
    </fill>
    <fill>
      <patternFill patternType="solid">
        <fgColor indexed="31"/>
        <bgColor indexed="64"/>
      </patternFill>
    </fill>
    <fill>
      <patternFill patternType="solid">
        <fgColor indexed="22"/>
        <bgColor indexed="64"/>
      </patternFill>
    </fill>
    <fill>
      <patternFill patternType="solid">
        <fgColor indexed="51"/>
        <bgColor indexed="64"/>
      </patternFill>
    </fill>
    <fill>
      <patternFill patternType="solid">
        <fgColor indexed="11"/>
        <bgColor indexed="64"/>
      </patternFill>
    </fill>
    <fill>
      <patternFill patternType="solid">
        <fgColor indexed="15"/>
        <bgColor indexed="64"/>
      </patternFill>
    </fill>
    <fill>
      <patternFill patternType="solid">
        <fgColor indexed="13"/>
        <bgColor indexed="64"/>
      </patternFill>
    </fill>
    <fill>
      <patternFill patternType="solid">
        <fgColor indexed="57"/>
        <bgColor indexed="64"/>
      </patternFill>
    </fill>
    <fill>
      <patternFill patternType="solid">
        <fgColor indexed="10"/>
        <bgColor indexed="64"/>
      </patternFill>
    </fill>
    <fill>
      <patternFill patternType="solid">
        <fgColor theme="0"/>
        <bgColor indexed="64"/>
      </patternFill>
    </fill>
    <fill>
      <patternFill patternType="solid">
        <fgColor rgb="FF0070C0"/>
        <bgColor indexed="64"/>
      </patternFill>
    </fill>
    <fill>
      <patternFill patternType="solid">
        <fgColor rgb="FF00FFFF"/>
        <bgColor indexed="64"/>
      </patternFill>
    </fill>
    <fill>
      <patternFill patternType="solid">
        <fgColor rgb="FFFFFF00"/>
        <bgColor indexed="64"/>
      </patternFill>
    </fill>
    <fill>
      <patternFill patternType="solid">
        <fgColor theme="9" tint="0.79998168889431442"/>
        <bgColor indexed="64"/>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indexed="44"/>
        <bgColor indexed="31"/>
      </patternFill>
    </fill>
    <fill>
      <patternFill patternType="solid">
        <fgColor indexed="29"/>
        <bgColor indexed="45"/>
      </patternFill>
    </fill>
    <fill>
      <patternFill patternType="solid">
        <fgColor indexed="11"/>
        <bgColor indexed="40"/>
      </patternFill>
    </fill>
    <fill>
      <patternFill patternType="solid">
        <fgColor indexed="11"/>
        <bgColor indexed="49"/>
      </patternFill>
    </fill>
    <fill>
      <patternFill patternType="solid">
        <fgColor indexed="51"/>
        <bgColor indexed="13"/>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rgb="FFC6EFCE"/>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6"/>
        <bgColor indexed="9"/>
      </patternFill>
    </fill>
    <fill>
      <patternFill patternType="solid">
        <fgColor indexed="43"/>
        <bgColor indexed="26"/>
      </patternFill>
    </fill>
    <fill>
      <patternFill patternType="solid">
        <fgColor rgb="FFFFEB9C"/>
      </patternFill>
    </fill>
    <fill>
      <patternFill patternType="solid">
        <fgColor indexed="14"/>
        <bgColor indexed="64"/>
      </patternFill>
    </fill>
    <fill>
      <patternFill patternType="solid">
        <fgColor theme="0"/>
        <bgColor rgb="FF000000"/>
      </patternFill>
    </fill>
    <fill>
      <patternFill patternType="solid">
        <fgColor theme="0" tint="-0.14999847407452621"/>
        <bgColor indexed="64"/>
      </patternFill>
    </fill>
    <fill>
      <patternFill patternType="solid">
        <fgColor rgb="FFD9D9D9"/>
        <bgColor rgb="FF000000"/>
      </patternFill>
    </fill>
    <fill>
      <patternFill patternType="solid">
        <fgColor rgb="FFFFC000"/>
        <bgColor indexed="64"/>
      </patternFill>
    </fill>
    <fill>
      <patternFill patternType="solid">
        <fgColor rgb="FFCCFFFF"/>
        <bgColor indexed="64"/>
      </patternFill>
    </fill>
    <fill>
      <patternFill patternType="solid">
        <fgColor theme="5" tint="0.79998168889431442"/>
        <bgColor indexed="64"/>
      </patternFill>
    </fill>
    <fill>
      <patternFill patternType="solid">
        <fgColor rgb="FFCCFFCC"/>
        <bgColor indexed="64"/>
      </patternFill>
    </fill>
    <fill>
      <patternFill patternType="solid">
        <fgColor rgb="FFFF999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indexed="9"/>
        <bgColor indexed="64"/>
      </patternFill>
    </fill>
    <fill>
      <patternFill patternType="solid">
        <fgColor theme="2" tint="-0.499984740745262"/>
        <bgColor indexed="64"/>
      </patternFill>
    </fill>
    <fill>
      <patternFill patternType="solid">
        <fgColor theme="3" tint="0.79998168889431442"/>
        <bgColor indexed="64"/>
      </patternFill>
    </fill>
    <fill>
      <patternFill patternType="solid">
        <fgColor rgb="FFFFFFCC"/>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0000"/>
        <bgColor indexed="64"/>
      </patternFill>
    </fill>
    <fill>
      <patternFill patternType="solid">
        <fgColor theme="4" tint="0.79998168889431442"/>
        <bgColor indexed="64"/>
      </patternFill>
    </fill>
  </fills>
  <borders count="41">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indexed="58"/>
      </left>
      <right style="thin">
        <color indexed="58"/>
      </right>
      <top style="thin">
        <color indexed="58"/>
      </top>
      <bottom style="thin">
        <color indexed="58"/>
      </bottom>
      <diagonal/>
    </border>
    <border>
      <left style="thin">
        <color indexed="64"/>
      </left>
      <right style="double">
        <color indexed="64"/>
      </right>
      <top style="double">
        <color indexed="64"/>
      </top>
      <bottom style="double">
        <color indexed="64"/>
      </bottom>
      <diagonal/>
    </border>
    <border>
      <left/>
      <right/>
      <top style="thin">
        <color indexed="49"/>
      </top>
      <bottom style="double">
        <color indexed="49"/>
      </bottom>
      <diagonal/>
    </border>
    <border>
      <left style="thin">
        <color indexed="52"/>
      </left>
      <right/>
      <top style="thin">
        <color indexed="52"/>
      </top>
      <bottom/>
      <diagonal/>
    </border>
    <border>
      <left/>
      <right/>
      <top style="thin">
        <color indexed="52"/>
      </top>
      <bottom/>
      <diagonal/>
    </border>
    <border>
      <left style="thin">
        <color indexed="52"/>
      </left>
      <right/>
      <top/>
      <bottom/>
      <diagonal/>
    </border>
    <border>
      <left style="thin">
        <color indexed="52"/>
      </left>
      <right/>
      <top/>
      <bottom style="thin">
        <color indexed="52"/>
      </bottom>
      <diagonal/>
    </border>
    <border>
      <left/>
      <right/>
      <top/>
      <bottom style="thin">
        <color indexed="52"/>
      </bottom>
      <diagonal/>
    </border>
    <border>
      <left style="thin">
        <color indexed="52"/>
      </left>
      <right/>
      <top/>
      <bottom style="thin">
        <color indexed="64"/>
      </bottom>
      <diagonal/>
    </border>
  </borders>
  <cellStyleXfs count="20705">
    <xf numFmtId="0" fontId="0" fillId="0" borderId="0">
      <alignment horizontal="left" wrapText="1"/>
    </xf>
    <xf numFmtId="0" fontId="7" fillId="0" borderId="0">
      <alignment horizontal="left" wrapText="1"/>
    </xf>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9"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9" borderId="0" applyNumberFormat="0" applyBorder="0" applyAlignment="0" applyProtection="0"/>
    <xf numFmtId="0" fontId="19" fillId="0" borderId="0" applyNumberFormat="0" applyFill="0" applyBorder="0" applyAlignment="0" applyProtection="0"/>
    <xf numFmtId="0" fontId="7" fillId="0" borderId="0">
      <alignment horizontal="left" wrapText="1"/>
    </xf>
    <xf numFmtId="0" fontId="21" fillId="20" borderId="1" applyNumberFormat="0" applyAlignment="0" applyProtection="0"/>
    <xf numFmtId="0" fontId="21" fillId="20" borderId="1" applyNumberFormat="0" applyAlignment="0" applyProtection="0"/>
    <xf numFmtId="0" fontId="22" fillId="0" borderId="2" applyNumberFormat="0" applyFill="0" applyAlignment="0" applyProtection="0"/>
    <xf numFmtId="0" fontId="23" fillId="21" borderId="3" applyNumberFormat="0" applyAlignment="0" applyProtection="0"/>
    <xf numFmtId="0" fontId="22" fillId="0" borderId="2" applyNumberFormat="0" applyFill="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9" borderId="0" applyNumberFormat="0" applyBorder="0" applyAlignment="0" applyProtection="0"/>
    <xf numFmtId="0" fontId="8" fillId="22" borderId="4" applyNumberFormat="0" applyFont="0" applyAlignment="0" applyProtection="0"/>
    <xf numFmtId="0" fontId="23" fillId="21" borderId="3" applyNumberFormat="0" applyAlignment="0" applyProtection="0"/>
    <xf numFmtId="3" fontId="24" fillId="0" borderId="5" applyBorder="0">
      <alignment vertical="center"/>
      <protection locked="0"/>
    </xf>
    <xf numFmtId="0" fontId="7" fillId="23" borderId="5" applyBorder="0"/>
    <xf numFmtId="0" fontId="8" fillId="23" borderId="5" applyBorder="0"/>
    <xf numFmtId="0" fontId="25" fillId="7" borderId="1" applyNumberFormat="0" applyAlignment="0" applyProtection="0"/>
    <xf numFmtId="165" fontId="8" fillId="0" borderId="0" applyFont="0" applyFill="0" applyBorder="0" applyAlignment="0" applyProtection="0"/>
    <xf numFmtId="0" fontId="17" fillId="22" borderId="4" applyNumberFormat="0" applyFont="0" applyAlignment="0" applyProtection="0"/>
    <xf numFmtId="0" fontId="20" fillId="3" borderId="0" applyNumberFormat="0" applyBorder="0" applyAlignment="0" applyProtection="0"/>
    <xf numFmtId="0" fontId="10" fillId="0" borderId="0" applyNumberFormat="0" applyFill="0" applyBorder="0" applyAlignment="0" applyProtection="0">
      <alignment vertical="top"/>
      <protection locked="0"/>
    </xf>
    <xf numFmtId="0" fontId="27" fillId="4" borderId="0" applyNumberFormat="0" applyBorder="0" applyAlignment="0" applyProtection="0"/>
    <xf numFmtId="0" fontId="20" fillId="3" borderId="0" applyNumberFormat="0" applyBorder="0" applyAlignment="0" applyProtection="0"/>
    <xf numFmtId="0" fontId="25" fillId="7" borderId="1" applyNumberFormat="0" applyAlignment="0" applyProtection="0"/>
    <xf numFmtId="0" fontId="28" fillId="0" borderId="6" applyNumberFormat="0" applyFill="0" applyAlignment="0" applyProtection="0"/>
    <xf numFmtId="0" fontId="29" fillId="0" borderId="7" applyNumberFormat="0" applyFill="0" applyAlignment="0" applyProtection="0"/>
    <xf numFmtId="0" fontId="30" fillId="0" borderId="8" applyNumberFormat="0" applyFill="0" applyAlignment="0" applyProtection="0"/>
    <xf numFmtId="0" fontId="30" fillId="0" borderId="0" applyNumberFormat="0" applyFill="0" applyBorder="0" applyAlignment="0" applyProtection="0"/>
    <xf numFmtId="0" fontId="21" fillId="20" borderId="1" applyNumberFormat="0" applyAlignment="0" applyProtection="0"/>
    <xf numFmtId="0" fontId="22" fillId="0" borderId="2" applyNumberFormat="0" applyFill="0" applyAlignment="0" applyProtection="0"/>
    <xf numFmtId="164" fontId="7" fillId="0" borderId="0" applyFont="0" applyFill="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167" fontId="32" fillId="0" borderId="9" applyBorder="0">
      <alignment horizontal="center" vertical="center" wrapText="1"/>
    </xf>
    <xf numFmtId="0" fontId="8" fillId="0" borderId="0"/>
    <xf numFmtId="0" fontId="8" fillId="0" borderId="0">
      <alignment horizontal="left" wrapText="1"/>
    </xf>
    <xf numFmtId="0" fontId="8" fillId="0" borderId="0">
      <alignment horizontal="left" wrapText="1"/>
    </xf>
    <xf numFmtId="0" fontId="7" fillId="22" borderId="4" applyNumberFormat="0" applyFont="0" applyAlignment="0" applyProtection="0"/>
    <xf numFmtId="0" fontId="8" fillId="22" borderId="4" applyNumberFormat="0" applyFont="0" applyAlignment="0" applyProtection="0"/>
    <xf numFmtId="0" fontId="20" fillId="3" borderId="0" applyNumberFormat="0" applyBorder="0" applyAlignment="0" applyProtection="0"/>
    <xf numFmtId="0" fontId="33" fillId="0" borderId="0" applyNumberFormat="0" applyFill="0" applyBorder="0" applyAlignment="0" applyProtection="0"/>
    <xf numFmtId="0" fontId="28" fillId="0" borderId="6" applyNumberFormat="0" applyFill="0" applyAlignment="0" applyProtection="0"/>
    <xf numFmtId="0" fontId="29" fillId="0" borderId="7" applyNumberFormat="0" applyFill="0" applyAlignment="0" applyProtection="0"/>
    <xf numFmtId="0" fontId="30" fillId="0" borderId="8" applyNumberFormat="0" applyFill="0" applyAlignment="0" applyProtection="0"/>
    <xf numFmtId="0" fontId="30" fillId="0" borderId="0" applyNumberFormat="0" applyFill="0" applyBorder="0" applyAlignment="0" applyProtection="0"/>
    <xf numFmtId="9" fontId="24" fillId="0" borderId="11">
      <alignment vertical="center"/>
    </xf>
    <xf numFmtId="9" fontId="8" fillId="0" borderId="0" applyFont="0" applyFill="0" applyBorder="0" applyAlignment="0" applyProtection="0"/>
    <xf numFmtId="0" fontId="35" fillId="25" borderId="0" applyNumberFormat="0" applyBorder="0">
      <alignment horizontal="right"/>
      <protection locked="0"/>
    </xf>
    <xf numFmtId="0" fontId="7" fillId="23" borderId="0" applyNumberFormat="0" applyFont="0" applyBorder="0" applyAlignment="0"/>
    <xf numFmtId="0" fontId="7" fillId="26" borderId="0" applyNumberFormat="0" applyBorder="0">
      <alignment horizontal="center" vertical="center" wrapText="1"/>
    </xf>
    <xf numFmtId="166" fontId="35" fillId="27" borderId="11" applyNumberFormat="0" applyBorder="0" applyAlignment="0">
      <alignment horizontal="right"/>
      <protection locked="0"/>
    </xf>
    <xf numFmtId="0" fontId="7" fillId="28" borderId="0" applyNumberFormat="0" applyFont="0" applyBorder="0" applyAlignment="0"/>
    <xf numFmtId="0" fontId="36" fillId="0" borderId="5" applyFill="0" applyBorder="0">
      <alignment horizontal="center" vertical="center"/>
    </xf>
    <xf numFmtId="10" fontId="37" fillId="0" borderId="12" applyNumberFormat="0" applyBorder="0" applyAlignment="0"/>
    <xf numFmtId="0" fontId="7" fillId="0" borderId="0" applyNumberFormat="0" applyFont="0" applyBorder="0" applyAlignment="0"/>
    <xf numFmtId="0" fontId="35" fillId="25" borderId="0" applyNumberFormat="0" applyBorder="0">
      <alignment horizontal="right"/>
      <protection locked="0"/>
    </xf>
    <xf numFmtId="3" fontId="16" fillId="29" borderId="11" applyBorder="0"/>
    <xf numFmtId="0" fontId="8" fillId="23" borderId="0" applyBorder="0"/>
    <xf numFmtId="0" fontId="8" fillId="30" borderId="11" applyNumberFormat="0" applyFont="0" applyBorder="0" applyAlignment="0">
      <alignment horizontal="center" wrapText="1"/>
    </xf>
    <xf numFmtId="3" fontId="35" fillId="26" borderId="5" applyNumberFormat="0" applyBorder="0" applyAlignment="0">
      <alignment vertical="center"/>
      <protection locked="0"/>
    </xf>
    <xf numFmtId="3" fontId="35" fillId="26" borderId="5" applyNumberFormat="0" applyBorder="0" applyAlignment="0">
      <alignment vertical="center"/>
      <protection locked="0"/>
    </xf>
    <xf numFmtId="0" fontId="7" fillId="30" borderId="0" applyNumberFormat="0" applyFont="0" applyFill="0" applyBorder="0" applyAlignment="0"/>
    <xf numFmtId="0" fontId="15" fillId="28" borderId="0" applyNumberFormat="0" applyFont="0" applyBorder="0" applyAlignment="0"/>
    <xf numFmtId="3" fontId="38" fillId="31" borderId="11" applyNumberFormat="0" applyBorder="0">
      <alignment horizontal="right" vertical="center" wrapText="1" indent="1"/>
    </xf>
    <xf numFmtId="0" fontId="37" fillId="0" borderId="0" applyNumberFormat="0" applyBorder="0" applyAlignment="0"/>
    <xf numFmtId="0" fontId="39" fillId="0" borderId="0" applyFill="0" applyBorder="0">
      <alignment horizontal="center" vertical="center"/>
    </xf>
    <xf numFmtId="0" fontId="27" fillId="4" borderId="0" applyNumberFormat="0" applyBorder="0" applyAlignment="0" applyProtection="0"/>
    <xf numFmtId="0" fontId="26" fillId="0" borderId="0" applyNumberFormat="0" applyFill="0" applyBorder="0" applyAlignment="0" applyProtection="0"/>
    <xf numFmtId="0" fontId="34" fillId="20" borderId="10" applyNumberFormat="0" applyAlignment="0" applyProtection="0"/>
    <xf numFmtId="0" fontId="7" fillId="0" borderId="0">
      <alignment horizontal="left" wrapText="1"/>
    </xf>
    <xf numFmtId="0" fontId="7" fillId="0" borderId="0">
      <alignment horizontal="left" wrapText="1"/>
    </xf>
    <xf numFmtId="0" fontId="7" fillId="0" borderId="0">
      <alignment horizontal="left" wrapText="1"/>
    </xf>
    <xf numFmtId="0" fontId="40" fillId="0" borderId="13" applyNumberFormat="0" applyFill="0" applyAlignment="0" applyProtection="0"/>
    <xf numFmtId="0" fontId="25" fillId="7" borderId="1" applyNumberFormat="0" applyAlignment="0" applyProtection="0"/>
    <xf numFmtId="0" fontId="23" fillId="21" borderId="3" applyNumberFormat="0" applyAlignment="0" applyProtection="0"/>
    <xf numFmtId="0" fontId="19"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33" fillId="0" borderId="0" applyNumberFormat="0" applyFill="0" applyBorder="0" applyAlignment="0" applyProtection="0"/>
    <xf numFmtId="0" fontId="28" fillId="0" borderId="6" applyNumberFormat="0" applyFill="0" applyAlignment="0" applyProtection="0"/>
    <xf numFmtId="0" fontId="29" fillId="0" borderId="7" applyNumberFormat="0" applyFill="0" applyAlignment="0" applyProtection="0"/>
    <xf numFmtId="0" fontId="30" fillId="0" borderId="8" applyNumberFormat="0" applyFill="0" applyAlignment="0" applyProtection="0"/>
    <xf numFmtId="0" fontId="30" fillId="0" borderId="0" applyNumberFormat="0" applyFill="0" applyBorder="0" applyAlignment="0" applyProtection="0"/>
    <xf numFmtId="0" fontId="33" fillId="0" borderId="0" applyNumberFormat="0" applyFill="0" applyBorder="0" applyAlignment="0" applyProtection="0"/>
    <xf numFmtId="0" fontId="28" fillId="0" borderId="6" applyNumberFormat="0" applyFill="0" applyAlignment="0" applyProtection="0"/>
    <xf numFmtId="0" fontId="29" fillId="0" borderId="7" applyNumberFormat="0" applyFill="0" applyAlignment="0" applyProtection="0"/>
    <xf numFmtId="0" fontId="30" fillId="0" borderId="8" applyNumberFormat="0" applyFill="0" applyAlignment="0" applyProtection="0"/>
    <xf numFmtId="0" fontId="30" fillId="0" borderId="0" applyNumberFormat="0" applyFill="0" applyBorder="0" applyAlignment="0" applyProtection="0"/>
    <xf numFmtId="0" fontId="40" fillId="0" borderId="13" applyNumberFormat="0" applyFill="0" applyAlignment="0" applyProtection="0"/>
    <xf numFmtId="0" fontId="34" fillId="20" borderId="10" applyNumberFormat="0" applyAlignment="0" applyProtection="0"/>
    <xf numFmtId="0" fontId="34" fillId="20" borderId="10" applyNumberFormat="0" applyAlignment="0" applyProtection="0"/>
    <xf numFmtId="0" fontId="20" fillId="3" borderId="0" applyNumberFormat="0" applyBorder="0" applyAlignment="0" applyProtection="0"/>
    <xf numFmtId="0" fontId="27" fillId="4" borderId="0" applyNumberFormat="0" applyBorder="0" applyAlignment="0" applyProtection="0"/>
    <xf numFmtId="0" fontId="19" fillId="0" borderId="0" applyNumberFormat="0" applyFill="0" applyBorder="0" applyAlignment="0" applyProtection="0"/>
    <xf numFmtId="0" fontId="23" fillId="21" borderId="3" applyNumberFormat="0" applyAlignment="0" applyProtection="0"/>
    <xf numFmtId="0" fontId="26" fillId="0" borderId="0" applyNumberFormat="0" applyFill="0" applyBorder="0" applyAlignment="0" applyProtection="0"/>
    <xf numFmtId="169" fontId="7" fillId="0" borderId="0" applyFont="0" applyFill="0" applyBorder="0" applyAlignment="0" applyProtection="0"/>
    <xf numFmtId="0" fontId="6" fillId="0" borderId="0"/>
    <xf numFmtId="0" fontId="7" fillId="0" borderId="0">
      <alignment horizontal="left" wrapText="1"/>
    </xf>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9" borderId="0" applyNumberFormat="0" applyBorder="0" applyAlignment="0" applyProtection="0"/>
    <xf numFmtId="0" fontId="21" fillId="20" borderId="1" applyNumberFormat="0" applyAlignment="0" applyProtection="0"/>
    <xf numFmtId="0" fontId="7" fillId="22" borderId="4" applyNumberFormat="0" applyFont="0" applyAlignment="0" applyProtection="0"/>
    <xf numFmtId="0" fontId="23" fillId="21" borderId="3" applyNumberFormat="0" applyAlignment="0" applyProtection="0"/>
    <xf numFmtId="0" fontId="7" fillId="23" borderId="5" applyBorder="0"/>
    <xf numFmtId="165" fontId="7" fillId="0" borderId="0" applyFont="0" applyFill="0" applyBorder="0" applyAlignment="0" applyProtection="0"/>
    <xf numFmtId="0" fontId="27" fillId="4" borderId="0" applyNumberFormat="0" applyBorder="0" applyAlignment="0" applyProtection="0"/>
    <xf numFmtId="0" fontId="25" fillId="7" borderId="1" applyNumberFormat="0" applyAlignment="0" applyProtection="0"/>
    <xf numFmtId="164" fontId="7" fillId="0" borderId="0" applyFont="0" applyFill="0" applyBorder="0" applyAlignment="0" applyProtection="0"/>
    <xf numFmtId="0" fontId="28" fillId="0" borderId="6" applyNumberFormat="0" applyFill="0" applyAlignment="0" applyProtection="0"/>
    <xf numFmtId="0" fontId="29" fillId="0" borderId="7" applyNumberFormat="0" applyFill="0" applyAlignment="0" applyProtection="0"/>
    <xf numFmtId="0" fontId="30" fillId="0" borderId="8" applyNumberFormat="0" applyFill="0" applyAlignment="0" applyProtection="0"/>
    <xf numFmtId="0" fontId="30" fillId="0" borderId="0" applyNumberFormat="0" applyFill="0" applyBorder="0" applyAlignment="0" applyProtection="0"/>
    <xf numFmtId="0" fontId="22" fillId="0" borderId="2" applyNumberFormat="0" applyFill="0" applyAlignment="0" applyProtection="0"/>
    <xf numFmtId="0" fontId="31" fillId="24" borderId="0" applyNumberFormat="0" applyBorder="0" applyAlignment="0" applyProtection="0"/>
    <xf numFmtId="0" fontId="7" fillId="0" borderId="0"/>
    <xf numFmtId="0" fontId="7" fillId="0" borderId="0">
      <alignment horizontal="left" wrapText="1"/>
    </xf>
    <xf numFmtId="0" fontId="7" fillId="0" borderId="0">
      <alignment horizontal="left" wrapText="1"/>
    </xf>
    <xf numFmtId="0" fontId="7" fillId="22" borderId="4" applyNumberFormat="0" applyFont="0" applyAlignment="0" applyProtection="0"/>
    <xf numFmtId="0" fontId="20" fillId="3" borderId="0" applyNumberFormat="0" applyBorder="0" applyAlignment="0" applyProtection="0"/>
    <xf numFmtId="9" fontId="7" fillId="0" borderId="0" applyFont="0" applyFill="0" applyBorder="0" applyAlignment="0" applyProtection="0"/>
    <xf numFmtId="9" fontId="7" fillId="0" borderId="0" applyFont="0" applyFill="0" applyBorder="0" applyAlignment="0" applyProtection="0"/>
    <xf numFmtId="0" fontId="7" fillId="23" borderId="0" applyBorder="0"/>
    <xf numFmtId="0" fontId="7" fillId="30" borderId="11" applyNumberFormat="0" applyFont="0" applyBorder="0" applyAlignment="0">
      <alignment horizontal="center" wrapText="1"/>
    </xf>
    <xf numFmtId="0" fontId="11" fillId="28" borderId="0" applyNumberFormat="0" applyFont="0" applyBorder="0" applyAlignment="0"/>
    <xf numFmtId="0" fontId="33" fillId="0" borderId="0" applyNumberFormat="0" applyFill="0" applyBorder="0" applyAlignment="0" applyProtection="0"/>
    <xf numFmtId="0" fontId="40" fillId="0" borderId="13" applyNumberFormat="0" applyFill="0" applyAlignment="0" applyProtection="0"/>
    <xf numFmtId="0" fontId="34" fillId="20" borderId="10" applyNumberFormat="0" applyAlignment="0" applyProtection="0"/>
    <xf numFmtId="0" fontId="26" fillId="0" borderId="0" applyNumberFormat="0" applyFill="0" applyBorder="0" applyAlignment="0" applyProtection="0"/>
    <xf numFmtId="0" fontId="19" fillId="0" borderId="0" applyNumberFormat="0" applyFill="0" applyBorder="0" applyAlignment="0" applyProtection="0"/>
    <xf numFmtId="0" fontId="7" fillId="0" borderId="0">
      <alignment horizontal="left" wrapText="1"/>
    </xf>
    <xf numFmtId="0" fontId="5" fillId="0" borderId="0"/>
    <xf numFmtId="0" fontId="44" fillId="0" borderId="0">
      <alignment horizontal="left" wrapText="1"/>
    </xf>
    <xf numFmtId="0" fontId="5" fillId="0" borderId="0"/>
    <xf numFmtId="164" fontId="5" fillId="0" borderId="0" applyFont="0" applyFill="0" applyBorder="0" applyAlignment="0" applyProtection="0"/>
    <xf numFmtId="9" fontId="5" fillId="0" borderId="0" applyFont="0" applyFill="0" applyBorder="0" applyAlignment="0" applyProtection="0"/>
    <xf numFmtId="0" fontId="7" fillId="0" borderId="0">
      <alignment horizontal="left" wrapText="1"/>
    </xf>
    <xf numFmtId="0" fontId="17" fillId="0" borderId="0" applyNumberFormat="0" applyFill="0" applyBorder="0" applyAlignment="0" applyProtection="0"/>
    <xf numFmtId="0" fontId="7" fillId="0" borderId="0">
      <alignment horizontal="left" wrapText="1"/>
    </xf>
    <xf numFmtId="0" fontId="7" fillId="0" borderId="0">
      <alignment horizontal="left" wrapText="1"/>
    </xf>
    <xf numFmtId="0" fontId="7" fillId="0" borderId="0">
      <alignment horizontal="left" wrapText="1"/>
    </xf>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lignment horizontal="left" wrapText="1"/>
    </xf>
    <xf numFmtId="0" fontId="7" fillId="0" borderId="0">
      <alignment horizontal="left" wrapText="1"/>
    </xf>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17" fillId="48"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17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48" borderId="0" applyNumberFormat="0" applyBorder="0" applyAlignment="0" applyProtection="0"/>
    <xf numFmtId="0" fontId="17" fillId="48"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49"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17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50"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17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0" borderId="0" applyNumberFormat="0" applyBorder="0" applyAlignment="0" applyProtection="0"/>
    <xf numFmtId="0" fontId="17" fillId="50"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1"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17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2"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17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52" borderId="0" applyNumberFormat="0" applyBorder="0" applyAlignment="0" applyProtection="0"/>
    <xf numFmtId="0" fontId="17" fillId="52"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53"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17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171"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47" fillId="54" borderId="0" applyNumberFormat="0" applyBorder="0" applyAlignment="0" applyProtection="0"/>
    <xf numFmtId="171"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47" fillId="55" borderId="0" applyNumberFormat="0" applyBorder="0" applyAlignment="0" applyProtection="0"/>
    <xf numFmtId="171"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47" fillId="56" borderId="0" applyNumberFormat="0" applyBorder="0" applyAlignment="0" applyProtection="0"/>
    <xf numFmtId="171"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47" fillId="57" borderId="0" applyNumberFormat="0" applyBorder="0" applyAlignment="0" applyProtection="0"/>
    <xf numFmtId="171"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47" fillId="58" borderId="0" applyNumberFormat="0" applyBorder="0" applyAlignment="0" applyProtection="0"/>
    <xf numFmtId="171"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47" fillId="59" borderId="0" applyNumberFormat="0" applyBorder="0" applyAlignment="0" applyProtection="0"/>
    <xf numFmtId="0" fontId="48" fillId="48" borderId="0" applyNumberFormat="0" applyBorder="0" applyAlignment="0" applyProtection="0"/>
    <xf numFmtId="0" fontId="48" fillId="48" borderId="0" applyNumberFormat="0" applyBorder="0" applyAlignment="0" applyProtection="0"/>
    <xf numFmtId="170" fontId="48" fillId="2" borderId="0" applyNumberFormat="0" applyBorder="0" applyAlignment="0" applyProtection="0"/>
    <xf numFmtId="0" fontId="48" fillId="2" borderId="0" applyNumberFormat="0" applyBorder="0" applyAlignment="0" applyProtection="0"/>
    <xf numFmtId="0" fontId="48" fillId="2" borderId="0" applyNumberFormat="0" applyBorder="0" applyAlignment="0" applyProtection="0"/>
    <xf numFmtId="0" fontId="48" fillId="2" borderId="0" applyNumberFormat="0" applyBorder="0" applyAlignment="0" applyProtection="0"/>
    <xf numFmtId="0" fontId="48" fillId="2" borderId="0" applyNumberFormat="0" applyBorder="0" applyAlignment="0" applyProtection="0"/>
    <xf numFmtId="0" fontId="48" fillId="49" borderId="0" applyNumberFormat="0" applyBorder="0" applyAlignment="0" applyProtection="0"/>
    <xf numFmtId="0" fontId="48" fillId="49" borderId="0" applyNumberFormat="0" applyBorder="0" applyAlignment="0" applyProtection="0"/>
    <xf numFmtId="170" fontId="48" fillId="3" borderId="0" applyNumberFormat="0" applyBorder="0" applyAlignment="0" applyProtection="0"/>
    <xf numFmtId="0" fontId="48" fillId="3" borderId="0" applyNumberFormat="0" applyBorder="0" applyAlignment="0" applyProtection="0"/>
    <xf numFmtId="0" fontId="48" fillId="3" borderId="0" applyNumberFormat="0" applyBorder="0" applyAlignment="0" applyProtection="0"/>
    <xf numFmtId="0" fontId="48" fillId="3" borderId="0" applyNumberFormat="0" applyBorder="0" applyAlignment="0" applyProtection="0"/>
    <xf numFmtId="0" fontId="48" fillId="3" borderId="0" applyNumberFormat="0" applyBorder="0" applyAlignment="0" applyProtection="0"/>
    <xf numFmtId="0" fontId="48" fillId="50" borderId="0" applyNumberFormat="0" applyBorder="0" applyAlignment="0" applyProtection="0"/>
    <xf numFmtId="0" fontId="48" fillId="50" borderId="0" applyNumberFormat="0" applyBorder="0" applyAlignment="0" applyProtection="0"/>
    <xf numFmtId="170" fontId="48" fillId="4" borderId="0" applyNumberFormat="0" applyBorder="0" applyAlignment="0" applyProtection="0"/>
    <xf numFmtId="0" fontId="48" fillId="4" borderId="0" applyNumberFormat="0" applyBorder="0" applyAlignment="0" applyProtection="0"/>
    <xf numFmtId="0" fontId="48" fillId="4" borderId="0" applyNumberFormat="0" applyBorder="0" applyAlignment="0" applyProtection="0"/>
    <xf numFmtId="0" fontId="48" fillId="4" borderId="0" applyNumberFormat="0" applyBorder="0" applyAlignment="0" applyProtection="0"/>
    <xf numFmtId="0" fontId="48" fillId="4"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170" fontId="48" fillId="5" borderId="0" applyNumberFormat="0" applyBorder="0" applyAlignment="0" applyProtection="0"/>
    <xf numFmtId="0" fontId="48" fillId="5" borderId="0" applyNumberFormat="0" applyBorder="0" applyAlignment="0" applyProtection="0"/>
    <xf numFmtId="0" fontId="48" fillId="5" borderId="0" applyNumberFormat="0" applyBorder="0" applyAlignment="0" applyProtection="0"/>
    <xf numFmtId="0" fontId="48" fillId="5" borderId="0" applyNumberFormat="0" applyBorder="0" applyAlignment="0" applyProtection="0"/>
    <xf numFmtId="0" fontId="48" fillId="5" borderId="0" applyNumberFormat="0" applyBorder="0" applyAlignment="0" applyProtection="0"/>
    <xf numFmtId="0" fontId="48" fillId="52" borderId="0" applyNumberFormat="0" applyBorder="0" applyAlignment="0" applyProtection="0"/>
    <xf numFmtId="0" fontId="48" fillId="52" borderId="0" applyNumberFormat="0" applyBorder="0" applyAlignment="0" applyProtection="0"/>
    <xf numFmtId="170" fontId="48" fillId="6" borderId="0" applyNumberFormat="0" applyBorder="0" applyAlignment="0" applyProtection="0"/>
    <xf numFmtId="0" fontId="48" fillId="6" borderId="0" applyNumberFormat="0" applyBorder="0" applyAlignment="0" applyProtection="0"/>
    <xf numFmtId="0" fontId="48" fillId="6" borderId="0" applyNumberFormat="0" applyBorder="0" applyAlignment="0" applyProtection="0"/>
    <xf numFmtId="0" fontId="48" fillId="6" borderId="0" applyNumberFormat="0" applyBorder="0" applyAlignment="0" applyProtection="0"/>
    <xf numFmtId="0" fontId="48" fillId="6" borderId="0" applyNumberFormat="0" applyBorder="0" applyAlignment="0" applyProtection="0"/>
    <xf numFmtId="0" fontId="48" fillId="53" borderId="0" applyNumberFormat="0" applyBorder="0" applyAlignment="0" applyProtection="0"/>
    <xf numFmtId="0" fontId="48" fillId="53" borderId="0" applyNumberFormat="0" applyBorder="0" applyAlignment="0" applyProtection="0"/>
    <xf numFmtId="170" fontId="48" fillId="7" borderId="0" applyNumberFormat="0" applyBorder="0" applyAlignment="0" applyProtection="0"/>
    <xf numFmtId="0" fontId="48" fillId="7" borderId="0" applyNumberFormat="0" applyBorder="0" applyAlignment="0" applyProtection="0"/>
    <xf numFmtId="0" fontId="48" fillId="7" borderId="0" applyNumberFormat="0" applyBorder="0" applyAlignment="0" applyProtection="0"/>
    <xf numFmtId="0" fontId="48" fillId="7" borderId="0" applyNumberFormat="0" applyBorder="0" applyAlignment="0" applyProtection="0"/>
    <xf numFmtId="0" fontId="48" fillId="7"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48" borderId="0" applyNumberFormat="0" applyBorder="0" applyAlignment="0" applyProtection="0"/>
    <xf numFmtId="17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9" borderId="0" applyNumberFormat="0" applyBorder="0" applyAlignment="0" applyProtection="0"/>
    <xf numFmtId="17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0" borderId="0" applyNumberFormat="0" applyBorder="0" applyAlignment="0" applyProtection="0"/>
    <xf numFmtId="17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1" borderId="0" applyNumberFormat="0" applyBorder="0" applyAlignment="0" applyProtection="0"/>
    <xf numFmtId="17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52" borderId="0" applyNumberFormat="0" applyBorder="0" applyAlignment="0" applyProtection="0"/>
    <xf numFmtId="17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53" borderId="0" applyNumberFormat="0" applyBorder="0" applyAlignment="0" applyProtection="0"/>
    <xf numFmtId="17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48"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17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48" borderId="0" applyNumberFormat="0" applyBorder="0" applyAlignment="0" applyProtection="0"/>
    <xf numFmtId="0" fontId="17" fillId="48"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49"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17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50"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17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0" borderId="0" applyNumberFormat="0" applyBorder="0" applyAlignment="0" applyProtection="0"/>
    <xf numFmtId="0" fontId="17" fillId="50"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1"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17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2"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17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52" borderId="0" applyNumberFormat="0" applyBorder="0" applyAlignment="0" applyProtection="0"/>
    <xf numFmtId="0" fontId="17" fillId="52"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53"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17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60"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17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0" borderId="0" applyNumberFormat="0" applyBorder="0" applyAlignment="0" applyProtection="0"/>
    <xf numFmtId="0" fontId="17" fillId="60"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1"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17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61" borderId="0" applyNumberFormat="0" applyBorder="0" applyAlignment="0" applyProtection="0"/>
    <xf numFmtId="0" fontId="17" fillId="61"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62"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17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51"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17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0"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17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0" borderId="0" applyNumberFormat="0" applyBorder="0" applyAlignment="0" applyProtection="0"/>
    <xf numFmtId="0" fontId="17" fillId="60"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4"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17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64" borderId="0" applyNumberFormat="0" applyBorder="0" applyAlignment="0" applyProtection="0"/>
    <xf numFmtId="0" fontId="17" fillId="64"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171"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47" fillId="65" borderId="0" applyNumberFormat="0" applyBorder="0" applyAlignment="0" applyProtection="0"/>
    <xf numFmtId="171"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47" fillId="66" borderId="0" applyNumberFormat="0" applyBorder="0" applyAlignment="0" applyProtection="0"/>
    <xf numFmtId="171"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47" fillId="67" borderId="0" applyNumberFormat="0" applyBorder="0" applyAlignment="0" applyProtection="0"/>
    <xf numFmtId="171"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47" fillId="68" borderId="0" applyNumberFormat="0" applyBorder="0" applyAlignment="0" applyProtection="0"/>
    <xf numFmtId="171"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47" fillId="69" borderId="0" applyNumberFormat="0" applyBorder="0" applyAlignment="0" applyProtection="0"/>
    <xf numFmtId="171"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47" fillId="70" borderId="0" applyNumberFormat="0" applyBorder="0" applyAlignment="0" applyProtection="0"/>
    <xf numFmtId="0" fontId="48" fillId="60" borderId="0" applyNumberFormat="0" applyBorder="0" applyAlignment="0" applyProtection="0"/>
    <xf numFmtId="0" fontId="48" fillId="60" borderId="0" applyNumberFormat="0" applyBorder="0" applyAlignment="0" applyProtection="0"/>
    <xf numFmtId="170" fontId="48" fillId="8" borderId="0" applyNumberFormat="0" applyBorder="0" applyAlignment="0" applyProtection="0"/>
    <xf numFmtId="0" fontId="48" fillId="8" borderId="0" applyNumberFormat="0" applyBorder="0" applyAlignment="0" applyProtection="0"/>
    <xf numFmtId="0" fontId="48" fillId="8" borderId="0" applyNumberFormat="0" applyBorder="0" applyAlignment="0" applyProtection="0"/>
    <xf numFmtId="0" fontId="48" fillId="8" borderId="0" applyNumberFormat="0" applyBorder="0" applyAlignment="0" applyProtection="0"/>
    <xf numFmtId="0" fontId="48" fillId="8" borderId="0" applyNumberFormat="0" applyBorder="0" applyAlignment="0" applyProtection="0"/>
    <xf numFmtId="0" fontId="48" fillId="61" borderId="0" applyNumberFormat="0" applyBorder="0" applyAlignment="0" applyProtection="0"/>
    <xf numFmtId="0" fontId="48" fillId="61" borderId="0" applyNumberFormat="0" applyBorder="0" applyAlignment="0" applyProtection="0"/>
    <xf numFmtId="170" fontId="48" fillId="9" borderId="0" applyNumberFormat="0" applyBorder="0" applyAlignment="0" applyProtection="0"/>
    <xf numFmtId="0" fontId="48" fillId="9" borderId="0" applyNumberFormat="0" applyBorder="0" applyAlignment="0" applyProtection="0"/>
    <xf numFmtId="0" fontId="48" fillId="9" borderId="0" applyNumberFormat="0" applyBorder="0" applyAlignment="0" applyProtection="0"/>
    <xf numFmtId="0" fontId="48" fillId="9" borderId="0" applyNumberFormat="0" applyBorder="0" applyAlignment="0" applyProtection="0"/>
    <xf numFmtId="0" fontId="48" fillId="9" borderId="0" applyNumberFormat="0" applyBorder="0" applyAlignment="0" applyProtection="0"/>
    <xf numFmtId="0" fontId="48" fillId="62" borderId="0" applyNumberFormat="0" applyBorder="0" applyAlignment="0" applyProtection="0"/>
    <xf numFmtId="0" fontId="48" fillId="63" borderId="0" applyNumberFormat="0" applyBorder="0" applyAlignment="0" applyProtection="0"/>
    <xf numFmtId="170" fontId="48" fillId="10" borderId="0" applyNumberFormat="0" applyBorder="0" applyAlignment="0" applyProtection="0"/>
    <xf numFmtId="0" fontId="48" fillId="62" borderId="0" applyNumberFormat="0" applyBorder="0" applyAlignment="0" applyProtection="0"/>
    <xf numFmtId="0" fontId="48" fillId="10" borderId="0" applyNumberFormat="0" applyBorder="0" applyAlignment="0" applyProtection="0"/>
    <xf numFmtId="0" fontId="48" fillId="10" borderId="0" applyNumberFormat="0" applyBorder="0" applyAlignment="0" applyProtection="0"/>
    <xf numFmtId="0" fontId="48" fillId="10" borderId="0" applyNumberFormat="0" applyBorder="0" applyAlignment="0" applyProtection="0"/>
    <xf numFmtId="0" fontId="48" fillId="51" borderId="0" applyNumberFormat="0" applyBorder="0" applyAlignment="0" applyProtection="0"/>
    <xf numFmtId="0" fontId="48" fillId="51" borderId="0" applyNumberFormat="0" applyBorder="0" applyAlignment="0" applyProtection="0"/>
    <xf numFmtId="170" fontId="48" fillId="5" borderId="0" applyNumberFormat="0" applyBorder="0" applyAlignment="0" applyProtection="0"/>
    <xf numFmtId="0" fontId="48" fillId="5" borderId="0" applyNumberFormat="0" applyBorder="0" applyAlignment="0" applyProtection="0"/>
    <xf numFmtId="0" fontId="48" fillId="5" borderId="0" applyNumberFormat="0" applyBorder="0" applyAlignment="0" applyProtection="0"/>
    <xf numFmtId="0" fontId="48" fillId="5" borderId="0" applyNumberFormat="0" applyBorder="0" applyAlignment="0" applyProtection="0"/>
    <xf numFmtId="0" fontId="48" fillId="5" borderId="0" applyNumberFormat="0" applyBorder="0" applyAlignment="0" applyProtection="0"/>
    <xf numFmtId="0" fontId="48" fillId="60" borderId="0" applyNumberFormat="0" applyBorder="0" applyAlignment="0" applyProtection="0"/>
    <xf numFmtId="0" fontId="48" fillId="60" borderId="0" applyNumberFormat="0" applyBorder="0" applyAlignment="0" applyProtection="0"/>
    <xf numFmtId="170" fontId="48" fillId="8" borderId="0" applyNumberFormat="0" applyBorder="0" applyAlignment="0" applyProtection="0"/>
    <xf numFmtId="0" fontId="48" fillId="8" borderId="0" applyNumberFormat="0" applyBorder="0" applyAlignment="0" applyProtection="0"/>
    <xf numFmtId="0" fontId="48" fillId="8" borderId="0" applyNumberFormat="0" applyBorder="0" applyAlignment="0" applyProtection="0"/>
    <xf numFmtId="0" fontId="48" fillId="8" borderId="0" applyNumberFormat="0" applyBorder="0" applyAlignment="0" applyProtection="0"/>
    <xf numFmtId="0" fontId="48" fillId="8" borderId="0" applyNumberFormat="0" applyBorder="0" applyAlignment="0" applyProtection="0"/>
    <xf numFmtId="0" fontId="48" fillId="64" borderId="0" applyNumberFormat="0" applyBorder="0" applyAlignment="0" applyProtection="0"/>
    <xf numFmtId="0" fontId="48" fillId="64" borderId="0" applyNumberFormat="0" applyBorder="0" applyAlignment="0" applyProtection="0"/>
    <xf numFmtId="170" fontId="48" fillId="11" borderId="0" applyNumberFormat="0" applyBorder="0" applyAlignment="0" applyProtection="0"/>
    <xf numFmtId="0" fontId="48" fillId="11" borderId="0" applyNumberFormat="0" applyBorder="0" applyAlignment="0" applyProtection="0"/>
    <xf numFmtId="0" fontId="48" fillId="11" borderId="0" applyNumberFormat="0" applyBorder="0" applyAlignment="0" applyProtection="0"/>
    <xf numFmtId="0" fontId="48" fillId="11" borderId="0" applyNumberFormat="0" applyBorder="0" applyAlignment="0" applyProtection="0"/>
    <xf numFmtId="0" fontId="48" fillId="11"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0" borderId="0" applyNumberFormat="0" applyBorder="0" applyAlignment="0" applyProtection="0"/>
    <xf numFmtId="17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61" borderId="0" applyNumberFormat="0" applyBorder="0" applyAlignment="0" applyProtection="0"/>
    <xf numFmtId="17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63" borderId="0" applyNumberFormat="0" applyBorder="0" applyAlignment="0" applyProtection="0"/>
    <xf numFmtId="17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1" borderId="0" applyNumberFormat="0" applyBorder="0" applyAlignment="0" applyProtection="0"/>
    <xf numFmtId="17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0" borderId="0" applyNumberFormat="0" applyBorder="0" applyAlignment="0" applyProtection="0"/>
    <xf numFmtId="17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64" borderId="0" applyNumberFormat="0" applyBorder="0" applyAlignment="0" applyProtection="0"/>
    <xf numFmtId="17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60"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17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0" borderId="0" applyNumberFormat="0" applyBorder="0" applyAlignment="0" applyProtection="0"/>
    <xf numFmtId="0" fontId="17" fillId="60"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1"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17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61" borderId="0" applyNumberFormat="0" applyBorder="0" applyAlignment="0" applyProtection="0"/>
    <xf numFmtId="0" fontId="17" fillId="61"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62"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17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51"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17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0"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17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0" borderId="0" applyNumberFormat="0" applyBorder="0" applyAlignment="0" applyProtection="0"/>
    <xf numFmtId="0" fontId="17" fillId="60"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64"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17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64" borderId="0" applyNumberFormat="0" applyBorder="0" applyAlignment="0" applyProtection="0"/>
    <xf numFmtId="0" fontId="17" fillId="64"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8" fillId="71" borderId="0" applyNumberFormat="0" applyBorder="0" applyAlignment="0" applyProtection="0"/>
    <xf numFmtId="17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61" borderId="0" applyNumberFormat="0" applyBorder="0" applyAlignment="0" applyProtection="0"/>
    <xf numFmtId="17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63" borderId="0" applyNumberFormat="0" applyBorder="0" applyAlignment="0" applyProtection="0"/>
    <xf numFmtId="170" fontId="18" fillId="10" borderId="0" applyNumberFormat="0" applyBorder="0" applyAlignment="0" applyProtection="0"/>
    <xf numFmtId="0" fontId="18" fillId="62"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72" borderId="0" applyNumberFormat="0" applyBorder="0" applyAlignment="0" applyProtection="0"/>
    <xf numFmtId="17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73" borderId="0" applyNumberFormat="0" applyBorder="0" applyAlignment="0" applyProtection="0"/>
    <xf numFmtId="17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74" borderId="0" applyNumberFormat="0" applyBorder="0" applyAlignment="0" applyProtection="0"/>
    <xf numFmtId="17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170" fontId="18" fillId="12" borderId="0" applyNumberFormat="0" applyBorder="0" applyAlignment="0" applyProtection="0"/>
    <xf numFmtId="0" fontId="18" fillId="12" borderId="0" applyNumberFormat="0" applyBorder="0" applyAlignment="0" applyProtection="0"/>
    <xf numFmtId="0" fontId="49" fillId="75"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171" fontId="18" fillId="9" borderId="0" applyNumberFormat="0" applyBorder="0" applyAlignment="0" applyProtection="0"/>
    <xf numFmtId="0" fontId="50" fillId="76" borderId="0" applyNumberFormat="0" applyBorder="0" applyAlignment="0" applyProtection="0"/>
    <xf numFmtId="0" fontId="50" fillId="76" borderId="0" applyNumberFormat="0" applyBorder="0" applyAlignment="0" applyProtection="0"/>
    <xf numFmtId="171" fontId="18" fillId="10" borderId="0" applyNumberFormat="0" applyBorder="0" applyAlignment="0" applyProtection="0"/>
    <xf numFmtId="0" fontId="50" fillId="77" borderId="0" applyNumberFormat="0" applyBorder="0" applyAlignment="0" applyProtection="0"/>
    <xf numFmtId="0" fontId="50" fillId="77" borderId="0" applyNumberFormat="0" applyBorder="0" applyAlignment="0" applyProtection="0"/>
    <xf numFmtId="171" fontId="18" fillId="13" borderId="0" applyNumberFormat="0" applyBorder="0" applyAlignment="0" applyProtection="0"/>
    <xf numFmtId="0" fontId="50" fillId="78" borderId="0" applyNumberFormat="0" applyBorder="0" applyAlignment="0" applyProtection="0"/>
    <xf numFmtId="0" fontId="50" fillId="78" borderId="0" applyNumberFormat="0" applyBorder="0" applyAlignment="0" applyProtection="0"/>
    <xf numFmtId="171" fontId="18" fillId="14"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171" fontId="18" fillId="1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1" fillId="71" borderId="0" applyNumberFormat="0" applyBorder="0" applyAlignment="0" applyProtection="0"/>
    <xf numFmtId="0" fontId="51" fillId="71" borderId="0" applyNumberFormat="0" applyBorder="0" applyAlignment="0" applyProtection="0"/>
    <xf numFmtId="170" fontId="51" fillId="12" borderId="0" applyNumberFormat="0" applyBorder="0" applyAlignment="0" applyProtection="0"/>
    <xf numFmtId="0" fontId="51" fillId="12" borderId="0" applyNumberFormat="0" applyBorder="0" applyAlignment="0" applyProtection="0"/>
    <xf numFmtId="0" fontId="51" fillId="12" borderId="0" applyNumberFormat="0" applyBorder="0" applyAlignment="0" applyProtection="0"/>
    <xf numFmtId="0" fontId="51" fillId="12" borderId="0" applyNumberFormat="0" applyBorder="0" applyAlignment="0" applyProtection="0"/>
    <xf numFmtId="0" fontId="51" fillId="12" borderId="0" applyNumberFormat="0" applyBorder="0" applyAlignment="0" applyProtection="0"/>
    <xf numFmtId="0" fontId="51" fillId="61" borderId="0" applyNumberFormat="0" applyBorder="0" applyAlignment="0" applyProtection="0"/>
    <xf numFmtId="0" fontId="51" fillId="61" borderId="0" applyNumberFormat="0" applyBorder="0" applyAlignment="0" applyProtection="0"/>
    <xf numFmtId="170" fontId="51" fillId="9" borderId="0" applyNumberFormat="0" applyBorder="0" applyAlignment="0" applyProtection="0"/>
    <xf numFmtId="0" fontId="51" fillId="9" borderId="0" applyNumberFormat="0" applyBorder="0" applyAlignment="0" applyProtection="0"/>
    <xf numFmtId="0" fontId="51" fillId="9" borderId="0" applyNumberFormat="0" applyBorder="0" applyAlignment="0" applyProtection="0"/>
    <xf numFmtId="0" fontId="51" fillId="9" borderId="0" applyNumberFormat="0" applyBorder="0" applyAlignment="0" applyProtection="0"/>
    <xf numFmtId="0" fontId="51" fillId="9" borderId="0" applyNumberFormat="0" applyBorder="0" applyAlignment="0" applyProtection="0"/>
    <xf numFmtId="0" fontId="51" fillId="62" borderId="0" applyNumberFormat="0" applyBorder="0" applyAlignment="0" applyProtection="0"/>
    <xf numFmtId="0" fontId="51" fillId="63" borderId="0" applyNumberFormat="0" applyBorder="0" applyAlignment="0" applyProtection="0"/>
    <xf numFmtId="170" fontId="51" fillId="10" borderId="0" applyNumberFormat="0" applyBorder="0" applyAlignment="0" applyProtection="0"/>
    <xf numFmtId="0" fontId="51" fillId="62" borderId="0" applyNumberFormat="0" applyBorder="0" applyAlignment="0" applyProtection="0"/>
    <xf numFmtId="0" fontId="51" fillId="10" borderId="0" applyNumberFormat="0" applyBorder="0" applyAlignment="0" applyProtection="0"/>
    <xf numFmtId="0" fontId="51" fillId="10" borderId="0" applyNumberFormat="0" applyBorder="0" applyAlignment="0" applyProtection="0"/>
    <xf numFmtId="0" fontId="51" fillId="10" borderId="0" applyNumberFormat="0" applyBorder="0" applyAlignment="0" applyProtection="0"/>
    <xf numFmtId="0" fontId="51" fillId="72" borderId="0" applyNumberFormat="0" applyBorder="0" applyAlignment="0" applyProtection="0"/>
    <xf numFmtId="0" fontId="51" fillId="72" borderId="0" applyNumberFormat="0" applyBorder="0" applyAlignment="0" applyProtection="0"/>
    <xf numFmtId="170" fontId="51" fillId="13" borderId="0" applyNumberFormat="0" applyBorder="0" applyAlignment="0" applyProtection="0"/>
    <xf numFmtId="0" fontId="51" fillId="13" borderId="0" applyNumberFormat="0" applyBorder="0" applyAlignment="0" applyProtection="0"/>
    <xf numFmtId="0" fontId="51" fillId="13" borderId="0" applyNumberFormat="0" applyBorder="0" applyAlignment="0" applyProtection="0"/>
    <xf numFmtId="0" fontId="51" fillId="13" borderId="0" applyNumberFormat="0" applyBorder="0" applyAlignment="0" applyProtection="0"/>
    <xf numFmtId="0" fontId="51" fillId="13" borderId="0" applyNumberFormat="0" applyBorder="0" applyAlignment="0" applyProtection="0"/>
    <xf numFmtId="0" fontId="51" fillId="73" borderId="0" applyNumberFormat="0" applyBorder="0" applyAlignment="0" applyProtection="0"/>
    <xf numFmtId="0" fontId="51" fillId="73" borderId="0" applyNumberFormat="0" applyBorder="0" applyAlignment="0" applyProtection="0"/>
    <xf numFmtId="170" fontId="51" fillId="14" borderId="0" applyNumberFormat="0" applyBorder="0" applyAlignment="0" applyProtection="0"/>
    <xf numFmtId="0" fontId="51" fillId="14" borderId="0" applyNumberFormat="0" applyBorder="0" applyAlignment="0" applyProtection="0"/>
    <xf numFmtId="0" fontId="51" fillId="14" borderId="0" applyNumberFormat="0" applyBorder="0" applyAlignment="0" applyProtection="0"/>
    <xf numFmtId="0" fontId="51" fillId="14" borderId="0" applyNumberFormat="0" applyBorder="0" applyAlignment="0" applyProtection="0"/>
    <xf numFmtId="0" fontId="51" fillId="1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170" fontId="51" fillId="15" borderId="0" applyNumberFormat="0" applyBorder="0" applyAlignment="0" applyProtection="0"/>
    <xf numFmtId="0" fontId="51" fillId="15" borderId="0" applyNumberFormat="0" applyBorder="0" applyAlignment="0" applyProtection="0"/>
    <xf numFmtId="0" fontId="51" fillId="15" borderId="0" applyNumberFormat="0" applyBorder="0" applyAlignment="0" applyProtection="0"/>
    <xf numFmtId="0" fontId="51" fillId="15" borderId="0" applyNumberFormat="0" applyBorder="0" applyAlignment="0" applyProtection="0"/>
    <xf numFmtId="0" fontId="51" fillId="15"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71" borderId="0" applyNumberFormat="0" applyBorder="0" applyAlignment="0" applyProtection="0"/>
    <xf numFmtId="17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61" borderId="0" applyNumberFormat="0" applyBorder="0" applyAlignment="0" applyProtection="0"/>
    <xf numFmtId="17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63" borderId="0" applyNumberFormat="0" applyBorder="0" applyAlignment="0" applyProtection="0"/>
    <xf numFmtId="17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72" borderId="0" applyNumberFormat="0" applyBorder="0" applyAlignment="0" applyProtection="0"/>
    <xf numFmtId="17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73" borderId="0" applyNumberFormat="0" applyBorder="0" applyAlignment="0" applyProtection="0"/>
    <xf numFmtId="17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74" borderId="0" applyNumberFormat="0" applyBorder="0" applyAlignment="0" applyProtection="0"/>
    <xf numFmtId="17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71" borderId="0" applyNumberFormat="0" applyBorder="0" applyAlignment="0" applyProtection="0"/>
    <xf numFmtId="170" fontId="18" fillId="12" borderId="0" applyNumberFormat="0" applyBorder="0" applyAlignment="0" applyProtection="0"/>
    <xf numFmtId="0" fontId="50" fillId="75"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61" borderId="0" applyNumberFormat="0" applyBorder="0" applyAlignment="0" applyProtection="0"/>
    <xf numFmtId="170" fontId="18" fillId="9" borderId="0" applyNumberFormat="0" applyBorder="0" applyAlignment="0" applyProtection="0"/>
    <xf numFmtId="0" fontId="50" fillId="76"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63" borderId="0" applyNumberFormat="0" applyBorder="0" applyAlignment="0" applyProtection="0"/>
    <xf numFmtId="170" fontId="18" fillId="10" borderId="0" applyNumberFormat="0" applyBorder="0" applyAlignment="0" applyProtection="0"/>
    <xf numFmtId="0" fontId="18" fillId="62" borderId="0" applyNumberFormat="0" applyBorder="0" applyAlignment="0" applyProtection="0"/>
    <xf numFmtId="0" fontId="50" fillId="77"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72" borderId="0" applyNumberFormat="0" applyBorder="0" applyAlignment="0" applyProtection="0"/>
    <xf numFmtId="170" fontId="18" fillId="13" borderId="0" applyNumberFormat="0" applyBorder="0" applyAlignment="0" applyProtection="0"/>
    <xf numFmtId="0" fontId="50" fillId="78"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73" borderId="0" applyNumberFormat="0" applyBorder="0" applyAlignment="0" applyProtection="0"/>
    <xf numFmtId="170" fontId="18" fillId="14" borderId="0" applyNumberFormat="0" applyBorder="0" applyAlignment="0" applyProtection="0"/>
    <xf numFmtId="0" fontId="50" fillId="79"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74" borderId="0" applyNumberFormat="0" applyBorder="0" applyAlignment="0" applyProtection="0"/>
    <xf numFmtId="170" fontId="18" fillId="15" borderId="0" applyNumberFormat="0" applyBorder="0" applyAlignment="0" applyProtection="0"/>
    <xf numFmtId="0" fontId="50" fillId="80"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7" fillId="81" borderId="0" applyNumberFormat="0" applyBorder="0" applyAlignment="0" applyProtection="0"/>
    <xf numFmtId="0" fontId="17" fillId="81" borderId="0" applyNumberFormat="0" applyBorder="0" applyAlignment="0" applyProtection="0"/>
    <xf numFmtId="0" fontId="18" fillId="82"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171"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7" fillId="83" borderId="0" applyNumberFormat="0" applyBorder="0" applyAlignment="0" applyProtection="0"/>
    <xf numFmtId="0" fontId="17" fillId="84" borderId="0" applyNumberFormat="0" applyBorder="0" applyAlignment="0" applyProtection="0"/>
    <xf numFmtId="0" fontId="18" fillId="85"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171"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7" fillId="83" borderId="0" applyNumberFormat="0" applyBorder="0" applyAlignment="0" applyProtection="0"/>
    <xf numFmtId="0" fontId="17" fillId="86" borderId="0" applyNumberFormat="0" applyBorder="0" applyAlignment="0" applyProtection="0"/>
    <xf numFmtId="0" fontId="18" fillId="84"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171"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7" fillId="81" borderId="0" applyNumberFormat="0" applyBorder="0" applyAlignment="0" applyProtection="0"/>
    <xf numFmtId="0" fontId="17" fillId="84" borderId="0" applyNumberFormat="0" applyBorder="0" applyAlignment="0" applyProtection="0"/>
    <xf numFmtId="0" fontId="18" fillId="84"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171"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7" fillId="87" borderId="0" applyNumberFormat="0" applyBorder="0" applyAlignment="0" applyProtection="0"/>
    <xf numFmtId="0" fontId="17" fillId="81" borderId="0" applyNumberFormat="0" applyBorder="0" applyAlignment="0" applyProtection="0"/>
    <xf numFmtId="0" fontId="18" fillId="82"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171"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7" fillId="83" borderId="0" applyNumberFormat="0" applyBorder="0" applyAlignment="0" applyProtection="0"/>
    <xf numFmtId="0" fontId="17" fillId="88" borderId="0" applyNumberFormat="0" applyBorder="0" applyAlignment="0" applyProtection="0"/>
    <xf numFmtId="0" fontId="18" fillId="88"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171"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1" borderId="0" applyNumberFormat="0" applyBorder="0" applyAlignment="0" applyProtection="0"/>
    <xf numFmtId="0" fontId="49" fillId="91" borderId="0" applyNumberFormat="0" applyBorder="0" applyAlignment="0" applyProtection="0"/>
    <xf numFmtId="0" fontId="49" fillId="91" borderId="0" applyNumberFormat="0" applyBorder="0" applyAlignment="0" applyProtection="0"/>
    <xf numFmtId="0" fontId="49" fillId="92" borderId="0" applyNumberFormat="0" applyBorder="0" applyAlignment="0" applyProtection="0"/>
    <xf numFmtId="0" fontId="49" fillId="92" borderId="0" applyNumberFormat="0" applyBorder="0" applyAlignment="0" applyProtection="0"/>
    <xf numFmtId="0" fontId="49" fillId="92" borderId="0" applyNumberFormat="0" applyBorder="0" applyAlignment="0" applyProtection="0"/>
    <xf numFmtId="0" fontId="49" fillId="93" borderId="0" applyNumberFormat="0" applyBorder="0" applyAlignment="0" applyProtection="0"/>
    <xf numFmtId="0" fontId="49" fillId="93" borderId="0" applyNumberFormat="0" applyBorder="0" applyAlignment="0" applyProtection="0"/>
    <xf numFmtId="0" fontId="49" fillId="93" borderId="0" applyNumberFormat="0" applyBorder="0" applyAlignment="0" applyProtection="0"/>
    <xf numFmtId="0" fontId="49" fillId="94" borderId="0" applyNumberFormat="0" applyBorder="0" applyAlignment="0" applyProtection="0"/>
    <xf numFmtId="0" fontId="49" fillId="94" borderId="0" applyNumberFormat="0" applyBorder="0" applyAlignment="0" applyProtection="0"/>
    <xf numFmtId="0" fontId="49" fillId="94" borderId="0" applyNumberFormat="0" applyBorder="0" applyAlignment="0" applyProtection="0"/>
    <xf numFmtId="0" fontId="18" fillId="95" borderId="0" applyNumberFormat="0" applyBorder="0" applyAlignment="0" applyProtection="0"/>
    <xf numFmtId="17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96" borderId="0" applyNumberFormat="0" applyBorder="0" applyAlignment="0" applyProtection="0"/>
    <xf numFmtId="17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97" borderId="0" applyNumberFormat="0" applyBorder="0" applyAlignment="0" applyProtection="0"/>
    <xf numFmtId="17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72" borderId="0" applyNumberFormat="0" applyBorder="0" applyAlignment="0" applyProtection="0"/>
    <xf numFmtId="17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73" borderId="0" applyNumberFormat="0" applyBorder="0" applyAlignment="0" applyProtection="0"/>
    <xf numFmtId="17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98" borderId="0" applyNumberFormat="0" applyBorder="0" applyAlignment="0" applyProtection="0"/>
    <xf numFmtId="17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171"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1" fillId="3" borderId="0" applyNumberFormat="0" applyBorder="0" applyAlignment="0" applyProtection="0"/>
    <xf numFmtId="0" fontId="20" fillId="49" borderId="0" applyNumberFormat="0" applyBorder="0" applyAlignment="0" applyProtection="0"/>
    <xf numFmtId="170" fontId="20" fillId="3"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49" borderId="0" applyNumberFormat="0" applyBorder="0" applyAlignment="0" applyProtection="0"/>
    <xf numFmtId="0" fontId="51"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27" fillId="4" borderId="0" applyNumberFormat="0" applyBorder="0" applyAlignment="0" applyProtection="0"/>
    <xf numFmtId="0" fontId="28" fillId="0" borderId="6"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21" fillId="99" borderId="1" applyNumberFormat="0" applyAlignment="0" applyProtection="0"/>
    <xf numFmtId="170" fontId="21" fillId="20" borderId="1" applyNumberFormat="0" applyAlignment="0" applyProtection="0"/>
    <xf numFmtId="0" fontId="57" fillId="46" borderId="28" applyNumberFormat="0" applyAlignment="0" applyProtection="0"/>
    <xf numFmtId="0" fontId="21" fillId="20" borderId="1" applyNumberFormat="0" applyAlignment="0" applyProtection="0"/>
    <xf numFmtId="0" fontId="21" fillId="20" borderId="1" applyNumberFormat="0" applyAlignment="0" applyProtection="0"/>
    <xf numFmtId="0" fontId="21" fillId="99" borderId="1" applyNumberFormat="0" applyAlignment="0" applyProtection="0"/>
    <xf numFmtId="171"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30" fillId="20" borderId="1"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30"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30" fillId="20" borderId="1" applyNumberFormat="0" applyAlignment="0" applyProtection="0"/>
    <xf numFmtId="0" fontId="21" fillId="99" borderId="1" applyNumberFormat="0" applyAlignment="0" applyProtection="0"/>
    <xf numFmtId="170" fontId="21" fillId="20" borderId="1"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57" fillId="46" borderId="28" applyNumberFormat="0" applyAlignment="0" applyProtection="0"/>
    <xf numFmtId="0" fontId="21" fillId="20" borderId="1" applyNumberFormat="0" applyAlignment="0" applyProtection="0"/>
    <xf numFmtId="0" fontId="57" fillId="46" borderId="28" applyNumberFormat="0" applyAlignment="0" applyProtection="0"/>
    <xf numFmtId="172" fontId="17" fillId="0" borderId="0" applyFont="0" applyFill="0" applyBorder="0" applyAlignment="0" applyProtection="0"/>
    <xf numFmtId="0" fontId="23" fillId="21" borderId="3" applyNumberFormat="0" applyAlignment="0" applyProtection="0"/>
    <xf numFmtId="0" fontId="22" fillId="0" borderId="2"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22" fillId="0" borderId="2" applyNumberFormat="0" applyFill="0" applyAlignment="0" applyProtection="0"/>
    <xf numFmtId="0" fontId="22" fillId="0" borderId="2" applyNumberFormat="0" applyFill="0" applyAlignment="0" applyProtection="0"/>
    <xf numFmtId="0" fontId="23" fillId="100" borderId="3" applyNumberFormat="0" applyAlignment="0" applyProtection="0"/>
    <xf numFmtId="170" fontId="23" fillId="21" borderId="3" applyNumberFormat="0" applyAlignment="0" applyProtection="0"/>
    <xf numFmtId="0" fontId="59" fillId="47" borderId="30" applyNumberFormat="0" applyAlignment="0" applyProtection="0"/>
    <xf numFmtId="0" fontId="23" fillId="21" borderId="3" applyNumberFormat="0" applyAlignment="0" applyProtection="0"/>
    <xf numFmtId="0" fontId="23" fillId="21" borderId="3" applyNumberFormat="0" applyAlignment="0" applyProtection="0"/>
    <xf numFmtId="0" fontId="23" fillId="100" borderId="3" applyNumberFormat="0" applyAlignment="0" applyProtection="0"/>
    <xf numFmtId="171"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2" fillId="21" borderId="3" applyNumberFormat="0" applyAlignment="0" applyProtection="0"/>
    <xf numFmtId="0" fontId="23" fillId="100" borderId="3" applyNumberFormat="0" applyAlignment="0" applyProtection="0"/>
    <xf numFmtId="170" fontId="23" fillId="21" borderId="3"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100" borderId="3" applyNumberFormat="0" applyAlignment="0" applyProtection="0"/>
    <xf numFmtId="0" fontId="22" fillId="21" borderId="3" applyNumberFormat="0" applyAlignment="0" applyProtection="0"/>
    <xf numFmtId="0" fontId="23" fillId="21" borderId="3"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3" fillId="21" borderId="3"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59" fillId="47" borderId="30" applyNumberFormat="0" applyAlignment="0" applyProtection="0"/>
    <xf numFmtId="0" fontId="22" fillId="21" borderId="3" applyNumberFormat="0" applyAlignment="0" applyProtection="0"/>
    <xf numFmtId="0" fontId="18" fillId="95" borderId="0" applyNumberFormat="0" applyBorder="0" applyAlignment="0" applyProtection="0"/>
    <xf numFmtId="170" fontId="18" fillId="16" borderId="0" applyNumberFormat="0" applyBorder="0" applyAlignment="0" applyProtection="0"/>
    <xf numFmtId="0" fontId="50" fillId="89"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96" borderId="0" applyNumberFormat="0" applyBorder="0" applyAlignment="0" applyProtection="0"/>
    <xf numFmtId="170" fontId="18" fillId="17" borderId="0" applyNumberFormat="0" applyBorder="0" applyAlignment="0" applyProtection="0"/>
    <xf numFmtId="0" fontId="50" fillId="90"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97" borderId="0" applyNumberFormat="0" applyBorder="0" applyAlignment="0" applyProtection="0"/>
    <xf numFmtId="170" fontId="18" fillId="18" borderId="0" applyNumberFormat="0" applyBorder="0" applyAlignment="0" applyProtection="0"/>
    <xf numFmtId="0" fontId="50" fillId="91"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72" borderId="0" applyNumberFormat="0" applyBorder="0" applyAlignment="0" applyProtection="0"/>
    <xf numFmtId="170" fontId="18" fillId="13" borderId="0" applyNumberFormat="0" applyBorder="0" applyAlignment="0" applyProtection="0"/>
    <xf numFmtId="0" fontId="50" fillId="92"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73" borderId="0" applyNumberFormat="0" applyBorder="0" applyAlignment="0" applyProtection="0"/>
    <xf numFmtId="170" fontId="18" fillId="14" borderId="0" applyNumberFormat="0" applyBorder="0" applyAlignment="0" applyProtection="0"/>
    <xf numFmtId="0" fontId="50" fillId="9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98" borderId="0" applyNumberFormat="0" applyBorder="0" applyAlignment="0" applyProtection="0"/>
    <xf numFmtId="170" fontId="18" fillId="19" borderId="0" applyNumberFormat="0" applyBorder="0" applyAlignment="0" applyProtection="0"/>
    <xf numFmtId="0" fontId="50" fillId="94"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172" fontId="17" fillId="0" borderId="0" applyFont="0" applyFill="0" applyBorder="0" applyAlignment="0" applyProtection="0"/>
    <xf numFmtId="0" fontId="7" fillId="22" borderId="4" applyNumberFormat="0" applyFont="0" applyAlignment="0" applyProtection="0"/>
    <xf numFmtId="171"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3" fontId="60" fillId="36" borderId="0" applyNumberFormat="0" applyBorder="0" applyAlignment="0" applyProtection="0">
      <alignment vertical="center"/>
    </xf>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9" borderId="0" applyNumberFormat="0" applyBorder="0" applyAlignment="0" applyProtection="0"/>
    <xf numFmtId="0" fontId="27" fillId="50" borderId="0" applyNumberFormat="0" applyBorder="0" applyAlignment="0" applyProtection="0"/>
    <xf numFmtId="0" fontId="27" fillId="4" borderId="0" applyNumberFormat="0" applyBorder="0" applyAlignment="0" applyProtection="0"/>
    <xf numFmtId="0" fontId="27" fillId="50"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173" fontId="17" fillId="0" borderId="0" applyFont="0" applyFill="0" applyBorder="0" applyAlignment="0" applyProtection="0"/>
    <xf numFmtId="173" fontId="17" fillId="0" borderId="0" applyFont="0" applyFill="0" applyBorder="0" applyAlignment="0" applyProtection="0"/>
    <xf numFmtId="3" fontId="24" fillId="0" borderId="0" applyBorder="0">
      <alignment vertical="center"/>
      <protection locked="0"/>
    </xf>
    <xf numFmtId="3" fontId="24" fillId="0" borderId="5" applyBorder="0">
      <alignment vertical="center"/>
      <protection locked="0"/>
    </xf>
    <xf numFmtId="3" fontId="24" fillId="0" borderId="5" applyBorder="0">
      <alignment vertical="center"/>
      <protection locked="0"/>
    </xf>
    <xf numFmtId="3" fontId="24" fillId="0" borderId="5" applyBorder="0">
      <alignment vertical="center"/>
      <protection locked="0"/>
    </xf>
    <xf numFmtId="3" fontId="24" fillId="0" borderId="5" applyBorder="0">
      <alignment vertical="center"/>
      <protection locked="0"/>
    </xf>
    <xf numFmtId="174" fontId="7" fillId="0" borderId="0" applyFill="0" applyBorder="0" applyProtection="0">
      <alignment vertical="center"/>
    </xf>
    <xf numFmtId="174" fontId="7" fillId="0" borderId="0" applyFill="0" applyBorder="0" applyProtection="0">
      <alignment vertical="center"/>
    </xf>
    <xf numFmtId="174" fontId="7" fillId="0" borderId="0" applyFill="0" applyBorder="0" applyProtection="0">
      <alignment vertical="center"/>
    </xf>
    <xf numFmtId="174" fontId="7" fillId="0" borderId="0" applyFill="0" applyBorder="0" applyProtection="0">
      <alignment vertical="center"/>
    </xf>
    <xf numFmtId="174" fontId="7" fillId="0" borderId="0" applyFill="0" applyBorder="0" applyProtection="0">
      <alignment vertical="center"/>
    </xf>
    <xf numFmtId="174" fontId="7" fillId="0" borderId="0" applyFill="0" applyBorder="0" applyProtection="0">
      <alignment vertical="center"/>
    </xf>
    <xf numFmtId="174" fontId="7" fillId="0" borderId="0" applyFill="0" applyBorder="0" applyProtection="0">
      <alignment vertical="center"/>
    </xf>
    <xf numFmtId="174" fontId="7" fillId="0" borderId="0" applyFill="0" applyBorder="0" applyProtection="0">
      <alignment vertical="center"/>
    </xf>
    <xf numFmtId="164" fontId="7" fillId="0" borderId="0" applyFont="0" applyFill="0" applyBorder="0" applyAlignment="0" applyProtection="0"/>
    <xf numFmtId="175" fontId="7" fillId="0" borderId="0" applyFill="0" applyBorder="0" applyProtection="0">
      <alignment vertical="center"/>
    </xf>
    <xf numFmtId="175" fontId="7" fillId="0" borderId="0" applyFill="0" applyBorder="0" applyProtection="0">
      <alignment vertical="center"/>
    </xf>
    <xf numFmtId="175" fontId="7" fillId="0" borderId="0" applyFill="0" applyBorder="0" applyProtection="0">
      <alignment vertical="center"/>
    </xf>
    <xf numFmtId="175" fontId="7" fillId="0" borderId="0" applyFill="0" applyBorder="0" applyProtection="0">
      <alignment vertical="center"/>
    </xf>
    <xf numFmtId="175" fontId="7" fillId="0" borderId="0" applyFill="0" applyBorder="0" applyProtection="0">
      <alignment vertical="center"/>
    </xf>
    <xf numFmtId="175" fontId="7" fillId="0" borderId="0" applyFill="0" applyBorder="0" applyProtection="0">
      <alignment vertical="center"/>
    </xf>
    <xf numFmtId="175" fontId="7" fillId="0" borderId="0" applyFill="0" applyBorder="0" applyProtection="0">
      <alignment vertical="center"/>
    </xf>
    <xf numFmtId="175" fontId="7" fillId="0" borderId="0" applyFill="0" applyBorder="0" applyProtection="0">
      <alignment vertical="center"/>
    </xf>
    <xf numFmtId="176" fontId="7" fillId="0" borderId="0" applyFill="0" applyBorder="0" applyProtection="0">
      <alignment vertical="center"/>
    </xf>
    <xf numFmtId="176" fontId="7" fillId="0" borderId="0" applyFill="0" applyBorder="0" applyProtection="0">
      <alignment vertical="center"/>
    </xf>
    <xf numFmtId="176" fontId="7" fillId="0" borderId="0" applyFill="0" applyBorder="0" applyProtection="0">
      <alignment vertical="center"/>
    </xf>
    <xf numFmtId="176" fontId="7" fillId="0" borderId="0" applyFill="0" applyBorder="0" applyProtection="0">
      <alignment vertical="center"/>
    </xf>
    <xf numFmtId="176" fontId="7" fillId="0" borderId="0" applyFill="0" applyBorder="0" applyProtection="0">
      <alignment vertical="center"/>
    </xf>
    <xf numFmtId="176" fontId="7" fillId="0" borderId="0" applyFill="0" applyBorder="0" applyProtection="0">
      <alignment vertical="center"/>
    </xf>
    <xf numFmtId="176" fontId="7" fillId="0" borderId="0" applyFill="0" applyBorder="0" applyProtection="0">
      <alignment vertical="center"/>
    </xf>
    <xf numFmtId="176" fontId="7" fillId="0" borderId="0" applyFill="0" applyBorder="0" applyProtection="0">
      <alignment vertical="center"/>
    </xf>
    <xf numFmtId="177" fontId="7" fillId="0" borderId="0" applyFill="0" applyBorder="0" applyProtection="0">
      <alignment vertical="center"/>
    </xf>
    <xf numFmtId="177" fontId="7" fillId="0" borderId="0" applyFill="0" applyBorder="0" applyProtection="0">
      <alignment vertical="center"/>
    </xf>
    <xf numFmtId="177" fontId="7" fillId="0" borderId="0" applyFill="0" applyBorder="0" applyProtection="0">
      <alignment vertical="center"/>
    </xf>
    <xf numFmtId="177" fontId="7" fillId="0" borderId="0" applyFill="0" applyBorder="0" applyProtection="0">
      <alignment vertical="center"/>
    </xf>
    <xf numFmtId="177" fontId="7" fillId="0" borderId="0" applyFill="0" applyBorder="0" applyProtection="0">
      <alignment vertical="center"/>
    </xf>
    <xf numFmtId="177" fontId="7" fillId="0" borderId="0" applyFill="0" applyBorder="0" applyProtection="0">
      <alignment vertical="center"/>
    </xf>
    <xf numFmtId="177" fontId="7" fillId="0" borderId="0" applyFill="0" applyBorder="0" applyProtection="0">
      <alignment vertical="center"/>
    </xf>
    <xf numFmtId="177" fontId="7" fillId="0" borderId="0" applyFill="0" applyBorder="0" applyProtection="0">
      <alignment vertical="center"/>
    </xf>
    <xf numFmtId="164" fontId="62" fillId="0" borderId="0" applyFill="0" applyBorder="0" applyAlignment="0" applyProtection="0"/>
    <xf numFmtId="0" fontId="40" fillId="102" borderId="0" applyNumberFormat="0" applyBorder="0" applyAlignment="0" applyProtection="0"/>
    <xf numFmtId="0" fontId="40" fillId="103" borderId="0" applyNumberFormat="0" applyBorder="0" applyAlignment="0" applyProtection="0"/>
    <xf numFmtId="0" fontId="40" fillId="104" borderId="0" applyNumberFormat="0" applyBorder="0" applyAlignment="0" applyProtection="0"/>
    <xf numFmtId="0" fontId="7" fillId="52" borderId="0" applyBorder="0"/>
    <xf numFmtId="0" fontId="62" fillId="23" borderId="5" applyBorder="0"/>
    <xf numFmtId="0" fontId="7" fillId="52" borderId="0" applyBorder="0"/>
    <xf numFmtId="170" fontId="7" fillId="23" borderId="5" applyBorder="0"/>
    <xf numFmtId="170" fontId="7" fillId="23" borderId="5" applyBorder="0"/>
    <xf numFmtId="0" fontId="7" fillId="23" borderId="5" applyBorder="0"/>
    <xf numFmtId="0" fontId="7" fillId="23" borderId="5" applyBorder="0"/>
    <xf numFmtId="0" fontId="7" fillId="23" borderId="5" applyBorder="0"/>
    <xf numFmtId="0" fontId="7" fillId="23" borderId="5" applyBorder="0"/>
    <xf numFmtId="0" fontId="7" fillId="23" borderId="5" applyBorder="0"/>
    <xf numFmtId="0" fontId="7" fillId="23" borderId="5" applyBorder="0"/>
    <xf numFmtId="0" fontId="7" fillId="52" borderId="0" applyBorder="0"/>
    <xf numFmtId="0" fontId="7" fillId="23" borderId="5" applyBorder="0"/>
    <xf numFmtId="0" fontId="7" fillId="23" borderId="5" applyBorder="0"/>
    <xf numFmtId="0" fontId="62" fillId="23" borderId="5" applyBorder="0"/>
    <xf numFmtId="170" fontId="7" fillId="23" borderId="5" applyBorder="0"/>
    <xf numFmtId="170" fontId="7" fillId="23" borderId="5" applyBorder="0"/>
    <xf numFmtId="0" fontId="7" fillId="23" borderId="5" applyBorder="0"/>
    <xf numFmtId="0" fontId="7" fillId="52" borderId="0" applyBorder="0"/>
    <xf numFmtId="0" fontId="7" fillId="23" borderId="5" applyBorder="0"/>
    <xf numFmtId="0" fontId="7" fillId="23" borderId="5" applyBorder="0"/>
    <xf numFmtId="0" fontId="62" fillId="23" borderId="5" applyBorder="0"/>
    <xf numFmtId="0" fontId="62" fillId="23" borderId="5" applyBorder="0"/>
    <xf numFmtId="0" fontId="7" fillId="23" borderId="5" applyBorder="0"/>
    <xf numFmtId="0" fontId="7" fillId="23" borderId="5" applyBorder="0"/>
    <xf numFmtId="0" fontId="62" fillId="23" borderId="5" applyBorder="0"/>
    <xf numFmtId="0" fontId="62" fillId="23" borderId="5" applyBorder="0"/>
    <xf numFmtId="0" fontId="7" fillId="23" borderId="5" applyBorder="0"/>
    <xf numFmtId="0" fontId="7" fillId="23" borderId="5" applyBorder="0"/>
    <xf numFmtId="0" fontId="62" fillId="23" borderId="5" applyBorder="0"/>
    <xf numFmtId="0" fontId="7" fillId="23" borderId="5" applyBorder="0"/>
    <xf numFmtId="0" fontId="7" fillId="23" borderId="5" applyBorder="0"/>
    <xf numFmtId="0" fontId="7" fillId="23" borderId="5" applyBorder="0"/>
    <xf numFmtId="0" fontId="7" fillId="23" borderId="5" applyBorder="0"/>
    <xf numFmtId="0" fontId="7" fillId="23" borderId="5" applyBorder="0"/>
    <xf numFmtId="0" fontId="7" fillId="23" borderId="5" applyBorder="0"/>
    <xf numFmtId="0" fontId="30" fillId="0" borderId="0" applyNumberFormat="0" applyFill="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9" borderId="0" applyNumberFormat="0" applyBorder="0" applyAlignment="0" applyProtection="0"/>
    <xf numFmtId="0" fontId="25" fillId="53" borderId="1" applyNumberFormat="0" applyAlignment="0" applyProtection="0"/>
    <xf numFmtId="0" fontId="25" fillId="7" borderId="1" applyNumberFormat="0" applyAlignment="0" applyProtection="0"/>
    <xf numFmtId="0" fontId="25" fillId="53" borderId="1" applyNumberFormat="0" applyAlignment="0" applyProtection="0"/>
    <xf numFmtId="0" fontId="63" fillId="45" borderId="28" applyNumberFormat="0" applyAlignment="0" applyProtection="0"/>
    <xf numFmtId="0" fontId="25" fillId="7" borderId="1" applyNumberFormat="0" applyAlignment="0" applyProtection="0"/>
    <xf numFmtId="0" fontId="25" fillId="7" borderId="1" applyNumberFormat="0" applyAlignment="0" applyProtection="0"/>
    <xf numFmtId="0" fontId="25" fillId="53" borderId="1" applyNumberFormat="0" applyAlignment="0" applyProtection="0"/>
    <xf numFmtId="0" fontId="25" fillId="53" borderId="1" applyNumberFormat="0" applyAlignment="0" applyProtection="0"/>
    <xf numFmtId="0" fontId="25" fillId="53" borderId="1" applyNumberFormat="0" applyAlignment="0" applyProtection="0"/>
    <xf numFmtId="0" fontId="25" fillId="53" borderId="1" applyNumberFormat="0" applyAlignment="0" applyProtection="0"/>
    <xf numFmtId="0" fontId="25" fillId="7" borderId="1" applyNumberFormat="0" applyAlignment="0" applyProtection="0"/>
    <xf numFmtId="171" fontId="25" fillId="7" borderId="1" applyNumberFormat="0" applyAlignment="0" applyProtection="0"/>
    <xf numFmtId="0" fontId="25" fillId="53" borderId="1" applyNumberFormat="0" applyAlignment="0" applyProtection="0"/>
    <xf numFmtId="0" fontId="25" fillId="7" borderId="1" applyNumberFormat="0" applyAlignment="0" applyProtection="0"/>
    <xf numFmtId="0" fontId="25" fillId="53" borderId="1" applyNumberFormat="0" applyAlignment="0" applyProtection="0"/>
    <xf numFmtId="0" fontId="25" fillId="53" borderId="1" applyNumberFormat="0" applyAlignment="0" applyProtection="0"/>
    <xf numFmtId="0" fontId="25" fillId="53" borderId="1" applyNumberFormat="0" applyAlignment="0" applyProtection="0"/>
    <xf numFmtId="0" fontId="25" fillId="53" borderId="1" applyNumberFormat="0" applyAlignment="0" applyProtection="0"/>
    <xf numFmtId="0" fontId="25" fillId="53" borderId="1" applyNumberFormat="0" applyAlignment="0" applyProtection="0"/>
    <xf numFmtId="0" fontId="25" fillId="53" borderId="1" applyNumberFormat="0" applyAlignment="0" applyProtection="0"/>
    <xf numFmtId="0" fontId="25" fillId="53" borderId="1" applyNumberFormat="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170" fontId="62" fillId="0" borderId="0" applyFont="0" applyFill="0" applyBorder="0" applyAlignment="0" applyProtection="0"/>
    <xf numFmtId="173" fontId="7" fillId="0" borderId="0" applyFont="0" applyFill="0" applyBorder="0" applyAlignment="0" applyProtection="0"/>
    <xf numFmtId="173" fontId="7" fillId="0" borderId="0" applyFont="0" applyFill="0" applyBorder="0" applyAlignment="0" applyProtection="0"/>
    <xf numFmtId="173" fontId="7" fillId="0" borderId="0" applyFont="0" applyFill="0" applyBorder="0" applyAlignment="0" applyProtection="0"/>
    <xf numFmtId="170" fontId="7" fillId="0" borderId="0" applyFont="0" applyFill="0" applyBorder="0" applyAlignment="0" applyProtection="0"/>
    <xf numFmtId="170" fontId="62" fillId="0" borderId="0" applyFont="0" applyFill="0" applyBorder="0" applyAlignment="0" applyProtection="0"/>
    <xf numFmtId="173" fontId="7" fillId="0" borderId="0" applyFont="0" applyFill="0" applyBorder="0" applyAlignment="0" applyProtection="0"/>
    <xf numFmtId="173" fontId="7" fillId="0" borderId="0" applyFont="0" applyFill="0" applyBorder="0" applyAlignment="0" applyProtection="0"/>
    <xf numFmtId="170" fontId="7" fillId="0" borderId="0" applyFont="0" applyFill="0" applyBorder="0" applyAlignment="0" applyProtection="0"/>
    <xf numFmtId="178" fontId="7" fillId="0" borderId="0" applyFill="0" applyBorder="0" applyAlignment="0" applyProtection="0"/>
    <xf numFmtId="173" fontId="7" fillId="0" borderId="0" applyFont="0" applyFill="0" applyBorder="0" applyAlignment="0" applyProtection="0"/>
    <xf numFmtId="173" fontId="7" fillId="0" borderId="0" applyFont="0" applyFill="0" applyBorder="0" applyAlignment="0" applyProtection="0"/>
    <xf numFmtId="170" fontId="7" fillId="0" borderId="0" applyFont="0" applyFill="0" applyBorder="0" applyAlignment="0" applyProtection="0"/>
    <xf numFmtId="170" fontId="62" fillId="0" borderId="0" applyFont="0" applyFill="0" applyBorder="0" applyAlignment="0" applyProtection="0"/>
    <xf numFmtId="170" fontId="62"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70" fontId="62" fillId="0" borderId="0" applyFont="0" applyFill="0" applyBorder="0" applyAlignment="0" applyProtection="0"/>
    <xf numFmtId="170" fontId="62"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70" fontId="62"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78" fontId="7" fillId="0" borderId="0" applyFill="0" applyBorder="0" applyAlignment="0" applyProtection="0"/>
    <xf numFmtId="170" fontId="7" fillId="0" borderId="0" applyFont="0" applyFill="0" applyBorder="0" applyAlignment="0" applyProtection="0"/>
    <xf numFmtId="170" fontId="7" fillId="0" borderId="0" applyFont="0" applyFill="0" applyBorder="0" applyAlignment="0" applyProtection="0"/>
    <xf numFmtId="173" fontId="7" fillId="0" borderId="0" applyFon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5" fillId="0" borderId="0" applyNumberFormat="0" applyFill="0" applyBorder="0" applyAlignment="0" applyProtection="0"/>
    <xf numFmtId="170" fontId="26"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23" fillId="4"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3" fillId="4" borderId="0" applyNumberFormat="0" applyBorder="0" applyAlignment="0" applyProtection="0"/>
    <xf numFmtId="0" fontId="27" fillId="50" borderId="0" applyNumberFormat="0" applyBorder="0" applyAlignment="0" applyProtection="0"/>
    <xf numFmtId="170" fontId="27" fillId="4"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50" borderId="0" applyNumberFormat="0" applyBorder="0" applyAlignment="0" applyProtection="0"/>
    <xf numFmtId="0" fontId="23" fillId="4" borderId="0" applyNumberFormat="0" applyBorder="0" applyAlignment="0" applyProtection="0"/>
    <xf numFmtId="0" fontId="27" fillId="4"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7" fillId="4"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0" fillId="0" borderId="6" applyNumberFormat="0" applyFill="0" applyAlignment="0" applyProtection="0"/>
    <xf numFmtId="170" fontId="28" fillId="0" borderId="6"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8" fillId="0" borderId="6"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54" fillId="0" borderId="25" applyNumberFormat="0" applyFill="0" applyAlignment="0" applyProtection="0"/>
    <xf numFmtId="0" fontId="20" fillId="0" borderId="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8" fillId="0" borderId="7" applyNumberFormat="0" applyFill="0" applyAlignment="0" applyProtection="0"/>
    <xf numFmtId="170" fontId="29" fillId="0" borderId="7"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9" fillId="0" borderId="7"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8" fillId="0" borderId="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29" fillId="0" borderId="8" applyNumberFormat="0" applyFill="0" applyAlignment="0" applyProtection="0"/>
    <xf numFmtId="170" fontId="30" fillId="0" borderId="8"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30" fillId="0" borderId="8"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29" fillId="0" borderId="8" applyNumberFormat="0" applyFill="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9" fillId="0" borderId="0" applyNumberFormat="0" applyFill="0" applyBorder="0" applyAlignment="0" applyProtection="0"/>
    <xf numFmtId="170" fontId="30"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30" fillId="0" borderId="0" applyNumberFormat="0" applyFill="0" applyBorder="0" applyAlignment="0" applyProtection="0"/>
    <xf numFmtId="0" fontId="66" fillId="0" borderId="0" applyNumberFormat="0" applyFill="0" applyBorder="0" applyAlignment="0" applyProtection="0"/>
    <xf numFmtId="0" fontId="10" fillId="0" borderId="21" applyNumberFormat="0" applyFill="0" applyBorder="0" applyAlignment="0" applyProtection="0">
      <alignment horizontal="left"/>
    </xf>
    <xf numFmtId="0" fontId="10" fillId="0" borderId="0" applyNumberFormat="0" applyFill="0" applyBorder="0" applyAlignment="0" applyProtection="0">
      <alignment vertical="top"/>
      <protection locked="0"/>
    </xf>
    <xf numFmtId="0" fontId="67" fillId="0" borderId="2" applyNumberFormat="0" applyFill="0" applyAlignment="0" applyProtection="0"/>
    <xf numFmtId="0" fontId="67" fillId="0" borderId="2" applyNumberFormat="0" applyFill="0" applyAlignment="0" applyProtection="0"/>
    <xf numFmtId="0" fontId="67" fillId="0" borderId="2" applyNumberFormat="0" applyFill="0" applyAlignment="0" applyProtection="0"/>
    <xf numFmtId="0" fontId="67" fillId="0" borderId="2" applyNumberFormat="0" applyFill="0" applyAlignment="0" applyProtection="0"/>
    <xf numFmtId="0" fontId="17" fillId="22" borderId="4" applyNumberFormat="0" applyFont="0" applyAlignment="0" applyProtection="0"/>
    <xf numFmtId="0" fontId="7" fillId="105" borderId="4" applyNumberFormat="0" applyAlignment="0" applyProtection="0"/>
    <xf numFmtId="0" fontId="17" fillId="22" borderId="4" applyNumberFormat="0" applyFont="0" applyAlignment="0" applyProtection="0"/>
    <xf numFmtId="0" fontId="17" fillId="22" borderId="4" applyNumberFormat="0" applyFont="0" applyAlignment="0" applyProtection="0"/>
    <xf numFmtId="17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17" fillId="22" borderId="4" applyNumberFormat="0" applyFont="0" applyAlignment="0" applyProtection="0"/>
    <xf numFmtId="0" fontId="7" fillId="105" borderId="4" applyNumberFormat="0" applyAlignment="0" applyProtection="0"/>
    <xf numFmtId="0" fontId="17" fillId="22" borderId="4" applyNumberFormat="0" applyFont="0" applyAlignment="0" applyProtection="0"/>
    <xf numFmtId="0" fontId="7" fillId="105" borderId="4" applyNumberFormat="0" applyAlignment="0" applyProtection="0"/>
    <xf numFmtId="0" fontId="20" fillId="49" borderId="0" applyNumberFormat="0" applyBorder="0" applyAlignment="0" applyProtection="0"/>
    <xf numFmtId="17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42" fillId="0" borderId="0" applyNumberFormat="0" applyFont="0" applyFill="0" applyBorder="0" applyAlignment="0" applyProtection="0">
      <alignment vertical="top"/>
      <protection locked="0"/>
    </xf>
    <xf numFmtId="0" fontId="27" fillId="50" borderId="0" applyNumberFormat="0" applyBorder="0" applyAlignment="0" applyProtection="0"/>
    <xf numFmtId="170" fontId="27" fillId="4" borderId="0" applyNumberFormat="0" applyBorder="0" applyAlignment="0" applyProtection="0"/>
    <xf numFmtId="0" fontId="27" fillId="4" borderId="0" applyNumberFormat="0" applyBorder="0" applyAlignment="0" applyProtection="0"/>
    <xf numFmtId="0" fontId="27" fillId="4" borderId="0" applyNumberFormat="0" applyBorder="0" applyAlignment="0" applyProtection="0"/>
    <xf numFmtId="0" fontId="27" fillId="4" borderId="0" applyNumberFormat="0" applyBorder="0" applyAlignment="0" applyProtection="0"/>
    <xf numFmtId="0" fontId="27" fillId="4" borderId="0" applyNumberFormat="0" applyBorder="0" applyAlignment="0" applyProtection="0"/>
    <xf numFmtId="0" fontId="51" fillId="3" borderId="0" applyNumberFormat="0" applyBorder="0" applyAlignment="0" applyProtection="0"/>
    <xf numFmtId="0" fontId="20" fillId="3" borderId="0" applyNumberFormat="0" applyBorder="0" applyAlignment="0" applyProtection="0"/>
    <xf numFmtId="0" fontId="51" fillId="3" borderId="0" applyNumberFormat="0" applyBorder="0" applyAlignment="0" applyProtection="0"/>
    <xf numFmtId="0" fontId="53" fillId="44"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53" borderId="1" applyNumberFormat="0" applyAlignment="0" applyProtection="0"/>
    <xf numFmtId="170" fontId="25" fillId="7" borderId="1"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63" fillId="45" borderId="28" applyNumberFormat="0" applyAlignment="0" applyProtection="0"/>
    <xf numFmtId="0" fontId="25" fillId="7" borderId="1" applyNumberFormat="0" applyAlignment="0" applyProtection="0"/>
    <xf numFmtId="171" fontId="20" fillId="3" borderId="0" applyNumberFormat="0" applyBorder="0" applyAlignment="0" applyProtection="0"/>
    <xf numFmtId="0" fontId="20" fillId="3" borderId="0" applyNumberFormat="0" applyBorder="0" applyAlignment="0" applyProtection="0"/>
    <xf numFmtId="0" fontId="20" fillId="49" borderId="0" applyNumberFormat="0" applyBorder="0" applyAlignment="0" applyProtection="0"/>
    <xf numFmtId="0" fontId="7" fillId="105" borderId="4" applyNumberFormat="0" applyAlignment="0" applyProtection="0"/>
    <xf numFmtId="0" fontId="7" fillId="105" borderId="4" applyNumberFormat="0" applyAlignment="0" applyProtection="0"/>
    <xf numFmtId="170" fontId="48" fillId="22" borderId="4" applyNumberFormat="0" applyFont="0" applyAlignment="0" applyProtection="0"/>
    <xf numFmtId="0" fontId="48" fillId="22" borderId="4" applyNumberFormat="0" applyFont="0" applyAlignment="0" applyProtection="0"/>
    <xf numFmtId="0" fontId="48" fillId="22" borderId="4" applyNumberFormat="0" applyFont="0" applyAlignment="0" applyProtection="0"/>
    <xf numFmtId="0" fontId="48" fillId="22" borderId="4" applyNumberFormat="0" applyFont="0" applyAlignment="0" applyProtection="0"/>
    <xf numFmtId="0" fontId="7" fillId="105" borderId="4" applyNumberFormat="0" applyAlignment="0" applyProtection="0"/>
    <xf numFmtId="0" fontId="7" fillId="105" borderId="4" applyNumberFormat="0" applyAlignment="0" applyProtection="0"/>
    <xf numFmtId="0" fontId="51" fillId="95" borderId="0" applyNumberFormat="0" applyBorder="0" applyAlignment="0" applyProtection="0"/>
    <xf numFmtId="0" fontId="51" fillId="95" borderId="0" applyNumberFormat="0" applyBorder="0" applyAlignment="0" applyProtection="0"/>
    <xf numFmtId="170" fontId="51" fillId="16" borderId="0" applyNumberFormat="0" applyBorder="0" applyAlignment="0" applyProtection="0"/>
    <xf numFmtId="0" fontId="51" fillId="16" borderId="0" applyNumberFormat="0" applyBorder="0" applyAlignment="0" applyProtection="0"/>
    <xf numFmtId="0" fontId="51" fillId="16" borderId="0" applyNumberFormat="0" applyBorder="0" applyAlignment="0" applyProtection="0"/>
    <xf numFmtId="0" fontId="51" fillId="16" borderId="0" applyNumberFormat="0" applyBorder="0" applyAlignment="0" applyProtection="0"/>
    <xf numFmtId="0" fontId="51" fillId="16" borderId="0" applyNumberFormat="0" applyBorder="0" applyAlignment="0" applyProtection="0"/>
    <xf numFmtId="0" fontId="51" fillId="96" borderId="0" applyNumberFormat="0" applyBorder="0" applyAlignment="0" applyProtection="0"/>
    <xf numFmtId="0" fontId="51" fillId="96" borderId="0" applyNumberFormat="0" applyBorder="0" applyAlignment="0" applyProtection="0"/>
    <xf numFmtId="170" fontId="51" fillId="17" borderId="0" applyNumberFormat="0" applyBorder="0" applyAlignment="0" applyProtection="0"/>
    <xf numFmtId="0" fontId="51" fillId="17" borderId="0" applyNumberFormat="0" applyBorder="0" applyAlignment="0" applyProtection="0"/>
    <xf numFmtId="0" fontId="51" fillId="17" borderId="0" applyNumberFormat="0" applyBorder="0" applyAlignment="0" applyProtection="0"/>
    <xf numFmtId="0" fontId="51" fillId="17" borderId="0" applyNumberFormat="0" applyBorder="0" applyAlignment="0" applyProtection="0"/>
    <xf numFmtId="0" fontId="51" fillId="17" borderId="0" applyNumberFormat="0" applyBorder="0" applyAlignment="0" applyProtection="0"/>
    <xf numFmtId="0" fontId="51" fillId="97" borderId="0" applyNumberFormat="0" applyBorder="0" applyAlignment="0" applyProtection="0"/>
    <xf numFmtId="0" fontId="51" fillId="97" borderId="0" applyNumberFormat="0" applyBorder="0" applyAlignment="0" applyProtection="0"/>
    <xf numFmtId="170" fontId="51" fillId="18" borderId="0" applyNumberFormat="0" applyBorder="0" applyAlignment="0" applyProtection="0"/>
    <xf numFmtId="0" fontId="51" fillId="18" borderId="0" applyNumberFormat="0" applyBorder="0" applyAlignment="0" applyProtection="0"/>
    <xf numFmtId="0" fontId="51" fillId="18" borderId="0" applyNumberFormat="0" applyBorder="0" applyAlignment="0" applyProtection="0"/>
    <xf numFmtId="0" fontId="51" fillId="18" borderId="0" applyNumberFormat="0" applyBorder="0" applyAlignment="0" applyProtection="0"/>
    <xf numFmtId="0" fontId="51" fillId="18" borderId="0" applyNumberFormat="0" applyBorder="0" applyAlignment="0" applyProtection="0"/>
    <xf numFmtId="0" fontId="51" fillId="72" borderId="0" applyNumberFormat="0" applyBorder="0" applyAlignment="0" applyProtection="0"/>
    <xf numFmtId="0" fontId="51" fillId="72" borderId="0" applyNumberFormat="0" applyBorder="0" applyAlignment="0" applyProtection="0"/>
    <xf numFmtId="170" fontId="51" fillId="13" borderId="0" applyNumberFormat="0" applyBorder="0" applyAlignment="0" applyProtection="0"/>
    <xf numFmtId="0" fontId="51" fillId="13" borderId="0" applyNumberFormat="0" applyBorder="0" applyAlignment="0" applyProtection="0"/>
    <xf numFmtId="0" fontId="51" fillId="13" borderId="0" applyNumberFormat="0" applyBorder="0" applyAlignment="0" applyProtection="0"/>
    <xf numFmtId="0" fontId="51" fillId="13" borderId="0" applyNumberFormat="0" applyBorder="0" applyAlignment="0" applyProtection="0"/>
    <xf numFmtId="0" fontId="51" fillId="13" borderId="0" applyNumberFormat="0" applyBorder="0" applyAlignment="0" applyProtection="0"/>
    <xf numFmtId="0" fontId="51" fillId="73" borderId="0" applyNumberFormat="0" applyBorder="0" applyAlignment="0" applyProtection="0"/>
    <xf numFmtId="0" fontId="51" fillId="73" borderId="0" applyNumberFormat="0" applyBorder="0" applyAlignment="0" applyProtection="0"/>
    <xf numFmtId="170" fontId="51" fillId="14" borderId="0" applyNumberFormat="0" applyBorder="0" applyAlignment="0" applyProtection="0"/>
    <xf numFmtId="0" fontId="51" fillId="14" borderId="0" applyNumberFormat="0" applyBorder="0" applyAlignment="0" applyProtection="0"/>
    <xf numFmtId="0" fontId="51" fillId="14" borderId="0" applyNumberFormat="0" applyBorder="0" applyAlignment="0" applyProtection="0"/>
    <xf numFmtId="0" fontId="51" fillId="14" borderId="0" applyNumberFormat="0" applyBorder="0" applyAlignment="0" applyProtection="0"/>
    <xf numFmtId="0" fontId="51" fillId="14" borderId="0" applyNumberFormat="0" applyBorder="0" applyAlignment="0" applyProtection="0"/>
    <xf numFmtId="0" fontId="51" fillId="98" borderId="0" applyNumberFormat="0" applyBorder="0" applyAlignment="0" applyProtection="0"/>
    <xf numFmtId="0" fontId="51" fillId="98" borderId="0" applyNumberFormat="0" applyBorder="0" applyAlignment="0" applyProtection="0"/>
    <xf numFmtId="170" fontId="51" fillId="19" borderId="0" applyNumberFormat="0" applyBorder="0" applyAlignment="0" applyProtection="0"/>
    <xf numFmtId="0" fontId="51" fillId="19" borderId="0" applyNumberFormat="0" applyBorder="0" applyAlignment="0" applyProtection="0"/>
    <xf numFmtId="0" fontId="51" fillId="19" borderId="0" applyNumberFormat="0" applyBorder="0" applyAlignment="0" applyProtection="0"/>
    <xf numFmtId="0" fontId="51" fillId="19" borderId="0" applyNumberFormat="0" applyBorder="0" applyAlignment="0" applyProtection="0"/>
    <xf numFmtId="0" fontId="51" fillId="19" borderId="0" applyNumberFormat="0" applyBorder="0" applyAlignment="0" applyProtection="0"/>
    <xf numFmtId="164" fontId="7" fillId="0" borderId="0" applyFont="0" applyFill="0" applyBorder="0" applyAlignment="0" applyProtection="0"/>
    <xf numFmtId="169" fontId="7" fillId="0" borderId="0" applyFont="0" applyFill="0" applyBorder="0" applyAlignment="0" applyProtection="0"/>
    <xf numFmtId="164" fontId="7" fillId="0" borderId="0" applyFont="0" applyFill="0" applyBorder="0" applyAlignment="0" applyProtection="0"/>
    <xf numFmtId="0" fontId="21" fillId="99" borderId="1" applyNumberFormat="0" applyAlignment="0" applyProtection="0"/>
    <xf numFmtId="170" fontId="21" fillId="20" borderId="1" applyNumberFormat="0" applyAlignment="0" applyProtection="0"/>
    <xf numFmtId="0" fontId="21" fillId="20" borderId="1" applyNumberFormat="0" applyAlignment="0" applyProtection="0"/>
    <xf numFmtId="0" fontId="21" fillId="20" borderId="1" applyNumberFormat="0" applyAlignment="0" applyProtection="0"/>
    <xf numFmtId="0" fontId="21" fillId="20" borderId="1" applyNumberFormat="0" applyAlignment="0" applyProtection="0"/>
    <xf numFmtId="0" fontId="21" fillId="99" borderId="1" applyNumberFormat="0" applyAlignment="0" applyProtection="0"/>
    <xf numFmtId="0" fontId="10" fillId="0" borderId="0" applyNumberFormat="0" applyFill="0" applyBorder="0" applyAlignment="0" applyProtection="0">
      <alignment vertical="top"/>
      <protection locked="0"/>
    </xf>
    <xf numFmtId="0" fontId="21" fillId="0" borderId="2"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1"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1" fillId="0" borderId="2" applyNumberFormat="0" applyFill="0" applyAlignment="0" applyProtection="0"/>
    <xf numFmtId="170" fontId="22" fillId="0" borderId="2"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58" fillId="0" borderId="31" applyNumberFormat="0" applyFill="0" applyAlignment="0" applyProtection="0"/>
    <xf numFmtId="0" fontId="22" fillId="0" borderId="2" applyNumberFormat="0" applyFill="0" applyAlignment="0" applyProtection="0"/>
    <xf numFmtId="0" fontId="22" fillId="0" borderId="2" applyNumberFormat="0" applyFill="0" applyAlignment="0" applyProtection="0"/>
    <xf numFmtId="0" fontId="22" fillId="0" borderId="2" applyNumberFormat="0" applyFill="0" applyAlignment="0" applyProtection="0"/>
    <xf numFmtId="0" fontId="22" fillId="0" borderId="2" applyNumberFormat="0" applyFill="0" applyAlignment="0" applyProtection="0"/>
    <xf numFmtId="179" fontId="7" fillId="0" borderId="0" applyFont="0" applyFill="0" applyBorder="0" applyAlignment="0" applyProtection="0"/>
    <xf numFmtId="179" fontId="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64" fontId="68"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80" fontId="7" fillId="0" borderId="0" applyFont="0" applyFill="0" applyBorder="0" applyAlignment="0" applyProtection="0"/>
    <xf numFmtId="172" fontId="17" fillId="0" borderId="0" applyFont="0" applyFill="0" applyBorder="0" applyAlignment="0" applyProtection="0"/>
    <xf numFmtId="164" fontId="7" fillId="0" borderId="0" applyFill="0" applyBorder="0" applyAlignment="0" applyProtection="0"/>
    <xf numFmtId="164" fontId="7" fillId="0" borderId="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64" fontId="7" fillId="0" borderId="0" applyFill="0" applyBorder="0" applyAlignment="0" applyProtection="0"/>
    <xf numFmtId="164" fontId="7" fillId="0" borderId="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81" fontId="7" fillId="0" borderId="0" applyFill="0" applyBorder="0" applyProtection="0">
      <alignment vertical="center"/>
    </xf>
    <xf numFmtId="181" fontId="7" fillId="0" borderId="0" applyFill="0" applyBorder="0" applyProtection="0">
      <alignment vertical="center"/>
    </xf>
    <xf numFmtId="181" fontId="7" fillId="0" borderId="0" applyFill="0" applyBorder="0" applyProtection="0">
      <alignment vertical="center"/>
    </xf>
    <xf numFmtId="181" fontId="7" fillId="0" borderId="0" applyFill="0" applyBorder="0" applyProtection="0">
      <alignment vertical="center"/>
    </xf>
    <xf numFmtId="181" fontId="7" fillId="0" borderId="0" applyFill="0" applyBorder="0" applyProtection="0">
      <alignment vertical="center"/>
    </xf>
    <xf numFmtId="181" fontId="7" fillId="0" borderId="0" applyFill="0" applyBorder="0" applyProtection="0">
      <alignment vertical="center"/>
    </xf>
    <xf numFmtId="181" fontId="7" fillId="0" borderId="0" applyFill="0" applyBorder="0" applyProtection="0">
      <alignment vertical="center"/>
    </xf>
    <xf numFmtId="181" fontId="7" fillId="0" borderId="0" applyFill="0" applyBorder="0" applyProtection="0">
      <alignment vertical="center"/>
    </xf>
    <xf numFmtId="164" fontId="7" fillId="0" borderId="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2" fontId="17" fillId="0" borderId="0" applyFont="0" applyFill="0" applyBorder="0" applyAlignment="0" applyProtection="0"/>
    <xf numFmtId="173" fontId="17" fillId="0" borderId="0" applyFont="0" applyFill="0" applyBorder="0" applyAlignment="0" applyProtection="0"/>
    <xf numFmtId="173" fontId="17" fillId="0" borderId="0" applyFont="0" applyFill="0" applyBorder="0" applyAlignment="0" applyProtection="0"/>
    <xf numFmtId="173" fontId="17" fillId="0" borderId="0" applyFont="0" applyFill="0" applyBorder="0" applyAlignment="0" applyProtection="0"/>
    <xf numFmtId="173" fontId="11" fillId="0" borderId="0" applyFont="0" applyFill="0" applyBorder="0" applyAlignment="0" applyProtection="0"/>
    <xf numFmtId="0" fontId="31" fillId="106" borderId="0" applyNumberFormat="0" applyBorder="0" applyAlignment="0" applyProtection="0"/>
    <xf numFmtId="17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67" fillId="24"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7" fillId="24" borderId="0" applyNumberFormat="0" applyBorder="0" applyAlignment="0" applyProtection="0"/>
    <xf numFmtId="0" fontId="31" fillId="106" borderId="0" applyNumberFormat="0" applyBorder="0" applyAlignment="0" applyProtection="0"/>
    <xf numFmtId="170" fontId="67" fillId="24"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106" borderId="0" applyNumberFormat="0" applyBorder="0" applyAlignment="0" applyProtection="0"/>
    <xf numFmtId="0" fontId="67" fillId="24" borderId="0" applyNumberFormat="0" applyBorder="0" applyAlignment="0" applyProtection="0"/>
    <xf numFmtId="170" fontId="31" fillId="24"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106" borderId="0" applyNumberFormat="0" applyBorder="0" applyAlignment="0" applyProtection="0"/>
    <xf numFmtId="170" fontId="31" fillId="24"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106" borderId="0" applyNumberFormat="0" applyBorder="0" applyAlignment="0" applyProtection="0"/>
    <xf numFmtId="171" fontId="31" fillId="24" borderId="0" applyNumberFormat="0" applyBorder="0" applyAlignment="0" applyProtection="0"/>
    <xf numFmtId="0" fontId="69" fillId="107" borderId="0" applyNumberFormat="0" applyBorder="0" applyAlignment="0" applyProtection="0"/>
    <xf numFmtId="0" fontId="69" fillId="107" borderId="0" applyNumberFormat="0" applyBorder="0" applyAlignment="0" applyProtection="0"/>
    <xf numFmtId="0" fontId="31" fillId="24" borderId="0" applyNumberFormat="0" applyBorder="0" applyAlignment="0" applyProtection="0"/>
    <xf numFmtId="0" fontId="7" fillId="0" borderId="0" applyFill="0" applyBorder="0" applyProtection="0">
      <alignment vertical="center"/>
    </xf>
    <xf numFmtId="0" fontId="7" fillId="0" borderId="0" applyFill="0" applyBorder="0" applyProtection="0">
      <alignment vertical="center"/>
    </xf>
    <xf numFmtId="0" fontId="7" fillId="0" borderId="0" applyFill="0" applyBorder="0" applyProtection="0">
      <alignment vertical="center"/>
    </xf>
    <xf numFmtId="0" fontId="7" fillId="0" borderId="0" applyFill="0" applyBorder="0" applyProtection="0">
      <alignment vertical="center"/>
    </xf>
    <xf numFmtId="0" fontId="7" fillId="0" borderId="0" applyFill="0" applyBorder="0" applyProtection="0">
      <alignment vertical="center"/>
    </xf>
    <xf numFmtId="0" fontId="7" fillId="0" borderId="0" applyFill="0" applyBorder="0" applyProtection="0">
      <alignment vertical="center"/>
    </xf>
    <xf numFmtId="0" fontId="7" fillId="0" borderId="0" applyFill="0" applyBorder="0" applyProtection="0">
      <alignment vertical="center"/>
    </xf>
    <xf numFmtId="0" fontId="7" fillId="0" borderId="0" applyFill="0" applyBorder="0" applyProtection="0">
      <alignment vertical="center"/>
    </xf>
    <xf numFmtId="167" fontId="32" fillId="0" borderId="0" applyBorder="0">
      <alignment horizontal="center" vertical="center" wrapText="1"/>
    </xf>
    <xf numFmtId="167" fontId="32" fillId="0" borderId="9" applyBorder="0">
      <alignment horizontal="center" vertical="center" wrapText="1"/>
    </xf>
    <xf numFmtId="167" fontId="32" fillId="0" borderId="9" applyBorder="0">
      <alignment horizontal="center" vertical="center" wrapText="1"/>
    </xf>
    <xf numFmtId="167" fontId="32" fillId="0" borderId="9" applyBorder="0">
      <alignment horizontal="center" vertical="center" wrapText="1"/>
    </xf>
    <xf numFmtId="167" fontId="32" fillId="0" borderId="9" applyBorder="0">
      <alignment horizontal="center" vertical="center" wrapText="1"/>
    </xf>
    <xf numFmtId="167" fontId="32" fillId="0" borderId="9" applyBorder="0">
      <alignment horizontal="center" vertical="center" wrapText="1"/>
    </xf>
    <xf numFmtId="0" fontId="32" fillId="0" borderId="0" applyBorder="0">
      <alignment horizontal="center" vertical="center" wrapText="1"/>
    </xf>
    <xf numFmtId="182" fontId="7" fillId="0" borderId="0"/>
    <xf numFmtId="182" fontId="7" fillId="0" borderId="0"/>
    <xf numFmtId="0" fontId="70" fillId="0" borderId="0"/>
    <xf numFmtId="0" fontId="17" fillId="0" borderId="0"/>
    <xf numFmtId="0" fontId="17" fillId="0" borderId="0"/>
    <xf numFmtId="0" fontId="17" fillId="0" borderId="0"/>
    <xf numFmtId="0" fontId="7" fillId="0" borderId="0"/>
    <xf numFmtId="0" fontId="17" fillId="0" borderId="0"/>
    <xf numFmtId="0" fontId="7" fillId="0" borderId="0"/>
    <xf numFmtId="0" fontId="7" fillId="0" borderId="0"/>
    <xf numFmtId="0" fontId="17" fillId="0" borderId="0"/>
    <xf numFmtId="0" fontId="7" fillId="0" borderId="0"/>
    <xf numFmtId="0" fontId="17" fillId="0" borderId="0"/>
    <xf numFmtId="0" fontId="7" fillId="0" borderId="0"/>
    <xf numFmtId="0" fontId="1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protection locked="0"/>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3" fontId="71" fillId="0" borderId="0"/>
    <xf numFmtId="0" fontId="7" fillId="0" borderId="0"/>
    <xf numFmtId="0" fontId="7" fillId="0" borderId="0"/>
    <xf numFmtId="3" fontId="71" fillId="0" borderId="0"/>
    <xf numFmtId="0" fontId="7" fillId="0" borderId="0"/>
    <xf numFmtId="0" fontId="7" fillId="0" borderId="0"/>
    <xf numFmtId="3" fontId="71" fillId="0" borderId="0"/>
    <xf numFmtId="0" fontId="7" fillId="0" borderId="0"/>
    <xf numFmtId="0" fontId="7" fillId="0" borderId="0"/>
    <xf numFmtId="3" fontId="71" fillId="0" borderId="0"/>
    <xf numFmtId="0" fontId="7" fillId="0" borderId="0"/>
    <xf numFmtId="0" fontId="7" fillId="0" borderId="0"/>
    <xf numFmtId="3" fontId="71" fillId="0" borderId="0"/>
    <xf numFmtId="0" fontId="7" fillId="0" borderId="0"/>
    <xf numFmtId="0" fontId="7" fillId="0" borderId="0"/>
    <xf numFmtId="3" fontId="71" fillId="0" borderId="0"/>
    <xf numFmtId="0" fontId="11" fillId="0" borderId="0">
      <protection locked="0"/>
    </xf>
    <xf numFmtId="3" fontId="71" fillId="0" borderId="0"/>
    <xf numFmtId="3" fontId="71" fillId="0" borderId="0"/>
    <xf numFmtId="3" fontId="71" fillId="0" borderId="0"/>
    <xf numFmtId="3" fontId="71" fillId="0" borderId="0"/>
    <xf numFmtId="0" fontId="17" fillId="0" borderId="0"/>
    <xf numFmtId="0" fontId="17" fillId="0" borderId="0"/>
    <xf numFmtId="0" fontId="17" fillId="0" borderId="0"/>
    <xf numFmtId="0" fontId="17" fillId="0" borderId="0"/>
    <xf numFmtId="0" fontId="7" fillId="0" borderId="0"/>
    <xf numFmtId="0" fontId="7" fillId="0" borderId="0"/>
    <xf numFmtId="0" fontId="17" fillId="0" borderId="0"/>
    <xf numFmtId="0" fontId="17" fillId="0" borderId="0"/>
    <xf numFmtId="170" fontId="7" fillId="0" borderId="0" applyFont="0"/>
    <xf numFmtId="170" fontId="7" fillId="0" borderId="0" applyFont="0"/>
    <xf numFmtId="0" fontId="17" fillId="0" borderId="0"/>
    <xf numFmtId="170" fontId="7" fillId="0" borderId="0" applyFont="0"/>
    <xf numFmtId="170" fontId="7" fillId="0" borderId="0" applyFont="0"/>
    <xf numFmtId="0" fontId="7" fillId="0" borderId="0" applyFont="0"/>
    <xf numFmtId="0" fontId="7" fillId="0" borderId="0" applyFont="0"/>
    <xf numFmtId="0" fontId="7" fillId="0" borderId="0" applyFont="0"/>
    <xf numFmtId="0" fontId="7" fillId="0" borderId="0"/>
    <xf numFmtId="0" fontId="7" fillId="0" borderId="0"/>
    <xf numFmtId="0" fontId="7" fillId="0" borderId="0" applyFont="0"/>
    <xf numFmtId="0" fontId="7" fillId="0" borderId="0"/>
    <xf numFmtId="0" fontId="7" fillId="0" borderId="0"/>
    <xf numFmtId="170" fontId="7" fillId="0" borderId="0"/>
    <xf numFmtId="170" fontId="7" fillId="0" borderId="0"/>
    <xf numFmtId="170" fontId="7" fillId="0" borderId="0"/>
    <xf numFmtId="170" fontId="7" fillId="0" borderId="0"/>
    <xf numFmtId="0" fontId="17" fillId="0" borderId="0"/>
    <xf numFmtId="0" fontId="17" fillId="0" borderId="0"/>
    <xf numFmtId="0" fontId="17" fillId="0" borderId="0"/>
    <xf numFmtId="0" fontId="17"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0" fontId="7" fillId="0" borderId="0"/>
    <xf numFmtId="0" fontId="9" fillId="0" borderId="0"/>
    <xf numFmtId="0" fontId="7" fillId="0" borderId="0" applyFont="0"/>
    <xf numFmtId="0" fontId="7" fillId="0" borderId="0" applyFont="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0" fontId="7" fillId="0" borderId="0"/>
    <xf numFmtId="0" fontId="7" fillId="0" borderId="0"/>
    <xf numFmtId="0" fontId="7" fillId="0" borderId="0"/>
    <xf numFmtId="0" fontId="7" fillId="0" borderId="0"/>
    <xf numFmtId="0" fontId="7" fillId="0" borderId="0"/>
    <xf numFmtId="0" fontId="7" fillId="0" borderId="0" applyFont="0"/>
    <xf numFmtId="0" fontId="7" fillId="0" borderId="0" applyFont="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3" fontId="71" fillId="0" borderId="0"/>
    <xf numFmtId="0" fontId="7" fillId="0" borderId="0"/>
    <xf numFmtId="0" fontId="7" fillId="0" borderId="0"/>
    <xf numFmtId="0" fontId="7" fillId="0" borderId="0"/>
    <xf numFmtId="0" fontId="7" fillId="0" borderId="0" applyFont="0"/>
    <xf numFmtId="0" fontId="7" fillId="0" borderId="0" applyFont="0"/>
    <xf numFmtId="3" fontId="71" fillId="0" borderId="0"/>
    <xf numFmtId="3" fontId="71" fillId="0" borderId="0"/>
    <xf numFmtId="3" fontId="71" fillId="0" borderId="0"/>
    <xf numFmtId="3" fontId="71" fillId="0" borderId="0"/>
    <xf numFmtId="3" fontId="71"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7" fillId="0" borderId="0"/>
    <xf numFmtId="0" fontId="7" fillId="0" borderId="0"/>
    <xf numFmtId="0" fontId="7" fillId="0" borderId="0"/>
    <xf numFmtId="3" fontId="71" fillId="0" borderId="0"/>
    <xf numFmtId="0" fontId="17" fillId="0" borderId="0"/>
    <xf numFmtId="0" fontId="17" fillId="0" borderId="0"/>
    <xf numFmtId="0" fontId="7" fillId="0" borderId="0"/>
    <xf numFmtId="0" fontId="7" fillId="0" borderId="0"/>
    <xf numFmtId="3" fontId="7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7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 fillId="0" borderId="0" applyFill="0" applyBorder="0"/>
    <xf numFmtId="0" fontId="7" fillId="0" borderId="0"/>
    <xf numFmtId="0" fontId="7" fillId="0" borderId="0"/>
    <xf numFmtId="0" fontId="7" fillId="0" borderId="0"/>
    <xf numFmtId="170" fontId="7" fillId="0" borderId="0" applyFont="0"/>
    <xf numFmtId="0" fontId="7" fillId="0" borderId="0"/>
    <xf numFmtId="0" fontId="7" fillId="0" borderId="0"/>
    <xf numFmtId="0" fontId="17" fillId="0" borderId="0"/>
    <xf numFmtId="0" fontId="17" fillId="0" borderId="0"/>
    <xf numFmtId="0" fontId="17" fillId="0" borderId="0"/>
    <xf numFmtId="0" fontId="17" fillId="0" borderId="0"/>
    <xf numFmtId="0" fontId="17" fillId="0" borderId="0"/>
    <xf numFmtId="0" fontId="7" fillId="0" borderId="0" applyFont="0"/>
    <xf numFmtId="0" fontId="7" fillId="0" borderId="0" applyFont="0"/>
    <xf numFmtId="0" fontId="17" fillId="0" borderId="0"/>
    <xf numFmtId="0" fontId="17" fillId="0" borderId="0"/>
    <xf numFmtId="0" fontId="17" fillId="0" borderId="0"/>
    <xf numFmtId="0" fontId="17" fillId="0" borderId="0"/>
    <xf numFmtId="0" fontId="17" fillId="0" borderId="0"/>
    <xf numFmtId="0" fontId="7" fillId="0" borderId="0" applyFill="0" applyBorder="0"/>
    <xf numFmtId="0" fontId="7" fillId="0" borderId="0" applyFill="0" applyBorder="0"/>
    <xf numFmtId="0" fontId="17" fillId="0" borderId="0"/>
    <xf numFmtId="0" fontId="17" fillId="0" borderId="0"/>
    <xf numFmtId="0" fontId="17" fillId="0" borderId="0"/>
    <xf numFmtId="0" fontId="7" fillId="0" borderId="0"/>
    <xf numFmtId="0" fontId="7" fillId="0" borderId="0"/>
    <xf numFmtId="0" fontId="17" fillId="0" borderId="0"/>
    <xf numFmtId="0" fontId="7" fillId="0" borderId="0"/>
    <xf numFmtId="0" fontId="7" fillId="0" borderId="0"/>
    <xf numFmtId="0" fontId="17" fillId="0" borderId="0"/>
    <xf numFmtId="0" fontId="7" fillId="0" borderId="0"/>
    <xf numFmtId="181" fontId="7" fillId="0" borderId="0">
      <alignment vertical="center"/>
    </xf>
    <xf numFmtId="181" fontId="7" fillId="0" borderId="0">
      <alignment vertical="center"/>
    </xf>
    <xf numFmtId="181" fontId="7" fillId="0" borderId="0">
      <alignment vertical="center"/>
    </xf>
    <xf numFmtId="181" fontId="7" fillId="0" borderId="0">
      <alignment vertical="center"/>
    </xf>
    <xf numFmtId="181" fontId="7" fillId="0" borderId="0">
      <alignment vertical="center"/>
    </xf>
    <xf numFmtId="181" fontId="7" fillId="0" borderId="0">
      <alignment vertical="center"/>
    </xf>
    <xf numFmtId="181" fontId="7" fillId="0" borderId="0">
      <alignment vertical="center"/>
    </xf>
    <xf numFmtId="0" fontId="7" fillId="0" borderId="0"/>
    <xf numFmtId="0" fontId="7" fillId="0" borderId="0"/>
    <xf numFmtId="0" fontId="7" fillId="0" borderId="0"/>
    <xf numFmtId="0" fontId="7" fillId="0" borderId="0"/>
    <xf numFmtId="0" fontId="62" fillId="0" borderId="0"/>
    <xf numFmtId="0" fontId="62" fillId="0" borderId="0"/>
    <xf numFmtId="0" fontId="7" fillId="0" borderId="0"/>
    <xf numFmtId="0" fontId="17" fillId="0" borderId="0"/>
    <xf numFmtId="0" fontId="1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2" fillId="0" borderId="0"/>
    <xf numFmtId="0" fontId="62" fillId="0" borderId="0"/>
    <xf numFmtId="0" fontId="7" fillId="0" borderId="0"/>
    <xf numFmtId="0" fontId="62" fillId="0" borderId="0"/>
    <xf numFmtId="0" fontId="62" fillId="0" borderId="0"/>
    <xf numFmtId="0" fontId="7" fillId="0" borderId="0"/>
    <xf numFmtId="0" fontId="62" fillId="0" borderId="0"/>
    <xf numFmtId="0" fontId="62" fillId="0" borderId="0"/>
    <xf numFmtId="170" fontId="7" fillId="0" borderId="0"/>
    <xf numFmtId="170" fontId="7" fillId="0" borderId="0"/>
    <xf numFmtId="0" fontId="62" fillId="0" borderId="0"/>
    <xf numFmtId="0" fontId="62" fillId="0" borderId="0"/>
    <xf numFmtId="0" fontId="62" fillId="0" borderId="0"/>
    <xf numFmtId="0" fontId="7" fillId="0" borderId="0"/>
    <xf numFmtId="0" fontId="17" fillId="0" borderId="0"/>
    <xf numFmtId="0" fontId="48" fillId="0" borderId="0"/>
    <xf numFmtId="0" fontId="7" fillId="0" borderId="0"/>
    <xf numFmtId="0" fontId="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 fillId="0" borderId="0"/>
    <xf numFmtId="0" fontId="7" fillId="0" borderId="0"/>
    <xf numFmtId="0" fontId="7" fillId="0" borderId="0"/>
    <xf numFmtId="0" fontId="7" fillId="0" borderId="0"/>
    <xf numFmtId="170" fontId="7" fillId="0" borderId="0"/>
    <xf numFmtId="17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alignment horizontal="left" wrapText="1"/>
    </xf>
    <xf numFmtId="0" fontId="7" fillId="0" borderId="0">
      <alignment horizontal="left" wrapText="1"/>
    </xf>
    <xf numFmtId="0" fontId="7" fillId="0" borderId="0"/>
    <xf numFmtId="0" fontId="7" fillId="0" borderId="0"/>
    <xf numFmtId="170" fontId="17" fillId="0" borderId="0"/>
    <xf numFmtId="0" fontId="72" fillId="0" borderId="0"/>
    <xf numFmtId="0" fontId="7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2" fillId="0" borderId="0"/>
    <xf numFmtId="0" fontId="7" fillId="0" borderId="0"/>
    <xf numFmtId="0" fontId="7" fillId="0" borderId="0"/>
    <xf numFmtId="0" fontId="62" fillId="0" borderId="0"/>
    <xf numFmtId="0" fontId="62" fillId="0" borderId="0"/>
    <xf numFmtId="0" fontId="7" fillId="0" borderId="0"/>
    <xf numFmtId="0" fontId="7" fillId="0" borderId="0"/>
    <xf numFmtId="0" fontId="62" fillId="0" borderId="0"/>
    <xf numFmtId="0" fontId="62" fillId="0" borderId="0"/>
    <xf numFmtId="0" fontId="7" fillId="0" borderId="0"/>
    <xf numFmtId="0" fontId="7" fillId="0" borderId="0"/>
    <xf numFmtId="0" fontId="62" fillId="0" borderId="0"/>
    <xf numFmtId="0" fontId="7" fillId="0" borderId="0"/>
    <xf numFmtId="0" fontId="7" fillId="0" borderId="0"/>
    <xf numFmtId="0" fontId="7" fillId="0" borderId="0"/>
    <xf numFmtId="0" fontId="62" fillId="0" borderId="0"/>
    <xf numFmtId="0" fontId="7" fillId="0" borderId="0"/>
    <xf numFmtId="0" fontId="7" fillId="0" borderId="0"/>
    <xf numFmtId="0" fontId="7" fillId="0" borderId="0"/>
    <xf numFmtId="0" fontId="17" fillId="0" borderId="0"/>
    <xf numFmtId="0" fontId="17" fillId="0" borderId="0"/>
    <xf numFmtId="0" fontId="62" fillId="0" borderId="0"/>
    <xf numFmtId="0" fontId="74" fillId="0" borderId="0"/>
    <xf numFmtId="0" fontId="47" fillId="0" borderId="0"/>
    <xf numFmtId="0" fontId="17" fillId="0" borderId="0"/>
    <xf numFmtId="0" fontId="3" fillId="0" borderId="0"/>
    <xf numFmtId="0" fontId="3" fillId="0" borderId="0"/>
    <xf numFmtId="0" fontId="62" fillId="0" borderId="0"/>
    <xf numFmtId="0" fontId="17" fillId="0" borderId="0"/>
    <xf numFmtId="0" fontId="7" fillId="0" borderId="0"/>
    <xf numFmtId="0" fontId="17" fillId="0" borderId="0"/>
    <xf numFmtId="0" fontId="62" fillId="0" borderId="0"/>
    <xf numFmtId="0" fontId="17"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47" fillId="0" borderId="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62" fillId="22" borderId="4" applyNumberFormat="0" applyFont="0" applyAlignment="0" applyProtection="0"/>
    <xf numFmtId="0" fontId="62" fillId="22" borderId="4" applyNumberFormat="0" applyFont="0" applyAlignment="0" applyProtection="0"/>
    <xf numFmtId="0" fontId="7" fillId="22" borderId="4" applyNumberFormat="0" applyFont="0" applyAlignment="0" applyProtection="0"/>
    <xf numFmtId="0" fontId="62" fillId="22" borderId="4" applyNumberFormat="0" applyFont="0" applyAlignment="0" applyProtection="0"/>
    <xf numFmtId="0" fontId="62"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62" fillId="22" borderId="4" applyNumberFormat="0" applyFont="0" applyAlignment="0" applyProtection="0"/>
    <xf numFmtId="0" fontId="7" fillId="22" borderId="4" applyNumberFormat="0" applyFont="0" applyAlignment="0" applyProtection="0"/>
    <xf numFmtId="0" fontId="62" fillId="22" borderId="4" applyNumberFormat="0" applyFont="0" applyAlignment="0" applyProtection="0"/>
    <xf numFmtId="0" fontId="7" fillId="22" borderId="4" applyNumberFormat="0" applyFont="0" applyAlignment="0" applyProtection="0"/>
    <xf numFmtId="0" fontId="62"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1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170" fontId="7" fillId="22" borderId="4" applyNumberFormat="0" applyFont="0" applyAlignment="0" applyProtection="0"/>
    <xf numFmtId="17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7" fillId="22" borderId="4" applyNumberFormat="0" applyFont="0" applyAlignment="0" applyProtection="0"/>
    <xf numFmtId="0" fontId="9" fillId="22" borderId="4" applyNumberFormat="0" applyFont="0" applyAlignment="0" applyProtection="0"/>
    <xf numFmtId="0" fontId="28" fillId="0" borderId="6" applyNumberFormat="0" applyFill="0" applyAlignment="0" applyProtection="0"/>
    <xf numFmtId="0" fontId="28" fillId="0" borderId="6" applyNumberFormat="0" applyFill="0" applyAlignment="0" applyProtection="0"/>
    <xf numFmtId="0" fontId="28" fillId="0" borderId="6" applyNumberFormat="0" applyFill="0" applyAlignment="0" applyProtection="0"/>
    <xf numFmtId="0" fontId="28" fillId="0" borderId="6"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3" fillId="20" borderId="10" applyNumberFormat="0" applyAlignment="0" applyProtection="0"/>
    <xf numFmtId="0" fontId="34" fillId="99" borderId="10" applyNumberFormat="0" applyAlignment="0" applyProtection="0"/>
    <xf numFmtId="17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99" borderId="10" applyNumberFormat="0" applyAlignment="0" applyProtection="0"/>
    <xf numFmtId="0" fontId="33"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3" fillId="20" borderId="10" applyNumberFormat="0" applyAlignment="0" applyProtection="0"/>
    <xf numFmtId="9" fontId="1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24" fillId="0" borderId="32">
      <alignment vertical="center"/>
    </xf>
    <xf numFmtId="9" fontId="24" fillId="0" borderId="11">
      <alignment vertical="center"/>
    </xf>
    <xf numFmtId="9" fontId="24" fillId="0" borderId="11">
      <alignment vertical="center"/>
    </xf>
    <xf numFmtId="9" fontId="24" fillId="0" borderId="11">
      <alignment vertical="center"/>
    </xf>
    <xf numFmtId="9" fontId="24" fillId="0" borderId="11">
      <alignment vertical="center"/>
    </xf>
    <xf numFmtId="9" fontId="24" fillId="0" borderId="32">
      <alignment vertical="center"/>
    </xf>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7" fillId="0" borderId="0" applyFill="0" applyBorder="0" applyAlignment="0" applyProtection="0"/>
    <xf numFmtId="9" fontId="7" fillId="0" borderId="0" applyFill="0" applyBorder="0" applyAlignment="0" applyProtection="0"/>
    <xf numFmtId="9" fontId="17" fillId="0" borderId="0" applyFont="0" applyFill="0" applyBorder="0" applyAlignment="0" applyProtection="0"/>
    <xf numFmtId="9" fontId="12"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ill="0" applyBorder="0" applyAlignment="0" applyProtection="0"/>
    <xf numFmtId="9" fontId="7" fillId="0" borderId="0" applyFont="0" applyFill="0" applyBorder="0" applyAlignment="0" applyProtection="0"/>
    <xf numFmtId="183" fontId="7" fillId="0" borderId="0" applyFill="0" applyBorder="0" applyProtection="0">
      <alignment vertical="center"/>
    </xf>
    <xf numFmtId="183" fontId="7" fillId="0" borderId="0" applyFill="0" applyBorder="0" applyProtection="0">
      <alignment vertical="center"/>
    </xf>
    <xf numFmtId="183" fontId="7" fillId="0" borderId="0" applyFill="0" applyBorder="0" applyProtection="0">
      <alignment vertical="center"/>
    </xf>
    <xf numFmtId="183" fontId="7" fillId="0" borderId="0" applyFill="0" applyBorder="0" applyProtection="0">
      <alignment vertical="center"/>
    </xf>
    <xf numFmtId="183" fontId="7" fillId="0" borderId="0" applyFill="0" applyBorder="0" applyProtection="0">
      <alignment vertical="center"/>
    </xf>
    <xf numFmtId="183" fontId="7" fillId="0" borderId="0" applyFill="0" applyBorder="0" applyProtection="0">
      <alignment vertical="center"/>
    </xf>
    <xf numFmtId="183" fontId="7" fillId="0" borderId="0" applyFill="0" applyBorder="0" applyProtection="0">
      <alignment vertical="center"/>
    </xf>
    <xf numFmtId="183" fontId="7" fillId="0" borderId="0" applyFill="0" applyBorder="0" applyProtection="0">
      <alignment vertical="center"/>
    </xf>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7" fillId="0" borderId="0" applyFont="0" applyFill="0" applyBorder="0" applyAlignment="0" applyProtection="0"/>
    <xf numFmtId="9" fontId="17" fillId="0" borderId="0" applyFont="0" applyFill="0" applyBorder="0" applyAlignment="0" applyProtection="0"/>
    <xf numFmtId="9" fontId="7"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ill="0" applyBorder="0" applyAlignment="0" applyProtection="0"/>
    <xf numFmtId="184" fontId="7" fillId="0" borderId="0" applyFill="0" applyBorder="0" applyProtection="0">
      <alignment vertical="center"/>
    </xf>
    <xf numFmtId="184" fontId="7" fillId="0" borderId="0" applyFill="0" applyBorder="0" applyProtection="0">
      <alignment vertical="center"/>
    </xf>
    <xf numFmtId="184" fontId="7" fillId="0" borderId="0" applyFill="0" applyBorder="0" applyProtection="0">
      <alignment vertical="center"/>
    </xf>
    <xf numFmtId="184" fontId="7" fillId="0" borderId="0" applyFill="0" applyBorder="0" applyProtection="0">
      <alignment vertical="center"/>
    </xf>
    <xf numFmtId="184" fontId="7" fillId="0" borderId="0" applyFill="0" applyBorder="0" applyProtection="0">
      <alignment vertical="center"/>
    </xf>
    <xf numFmtId="184" fontId="7" fillId="0" borderId="0" applyFill="0" applyBorder="0" applyProtection="0">
      <alignment vertical="center"/>
    </xf>
    <xf numFmtId="184" fontId="7" fillId="0" borderId="0" applyFill="0" applyBorder="0" applyProtection="0">
      <alignment vertical="center"/>
    </xf>
    <xf numFmtId="184" fontId="7" fillId="0" borderId="0" applyFill="0" applyBorder="0" applyProtection="0">
      <alignment vertical="center"/>
    </xf>
    <xf numFmtId="185" fontId="7" fillId="0" borderId="0" applyFill="0" applyBorder="0" applyProtection="0">
      <alignment vertical="center"/>
    </xf>
    <xf numFmtId="185" fontId="7" fillId="0" borderId="0" applyFill="0" applyBorder="0" applyProtection="0">
      <alignment vertical="center"/>
    </xf>
    <xf numFmtId="185" fontId="7" fillId="0" borderId="0" applyFill="0" applyBorder="0" applyProtection="0">
      <alignment vertical="center"/>
    </xf>
    <xf numFmtId="185" fontId="7" fillId="0" borderId="0" applyFill="0" applyBorder="0" applyProtection="0">
      <alignment vertical="center"/>
    </xf>
    <xf numFmtId="185" fontId="7" fillId="0" borderId="0" applyFill="0" applyBorder="0" applyProtection="0">
      <alignment vertical="center"/>
    </xf>
    <xf numFmtId="185" fontId="7" fillId="0" borderId="0" applyFill="0" applyBorder="0" applyProtection="0">
      <alignment vertical="center"/>
    </xf>
    <xf numFmtId="185" fontId="7" fillId="0" borderId="0" applyFill="0" applyBorder="0" applyProtection="0">
      <alignment vertical="center"/>
    </xf>
    <xf numFmtId="185" fontId="7" fillId="0" borderId="0" applyFill="0" applyBorder="0" applyProtection="0">
      <alignment vertical="center"/>
    </xf>
    <xf numFmtId="186" fontId="7" fillId="0" borderId="0" applyFill="0" applyBorder="0" applyProtection="0">
      <alignment vertical="center"/>
    </xf>
    <xf numFmtId="186" fontId="7" fillId="0" borderId="0" applyFill="0" applyBorder="0" applyProtection="0">
      <alignment vertical="center"/>
    </xf>
    <xf numFmtId="186" fontId="7" fillId="0" borderId="0" applyFill="0" applyBorder="0" applyProtection="0">
      <alignment vertical="center"/>
    </xf>
    <xf numFmtId="186" fontId="7" fillId="0" borderId="0" applyFill="0" applyBorder="0" applyProtection="0">
      <alignment vertical="center"/>
    </xf>
    <xf numFmtId="186" fontId="7" fillId="0" borderId="0" applyFill="0" applyBorder="0" applyProtection="0">
      <alignment vertical="center"/>
    </xf>
    <xf numFmtId="186" fontId="7" fillId="0" borderId="0" applyFill="0" applyBorder="0" applyProtection="0">
      <alignment vertical="center"/>
    </xf>
    <xf numFmtId="186" fontId="7" fillId="0" borderId="0" applyFill="0" applyBorder="0" applyProtection="0">
      <alignment vertical="center"/>
    </xf>
    <xf numFmtId="186" fontId="7" fillId="0" borderId="0" applyFill="0" applyBorder="0" applyProtection="0">
      <alignment vertical="center"/>
    </xf>
    <xf numFmtId="0" fontId="35" fillId="105" borderId="0" applyNumberFormat="0" applyBorder="0">
      <alignment horizontal="right"/>
      <protection locked="0"/>
    </xf>
    <xf numFmtId="0" fontId="35" fillId="25" borderId="0" applyNumberFormat="0" applyBorder="0">
      <alignment horizontal="right"/>
      <protection locked="0"/>
    </xf>
    <xf numFmtId="0" fontId="35" fillId="25" borderId="0" applyNumberFormat="0" applyBorder="0">
      <alignment horizontal="right"/>
      <protection locked="0"/>
    </xf>
    <xf numFmtId="0" fontId="35" fillId="25" borderId="0" applyNumberFormat="0" applyBorder="0">
      <alignment horizontal="right"/>
      <protection locked="0"/>
    </xf>
    <xf numFmtId="0" fontId="35" fillId="25" borderId="0" applyNumberFormat="0" applyBorder="0">
      <alignment horizontal="right"/>
      <protection locked="0"/>
    </xf>
    <xf numFmtId="0" fontId="35" fillId="105" borderId="0" applyNumberFormat="0" applyBorder="0">
      <alignment horizontal="right"/>
      <protection locked="0"/>
    </xf>
    <xf numFmtId="0" fontId="62" fillId="23" borderId="0" applyNumberFormat="0" applyFont="0" applyBorder="0" applyAlignment="0"/>
    <xf numFmtId="0" fontId="7" fillId="52" borderId="0" applyNumberFormat="0" applyBorder="0" applyAlignment="0"/>
    <xf numFmtId="0" fontId="7" fillId="23" borderId="0" applyNumberFormat="0" applyFont="0" applyBorder="0" applyAlignment="0"/>
    <xf numFmtId="170" fontId="7" fillId="23" borderId="0" applyNumberFormat="0" applyFont="0" applyBorder="0" applyAlignment="0"/>
    <xf numFmtId="170" fontId="7" fillId="23" borderId="0" applyNumberFormat="0" applyFont="0" applyBorder="0" applyAlignment="0"/>
    <xf numFmtId="0" fontId="7" fillId="23" borderId="0" applyNumberFormat="0" applyFont="0" applyBorder="0" applyAlignment="0"/>
    <xf numFmtId="0" fontId="62" fillId="23" borderId="0" applyNumberFormat="0" applyFont="0" applyBorder="0" applyAlignment="0"/>
    <xf numFmtId="0" fontId="7" fillId="23" borderId="0" applyNumberFormat="0" applyFont="0" applyBorder="0" applyAlignment="0"/>
    <xf numFmtId="0" fontId="7" fillId="23" borderId="0" applyNumberFormat="0" applyFont="0" applyBorder="0" applyAlignment="0"/>
    <xf numFmtId="0" fontId="7" fillId="52" borderId="0" applyNumberFormat="0" applyBorder="0" applyAlignment="0"/>
    <xf numFmtId="0" fontId="7" fillId="23" borderId="0" applyNumberFormat="0" applyFont="0" applyBorder="0" applyAlignment="0"/>
    <xf numFmtId="0" fontId="7" fillId="23" borderId="0" applyNumberFormat="0" applyFont="0" applyBorder="0" applyAlignment="0"/>
    <xf numFmtId="0" fontId="62" fillId="23" borderId="0" applyNumberFormat="0" applyFont="0" applyBorder="0" applyAlignment="0"/>
    <xf numFmtId="0" fontId="62" fillId="23" borderId="0" applyNumberFormat="0" applyFont="0" applyBorder="0" applyAlignment="0"/>
    <xf numFmtId="0" fontId="7" fillId="23" borderId="0" applyNumberFormat="0" applyFont="0" applyBorder="0" applyAlignment="0"/>
    <xf numFmtId="0" fontId="7" fillId="23" borderId="0" applyNumberFormat="0" applyFont="0" applyBorder="0" applyAlignment="0"/>
    <xf numFmtId="0" fontId="62" fillId="23" borderId="0" applyNumberFormat="0" applyFont="0" applyBorder="0" applyAlignment="0"/>
    <xf numFmtId="0" fontId="62" fillId="23" borderId="0" applyNumberFormat="0" applyFont="0" applyBorder="0" applyAlignment="0"/>
    <xf numFmtId="0" fontId="7" fillId="23" borderId="0" applyNumberFormat="0" applyFont="0" applyBorder="0" applyAlignment="0"/>
    <xf numFmtId="0" fontId="7" fillId="23" borderId="0" applyNumberFormat="0" applyFont="0" applyBorder="0" applyAlignment="0"/>
    <xf numFmtId="0" fontId="62" fillId="23" borderId="0" applyNumberFormat="0" applyFont="0" applyBorder="0" applyAlignment="0"/>
    <xf numFmtId="0" fontId="7" fillId="23" borderId="0" applyNumberFormat="0" applyFont="0" applyBorder="0" applyAlignment="0"/>
    <xf numFmtId="0" fontId="7" fillId="23" borderId="0" applyNumberFormat="0" applyFont="0" applyBorder="0" applyAlignment="0"/>
    <xf numFmtId="0" fontId="7" fillId="23" borderId="0" applyNumberFormat="0" applyFont="0" applyBorder="0" applyAlignment="0"/>
    <xf numFmtId="0" fontId="7" fillId="52" borderId="0" applyNumberFormat="0" applyBorder="0" applyAlignment="0"/>
    <xf numFmtId="0" fontId="7" fillId="23" borderId="0" applyNumberFormat="0" applyFont="0" applyBorder="0" applyAlignment="0"/>
    <xf numFmtId="0" fontId="62" fillId="26" borderId="0" applyNumberFormat="0" applyBorder="0">
      <alignment horizontal="center" vertical="center" wrapText="1"/>
    </xf>
    <xf numFmtId="0" fontId="7" fillId="52" borderId="0" applyNumberFormat="0" applyBorder="0">
      <alignment horizontal="center" vertical="center" wrapText="1"/>
    </xf>
    <xf numFmtId="0" fontId="7" fillId="26" borderId="0" applyNumberFormat="0" applyBorder="0">
      <alignment horizontal="center" vertical="center" wrapText="1"/>
    </xf>
    <xf numFmtId="170" fontId="7" fillId="26" borderId="0" applyNumberFormat="0" applyBorder="0">
      <alignment horizontal="center" vertical="center" wrapText="1"/>
    </xf>
    <xf numFmtId="170" fontId="7" fillId="26" borderId="0" applyNumberFormat="0" applyBorder="0">
      <alignment horizontal="center" vertical="center" wrapText="1"/>
    </xf>
    <xf numFmtId="0" fontId="7" fillId="26" borderId="0" applyNumberFormat="0" applyBorder="0">
      <alignment horizontal="center" vertical="center" wrapText="1"/>
    </xf>
    <xf numFmtId="0" fontId="62" fillId="26" borderId="0" applyNumberFormat="0" applyBorder="0">
      <alignment horizontal="center" vertical="center" wrapText="1"/>
    </xf>
    <xf numFmtId="0" fontId="7" fillId="26" borderId="0" applyNumberFormat="0" applyBorder="0">
      <alignment horizontal="center" vertical="center" wrapText="1"/>
    </xf>
    <xf numFmtId="0" fontId="7" fillId="26" borderId="0" applyNumberFormat="0" applyBorder="0">
      <alignment horizontal="center" vertical="center" wrapText="1"/>
    </xf>
    <xf numFmtId="0" fontId="7" fillId="52" borderId="0" applyNumberFormat="0" applyBorder="0">
      <alignment horizontal="center" vertical="center" wrapText="1"/>
    </xf>
    <xf numFmtId="0" fontId="7" fillId="26" borderId="0" applyNumberFormat="0" applyBorder="0">
      <alignment horizontal="center" vertical="center" wrapText="1"/>
    </xf>
    <xf numFmtId="0" fontId="7" fillId="26" borderId="0" applyNumberFormat="0" applyBorder="0">
      <alignment horizontal="center" vertical="center" wrapText="1"/>
    </xf>
    <xf numFmtId="0" fontId="62" fillId="26" borderId="0" applyNumberFormat="0" applyBorder="0">
      <alignment horizontal="center" vertical="center" wrapText="1"/>
    </xf>
    <xf numFmtId="0" fontId="62" fillId="26" borderId="0" applyNumberFormat="0" applyBorder="0">
      <alignment horizontal="center" vertical="center" wrapText="1"/>
    </xf>
    <xf numFmtId="0" fontId="7" fillId="26" borderId="0" applyNumberFormat="0" applyBorder="0">
      <alignment horizontal="center" vertical="center" wrapText="1"/>
    </xf>
    <xf numFmtId="0" fontId="7" fillId="26" borderId="0" applyNumberFormat="0" applyBorder="0">
      <alignment horizontal="center" vertical="center" wrapText="1"/>
    </xf>
    <xf numFmtId="0" fontId="62" fillId="26" borderId="0" applyNumberFormat="0" applyBorder="0">
      <alignment horizontal="center" vertical="center" wrapText="1"/>
    </xf>
    <xf numFmtId="0" fontId="62" fillId="26" borderId="0" applyNumberFormat="0" applyBorder="0">
      <alignment horizontal="center" vertical="center" wrapText="1"/>
    </xf>
    <xf numFmtId="0" fontId="7" fillId="26" borderId="0" applyNumberFormat="0" applyBorder="0">
      <alignment horizontal="center" vertical="center" wrapText="1"/>
    </xf>
    <xf numFmtId="0" fontId="7" fillId="26" borderId="0" applyNumberFormat="0" applyBorder="0">
      <alignment horizontal="center" vertical="center" wrapText="1"/>
    </xf>
    <xf numFmtId="0" fontId="62" fillId="26" borderId="0" applyNumberFormat="0" applyBorder="0">
      <alignment horizontal="center" vertical="center" wrapText="1"/>
    </xf>
    <xf numFmtId="0" fontId="7" fillId="26" borderId="0" applyNumberFormat="0" applyBorder="0">
      <alignment horizontal="center" vertical="center" wrapText="1"/>
    </xf>
    <xf numFmtId="0" fontId="7" fillId="26" borderId="0" applyNumberFormat="0" applyBorder="0">
      <alignment horizontal="center" vertical="center" wrapText="1"/>
    </xf>
    <xf numFmtId="0" fontId="7" fillId="26" borderId="0" applyNumberFormat="0" applyBorder="0">
      <alignment horizontal="center" vertical="center" wrapText="1"/>
    </xf>
    <xf numFmtId="0" fontId="7" fillId="52" borderId="0" applyNumberFormat="0" applyBorder="0">
      <alignment horizontal="center" vertical="center" wrapText="1"/>
    </xf>
    <xf numFmtId="0" fontId="7" fillId="26" borderId="0" applyNumberFormat="0" applyBorder="0">
      <alignment horizontal="center" vertical="center" wrapText="1"/>
    </xf>
    <xf numFmtId="166" fontId="35" fillId="27" borderId="11" applyNumberFormat="0" applyBorder="0" applyAlignment="0">
      <alignment horizontal="right"/>
      <protection locked="0"/>
    </xf>
    <xf numFmtId="166" fontId="35" fillId="27" borderId="11" applyNumberFormat="0" applyBorder="0" applyAlignment="0">
      <alignment horizontal="right"/>
      <protection locked="0"/>
    </xf>
    <xf numFmtId="0" fontId="35" fillId="52" borderId="0" applyNumberFormat="0" applyBorder="0" applyAlignment="0">
      <protection locked="0"/>
    </xf>
    <xf numFmtId="166" fontId="35" fillId="27" borderId="11" applyNumberFormat="0" applyBorder="0" applyAlignment="0">
      <alignment horizontal="right"/>
      <protection locked="0"/>
    </xf>
    <xf numFmtId="166" fontId="35" fillId="27" borderId="11" applyNumberFormat="0" applyBorder="0" applyAlignment="0">
      <alignment horizontal="right"/>
      <protection locked="0"/>
    </xf>
    <xf numFmtId="166" fontId="35" fillId="27" borderId="11" applyNumberFormat="0" applyBorder="0" applyAlignment="0">
      <alignment horizontal="right"/>
      <protection locked="0"/>
    </xf>
    <xf numFmtId="166" fontId="35" fillId="27" borderId="11" applyNumberFormat="0" applyBorder="0" applyAlignment="0">
      <alignment horizontal="right"/>
      <protection locked="0"/>
    </xf>
    <xf numFmtId="166" fontId="35" fillId="27" borderId="11" applyNumberFormat="0" applyBorder="0" applyAlignment="0">
      <alignment horizontal="right"/>
      <protection locked="0"/>
    </xf>
    <xf numFmtId="0" fontId="35" fillId="52" borderId="0" applyNumberFormat="0" applyBorder="0" applyAlignment="0">
      <protection locked="0"/>
    </xf>
    <xf numFmtId="0" fontId="62" fillId="28" borderId="0" applyNumberFormat="0" applyFont="0" applyBorder="0" applyAlignment="0"/>
    <xf numFmtId="0" fontId="7" fillId="53" borderId="0" applyNumberFormat="0" applyBorder="0" applyAlignment="0"/>
    <xf numFmtId="0" fontId="7" fillId="28" borderId="0" applyNumberFormat="0" applyFont="0" applyBorder="0" applyAlignment="0"/>
    <xf numFmtId="170" fontId="7" fillId="28" borderId="0" applyNumberFormat="0" applyFont="0" applyBorder="0" applyAlignment="0"/>
    <xf numFmtId="170" fontId="7" fillId="28" borderId="0" applyNumberFormat="0" applyFont="0" applyBorder="0" applyAlignment="0"/>
    <xf numFmtId="0" fontId="7" fillId="28" borderId="0" applyNumberFormat="0" applyFont="0" applyBorder="0" applyAlignment="0"/>
    <xf numFmtId="0" fontId="62" fillId="28" borderId="0" applyNumberFormat="0" applyFont="0" applyBorder="0" applyAlignment="0"/>
    <xf numFmtId="0" fontId="7" fillId="28" borderId="0" applyNumberFormat="0" applyFont="0" applyBorder="0" applyAlignment="0"/>
    <xf numFmtId="0" fontId="7" fillId="28" borderId="0" applyNumberFormat="0" applyFont="0" applyBorder="0" applyAlignment="0"/>
    <xf numFmtId="0" fontId="7" fillId="53" borderId="0" applyNumberFormat="0" applyBorder="0" applyAlignment="0"/>
    <xf numFmtId="0" fontId="7" fillId="28" borderId="0" applyNumberFormat="0" applyFont="0" applyBorder="0" applyAlignment="0"/>
    <xf numFmtId="0" fontId="7" fillId="28" borderId="0" applyNumberFormat="0" applyFont="0" applyBorder="0" applyAlignment="0"/>
    <xf numFmtId="0" fontId="62" fillId="28" borderId="0" applyNumberFormat="0" applyFont="0" applyBorder="0" applyAlignment="0"/>
    <xf numFmtId="0" fontId="62" fillId="28" borderId="0" applyNumberFormat="0" applyFont="0" applyBorder="0" applyAlignment="0"/>
    <xf numFmtId="0" fontId="7" fillId="28" borderId="0" applyNumberFormat="0" applyFont="0" applyBorder="0" applyAlignment="0"/>
    <xf numFmtId="0" fontId="7" fillId="28" borderId="0" applyNumberFormat="0" applyFont="0" applyBorder="0" applyAlignment="0"/>
    <xf numFmtId="0" fontId="62" fillId="28" borderId="0" applyNumberFormat="0" applyFont="0" applyBorder="0" applyAlignment="0"/>
    <xf numFmtId="0" fontId="62" fillId="28" borderId="0" applyNumberFormat="0" applyFont="0" applyBorder="0" applyAlignment="0"/>
    <xf numFmtId="0" fontId="7" fillId="28" borderId="0" applyNumberFormat="0" applyFont="0" applyBorder="0" applyAlignment="0"/>
    <xf numFmtId="0" fontId="7" fillId="28" borderId="0" applyNumberFormat="0" applyFont="0" applyBorder="0" applyAlignment="0"/>
    <xf numFmtId="0" fontId="62" fillId="28" borderId="0" applyNumberFormat="0" applyFont="0" applyBorder="0" applyAlignment="0"/>
    <xf numFmtId="0" fontId="7" fillId="28" borderId="0" applyNumberFormat="0" applyFont="0" applyBorder="0" applyAlignment="0"/>
    <xf numFmtId="0" fontId="7" fillId="28" borderId="0" applyNumberFormat="0" applyFont="0" applyBorder="0" applyAlignment="0"/>
    <xf numFmtId="0" fontId="7" fillId="28" borderId="0" applyNumberFormat="0" applyFont="0" applyBorder="0" applyAlignment="0"/>
    <xf numFmtId="0" fontId="7" fillId="53" borderId="0" applyNumberFormat="0" applyBorder="0" applyAlignment="0"/>
    <xf numFmtId="0" fontId="7" fillId="28" borderId="0" applyNumberFormat="0" applyFont="0" applyBorder="0" applyAlignment="0"/>
    <xf numFmtId="0" fontId="36" fillId="0" borderId="5" applyFill="0" applyBorder="0">
      <alignment horizontal="center" vertical="center"/>
    </xf>
    <xf numFmtId="0" fontId="36" fillId="0" borderId="5" applyFill="0" applyBorder="0">
      <alignment horizontal="center" vertical="center"/>
    </xf>
    <xf numFmtId="0" fontId="36" fillId="0" borderId="0" applyFill="0" applyBorder="0">
      <alignment horizontal="center" vertical="center"/>
    </xf>
    <xf numFmtId="170" fontId="36" fillId="0" borderId="5" applyFill="0" applyBorder="0">
      <alignment horizontal="center" vertical="center"/>
    </xf>
    <xf numFmtId="0" fontId="36" fillId="0" borderId="5" applyFill="0" applyBorder="0">
      <alignment horizontal="center" vertical="center"/>
    </xf>
    <xf numFmtId="0" fontId="36" fillId="0" borderId="5" applyFill="0" applyBorder="0">
      <alignment horizontal="center" vertical="center"/>
    </xf>
    <xf numFmtId="0" fontId="36" fillId="0" borderId="5" applyFill="0" applyBorder="0">
      <alignment horizontal="center" vertical="center"/>
    </xf>
    <xf numFmtId="0" fontId="37" fillId="0" borderId="0" applyNumberFormat="0" applyBorder="0" applyAlignment="0"/>
    <xf numFmtId="10" fontId="37" fillId="0" borderId="12" applyNumberFormat="0" applyBorder="0" applyAlignment="0"/>
    <xf numFmtId="10" fontId="37" fillId="0" borderId="12" applyNumberFormat="0" applyBorder="0" applyAlignment="0"/>
    <xf numFmtId="10" fontId="37" fillId="0" borderId="12" applyNumberFormat="0" applyBorder="0" applyAlignment="0"/>
    <xf numFmtId="10" fontId="37" fillId="0" borderId="12" applyNumberFormat="0" applyBorder="0" applyAlignment="0"/>
    <xf numFmtId="0" fontId="7" fillId="30" borderId="11">
      <alignment horizontal="center" wrapText="1"/>
    </xf>
    <xf numFmtId="0" fontId="7" fillId="30" borderId="11">
      <alignment horizontal="center" wrapText="1"/>
    </xf>
    <xf numFmtId="0" fontId="7" fillId="30" borderId="11">
      <alignment horizontal="center" wrapText="1"/>
    </xf>
    <xf numFmtId="170" fontId="7" fillId="30" borderId="11">
      <alignment horizontal="center" wrapText="1"/>
    </xf>
    <xf numFmtId="17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center" wrapText="1"/>
    </xf>
    <xf numFmtId="0" fontId="7" fillId="30" borderId="11">
      <alignment horizontal="left"/>
    </xf>
    <xf numFmtId="0" fontId="7" fillId="30" borderId="11">
      <alignment horizontal="left"/>
    </xf>
    <xf numFmtId="0" fontId="7" fillId="30" borderId="11">
      <alignment horizontal="left"/>
    </xf>
    <xf numFmtId="170" fontId="7" fillId="30" borderId="11">
      <alignment horizontal="left"/>
    </xf>
    <xf numFmtId="17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0" fontId="7" fillId="30" borderId="11">
      <alignment horizontal="left"/>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3"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168" fontId="7" fillId="27" borderId="11">
      <alignment horizontal="right"/>
      <protection locked="0"/>
    </xf>
    <xf numFmtId="0" fontId="7" fillId="0" borderId="0" applyNumberFormat="0" applyFont="0" applyBorder="0" applyAlignment="0"/>
    <xf numFmtId="0" fontId="7" fillId="0" borderId="0" applyNumberFormat="0" applyFont="0" applyBorder="0" applyAlignment="0"/>
    <xf numFmtId="171"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171"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0" fontId="7" fillId="0" borderId="0" applyNumberFormat="0" applyFont="0" applyBorder="0" applyAlignment="0"/>
    <xf numFmtId="3" fontId="16" fillId="29" borderId="11" applyBorder="0"/>
    <xf numFmtId="0" fontId="7" fillId="23" borderId="0" applyBorder="0"/>
    <xf numFmtId="0" fontId="7" fillId="23" borderId="0" applyBorder="0"/>
    <xf numFmtId="0" fontId="7" fillId="23" borderId="0" applyBorder="0"/>
    <xf numFmtId="0" fontId="7" fillId="23" borderId="0" applyBorder="0"/>
    <xf numFmtId="0" fontId="7" fillId="23" borderId="0" applyBorder="0"/>
    <xf numFmtId="0" fontId="7" fillId="23" borderId="0" applyBorder="0"/>
    <xf numFmtId="0" fontId="7" fillId="23" borderId="0" applyBorder="0"/>
    <xf numFmtId="0" fontId="7" fillId="23" borderId="0" applyBorder="0"/>
    <xf numFmtId="0" fontId="7" fillId="23" borderId="0" applyBorder="0"/>
    <xf numFmtId="0" fontId="7" fillId="23" borderId="0" applyBorder="0"/>
    <xf numFmtId="0" fontId="7" fillId="23" borderId="0" applyBorder="0"/>
    <xf numFmtId="0" fontId="11" fillId="36" borderId="0" applyNumberFormat="0" applyFont="0" applyBorder="0" applyAlignment="0" applyProtection="0">
      <protection locked="0"/>
    </xf>
    <xf numFmtId="0" fontId="7" fillId="30" borderId="11" applyNumberFormat="0" applyFont="0" applyBorder="0" applyAlignment="0">
      <alignment horizontal="center" wrapText="1"/>
    </xf>
    <xf numFmtId="0" fontId="7" fillId="30" borderId="11" applyNumberFormat="0" applyFont="0" applyBorder="0" applyAlignment="0">
      <alignment horizontal="center" wrapText="1"/>
    </xf>
    <xf numFmtId="0" fontId="7" fillId="30" borderId="11" applyNumberFormat="0" applyFont="0" applyBorder="0" applyAlignment="0">
      <alignment horizontal="center" wrapText="1"/>
    </xf>
    <xf numFmtId="0" fontId="7" fillId="30" borderId="11" applyNumberFormat="0" applyFont="0" applyBorder="0" applyAlignment="0">
      <alignment horizontal="center" wrapText="1"/>
    </xf>
    <xf numFmtId="0" fontId="7" fillId="30" borderId="11" applyNumberFormat="0" applyFont="0" applyBorder="0" applyAlignment="0">
      <alignment horizontal="center" wrapText="1"/>
    </xf>
    <xf numFmtId="0" fontId="7" fillId="30" borderId="11" applyNumberFormat="0" applyFont="0" applyBorder="0" applyAlignment="0">
      <alignment horizontal="center" wrapText="1"/>
    </xf>
    <xf numFmtId="0" fontId="7" fillId="30" borderId="11" applyNumberFormat="0" applyFont="0" applyBorder="0" applyAlignment="0">
      <alignment horizontal="center" wrapText="1"/>
    </xf>
    <xf numFmtId="0" fontId="7" fillId="30" borderId="11" applyNumberFormat="0" applyFont="0" applyBorder="0" applyAlignment="0">
      <alignment horizontal="center" wrapText="1"/>
    </xf>
    <xf numFmtId="0" fontId="7" fillId="30" borderId="11" applyNumberFormat="0" applyFont="0" applyBorder="0" applyAlignment="0">
      <alignment horizontal="center" wrapText="1"/>
    </xf>
    <xf numFmtId="0" fontId="7" fillId="30" borderId="11" applyNumberFormat="0" applyFont="0" applyBorder="0" applyAlignment="0">
      <alignment horizontal="center" wrapText="1"/>
    </xf>
    <xf numFmtId="0" fontId="7" fillId="30" borderId="0" applyNumberFormat="0" applyFont="0" applyFill="0" applyBorder="0" applyAlignment="0"/>
    <xf numFmtId="0" fontId="9" fillId="30" borderId="0" applyNumberFormat="0" applyFont="0" applyFill="0" applyBorder="0" applyAlignment="0"/>
    <xf numFmtId="0" fontId="7" fillId="30" borderId="0" applyNumberFormat="0" applyFont="0" applyFill="0" applyBorder="0" applyAlignment="0"/>
    <xf numFmtId="0" fontId="7" fillId="30" borderId="0" applyNumberFormat="0" applyFont="0" applyFill="0" applyBorder="0" applyAlignment="0"/>
    <xf numFmtId="0" fontId="7" fillId="30" borderId="0" applyNumberFormat="0" applyFont="0" applyFill="0" applyBorder="0" applyAlignment="0"/>
    <xf numFmtId="0" fontId="7" fillId="30" borderId="0" applyNumberFormat="0" applyFont="0" applyFill="0" applyBorder="0" applyAlignment="0"/>
    <xf numFmtId="0" fontId="7" fillId="30" borderId="0" applyNumberFormat="0" applyFont="0" applyFill="0" applyBorder="0" applyAlignment="0"/>
    <xf numFmtId="0" fontId="9" fillId="30" borderId="0" applyNumberFormat="0" applyFont="0" applyFill="0" applyBorder="0" applyAlignment="0"/>
    <xf numFmtId="0" fontId="7" fillId="30" borderId="0" applyNumberFormat="0" applyFont="0" applyFill="0" applyBorder="0" applyAlignment="0"/>
    <xf numFmtId="0" fontId="7" fillId="30" borderId="0" applyNumberFormat="0" applyFont="0" applyFill="0" applyBorder="0" applyAlignment="0"/>
    <xf numFmtId="0" fontId="7" fillId="30" borderId="0" applyNumberFormat="0" applyFont="0" applyFill="0" applyBorder="0" applyAlignment="0"/>
    <xf numFmtId="0" fontId="7" fillId="30" borderId="0" applyNumberFormat="0" applyFont="0" applyFill="0" applyBorder="0" applyAlignment="0"/>
    <xf numFmtId="0" fontId="7" fillId="30" borderId="0" applyNumberFormat="0" applyFont="0" applyFill="0" applyBorder="0" applyAlignment="0"/>
    <xf numFmtId="0" fontId="38" fillId="48" borderId="0" applyNumberFormat="0" applyBorder="0">
      <alignment horizontal="right" vertical="center" wrapText="1" indent="1"/>
    </xf>
    <xf numFmtId="3" fontId="38" fillId="31" borderId="11" applyNumberFormat="0" applyBorder="0">
      <alignment horizontal="right" vertical="center" wrapText="1" indent="1"/>
    </xf>
    <xf numFmtId="171" fontId="37" fillId="0" borderId="0" applyNumberFormat="0" applyBorder="0" applyAlignment="0"/>
    <xf numFmtId="0" fontId="41" fillId="29" borderId="16" applyNumberFormat="0" applyFont="0" applyBorder="0" applyAlignment="0"/>
    <xf numFmtId="171" fontId="41" fillId="29" borderId="16" applyNumberFormat="0" applyFont="0" applyBorder="0" applyAlignment="0"/>
    <xf numFmtId="0" fontId="41" fillId="29" borderId="16" applyNumberFormat="0" applyFont="0" applyBorder="0" applyAlignment="0"/>
    <xf numFmtId="0" fontId="41" fillId="29" borderId="16" applyNumberFormat="0" applyFont="0" applyBorder="0" applyAlignment="0"/>
    <xf numFmtId="0" fontId="41" fillId="29" borderId="16" applyNumberFormat="0" applyFont="0" applyBorder="0" applyAlignment="0"/>
    <xf numFmtId="187" fontId="44" fillId="0" borderId="11" applyNumberFormat="0" applyFont="0" applyFill="0" applyAlignment="0" applyProtection="0"/>
    <xf numFmtId="188" fontId="75" fillId="0" borderId="33" applyNumberFormat="0" applyFont="0" applyFill="0" applyAlignment="0" applyProtection="0"/>
    <xf numFmtId="188" fontId="75" fillId="0" borderId="17"/>
    <xf numFmtId="171" fontId="7" fillId="0" borderId="14" applyNumberFormat="0" applyFont="0" applyBorder="0" applyAlignment="0">
      <alignment horizontal="left" indent="1"/>
    </xf>
    <xf numFmtId="171" fontId="7" fillId="0" borderId="14" applyNumberFormat="0" applyFont="0" applyBorder="0" applyAlignment="0">
      <alignment horizontal="left" indent="1"/>
    </xf>
    <xf numFmtId="0" fontId="76" fillId="49" borderId="0" applyNumberFormat="0" applyBorder="0" applyAlignment="0" applyProtection="0"/>
    <xf numFmtId="0" fontId="76" fillId="49" borderId="0" applyNumberFormat="0" applyBorder="0" applyAlignment="0" applyProtection="0"/>
    <xf numFmtId="170" fontId="76" fillId="3" borderId="0" applyNumberFormat="0" applyBorder="0" applyAlignment="0" applyProtection="0"/>
    <xf numFmtId="0" fontId="76" fillId="3" borderId="0" applyNumberFormat="0" applyBorder="0" applyAlignment="0" applyProtection="0"/>
    <xf numFmtId="0" fontId="76" fillId="3" borderId="0" applyNumberFormat="0" applyBorder="0" applyAlignment="0" applyProtection="0"/>
    <xf numFmtId="0" fontId="76" fillId="3" borderId="0" applyNumberFormat="0" applyBorder="0" applyAlignment="0" applyProtection="0"/>
    <xf numFmtId="0" fontId="76" fillId="3" borderId="0" applyNumberFormat="0" applyBorder="0" applyAlignment="0" applyProtection="0"/>
    <xf numFmtId="168" fontId="35" fillId="108" borderId="0" applyNumberFormat="0" applyBorder="0" applyAlignment="0" applyProtection="0">
      <alignment vertical="center"/>
    </xf>
    <xf numFmtId="0" fontId="77" fillId="33" borderId="0" applyNumberFormat="0" applyBorder="0" applyAlignment="0" applyProtection="0">
      <alignment vertical="center"/>
    </xf>
    <xf numFmtId="0" fontId="33" fillId="20" borderId="10" applyNumberFormat="0" applyAlignment="0" applyProtection="0"/>
    <xf numFmtId="0" fontId="34" fillId="20" borderId="10" applyNumberFormat="0" applyAlignment="0" applyProtection="0"/>
    <xf numFmtId="0" fontId="33" fillId="20" borderId="10" applyNumberFormat="0" applyAlignment="0" applyProtection="0"/>
    <xf numFmtId="0" fontId="78" fillId="46" borderId="29" applyNumberFormat="0" applyAlignment="0" applyProtection="0"/>
    <xf numFmtId="0" fontId="34" fillId="20" borderId="10" applyNumberFormat="0" applyAlignment="0" applyProtection="0"/>
    <xf numFmtId="0" fontId="34" fillId="20" borderId="10" applyNumberFormat="0" applyAlignment="0" applyProtection="0"/>
    <xf numFmtId="171" fontId="27" fillId="4" borderId="0" applyNumberFormat="0" applyBorder="0" applyAlignment="0" applyProtection="0"/>
    <xf numFmtId="0" fontId="27" fillId="4" borderId="0" applyNumberFormat="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79" fillId="106" borderId="0" applyNumberFormat="0" applyBorder="0" applyAlignment="0" applyProtection="0"/>
    <xf numFmtId="0" fontId="79" fillId="106" borderId="0" applyNumberFormat="0" applyBorder="0" applyAlignment="0" applyProtection="0"/>
    <xf numFmtId="170" fontId="79" fillId="24" borderId="0" applyNumberFormat="0" applyBorder="0" applyAlignment="0" applyProtection="0"/>
    <xf numFmtId="0" fontId="79" fillId="24" borderId="0" applyNumberFormat="0" applyBorder="0" applyAlignment="0" applyProtection="0"/>
    <xf numFmtId="0" fontId="79" fillId="24" borderId="0" applyNumberFormat="0" applyBorder="0" applyAlignment="0" applyProtection="0"/>
    <xf numFmtId="0" fontId="79" fillId="24" borderId="0" applyNumberFormat="0" applyBorder="0" applyAlignment="0" applyProtection="0"/>
    <xf numFmtId="0" fontId="79" fillId="24" borderId="0" applyNumberFormat="0" applyBorder="0" applyAlignment="0" applyProtection="0"/>
    <xf numFmtId="0" fontId="80" fillId="0" borderId="0" applyNumberFormat="0" applyFill="0" applyBorder="0" applyAlignment="0" applyProtection="0"/>
    <xf numFmtId="171"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7" fillId="0" borderId="0" applyNumberFormat="0" applyFill="0" applyBorder="0" applyAlignment="0" applyProtection="0"/>
    <xf numFmtId="0" fontId="3" fillId="0" borderId="0"/>
    <xf numFmtId="0" fontId="3" fillId="0" borderId="0"/>
    <xf numFmtId="0" fontId="7" fillId="0" borderId="0"/>
    <xf numFmtId="0" fontId="17" fillId="0" borderId="0"/>
    <xf numFmtId="0" fontId="7" fillId="0" borderId="0"/>
    <xf numFmtId="0" fontId="7" fillId="0" borderId="0"/>
    <xf numFmtId="0" fontId="17" fillId="0" borderId="0" applyNumberFormat="0" applyFill="0" applyBorder="0" applyAlignment="0" applyProtection="0"/>
    <xf numFmtId="0" fontId="11" fillId="0" borderId="0">
      <protection locked="0"/>
    </xf>
    <xf numFmtId="0" fontId="17" fillId="0" borderId="0"/>
    <xf numFmtId="0" fontId="7" fillId="0" borderId="0"/>
    <xf numFmtId="0" fontId="3" fillId="0" borderId="0"/>
    <xf numFmtId="0" fontId="3" fillId="0" borderId="0"/>
    <xf numFmtId="0" fontId="17" fillId="0" borderId="0"/>
    <xf numFmtId="0" fontId="3" fillId="0" borderId="0"/>
    <xf numFmtId="0" fontId="3" fillId="0" borderId="0"/>
    <xf numFmtId="0" fontId="3" fillId="0" borderId="0"/>
    <xf numFmtId="0" fontId="17" fillId="0" borderId="0"/>
    <xf numFmtId="0" fontId="7" fillId="0" borderId="0" applyFill="0" applyBorder="0"/>
    <xf numFmtId="0" fontId="17" fillId="0" borderId="0" applyNumberFormat="0" applyFill="0" applyBorder="0" applyAlignment="0" applyProtection="0"/>
    <xf numFmtId="0" fontId="7" fillId="0" borderId="0"/>
    <xf numFmtId="0" fontId="3" fillId="0" borderId="0"/>
    <xf numFmtId="0" fontId="3" fillId="0" borderId="0"/>
    <xf numFmtId="0" fontId="11" fillId="0" borderId="0">
      <protection locked="0"/>
    </xf>
    <xf numFmtId="0" fontId="12" fillId="0" borderId="0"/>
    <xf numFmtId="0" fontId="81" fillId="0" borderId="0"/>
    <xf numFmtId="0" fontId="7" fillId="0" borderId="0">
      <alignment horizontal="left" wrapText="1"/>
    </xf>
    <xf numFmtId="0" fontId="7" fillId="0" borderId="0">
      <alignment horizontal="left" wrapText="1"/>
    </xf>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xf numFmtId="0" fontId="7" fillId="0" borderId="0"/>
    <xf numFmtId="0" fontId="7" fillId="0" borderId="0"/>
    <xf numFmtId="0" fontId="7" fillId="0" borderId="0" applyNumberFormat="0" applyFill="0" applyBorder="0" applyAlignment="0" applyProtection="0"/>
    <xf numFmtId="0" fontId="7" fillId="0" borderId="0"/>
    <xf numFmtId="0" fontId="7" fillId="0" borderId="0"/>
    <xf numFmtId="0" fontId="7" fillId="0" borderId="0"/>
    <xf numFmtId="0" fontId="7" fillId="0" borderId="0"/>
    <xf numFmtId="0" fontId="7" fillId="0" borderId="0" applyNumberFormat="0" applyFill="0" applyBorder="0" applyAlignment="0" applyProtection="0"/>
    <xf numFmtId="0" fontId="7" fillId="0" borderId="0" applyNumberFormat="0" applyFill="0" applyBorder="0" applyAlignment="0" applyProtection="0"/>
    <xf numFmtId="0" fontId="7" fillId="0" borderId="0"/>
    <xf numFmtId="0" fontId="7" fillId="0" borderId="0" applyNumberFormat="0" applyFill="0" applyBorder="0" applyAlignment="0" applyProtection="0"/>
    <xf numFmtId="0" fontId="7" fillId="0" borderId="0" applyNumberFormat="0" applyFill="0" applyBorder="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25" fillId="53" borderId="1" applyNumberFormat="0" applyAlignment="0" applyProtection="0"/>
    <xf numFmtId="170" fontId="25" fillId="7" borderId="1" applyNumberFormat="0" applyAlignment="0" applyProtection="0"/>
    <xf numFmtId="0" fontId="25" fillId="7" borderId="1" applyNumberFormat="0" applyAlignment="0" applyProtection="0"/>
    <xf numFmtId="0" fontId="25" fillId="7" borderId="1" applyNumberFormat="0" applyAlignment="0" applyProtection="0"/>
    <xf numFmtId="0" fontId="25" fillId="7" borderId="1" applyNumberFormat="0" applyAlignment="0" applyProtection="0"/>
    <xf numFmtId="0" fontId="25" fillId="53" borderId="1" applyNumberFormat="0" applyAlignment="0" applyProtection="0"/>
    <xf numFmtId="0" fontId="82" fillId="99" borderId="1" applyNumberFormat="0" applyAlignment="0" applyProtection="0"/>
    <xf numFmtId="0" fontId="82" fillId="99" borderId="1" applyNumberFormat="0" applyAlignment="0" applyProtection="0"/>
    <xf numFmtId="170" fontId="82" fillId="20" borderId="1" applyNumberFormat="0" applyAlignment="0" applyProtection="0"/>
    <xf numFmtId="0" fontId="82" fillId="20" borderId="1" applyNumberFormat="0" applyAlignment="0" applyProtection="0"/>
    <xf numFmtId="0" fontId="82" fillId="20" borderId="1" applyNumberFormat="0" applyAlignment="0" applyProtection="0"/>
    <xf numFmtId="0" fontId="82" fillId="20" borderId="1" applyNumberFormat="0" applyAlignment="0" applyProtection="0"/>
    <xf numFmtId="0" fontId="82" fillId="99" borderId="1" applyNumberFormat="0" applyAlignment="0" applyProtection="0"/>
    <xf numFmtId="0" fontId="83" fillId="0" borderId="0"/>
    <xf numFmtId="0" fontId="83" fillId="0" borderId="0"/>
    <xf numFmtId="0" fontId="23" fillId="100" borderId="3" applyNumberFormat="0" applyAlignment="0" applyProtection="0"/>
    <xf numFmtId="170" fontId="23" fillId="21" borderId="3" applyNumberFormat="0" applyAlignment="0" applyProtection="0"/>
    <xf numFmtId="0" fontId="23" fillId="21" borderId="3" applyNumberFormat="0" applyAlignment="0" applyProtection="0"/>
    <xf numFmtId="0" fontId="23" fillId="21" borderId="3" applyNumberFormat="0" applyAlignment="0" applyProtection="0"/>
    <xf numFmtId="0" fontId="23" fillId="21" borderId="3" applyNumberFormat="0" applyAlignment="0" applyProtection="0"/>
    <xf numFmtId="0" fontId="23" fillId="100" borderId="3" applyNumberFormat="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64"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189" fontId="7" fillId="0" borderId="0" applyFill="0" applyBorder="0" applyProtection="0">
      <alignment horizontal="right" vertical="center"/>
    </xf>
    <xf numFmtId="189" fontId="7" fillId="0" borderId="0" applyFill="0" applyBorder="0" applyProtection="0">
      <alignment horizontal="right" vertical="center"/>
    </xf>
    <xf numFmtId="189" fontId="7" fillId="0" borderId="0" applyFill="0" applyBorder="0" applyProtection="0">
      <alignment horizontal="right" vertical="center"/>
    </xf>
    <xf numFmtId="189" fontId="7" fillId="0" borderId="0" applyFill="0" applyBorder="0" applyProtection="0">
      <alignment horizontal="right" vertical="center"/>
    </xf>
    <xf numFmtId="189" fontId="7" fillId="0" borderId="0" applyFill="0" applyBorder="0" applyProtection="0">
      <alignment horizontal="right" vertical="center"/>
    </xf>
    <xf numFmtId="189" fontId="7" fillId="0" borderId="0" applyFill="0" applyBorder="0" applyProtection="0">
      <alignment horizontal="right" vertical="center"/>
    </xf>
    <xf numFmtId="189" fontId="7" fillId="0" borderId="0" applyFill="0" applyBorder="0" applyProtection="0">
      <alignment horizontal="right" vertical="center"/>
    </xf>
    <xf numFmtId="189" fontId="7" fillId="0" borderId="0" applyFill="0" applyBorder="0" applyProtection="0">
      <alignment horizontal="right" vertical="center"/>
    </xf>
    <xf numFmtId="171" fontId="2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26"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2" fillId="0" borderId="0" applyNumberFormat="0" applyFill="0" applyBorder="0" applyAlignment="0" applyProtection="0"/>
    <xf numFmtId="170" fontId="33"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0" fontId="28" fillId="0" borderId="6" applyNumberFormat="0" applyFill="0" applyAlignment="0" applyProtection="0"/>
    <xf numFmtId="0" fontId="28" fillId="0" borderId="6" applyNumberFormat="0" applyFill="0" applyAlignment="0" applyProtection="0"/>
    <xf numFmtId="0" fontId="28" fillId="0" borderId="6" applyNumberFormat="0" applyFill="0" applyAlignment="0" applyProtection="0"/>
    <xf numFmtId="0" fontId="28" fillId="0" borderId="6"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84"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171" fontId="33"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171" fontId="28" fillId="0" borderId="6" applyNumberFormat="0" applyFill="0" applyAlignment="0" applyProtection="0"/>
    <xf numFmtId="0" fontId="28" fillId="0" borderId="6" applyNumberFormat="0" applyFill="0" applyAlignment="0" applyProtection="0"/>
    <xf numFmtId="0" fontId="28" fillId="0" borderId="6" applyNumberFormat="0" applyFill="0" applyAlignment="0" applyProtection="0"/>
    <xf numFmtId="171" fontId="29" fillId="0" borderId="7" applyNumberFormat="0" applyFill="0" applyAlignment="0" applyProtection="0"/>
    <xf numFmtId="0" fontId="29" fillId="0" borderId="7" applyNumberFormat="0" applyFill="0" applyAlignment="0" applyProtection="0"/>
    <xf numFmtId="0" fontId="29" fillId="0" borderId="7" applyNumberFormat="0" applyFill="0" applyAlignment="0" applyProtection="0"/>
    <xf numFmtId="171" fontId="30" fillId="0" borderId="8" applyNumberFormat="0" applyFill="0" applyAlignment="0" applyProtection="0"/>
    <xf numFmtId="0" fontId="30" fillId="0" borderId="8" applyNumberFormat="0" applyFill="0" applyAlignment="0" applyProtection="0"/>
    <xf numFmtId="0" fontId="30" fillId="0" borderId="8" applyNumberFormat="0" applyFill="0" applyAlignment="0" applyProtection="0"/>
    <xf numFmtId="171" fontId="30" fillId="0" borderId="0" applyNumberFormat="0" applyFill="0" applyBorder="0" applyAlignment="0" applyProtection="0"/>
    <xf numFmtId="0" fontId="30"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8" fillId="0" borderId="6" applyNumberFormat="0" applyFill="0" applyAlignment="0" applyProtection="0"/>
    <xf numFmtId="0" fontId="29" fillId="0" borderId="7" applyNumberFormat="0" applyFill="0" applyAlignment="0" applyProtection="0"/>
    <xf numFmtId="0" fontId="30" fillId="0" borderId="8" applyNumberFormat="0" applyFill="0" applyAlignment="0" applyProtection="0"/>
    <xf numFmtId="0" fontId="84" fillId="0" borderId="0" applyNumberFormat="0" applyFill="0" applyBorder="0" applyAlignment="0" applyProtection="0"/>
    <xf numFmtId="0" fontId="40" fillId="0" borderId="34"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40" fillId="0" borderId="13" applyNumberFormat="0" applyFill="0" applyAlignment="0" applyProtection="0"/>
    <xf numFmtId="0" fontId="34" fillId="99" borderId="10" applyNumberFormat="0" applyAlignment="0" applyProtection="0"/>
    <xf numFmtId="17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20" borderId="10" applyNumberFormat="0" applyAlignment="0" applyProtection="0"/>
    <xf numFmtId="0" fontId="34" fillId="99" borderId="10" applyNumberFormat="0" applyAlignment="0" applyProtection="0"/>
    <xf numFmtId="0" fontId="85" fillId="0" borderId="0"/>
    <xf numFmtId="0" fontId="85" fillId="0" borderId="0"/>
    <xf numFmtId="0" fontId="85" fillId="0" borderId="0"/>
    <xf numFmtId="0" fontId="85" fillId="0" borderId="0"/>
    <xf numFmtId="0" fontId="20" fillId="49" borderId="0" applyNumberFormat="0" applyBorder="0" applyAlignment="0" applyProtection="0"/>
    <xf numFmtId="17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7" fillId="50" borderId="0" applyNumberFormat="0" applyBorder="0" applyAlignment="0" applyProtection="0"/>
    <xf numFmtId="170" fontId="27" fillId="4" borderId="0" applyNumberFormat="0" applyBorder="0" applyAlignment="0" applyProtection="0"/>
    <xf numFmtId="0" fontId="27" fillId="4" borderId="0" applyNumberFormat="0" applyBorder="0" applyAlignment="0" applyProtection="0"/>
    <xf numFmtId="0" fontId="27" fillId="4" borderId="0" applyNumberFormat="0" applyBorder="0" applyAlignment="0" applyProtection="0"/>
    <xf numFmtId="0" fontId="27" fillId="4" borderId="0" applyNumberFormat="0" applyBorder="0" applyAlignment="0" applyProtection="0"/>
    <xf numFmtId="0" fontId="27" fillId="4" borderId="0" applyNumberFormat="0" applyBorder="0" applyAlignment="0" applyProtection="0"/>
    <xf numFmtId="190" fontId="7" fillId="0" borderId="0" applyFon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2" fillId="21" borderId="3" applyNumberFormat="0" applyAlignment="0" applyProtection="0"/>
    <xf numFmtId="0" fontId="23" fillId="21" borderId="3" applyNumberFormat="0" applyAlignment="0" applyProtection="0"/>
    <xf numFmtId="0" fontId="22" fillId="21" borderId="3" applyNumberFormat="0" applyAlignment="0" applyProtection="0"/>
    <xf numFmtId="0" fontId="59" fillId="47" borderId="30" applyNumberFormat="0" applyAlignment="0" applyProtection="0"/>
    <xf numFmtId="0" fontId="23" fillId="21" borderId="3" applyNumberFormat="0" applyAlignment="0" applyProtection="0"/>
    <xf numFmtId="171" fontId="23" fillId="21" borderId="3" applyNumberFormat="0" applyAlignment="0" applyProtection="0"/>
    <xf numFmtId="0" fontId="23" fillId="21" borderId="3" applyNumberFormat="0" applyAlignment="0" applyProtection="0"/>
    <xf numFmtId="0" fontId="23" fillId="21" borderId="3" applyNumberFormat="0" applyAlignment="0" applyProtection="0"/>
    <xf numFmtId="0" fontId="8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8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82" fillId="0" borderId="0" applyNumberFormat="0" applyFill="0" applyBorder="0" applyAlignment="0" applyProtection="0"/>
    <xf numFmtId="170" fontId="19"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9"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2" fillId="0" borderId="0"/>
    <xf numFmtId="0" fontId="17" fillId="0" borderId="0" applyNumberFormat="0" applyFill="0" applyBorder="0" applyAlignment="0" applyProtection="0"/>
    <xf numFmtId="0" fontId="7" fillId="0" borderId="0">
      <alignment horizontal="left" wrapText="1"/>
    </xf>
    <xf numFmtId="0" fontId="1" fillId="0" borderId="0"/>
    <xf numFmtId="0" fontId="1" fillId="0" borderId="0"/>
    <xf numFmtId="0" fontId="1" fillId="0" borderId="0"/>
    <xf numFmtId="164" fontId="1" fillId="0" borderId="0" applyFont="0" applyFill="0" applyBorder="0" applyAlignment="0" applyProtection="0"/>
    <xf numFmtId="9" fontId="1" fillId="0" borderId="0" applyFont="0" applyFill="0" applyBorder="0" applyAlignment="0" applyProtection="0"/>
    <xf numFmtId="164" fontId="62" fillId="0" borderId="0" applyFill="0" applyBorder="0" applyAlignment="0" applyProtection="0"/>
    <xf numFmtId="164" fontId="7" fillId="0" borderId="0" applyFont="0" applyFill="0" applyBorder="0" applyAlignment="0" applyProtection="0"/>
    <xf numFmtId="164" fontId="68" fillId="0" borderId="0" applyFont="0" applyFill="0" applyBorder="0" applyAlignment="0" applyProtection="0"/>
    <xf numFmtId="164" fontId="7" fillId="0" borderId="0" applyFill="0" applyBorder="0" applyAlignment="0" applyProtection="0"/>
    <xf numFmtId="164" fontId="7" fillId="0" borderId="0" applyFill="0" applyBorder="0" applyAlignment="0" applyProtection="0"/>
    <xf numFmtId="164" fontId="7" fillId="0" borderId="0" applyFill="0" applyBorder="0" applyAlignment="0" applyProtection="0"/>
    <xf numFmtId="164" fontId="7" fillId="0" borderId="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alignment horizontal="left" wrapText="1"/>
    </xf>
    <xf numFmtId="0" fontId="1" fillId="0" borderId="0"/>
    <xf numFmtId="0" fontId="7" fillId="0" borderId="0">
      <alignment horizontal="left" wrapText="1"/>
    </xf>
    <xf numFmtId="0" fontId="4" fillId="0" borderId="0"/>
    <xf numFmtId="0" fontId="93" fillId="0" borderId="0"/>
    <xf numFmtId="164" fontId="103" fillId="0" borderId="0" applyFont="0" applyFill="0" applyBorder="0" applyAlignment="0" applyProtection="0"/>
    <xf numFmtId="0" fontId="7" fillId="0" borderId="0"/>
  </cellStyleXfs>
  <cellXfs count="285">
    <xf numFmtId="0" fontId="0" fillId="0" borderId="0" xfId="0" applyAlignment="1"/>
    <xf numFmtId="0" fontId="8" fillId="0" borderId="0" xfId="0" applyFont="1" applyAlignment="1">
      <alignment vertical="top"/>
    </xf>
    <xf numFmtId="22" fontId="8" fillId="0" borderId="0" xfId="0" applyNumberFormat="1" applyFont="1" applyAlignment="1">
      <alignment horizontal="center" vertical="top"/>
    </xf>
    <xf numFmtId="0" fontId="13" fillId="0" borderId="0" xfId="0" applyFont="1" applyAlignment="1"/>
    <xf numFmtId="0" fontId="8" fillId="32" borderId="0" xfId="0" applyFont="1" applyFill="1" applyAlignment="1">
      <alignment vertical="top"/>
    </xf>
    <xf numFmtId="0" fontId="8" fillId="0" borderId="0" xfId="0" applyFont="1" applyAlignment="1">
      <alignment horizontal="right" vertical="top"/>
    </xf>
    <xf numFmtId="0" fontId="14" fillId="42" borderId="0" xfId="0" applyFont="1" applyFill="1" applyBorder="1" applyAlignment="1" applyProtection="1">
      <alignment vertical="top" wrapText="1"/>
      <protection locked="0"/>
    </xf>
    <xf numFmtId="0" fontId="86" fillId="39" borderId="0" xfId="20701" applyFont="1" applyFill="1" applyAlignment="1" applyProtection="1">
      <alignment horizontal="left" vertical="top"/>
    </xf>
    <xf numFmtId="0" fontId="4" fillId="39" borderId="0" xfId="20701" applyFill="1" applyProtection="1"/>
    <xf numFmtId="0" fontId="87" fillId="109" borderId="11" xfId="20701" applyFont="1" applyFill="1" applyBorder="1" applyAlignment="1" applyProtection="1">
      <alignment horizontal="center" vertical="center"/>
    </xf>
    <xf numFmtId="0" fontId="4" fillId="39" borderId="0" xfId="20701" applyFill="1" applyAlignment="1" applyProtection="1">
      <alignment horizontal="left" vertical="top"/>
    </xf>
    <xf numFmtId="0" fontId="4" fillId="110" borderId="11" xfId="20701" applyFill="1" applyBorder="1" applyAlignment="1" applyProtection="1">
      <alignment horizontal="left" vertical="top" wrapText="1"/>
      <protection locked="0"/>
    </xf>
    <xf numFmtId="0" fontId="86" fillId="39" borderId="0" xfId="20701" applyFont="1" applyFill="1" applyAlignment="1" applyProtection="1">
      <alignment vertical="top"/>
    </xf>
    <xf numFmtId="0" fontId="88" fillId="39" borderId="0" xfId="20701" applyFont="1" applyFill="1" applyProtection="1"/>
    <xf numFmtId="0" fontId="89" fillId="39" borderId="0" xfId="20701" applyFont="1" applyFill="1" applyProtection="1"/>
    <xf numFmtId="0" fontId="90" fillId="39" borderId="0" xfId="0" applyFont="1" applyFill="1" applyAlignment="1"/>
    <xf numFmtId="0" fontId="7" fillId="39" borderId="0" xfId="0" applyFont="1" applyFill="1" applyAlignment="1" applyProtection="1"/>
    <xf numFmtId="0" fontId="91" fillId="39" borderId="0" xfId="20701" applyFont="1" applyFill="1" applyProtection="1"/>
    <xf numFmtId="0" fontId="7" fillId="0" borderId="0" xfId="0" applyFont="1" applyAlignment="1"/>
    <xf numFmtId="0" fontId="92" fillId="111" borderId="9" xfId="0" applyFont="1" applyFill="1" applyBorder="1" applyAlignment="1" applyProtection="1">
      <protection locked="0"/>
    </xf>
    <xf numFmtId="0" fontId="92" fillId="111" borderId="11" xfId="0" applyFont="1" applyFill="1" applyBorder="1" applyAlignment="1" applyProtection="1">
      <protection locked="0"/>
    </xf>
    <xf numFmtId="0" fontId="92" fillId="111" borderId="24" xfId="0" applyFont="1" applyFill="1" applyBorder="1" applyAlignment="1" applyProtection="1">
      <protection locked="0"/>
    </xf>
    <xf numFmtId="0" fontId="94" fillId="0" borderId="0" xfId="20702" applyFont="1" applyAlignment="1"/>
    <xf numFmtId="0" fontId="91" fillId="0" borderId="0" xfId="20702" applyFont="1" applyAlignment="1" applyProtection="1"/>
    <xf numFmtId="0" fontId="90" fillId="0" borderId="0" xfId="20702" applyFont="1"/>
    <xf numFmtId="0" fontId="95" fillId="33" borderId="22" xfId="20702" applyFont="1" applyFill="1" applyBorder="1" applyAlignment="1" applyProtection="1">
      <alignment vertical="top"/>
    </xf>
    <xf numFmtId="0" fontId="91" fillId="33" borderId="22" xfId="20702" applyFont="1" applyFill="1" applyBorder="1" applyAlignment="1" applyProtection="1"/>
    <xf numFmtId="0" fontId="95" fillId="0" borderId="0" xfId="20702" applyFont="1" applyFill="1" applyBorder="1" applyAlignment="1" applyProtection="1">
      <alignment vertical="top"/>
    </xf>
    <xf numFmtId="0" fontId="91" fillId="0" borderId="0" xfId="20702" applyFont="1" applyFill="1" applyBorder="1" applyAlignment="1" applyProtection="1"/>
    <xf numFmtId="0" fontId="95" fillId="0" borderId="21" xfId="20702" applyFont="1" applyFill="1" applyBorder="1" applyAlignment="1" applyProtection="1">
      <alignment vertical="top"/>
    </xf>
    <xf numFmtId="0" fontId="91" fillId="32" borderId="0" xfId="20702" applyFont="1" applyFill="1" applyAlignment="1" applyProtection="1"/>
    <xf numFmtId="0" fontId="96" fillId="38" borderId="0" xfId="20702" applyFont="1" applyFill="1" applyAlignment="1" applyProtection="1"/>
    <xf numFmtId="0" fontId="91" fillId="36" borderId="0" xfId="20702" applyFont="1" applyFill="1" applyAlignment="1" applyProtection="1"/>
    <xf numFmtId="0" fontId="97" fillId="37" borderId="0" xfId="159" applyFont="1" applyFill="1" applyAlignment="1" applyProtection="1">
      <alignment vertical="top"/>
    </xf>
    <xf numFmtId="0" fontId="91" fillId="0" borderId="0" xfId="159" applyFont="1" applyAlignment="1" applyProtection="1"/>
    <xf numFmtId="0" fontId="91" fillId="112" borderId="0" xfId="20702" applyFont="1" applyFill="1" applyAlignment="1" applyProtection="1"/>
    <xf numFmtId="0" fontId="91" fillId="34" borderId="0" xfId="20702" applyFont="1" applyFill="1" applyAlignment="1" applyProtection="1"/>
    <xf numFmtId="0" fontId="91" fillId="30" borderId="0" xfId="20702" applyFont="1" applyFill="1" applyAlignment="1" applyProtection="1"/>
    <xf numFmtId="0" fontId="91" fillId="35" borderId="0" xfId="20702" applyFont="1" applyFill="1" applyAlignment="1" applyProtection="1">
      <alignment vertical="top"/>
    </xf>
    <xf numFmtId="0" fontId="97" fillId="40" borderId="0" xfId="158" applyFont="1" applyFill="1" applyAlignment="1" applyProtection="1">
      <alignment vertical="top"/>
    </xf>
    <xf numFmtId="0" fontId="91" fillId="0" borderId="0" xfId="158" applyFont="1" applyProtection="1">
      <alignment horizontal="left" wrapText="1"/>
    </xf>
    <xf numFmtId="0" fontId="95" fillId="0" borderId="21" xfId="20702" applyFont="1" applyBorder="1" applyAlignment="1" applyProtection="1">
      <alignment vertical="top"/>
    </xf>
    <xf numFmtId="0" fontId="91" fillId="22" borderId="0" xfId="158" applyFont="1" applyFill="1" applyAlignment="1" applyProtection="1">
      <alignment vertical="top"/>
    </xf>
    <xf numFmtId="0" fontId="91" fillId="0" borderId="0" xfId="158" applyFont="1" applyAlignment="1" applyProtection="1"/>
    <xf numFmtId="0" fontId="91" fillId="113" borderId="0" xfId="158" applyFont="1" applyFill="1" applyAlignment="1" applyProtection="1">
      <alignment vertical="top"/>
    </xf>
    <xf numFmtId="0" fontId="91" fillId="114" borderId="0" xfId="158" applyFont="1" applyFill="1" applyAlignment="1" applyProtection="1">
      <alignment vertical="top"/>
    </xf>
    <xf numFmtId="0" fontId="91" fillId="0" borderId="0" xfId="158" applyFont="1" applyFill="1" applyAlignment="1" applyProtection="1"/>
    <xf numFmtId="0" fontId="91" fillId="115" borderId="0" xfId="158" applyFont="1" applyFill="1" applyAlignment="1" applyProtection="1">
      <alignment vertical="top"/>
    </xf>
    <xf numFmtId="0" fontId="91" fillId="35" borderId="0" xfId="158" applyFont="1" applyFill="1" applyAlignment="1" applyProtection="1">
      <alignment vertical="top"/>
    </xf>
    <xf numFmtId="0" fontId="91" fillId="34" borderId="0" xfId="158" applyFont="1" applyFill="1" applyAlignment="1" applyProtection="1"/>
    <xf numFmtId="0" fontId="91" fillId="116" borderId="0" xfId="158" applyFont="1" applyFill="1" applyAlignment="1" applyProtection="1"/>
    <xf numFmtId="0" fontId="91" fillId="33" borderId="0" xfId="158" applyFont="1" applyFill="1" applyAlignment="1" applyProtection="1"/>
    <xf numFmtId="0" fontId="91" fillId="32" borderId="0" xfId="158" applyFont="1" applyFill="1" applyAlignment="1" applyProtection="1"/>
    <xf numFmtId="0" fontId="89" fillId="39" borderId="0" xfId="20701" applyFont="1" applyFill="1"/>
    <xf numFmtId="0" fontId="98" fillId="39" borderId="0" xfId="20701" applyFont="1" applyFill="1"/>
    <xf numFmtId="0" fontId="91" fillId="39" borderId="0" xfId="125" applyFont="1" applyFill="1" applyBorder="1" applyAlignment="1"/>
    <xf numFmtId="0" fontId="99" fillId="110" borderId="11" xfId="20701" applyFont="1" applyFill="1" applyBorder="1"/>
    <xf numFmtId="0" fontId="89" fillId="39" borderId="11" xfId="20701" applyFont="1" applyFill="1" applyBorder="1" applyAlignment="1" applyProtection="1">
      <alignment horizontal="left" vertical="top" wrapText="1"/>
      <protection locked="0"/>
    </xf>
    <xf numFmtId="14" fontId="89" fillId="39" borderId="11" xfId="20701" applyNumberFormat="1" applyFont="1" applyFill="1" applyBorder="1" applyAlignment="1" applyProtection="1">
      <alignment horizontal="left" vertical="top" wrapText="1"/>
      <protection locked="0"/>
    </xf>
    <xf numFmtId="0" fontId="90" fillId="0" borderId="0" xfId="0" applyFont="1" applyAlignment="1"/>
    <xf numFmtId="0" fontId="101" fillId="0" borderId="0" xfId="0" applyFont="1" applyAlignment="1"/>
    <xf numFmtId="0" fontId="102" fillId="0" borderId="0" xfId="0" applyFont="1" applyAlignment="1"/>
    <xf numFmtId="0" fontId="0" fillId="0" borderId="0" xfId="0" applyAlignment="1">
      <alignment horizontal="left"/>
    </xf>
    <xf numFmtId="0" fontId="7" fillId="0" borderId="0" xfId="0" applyFont="1" applyAlignment="1">
      <alignment horizontal="left"/>
    </xf>
    <xf numFmtId="0" fontId="91" fillId="0" borderId="0" xfId="0" applyFont="1" applyAlignment="1"/>
    <xf numFmtId="0" fontId="104" fillId="0" borderId="0" xfId="0" applyFont="1" applyAlignment="1"/>
    <xf numFmtId="0" fontId="90" fillId="117" borderId="0" xfId="0" applyFont="1" applyFill="1" applyAlignment="1"/>
    <xf numFmtId="0" fontId="100" fillId="117" borderId="0" xfId="0" applyFont="1" applyFill="1" applyAlignment="1"/>
    <xf numFmtId="0" fontId="90" fillId="117" borderId="0" xfId="0" applyFont="1" applyFill="1" applyAlignment="1">
      <alignment horizontal="left"/>
    </xf>
    <xf numFmtId="191" fontId="91" fillId="113" borderId="0" xfId="20703" applyNumberFormat="1" applyFont="1" applyFill="1" applyAlignment="1" applyProtection="1">
      <alignment vertical="top"/>
    </xf>
    <xf numFmtId="22" fontId="91" fillId="113" borderId="0" xfId="0" applyNumberFormat="1" applyFont="1" applyFill="1" applyAlignment="1"/>
    <xf numFmtId="0" fontId="90" fillId="118" borderId="0" xfId="0" applyFont="1" applyFill="1" applyAlignment="1"/>
    <xf numFmtId="0" fontId="100" fillId="118" borderId="0" xfId="0" applyFont="1" applyFill="1" applyAlignment="1"/>
    <xf numFmtId="0" fontId="90" fillId="118" borderId="0" xfId="0" applyFont="1" applyFill="1" applyAlignment="1">
      <alignment horizontal="left"/>
    </xf>
    <xf numFmtId="0" fontId="91" fillId="117" borderId="0" xfId="0" applyFont="1" applyFill="1" applyAlignment="1"/>
    <xf numFmtId="0" fontId="7" fillId="0" borderId="0" xfId="0" applyFont="1" applyFill="1" applyBorder="1" applyAlignment="1" applyProtection="1"/>
    <xf numFmtId="0" fontId="13" fillId="0" borderId="0" xfId="0" applyFont="1" applyFill="1" applyBorder="1" applyAlignment="1" applyProtection="1"/>
    <xf numFmtId="0" fontId="7" fillId="32" borderId="14" xfId="0" applyFont="1" applyFill="1" applyBorder="1" applyAlignment="1">
      <alignment horizontal="left"/>
    </xf>
    <xf numFmtId="0" fontId="7" fillId="32" borderId="15" xfId="0" applyFont="1" applyFill="1" applyBorder="1" applyAlignment="1">
      <alignment horizontal="left"/>
    </xf>
    <xf numFmtId="0" fontId="9" fillId="0" borderId="0" xfId="0" applyFont="1" applyFill="1" applyBorder="1" applyAlignment="1" applyProtection="1"/>
    <xf numFmtId="0" fontId="7" fillId="0" borderId="0" xfId="0" applyFont="1" applyFill="1" applyBorder="1" applyAlignment="1" applyProtection="1">
      <alignment horizontal="center"/>
    </xf>
    <xf numFmtId="0" fontId="9" fillId="0" borderId="0" xfId="0" applyFont="1" applyFill="1" applyBorder="1" applyAlignment="1" applyProtection="1">
      <alignment horizontal="center"/>
    </xf>
    <xf numFmtId="0" fontId="7" fillId="32" borderId="18" xfId="0" applyFont="1" applyFill="1" applyBorder="1" applyAlignment="1" applyProtection="1"/>
    <xf numFmtId="0" fontId="7" fillId="32" borderId="18" xfId="0" applyFont="1" applyFill="1" applyBorder="1" applyAlignment="1" applyProtection="1">
      <alignment horizontal="center"/>
    </xf>
    <xf numFmtId="0" fontId="7" fillId="32" borderId="19" xfId="0" applyFont="1" applyFill="1" applyBorder="1" applyAlignment="1" applyProtection="1"/>
    <xf numFmtId="0" fontId="7" fillId="32" borderId="0" xfId="0" applyFont="1" applyFill="1" applyBorder="1" applyAlignment="1" applyProtection="1"/>
    <xf numFmtId="0" fontId="7" fillId="32" borderId="0" xfId="0" applyFont="1" applyFill="1" applyBorder="1" applyAlignment="1" applyProtection="1">
      <alignment horizontal="center"/>
    </xf>
    <xf numFmtId="0" fontId="7" fillId="32" borderId="0" xfId="0" applyFont="1" applyFill="1" applyBorder="1" applyAlignment="1" applyProtection="1">
      <alignment horizontal="left"/>
    </xf>
    <xf numFmtId="0" fontId="7" fillId="32" borderId="0" xfId="0" applyFont="1" applyFill="1" applyBorder="1" applyAlignment="1" applyProtection="1">
      <alignment horizontal="center" wrapText="1"/>
    </xf>
    <xf numFmtId="0" fontId="7" fillId="32" borderId="0" xfId="0" applyFont="1" applyFill="1" applyBorder="1" applyAlignment="1" applyProtection="1">
      <alignment wrapText="1"/>
    </xf>
    <xf numFmtId="0" fontId="7" fillId="0" borderId="35" xfId="0" applyFont="1" applyFill="1" applyBorder="1" applyAlignment="1" applyProtection="1"/>
    <xf numFmtId="0" fontId="7" fillId="0" borderId="36" xfId="0" applyFont="1" applyFill="1" applyBorder="1" applyAlignment="1" applyProtection="1"/>
    <xf numFmtId="0" fontId="7" fillId="0" borderId="36" xfId="0" applyFont="1" applyFill="1" applyBorder="1" applyAlignment="1" applyProtection="1">
      <alignment horizontal="center"/>
    </xf>
    <xf numFmtId="0" fontId="7" fillId="0" borderId="36" xfId="0" applyFont="1" applyBorder="1" applyAlignment="1" applyProtection="1">
      <alignment horizontal="center"/>
    </xf>
    <xf numFmtId="9" fontId="7" fillId="0" borderId="36" xfId="17816" applyFont="1" applyBorder="1" applyAlignment="1" applyProtection="1">
      <alignment horizontal="center"/>
    </xf>
    <xf numFmtId="0" fontId="7" fillId="0" borderId="36" xfId="14229" applyNumberFormat="1" applyFont="1" applyBorder="1" applyAlignment="1" applyProtection="1">
      <alignment horizontal="center"/>
    </xf>
    <xf numFmtId="9" fontId="7" fillId="0" borderId="36" xfId="0" applyNumberFormat="1" applyFont="1" applyFill="1" applyBorder="1" applyAlignment="1" applyProtection="1">
      <alignment horizontal="center"/>
    </xf>
    <xf numFmtId="0" fontId="7" fillId="119" borderId="36" xfId="20704" applyFont="1" applyFill="1" applyBorder="1" applyAlignment="1" applyProtection="1">
      <alignment vertical="center"/>
    </xf>
    <xf numFmtId="0" fontId="7" fillId="0" borderId="37" xfId="0" applyFont="1" applyFill="1" applyBorder="1" applyAlignment="1" applyProtection="1"/>
    <xf numFmtId="0" fontId="7" fillId="0" borderId="0" xfId="0" applyFont="1" applyBorder="1" applyAlignment="1" applyProtection="1">
      <alignment horizontal="center"/>
    </xf>
    <xf numFmtId="9" fontId="7" fillId="0" borderId="0" xfId="17816" applyFont="1" applyBorder="1" applyAlignment="1" applyProtection="1">
      <alignment horizontal="center"/>
    </xf>
    <xf numFmtId="0" fontId="7" fillId="0" borderId="0" xfId="14229" applyNumberFormat="1" applyFont="1" applyBorder="1" applyAlignment="1" applyProtection="1">
      <alignment horizontal="center"/>
    </xf>
    <xf numFmtId="9" fontId="7" fillId="0" borderId="0" xfId="0" applyNumberFormat="1" applyFont="1" applyFill="1" applyBorder="1" applyAlignment="1" applyProtection="1">
      <alignment horizontal="center"/>
    </xf>
    <xf numFmtId="0" fontId="7" fillId="119" borderId="0" xfId="20704" applyFont="1" applyFill="1" applyBorder="1" applyAlignment="1" applyProtection="1">
      <alignment vertical="center"/>
    </xf>
    <xf numFmtId="0" fontId="7" fillId="0" borderId="0" xfId="20704" applyFont="1" applyFill="1" applyBorder="1" applyAlignment="1" applyProtection="1">
      <alignment vertical="center"/>
    </xf>
    <xf numFmtId="10" fontId="7" fillId="0" borderId="0" xfId="0" applyNumberFormat="1" applyFont="1" applyFill="1" applyBorder="1" applyAlignment="1" applyProtection="1">
      <alignment horizontal="center"/>
    </xf>
    <xf numFmtId="9" fontId="7" fillId="0" borderId="0" xfId="0" applyNumberFormat="1" applyFont="1" applyFill="1" applyBorder="1" applyAlignment="1" applyProtection="1"/>
    <xf numFmtId="0" fontId="7" fillId="0" borderId="0" xfId="0" applyFont="1" applyFill="1" applyBorder="1" applyAlignment="1" applyProtection="1">
      <alignment horizontal="left"/>
    </xf>
    <xf numFmtId="0" fontId="7" fillId="0" borderId="38" xfId="0" applyFont="1" applyFill="1" applyBorder="1" applyAlignment="1" applyProtection="1"/>
    <xf numFmtId="0" fontId="7" fillId="0" borderId="39" xfId="0" applyFont="1" applyFill="1" applyBorder="1" applyAlignment="1" applyProtection="1"/>
    <xf numFmtId="0" fontId="7" fillId="0" borderId="39" xfId="0" applyFont="1" applyFill="1" applyBorder="1" applyAlignment="1" applyProtection="1">
      <alignment horizontal="center"/>
    </xf>
    <xf numFmtId="0" fontId="7" fillId="0" borderId="39" xfId="0" applyFont="1" applyBorder="1" applyAlignment="1" applyProtection="1">
      <alignment horizontal="center"/>
    </xf>
    <xf numFmtId="0" fontId="7" fillId="0" borderId="0" xfId="0" applyFont="1" applyAlignment="1" applyProtection="1">
      <alignment horizontal="center"/>
    </xf>
    <xf numFmtId="0" fontId="7" fillId="0" borderId="0" xfId="0" applyFont="1" applyFill="1" applyAlignment="1" applyProtection="1"/>
    <xf numFmtId="0" fontId="7" fillId="0" borderId="0" xfId="0" applyFont="1" applyFill="1" applyAlignment="1" applyProtection="1">
      <alignment horizontal="center"/>
    </xf>
    <xf numFmtId="0" fontId="7" fillId="30" borderId="0" xfId="0" applyFont="1" applyFill="1" applyBorder="1" applyAlignment="1" applyProtection="1"/>
    <xf numFmtId="0" fontId="7" fillId="32" borderId="19" xfId="0" applyFont="1" applyFill="1" applyBorder="1" applyAlignment="1" applyProtection="1">
      <alignment wrapText="1"/>
    </xf>
    <xf numFmtId="0" fontId="7" fillId="32" borderId="0" xfId="0" applyFont="1" applyFill="1" applyBorder="1" applyAlignment="1" applyProtection="1">
      <alignment horizontal="left" wrapText="1"/>
    </xf>
    <xf numFmtId="0" fontId="105" fillId="0" borderId="0" xfId="0" applyFont="1" applyFill="1" applyBorder="1" applyAlignment="1" applyProtection="1"/>
    <xf numFmtId="0" fontId="7" fillId="0" borderId="40" xfId="0" applyFont="1" applyFill="1" applyBorder="1" applyAlignment="1" applyProtection="1"/>
    <xf numFmtId="0" fontId="7" fillId="0" borderId="21" xfId="0" applyFont="1" applyFill="1" applyBorder="1" applyAlignment="1" applyProtection="1"/>
    <xf numFmtId="0" fontId="7" fillId="0" borderId="21" xfId="0" applyFont="1" applyFill="1" applyBorder="1" applyAlignment="1" applyProtection="1">
      <alignment horizontal="center"/>
    </xf>
    <xf numFmtId="0" fontId="7" fillId="0" borderId="21" xfId="0" applyFont="1" applyBorder="1" applyAlignment="1" applyProtection="1">
      <alignment horizontal="center"/>
    </xf>
    <xf numFmtId="0" fontId="7" fillId="39" borderId="0" xfId="18145" applyFill="1"/>
    <xf numFmtId="0" fontId="7" fillId="39" borderId="0" xfId="18145" applyFill="1" applyAlignment="1">
      <alignment horizontal="center"/>
    </xf>
    <xf numFmtId="0" fontId="108" fillId="39" borderId="0" xfId="18145" applyFont="1" applyFill="1"/>
    <xf numFmtId="0" fontId="106" fillId="120" borderId="16" xfId="18145" applyFont="1" applyFill="1" applyBorder="1"/>
    <xf numFmtId="0" fontId="106" fillId="120" borderId="18" xfId="18145" applyFont="1" applyFill="1" applyBorder="1"/>
    <xf numFmtId="0" fontId="106" fillId="120" borderId="18" xfId="18145" applyFont="1" applyFill="1" applyBorder="1" applyAlignment="1">
      <alignment horizontal="center"/>
    </xf>
    <xf numFmtId="0" fontId="106" fillId="120" borderId="17" xfId="18145" applyFont="1" applyFill="1" applyBorder="1"/>
    <xf numFmtId="0" fontId="109" fillId="39" borderId="16" xfId="18145" applyFont="1" applyFill="1" applyBorder="1"/>
    <xf numFmtId="0" fontId="7" fillId="39" borderId="18" xfId="18145" applyFill="1" applyBorder="1"/>
    <xf numFmtId="0" fontId="7" fillId="39" borderId="18" xfId="18145" applyFill="1" applyBorder="1" applyAlignment="1">
      <alignment horizontal="center"/>
    </xf>
    <xf numFmtId="0" fontId="7" fillId="39" borderId="17" xfId="18145" applyFill="1" applyBorder="1"/>
    <xf numFmtId="0" fontId="109" fillId="39" borderId="20" xfId="18145" applyFont="1" applyFill="1" applyBorder="1"/>
    <xf numFmtId="0" fontId="7" fillId="39" borderId="21" xfId="18145" applyFill="1" applyBorder="1"/>
    <xf numFmtId="0" fontId="7" fillId="39" borderId="21" xfId="18145" applyFill="1" applyBorder="1" applyAlignment="1">
      <alignment horizontal="center"/>
    </xf>
    <xf numFmtId="0" fontId="7" fillId="39" borderId="23" xfId="18145" applyFill="1" applyBorder="1"/>
    <xf numFmtId="0" fontId="106" fillId="120" borderId="14" xfId="18145" applyFont="1" applyFill="1" applyBorder="1"/>
    <xf numFmtId="0" fontId="106" fillId="120" borderId="22" xfId="18145" applyFont="1" applyFill="1" applyBorder="1"/>
    <xf numFmtId="0" fontId="106" fillId="120" borderId="15" xfId="18145" applyFont="1" applyFill="1" applyBorder="1"/>
    <xf numFmtId="0" fontId="7" fillId="39" borderId="16" xfId="18145" applyFill="1" applyBorder="1" applyAlignment="1">
      <alignment horizontal="center"/>
    </xf>
    <xf numFmtId="0" fontId="7" fillId="39" borderId="17" xfId="18145" applyFill="1" applyBorder="1" applyAlignment="1">
      <alignment horizontal="left"/>
    </xf>
    <xf numFmtId="0" fontId="7" fillId="39" borderId="19" xfId="18145" applyFill="1" applyBorder="1" applyAlignment="1">
      <alignment horizontal="center"/>
    </xf>
    <xf numFmtId="0" fontId="7" fillId="39" borderId="0" xfId="18145" applyFill="1" applyBorder="1"/>
    <xf numFmtId="0" fontId="7" fillId="39" borderId="12" xfId="18145" applyFill="1" applyBorder="1" applyAlignment="1">
      <alignment horizontal="left"/>
    </xf>
    <xf numFmtId="0" fontId="7" fillId="39" borderId="20" xfId="18145" applyFill="1" applyBorder="1" applyAlignment="1">
      <alignment horizontal="center"/>
    </xf>
    <xf numFmtId="0" fontId="7" fillId="39" borderId="23" xfId="18145" applyFill="1" applyBorder="1" applyAlignment="1">
      <alignment horizontal="left"/>
    </xf>
    <xf numFmtId="0" fontId="7" fillId="39" borderId="0" xfId="18145" applyFont="1" applyFill="1"/>
    <xf numFmtId="0" fontId="106" fillId="120" borderId="16" xfId="18145" applyFont="1" applyFill="1" applyBorder="1" applyAlignment="1">
      <alignment horizontal="center"/>
    </xf>
    <xf numFmtId="0" fontId="106" fillId="120" borderId="22" xfId="18145" applyFont="1" applyFill="1" applyBorder="1" applyAlignment="1">
      <alignment horizontal="center"/>
    </xf>
    <xf numFmtId="0" fontId="106" fillId="120" borderId="15" xfId="18145" applyFont="1" applyFill="1" applyBorder="1" applyAlignment="1">
      <alignment horizontal="center"/>
    </xf>
    <xf numFmtId="0" fontId="7" fillId="39" borderId="19" xfId="18145" applyFill="1" applyBorder="1"/>
    <xf numFmtId="0" fontId="7" fillId="39" borderId="0" xfId="18145" applyFill="1" applyBorder="1" applyAlignment="1">
      <alignment horizontal="center"/>
    </xf>
    <xf numFmtId="0" fontId="7" fillId="39" borderId="12" xfId="18145" applyFill="1" applyBorder="1" applyAlignment="1">
      <alignment horizontal="center"/>
    </xf>
    <xf numFmtId="0" fontId="7" fillId="39" borderId="16" xfId="18145" applyFill="1" applyBorder="1"/>
    <xf numFmtId="0" fontId="109" fillId="121" borderId="19" xfId="18145" applyFont="1" applyFill="1" applyBorder="1" applyAlignment="1">
      <alignment horizontal="center"/>
    </xf>
    <xf numFmtId="0" fontId="7" fillId="121" borderId="0" xfId="18145" applyFill="1" applyBorder="1"/>
    <xf numFmtId="0" fontId="7" fillId="122" borderId="0" xfId="18145" applyFill="1" applyBorder="1"/>
    <xf numFmtId="0" fontId="110" fillId="121" borderId="0" xfId="18145" applyFont="1" applyFill="1" applyBorder="1" applyProtection="1"/>
    <xf numFmtId="0" fontId="7" fillId="121" borderId="0" xfId="18145" applyFill="1" applyBorder="1" applyAlignment="1">
      <alignment horizontal="center"/>
    </xf>
    <xf numFmtId="0" fontId="7" fillId="39" borderId="12" xfId="18145" applyFill="1" applyBorder="1"/>
    <xf numFmtId="0" fontId="7" fillId="39" borderId="20" xfId="18145" applyFill="1" applyBorder="1"/>
    <xf numFmtId="0" fontId="7" fillId="39" borderId="23" xfId="18145" applyFill="1" applyBorder="1" applyAlignment="1">
      <alignment horizontal="center"/>
    </xf>
    <xf numFmtId="0" fontId="109" fillId="121" borderId="20" xfId="18145" applyFont="1" applyFill="1" applyBorder="1" applyAlignment="1">
      <alignment horizontal="center"/>
    </xf>
    <xf numFmtId="0" fontId="7" fillId="121" borderId="21" xfId="18145" applyFill="1" applyBorder="1"/>
    <xf numFmtId="0" fontId="7" fillId="122" borderId="21" xfId="18145" applyFill="1" applyBorder="1"/>
    <xf numFmtId="0" fontId="7" fillId="121" borderId="21" xfId="18145" applyFill="1" applyBorder="1" applyAlignment="1">
      <alignment horizontal="center"/>
    </xf>
    <xf numFmtId="0" fontId="107" fillId="38" borderId="0" xfId="0" applyFont="1" applyFill="1" applyAlignment="1">
      <alignment horizontal="center"/>
    </xf>
    <xf numFmtId="0" fontId="0" fillId="0" borderId="14" xfId="0" applyBorder="1" applyAlignment="1"/>
    <xf numFmtId="192" fontId="7" fillId="0" borderId="15" xfId="0" applyNumberFormat="1" applyFont="1" applyBorder="1" applyAlignment="1">
      <alignment horizontal="right"/>
    </xf>
    <xf numFmtId="0" fontId="0" fillId="0" borderId="19" xfId="0" applyBorder="1" applyAlignment="1"/>
    <xf numFmtId="0" fontId="0" fillId="0" borderId="20" xfId="0" applyBorder="1" applyAlignment="1"/>
    <xf numFmtId="0" fontId="0" fillId="0" borderId="23" xfId="0" applyBorder="1" applyAlignment="1"/>
    <xf numFmtId="0" fontId="107" fillId="38" borderId="12" xfId="0" applyFont="1" applyFill="1" applyBorder="1" applyAlignment="1"/>
    <xf numFmtId="0" fontId="111" fillId="0" borderId="0" xfId="0" applyFont="1" applyAlignment="1"/>
    <xf numFmtId="0" fontId="104" fillId="0" borderId="0" xfId="0" applyFont="1" applyAlignment="1">
      <alignment horizontal="right"/>
    </xf>
    <xf numFmtId="191" fontId="91" fillId="0" borderId="0" xfId="0" applyNumberFormat="1" applyFont="1" applyAlignment="1"/>
    <xf numFmtId="0" fontId="112" fillId="38" borderId="0" xfId="0" applyFont="1" applyFill="1" applyAlignment="1">
      <alignment horizontal="center"/>
    </xf>
    <xf numFmtId="0" fontId="90" fillId="113" borderId="0" xfId="0" applyFont="1" applyFill="1" applyAlignment="1"/>
    <xf numFmtId="0" fontId="100" fillId="113" borderId="0" xfId="0" applyFont="1" applyFill="1" applyAlignment="1"/>
    <xf numFmtId="0" fontId="90" fillId="113" borderId="0" xfId="0" applyFont="1" applyFill="1" applyAlignment="1">
      <alignment horizontal="left"/>
    </xf>
    <xf numFmtId="0" fontId="90" fillId="121" borderId="0" xfId="0" applyFont="1" applyFill="1" applyAlignment="1"/>
    <xf numFmtId="0" fontId="100" fillId="121" borderId="0" xfId="0" applyFont="1" applyFill="1" applyAlignment="1"/>
    <xf numFmtId="0" fontId="90" fillId="121" borderId="0" xfId="0" applyFont="1" applyFill="1" applyAlignment="1">
      <alignment horizontal="left"/>
    </xf>
    <xf numFmtId="0" fontId="90" fillId="123" borderId="0" xfId="0" applyFont="1" applyFill="1" applyAlignment="1"/>
    <xf numFmtId="0" fontId="100" fillId="123" borderId="0" xfId="0" applyFont="1" applyFill="1" applyAlignment="1"/>
    <xf numFmtId="0" fontId="90" fillId="123" borderId="0" xfId="0" applyFont="1" applyFill="1" applyAlignment="1">
      <alignment horizontal="left"/>
    </xf>
    <xf numFmtId="0" fontId="90" fillId="43" borderId="0" xfId="0" applyFont="1" applyFill="1" applyAlignment="1"/>
    <xf numFmtId="0" fontId="100" fillId="43" borderId="0" xfId="0" applyFont="1" applyFill="1" applyAlignment="1"/>
    <xf numFmtId="0" fontId="90" fillId="43" borderId="0" xfId="0" applyFont="1" applyFill="1" applyAlignment="1">
      <alignment horizontal="left"/>
    </xf>
    <xf numFmtId="0" fontId="91" fillId="115" borderId="0" xfId="158" applyFont="1" applyFill="1" applyAlignment="1" applyProtection="1">
      <alignment horizontal="left" vertical="top"/>
    </xf>
    <xf numFmtId="0" fontId="90" fillId="124" borderId="0" xfId="0" applyFont="1" applyFill="1" applyAlignment="1"/>
    <xf numFmtId="0" fontId="100" fillId="124" borderId="0" xfId="0" applyFont="1" applyFill="1" applyAlignment="1"/>
    <xf numFmtId="0" fontId="90" fillId="124" borderId="0" xfId="0" applyFont="1" applyFill="1" applyAlignment="1">
      <alignment horizontal="left"/>
    </xf>
    <xf numFmtId="191" fontId="91" fillId="115" borderId="0" xfId="158" applyNumberFormat="1" applyFont="1" applyFill="1" applyAlignment="1" applyProtection="1">
      <alignment vertical="top"/>
    </xf>
    <xf numFmtId="0" fontId="91" fillId="113" borderId="0" xfId="0" applyNumberFormat="1" applyFont="1" applyFill="1" applyAlignment="1"/>
    <xf numFmtId="0" fontId="13" fillId="0" borderId="0" xfId="0" applyFont="1" applyAlignment="1" applyProtection="1"/>
    <xf numFmtId="0" fontId="8" fillId="0" borderId="0" xfId="0" applyFont="1" applyFill="1" applyAlignment="1" applyProtection="1">
      <alignment vertical="top"/>
    </xf>
    <xf numFmtId="0" fontId="8" fillId="0" borderId="0" xfId="0" applyFont="1" applyAlignment="1" applyProtection="1">
      <alignment vertical="top"/>
    </xf>
    <xf numFmtId="22" fontId="8" fillId="0" borderId="0" xfId="0" applyNumberFormat="1" applyFont="1" applyFill="1" applyAlignment="1" applyProtection="1">
      <alignment horizontal="center" vertical="top"/>
    </xf>
    <xf numFmtId="22" fontId="8" fillId="0" borderId="0" xfId="0" applyNumberFormat="1" applyFont="1" applyAlignment="1" applyProtection="1">
      <alignment horizontal="center" vertical="top"/>
    </xf>
    <xf numFmtId="0" fontId="8" fillId="32" borderId="0" xfId="0" applyFont="1" applyFill="1" applyAlignment="1" applyProtection="1">
      <alignment vertical="top"/>
    </xf>
    <xf numFmtId="0" fontId="8" fillId="0" borderId="0" xfId="0" applyFont="1" applyAlignment="1" applyProtection="1">
      <alignment horizontal="right" vertical="top"/>
    </xf>
    <xf numFmtId="0" fontId="7" fillId="0" borderId="0" xfId="0" applyFont="1" applyAlignment="1" applyProtection="1">
      <alignment vertical="top"/>
    </xf>
    <xf numFmtId="0" fontId="0" fillId="0" borderId="0" xfId="0" applyBorder="1" applyAlignment="1" applyProtection="1">
      <alignment horizontal="left"/>
    </xf>
    <xf numFmtId="22" fontId="8" fillId="0" borderId="21" xfId="0" applyNumberFormat="1" applyFont="1" applyFill="1" applyBorder="1" applyAlignment="1" applyProtection="1">
      <alignment horizontal="center" vertical="top"/>
    </xf>
    <xf numFmtId="0" fontId="7" fillId="0" borderId="0" xfId="0" applyFont="1" applyFill="1" applyAlignment="1" applyProtection="1">
      <alignment vertical="top"/>
    </xf>
    <xf numFmtId="0" fontId="7" fillId="0" borderId="0" xfId="0" applyFont="1" applyFill="1" applyAlignment="1" applyProtection="1">
      <alignment horizontal="left"/>
    </xf>
    <xf numFmtId="22" fontId="8" fillId="35" borderId="0" xfId="0" applyNumberFormat="1" applyFont="1" applyFill="1" applyAlignment="1" applyProtection="1">
      <alignment horizontal="center" vertical="top"/>
    </xf>
    <xf numFmtId="0" fontId="7" fillId="0" borderId="0" xfId="0" applyFont="1" applyFill="1" applyBorder="1" applyAlignment="1" applyProtection="1">
      <alignment horizontal="center" vertical="top"/>
    </xf>
    <xf numFmtId="0" fontId="8" fillId="32" borderId="14" xfId="0" applyFont="1" applyFill="1" applyBorder="1" applyAlignment="1" applyProtection="1"/>
    <xf numFmtId="0" fontId="8" fillId="32" borderId="22" xfId="0" applyFont="1" applyFill="1" applyBorder="1" applyAlignment="1" applyProtection="1"/>
    <xf numFmtId="0" fontId="8" fillId="32" borderId="22" xfId="0" applyFont="1" applyFill="1" applyBorder="1" applyAlignment="1" applyProtection="1">
      <alignment wrapText="1"/>
    </xf>
    <xf numFmtId="22" fontId="8" fillId="32" borderId="22" xfId="0" applyNumberFormat="1" applyFont="1" applyFill="1" applyBorder="1" applyAlignment="1" applyProtection="1">
      <alignment horizontal="center" wrapText="1"/>
    </xf>
    <xf numFmtId="0" fontId="8" fillId="32" borderId="22" xfId="0" applyFont="1" applyFill="1" applyBorder="1" applyAlignment="1" applyProtection="1">
      <alignment horizontal="center" wrapText="1"/>
    </xf>
    <xf numFmtId="0" fontId="8" fillId="32" borderId="15" xfId="0" applyFont="1" applyFill="1" applyBorder="1" applyAlignment="1" applyProtection="1"/>
    <xf numFmtId="0" fontId="8" fillId="0" borderId="0" xfId="0" applyFont="1" applyAlignment="1" applyProtection="1"/>
    <xf numFmtId="0" fontId="8" fillId="32" borderId="0" xfId="0" applyFont="1" applyFill="1" applyAlignment="1" applyProtection="1"/>
    <xf numFmtId="0" fontId="8" fillId="41" borderId="11" xfId="0" applyFont="1" applyFill="1" applyBorder="1" applyAlignment="1" applyProtection="1">
      <alignment horizontal="right" wrapText="1"/>
    </xf>
    <xf numFmtId="0" fontId="7" fillId="0" borderId="19" xfId="0" applyFont="1" applyFill="1" applyBorder="1" applyAlignment="1" applyProtection="1">
      <alignment vertical="top" wrapText="1"/>
    </xf>
    <xf numFmtId="22" fontId="7" fillId="0" borderId="0" xfId="0" applyNumberFormat="1" applyFont="1" applyFill="1" applyBorder="1" applyAlignment="1" applyProtection="1">
      <alignment horizontal="center" vertical="top" wrapText="1"/>
    </xf>
    <xf numFmtId="0" fontId="8" fillId="34" borderId="0" xfId="0" applyFont="1" applyFill="1" applyBorder="1" applyAlignment="1" applyProtection="1">
      <alignment horizontal="center" vertical="top" wrapText="1"/>
    </xf>
    <xf numFmtId="0" fontId="8" fillId="0" borderId="12" xfId="0" applyFont="1" applyFill="1" applyBorder="1" applyAlignment="1" applyProtection="1">
      <alignment vertical="top" wrapText="1"/>
    </xf>
    <xf numFmtId="0" fontId="8" fillId="0" borderId="5" xfId="0" applyFont="1" applyBorder="1" applyAlignment="1" applyProtection="1">
      <alignment horizontal="right" vertical="top"/>
    </xf>
    <xf numFmtId="0" fontId="8" fillId="0" borderId="20" xfId="0" applyFont="1" applyBorder="1" applyAlignment="1" applyProtection="1">
      <alignment vertical="top"/>
    </xf>
    <xf numFmtId="0" fontId="8" fillId="0" borderId="21" xfId="0" applyFont="1" applyBorder="1" applyAlignment="1" applyProtection="1">
      <alignment vertical="top"/>
    </xf>
    <xf numFmtId="22" fontId="8" fillId="0" borderId="21" xfId="0" applyNumberFormat="1" applyFont="1" applyBorder="1" applyAlignment="1" applyProtection="1">
      <alignment horizontal="center" vertical="top"/>
    </xf>
    <xf numFmtId="0" fontId="8" fillId="0" borderId="23" xfId="0" applyFont="1" applyBorder="1" applyAlignment="1" applyProtection="1">
      <alignment vertical="top"/>
    </xf>
    <xf numFmtId="0" fontId="8" fillId="0" borderId="24" xfId="0" applyFont="1" applyBorder="1" applyAlignment="1" applyProtection="1">
      <alignment horizontal="right" vertical="top"/>
    </xf>
    <xf numFmtId="0" fontId="0" fillId="0" borderId="0" xfId="0" applyBorder="1" applyAlignment="1" applyProtection="1"/>
    <xf numFmtId="0" fontId="0" fillId="0" borderId="0" xfId="0" applyFill="1" applyBorder="1" applyAlignment="1" applyProtection="1">
      <alignment horizontal="left" vertical="top" wrapText="1"/>
    </xf>
    <xf numFmtId="0" fontId="0" fillId="0" borderId="0" xfId="0" applyBorder="1" applyAlignment="1" applyProtection="1">
      <alignment horizontal="center"/>
    </xf>
    <xf numFmtId="0" fontId="0" fillId="0" borderId="0" xfId="0" applyBorder="1" applyAlignment="1" applyProtection="1">
      <alignment horizontal="right"/>
    </xf>
    <xf numFmtId="0" fontId="0" fillId="0" borderId="18" xfId="0" applyBorder="1" applyAlignment="1" applyProtection="1">
      <alignment horizontal="center"/>
    </xf>
    <xf numFmtId="0" fontId="0" fillId="32" borderId="0" xfId="0" applyFill="1" applyBorder="1" applyAlignment="1" applyProtection="1"/>
    <xf numFmtId="0" fontId="10" fillId="0" borderId="0" xfId="108" applyFill="1" applyAlignment="1" applyProtection="1">
      <alignment horizontal="left" wrapText="1"/>
    </xf>
    <xf numFmtId="0" fontId="10" fillId="0" borderId="0" xfId="108" applyAlignment="1" applyProtection="1">
      <alignment horizontal="left" wrapText="1"/>
    </xf>
    <xf numFmtId="0" fontId="91" fillId="22" borderId="0" xfId="158" applyFont="1" applyFill="1" applyAlignment="1" applyProtection="1">
      <alignment vertical="top"/>
      <protection locked="0"/>
    </xf>
    <xf numFmtId="22" fontId="7" fillId="35" borderId="0" xfId="0" applyNumberFormat="1" applyFont="1" applyFill="1" applyBorder="1" applyAlignment="1" applyProtection="1">
      <alignment horizontal="center" vertical="top" wrapText="1"/>
      <protection locked="0"/>
    </xf>
    <xf numFmtId="191" fontId="91" fillId="122" borderId="0" xfId="20703" applyNumberFormat="1" applyFont="1" applyFill="1" applyAlignment="1" applyProtection="1">
      <alignment vertical="top"/>
      <protection locked="0"/>
    </xf>
    <xf numFmtId="0" fontId="7" fillId="0" borderId="0" xfId="0" applyFont="1" applyAlignment="1">
      <alignment vertical="top"/>
    </xf>
    <xf numFmtId="0" fontId="14" fillId="43" borderId="0" xfId="247" applyFont="1" applyFill="1" applyBorder="1" applyAlignment="1" applyProtection="1">
      <alignment vertical="top" wrapText="1"/>
      <protection locked="0"/>
    </xf>
    <xf numFmtId="0" fontId="14" fillId="22" borderId="0" xfId="0" applyFont="1" applyFill="1" applyBorder="1" applyAlignment="1" applyProtection="1">
      <alignment vertical="top" wrapText="1"/>
      <protection locked="0"/>
    </xf>
    <xf numFmtId="0" fontId="7" fillId="0" borderId="0" xfId="18145"/>
    <xf numFmtId="0" fontId="42" fillId="0" borderId="18" xfId="12991" applyBorder="1" applyAlignment="1" applyProtection="1">
      <alignment horizontal="left"/>
    </xf>
    <xf numFmtId="0" fontId="42" fillId="0" borderId="22" xfId="12991" applyBorder="1" applyAlignment="1" applyProtection="1">
      <alignment horizontal="left"/>
    </xf>
    <xf numFmtId="0" fontId="7" fillId="122" borderId="0" xfId="18145" applyFill="1" applyBorder="1" applyAlignment="1">
      <alignment horizontal="center"/>
    </xf>
    <xf numFmtId="0" fontId="7" fillId="121" borderId="12" xfId="18145" applyFill="1" applyBorder="1" applyAlignment="1">
      <alignment horizontal="center"/>
    </xf>
    <xf numFmtId="0" fontId="0" fillId="39" borderId="0" xfId="18145" applyFont="1" applyFill="1" applyBorder="1"/>
    <xf numFmtId="0" fontId="0" fillId="121" borderId="0" xfId="18145" applyFont="1" applyFill="1" applyBorder="1"/>
    <xf numFmtId="0" fontId="0" fillId="39" borderId="21" xfId="18145" applyFont="1" applyFill="1" applyBorder="1"/>
    <xf numFmtId="0" fontId="7" fillId="42" borderId="0" xfId="18145" applyFill="1"/>
    <xf numFmtId="0" fontId="0" fillId="121" borderId="0" xfId="18145" applyFont="1" applyFill="1" applyBorder="1" applyAlignment="1">
      <alignment horizontal="center"/>
    </xf>
    <xf numFmtId="0" fontId="113" fillId="121" borderId="0" xfId="18145" applyFont="1" applyFill="1" applyBorder="1" applyAlignment="1">
      <alignment horizontal="center"/>
    </xf>
    <xf numFmtId="0" fontId="7" fillId="125" borderId="0" xfId="18145" applyFill="1"/>
    <xf numFmtId="0" fontId="114" fillId="121" borderId="19" xfId="18145" applyFont="1" applyFill="1" applyBorder="1" applyAlignment="1">
      <alignment horizontal="center"/>
    </xf>
    <xf numFmtId="0" fontId="113" fillId="121" borderId="0" xfId="18145" applyFont="1" applyFill="1" applyBorder="1"/>
    <xf numFmtId="0" fontId="113" fillId="122" borderId="0" xfId="18145" applyFont="1" applyFill="1" applyBorder="1"/>
    <xf numFmtId="0" fontId="115" fillId="121" borderId="0" xfId="18145" applyFont="1" applyFill="1" applyBorder="1" applyProtection="1"/>
    <xf numFmtId="0" fontId="113" fillId="122" borderId="0" xfId="18145" applyFont="1" applyFill="1" applyBorder="1" applyAlignment="1">
      <alignment horizontal="center"/>
    </xf>
    <xf numFmtId="0" fontId="113" fillId="121" borderId="12" xfId="18145" applyFont="1" applyFill="1" applyBorder="1" applyAlignment="1">
      <alignment horizontal="center"/>
    </xf>
    <xf numFmtId="0" fontId="0" fillId="122" borderId="0" xfId="18145" applyFont="1" applyFill="1" applyBorder="1"/>
    <xf numFmtId="0" fontId="7" fillId="122" borderId="21" xfId="18145" applyFill="1" applyBorder="1" applyAlignment="1">
      <alignment horizontal="center"/>
    </xf>
    <xf numFmtId="0" fontId="7" fillId="121" borderId="23" xfId="18145" applyFill="1" applyBorder="1" applyAlignment="1">
      <alignment horizontal="center"/>
    </xf>
    <xf numFmtId="0" fontId="91" fillId="42" borderId="0" xfId="158" applyFont="1" applyFill="1" applyAlignment="1" applyProtection="1"/>
    <xf numFmtId="0" fontId="116" fillId="0" borderId="0" xfId="158" applyFont="1" applyFill="1" applyAlignment="1" applyProtection="1"/>
    <xf numFmtId="0" fontId="113" fillId="0" borderId="0" xfId="0" applyFont="1" applyAlignment="1"/>
    <xf numFmtId="0" fontId="7" fillId="42" borderId="0" xfId="0" applyFont="1" applyFill="1" applyBorder="1" applyAlignment="1" applyProtection="1"/>
    <xf numFmtId="0" fontId="7" fillId="42" borderId="18" xfId="0" applyFont="1" applyFill="1" applyBorder="1" applyAlignment="1" applyProtection="1"/>
    <xf numFmtId="0" fontId="7" fillId="42" borderId="0" xfId="0" applyFont="1" applyFill="1" applyBorder="1" applyAlignment="1" applyProtection="1">
      <alignment horizontal="left"/>
    </xf>
    <xf numFmtId="0" fontId="7" fillId="42" borderId="0" xfId="0" applyFont="1" applyFill="1" applyBorder="1" applyAlignment="1" applyProtection="1">
      <alignment horizontal="left" wrapText="1"/>
    </xf>
    <xf numFmtId="0" fontId="7" fillId="42" borderId="36" xfId="0" applyFont="1" applyFill="1" applyBorder="1" applyAlignment="1" applyProtection="1">
      <alignment horizontal="center"/>
    </xf>
    <xf numFmtId="0" fontId="7" fillId="42" borderId="0" xfId="0" applyFont="1" applyFill="1" applyBorder="1" applyAlignment="1" applyProtection="1">
      <alignment horizontal="center"/>
    </xf>
    <xf numFmtId="0" fontId="7" fillId="42" borderId="21" xfId="0" applyFont="1" applyFill="1" applyBorder="1" applyAlignment="1" applyProtection="1">
      <alignment horizontal="center"/>
    </xf>
    <xf numFmtId="0" fontId="7" fillId="42" borderId="0" xfId="0" applyFont="1" applyFill="1" applyAlignment="1" applyProtection="1">
      <alignment horizontal="center"/>
    </xf>
    <xf numFmtId="0" fontId="4" fillId="39" borderId="9" xfId="20701" applyFill="1" applyBorder="1" applyAlignment="1" applyProtection="1">
      <alignment horizontal="left" vertical="top" wrapText="1"/>
      <protection locked="0"/>
    </xf>
    <xf numFmtId="0" fontId="4" fillId="39" borderId="5" xfId="20701" applyFill="1" applyBorder="1" applyAlignment="1" applyProtection="1">
      <alignment horizontal="left" vertical="top" wrapText="1"/>
      <protection locked="0"/>
    </xf>
    <xf numFmtId="0" fontId="4" fillId="39" borderId="24" xfId="20701" applyFill="1" applyBorder="1" applyAlignment="1" applyProtection="1">
      <alignment horizontal="left" vertical="top" wrapText="1"/>
      <protection locked="0"/>
    </xf>
    <xf numFmtId="0" fontId="89" fillId="39" borderId="9" xfId="20701" applyFont="1" applyFill="1" applyBorder="1" applyAlignment="1" applyProtection="1">
      <alignment horizontal="left" vertical="top" wrapText="1"/>
      <protection locked="0"/>
    </xf>
    <xf numFmtId="0" fontId="89" fillId="39" borderId="5" xfId="20701" applyFont="1" applyFill="1" applyBorder="1" applyAlignment="1" applyProtection="1">
      <alignment horizontal="left" vertical="top" wrapText="1"/>
      <protection locked="0"/>
    </xf>
    <xf numFmtId="0" fontId="89" fillId="39" borderId="24" xfId="20701" applyFont="1" applyFill="1" applyBorder="1" applyAlignment="1" applyProtection="1">
      <alignment horizontal="left" vertical="top" wrapText="1"/>
      <protection locked="0"/>
    </xf>
    <xf numFmtId="0" fontId="7" fillId="126" borderId="37" xfId="0" applyFont="1" applyFill="1" applyBorder="1" applyAlignment="1" applyProtection="1"/>
    <xf numFmtId="0" fontId="7" fillId="126" borderId="0" xfId="0" applyFont="1" applyFill="1" applyBorder="1" applyAlignment="1" applyProtection="1"/>
    <xf numFmtId="0" fontId="7" fillId="126" borderId="0" xfId="0" applyFont="1" applyFill="1" applyBorder="1" applyAlignment="1" applyProtection="1">
      <alignment horizontal="center"/>
    </xf>
  </cellXfs>
  <cellStyles count="20705">
    <cellStyle name=" 1" xfId="1" xr:uid="{00000000-0005-0000-0000-000000000000}"/>
    <cellStyle name=" 1 2" xfId="249" xr:uid="{00000000-0005-0000-0000-000001000000}"/>
    <cellStyle name="_I.Assets" xfId="250" xr:uid="{00000000-0005-0000-0000-000002000000}"/>
    <cellStyle name="_I.Assets 2" xfId="251" xr:uid="{00000000-0005-0000-0000-000003000000}"/>
    <cellStyle name="_SCR_InsObl_hardcopy" xfId="252" xr:uid="{00000000-0005-0000-0000-000004000000}"/>
    <cellStyle name="_SCR_InsObl_hardcopy 2" xfId="253" xr:uid="{00000000-0005-0000-0000-000005000000}"/>
    <cellStyle name="_SCR_Premiums_hardcopy" xfId="254" xr:uid="{00000000-0005-0000-0000-000006000000}"/>
    <cellStyle name="_SCR_Premiums_hardcopy 2" xfId="255" xr:uid="{00000000-0005-0000-0000-000007000000}"/>
    <cellStyle name="_SCR_SCR_hardcopy" xfId="256" xr:uid="{00000000-0005-0000-0000-000008000000}"/>
    <cellStyle name="_SCR_SCR_hardcopy 2" xfId="257" xr:uid="{00000000-0005-0000-0000-000009000000}"/>
    <cellStyle name="_SF.SCR_G" xfId="258" xr:uid="{00000000-0005-0000-0000-00000A000000}"/>
    <cellStyle name="_SF.SCR_G 2" xfId="259" xr:uid="{00000000-0005-0000-0000-00000B000000}"/>
    <cellStyle name="_SF.SCR_G_1" xfId="260" xr:uid="{00000000-0005-0000-0000-00000C000000}"/>
    <cellStyle name="_SF.SCR_G_1 2" xfId="261" xr:uid="{00000000-0005-0000-0000-00000D000000}"/>
    <cellStyle name="_Valuation_hardcopy" xfId="262" xr:uid="{00000000-0005-0000-0000-00000E000000}"/>
    <cellStyle name="_Valuation_hardcopy 2" xfId="263" xr:uid="{00000000-0005-0000-0000-00000F000000}"/>
    <cellStyle name="20 % - Aksentti1" xfId="2" xr:uid="{00000000-0005-0000-0000-000010000000}"/>
    <cellStyle name="20 % - Aksentti1 10" xfId="264" xr:uid="{00000000-0005-0000-0000-000011000000}"/>
    <cellStyle name="20 % - Aksentti1 2" xfId="265" xr:uid="{00000000-0005-0000-0000-000012000000}"/>
    <cellStyle name="20 % - Aksentti1 2 2" xfId="266" xr:uid="{00000000-0005-0000-0000-000013000000}"/>
    <cellStyle name="20 % - Aksentti1 2 3" xfId="267" xr:uid="{00000000-0005-0000-0000-000014000000}"/>
    <cellStyle name="20 % - Aksentti1 3" xfId="268" xr:uid="{00000000-0005-0000-0000-000015000000}"/>
    <cellStyle name="20 % - Aksentti1 3 2" xfId="269" xr:uid="{00000000-0005-0000-0000-000016000000}"/>
    <cellStyle name="20 % - Aksentti1 4" xfId="270" xr:uid="{00000000-0005-0000-0000-000017000000}"/>
    <cellStyle name="20 % - Aksentti1 4 2" xfId="271" xr:uid="{00000000-0005-0000-0000-000018000000}"/>
    <cellStyle name="20 % - Aksentti1 5" xfId="272" xr:uid="{00000000-0005-0000-0000-000019000000}"/>
    <cellStyle name="20 % - Aksentti1 5 2" xfId="273" xr:uid="{00000000-0005-0000-0000-00001A000000}"/>
    <cellStyle name="20 % - Aksentti1 6" xfId="274" xr:uid="{00000000-0005-0000-0000-00001B000000}"/>
    <cellStyle name="20 % - Aksentti1 6 2" xfId="275" xr:uid="{00000000-0005-0000-0000-00001C000000}"/>
    <cellStyle name="20 % - Aksentti1 7" xfId="276" xr:uid="{00000000-0005-0000-0000-00001D000000}"/>
    <cellStyle name="20 % - Aksentti1 7 2" xfId="277" xr:uid="{00000000-0005-0000-0000-00001E000000}"/>
    <cellStyle name="20 % - Aksentti1 8" xfId="278" xr:uid="{00000000-0005-0000-0000-00001F000000}"/>
    <cellStyle name="20 % - Aksentti1 8 2" xfId="279" xr:uid="{00000000-0005-0000-0000-000020000000}"/>
    <cellStyle name="20 % - Aksentti1 9" xfId="280" xr:uid="{00000000-0005-0000-0000-000021000000}"/>
    <cellStyle name="20 % - Aksentti1 9 2" xfId="281" xr:uid="{00000000-0005-0000-0000-000022000000}"/>
    <cellStyle name="20 % - Aksentti1 9 3" xfId="282" xr:uid="{00000000-0005-0000-0000-000023000000}"/>
    <cellStyle name="20 % - Aksentti1_Dummy RTS EY+CCF 20100818" xfId="283" xr:uid="{00000000-0005-0000-0000-000024000000}"/>
    <cellStyle name="20 % - Aksentti2" xfId="3" xr:uid="{00000000-0005-0000-0000-000025000000}"/>
    <cellStyle name="20 % - Aksentti2 10" xfId="284" xr:uid="{00000000-0005-0000-0000-000026000000}"/>
    <cellStyle name="20 % - Aksentti2 2" xfId="285" xr:uid="{00000000-0005-0000-0000-000027000000}"/>
    <cellStyle name="20 % - Aksentti2 2 2" xfId="286" xr:uid="{00000000-0005-0000-0000-000028000000}"/>
    <cellStyle name="20 % - Aksentti2 2 3" xfId="287" xr:uid="{00000000-0005-0000-0000-000029000000}"/>
    <cellStyle name="20 % - Aksentti2 3" xfId="288" xr:uid="{00000000-0005-0000-0000-00002A000000}"/>
    <cellStyle name="20 % - Aksentti2 3 2" xfId="289" xr:uid="{00000000-0005-0000-0000-00002B000000}"/>
    <cellStyle name="20 % - Aksentti2 4" xfId="290" xr:uid="{00000000-0005-0000-0000-00002C000000}"/>
    <cellStyle name="20 % - Aksentti2 4 2" xfId="291" xr:uid="{00000000-0005-0000-0000-00002D000000}"/>
    <cellStyle name="20 % - Aksentti2 5" xfId="292" xr:uid="{00000000-0005-0000-0000-00002E000000}"/>
    <cellStyle name="20 % - Aksentti2 5 2" xfId="293" xr:uid="{00000000-0005-0000-0000-00002F000000}"/>
    <cellStyle name="20 % - Aksentti2 6" xfId="294" xr:uid="{00000000-0005-0000-0000-000030000000}"/>
    <cellStyle name="20 % - Aksentti2 6 2" xfId="295" xr:uid="{00000000-0005-0000-0000-000031000000}"/>
    <cellStyle name="20 % - Aksentti2 7" xfId="296" xr:uid="{00000000-0005-0000-0000-000032000000}"/>
    <cellStyle name="20 % - Aksentti2 7 2" xfId="297" xr:uid="{00000000-0005-0000-0000-000033000000}"/>
    <cellStyle name="20 % - Aksentti2 8" xfId="298" xr:uid="{00000000-0005-0000-0000-000034000000}"/>
    <cellStyle name="20 % - Aksentti2 8 2" xfId="299" xr:uid="{00000000-0005-0000-0000-000035000000}"/>
    <cellStyle name="20 % - Aksentti2 9" xfId="300" xr:uid="{00000000-0005-0000-0000-000036000000}"/>
    <cellStyle name="20 % - Aksentti2 9 2" xfId="301" xr:uid="{00000000-0005-0000-0000-000037000000}"/>
    <cellStyle name="20 % - Aksentti2 9 3" xfId="302" xr:uid="{00000000-0005-0000-0000-000038000000}"/>
    <cellStyle name="20 % - Aksentti2_Dummy RTS EY+CCF 20100818" xfId="303" xr:uid="{00000000-0005-0000-0000-000039000000}"/>
    <cellStyle name="20 % - Aksentti3" xfId="4" xr:uid="{00000000-0005-0000-0000-00003A000000}"/>
    <cellStyle name="20 % - Aksentti3 10" xfId="304" xr:uid="{00000000-0005-0000-0000-00003B000000}"/>
    <cellStyle name="20 % - Aksentti3 2" xfId="305" xr:uid="{00000000-0005-0000-0000-00003C000000}"/>
    <cellStyle name="20 % - Aksentti3 2 2" xfId="306" xr:uid="{00000000-0005-0000-0000-00003D000000}"/>
    <cellStyle name="20 % - Aksentti3 2 3" xfId="307" xr:uid="{00000000-0005-0000-0000-00003E000000}"/>
    <cellStyle name="20 % - Aksentti3 3" xfId="308" xr:uid="{00000000-0005-0000-0000-00003F000000}"/>
    <cellStyle name="20 % - Aksentti3 3 2" xfId="309" xr:uid="{00000000-0005-0000-0000-000040000000}"/>
    <cellStyle name="20 % - Aksentti3 4" xfId="310" xr:uid="{00000000-0005-0000-0000-000041000000}"/>
    <cellStyle name="20 % - Aksentti3 4 2" xfId="311" xr:uid="{00000000-0005-0000-0000-000042000000}"/>
    <cellStyle name="20 % - Aksentti3 5" xfId="312" xr:uid="{00000000-0005-0000-0000-000043000000}"/>
    <cellStyle name="20 % - Aksentti3 5 2" xfId="313" xr:uid="{00000000-0005-0000-0000-000044000000}"/>
    <cellStyle name="20 % - Aksentti3 6" xfId="314" xr:uid="{00000000-0005-0000-0000-000045000000}"/>
    <cellStyle name="20 % - Aksentti3 6 2" xfId="315" xr:uid="{00000000-0005-0000-0000-000046000000}"/>
    <cellStyle name="20 % - Aksentti3 7" xfId="316" xr:uid="{00000000-0005-0000-0000-000047000000}"/>
    <cellStyle name="20 % - Aksentti3 7 2" xfId="317" xr:uid="{00000000-0005-0000-0000-000048000000}"/>
    <cellStyle name="20 % - Aksentti3 8" xfId="318" xr:uid="{00000000-0005-0000-0000-000049000000}"/>
    <cellStyle name="20 % - Aksentti3 8 2" xfId="319" xr:uid="{00000000-0005-0000-0000-00004A000000}"/>
    <cellStyle name="20 % - Aksentti3 9" xfId="320" xr:uid="{00000000-0005-0000-0000-00004B000000}"/>
    <cellStyle name="20 % - Aksentti3 9 2" xfId="321" xr:uid="{00000000-0005-0000-0000-00004C000000}"/>
    <cellStyle name="20 % - Aksentti3 9 3" xfId="322" xr:uid="{00000000-0005-0000-0000-00004D000000}"/>
    <cellStyle name="20 % - Aksentti3_Dummy RTS EY+CCF 20100818" xfId="323" xr:uid="{00000000-0005-0000-0000-00004E000000}"/>
    <cellStyle name="20 % - Aksentti4" xfId="5" xr:uid="{00000000-0005-0000-0000-00004F000000}"/>
    <cellStyle name="20 % - Aksentti4 10" xfId="324" xr:uid="{00000000-0005-0000-0000-000050000000}"/>
    <cellStyle name="20 % - Aksentti4 2" xfId="325" xr:uid="{00000000-0005-0000-0000-000051000000}"/>
    <cellStyle name="20 % - Aksentti4 2 2" xfId="326" xr:uid="{00000000-0005-0000-0000-000052000000}"/>
    <cellStyle name="20 % - Aksentti4 2 3" xfId="327" xr:uid="{00000000-0005-0000-0000-000053000000}"/>
    <cellStyle name="20 % - Aksentti4 3" xfId="328" xr:uid="{00000000-0005-0000-0000-000054000000}"/>
    <cellStyle name="20 % - Aksentti4 3 2" xfId="329" xr:uid="{00000000-0005-0000-0000-000055000000}"/>
    <cellStyle name="20 % - Aksentti4 4" xfId="330" xr:uid="{00000000-0005-0000-0000-000056000000}"/>
    <cellStyle name="20 % - Aksentti4 4 2" xfId="331" xr:uid="{00000000-0005-0000-0000-000057000000}"/>
    <cellStyle name="20 % - Aksentti4 5" xfId="332" xr:uid="{00000000-0005-0000-0000-000058000000}"/>
    <cellStyle name="20 % - Aksentti4 5 2" xfId="333" xr:uid="{00000000-0005-0000-0000-000059000000}"/>
    <cellStyle name="20 % - Aksentti4 6" xfId="334" xr:uid="{00000000-0005-0000-0000-00005A000000}"/>
    <cellStyle name="20 % - Aksentti4 6 2" xfId="335" xr:uid="{00000000-0005-0000-0000-00005B000000}"/>
    <cellStyle name="20 % - Aksentti4 7" xfId="336" xr:uid="{00000000-0005-0000-0000-00005C000000}"/>
    <cellStyle name="20 % - Aksentti4 7 2" xfId="337" xr:uid="{00000000-0005-0000-0000-00005D000000}"/>
    <cellStyle name="20 % - Aksentti4 8" xfId="338" xr:uid="{00000000-0005-0000-0000-00005E000000}"/>
    <cellStyle name="20 % - Aksentti4 8 2" xfId="339" xr:uid="{00000000-0005-0000-0000-00005F000000}"/>
    <cellStyle name="20 % - Aksentti4 9" xfId="340" xr:uid="{00000000-0005-0000-0000-000060000000}"/>
    <cellStyle name="20 % - Aksentti4 9 2" xfId="341" xr:uid="{00000000-0005-0000-0000-000061000000}"/>
    <cellStyle name="20 % - Aksentti4 9 3" xfId="342" xr:uid="{00000000-0005-0000-0000-000062000000}"/>
    <cellStyle name="20 % - Aksentti4_Dummy RTS EY+CCF 20100818" xfId="343" xr:uid="{00000000-0005-0000-0000-000063000000}"/>
    <cellStyle name="20 % - Aksentti5" xfId="6" xr:uid="{00000000-0005-0000-0000-000064000000}"/>
    <cellStyle name="20 % - Aksentti5 10" xfId="344" xr:uid="{00000000-0005-0000-0000-000065000000}"/>
    <cellStyle name="20 % - Aksentti5 2" xfId="345" xr:uid="{00000000-0005-0000-0000-000066000000}"/>
    <cellStyle name="20 % - Aksentti5 2 2" xfId="346" xr:uid="{00000000-0005-0000-0000-000067000000}"/>
    <cellStyle name="20 % - Aksentti5 2 3" xfId="347" xr:uid="{00000000-0005-0000-0000-000068000000}"/>
    <cellStyle name="20 % - Aksentti5 3" xfId="348" xr:uid="{00000000-0005-0000-0000-000069000000}"/>
    <cellStyle name="20 % - Aksentti5 3 2" xfId="349" xr:uid="{00000000-0005-0000-0000-00006A000000}"/>
    <cellStyle name="20 % - Aksentti5 4" xfId="350" xr:uid="{00000000-0005-0000-0000-00006B000000}"/>
    <cellStyle name="20 % - Aksentti5 4 2" xfId="351" xr:uid="{00000000-0005-0000-0000-00006C000000}"/>
    <cellStyle name="20 % - Aksentti5 5" xfId="352" xr:uid="{00000000-0005-0000-0000-00006D000000}"/>
    <cellStyle name="20 % - Aksentti5 5 2" xfId="353" xr:uid="{00000000-0005-0000-0000-00006E000000}"/>
    <cellStyle name="20 % - Aksentti5 6" xfId="354" xr:uid="{00000000-0005-0000-0000-00006F000000}"/>
    <cellStyle name="20 % - Aksentti5 6 2" xfId="355" xr:uid="{00000000-0005-0000-0000-000070000000}"/>
    <cellStyle name="20 % - Aksentti5 7" xfId="356" xr:uid="{00000000-0005-0000-0000-000071000000}"/>
    <cellStyle name="20 % - Aksentti5 7 2" xfId="357" xr:uid="{00000000-0005-0000-0000-000072000000}"/>
    <cellStyle name="20 % - Aksentti5 8" xfId="358" xr:uid="{00000000-0005-0000-0000-000073000000}"/>
    <cellStyle name="20 % - Aksentti5 8 2" xfId="359" xr:uid="{00000000-0005-0000-0000-000074000000}"/>
    <cellStyle name="20 % - Aksentti5 9" xfId="360" xr:uid="{00000000-0005-0000-0000-000075000000}"/>
    <cellStyle name="20 % - Aksentti5 9 2" xfId="361" xr:uid="{00000000-0005-0000-0000-000076000000}"/>
    <cellStyle name="20 % - Aksentti5 9 3" xfId="362" xr:uid="{00000000-0005-0000-0000-000077000000}"/>
    <cellStyle name="20 % - Aksentti5_Dummy RTS EY+CCF 20100818" xfId="363" xr:uid="{00000000-0005-0000-0000-000078000000}"/>
    <cellStyle name="20 % - Aksentti6" xfId="7" xr:uid="{00000000-0005-0000-0000-000079000000}"/>
    <cellStyle name="20 % - Aksentti6 10" xfId="364" xr:uid="{00000000-0005-0000-0000-00007A000000}"/>
    <cellStyle name="20 % - Aksentti6 2" xfId="365" xr:uid="{00000000-0005-0000-0000-00007B000000}"/>
    <cellStyle name="20 % - Aksentti6 2 2" xfId="366" xr:uid="{00000000-0005-0000-0000-00007C000000}"/>
    <cellStyle name="20 % - Aksentti6 2 3" xfId="367" xr:uid="{00000000-0005-0000-0000-00007D000000}"/>
    <cellStyle name="20 % - Aksentti6 3" xfId="368" xr:uid="{00000000-0005-0000-0000-00007E000000}"/>
    <cellStyle name="20 % - Aksentti6 3 2" xfId="369" xr:uid="{00000000-0005-0000-0000-00007F000000}"/>
    <cellStyle name="20 % - Aksentti6 4" xfId="370" xr:uid="{00000000-0005-0000-0000-000080000000}"/>
    <cellStyle name="20 % - Aksentti6 4 2" xfId="371" xr:uid="{00000000-0005-0000-0000-000081000000}"/>
    <cellStyle name="20 % - Aksentti6 5" xfId="372" xr:uid="{00000000-0005-0000-0000-000082000000}"/>
    <cellStyle name="20 % - Aksentti6 5 2" xfId="373" xr:uid="{00000000-0005-0000-0000-000083000000}"/>
    <cellStyle name="20 % - Aksentti6 6" xfId="374" xr:uid="{00000000-0005-0000-0000-000084000000}"/>
    <cellStyle name="20 % - Aksentti6 6 2" xfId="375" xr:uid="{00000000-0005-0000-0000-000085000000}"/>
    <cellStyle name="20 % - Aksentti6 7" xfId="376" xr:uid="{00000000-0005-0000-0000-000086000000}"/>
    <cellStyle name="20 % - Aksentti6 7 2" xfId="377" xr:uid="{00000000-0005-0000-0000-000087000000}"/>
    <cellStyle name="20 % - Aksentti6 8" xfId="378" xr:uid="{00000000-0005-0000-0000-000088000000}"/>
    <cellStyle name="20 % - Aksentti6 8 2" xfId="379" xr:uid="{00000000-0005-0000-0000-000089000000}"/>
    <cellStyle name="20 % - Aksentti6 9" xfId="380" xr:uid="{00000000-0005-0000-0000-00008A000000}"/>
    <cellStyle name="20 % - Aksentti6 9 2" xfId="381" xr:uid="{00000000-0005-0000-0000-00008B000000}"/>
    <cellStyle name="20 % - Aksentti6 9 3" xfId="382" xr:uid="{00000000-0005-0000-0000-00008C000000}"/>
    <cellStyle name="20 % - Aksentti6_Dummy RTS EY+CCF 20100818" xfId="383" xr:uid="{00000000-0005-0000-0000-00008D000000}"/>
    <cellStyle name="20 % - Accent1" xfId="8" xr:uid="{00000000-0005-0000-0000-00008E000000}"/>
    <cellStyle name="20 % - Accent1 2" xfId="384" xr:uid="{00000000-0005-0000-0000-00008F000000}"/>
    <cellStyle name="20 % - Accent1 2 2" xfId="385" xr:uid="{00000000-0005-0000-0000-000090000000}"/>
    <cellStyle name="20 % - Accent1 3" xfId="386" xr:uid="{00000000-0005-0000-0000-000091000000}"/>
    <cellStyle name="20 % - Accent1 4" xfId="387" xr:uid="{00000000-0005-0000-0000-000092000000}"/>
    <cellStyle name="20 % - Accent2" xfId="9" xr:uid="{00000000-0005-0000-0000-000093000000}"/>
    <cellStyle name="20 % - Accent2 2" xfId="388" xr:uid="{00000000-0005-0000-0000-000094000000}"/>
    <cellStyle name="20 % - Accent2 2 2" xfId="389" xr:uid="{00000000-0005-0000-0000-000095000000}"/>
    <cellStyle name="20 % - Accent2 3" xfId="390" xr:uid="{00000000-0005-0000-0000-000096000000}"/>
    <cellStyle name="20 % - Accent2 4" xfId="391" xr:uid="{00000000-0005-0000-0000-000097000000}"/>
    <cellStyle name="20 % - Accent3" xfId="10" xr:uid="{00000000-0005-0000-0000-000098000000}"/>
    <cellStyle name="20 % - Accent3 2" xfId="392" xr:uid="{00000000-0005-0000-0000-000099000000}"/>
    <cellStyle name="20 % - Accent3 2 2" xfId="393" xr:uid="{00000000-0005-0000-0000-00009A000000}"/>
    <cellStyle name="20 % - Accent3 3" xfId="394" xr:uid="{00000000-0005-0000-0000-00009B000000}"/>
    <cellStyle name="20 % - Accent3 4" xfId="395" xr:uid="{00000000-0005-0000-0000-00009C000000}"/>
    <cellStyle name="20 % - Accent4" xfId="11" xr:uid="{00000000-0005-0000-0000-00009D000000}"/>
    <cellStyle name="20 % - Accent4 2" xfId="396" xr:uid="{00000000-0005-0000-0000-00009E000000}"/>
    <cellStyle name="20 % - Accent4 2 2" xfId="397" xr:uid="{00000000-0005-0000-0000-00009F000000}"/>
    <cellStyle name="20 % - Accent4 3" xfId="398" xr:uid="{00000000-0005-0000-0000-0000A0000000}"/>
    <cellStyle name="20 % - Accent4 4" xfId="399" xr:uid="{00000000-0005-0000-0000-0000A1000000}"/>
    <cellStyle name="20 % - Accent5" xfId="12" xr:uid="{00000000-0005-0000-0000-0000A2000000}"/>
    <cellStyle name="20 % - Accent5 2" xfId="400" xr:uid="{00000000-0005-0000-0000-0000A3000000}"/>
    <cellStyle name="20 % - Accent5 2 2" xfId="401" xr:uid="{00000000-0005-0000-0000-0000A4000000}"/>
    <cellStyle name="20 % - Accent5 3" xfId="402" xr:uid="{00000000-0005-0000-0000-0000A5000000}"/>
    <cellStyle name="20 % - Accent5 4" xfId="403" xr:uid="{00000000-0005-0000-0000-0000A6000000}"/>
    <cellStyle name="20 % - Accent6" xfId="13" xr:uid="{00000000-0005-0000-0000-0000A7000000}"/>
    <cellStyle name="20 % - Accent6 2" xfId="404" xr:uid="{00000000-0005-0000-0000-0000A8000000}"/>
    <cellStyle name="20 % - Accent6 2 2" xfId="405" xr:uid="{00000000-0005-0000-0000-0000A9000000}"/>
    <cellStyle name="20 % - Accent6 3" xfId="406" xr:uid="{00000000-0005-0000-0000-0000AA000000}"/>
    <cellStyle name="20 % - Accent6 4" xfId="407" xr:uid="{00000000-0005-0000-0000-0000AB000000}"/>
    <cellStyle name="20% - 1. jelölőszín" xfId="408" xr:uid="{00000000-0005-0000-0000-0000AC000000}"/>
    <cellStyle name="20% - 1. jelölőszín 2" xfId="409" xr:uid="{00000000-0005-0000-0000-0000AD000000}"/>
    <cellStyle name="20% - 1. jelölőszín 2 2" xfId="410" xr:uid="{00000000-0005-0000-0000-0000AE000000}"/>
    <cellStyle name="20% - 1. jelölőszín 3" xfId="411" xr:uid="{00000000-0005-0000-0000-0000AF000000}"/>
    <cellStyle name="20% - 1. jelölőszín 4" xfId="412" xr:uid="{00000000-0005-0000-0000-0000B0000000}"/>
    <cellStyle name="20% - 1. jelölőszín 5" xfId="413" xr:uid="{00000000-0005-0000-0000-0000B1000000}"/>
    <cellStyle name="20% - 1. jelölőszín_Procesplaat tbv QRT rapportage" xfId="414" xr:uid="{00000000-0005-0000-0000-0000B2000000}"/>
    <cellStyle name="20% - 2. jelölőszín" xfId="415" xr:uid="{00000000-0005-0000-0000-0000B3000000}"/>
    <cellStyle name="20% - 2. jelölőszín 2" xfId="416" xr:uid="{00000000-0005-0000-0000-0000B4000000}"/>
    <cellStyle name="20% - 2. jelölőszín 2 2" xfId="417" xr:uid="{00000000-0005-0000-0000-0000B5000000}"/>
    <cellStyle name="20% - 2. jelölőszín 3" xfId="418" xr:uid="{00000000-0005-0000-0000-0000B6000000}"/>
    <cellStyle name="20% - 2. jelölőszín 4" xfId="419" xr:uid="{00000000-0005-0000-0000-0000B7000000}"/>
    <cellStyle name="20% - 2. jelölőszín 5" xfId="420" xr:uid="{00000000-0005-0000-0000-0000B8000000}"/>
    <cellStyle name="20% - 2. jelölőszín_Procesplaat tbv QRT rapportage" xfId="421" xr:uid="{00000000-0005-0000-0000-0000B9000000}"/>
    <cellStyle name="20% - 3. jelölőszín" xfId="422" xr:uid="{00000000-0005-0000-0000-0000BA000000}"/>
    <cellStyle name="20% - 3. jelölőszín 2" xfId="423" xr:uid="{00000000-0005-0000-0000-0000BB000000}"/>
    <cellStyle name="20% - 3. jelölőszín 2 2" xfId="424" xr:uid="{00000000-0005-0000-0000-0000BC000000}"/>
    <cellStyle name="20% - 3. jelölőszín 3" xfId="425" xr:uid="{00000000-0005-0000-0000-0000BD000000}"/>
    <cellStyle name="20% - 3. jelölőszín 4" xfId="426" xr:uid="{00000000-0005-0000-0000-0000BE000000}"/>
    <cellStyle name="20% - 3. jelölőszín 5" xfId="427" xr:uid="{00000000-0005-0000-0000-0000BF000000}"/>
    <cellStyle name="20% - 3. jelölőszín_Procesplaat tbv QRT rapportage" xfId="428" xr:uid="{00000000-0005-0000-0000-0000C0000000}"/>
    <cellStyle name="20% - 4. jelölőszín" xfId="429" xr:uid="{00000000-0005-0000-0000-0000C1000000}"/>
    <cellStyle name="20% - 4. jelölőszín 2" xfId="430" xr:uid="{00000000-0005-0000-0000-0000C2000000}"/>
    <cellStyle name="20% - 4. jelölőszín 2 2" xfId="431" xr:uid="{00000000-0005-0000-0000-0000C3000000}"/>
    <cellStyle name="20% - 4. jelölőszín 3" xfId="432" xr:uid="{00000000-0005-0000-0000-0000C4000000}"/>
    <cellStyle name="20% - 4. jelölőszín 4" xfId="433" xr:uid="{00000000-0005-0000-0000-0000C5000000}"/>
    <cellStyle name="20% - 4. jelölőszín 5" xfId="434" xr:uid="{00000000-0005-0000-0000-0000C6000000}"/>
    <cellStyle name="20% - 4. jelölőszín_Procesplaat tbv QRT rapportage" xfId="435" xr:uid="{00000000-0005-0000-0000-0000C7000000}"/>
    <cellStyle name="20% - 5. jelölőszín" xfId="436" xr:uid="{00000000-0005-0000-0000-0000C8000000}"/>
    <cellStyle name="20% - 5. jelölőszín 2" xfId="437" xr:uid="{00000000-0005-0000-0000-0000C9000000}"/>
    <cellStyle name="20% - 5. jelölőszín 2 2" xfId="438" xr:uid="{00000000-0005-0000-0000-0000CA000000}"/>
    <cellStyle name="20% - 5. jelölőszín 3" xfId="439" xr:uid="{00000000-0005-0000-0000-0000CB000000}"/>
    <cellStyle name="20% - 5. jelölőszín 4" xfId="440" xr:uid="{00000000-0005-0000-0000-0000CC000000}"/>
    <cellStyle name="20% - 5. jelölőszín 5" xfId="441" xr:uid="{00000000-0005-0000-0000-0000CD000000}"/>
    <cellStyle name="20% - 5. jelölőszín_Procesplaat tbv QRT rapportage" xfId="442" xr:uid="{00000000-0005-0000-0000-0000CE000000}"/>
    <cellStyle name="20% - 6. jelölőszín" xfId="443" xr:uid="{00000000-0005-0000-0000-0000CF000000}"/>
    <cellStyle name="20% - 6. jelölőszín 2" xfId="444" xr:uid="{00000000-0005-0000-0000-0000D0000000}"/>
    <cellStyle name="20% - 6. jelölőszín 2 2" xfId="445" xr:uid="{00000000-0005-0000-0000-0000D1000000}"/>
    <cellStyle name="20% - 6. jelölőszín 3" xfId="446" xr:uid="{00000000-0005-0000-0000-0000D2000000}"/>
    <cellStyle name="20% - 6. jelölőszín 4" xfId="447" xr:uid="{00000000-0005-0000-0000-0000D3000000}"/>
    <cellStyle name="20% - 6. jelölőszín 5" xfId="448" xr:uid="{00000000-0005-0000-0000-0000D4000000}"/>
    <cellStyle name="20% - 6. jelölőszín_Procesplaat tbv QRT rapportage" xfId="449" xr:uid="{00000000-0005-0000-0000-0000D5000000}"/>
    <cellStyle name="20% - Accent1" xfId="14" builtinId="30" customBuiltin="1"/>
    <cellStyle name="20% - Accent1 10" xfId="450" xr:uid="{00000000-0005-0000-0000-0000D7000000}"/>
    <cellStyle name="20% - Accent1 11" xfId="451" xr:uid="{00000000-0005-0000-0000-0000D8000000}"/>
    <cellStyle name="20% - Accent1 12" xfId="452" xr:uid="{00000000-0005-0000-0000-0000D9000000}"/>
    <cellStyle name="20% - Accent1 13" xfId="453" xr:uid="{00000000-0005-0000-0000-0000DA000000}"/>
    <cellStyle name="20% - Accent1 14" xfId="454" xr:uid="{00000000-0005-0000-0000-0000DB000000}"/>
    <cellStyle name="20% - Accent1 15" xfId="455" xr:uid="{00000000-0005-0000-0000-0000DC000000}"/>
    <cellStyle name="20% - Accent1 16" xfId="456" xr:uid="{00000000-0005-0000-0000-0000DD000000}"/>
    <cellStyle name="20% - Accent1 17" xfId="457" xr:uid="{00000000-0005-0000-0000-0000DE000000}"/>
    <cellStyle name="20% - Accent1 18" xfId="458" xr:uid="{00000000-0005-0000-0000-0000DF000000}"/>
    <cellStyle name="20% - Accent1 19" xfId="459" xr:uid="{00000000-0005-0000-0000-0000E0000000}"/>
    <cellStyle name="20% - Accent1 2" xfId="188" xr:uid="{00000000-0005-0000-0000-0000E1000000}"/>
    <cellStyle name="20% - Accent1 2 2" xfId="460" xr:uid="{00000000-0005-0000-0000-0000E2000000}"/>
    <cellStyle name="20% - Accent1 2 3" xfId="461" xr:uid="{00000000-0005-0000-0000-0000E3000000}"/>
    <cellStyle name="20% - Accent1 20" xfId="462" xr:uid="{00000000-0005-0000-0000-0000E4000000}"/>
    <cellStyle name="20% - Accent1 21" xfId="463" xr:uid="{00000000-0005-0000-0000-0000E5000000}"/>
    <cellStyle name="20% - Accent1 22" xfId="464" xr:uid="{00000000-0005-0000-0000-0000E6000000}"/>
    <cellStyle name="20% - Accent1 23" xfId="465" xr:uid="{00000000-0005-0000-0000-0000E7000000}"/>
    <cellStyle name="20% - Accent1 24" xfId="466" xr:uid="{00000000-0005-0000-0000-0000E8000000}"/>
    <cellStyle name="20% - Accent1 25" xfId="467" xr:uid="{00000000-0005-0000-0000-0000E9000000}"/>
    <cellStyle name="20% - Accent1 26" xfId="468" xr:uid="{00000000-0005-0000-0000-0000EA000000}"/>
    <cellStyle name="20% - Accent1 27" xfId="469" xr:uid="{00000000-0005-0000-0000-0000EB000000}"/>
    <cellStyle name="20% - Accent1 28" xfId="470" xr:uid="{00000000-0005-0000-0000-0000EC000000}"/>
    <cellStyle name="20% - Accent1 29" xfId="471" xr:uid="{00000000-0005-0000-0000-0000ED000000}"/>
    <cellStyle name="20% - Accent1 3" xfId="472" xr:uid="{00000000-0005-0000-0000-0000EE000000}"/>
    <cellStyle name="20% - Accent1 3 2" xfId="473" xr:uid="{00000000-0005-0000-0000-0000EF000000}"/>
    <cellStyle name="20% - Accent1 30" xfId="474" xr:uid="{00000000-0005-0000-0000-0000F0000000}"/>
    <cellStyle name="20% - Accent1 31" xfId="475" xr:uid="{00000000-0005-0000-0000-0000F1000000}"/>
    <cellStyle name="20% - Accent1 32" xfId="476" xr:uid="{00000000-0005-0000-0000-0000F2000000}"/>
    <cellStyle name="20% - Accent1 33" xfId="477" xr:uid="{00000000-0005-0000-0000-0000F3000000}"/>
    <cellStyle name="20% - Accent1 34" xfId="478" xr:uid="{00000000-0005-0000-0000-0000F4000000}"/>
    <cellStyle name="20% - Accent1 35" xfId="479" xr:uid="{00000000-0005-0000-0000-0000F5000000}"/>
    <cellStyle name="20% - Accent1 36" xfId="480" xr:uid="{00000000-0005-0000-0000-0000F6000000}"/>
    <cellStyle name="20% - Accent1 37" xfId="481" xr:uid="{00000000-0005-0000-0000-0000F7000000}"/>
    <cellStyle name="20% - Accent1 38" xfId="482" xr:uid="{00000000-0005-0000-0000-0000F8000000}"/>
    <cellStyle name="20% - Accent1 39" xfId="483" xr:uid="{00000000-0005-0000-0000-0000F9000000}"/>
    <cellStyle name="20% - Accent1 4" xfId="484" xr:uid="{00000000-0005-0000-0000-0000FA000000}"/>
    <cellStyle name="20% - Accent1 4 2" xfId="485" xr:uid="{00000000-0005-0000-0000-0000FB000000}"/>
    <cellStyle name="20% - Accent1 40" xfId="486" xr:uid="{00000000-0005-0000-0000-0000FC000000}"/>
    <cellStyle name="20% - Accent1 41" xfId="487" xr:uid="{00000000-0005-0000-0000-0000FD000000}"/>
    <cellStyle name="20% - Accent1 42" xfId="488" xr:uid="{00000000-0005-0000-0000-0000FE000000}"/>
    <cellStyle name="20% - Accent1 5" xfId="489" xr:uid="{00000000-0005-0000-0000-0000FF000000}"/>
    <cellStyle name="20% - Accent1 5 2" xfId="490" xr:uid="{00000000-0005-0000-0000-000000010000}"/>
    <cellStyle name="20% - Accent1 6" xfId="491" xr:uid="{00000000-0005-0000-0000-000001010000}"/>
    <cellStyle name="20% - Accent1 6 2" xfId="492" xr:uid="{00000000-0005-0000-0000-000002010000}"/>
    <cellStyle name="20% - Accent1 7" xfId="493" xr:uid="{00000000-0005-0000-0000-000003010000}"/>
    <cellStyle name="20% - Accent1 7 2" xfId="494" xr:uid="{00000000-0005-0000-0000-000004010000}"/>
    <cellStyle name="20% - Accent1 8" xfId="495" xr:uid="{00000000-0005-0000-0000-000005010000}"/>
    <cellStyle name="20% - Accent1 8 2" xfId="496" xr:uid="{00000000-0005-0000-0000-000006010000}"/>
    <cellStyle name="20% - Accent1 9" xfId="497" xr:uid="{00000000-0005-0000-0000-000007010000}"/>
    <cellStyle name="20% - Accent1 9 2" xfId="498" xr:uid="{00000000-0005-0000-0000-000008010000}"/>
    <cellStyle name="20% - Accent2" xfId="15" builtinId="34" customBuiltin="1"/>
    <cellStyle name="20% - Accent2 10" xfId="499" xr:uid="{00000000-0005-0000-0000-00000A010000}"/>
    <cellStyle name="20% - Accent2 11" xfId="500" xr:uid="{00000000-0005-0000-0000-00000B010000}"/>
    <cellStyle name="20% - Accent2 12" xfId="501" xr:uid="{00000000-0005-0000-0000-00000C010000}"/>
    <cellStyle name="20% - Accent2 13" xfId="502" xr:uid="{00000000-0005-0000-0000-00000D010000}"/>
    <cellStyle name="20% - Accent2 14" xfId="503" xr:uid="{00000000-0005-0000-0000-00000E010000}"/>
    <cellStyle name="20% - Accent2 15" xfId="504" xr:uid="{00000000-0005-0000-0000-00000F010000}"/>
    <cellStyle name="20% - Accent2 16" xfId="505" xr:uid="{00000000-0005-0000-0000-000010010000}"/>
    <cellStyle name="20% - Accent2 17" xfId="506" xr:uid="{00000000-0005-0000-0000-000011010000}"/>
    <cellStyle name="20% - Accent2 18" xfId="507" xr:uid="{00000000-0005-0000-0000-000012010000}"/>
    <cellStyle name="20% - Accent2 19" xfId="508" xr:uid="{00000000-0005-0000-0000-000013010000}"/>
    <cellStyle name="20% - Accent2 2" xfId="189" xr:uid="{00000000-0005-0000-0000-000014010000}"/>
    <cellStyle name="20% - Accent2 2 2" xfId="509" xr:uid="{00000000-0005-0000-0000-000015010000}"/>
    <cellStyle name="20% - Accent2 2 3" xfId="510" xr:uid="{00000000-0005-0000-0000-000016010000}"/>
    <cellStyle name="20% - Accent2 20" xfId="511" xr:uid="{00000000-0005-0000-0000-000017010000}"/>
    <cellStyle name="20% - Accent2 21" xfId="512" xr:uid="{00000000-0005-0000-0000-000018010000}"/>
    <cellStyle name="20% - Accent2 22" xfId="513" xr:uid="{00000000-0005-0000-0000-000019010000}"/>
    <cellStyle name="20% - Accent2 23" xfId="514" xr:uid="{00000000-0005-0000-0000-00001A010000}"/>
    <cellStyle name="20% - Accent2 24" xfId="515" xr:uid="{00000000-0005-0000-0000-00001B010000}"/>
    <cellStyle name="20% - Accent2 25" xfId="516" xr:uid="{00000000-0005-0000-0000-00001C010000}"/>
    <cellStyle name="20% - Accent2 26" xfId="517" xr:uid="{00000000-0005-0000-0000-00001D010000}"/>
    <cellStyle name="20% - Accent2 27" xfId="518" xr:uid="{00000000-0005-0000-0000-00001E010000}"/>
    <cellStyle name="20% - Accent2 28" xfId="519" xr:uid="{00000000-0005-0000-0000-00001F010000}"/>
    <cellStyle name="20% - Accent2 29" xfId="520" xr:uid="{00000000-0005-0000-0000-000020010000}"/>
    <cellStyle name="20% - Accent2 3" xfId="521" xr:uid="{00000000-0005-0000-0000-000021010000}"/>
    <cellStyle name="20% - Accent2 3 2" xfId="522" xr:uid="{00000000-0005-0000-0000-000022010000}"/>
    <cellStyle name="20% - Accent2 30" xfId="523" xr:uid="{00000000-0005-0000-0000-000023010000}"/>
    <cellStyle name="20% - Accent2 31" xfId="524" xr:uid="{00000000-0005-0000-0000-000024010000}"/>
    <cellStyle name="20% - Accent2 32" xfId="525" xr:uid="{00000000-0005-0000-0000-000025010000}"/>
    <cellStyle name="20% - Accent2 33" xfId="526" xr:uid="{00000000-0005-0000-0000-000026010000}"/>
    <cellStyle name="20% - Accent2 34" xfId="527" xr:uid="{00000000-0005-0000-0000-000027010000}"/>
    <cellStyle name="20% - Accent2 35" xfId="528" xr:uid="{00000000-0005-0000-0000-000028010000}"/>
    <cellStyle name="20% - Accent2 36" xfId="529" xr:uid="{00000000-0005-0000-0000-000029010000}"/>
    <cellStyle name="20% - Accent2 37" xfId="530" xr:uid="{00000000-0005-0000-0000-00002A010000}"/>
    <cellStyle name="20% - Accent2 38" xfId="531" xr:uid="{00000000-0005-0000-0000-00002B010000}"/>
    <cellStyle name="20% - Accent2 39" xfId="532" xr:uid="{00000000-0005-0000-0000-00002C010000}"/>
    <cellStyle name="20% - Accent2 4" xfId="533" xr:uid="{00000000-0005-0000-0000-00002D010000}"/>
    <cellStyle name="20% - Accent2 4 2" xfId="534" xr:uid="{00000000-0005-0000-0000-00002E010000}"/>
    <cellStyle name="20% - Accent2 40" xfId="535" xr:uid="{00000000-0005-0000-0000-00002F010000}"/>
    <cellStyle name="20% - Accent2 41" xfId="536" xr:uid="{00000000-0005-0000-0000-000030010000}"/>
    <cellStyle name="20% - Accent2 42" xfId="537" xr:uid="{00000000-0005-0000-0000-000031010000}"/>
    <cellStyle name="20% - Accent2 5" xfId="538" xr:uid="{00000000-0005-0000-0000-000032010000}"/>
    <cellStyle name="20% - Accent2 5 2" xfId="539" xr:uid="{00000000-0005-0000-0000-000033010000}"/>
    <cellStyle name="20% - Accent2 6" xfId="540" xr:uid="{00000000-0005-0000-0000-000034010000}"/>
    <cellStyle name="20% - Accent2 6 2" xfId="541" xr:uid="{00000000-0005-0000-0000-000035010000}"/>
    <cellStyle name="20% - Accent2 7" xfId="542" xr:uid="{00000000-0005-0000-0000-000036010000}"/>
    <cellStyle name="20% - Accent2 7 2" xfId="543" xr:uid="{00000000-0005-0000-0000-000037010000}"/>
    <cellStyle name="20% - Accent2 8" xfId="544" xr:uid="{00000000-0005-0000-0000-000038010000}"/>
    <cellStyle name="20% - Accent2 8 2" xfId="545" xr:uid="{00000000-0005-0000-0000-000039010000}"/>
    <cellStyle name="20% - Accent2 9" xfId="546" xr:uid="{00000000-0005-0000-0000-00003A010000}"/>
    <cellStyle name="20% - Accent2 9 2" xfId="547" xr:uid="{00000000-0005-0000-0000-00003B010000}"/>
    <cellStyle name="20% - Accent3" xfId="16" builtinId="38" customBuiltin="1"/>
    <cellStyle name="20% - Accent3 10" xfId="548" xr:uid="{00000000-0005-0000-0000-00003D010000}"/>
    <cellStyle name="20% - Accent3 11" xfId="549" xr:uid="{00000000-0005-0000-0000-00003E010000}"/>
    <cellStyle name="20% - Accent3 12" xfId="550" xr:uid="{00000000-0005-0000-0000-00003F010000}"/>
    <cellStyle name="20% - Accent3 13" xfId="551" xr:uid="{00000000-0005-0000-0000-000040010000}"/>
    <cellStyle name="20% - Accent3 14" xfId="552" xr:uid="{00000000-0005-0000-0000-000041010000}"/>
    <cellStyle name="20% - Accent3 15" xfId="553" xr:uid="{00000000-0005-0000-0000-000042010000}"/>
    <cellStyle name="20% - Accent3 16" xfId="554" xr:uid="{00000000-0005-0000-0000-000043010000}"/>
    <cellStyle name="20% - Accent3 17" xfId="555" xr:uid="{00000000-0005-0000-0000-000044010000}"/>
    <cellStyle name="20% - Accent3 18" xfId="556" xr:uid="{00000000-0005-0000-0000-000045010000}"/>
    <cellStyle name="20% - Accent3 19" xfId="557" xr:uid="{00000000-0005-0000-0000-000046010000}"/>
    <cellStyle name="20% - Accent3 2" xfId="190" xr:uid="{00000000-0005-0000-0000-000047010000}"/>
    <cellStyle name="20% - Accent3 2 2" xfId="558" xr:uid="{00000000-0005-0000-0000-000048010000}"/>
    <cellStyle name="20% - Accent3 2 3" xfId="559" xr:uid="{00000000-0005-0000-0000-000049010000}"/>
    <cellStyle name="20% - Accent3 20" xfId="560" xr:uid="{00000000-0005-0000-0000-00004A010000}"/>
    <cellStyle name="20% - Accent3 21" xfId="561" xr:uid="{00000000-0005-0000-0000-00004B010000}"/>
    <cellStyle name="20% - Accent3 22" xfId="562" xr:uid="{00000000-0005-0000-0000-00004C010000}"/>
    <cellStyle name="20% - Accent3 23" xfId="563" xr:uid="{00000000-0005-0000-0000-00004D010000}"/>
    <cellStyle name="20% - Accent3 24" xfId="564" xr:uid="{00000000-0005-0000-0000-00004E010000}"/>
    <cellStyle name="20% - Accent3 25" xfId="565" xr:uid="{00000000-0005-0000-0000-00004F010000}"/>
    <cellStyle name="20% - Accent3 26" xfId="566" xr:uid="{00000000-0005-0000-0000-000050010000}"/>
    <cellStyle name="20% - Accent3 27" xfId="567" xr:uid="{00000000-0005-0000-0000-000051010000}"/>
    <cellStyle name="20% - Accent3 28" xfId="568" xr:uid="{00000000-0005-0000-0000-000052010000}"/>
    <cellStyle name="20% - Accent3 29" xfId="569" xr:uid="{00000000-0005-0000-0000-000053010000}"/>
    <cellStyle name="20% - Accent3 3" xfId="570" xr:uid="{00000000-0005-0000-0000-000054010000}"/>
    <cellStyle name="20% - Accent3 3 2" xfId="571" xr:uid="{00000000-0005-0000-0000-000055010000}"/>
    <cellStyle name="20% - Accent3 30" xfId="572" xr:uid="{00000000-0005-0000-0000-000056010000}"/>
    <cellStyle name="20% - Accent3 31" xfId="573" xr:uid="{00000000-0005-0000-0000-000057010000}"/>
    <cellStyle name="20% - Accent3 32" xfId="574" xr:uid="{00000000-0005-0000-0000-000058010000}"/>
    <cellStyle name="20% - Accent3 33" xfId="575" xr:uid="{00000000-0005-0000-0000-000059010000}"/>
    <cellStyle name="20% - Accent3 34" xfId="576" xr:uid="{00000000-0005-0000-0000-00005A010000}"/>
    <cellStyle name="20% - Accent3 35" xfId="577" xr:uid="{00000000-0005-0000-0000-00005B010000}"/>
    <cellStyle name="20% - Accent3 36" xfId="578" xr:uid="{00000000-0005-0000-0000-00005C010000}"/>
    <cellStyle name="20% - Accent3 37" xfId="579" xr:uid="{00000000-0005-0000-0000-00005D010000}"/>
    <cellStyle name="20% - Accent3 38" xfId="580" xr:uid="{00000000-0005-0000-0000-00005E010000}"/>
    <cellStyle name="20% - Accent3 39" xfId="581" xr:uid="{00000000-0005-0000-0000-00005F010000}"/>
    <cellStyle name="20% - Accent3 4" xfId="582" xr:uid="{00000000-0005-0000-0000-000060010000}"/>
    <cellStyle name="20% - Accent3 4 2" xfId="583" xr:uid="{00000000-0005-0000-0000-000061010000}"/>
    <cellStyle name="20% - Accent3 40" xfId="584" xr:uid="{00000000-0005-0000-0000-000062010000}"/>
    <cellStyle name="20% - Accent3 41" xfId="585" xr:uid="{00000000-0005-0000-0000-000063010000}"/>
    <cellStyle name="20% - Accent3 42" xfId="586" xr:uid="{00000000-0005-0000-0000-000064010000}"/>
    <cellStyle name="20% - Accent3 5" xfId="587" xr:uid="{00000000-0005-0000-0000-000065010000}"/>
    <cellStyle name="20% - Accent3 5 2" xfId="588" xr:uid="{00000000-0005-0000-0000-000066010000}"/>
    <cellStyle name="20% - Accent3 6" xfId="589" xr:uid="{00000000-0005-0000-0000-000067010000}"/>
    <cellStyle name="20% - Accent3 6 2" xfId="590" xr:uid="{00000000-0005-0000-0000-000068010000}"/>
    <cellStyle name="20% - Accent3 7" xfId="591" xr:uid="{00000000-0005-0000-0000-000069010000}"/>
    <cellStyle name="20% - Accent3 7 2" xfId="592" xr:uid="{00000000-0005-0000-0000-00006A010000}"/>
    <cellStyle name="20% - Accent3 8" xfId="593" xr:uid="{00000000-0005-0000-0000-00006B010000}"/>
    <cellStyle name="20% - Accent3 8 2" xfId="594" xr:uid="{00000000-0005-0000-0000-00006C010000}"/>
    <cellStyle name="20% - Accent3 9" xfId="595" xr:uid="{00000000-0005-0000-0000-00006D010000}"/>
    <cellStyle name="20% - Accent3 9 2" xfId="596" xr:uid="{00000000-0005-0000-0000-00006E010000}"/>
    <cellStyle name="20% - Accent4" xfId="17" builtinId="42" customBuiltin="1"/>
    <cellStyle name="20% - Accent4 10" xfId="597" xr:uid="{00000000-0005-0000-0000-000070010000}"/>
    <cellStyle name="20% - Accent4 11" xfId="598" xr:uid="{00000000-0005-0000-0000-000071010000}"/>
    <cellStyle name="20% - Accent4 12" xfId="599" xr:uid="{00000000-0005-0000-0000-000072010000}"/>
    <cellStyle name="20% - Accent4 13" xfId="600" xr:uid="{00000000-0005-0000-0000-000073010000}"/>
    <cellStyle name="20% - Accent4 14" xfId="601" xr:uid="{00000000-0005-0000-0000-000074010000}"/>
    <cellStyle name="20% - Accent4 15" xfId="602" xr:uid="{00000000-0005-0000-0000-000075010000}"/>
    <cellStyle name="20% - Accent4 16" xfId="603" xr:uid="{00000000-0005-0000-0000-000076010000}"/>
    <cellStyle name="20% - Accent4 17" xfId="604" xr:uid="{00000000-0005-0000-0000-000077010000}"/>
    <cellStyle name="20% - Accent4 18" xfId="605" xr:uid="{00000000-0005-0000-0000-000078010000}"/>
    <cellStyle name="20% - Accent4 19" xfId="606" xr:uid="{00000000-0005-0000-0000-000079010000}"/>
    <cellStyle name="20% - Accent4 2" xfId="191" xr:uid="{00000000-0005-0000-0000-00007A010000}"/>
    <cellStyle name="20% - Accent4 2 2" xfId="607" xr:uid="{00000000-0005-0000-0000-00007B010000}"/>
    <cellStyle name="20% - Accent4 2 3" xfId="608" xr:uid="{00000000-0005-0000-0000-00007C010000}"/>
    <cellStyle name="20% - Accent4 20" xfId="609" xr:uid="{00000000-0005-0000-0000-00007D010000}"/>
    <cellStyle name="20% - Accent4 21" xfId="610" xr:uid="{00000000-0005-0000-0000-00007E010000}"/>
    <cellStyle name="20% - Accent4 22" xfId="611" xr:uid="{00000000-0005-0000-0000-00007F010000}"/>
    <cellStyle name="20% - Accent4 23" xfId="612" xr:uid="{00000000-0005-0000-0000-000080010000}"/>
    <cellStyle name="20% - Accent4 24" xfId="613" xr:uid="{00000000-0005-0000-0000-000081010000}"/>
    <cellStyle name="20% - Accent4 25" xfId="614" xr:uid="{00000000-0005-0000-0000-000082010000}"/>
    <cellStyle name="20% - Accent4 26" xfId="615" xr:uid="{00000000-0005-0000-0000-000083010000}"/>
    <cellStyle name="20% - Accent4 27" xfId="616" xr:uid="{00000000-0005-0000-0000-000084010000}"/>
    <cellStyle name="20% - Accent4 28" xfId="617" xr:uid="{00000000-0005-0000-0000-000085010000}"/>
    <cellStyle name="20% - Accent4 29" xfId="618" xr:uid="{00000000-0005-0000-0000-000086010000}"/>
    <cellStyle name="20% - Accent4 3" xfId="619" xr:uid="{00000000-0005-0000-0000-000087010000}"/>
    <cellStyle name="20% - Accent4 3 2" xfId="620" xr:uid="{00000000-0005-0000-0000-000088010000}"/>
    <cellStyle name="20% - Accent4 30" xfId="621" xr:uid="{00000000-0005-0000-0000-000089010000}"/>
    <cellStyle name="20% - Accent4 31" xfId="622" xr:uid="{00000000-0005-0000-0000-00008A010000}"/>
    <cellStyle name="20% - Accent4 32" xfId="623" xr:uid="{00000000-0005-0000-0000-00008B010000}"/>
    <cellStyle name="20% - Accent4 33" xfId="624" xr:uid="{00000000-0005-0000-0000-00008C010000}"/>
    <cellStyle name="20% - Accent4 34" xfId="625" xr:uid="{00000000-0005-0000-0000-00008D010000}"/>
    <cellStyle name="20% - Accent4 35" xfId="626" xr:uid="{00000000-0005-0000-0000-00008E010000}"/>
    <cellStyle name="20% - Accent4 36" xfId="627" xr:uid="{00000000-0005-0000-0000-00008F010000}"/>
    <cellStyle name="20% - Accent4 37" xfId="628" xr:uid="{00000000-0005-0000-0000-000090010000}"/>
    <cellStyle name="20% - Accent4 38" xfId="629" xr:uid="{00000000-0005-0000-0000-000091010000}"/>
    <cellStyle name="20% - Accent4 39" xfId="630" xr:uid="{00000000-0005-0000-0000-000092010000}"/>
    <cellStyle name="20% - Accent4 4" xfId="631" xr:uid="{00000000-0005-0000-0000-000093010000}"/>
    <cellStyle name="20% - Accent4 4 2" xfId="632" xr:uid="{00000000-0005-0000-0000-000094010000}"/>
    <cellStyle name="20% - Accent4 40" xfId="633" xr:uid="{00000000-0005-0000-0000-000095010000}"/>
    <cellStyle name="20% - Accent4 41" xfId="634" xr:uid="{00000000-0005-0000-0000-000096010000}"/>
    <cellStyle name="20% - Accent4 42" xfId="635" xr:uid="{00000000-0005-0000-0000-000097010000}"/>
    <cellStyle name="20% - Accent4 5" xfId="636" xr:uid="{00000000-0005-0000-0000-000098010000}"/>
    <cellStyle name="20% - Accent4 5 2" xfId="637" xr:uid="{00000000-0005-0000-0000-000099010000}"/>
    <cellStyle name="20% - Accent4 6" xfId="638" xr:uid="{00000000-0005-0000-0000-00009A010000}"/>
    <cellStyle name="20% - Accent4 6 2" xfId="639" xr:uid="{00000000-0005-0000-0000-00009B010000}"/>
    <cellStyle name="20% - Accent4 7" xfId="640" xr:uid="{00000000-0005-0000-0000-00009C010000}"/>
    <cellStyle name="20% - Accent4 7 2" xfId="641" xr:uid="{00000000-0005-0000-0000-00009D010000}"/>
    <cellStyle name="20% - Accent4 8" xfId="642" xr:uid="{00000000-0005-0000-0000-00009E010000}"/>
    <cellStyle name="20% - Accent4 8 2" xfId="643" xr:uid="{00000000-0005-0000-0000-00009F010000}"/>
    <cellStyle name="20% - Accent4 9" xfId="644" xr:uid="{00000000-0005-0000-0000-0000A0010000}"/>
    <cellStyle name="20% - Accent4 9 2" xfId="645" xr:uid="{00000000-0005-0000-0000-0000A1010000}"/>
    <cellStyle name="20% - Accent5" xfId="18" builtinId="46" customBuiltin="1"/>
    <cellStyle name="20% - Accent5 10" xfId="646" xr:uid="{00000000-0005-0000-0000-0000A3010000}"/>
    <cellStyle name="20% - Accent5 11" xfId="647" xr:uid="{00000000-0005-0000-0000-0000A4010000}"/>
    <cellStyle name="20% - Accent5 12" xfId="648" xr:uid="{00000000-0005-0000-0000-0000A5010000}"/>
    <cellStyle name="20% - Accent5 13" xfId="649" xr:uid="{00000000-0005-0000-0000-0000A6010000}"/>
    <cellStyle name="20% - Accent5 14" xfId="650" xr:uid="{00000000-0005-0000-0000-0000A7010000}"/>
    <cellStyle name="20% - Accent5 15" xfId="651" xr:uid="{00000000-0005-0000-0000-0000A8010000}"/>
    <cellStyle name="20% - Accent5 16" xfId="652" xr:uid="{00000000-0005-0000-0000-0000A9010000}"/>
    <cellStyle name="20% - Accent5 17" xfId="653" xr:uid="{00000000-0005-0000-0000-0000AA010000}"/>
    <cellStyle name="20% - Accent5 18" xfId="654" xr:uid="{00000000-0005-0000-0000-0000AB010000}"/>
    <cellStyle name="20% - Accent5 19" xfId="655" xr:uid="{00000000-0005-0000-0000-0000AC010000}"/>
    <cellStyle name="20% - Accent5 2" xfId="192" xr:uid="{00000000-0005-0000-0000-0000AD010000}"/>
    <cellStyle name="20% - Accent5 2 2" xfId="656" xr:uid="{00000000-0005-0000-0000-0000AE010000}"/>
    <cellStyle name="20% - Accent5 2 3" xfId="657" xr:uid="{00000000-0005-0000-0000-0000AF010000}"/>
    <cellStyle name="20% - Accent5 20" xfId="658" xr:uid="{00000000-0005-0000-0000-0000B0010000}"/>
    <cellStyle name="20% - Accent5 21" xfId="659" xr:uid="{00000000-0005-0000-0000-0000B1010000}"/>
    <cellStyle name="20% - Accent5 22" xfId="660" xr:uid="{00000000-0005-0000-0000-0000B2010000}"/>
    <cellStyle name="20% - Accent5 23" xfId="661" xr:uid="{00000000-0005-0000-0000-0000B3010000}"/>
    <cellStyle name="20% - Accent5 24" xfId="662" xr:uid="{00000000-0005-0000-0000-0000B4010000}"/>
    <cellStyle name="20% - Accent5 25" xfId="663" xr:uid="{00000000-0005-0000-0000-0000B5010000}"/>
    <cellStyle name="20% - Accent5 26" xfId="664" xr:uid="{00000000-0005-0000-0000-0000B6010000}"/>
    <cellStyle name="20% - Accent5 27" xfId="665" xr:uid="{00000000-0005-0000-0000-0000B7010000}"/>
    <cellStyle name="20% - Accent5 28" xfId="666" xr:uid="{00000000-0005-0000-0000-0000B8010000}"/>
    <cellStyle name="20% - Accent5 29" xfId="667" xr:uid="{00000000-0005-0000-0000-0000B9010000}"/>
    <cellStyle name="20% - Accent5 3" xfId="668" xr:uid="{00000000-0005-0000-0000-0000BA010000}"/>
    <cellStyle name="20% - Accent5 3 2" xfId="669" xr:uid="{00000000-0005-0000-0000-0000BB010000}"/>
    <cellStyle name="20% - Accent5 30" xfId="670" xr:uid="{00000000-0005-0000-0000-0000BC010000}"/>
    <cellStyle name="20% - Accent5 31" xfId="671" xr:uid="{00000000-0005-0000-0000-0000BD010000}"/>
    <cellStyle name="20% - Accent5 32" xfId="672" xr:uid="{00000000-0005-0000-0000-0000BE010000}"/>
    <cellStyle name="20% - Accent5 33" xfId="673" xr:uid="{00000000-0005-0000-0000-0000BF010000}"/>
    <cellStyle name="20% - Accent5 34" xfId="674" xr:uid="{00000000-0005-0000-0000-0000C0010000}"/>
    <cellStyle name="20% - Accent5 35" xfId="675" xr:uid="{00000000-0005-0000-0000-0000C1010000}"/>
    <cellStyle name="20% - Accent5 36" xfId="676" xr:uid="{00000000-0005-0000-0000-0000C2010000}"/>
    <cellStyle name="20% - Accent5 37" xfId="677" xr:uid="{00000000-0005-0000-0000-0000C3010000}"/>
    <cellStyle name="20% - Accent5 38" xfId="678" xr:uid="{00000000-0005-0000-0000-0000C4010000}"/>
    <cellStyle name="20% - Accent5 39" xfId="679" xr:uid="{00000000-0005-0000-0000-0000C5010000}"/>
    <cellStyle name="20% - Accent5 4" xfId="680" xr:uid="{00000000-0005-0000-0000-0000C6010000}"/>
    <cellStyle name="20% - Accent5 4 2" xfId="681" xr:uid="{00000000-0005-0000-0000-0000C7010000}"/>
    <cellStyle name="20% - Accent5 40" xfId="682" xr:uid="{00000000-0005-0000-0000-0000C8010000}"/>
    <cellStyle name="20% - Accent5 41" xfId="683" xr:uid="{00000000-0005-0000-0000-0000C9010000}"/>
    <cellStyle name="20% - Accent5 42" xfId="684" xr:uid="{00000000-0005-0000-0000-0000CA010000}"/>
    <cellStyle name="20% - Accent5 5" xfId="685" xr:uid="{00000000-0005-0000-0000-0000CB010000}"/>
    <cellStyle name="20% - Accent5 5 2" xfId="686" xr:uid="{00000000-0005-0000-0000-0000CC010000}"/>
    <cellStyle name="20% - Accent5 6" xfId="687" xr:uid="{00000000-0005-0000-0000-0000CD010000}"/>
    <cellStyle name="20% - Accent5 6 2" xfId="688" xr:uid="{00000000-0005-0000-0000-0000CE010000}"/>
    <cellStyle name="20% - Accent5 7" xfId="689" xr:uid="{00000000-0005-0000-0000-0000CF010000}"/>
    <cellStyle name="20% - Accent5 7 2" xfId="690" xr:uid="{00000000-0005-0000-0000-0000D0010000}"/>
    <cellStyle name="20% - Accent5 8" xfId="691" xr:uid="{00000000-0005-0000-0000-0000D1010000}"/>
    <cellStyle name="20% - Accent5 8 2" xfId="692" xr:uid="{00000000-0005-0000-0000-0000D2010000}"/>
    <cellStyle name="20% - Accent5 9" xfId="693" xr:uid="{00000000-0005-0000-0000-0000D3010000}"/>
    <cellStyle name="20% - Accent5 9 2" xfId="694" xr:uid="{00000000-0005-0000-0000-0000D4010000}"/>
    <cellStyle name="20% - Accent6" xfId="19" builtinId="50" customBuiltin="1"/>
    <cellStyle name="20% - Accent6 10" xfId="695" xr:uid="{00000000-0005-0000-0000-0000D6010000}"/>
    <cellStyle name="20% - Accent6 11" xfId="696" xr:uid="{00000000-0005-0000-0000-0000D7010000}"/>
    <cellStyle name="20% - Accent6 12" xfId="697" xr:uid="{00000000-0005-0000-0000-0000D8010000}"/>
    <cellStyle name="20% - Accent6 13" xfId="698" xr:uid="{00000000-0005-0000-0000-0000D9010000}"/>
    <cellStyle name="20% - Accent6 14" xfId="699" xr:uid="{00000000-0005-0000-0000-0000DA010000}"/>
    <cellStyle name="20% - Accent6 15" xfId="700" xr:uid="{00000000-0005-0000-0000-0000DB010000}"/>
    <cellStyle name="20% - Accent6 16" xfId="701" xr:uid="{00000000-0005-0000-0000-0000DC010000}"/>
    <cellStyle name="20% - Accent6 17" xfId="702" xr:uid="{00000000-0005-0000-0000-0000DD010000}"/>
    <cellStyle name="20% - Accent6 18" xfId="703" xr:uid="{00000000-0005-0000-0000-0000DE010000}"/>
    <cellStyle name="20% - Accent6 19" xfId="704" xr:uid="{00000000-0005-0000-0000-0000DF010000}"/>
    <cellStyle name="20% - Accent6 2" xfId="193" xr:uid="{00000000-0005-0000-0000-0000E0010000}"/>
    <cellStyle name="20% - Accent6 2 2" xfId="705" xr:uid="{00000000-0005-0000-0000-0000E1010000}"/>
    <cellStyle name="20% - Accent6 2 3" xfId="706" xr:uid="{00000000-0005-0000-0000-0000E2010000}"/>
    <cellStyle name="20% - Accent6 20" xfId="707" xr:uid="{00000000-0005-0000-0000-0000E3010000}"/>
    <cellStyle name="20% - Accent6 21" xfId="708" xr:uid="{00000000-0005-0000-0000-0000E4010000}"/>
    <cellStyle name="20% - Accent6 22" xfId="709" xr:uid="{00000000-0005-0000-0000-0000E5010000}"/>
    <cellStyle name="20% - Accent6 23" xfId="710" xr:uid="{00000000-0005-0000-0000-0000E6010000}"/>
    <cellStyle name="20% - Accent6 24" xfId="711" xr:uid="{00000000-0005-0000-0000-0000E7010000}"/>
    <cellStyle name="20% - Accent6 25" xfId="712" xr:uid="{00000000-0005-0000-0000-0000E8010000}"/>
    <cellStyle name="20% - Accent6 26" xfId="713" xr:uid="{00000000-0005-0000-0000-0000E9010000}"/>
    <cellStyle name="20% - Accent6 27" xfId="714" xr:uid="{00000000-0005-0000-0000-0000EA010000}"/>
    <cellStyle name="20% - Accent6 28" xfId="715" xr:uid="{00000000-0005-0000-0000-0000EB010000}"/>
    <cellStyle name="20% - Accent6 29" xfId="716" xr:uid="{00000000-0005-0000-0000-0000EC010000}"/>
    <cellStyle name="20% - Accent6 3" xfId="717" xr:uid="{00000000-0005-0000-0000-0000ED010000}"/>
    <cellStyle name="20% - Accent6 3 2" xfId="718" xr:uid="{00000000-0005-0000-0000-0000EE010000}"/>
    <cellStyle name="20% - Accent6 30" xfId="719" xr:uid="{00000000-0005-0000-0000-0000EF010000}"/>
    <cellStyle name="20% - Accent6 31" xfId="720" xr:uid="{00000000-0005-0000-0000-0000F0010000}"/>
    <cellStyle name="20% - Accent6 32" xfId="721" xr:uid="{00000000-0005-0000-0000-0000F1010000}"/>
    <cellStyle name="20% - Accent6 33" xfId="722" xr:uid="{00000000-0005-0000-0000-0000F2010000}"/>
    <cellStyle name="20% - Accent6 34" xfId="723" xr:uid="{00000000-0005-0000-0000-0000F3010000}"/>
    <cellStyle name="20% - Accent6 35" xfId="724" xr:uid="{00000000-0005-0000-0000-0000F4010000}"/>
    <cellStyle name="20% - Accent6 36" xfId="725" xr:uid="{00000000-0005-0000-0000-0000F5010000}"/>
    <cellStyle name="20% - Accent6 37" xfId="726" xr:uid="{00000000-0005-0000-0000-0000F6010000}"/>
    <cellStyle name="20% - Accent6 38" xfId="727" xr:uid="{00000000-0005-0000-0000-0000F7010000}"/>
    <cellStyle name="20% - Accent6 39" xfId="728" xr:uid="{00000000-0005-0000-0000-0000F8010000}"/>
    <cellStyle name="20% - Accent6 4" xfId="729" xr:uid="{00000000-0005-0000-0000-0000F9010000}"/>
    <cellStyle name="20% - Accent6 4 2" xfId="730" xr:uid="{00000000-0005-0000-0000-0000FA010000}"/>
    <cellStyle name="20% - Accent6 40" xfId="731" xr:uid="{00000000-0005-0000-0000-0000FB010000}"/>
    <cellStyle name="20% - Accent6 41" xfId="732" xr:uid="{00000000-0005-0000-0000-0000FC010000}"/>
    <cellStyle name="20% - Accent6 42" xfId="733" xr:uid="{00000000-0005-0000-0000-0000FD010000}"/>
    <cellStyle name="20% - Accent6 5" xfId="734" xr:uid="{00000000-0005-0000-0000-0000FE010000}"/>
    <cellStyle name="20% - Accent6 5 2" xfId="735" xr:uid="{00000000-0005-0000-0000-0000FF010000}"/>
    <cellStyle name="20% - Accent6 6" xfId="736" xr:uid="{00000000-0005-0000-0000-000000020000}"/>
    <cellStyle name="20% - Accent6 6 2" xfId="737" xr:uid="{00000000-0005-0000-0000-000001020000}"/>
    <cellStyle name="20% - Accent6 7" xfId="738" xr:uid="{00000000-0005-0000-0000-000002020000}"/>
    <cellStyle name="20% - Accent6 7 2" xfId="739" xr:uid="{00000000-0005-0000-0000-000003020000}"/>
    <cellStyle name="20% - Accent6 8" xfId="740" xr:uid="{00000000-0005-0000-0000-000004020000}"/>
    <cellStyle name="20% - Accent6 8 2" xfId="741" xr:uid="{00000000-0005-0000-0000-000005020000}"/>
    <cellStyle name="20% - Accent6 9" xfId="742" xr:uid="{00000000-0005-0000-0000-000006020000}"/>
    <cellStyle name="20% - Accent6 9 2" xfId="743" xr:uid="{00000000-0005-0000-0000-000007020000}"/>
    <cellStyle name="20% - Colore 1" xfId="20" xr:uid="{00000000-0005-0000-0000-000008020000}"/>
    <cellStyle name="20% - Colore 1 10" xfId="744" xr:uid="{00000000-0005-0000-0000-000009020000}"/>
    <cellStyle name="20% - Colore 1 2" xfId="745" xr:uid="{00000000-0005-0000-0000-00000A020000}"/>
    <cellStyle name="20% - Colore 1 2 2" xfId="746" xr:uid="{00000000-0005-0000-0000-00000B020000}"/>
    <cellStyle name="20% - Colore 1 2 3" xfId="747" xr:uid="{00000000-0005-0000-0000-00000C020000}"/>
    <cellStyle name="20% - Colore 1 3" xfId="748" xr:uid="{00000000-0005-0000-0000-00000D020000}"/>
    <cellStyle name="20% - Colore 1 3 2" xfId="749" xr:uid="{00000000-0005-0000-0000-00000E020000}"/>
    <cellStyle name="20% - Colore 1 4" xfId="750" xr:uid="{00000000-0005-0000-0000-00000F020000}"/>
    <cellStyle name="20% - Colore 1 4 2" xfId="751" xr:uid="{00000000-0005-0000-0000-000010020000}"/>
    <cellStyle name="20% - Colore 1 5" xfId="752" xr:uid="{00000000-0005-0000-0000-000011020000}"/>
    <cellStyle name="20% - Colore 1 5 2" xfId="753" xr:uid="{00000000-0005-0000-0000-000012020000}"/>
    <cellStyle name="20% - Colore 1 6" xfId="754" xr:uid="{00000000-0005-0000-0000-000013020000}"/>
    <cellStyle name="20% - Colore 1 6 2" xfId="755" xr:uid="{00000000-0005-0000-0000-000014020000}"/>
    <cellStyle name="20% - Colore 1 7" xfId="756" xr:uid="{00000000-0005-0000-0000-000015020000}"/>
    <cellStyle name="20% - Colore 1 7 2" xfId="757" xr:uid="{00000000-0005-0000-0000-000016020000}"/>
    <cellStyle name="20% - Colore 1 8" xfId="758" xr:uid="{00000000-0005-0000-0000-000017020000}"/>
    <cellStyle name="20% - Colore 1 8 2" xfId="759" xr:uid="{00000000-0005-0000-0000-000018020000}"/>
    <cellStyle name="20% - Colore 1 9" xfId="760" xr:uid="{00000000-0005-0000-0000-000019020000}"/>
    <cellStyle name="20% - Colore 1 9 2" xfId="761" xr:uid="{00000000-0005-0000-0000-00001A020000}"/>
    <cellStyle name="20% - Colore 1 9 3" xfId="762" xr:uid="{00000000-0005-0000-0000-00001B020000}"/>
    <cellStyle name="20% - Colore 1_Dummy RTS EY+CCF 20100818" xfId="763" xr:uid="{00000000-0005-0000-0000-00001C020000}"/>
    <cellStyle name="20% - Colore 2" xfId="21" xr:uid="{00000000-0005-0000-0000-00001D020000}"/>
    <cellStyle name="20% - Colore 2 10" xfId="764" xr:uid="{00000000-0005-0000-0000-00001E020000}"/>
    <cellStyle name="20% - Colore 2 2" xfId="765" xr:uid="{00000000-0005-0000-0000-00001F020000}"/>
    <cellStyle name="20% - Colore 2 2 2" xfId="766" xr:uid="{00000000-0005-0000-0000-000020020000}"/>
    <cellStyle name="20% - Colore 2 2 3" xfId="767" xr:uid="{00000000-0005-0000-0000-000021020000}"/>
    <cellStyle name="20% - Colore 2 3" xfId="768" xr:uid="{00000000-0005-0000-0000-000022020000}"/>
    <cellStyle name="20% - Colore 2 3 2" xfId="769" xr:uid="{00000000-0005-0000-0000-000023020000}"/>
    <cellStyle name="20% - Colore 2 4" xfId="770" xr:uid="{00000000-0005-0000-0000-000024020000}"/>
    <cellStyle name="20% - Colore 2 4 2" xfId="771" xr:uid="{00000000-0005-0000-0000-000025020000}"/>
    <cellStyle name="20% - Colore 2 5" xfId="772" xr:uid="{00000000-0005-0000-0000-000026020000}"/>
    <cellStyle name="20% - Colore 2 5 2" xfId="773" xr:uid="{00000000-0005-0000-0000-000027020000}"/>
    <cellStyle name="20% - Colore 2 6" xfId="774" xr:uid="{00000000-0005-0000-0000-000028020000}"/>
    <cellStyle name="20% - Colore 2 6 2" xfId="775" xr:uid="{00000000-0005-0000-0000-000029020000}"/>
    <cellStyle name="20% - Colore 2 7" xfId="776" xr:uid="{00000000-0005-0000-0000-00002A020000}"/>
    <cellStyle name="20% - Colore 2 7 2" xfId="777" xr:uid="{00000000-0005-0000-0000-00002B020000}"/>
    <cellStyle name="20% - Colore 2 8" xfId="778" xr:uid="{00000000-0005-0000-0000-00002C020000}"/>
    <cellStyle name="20% - Colore 2 8 2" xfId="779" xr:uid="{00000000-0005-0000-0000-00002D020000}"/>
    <cellStyle name="20% - Colore 2 9" xfId="780" xr:uid="{00000000-0005-0000-0000-00002E020000}"/>
    <cellStyle name="20% - Colore 2 9 2" xfId="781" xr:uid="{00000000-0005-0000-0000-00002F020000}"/>
    <cellStyle name="20% - Colore 2 9 3" xfId="782" xr:uid="{00000000-0005-0000-0000-000030020000}"/>
    <cellStyle name="20% - Colore 2_Dummy RTS EY+CCF 20100818" xfId="783" xr:uid="{00000000-0005-0000-0000-000031020000}"/>
    <cellStyle name="20% - Colore 3" xfId="22" xr:uid="{00000000-0005-0000-0000-000032020000}"/>
    <cellStyle name="20% - Colore 3 10" xfId="784" xr:uid="{00000000-0005-0000-0000-000033020000}"/>
    <cellStyle name="20% - Colore 3 2" xfId="785" xr:uid="{00000000-0005-0000-0000-000034020000}"/>
    <cellStyle name="20% - Colore 3 2 2" xfId="786" xr:uid="{00000000-0005-0000-0000-000035020000}"/>
    <cellStyle name="20% - Colore 3 2 3" xfId="787" xr:uid="{00000000-0005-0000-0000-000036020000}"/>
    <cellStyle name="20% - Colore 3 3" xfId="788" xr:uid="{00000000-0005-0000-0000-000037020000}"/>
    <cellStyle name="20% - Colore 3 3 2" xfId="789" xr:uid="{00000000-0005-0000-0000-000038020000}"/>
    <cellStyle name="20% - Colore 3 4" xfId="790" xr:uid="{00000000-0005-0000-0000-000039020000}"/>
    <cellStyle name="20% - Colore 3 4 2" xfId="791" xr:uid="{00000000-0005-0000-0000-00003A020000}"/>
    <cellStyle name="20% - Colore 3 5" xfId="792" xr:uid="{00000000-0005-0000-0000-00003B020000}"/>
    <cellStyle name="20% - Colore 3 5 2" xfId="793" xr:uid="{00000000-0005-0000-0000-00003C020000}"/>
    <cellStyle name="20% - Colore 3 6" xfId="794" xr:uid="{00000000-0005-0000-0000-00003D020000}"/>
    <cellStyle name="20% - Colore 3 6 2" xfId="795" xr:uid="{00000000-0005-0000-0000-00003E020000}"/>
    <cellStyle name="20% - Colore 3 7" xfId="796" xr:uid="{00000000-0005-0000-0000-00003F020000}"/>
    <cellStyle name="20% - Colore 3 7 2" xfId="797" xr:uid="{00000000-0005-0000-0000-000040020000}"/>
    <cellStyle name="20% - Colore 3 8" xfId="798" xr:uid="{00000000-0005-0000-0000-000041020000}"/>
    <cellStyle name="20% - Colore 3 8 2" xfId="799" xr:uid="{00000000-0005-0000-0000-000042020000}"/>
    <cellStyle name="20% - Colore 3 9" xfId="800" xr:uid="{00000000-0005-0000-0000-000043020000}"/>
    <cellStyle name="20% - Colore 3 9 2" xfId="801" xr:uid="{00000000-0005-0000-0000-000044020000}"/>
    <cellStyle name="20% - Colore 3 9 3" xfId="802" xr:uid="{00000000-0005-0000-0000-000045020000}"/>
    <cellStyle name="20% - Colore 3_Dummy RTS EY+CCF 20100818" xfId="803" xr:uid="{00000000-0005-0000-0000-000046020000}"/>
    <cellStyle name="20% - Colore 4" xfId="23" xr:uid="{00000000-0005-0000-0000-000047020000}"/>
    <cellStyle name="20% - Colore 4 10" xfId="804" xr:uid="{00000000-0005-0000-0000-000048020000}"/>
    <cellStyle name="20% - Colore 4 2" xfId="805" xr:uid="{00000000-0005-0000-0000-000049020000}"/>
    <cellStyle name="20% - Colore 4 2 2" xfId="806" xr:uid="{00000000-0005-0000-0000-00004A020000}"/>
    <cellStyle name="20% - Colore 4 2 3" xfId="807" xr:uid="{00000000-0005-0000-0000-00004B020000}"/>
    <cellStyle name="20% - Colore 4 3" xfId="808" xr:uid="{00000000-0005-0000-0000-00004C020000}"/>
    <cellStyle name="20% - Colore 4 3 2" xfId="809" xr:uid="{00000000-0005-0000-0000-00004D020000}"/>
    <cellStyle name="20% - Colore 4 4" xfId="810" xr:uid="{00000000-0005-0000-0000-00004E020000}"/>
    <cellStyle name="20% - Colore 4 4 2" xfId="811" xr:uid="{00000000-0005-0000-0000-00004F020000}"/>
    <cellStyle name="20% - Colore 4 5" xfId="812" xr:uid="{00000000-0005-0000-0000-000050020000}"/>
    <cellStyle name="20% - Colore 4 5 2" xfId="813" xr:uid="{00000000-0005-0000-0000-000051020000}"/>
    <cellStyle name="20% - Colore 4 6" xfId="814" xr:uid="{00000000-0005-0000-0000-000052020000}"/>
    <cellStyle name="20% - Colore 4 6 2" xfId="815" xr:uid="{00000000-0005-0000-0000-000053020000}"/>
    <cellStyle name="20% - Colore 4 7" xfId="816" xr:uid="{00000000-0005-0000-0000-000054020000}"/>
    <cellStyle name="20% - Colore 4 7 2" xfId="817" xr:uid="{00000000-0005-0000-0000-000055020000}"/>
    <cellStyle name="20% - Colore 4 8" xfId="818" xr:uid="{00000000-0005-0000-0000-000056020000}"/>
    <cellStyle name="20% - Colore 4 8 2" xfId="819" xr:uid="{00000000-0005-0000-0000-000057020000}"/>
    <cellStyle name="20% - Colore 4 9" xfId="820" xr:uid="{00000000-0005-0000-0000-000058020000}"/>
    <cellStyle name="20% - Colore 4 9 2" xfId="821" xr:uid="{00000000-0005-0000-0000-000059020000}"/>
    <cellStyle name="20% - Colore 4 9 3" xfId="822" xr:uid="{00000000-0005-0000-0000-00005A020000}"/>
    <cellStyle name="20% - Colore 4_Dummy RTS EY+CCF 20100818" xfId="823" xr:uid="{00000000-0005-0000-0000-00005B020000}"/>
    <cellStyle name="20% - Colore 5" xfId="24" xr:uid="{00000000-0005-0000-0000-00005C020000}"/>
    <cellStyle name="20% - Colore 5 10" xfId="824" xr:uid="{00000000-0005-0000-0000-00005D020000}"/>
    <cellStyle name="20% - Colore 5 2" xfId="825" xr:uid="{00000000-0005-0000-0000-00005E020000}"/>
    <cellStyle name="20% - Colore 5 2 2" xfId="826" xr:uid="{00000000-0005-0000-0000-00005F020000}"/>
    <cellStyle name="20% - Colore 5 2 3" xfId="827" xr:uid="{00000000-0005-0000-0000-000060020000}"/>
    <cellStyle name="20% - Colore 5 3" xfId="828" xr:uid="{00000000-0005-0000-0000-000061020000}"/>
    <cellStyle name="20% - Colore 5 3 2" xfId="829" xr:uid="{00000000-0005-0000-0000-000062020000}"/>
    <cellStyle name="20% - Colore 5 4" xfId="830" xr:uid="{00000000-0005-0000-0000-000063020000}"/>
    <cellStyle name="20% - Colore 5 4 2" xfId="831" xr:uid="{00000000-0005-0000-0000-000064020000}"/>
    <cellStyle name="20% - Colore 5 5" xfId="832" xr:uid="{00000000-0005-0000-0000-000065020000}"/>
    <cellStyle name="20% - Colore 5 5 2" xfId="833" xr:uid="{00000000-0005-0000-0000-000066020000}"/>
    <cellStyle name="20% - Colore 5 6" xfId="834" xr:uid="{00000000-0005-0000-0000-000067020000}"/>
    <cellStyle name="20% - Colore 5 6 2" xfId="835" xr:uid="{00000000-0005-0000-0000-000068020000}"/>
    <cellStyle name="20% - Colore 5 7" xfId="836" xr:uid="{00000000-0005-0000-0000-000069020000}"/>
    <cellStyle name="20% - Colore 5 7 2" xfId="837" xr:uid="{00000000-0005-0000-0000-00006A020000}"/>
    <cellStyle name="20% - Colore 5 8" xfId="838" xr:uid="{00000000-0005-0000-0000-00006B020000}"/>
    <cellStyle name="20% - Colore 5 8 2" xfId="839" xr:uid="{00000000-0005-0000-0000-00006C020000}"/>
    <cellStyle name="20% - Colore 5 9" xfId="840" xr:uid="{00000000-0005-0000-0000-00006D020000}"/>
    <cellStyle name="20% - Colore 5 9 2" xfId="841" xr:uid="{00000000-0005-0000-0000-00006E020000}"/>
    <cellStyle name="20% - Colore 5 9 3" xfId="842" xr:uid="{00000000-0005-0000-0000-00006F020000}"/>
    <cellStyle name="20% - Colore 5_Dummy RTS EY+CCF 20100818" xfId="843" xr:uid="{00000000-0005-0000-0000-000070020000}"/>
    <cellStyle name="20% - Colore 6" xfId="25" xr:uid="{00000000-0005-0000-0000-000071020000}"/>
    <cellStyle name="20% - Colore 6 10" xfId="844" xr:uid="{00000000-0005-0000-0000-000072020000}"/>
    <cellStyle name="20% - Colore 6 2" xfId="845" xr:uid="{00000000-0005-0000-0000-000073020000}"/>
    <cellStyle name="20% - Colore 6 2 2" xfId="846" xr:uid="{00000000-0005-0000-0000-000074020000}"/>
    <cellStyle name="20% - Colore 6 2 3" xfId="847" xr:uid="{00000000-0005-0000-0000-000075020000}"/>
    <cellStyle name="20% - Colore 6 3" xfId="848" xr:uid="{00000000-0005-0000-0000-000076020000}"/>
    <cellStyle name="20% - Colore 6 3 2" xfId="849" xr:uid="{00000000-0005-0000-0000-000077020000}"/>
    <cellStyle name="20% - Colore 6 4" xfId="850" xr:uid="{00000000-0005-0000-0000-000078020000}"/>
    <cellStyle name="20% - Colore 6 4 2" xfId="851" xr:uid="{00000000-0005-0000-0000-000079020000}"/>
    <cellStyle name="20% - Colore 6 5" xfId="852" xr:uid="{00000000-0005-0000-0000-00007A020000}"/>
    <cellStyle name="20% - Colore 6 5 2" xfId="853" xr:uid="{00000000-0005-0000-0000-00007B020000}"/>
    <cellStyle name="20% - Colore 6 6" xfId="854" xr:uid="{00000000-0005-0000-0000-00007C020000}"/>
    <cellStyle name="20% - Colore 6 6 2" xfId="855" xr:uid="{00000000-0005-0000-0000-00007D020000}"/>
    <cellStyle name="20% - Colore 6 7" xfId="856" xr:uid="{00000000-0005-0000-0000-00007E020000}"/>
    <cellStyle name="20% - Colore 6 7 2" xfId="857" xr:uid="{00000000-0005-0000-0000-00007F020000}"/>
    <cellStyle name="20% - Colore 6 8" xfId="858" xr:uid="{00000000-0005-0000-0000-000080020000}"/>
    <cellStyle name="20% - Colore 6 8 2" xfId="859" xr:uid="{00000000-0005-0000-0000-000081020000}"/>
    <cellStyle name="20% - Colore 6 9" xfId="860" xr:uid="{00000000-0005-0000-0000-000082020000}"/>
    <cellStyle name="20% - Colore 6 9 2" xfId="861" xr:uid="{00000000-0005-0000-0000-000083020000}"/>
    <cellStyle name="20% - Colore 6 9 3" xfId="862" xr:uid="{00000000-0005-0000-0000-000084020000}"/>
    <cellStyle name="20% - Colore 6_Dummy RTS EY+CCF 20100818" xfId="863" xr:uid="{00000000-0005-0000-0000-000085020000}"/>
    <cellStyle name="20% - Cor1" xfId="864" xr:uid="{00000000-0005-0000-0000-000086020000}"/>
    <cellStyle name="20% - Cor1 2" xfId="865" xr:uid="{00000000-0005-0000-0000-000087020000}"/>
    <cellStyle name="20% - Cor2" xfId="866" xr:uid="{00000000-0005-0000-0000-000088020000}"/>
    <cellStyle name="20% - Cor2 2" xfId="867" xr:uid="{00000000-0005-0000-0000-000089020000}"/>
    <cellStyle name="20% - Cor3" xfId="868" xr:uid="{00000000-0005-0000-0000-00008A020000}"/>
    <cellStyle name="20% - Cor3 2" xfId="869" xr:uid="{00000000-0005-0000-0000-00008B020000}"/>
    <cellStyle name="20% - Cor4" xfId="870" xr:uid="{00000000-0005-0000-0000-00008C020000}"/>
    <cellStyle name="20% - Cor4 2" xfId="871" xr:uid="{00000000-0005-0000-0000-00008D020000}"/>
    <cellStyle name="20% - Cor5" xfId="872" xr:uid="{00000000-0005-0000-0000-00008E020000}"/>
    <cellStyle name="20% - Cor5 2" xfId="873" xr:uid="{00000000-0005-0000-0000-00008F020000}"/>
    <cellStyle name="20% - Cor6" xfId="874" xr:uid="{00000000-0005-0000-0000-000090020000}"/>
    <cellStyle name="20% - Cor6 2" xfId="875" xr:uid="{00000000-0005-0000-0000-000091020000}"/>
    <cellStyle name="20% - Énfasis1" xfId="876" xr:uid="{00000000-0005-0000-0000-000092020000}"/>
    <cellStyle name="20% - Énfasis2" xfId="877" xr:uid="{00000000-0005-0000-0000-000093020000}"/>
    <cellStyle name="20% - Énfasis3" xfId="878" xr:uid="{00000000-0005-0000-0000-000094020000}"/>
    <cellStyle name="20% - Énfasis4" xfId="879" xr:uid="{00000000-0005-0000-0000-000095020000}"/>
    <cellStyle name="20% - Énfasis5" xfId="880" xr:uid="{00000000-0005-0000-0000-000096020000}"/>
    <cellStyle name="20% - Énfasis6" xfId="881" xr:uid="{00000000-0005-0000-0000-000097020000}"/>
    <cellStyle name="40 % - Aksentti1" xfId="26" xr:uid="{00000000-0005-0000-0000-000098020000}"/>
    <cellStyle name="40 % - Aksentti1 10" xfId="882" xr:uid="{00000000-0005-0000-0000-000099020000}"/>
    <cellStyle name="40 % - Aksentti1 2" xfId="883" xr:uid="{00000000-0005-0000-0000-00009A020000}"/>
    <cellStyle name="40 % - Aksentti1 2 2" xfId="884" xr:uid="{00000000-0005-0000-0000-00009B020000}"/>
    <cellStyle name="40 % - Aksentti1 2 3" xfId="885" xr:uid="{00000000-0005-0000-0000-00009C020000}"/>
    <cellStyle name="40 % - Aksentti1 3" xfId="886" xr:uid="{00000000-0005-0000-0000-00009D020000}"/>
    <cellStyle name="40 % - Aksentti1 3 2" xfId="887" xr:uid="{00000000-0005-0000-0000-00009E020000}"/>
    <cellStyle name="40 % - Aksentti1 4" xfId="888" xr:uid="{00000000-0005-0000-0000-00009F020000}"/>
    <cellStyle name="40 % - Aksentti1 4 2" xfId="889" xr:uid="{00000000-0005-0000-0000-0000A0020000}"/>
    <cellStyle name="40 % - Aksentti1 5" xfId="890" xr:uid="{00000000-0005-0000-0000-0000A1020000}"/>
    <cellStyle name="40 % - Aksentti1 5 2" xfId="891" xr:uid="{00000000-0005-0000-0000-0000A2020000}"/>
    <cellStyle name="40 % - Aksentti1 6" xfId="892" xr:uid="{00000000-0005-0000-0000-0000A3020000}"/>
    <cellStyle name="40 % - Aksentti1 6 2" xfId="893" xr:uid="{00000000-0005-0000-0000-0000A4020000}"/>
    <cellStyle name="40 % - Aksentti1 7" xfId="894" xr:uid="{00000000-0005-0000-0000-0000A5020000}"/>
    <cellStyle name="40 % - Aksentti1 7 2" xfId="895" xr:uid="{00000000-0005-0000-0000-0000A6020000}"/>
    <cellStyle name="40 % - Aksentti1 8" xfId="896" xr:uid="{00000000-0005-0000-0000-0000A7020000}"/>
    <cellStyle name="40 % - Aksentti1 8 2" xfId="897" xr:uid="{00000000-0005-0000-0000-0000A8020000}"/>
    <cellStyle name="40 % - Aksentti1 9" xfId="898" xr:uid="{00000000-0005-0000-0000-0000A9020000}"/>
    <cellStyle name="40 % - Aksentti1 9 2" xfId="899" xr:uid="{00000000-0005-0000-0000-0000AA020000}"/>
    <cellStyle name="40 % - Aksentti1 9 3" xfId="900" xr:uid="{00000000-0005-0000-0000-0000AB020000}"/>
    <cellStyle name="40 % - Aksentti1_Dummy RTS EY+CCF 20100818" xfId="901" xr:uid="{00000000-0005-0000-0000-0000AC020000}"/>
    <cellStyle name="40 % - Aksentti2" xfId="27" xr:uid="{00000000-0005-0000-0000-0000AD020000}"/>
    <cellStyle name="40 % - Aksentti2 10" xfId="902" xr:uid="{00000000-0005-0000-0000-0000AE020000}"/>
    <cellStyle name="40 % - Aksentti2 2" xfId="903" xr:uid="{00000000-0005-0000-0000-0000AF020000}"/>
    <cellStyle name="40 % - Aksentti2 2 2" xfId="904" xr:uid="{00000000-0005-0000-0000-0000B0020000}"/>
    <cellStyle name="40 % - Aksentti2 2 3" xfId="905" xr:uid="{00000000-0005-0000-0000-0000B1020000}"/>
    <cellStyle name="40 % - Aksentti2 3" xfId="906" xr:uid="{00000000-0005-0000-0000-0000B2020000}"/>
    <cellStyle name="40 % - Aksentti2 3 2" xfId="907" xr:uid="{00000000-0005-0000-0000-0000B3020000}"/>
    <cellStyle name="40 % - Aksentti2 4" xfId="908" xr:uid="{00000000-0005-0000-0000-0000B4020000}"/>
    <cellStyle name="40 % - Aksentti2 4 2" xfId="909" xr:uid="{00000000-0005-0000-0000-0000B5020000}"/>
    <cellStyle name="40 % - Aksentti2 5" xfId="910" xr:uid="{00000000-0005-0000-0000-0000B6020000}"/>
    <cellStyle name="40 % - Aksentti2 5 2" xfId="911" xr:uid="{00000000-0005-0000-0000-0000B7020000}"/>
    <cellStyle name="40 % - Aksentti2 6" xfId="912" xr:uid="{00000000-0005-0000-0000-0000B8020000}"/>
    <cellStyle name="40 % - Aksentti2 6 2" xfId="913" xr:uid="{00000000-0005-0000-0000-0000B9020000}"/>
    <cellStyle name="40 % - Aksentti2 7" xfId="914" xr:uid="{00000000-0005-0000-0000-0000BA020000}"/>
    <cellStyle name="40 % - Aksentti2 7 2" xfId="915" xr:uid="{00000000-0005-0000-0000-0000BB020000}"/>
    <cellStyle name="40 % - Aksentti2 8" xfId="916" xr:uid="{00000000-0005-0000-0000-0000BC020000}"/>
    <cellStyle name="40 % - Aksentti2 8 2" xfId="917" xr:uid="{00000000-0005-0000-0000-0000BD020000}"/>
    <cellStyle name="40 % - Aksentti2 9" xfId="918" xr:uid="{00000000-0005-0000-0000-0000BE020000}"/>
    <cellStyle name="40 % - Aksentti2 9 2" xfId="919" xr:uid="{00000000-0005-0000-0000-0000BF020000}"/>
    <cellStyle name="40 % - Aksentti2 9 3" xfId="920" xr:uid="{00000000-0005-0000-0000-0000C0020000}"/>
    <cellStyle name="40 % - Aksentti2_Dummy RTS EY+CCF 20100818" xfId="921" xr:uid="{00000000-0005-0000-0000-0000C1020000}"/>
    <cellStyle name="40 % - Aksentti3" xfId="28" xr:uid="{00000000-0005-0000-0000-0000C2020000}"/>
    <cellStyle name="40 % - Aksentti3 10" xfId="922" xr:uid="{00000000-0005-0000-0000-0000C3020000}"/>
    <cellStyle name="40 % - Aksentti3 2" xfId="923" xr:uid="{00000000-0005-0000-0000-0000C4020000}"/>
    <cellStyle name="40 % - Aksentti3 2 2" xfId="924" xr:uid="{00000000-0005-0000-0000-0000C5020000}"/>
    <cellStyle name="40 % - Aksentti3 2 3" xfId="925" xr:uid="{00000000-0005-0000-0000-0000C6020000}"/>
    <cellStyle name="40 % - Aksentti3 3" xfId="926" xr:uid="{00000000-0005-0000-0000-0000C7020000}"/>
    <cellStyle name="40 % - Aksentti3 3 2" xfId="927" xr:uid="{00000000-0005-0000-0000-0000C8020000}"/>
    <cellStyle name="40 % - Aksentti3 4" xfId="928" xr:uid="{00000000-0005-0000-0000-0000C9020000}"/>
    <cellStyle name="40 % - Aksentti3 4 2" xfId="929" xr:uid="{00000000-0005-0000-0000-0000CA020000}"/>
    <cellStyle name="40 % - Aksentti3 5" xfId="930" xr:uid="{00000000-0005-0000-0000-0000CB020000}"/>
    <cellStyle name="40 % - Aksentti3 5 2" xfId="931" xr:uid="{00000000-0005-0000-0000-0000CC020000}"/>
    <cellStyle name="40 % - Aksentti3 6" xfId="932" xr:uid="{00000000-0005-0000-0000-0000CD020000}"/>
    <cellStyle name="40 % - Aksentti3 6 2" xfId="933" xr:uid="{00000000-0005-0000-0000-0000CE020000}"/>
    <cellStyle name="40 % - Aksentti3 7" xfId="934" xr:uid="{00000000-0005-0000-0000-0000CF020000}"/>
    <cellStyle name="40 % - Aksentti3 7 2" xfId="935" xr:uid="{00000000-0005-0000-0000-0000D0020000}"/>
    <cellStyle name="40 % - Aksentti3 8" xfId="936" xr:uid="{00000000-0005-0000-0000-0000D1020000}"/>
    <cellStyle name="40 % - Aksentti3 8 2" xfId="937" xr:uid="{00000000-0005-0000-0000-0000D2020000}"/>
    <cellStyle name="40 % - Aksentti3 9" xfId="938" xr:uid="{00000000-0005-0000-0000-0000D3020000}"/>
    <cellStyle name="40 % - Aksentti3 9 2" xfId="939" xr:uid="{00000000-0005-0000-0000-0000D4020000}"/>
    <cellStyle name="40 % - Aksentti3 9 3" xfId="940" xr:uid="{00000000-0005-0000-0000-0000D5020000}"/>
    <cellStyle name="40 % - Aksentti3_Dummy RTS EY+CCF 20100818" xfId="941" xr:uid="{00000000-0005-0000-0000-0000D6020000}"/>
    <cellStyle name="40 % - Aksentti4" xfId="29" xr:uid="{00000000-0005-0000-0000-0000D7020000}"/>
    <cellStyle name="40 % - Aksentti4 10" xfId="942" xr:uid="{00000000-0005-0000-0000-0000D8020000}"/>
    <cellStyle name="40 % - Aksentti4 2" xfId="943" xr:uid="{00000000-0005-0000-0000-0000D9020000}"/>
    <cellStyle name="40 % - Aksentti4 2 2" xfId="944" xr:uid="{00000000-0005-0000-0000-0000DA020000}"/>
    <cellStyle name="40 % - Aksentti4 2 3" xfId="945" xr:uid="{00000000-0005-0000-0000-0000DB020000}"/>
    <cellStyle name="40 % - Aksentti4 3" xfId="946" xr:uid="{00000000-0005-0000-0000-0000DC020000}"/>
    <cellStyle name="40 % - Aksentti4 3 2" xfId="947" xr:uid="{00000000-0005-0000-0000-0000DD020000}"/>
    <cellStyle name="40 % - Aksentti4 4" xfId="948" xr:uid="{00000000-0005-0000-0000-0000DE020000}"/>
    <cellStyle name="40 % - Aksentti4 4 2" xfId="949" xr:uid="{00000000-0005-0000-0000-0000DF020000}"/>
    <cellStyle name="40 % - Aksentti4 5" xfId="950" xr:uid="{00000000-0005-0000-0000-0000E0020000}"/>
    <cellStyle name="40 % - Aksentti4 5 2" xfId="951" xr:uid="{00000000-0005-0000-0000-0000E1020000}"/>
    <cellStyle name="40 % - Aksentti4 6" xfId="952" xr:uid="{00000000-0005-0000-0000-0000E2020000}"/>
    <cellStyle name="40 % - Aksentti4 6 2" xfId="953" xr:uid="{00000000-0005-0000-0000-0000E3020000}"/>
    <cellStyle name="40 % - Aksentti4 7" xfId="954" xr:uid="{00000000-0005-0000-0000-0000E4020000}"/>
    <cellStyle name="40 % - Aksentti4 7 2" xfId="955" xr:uid="{00000000-0005-0000-0000-0000E5020000}"/>
    <cellStyle name="40 % - Aksentti4 8" xfId="956" xr:uid="{00000000-0005-0000-0000-0000E6020000}"/>
    <cellStyle name="40 % - Aksentti4 8 2" xfId="957" xr:uid="{00000000-0005-0000-0000-0000E7020000}"/>
    <cellStyle name="40 % - Aksentti4 9" xfId="958" xr:uid="{00000000-0005-0000-0000-0000E8020000}"/>
    <cellStyle name="40 % - Aksentti4 9 2" xfId="959" xr:uid="{00000000-0005-0000-0000-0000E9020000}"/>
    <cellStyle name="40 % - Aksentti4 9 3" xfId="960" xr:uid="{00000000-0005-0000-0000-0000EA020000}"/>
    <cellStyle name="40 % - Aksentti4_Dummy RTS EY+CCF 20100818" xfId="961" xr:uid="{00000000-0005-0000-0000-0000EB020000}"/>
    <cellStyle name="40 % - Aksentti5" xfId="30" xr:uid="{00000000-0005-0000-0000-0000EC020000}"/>
    <cellStyle name="40 % - Aksentti5 10" xfId="962" xr:uid="{00000000-0005-0000-0000-0000ED020000}"/>
    <cellStyle name="40 % - Aksentti5 2" xfId="963" xr:uid="{00000000-0005-0000-0000-0000EE020000}"/>
    <cellStyle name="40 % - Aksentti5 2 2" xfId="964" xr:uid="{00000000-0005-0000-0000-0000EF020000}"/>
    <cellStyle name="40 % - Aksentti5 2 3" xfId="965" xr:uid="{00000000-0005-0000-0000-0000F0020000}"/>
    <cellStyle name="40 % - Aksentti5 3" xfId="966" xr:uid="{00000000-0005-0000-0000-0000F1020000}"/>
    <cellStyle name="40 % - Aksentti5 3 2" xfId="967" xr:uid="{00000000-0005-0000-0000-0000F2020000}"/>
    <cellStyle name="40 % - Aksentti5 4" xfId="968" xr:uid="{00000000-0005-0000-0000-0000F3020000}"/>
    <cellStyle name="40 % - Aksentti5 4 2" xfId="969" xr:uid="{00000000-0005-0000-0000-0000F4020000}"/>
    <cellStyle name="40 % - Aksentti5 5" xfId="970" xr:uid="{00000000-0005-0000-0000-0000F5020000}"/>
    <cellStyle name="40 % - Aksentti5 5 2" xfId="971" xr:uid="{00000000-0005-0000-0000-0000F6020000}"/>
    <cellStyle name="40 % - Aksentti5 6" xfId="972" xr:uid="{00000000-0005-0000-0000-0000F7020000}"/>
    <cellStyle name="40 % - Aksentti5 6 2" xfId="973" xr:uid="{00000000-0005-0000-0000-0000F8020000}"/>
    <cellStyle name="40 % - Aksentti5 7" xfId="974" xr:uid="{00000000-0005-0000-0000-0000F9020000}"/>
    <cellStyle name="40 % - Aksentti5 7 2" xfId="975" xr:uid="{00000000-0005-0000-0000-0000FA020000}"/>
    <cellStyle name="40 % - Aksentti5 8" xfId="976" xr:uid="{00000000-0005-0000-0000-0000FB020000}"/>
    <cellStyle name="40 % - Aksentti5 8 2" xfId="977" xr:uid="{00000000-0005-0000-0000-0000FC020000}"/>
    <cellStyle name="40 % - Aksentti5 9" xfId="978" xr:uid="{00000000-0005-0000-0000-0000FD020000}"/>
    <cellStyle name="40 % - Aksentti5 9 2" xfId="979" xr:uid="{00000000-0005-0000-0000-0000FE020000}"/>
    <cellStyle name="40 % - Aksentti5 9 3" xfId="980" xr:uid="{00000000-0005-0000-0000-0000FF020000}"/>
    <cellStyle name="40 % - Aksentti5_Dummy RTS EY+CCF 20100818" xfId="981" xr:uid="{00000000-0005-0000-0000-000000030000}"/>
    <cellStyle name="40 % - Aksentti6" xfId="31" xr:uid="{00000000-0005-0000-0000-000001030000}"/>
    <cellStyle name="40 % - Aksentti6 10" xfId="982" xr:uid="{00000000-0005-0000-0000-000002030000}"/>
    <cellStyle name="40 % - Aksentti6 2" xfId="983" xr:uid="{00000000-0005-0000-0000-000003030000}"/>
    <cellStyle name="40 % - Aksentti6 2 2" xfId="984" xr:uid="{00000000-0005-0000-0000-000004030000}"/>
    <cellStyle name="40 % - Aksentti6 2 3" xfId="985" xr:uid="{00000000-0005-0000-0000-000005030000}"/>
    <cellStyle name="40 % - Aksentti6 3" xfId="986" xr:uid="{00000000-0005-0000-0000-000006030000}"/>
    <cellStyle name="40 % - Aksentti6 3 2" xfId="987" xr:uid="{00000000-0005-0000-0000-000007030000}"/>
    <cellStyle name="40 % - Aksentti6 4" xfId="988" xr:uid="{00000000-0005-0000-0000-000008030000}"/>
    <cellStyle name="40 % - Aksentti6 4 2" xfId="989" xr:uid="{00000000-0005-0000-0000-000009030000}"/>
    <cellStyle name="40 % - Aksentti6 5" xfId="990" xr:uid="{00000000-0005-0000-0000-00000A030000}"/>
    <cellStyle name="40 % - Aksentti6 5 2" xfId="991" xr:uid="{00000000-0005-0000-0000-00000B030000}"/>
    <cellStyle name="40 % - Aksentti6 6" xfId="992" xr:uid="{00000000-0005-0000-0000-00000C030000}"/>
    <cellStyle name="40 % - Aksentti6 6 2" xfId="993" xr:uid="{00000000-0005-0000-0000-00000D030000}"/>
    <cellStyle name="40 % - Aksentti6 7" xfId="994" xr:uid="{00000000-0005-0000-0000-00000E030000}"/>
    <cellStyle name="40 % - Aksentti6 7 2" xfId="995" xr:uid="{00000000-0005-0000-0000-00000F030000}"/>
    <cellStyle name="40 % - Aksentti6 8" xfId="996" xr:uid="{00000000-0005-0000-0000-000010030000}"/>
    <cellStyle name="40 % - Aksentti6 8 2" xfId="997" xr:uid="{00000000-0005-0000-0000-000011030000}"/>
    <cellStyle name="40 % - Aksentti6 9" xfId="998" xr:uid="{00000000-0005-0000-0000-000012030000}"/>
    <cellStyle name="40 % - Aksentti6 9 2" xfId="999" xr:uid="{00000000-0005-0000-0000-000013030000}"/>
    <cellStyle name="40 % - Aksentti6 9 3" xfId="1000" xr:uid="{00000000-0005-0000-0000-000014030000}"/>
    <cellStyle name="40 % - Aksentti6_Dummy RTS EY+CCF 20100818" xfId="1001" xr:uid="{00000000-0005-0000-0000-000015030000}"/>
    <cellStyle name="40 % - Accent1" xfId="32" xr:uid="{00000000-0005-0000-0000-000016030000}"/>
    <cellStyle name="40 % - Accent1 2" xfId="1002" xr:uid="{00000000-0005-0000-0000-000017030000}"/>
    <cellStyle name="40 % - Accent1 2 2" xfId="1003" xr:uid="{00000000-0005-0000-0000-000018030000}"/>
    <cellStyle name="40 % - Accent1 3" xfId="1004" xr:uid="{00000000-0005-0000-0000-000019030000}"/>
    <cellStyle name="40 % - Accent1 4" xfId="1005" xr:uid="{00000000-0005-0000-0000-00001A030000}"/>
    <cellStyle name="40 % - Accent2" xfId="33" xr:uid="{00000000-0005-0000-0000-00001B030000}"/>
    <cellStyle name="40 % - Accent2 2" xfId="1006" xr:uid="{00000000-0005-0000-0000-00001C030000}"/>
    <cellStyle name="40 % - Accent2 2 2" xfId="1007" xr:uid="{00000000-0005-0000-0000-00001D030000}"/>
    <cellStyle name="40 % - Accent2 3" xfId="1008" xr:uid="{00000000-0005-0000-0000-00001E030000}"/>
    <cellStyle name="40 % - Accent2 4" xfId="1009" xr:uid="{00000000-0005-0000-0000-00001F030000}"/>
    <cellStyle name="40 % - Accent3" xfId="34" xr:uid="{00000000-0005-0000-0000-000020030000}"/>
    <cellStyle name="40 % - Accent3 2" xfId="1010" xr:uid="{00000000-0005-0000-0000-000021030000}"/>
    <cellStyle name="40 % - Accent3 2 2" xfId="1011" xr:uid="{00000000-0005-0000-0000-000022030000}"/>
    <cellStyle name="40 % - Accent3 3" xfId="1012" xr:uid="{00000000-0005-0000-0000-000023030000}"/>
    <cellStyle name="40 % - Accent3 4" xfId="1013" xr:uid="{00000000-0005-0000-0000-000024030000}"/>
    <cellStyle name="40 % - Accent4" xfId="35" xr:uid="{00000000-0005-0000-0000-000025030000}"/>
    <cellStyle name="40 % - Accent4 2" xfId="1014" xr:uid="{00000000-0005-0000-0000-000026030000}"/>
    <cellStyle name="40 % - Accent4 2 2" xfId="1015" xr:uid="{00000000-0005-0000-0000-000027030000}"/>
    <cellStyle name="40 % - Accent4 3" xfId="1016" xr:uid="{00000000-0005-0000-0000-000028030000}"/>
    <cellStyle name="40 % - Accent4 4" xfId="1017" xr:uid="{00000000-0005-0000-0000-000029030000}"/>
    <cellStyle name="40 % - Accent5" xfId="36" xr:uid="{00000000-0005-0000-0000-00002A030000}"/>
    <cellStyle name="40 % - Accent5 2" xfId="1018" xr:uid="{00000000-0005-0000-0000-00002B030000}"/>
    <cellStyle name="40 % - Accent5 2 2" xfId="1019" xr:uid="{00000000-0005-0000-0000-00002C030000}"/>
    <cellStyle name="40 % - Accent5 3" xfId="1020" xr:uid="{00000000-0005-0000-0000-00002D030000}"/>
    <cellStyle name="40 % - Accent5 4" xfId="1021" xr:uid="{00000000-0005-0000-0000-00002E030000}"/>
    <cellStyle name="40 % - Accent6" xfId="37" xr:uid="{00000000-0005-0000-0000-00002F030000}"/>
    <cellStyle name="40 % - Accent6 2" xfId="1022" xr:uid="{00000000-0005-0000-0000-000030030000}"/>
    <cellStyle name="40 % - Accent6 2 2" xfId="1023" xr:uid="{00000000-0005-0000-0000-000031030000}"/>
    <cellStyle name="40 % - Accent6 3" xfId="1024" xr:uid="{00000000-0005-0000-0000-000032030000}"/>
    <cellStyle name="40 % - Accent6 4" xfId="1025" xr:uid="{00000000-0005-0000-0000-000033030000}"/>
    <cellStyle name="40% - 1. jelölőszín" xfId="1026" xr:uid="{00000000-0005-0000-0000-000034030000}"/>
    <cellStyle name="40% - 1. jelölőszín 2" xfId="1027" xr:uid="{00000000-0005-0000-0000-000035030000}"/>
    <cellStyle name="40% - 1. jelölőszín 2 2" xfId="1028" xr:uid="{00000000-0005-0000-0000-000036030000}"/>
    <cellStyle name="40% - 1. jelölőszín 3" xfId="1029" xr:uid="{00000000-0005-0000-0000-000037030000}"/>
    <cellStyle name="40% - 1. jelölőszín 4" xfId="1030" xr:uid="{00000000-0005-0000-0000-000038030000}"/>
    <cellStyle name="40% - 1. jelölőszín 5" xfId="1031" xr:uid="{00000000-0005-0000-0000-000039030000}"/>
    <cellStyle name="40% - 1. jelölőszín_Procesplaat tbv QRT rapportage" xfId="1032" xr:uid="{00000000-0005-0000-0000-00003A030000}"/>
    <cellStyle name="40% - 2. jelölőszín" xfId="1033" xr:uid="{00000000-0005-0000-0000-00003B030000}"/>
    <cellStyle name="40% - 2. jelölőszín 2" xfId="1034" xr:uid="{00000000-0005-0000-0000-00003C030000}"/>
    <cellStyle name="40% - 2. jelölőszín 2 2" xfId="1035" xr:uid="{00000000-0005-0000-0000-00003D030000}"/>
    <cellStyle name="40% - 2. jelölőszín 3" xfId="1036" xr:uid="{00000000-0005-0000-0000-00003E030000}"/>
    <cellStyle name="40% - 2. jelölőszín 4" xfId="1037" xr:uid="{00000000-0005-0000-0000-00003F030000}"/>
    <cellStyle name="40% - 2. jelölőszín 5" xfId="1038" xr:uid="{00000000-0005-0000-0000-000040030000}"/>
    <cellStyle name="40% - 2. jelölőszín_Procesplaat tbv QRT rapportage" xfId="1039" xr:uid="{00000000-0005-0000-0000-000041030000}"/>
    <cellStyle name="40% - 3. jelölőszín" xfId="1040" xr:uid="{00000000-0005-0000-0000-000042030000}"/>
    <cellStyle name="40% - 3. jelölőszín 2" xfId="1041" xr:uid="{00000000-0005-0000-0000-000043030000}"/>
    <cellStyle name="40% - 3. jelölőszín 2 2" xfId="1042" xr:uid="{00000000-0005-0000-0000-000044030000}"/>
    <cellStyle name="40% - 3. jelölőszín 3" xfId="1043" xr:uid="{00000000-0005-0000-0000-000045030000}"/>
    <cellStyle name="40% - 3. jelölőszín 4" xfId="1044" xr:uid="{00000000-0005-0000-0000-000046030000}"/>
    <cellStyle name="40% - 3. jelölőszín 5" xfId="1045" xr:uid="{00000000-0005-0000-0000-000047030000}"/>
    <cellStyle name="40% - 3. jelölőszín_Procesplaat tbv QRT rapportage" xfId="1046" xr:uid="{00000000-0005-0000-0000-000048030000}"/>
    <cellStyle name="40% - 4. jelölőszín" xfId="1047" xr:uid="{00000000-0005-0000-0000-000049030000}"/>
    <cellStyle name="40% - 4. jelölőszín 2" xfId="1048" xr:uid="{00000000-0005-0000-0000-00004A030000}"/>
    <cellStyle name="40% - 4. jelölőszín 2 2" xfId="1049" xr:uid="{00000000-0005-0000-0000-00004B030000}"/>
    <cellStyle name="40% - 4. jelölőszín 3" xfId="1050" xr:uid="{00000000-0005-0000-0000-00004C030000}"/>
    <cellStyle name="40% - 4. jelölőszín 4" xfId="1051" xr:uid="{00000000-0005-0000-0000-00004D030000}"/>
    <cellStyle name="40% - 4. jelölőszín 5" xfId="1052" xr:uid="{00000000-0005-0000-0000-00004E030000}"/>
    <cellStyle name="40% - 4. jelölőszín_Procesplaat tbv QRT rapportage" xfId="1053" xr:uid="{00000000-0005-0000-0000-00004F030000}"/>
    <cellStyle name="40% - 5. jelölőszín" xfId="1054" xr:uid="{00000000-0005-0000-0000-000050030000}"/>
    <cellStyle name="40% - 5. jelölőszín 2" xfId="1055" xr:uid="{00000000-0005-0000-0000-000051030000}"/>
    <cellStyle name="40% - 5. jelölőszín 2 2" xfId="1056" xr:uid="{00000000-0005-0000-0000-000052030000}"/>
    <cellStyle name="40% - 5. jelölőszín 3" xfId="1057" xr:uid="{00000000-0005-0000-0000-000053030000}"/>
    <cellStyle name="40% - 5. jelölőszín 4" xfId="1058" xr:uid="{00000000-0005-0000-0000-000054030000}"/>
    <cellStyle name="40% - 5. jelölőszín 5" xfId="1059" xr:uid="{00000000-0005-0000-0000-000055030000}"/>
    <cellStyle name="40% - 5. jelölőszín_Procesplaat tbv QRT rapportage" xfId="1060" xr:uid="{00000000-0005-0000-0000-000056030000}"/>
    <cellStyle name="40% - 6. jelölőszín" xfId="1061" xr:uid="{00000000-0005-0000-0000-000057030000}"/>
    <cellStyle name="40% - 6. jelölőszín 2" xfId="1062" xr:uid="{00000000-0005-0000-0000-000058030000}"/>
    <cellStyle name="40% - 6. jelölőszín 2 2" xfId="1063" xr:uid="{00000000-0005-0000-0000-000059030000}"/>
    <cellStyle name="40% - 6. jelölőszín 3" xfId="1064" xr:uid="{00000000-0005-0000-0000-00005A030000}"/>
    <cellStyle name="40% - 6. jelölőszín 4" xfId="1065" xr:uid="{00000000-0005-0000-0000-00005B030000}"/>
    <cellStyle name="40% - 6. jelölőszín 5" xfId="1066" xr:uid="{00000000-0005-0000-0000-00005C030000}"/>
    <cellStyle name="40% - 6. jelölőszín_Procesplaat tbv QRT rapportage" xfId="1067" xr:uid="{00000000-0005-0000-0000-00005D030000}"/>
    <cellStyle name="40% - Accent1" xfId="38" builtinId="31" customBuiltin="1"/>
    <cellStyle name="40% - Accent1 10" xfId="1068" xr:uid="{00000000-0005-0000-0000-00005F030000}"/>
    <cellStyle name="40% - Accent1 11" xfId="1069" xr:uid="{00000000-0005-0000-0000-000060030000}"/>
    <cellStyle name="40% - Accent1 12" xfId="1070" xr:uid="{00000000-0005-0000-0000-000061030000}"/>
    <cellStyle name="40% - Accent1 13" xfId="1071" xr:uid="{00000000-0005-0000-0000-000062030000}"/>
    <cellStyle name="40% - Accent1 14" xfId="1072" xr:uid="{00000000-0005-0000-0000-000063030000}"/>
    <cellStyle name="40% - Accent1 15" xfId="1073" xr:uid="{00000000-0005-0000-0000-000064030000}"/>
    <cellStyle name="40% - Accent1 16" xfId="1074" xr:uid="{00000000-0005-0000-0000-000065030000}"/>
    <cellStyle name="40% - Accent1 17" xfId="1075" xr:uid="{00000000-0005-0000-0000-000066030000}"/>
    <cellStyle name="40% - Accent1 18" xfId="1076" xr:uid="{00000000-0005-0000-0000-000067030000}"/>
    <cellStyle name="40% - Accent1 19" xfId="1077" xr:uid="{00000000-0005-0000-0000-000068030000}"/>
    <cellStyle name="40% - Accent1 2" xfId="194" xr:uid="{00000000-0005-0000-0000-000069030000}"/>
    <cellStyle name="40% - Accent1 2 2" xfId="1078" xr:uid="{00000000-0005-0000-0000-00006A030000}"/>
    <cellStyle name="40% - Accent1 2 3" xfId="1079" xr:uid="{00000000-0005-0000-0000-00006B030000}"/>
    <cellStyle name="40% - Accent1 20" xfId="1080" xr:uid="{00000000-0005-0000-0000-00006C030000}"/>
    <cellStyle name="40% - Accent1 21" xfId="1081" xr:uid="{00000000-0005-0000-0000-00006D030000}"/>
    <cellStyle name="40% - Accent1 22" xfId="1082" xr:uid="{00000000-0005-0000-0000-00006E030000}"/>
    <cellStyle name="40% - Accent1 23" xfId="1083" xr:uid="{00000000-0005-0000-0000-00006F030000}"/>
    <cellStyle name="40% - Accent1 24" xfId="1084" xr:uid="{00000000-0005-0000-0000-000070030000}"/>
    <cellStyle name="40% - Accent1 25" xfId="1085" xr:uid="{00000000-0005-0000-0000-000071030000}"/>
    <cellStyle name="40% - Accent1 26" xfId="1086" xr:uid="{00000000-0005-0000-0000-000072030000}"/>
    <cellStyle name="40% - Accent1 27" xfId="1087" xr:uid="{00000000-0005-0000-0000-000073030000}"/>
    <cellStyle name="40% - Accent1 28" xfId="1088" xr:uid="{00000000-0005-0000-0000-000074030000}"/>
    <cellStyle name="40% - Accent1 29" xfId="1089" xr:uid="{00000000-0005-0000-0000-000075030000}"/>
    <cellStyle name="40% - Accent1 3" xfId="1090" xr:uid="{00000000-0005-0000-0000-000076030000}"/>
    <cellStyle name="40% - Accent1 3 2" xfId="1091" xr:uid="{00000000-0005-0000-0000-000077030000}"/>
    <cellStyle name="40% - Accent1 30" xfId="1092" xr:uid="{00000000-0005-0000-0000-000078030000}"/>
    <cellStyle name="40% - Accent1 31" xfId="1093" xr:uid="{00000000-0005-0000-0000-000079030000}"/>
    <cellStyle name="40% - Accent1 32" xfId="1094" xr:uid="{00000000-0005-0000-0000-00007A030000}"/>
    <cellStyle name="40% - Accent1 33" xfId="1095" xr:uid="{00000000-0005-0000-0000-00007B030000}"/>
    <cellStyle name="40% - Accent1 34" xfId="1096" xr:uid="{00000000-0005-0000-0000-00007C030000}"/>
    <cellStyle name="40% - Accent1 35" xfId="1097" xr:uid="{00000000-0005-0000-0000-00007D030000}"/>
    <cellStyle name="40% - Accent1 36" xfId="1098" xr:uid="{00000000-0005-0000-0000-00007E030000}"/>
    <cellStyle name="40% - Accent1 37" xfId="1099" xr:uid="{00000000-0005-0000-0000-00007F030000}"/>
    <cellStyle name="40% - Accent1 38" xfId="1100" xr:uid="{00000000-0005-0000-0000-000080030000}"/>
    <cellStyle name="40% - Accent1 39" xfId="1101" xr:uid="{00000000-0005-0000-0000-000081030000}"/>
    <cellStyle name="40% - Accent1 4" xfId="1102" xr:uid="{00000000-0005-0000-0000-000082030000}"/>
    <cellStyle name="40% - Accent1 4 2" xfId="1103" xr:uid="{00000000-0005-0000-0000-000083030000}"/>
    <cellStyle name="40% - Accent1 40" xfId="1104" xr:uid="{00000000-0005-0000-0000-000084030000}"/>
    <cellStyle name="40% - Accent1 41" xfId="1105" xr:uid="{00000000-0005-0000-0000-000085030000}"/>
    <cellStyle name="40% - Accent1 42" xfId="1106" xr:uid="{00000000-0005-0000-0000-000086030000}"/>
    <cellStyle name="40% - Accent1 5" xfId="1107" xr:uid="{00000000-0005-0000-0000-000087030000}"/>
    <cellStyle name="40% - Accent1 5 2" xfId="1108" xr:uid="{00000000-0005-0000-0000-000088030000}"/>
    <cellStyle name="40% - Accent1 6" xfId="1109" xr:uid="{00000000-0005-0000-0000-000089030000}"/>
    <cellStyle name="40% - Accent1 6 2" xfId="1110" xr:uid="{00000000-0005-0000-0000-00008A030000}"/>
    <cellStyle name="40% - Accent1 7" xfId="1111" xr:uid="{00000000-0005-0000-0000-00008B030000}"/>
    <cellStyle name="40% - Accent1 7 2" xfId="1112" xr:uid="{00000000-0005-0000-0000-00008C030000}"/>
    <cellStyle name="40% - Accent1 8" xfId="1113" xr:uid="{00000000-0005-0000-0000-00008D030000}"/>
    <cellStyle name="40% - Accent1 8 2" xfId="1114" xr:uid="{00000000-0005-0000-0000-00008E030000}"/>
    <cellStyle name="40% - Accent1 9" xfId="1115" xr:uid="{00000000-0005-0000-0000-00008F030000}"/>
    <cellStyle name="40% - Accent1 9 2" xfId="1116" xr:uid="{00000000-0005-0000-0000-000090030000}"/>
    <cellStyle name="40% - Accent2" xfId="39" builtinId="35" customBuiltin="1"/>
    <cellStyle name="40% - Accent2 10" xfId="1117" xr:uid="{00000000-0005-0000-0000-000092030000}"/>
    <cellStyle name="40% - Accent2 11" xfId="1118" xr:uid="{00000000-0005-0000-0000-000093030000}"/>
    <cellStyle name="40% - Accent2 12" xfId="1119" xr:uid="{00000000-0005-0000-0000-000094030000}"/>
    <cellStyle name="40% - Accent2 13" xfId="1120" xr:uid="{00000000-0005-0000-0000-000095030000}"/>
    <cellStyle name="40% - Accent2 14" xfId="1121" xr:uid="{00000000-0005-0000-0000-000096030000}"/>
    <cellStyle name="40% - Accent2 15" xfId="1122" xr:uid="{00000000-0005-0000-0000-000097030000}"/>
    <cellStyle name="40% - Accent2 16" xfId="1123" xr:uid="{00000000-0005-0000-0000-000098030000}"/>
    <cellStyle name="40% - Accent2 17" xfId="1124" xr:uid="{00000000-0005-0000-0000-000099030000}"/>
    <cellStyle name="40% - Accent2 18" xfId="1125" xr:uid="{00000000-0005-0000-0000-00009A030000}"/>
    <cellStyle name="40% - Accent2 19" xfId="1126" xr:uid="{00000000-0005-0000-0000-00009B030000}"/>
    <cellStyle name="40% - Accent2 2" xfId="195" xr:uid="{00000000-0005-0000-0000-00009C030000}"/>
    <cellStyle name="40% - Accent2 2 2" xfId="1127" xr:uid="{00000000-0005-0000-0000-00009D030000}"/>
    <cellStyle name="40% - Accent2 2 3" xfId="1128" xr:uid="{00000000-0005-0000-0000-00009E030000}"/>
    <cellStyle name="40% - Accent2 20" xfId="1129" xr:uid="{00000000-0005-0000-0000-00009F030000}"/>
    <cellStyle name="40% - Accent2 21" xfId="1130" xr:uid="{00000000-0005-0000-0000-0000A0030000}"/>
    <cellStyle name="40% - Accent2 22" xfId="1131" xr:uid="{00000000-0005-0000-0000-0000A1030000}"/>
    <cellStyle name="40% - Accent2 23" xfId="1132" xr:uid="{00000000-0005-0000-0000-0000A2030000}"/>
    <cellStyle name="40% - Accent2 24" xfId="1133" xr:uid="{00000000-0005-0000-0000-0000A3030000}"/>
    <cellStyle name="40% - Accent2 25" xfId="1134" xr:uid="{00000000-0005-0000-0000-0000A4030000}"/>
    <cellStyle name="40% - Accent2 26" xfId="1135" xr:uid="{00000000-0005-0000-0000-0000A5030000}"/>
    <cellStyle name="40% - Accent2 27" xfId="1136" xr:uid="{00000000-0005-0000-0000-0000A6030000}"/>
    <cellStyle name="40% - Accent2 28" xfId="1137" xr:uid="{00000000-0005-0000-0000-0000A7030000}"/>
    <cellStyle name="40% - Accent2 29" xfId="1138" xr:uid="{00000000-0005-0000-0000-0000A8030000}"/>
    <cellStyle name="40% - Accent2 3" xfId="1139" xr:uid="{00000000-0005-0000-0000-0000A9030000}"/>
    <cellStyle name="40% - Accent2 3 2" xfId="1140" xr:uid="{00000000-0005-0000-0000-0000AA030000}"/>
    <cellStyle name="40% - Accent2 30" xfId="1141" xr:uid="{00000000-0005-0000-0000-0000AB030000}"/>
    <cellStyle name="40% - Accent2 31" xfId="1142" xr:uid="{00000000-0005-0000-0000-0000AC030000}"/>
    <cellStyle name="40% - Accent2 32" xfId="1143" xr:uid="{00000000-0005-0000-0000-0000AD030000}"/>
    <cellStyle name="40% - Accent2 33" xfId="1144" xr:uid="{00000000-0005-0000-0000-0000AE030000}"/>
    <cellStyle name="40% - Accent2 34" xfId="1145" xr:uid="{00000000-0005-0000-0000-0000AF030000}"/>
    <cellStyle name="40% - Accent2 35" xfId="1146" xr:uid="{00000000-0005-0000-0000-0000B0030000}"/>
    <cellStyle name="40% - Accent2 36" xfId="1147" xr:uid="{00000000-0005-0000-0000-0000B1030000}"/>
    <cellStyle name="40% - Accent2 37" xfId="1148" xr:uid="{00000000-0005-0000-0000-0000B2030000}"/>
    <cellStyle name="40% - Accent2 38" xfId="1149" xr:uid="{00000000-0005-0000-0000-0000B3030000}"/>
    <cellStyle name="40% - Accent2 39" xfId="1150" xr:uid="{00000000-0005-0000-0000-0000B4030000}"/>
    <cellStyle name="40% - Accent2 4" xfId="1151" xr:uid="{00000000-0005-0000-0000-0000B5030000}"/>
    <cellStyle name="40% - Accent2 4 2" xfId="1152" xr:uid="{00000000-0005-0000-0000-0000B6030000}"/>
    <cellStyle name="40% - Accent2 40" xfId="1153" xr:uid="{00000000-0005-0000-0000-0000B7030000}"/>
    <cellStyle name="40% - Accent2 41" xfId="1154" xr:uid="{00000000-0005-0000-0000-0000B8030000}"/>
    <cellStyle name="40% - Accent2 42" xfId="1155" xr:uid="{00000000-0005-0000-0000-0000B9030000}"/>
    <cellStyle name="40% - Accent2 5" xfId="1156" xr:uid="{00000000-0005-0000-0000-0000BA030000}"/>
    <cellStyle name="40% - Accent2 5 2" xfId="1157" xr:uid="{00000000-0005-0000-0000-0000BB030000}"/>
    <cellStyle name="40% - Accent2 6" xfId="1158" xr:uid="{00000000-0005-0000-0000-0000BC030000}"/>
    <cellStyle name="40% - Accent2 6 2" xfId="1159" xr:uid="{00000000-0005-0000-0000-0000BD030000}"/>
    <cellStyle name="40% - Accent2 7" xfId="1160" xr:uid="{00000000-0005-0000-0000-0000BE030000}"/>
    <cellStyle name="40% - Accent2 7 2" xfId="1161" xr:uid="{00000000-0005-0000-0000-0000BF030000}"/>
    <cellStyle name="40% - Accent2 8" xfId="1162" xr:uid="{00000000-0005-0000-0000-0000C0030000}"/>
    <cellStyle name="40% - Accent2 8 2" xfId="1163" xr:uid="{00000000-0005-0000-0000-0000C1030000}"/>
    <cellStyle name="40% - Accent2 9" xfId="1164" xr:uid="{00000000-0005-0000-0000-0000C2030000}"/>
    <cellStyle name="40% - Accent2 9 2" xfId="1165" xr:uid="{00000000-0005-0000-0000-0000C3030000}"/>
    <cellStyle name="40% - Accent3" xfId="40" builtinId="39" customBuiltin="1"/>
    <cellStyle name="40% - Accent3 10" xfId="1166" xr:uid="{00000000-0005-0000-0000-0000C5030000}"/>
    <cellStyle name="40% - Accent3 11" xfId="1167" xr:uid="{00000000-0005-0000-0000-0000C6030000}"/>
    <cellStyle name="40% - Accent3 12" xfId="1168" xr:uid="{00000000-0005-0000-0000-0000C7030000}"/>
    <cellStyle name="40% - Accent3 13" xfId="1169" xr:uid="{00000000-0005-0000-0000-0000C8030000}"/>
    <cellStyle name="40% - Accent3 14" xfId="1170" xr:uid="{00000000-0005-0000-0000-0000C9030000}"/>
    <cellStyle name="40% - Accent3 15" xfId="1171" xr:uid="{00000000-0005-0000-0000-0000CA030000}"/>
    <cellStyle name="40% - Accent3 16" xfId="1172" xr:uid="{00000000-0005-0000-0000-0000CB030000}"/>
    <cellStyle name="40% - Accent3 17" xfId="1173" xr:uid="{00000000-0005-0000-0000-0000CC030000}"/>
    <cellStyle name="40% - Accent3 18" xfId="1174" xr:uid="{00000000-0005-0000-0000-0000CD030000}"/>
    <cellStyle name="40% - Accent3 19" xfId="1175" xr:uid="{00000000-0005-0000-0000-0000CE030000}"/>
    <cellStyle name="40% - Accent3 2" xfId="196" xr:uid="{00000000-0005-0000-0000-0000CF030000}"/>
    <cellStyle name="40% - Accent3 2 2" xfId="1176" xr:uid="{00000000-0005-0000-0000-0000D0030000}"/>
    <cellStyle name="40% - Accent3 2 3" xfId="1177" xr:uid="{00000000-0005-0000-0000-0000D1030000}"/>
    <cellStyle name="40% - Accent3 20" xfId="1178" xr:uid="{00000000-0005-0000-0000-0000D2030000}"/>
    <cellStyle name="40% - Accent3 21" xfId="1179" xr:uid="{00000000-0005-0000-0000-0000D3030000}"/>
    <cellStyle name="40% - Accent3 22" xfId="1180" xr:uid="{00000000-0005-0000-0000-0000D4030000}"/>
    <cellStyle name="40% - Accent3 23" xfId="1181" xr:uid="{00000000-0005-0000-0000-0000D5030000}"/>
    <cellStyle name="40% - Accent3 24" xfId="1182" xr:uid="{00000000-0005-0000-0000-0000D6030000}"/>
    <cellStyle name="40% - Accent3 25" xfId="1183" xr:uid="{00000000-0005-0000-0000-0000D7030000}"/>
    <cellStyle name="40% - Accent3 26" xfId="1184" xr:uid="{00000000-0005-0000-0000-0000D8030000}"/>
    <cellStyle name="40% - Accent3 27" xfId="1185" xr:uid="{00000000-0005-0000-0000-0000D9030000}"/>
    <cellStyle name="40% - Accent3 28" xfId="1186" xr:uid="{00000000-0005-0000-0000-0000DA030000}"/>
    <cellStyle name="40% - Accent3 29" xfId="1187" xr:uid="{00000000-0005-0000-0000-0000DB030000}"/>
    <cellStyle name="40% - Accent3 3" xfId="1188" xr:uid="{00000000-0005-0000-0000-0000DC030000}"/>
    <cellStyle name="40% - Accent3 3 2" xfId="1189" xr:uid="{00000000-0005-0000-0000-0000DD030000}"/>
    <cellStyle name="40% - Accent3 30" xfId="1190" xr:uid="{00000000-0005-0000-0000-0000DE030000}"/>
    <cellStyle name="40% - Accent3 31" xfId="1191" xr:uid="{00000000-0005-0000-0000-0000DF030000}"/>
    <cellStyle name="40% - Accent3 32" xfId="1192" xr:uid="{00000000-0005-0000-0000-0000E0030000}"/>
    <cellStyle name="40% - Accent3 33" xfId="1193" xr:uid="{00000000-0005-0000-0000-0000E1030000}"/>
    <cellStyle name="40% - Accent3 34" xfId="1194" xr:uid="{00000000-0005-0000-0000-0000E2030000}"/>
    <cellStyle name="40% - Accent3 35" xfId="1195" xr:uid="{00000000-0005-0000-0000-0000E3030000}"/>
    <cellStyle name="40% - Accent3 36" xfId="1196" xr:uid="{00000000-0005-0000-0000-0000E4030000}"/>
    <cellStyle name="40% - Accent3 37" xfId="1197" xr:uid="{00000000-0005-0000-0000-0000E5030000}"/>
    <cellStyle name="40% - Accent3 38" xfId="1198" xr:uid="{00000000-0005-0000-0000-0000E6030000}"/>
    <cellStyle name="40% - Accent3 39" xfId="1199" xr:uid="{00000000-0005-0000-0000-0000E7030000}"/>
    <cellStyle name="40% - Accent3 4" xfId="1200" xr:uid="{00000000-0005-0000-0000-0000E8030000}"/>
    <cellStyle name="40% - Accent3 4 2" xfId="1201" xr:uid="{00000000-0005-0000-0000-0000E9030000}"/>
    <cellStyle name="40% - Accent3 40" xfId="1202" xr:uid="{00000000-0005-0000-0000-0000EA030000}"/>
    <cellStyle name="40% - Accent3 41" xfId="1203" xr:uid="{00000000-0005-0000-0000-0000EB030000}"/>
    <cellStyle name="40% - Accent3 42" xfId="1204" xr:uid="{00000000-0005-0000-0000-0000EC030000}"/>
    <cellStyle name="40% - Accent3 5" xfId="1205" xr:uid="{00000000-0005-0000-0000-0000ED030000}"/>
    <cellStyle name="40% - Accent3 5 2" xfId="1206" xr:uid="{00000000-0005-0000-0000-0000EE030000}"/>
    <cellStyle name="40% - Accent3 6" xfId="1207" xr:uid="{00000000-0005-0000-0000-0000EF030000}"/>
    <cellStyle name="40% - Accent3 6 2" xfId="1208" xr:uid="{00000000-0005-0000-0000-0000F0030000}"/>
    <cellStyle name="40% - Accent3 7" xfId="1209" xr:uid="{00000000-0005-0000-0000-0000F1030000}"/>
    <cellStyle name="40% - Accent3 7 2" xfId="1210" xr:uid="{00000000-0005-0000-0000-0000F2030000}"/>
    <cellStyle name="40% - Accent3 8" xfId="1211" xr:uid="{00000000-0005-0000-0000-0000F3030000}"/>
    <cellStyle name="40% - Accent3 8 2" xfId="1212" xr:uid="{00000000-0005-0000-0000-0000F4030000}"/>
    <cellStyle name="40% - Accent3 9" xfId="1213" xr:uid="{00000000-0005-0000-0000-0000F5030000}"/>
    <cellStyle name="40% - Accent3 9 2" xfId="1214" xr:uid="{00000000-0005-0000-0000-0000F6030000}"/>
    <cellStyle name="40% - Accent4" xfId="41" builtinId="43" customBuiltin="1"/>
    <cellStyle name="40% - Accent4 10" xfId="1215" xr:uid="{00000000-0005-0000-0000-0000F8030000}"/>
    <cellStyle name="40% - Accent4 11" xfId="1216" xr:uid="{00000000-0005-0000-0000-0000F9030000}"/>
    <cellStyle name="40% - Accent4 12" xfId="1217" xr:uid="{00000000-0005-0000-0000-0000FA030000}"/>
    <cellStyle name="40% - Accent4 13" xfId="1218" xr:uid="{00000000-0005-0000-0000-0000FB030000}"/>
    <cellStyle name="40% - Accent4 14" xfId="1219" xr:uid="{00000000-0005-0000-0000-0000FC030000}"/>
    <cellStyle name="40% - Accent4 15" xfId="1220" xr:uid="{00000000-0005-0000-0000-0000FD030000}"/>
    <cellStyle name="40% - Accent4 16" xfId="1221" xr:uid="{00000000-0005-0000-0000-0000FE030000}"/>
    <cellStyle name="40% - Accent4 17" xfId="1222" xr:uid="{00000000-0005-0000-0000-0000FF030000}"/>
    <cellStyle name="40% - Accent4 18" xfId="1223" xr:uid="{00000000-0005-0000-0000-000000040000}"/>
    <cellStyle name="40% - Accent4 19" xfId="1224" xr:uid="{00000000-0005-0000-0000-000001040000}"/>
    <cellStyle name="40% - Accent4 2" xfId="197" xr:uid="{00000000-0005-0000-0000-000002040000}"/>
    <cellStyle name="40% - Accent4 2 2" xfId="1225" xr:uid="{00000000-0005-0000-0000-000003040000}"/>
    <cellStyle name="40% - Accent4 2 3" xfId="1226" xr:uid="{00000000-0005-0000-0000-000004040000}"/>
    <cellStyle name="40% - Accent4 20" xfId="1227" xr:uid="{00000000-0005-0000-0000-000005040000}"/>
    <cellStyle name="40% - Accent4 21" xfId="1228" xr:uid="{00000000-0005-0000-0000-000006040000}"/>
    <cellStyle name="40% - Accent4 22" xfId="1229" xr:uid="{00000000-0005-0000-0000-000007040000}"/>
    <cellStyle name="40% - Accent4 23" xfId="1230" xr:uid="{00000000-0005-0000-0000-000008040000}"/>
    <cellStyle name="40% - Accent4 24" xfId="1231" xr:uid="{00000000-0005-0000-0000-000009040000}"/>
    <cellStyle name="40% - Accent4 25" xfId="1232" xr:uid="{00000000-0005-0000-0000-00000A040000}"/>
    <cellStyle name="40% - Accent4 26" xfId="1233" xr:uid="{00000000-0005-0000-0000-00000B040000}"/>
    <cellStyle name="40% - Accent4 27" xfId="1234" xr:uid="{00000000-0005-0000-0000-00000C040000}"/>
    <cellStyle name="40% - Accent4 28" xfId="1235" xr:uid="{00000000-0005-0000-0000-00000D040000}"/>
    <cellStyle name="40% - Accent4 29" xfId="1236" xr:uid="{00000000-0005-0000-0000-00000E040000}"/>
    <cellStyle name="40% - Accent4 3" xfId="1237" xr:uid="{00000000-0005-0000-0000-00000F040000}"/>
    <cellStyle name="40% - Accent4 3 2" xfId="1238" xr:uid="{00000000-0005-0000-0000-000010040000}"/>
    <cellStyle name="40% - Accent4 30" xfId="1239" xr:uid="{00000000-0005-0000-0000-000011040000}"/>
    <cellStyle name="40% - Accent4 31" xfId="1240" xr:uid="{00000000-0005-0000-0000-000012040000}"/>
    <cellStyle name="40% - Accent4 32" xfId="1241" xr:uid="{00000000-0005-0000-0000-000013040000}"/>
    <cellStyle name="40% - Accent4 33" xfId="1242" xr:uid="{00000000-0005-0000-0000-000014040000}"/>
    <cellStyle name="40% - Accent4 34" xfId="1243" xr:uid="{00000000-0005-0000-0000-000015040000}"/>
    <cellStyle name="40% - Accent4 35" xfId="1244" xr:uid="{00000000-0005-0000-0000-000016040000}"/>
    <cellStyle name="40% - Accent4 36" xfId="1245" xr:uid="{00000000-0005-0000-0000-000017040000}"/>
    <cellStyle name="40% - Accent4 37" xfId="1246" xr:uid="{00000000-0005-0000-0000-000018040000}"/>
    <cellStyle name="40% - Accent4 38" xfId="1247" xr:uid="{00000000-0005-0000-0000-000019040000}"/>
    <cellStyle name="40% - Accent4 39" xfId="1248" xr:uid="{00000000-0005-0000-0000-00001A040000}"/>
    <cellStyle name="40% - Accent4 4" xfId="1249" xr:uid="{00000000-0005-0000-0000-00001B040000}"/>
    <cellStyle name="40% - Accent4 4 2" xfId="1250" xr:uid="{00000000-0005-0000-0000-00001C040000}"/>
    <cellStyle name="40% - Accent4 40" xfId="1251" xr:uid="{00000000-0005-0000-0000-00001D040000}"/>
    <cellStyle name="40% - Accent4 41" xfId="1252" xr:uid="{00000000-0005-0000-0000-00001E040000}"/>
    <cellStyle name="40% - Accent4 42" xfId="1253" xr:uid="{00000000-0005-0000-0000-00001F040000}"/>
    <cellStyle name="40% - Accent4 5" xfId="1254" xr:uid="{00000000-0005-0000-0000-000020040000}"/>
    <cellStyle name="40% - Accent4 5 2" xfId="1255" xr:uid="{00000000-0005-0000-0000-000021040000}"/>
    <cellStyle name="40% - Accent4 6" xfId="1256" xr:uid="{00000000-0005-0000-0000-000022040000}"/>
    <cellStyle name="40% - Accent4 6 2" xfId="1257" xr:uid="{00000000-0005-0000-0000-000023040000}"/>
    <cellStyle name="40% - Accent4 7" xfId="1258" xr:uid="{00000000-0005-0000-0000-000024040000}"/>
    <cellStyle name="40% - Accent4 7 2" xfId="1259" xr:uid="{00000000-0005-0000-0000-000025040000}"/>
    <cellStyle name="40% - Accent4 8" xfId="1260" xr:uid="{00000000-0005-0000-0000-000026040000}"/>
    <cellStyle name="40% - Accent4 8 2" xfId="1261" xr:uid="{00000000-0005-0000-0000-000027040000}"/>
    <cellStyle name="40% - Accent4 9" xfId="1262" xr:uid="{00000000-0005-0000-0000-000028040000}"/>
    <cellStyle name="40% - Accent4 9 2" xfId="1263" xr:uid="{00000000-0005-0000-0000-000029040000}"/>
    <cellStyle name="40% - Accent5" xfId="42" builtinId="47" customBuiltin="1"/>
    <cellStyle name="40% - Accent5 10" xfId="1264" xr:uid="{00000000-0005-0000-0000-00002B040000}"/>
    <cellStyle name="40% - Accent5 11" xfId="1265" xr:uid="{00000000-0005-0000-0000-00002C040000}"/>
    <cellStyle name="40% - Accent5 12" xfId="1266" xr:uid="{00000000-0005-0000-0000-00002D040000}"/>
    <cellStyle name="40% - Accent5 13" xfId="1267" xr:uid="{00000000-0005-0000-0000-00002E040000}"/>
    <cellStyle name="40% - Accent5 14" xfId="1268" xr:uid="{00000000-0005-0000-0000-00002F040000}"/>
    <cellStyle name="40% - Accent5 15" xfId="1269" xr:uid="{00000000-0005-0000-0000-000030040000}"/>
    <cellStyle name="40% - Accent5 16" xfId="1270" xr:uid="{00000000-0005-0000-0000-000031040000}"/>
    <cellStyle name="40% - Accent5 17" xfId="1271" xr:uid="{00000000-0005-0000-0000-000032040000}"/>
    <cellStyle name="40% - Accent5 18" xfId="1272" xr:uid="{00000000-0005-0000-0000-000033040000}"/>
    <cellStyle name="40% - Accent5 19" xfId="1273" xr:uid="{00000000-0005-0000-0000-000034040000}"/>
    <cellStyle name="40% - Accent5 2" xfId="198" xr:uid="{00000000-0005-0000-0000-000035040000}"/>
    <cellStyle name="40% - Accent5 2 2" xfId="1274" xr:uid="{00000000-0005-0000-0000-000036040000}"/>
    <cellStyle name="40% - Accent5 2 3" xfId="1275" xr:uid="{00000000-0005-0000-0000-000037040000}"/>
    <cellStyle name="40% - Accent5 20" xfId="1276" xr:uid="{00000000-0005-0000-0000-000038040000}"/>
    <cellStyle name="40% - Accent5 21" xfId="1277" xr:uid="{00000000-0005-0000-0000-000039040000}"/>
    <cellStyle name="40% - Accent5 22" xfId="1278" xr:uid="{00000000-0005-0000-0000-00003A040000}"/>
    <cellStyle name="40% - Accent5 23" xfId="1279" xr:uid="{00000000-0005-0000-0000-00003B040000}"/>
    <cellStyle name="40% - Accent5 24" xfId="1280" xr:uid="{00000000-0005-0000-0000-00003C040000}"/>
    <cellStyle name="40% - Accent5 25" xfId="1281" xr:uid="{00000000-0005-0000-0000-00003D040000}"/>
    <cellStyle name="40% - Accent5 26" xfId="1282" xr:uid="{00000000-0005-0000-0000-00003E040000}"/>
    <cellStyle name="40% - Accent5 27" xfId="1283" xr:uid="{00000000-0005-0000-0000-00003F040000}"/>
    <cellStyle name="40% - Accent5 28" xfId="1284" xr:uid="{00000000-0005-0000-0000-000040040000}"/>
    <cellStyle name="40% - Accent5 29" xfId="1285" xr:uid="{00000000-0005-0000-0000-000041040000}"/>
    <cellStyle name="40% - Accent5 3" xfId="1286" xr:uid="{00000000-0005-0000-0000-000042040000}"/>
    <cellStyle name="40% - Accent5 3 2" xfId="1287" xr:uid="{00000000-0005-0000-0000-000043040000}"/>
    <cellStyle name="40% - Accent5 30" xfId="1288" xr:uid="{00000000-0005-0000-0000-000044040000}"/>
    <cellStyle name="40% - Accent5 31" xfId="1289" xr:uid="{00000000-0005-0000-0000-000045040000}"/>
    <cellStyle name="40% - Accent5 32" xfId="1290" xr:uid="{00000000-0005-0000-0000-000046040000}"/>
    <cellStyle name="40% - Accent5 33" xfId="1291" xr:uid="{00000000-0005-0000-0000-000047040000}"/>
    <cellStyle name="40% - Accent5 34" xfId="1292" xr:uid="{00000000-0005-0000-0000-000048040000}"/>
    <cellStyle name="40% - Accent5 35" xfId="1293" xr:uid="{00000000-0005-0000-0000-000049040000}"/>
    <cellStyle name="40% - Accent5 36" xfId="1294" xr:uid="{00000000-0005-0000-0000-00004A040000}"/>
    <cellStyle name="40% - Accent5 37" xfId="1295" xr:uid="{00000000-0005-0000-0000-00004B040000}"/>
    <cellStyle name="40% - Accent5 38" xfId="1296" xr:uid="{00000000-0005-0000-0000-00004C040000}"/>
    <cellStyle name="40% - Accent5 39" xfId="1297" xr:uid="{00000000-0005-0000-0000-00004D040000}"/>
    <cellStyle name="40% - Accent5 4" xfId="1298" xr:uid="{00000000-0005-0000-0000-00004E040000}"/>
    <cellStyle name="40% - Accent5 4 2" xfId="1299" xr:uid="{00000000-0005-0000-0000-00004F040000}"/>
    <cellStyle name="40% - Accent5 40" xfId="1300" xr:uid="{00000000-0005-0000-0000-000050040000}"/>
    <cellStyle name="40% - Accent5 41" xfId="1301" xr:uid="{00000000-0005-0000-0000-000051040000}"/>
    <cellStyle name="40% - Accent5 42" xfId="1302" xr:uid="{00000000-0005-0000-0000-000052040000}"/>
    <cellStyle name="40% - Accent5 5" xfId="1303" xr:uid="{00000000-0005-0000-0000-000053040000}"/>
    <cellStyle name="40% - Accent5 5 2" xfId="1304" xr:uid="{00000000-0005-0000-0000-000054040000}"/>
    <cellStyle name="40% - Accent5 6" xfId="1305" xr:uid="{00000000-0005-0000-0000-000055040000}"/>
    <cellStyle name="40% - Accent5 6 2" xfId="1306" xr:uid="{00000000-0005-0000-0000-000056040000}"/>
    <cellStyle name="40% - Accent5 7" xfId="1307" xr:uid="{00000000-0005-0000-0000-000057040000}"/>
    <cellStyle name="40% - Accent5 7 2" xfId="1308" xr:uid="{00000000-0005-0000-0000-000058040000}"/>
    <cellStyle name="40% - Accent5 8" xfId="1309" xr:uid="{00000000-0005-0000-0000-000059040000}"/>
    <cellStyle name="40% - Accent5 8 2" xfId="1310" xr:uid="{00000000-0005-0000-0000-00005A040000}"/>
    <cellStyle name="40% - Accent5 9" xfId="1311" xr:uid="{00000000-0005-0000-0000-00005B040000}"/>
    <cellStyle name="40% - Accent5 9 2" xfId="1312" xr:uid="{00000000-0005-0000-0000-00005C040000}"/>
    <cellStyle name="40% - Accent6" xfId="43" builtinId="51" customBuiltin="1"/>
    <cellStyle name="40% - Accent6 10" xfId="1313" xr:uid="{00000000-0005-0000-0000-00005E040000}"/>
    <cellStyle name="40% - Accent6 11" xfId="1314" xr:uid="{00000000-0005-0000-0000-00005F040000}"/>
    <cellStyle name="40% - Accent6 12" xfId="1315" xr:uid="{00000000-0005-0000-0000-000060040000}"/>
    <cellStyle name="40% - Accent6 13" xfId="1316" xr:uid="{00000000-0005-0000-0000-000061040000}"/>
    <cellStyle name="40% - Accent6 14" xfId="1317" xr:uid="{00000000-0005-0000-0000-000062040000}"/>
    <cellStyle name="40% - Accent6 15" xfId="1318" xr:uid="{00000000-0005-0000-0000-000063040000}"/>
    <cellStyle name="40% - Accent6 16" xfId="1319" xr:uid="{00000000-0005-0000-0000-000064040000}"/>
    <cellStyle name="40% - Accent6 17" xfId="1320" xr:uid="{00000000-0005-0000-0000-000065040000}"/>
    <cellStyle name="40% - Accent6 18" xfId="1321" xr:uid="{00000000-0005-0000-0000-000066040000}"/>
    <cellStyle name="40% - Accent6 19" xfId="1322" xr:uid="{00000000-0005-0000-0000-000067040000}"/>
    <cellStyle name="40% - Accent6 2" xfId="199" xr:uid="{00000000-0005-0000-0000-000068040000}"/>
    <cellStyle name="40% - Accent6 2 2" xfId="1323" xr:uid="{00000000-0005-0000-0000-000069040000}"/>
    <cellStyle name="40% - Accent6 2 3" xfId="1324" xr:uid="{00000000-0005-0000-0000-00006A040000}"/>
    <cellStyle name="40% - Accent6 20" xfId="1325" xr:uid="{00000000-0005-0000-0000-00006B040000}"/>
    <cellStyle name="40% - Accent6 21" xfId="1326" xr:uid="{00000000-0005-0000-0000-00006C040000}"/>
    <cellStyle name="40% - Accent6 22" xfId="1327" xr:uid="{00000000-0005-0000-0000-00006D040000}"/>
    <cellStyle name="40% - Accent6 23" xfId="1328" xr:uid="{00000000-0005-0000-0000-00006E040000}"/>
    <cellStyle name="40% - Accent6 24" xfId="1329" xr:uid="{00000000-0005-0000-0000-00006F040000}"/>
    <cellStyle name="40% - Accent6 25" xfId="1330" xr:uid="{00000000-0005-0000-0000-000070040000}"/>
    <cellStyle name="40% - Accent6 26" xfId="1331" xr:uid="{00000000-0005-0000-0000-000071040000}"/>
    <cellStyle name="40% - Accent6 27" xfId="1332" xr:uid="{00000000-0005-0000-0000-000072040000}"/>
    <cellStyle name="40% - Accent6 28" xfId="1333" xr:uid="{00000000-0005-0000-0000-000073040000}"/>
    <cellStyle name="40% - Accent6 29" xfId="1334" xr:uid="{00000000-0005-0000-0000-000074040000}"/>
    <cellStyle name="40% - Accent6 3" xfId="1335" xr:uid="{00000000-0005-0000-0000-000075040000}"/>
    <cellStyle name="40% - Accent6 3 2" xfId="1336" xr:uid="{00000000-0005-0000-0000-000076040000}"/>
    <cellStyle name="40% - Accent6 30" xfId="1337" xr:uid="{00000000-0005-0000-0000-000077040000}"/>
    <cellStyle name="40% - Accent6 31" xfId="1338" xr:uid="{00000000-0005-0000-0000-000078040000}"/>
    <cellStyle name="40% - Accent6 32" xfId="1339" xr:uid="{00000000-0005-0000-0000-000079040000}"/>
    <cellStyle name="40% - Accent6 33" xfId="1340" xr:uid="{00000000-0005-0000-0000-00007A040000}"/>
    <cellStyle name="40% - Accent6 34" xfId="1341" xr:uid="{00000000-0005-0000-0000-00007B040000}"/>
    <cellStyle name="40% - Accent6 35" xfId="1342" xr:uid="{00000000-0005-0000-0000-00007C040000}"/>
    <cellStyle name="40% - Accent6 36" xfId="1343" xr:uid="{00000000-0005-0000-0000-00007D040000}"/>
    <cellStyle name="40% - Accent6 37" xfId="1344" xr:uid="{00000000-0005-0000-0000-00007E040000}"/>
    <cellStyle name="40% - Accent6 38" xfId="1345" xr:uid="{00000000-0005-0000-0000-00007F040000}"/>
    <cellStyle name="40% - Accent6 39" xfId="1346" xr:uid="{00000000-0005-0000-0000-000080040000}"/>
    <cellStyle name="40% - Accent6 4" xfId="1347" xr:uid="{00000000-0005-0000-0000-000081040000}"/>
    <cellStyle name="40% - Accent6 4 2" xfId="1348" xr:uid="{00000000-0005-0000-0000-000082040000}"/>
    <cellStyle name="40% - Accent6 40" xfId="1349" xr:uid="{00000000-0005-0000-0000-000083040000}"/>
    <cellStyle name="40% - Accent6 41" xfId="1350" xr:uid="{00000000-0005-0000-0000-000084040000}"/>
    <cellStyle name="40% - Accent6 42" xfId="1351" xr:uid="{00000000-0005-0000-0000-000085040000}"/>
    <cellStyle name="40% - Accent6 5" xfId="1352" xr:uid="{00000000-0005-0000-0000-000086040000}"/>
    <cellStyle name="40% - Accent6 5 2" xfId="1353" xr:uid="{00000000-0005-0000-0000-000087040000}"/>
    <cellStyle name="40% - Accent6 6" xfId="1354" xr:uid="{00000000-0005-0000-0000-000088040000}"/>
    <cellStyle name="40% - Accent6 6 2" xfId="1355" xr:uid="{00000000-0005-0000-0000-000089040000}"/>
    <cellStyle name="40% - Accent6 7" xfId="1356" xr:uid="{00000000-0005-0000-0000-00008A040000}"/>
    <cellStyle name="40% - Accent6 7 2" xfId="1357" xr:uid="{00000000-0005-0000-0000-00008B040000}"/>
    <cellStyle name="40% - Accent6 8" xfId="1358" xr:uid="{00000000-0005-0000-0000-00008C040000}"/>
    <cellStyle name="40% - Accent6 8 2" xfId="1359" xr:uid="{00000000-0005-0000-0000-00008D040000}"/>
    <cellStyle name="40% - Accent6 9" xfId="1360" xr:uid="{00000000-0005-0000-0000-00008E040000}"/>
    <cellStyle name="40% - Accent6 9 2" xfId="1361" xr:uid="{00000000-0005-0000-0000-00008F040000}"/>
    <cellStyle name="40% - Colore 1" xfId="44" xr:uid="{00000000-0005-0000-0000-000090040000}"/>
    <cellStyle name="40% - Colore 1 10" xfId="1362" xr:uid="{00000000-0005-0000-0000-000091040000}"/>
    <cellStyle name="40% - Colore 1 2" xfId="1363" xr:uid="{00000000-0005-0000-0000-000092040000}"/>
    <cellStyle name="40% - Colore 1 2 2" xfId="1364" xr:uid="{00000000-0005-0000-0000-000093040000}"/>
    <cellStyle name="40% - Colore 1 2 3" xfId="1365" xr:uid="{00000000-0005-0000-0000-000094040000}"/>
    <cellStyle name="40% - Colore 1 3" xfId="1366" xr:uid="{00000000-0005-0000-0000-000095040000}"/>
    <cellStyle name="40% - Colore 1 3 2" xfId="1367" xr:uid="{00000000-0005-0000-0000-000096040000}"/>
    <cellStyle name="40% - Colore 1 4" xfId="1368" xr:uid="{00000000-0005-0000-0000-000097040000}"/>
    <cellStyle name="40% - Colore 1 4 2" xfId="1369" xr:uid="{00000000-0005-0000-0000-000098040000}"/>
    <cellStyle name="40% - Colore 1 5" xfId="1370" xr:uid="{00000000-0005-0000-0000-000099040000}"/>
    <cellStyle name="40% - Colore 1 5 2" xfId="1371" xr:uid="{00000000-0005-0000-0000-00009A040000}"/>
    <cellStyle name="40% - Colore 1 6" xfId="1372" xr:uid="{00000000-0005-0000-0000-00009B040000}"/>
    <cellStyle name="40% - Colore 1 6 2" xfId="1373" xr:uid="{00000000-0005-0000-0000-00009C040000}"/>
    <cellStyle name="40% - Colore 1 7" xfId="1374" xr:uid="{00000000-0005-0000-0000-00009D040000}"/>
    <cellStyle name="40% - Colore 1 7 2" xfId="1375" xr:uid="{00000000-0005-0000-0000-00009E040000}"/>
    <cellStyle name="40% - Colore 1 8" xfId="1376" xr:uid="{00000000-0005-0000-0000-00009F040000}"/>
    <cellStyle name="40% - Colore 1 8 2" xfId="1377" xr:uid="{00000000-0005-0000-0000-0000A0040000}"/>
    <cellStyle name="40% - Colore 1 9" xfId="1378" xr:uid="{00000000-0005-0000-0000-0000A1040000}"/>
    <cellStyle name="40% - Colore 1 9 2" xfId="1379" xr:uid="{00000000-0005-0000-0000-0000A2040000}"/>
    <cellStyle name="40% - Colore 1 9 3" xfId="1380" xr:uid="{00000000-0005-0000-0000-0000A3040000}"/>
    <cellStyle name="40% - Colore 1_Dummy RTS EY+CCF 20100818" xfId="1381" xr:uid="{00000000-0005-0000-0000-0000A4040000}"/>
    <cellStyle name="40% - Colore 2" xfId="45" xr:uid="{00000000-0005-0000-0000-0000A5040000}"/>
    <cellStyle name="40% - Colore 2 10" xfId="1382" xr:uid="{00000000-0005-0000-0000-0000A6040000}"/>
    <cellStyle name="40% - Colore 2 2" xfId="1383" xr:uid="{00000000-0005-0000-0000-0000A7040000}"/>
    <cellStyle name="40% - Colore 2 2 2" xfId="1384" xr:uid="{00000000-0005-0000-0000-0000A8040000}"/>
    <cellStyle name="40% - Colore 2 2 3" xfId="1385" xr:uid="{00000000-0005-0000-0000-0000A9040000}"/>
    <cellStyle name="40% - Colore 2 3" xfId="1386" xr:uid="{00000000-0005-0000-0000-0000AA040000}"/>
    <cellStyle name="40% - Colore 2 3 2" xfId="1387" xr:uid="{00000000-0005-0000-0000-0000AB040000}"/>
    <cellStyle name="40% - Colore 2 4" xfId="1388" xr:uid="{00000000-0005-0000-0000-0000AC040000}"/>
    <cellStyle name="40% - Colore 2 4 2" xfId="1389" xr:uid="{00000000-0005-0000-0000-0000AD040000}"/>
    <cellStyle name="40% - Colore 2 5" xfId="1390" xr:uid="{00000000-0005-0000-0000-0000AE040000}"/>
    <cellStyle name="40% - Colore 2 5 2" xfId="1391" xr:uid="{00000000-0005-0000-0000-0000AF040000}"/>
    <cellStyle name="40% - Colore 2 6" xfId="1392" xr:uid="{00000000-0005-0000-0000-0000B0040000}"/>
    <cellStyle name="40% - Colore 2 6 2" xfId="1393" xr:uid="{00000000-0005-0000-0000-0000B1040000}"/>
    <cellStyle name="40% - Colore 2 7" xfId="1394" xr:uid="{00000000-0005-0000-0000-0000B2040000}"/>
    <cellStyle name="40% - Colore 2 7 2" xfId="1395" xr:uid="{00000000-0005-0000-0000-0000B3040000}"/>
    <cellStyle name="40% - Colore 2 8" xfId="1396" xr:uid="{00000000-0005-0000-0000-0000B4040000}"/>
    <cellStyle name="40% - Colore 2 8 2" xfId="1397" xr:uid="{00000000-0005-0000-0000-0000B5040000}"/>
    <cellStyle name="40% - Colore 2 9" xfId="1398" xr:uid="{00000000-0005-0000-0000-0000B6040000}"/>
    <cellStyle name="40% - Colore 2 9 2" xfId="1399" xr:uid="{00000000-0005-0000-0000-0000B7040000}"/>
    <cellStyle name="40% - Colore 2 9 3" xfId="1400" xr:uid="{00000000-0005-0000-0000-0000B8040000}"/>
    <cellStyle name="40% - Colore 2_Dummy RTS EY+CCF 20100818" xfId="1401" xr:uid="{00000000-0005-0000-0000-0000B9040000}"/>
    <cellStyle name="40% - Colore 3" xfId="46" xr:uid="{00000000-0005-0000-0000-0000BA040000}"/>
    <cellStyle name="40% - Colore 3 10" xfId="1402" xr:uid="{00000000-0005-0000-0000-0000BB040000}"/>
    <cellStyle name="40% - Colore 3 2" xfId="1403" xr:uid="{00000000-0005-0000-0000-0000BC040000}"/>
    <cellStyle name="40% - Colore 3 2 2" xfId="1404" xr:uid="{00000000-0005-0000-0000-0000BD040000}"/>
    <cellStyle name="40% - Colore 3 2 3" xfId="1405" xr:uid="{00000000-0005-0000-0000-0000BE040000}"/>
    <cellStyle name="40% - Colore 3 3" xfId="1406" xr:uid="{00000000-0005-0000-0000-0000BF040000}"/>
    <cellStyle name="40% - Colore 3 3 2" xfId="1407" xr:uid="{00000000-0005-0000-0000-0000C0040000}"/>
    <cellStyle name="40% - Colore 3 4" xfId="1408" xr:uid="{00000000-0005-0000-0000-0000C1040000}"/>
    <cellStyle name="40% - Colore 3 4 2" xfId="1409" xr:uid="{00000000-0005-0000-0000-0000C2040000}"/>
    <cellStyle name="40% - Colore 3 5" xfId="1410" xr:uid="{00000000-0005-0000-0000-0000C3040000}"/>
    <cellStyle name="40% - Colore 3 5 2" xfId="1411" xr:uid="{00000000-0005-0000-0000-0000C4040000}"/>
    <cellStyle name="40% - Colore 3 6" xfId="1412" xr:uid="{00000000-0005-0000-0000-0000C5040000}"/>
    <cellStyle name="40% - Colore 3 6 2" xfId="1413" xr:uid="{00000000-0005-0000-0000-0000C6040000}"/>
    <cellStyle name="40% - Colore 3 7" xfId="1414" xr:uid="{00000000-0005-0000-0000-0000C7040000}"/>
    <cellStyle name="40% - Colore 3 7 2" xfId="1415" xr:uid="{00000000-0005-0000-0000-0000C8040000}"/>
    <cellStyle name="40% - Colore 3 8" xfId="1416" xr:uid="{00000000-0005-0000-0000-0000C9040000}"/>
    <cellStyle name="40% - Colore 3 8 2" xfId="1417" xr:uid="{00000000-0005-0000-0000-0000CA040000}"/>
    <cellStyle name="40% - Colore 3 9" xfId="1418" xr:uid="{00000000-0005-0000-0000-0000CB040000}"/>
    <cellStyle name="40% - Colore 3 9 2" xfId="1419" xr:uid="{00000000-0005-0000-0000-0000CC040000}"/>
    <cellStyle name="40% - Colore 3 9 3" xfId="1420" xr:uid="{00000000-0005-0000-0000-0000CD040000}"/>
    <cellStyle name="40% - Colore 3_Dummy RTS EY+CCF 20100818" xfId="1421" xr:uid="{00000000-0005-0000-0000-0000CE040000}"/>
    <cellStyle name="40% - Colore 4" xfId="47" xr:uid="{00000000-0005-0000-0000-0000CF040000}"/>
    <cellStyle name="40% - Colore 4 10" xfId="1422" xr:uid="{00000000-0005-0000-0000-0000D0040000}"/>
    <cellStyle name="40% - Colore 4 2" xfId="1423" xr:uid="{00000000-0005-0000-0000-0000D1040000}"/>
    <cellStyle name="40% - Colore 4 2 2" xfId="1424" xr:uid="{00000000-0005-0000-0000-0000D2040000}"/>
    <cellStyle name="40% - Colore 4 2 3" xfId="1425" xr:uid="{00000000-0005-0000-0000-0000D3040000}"/>
    <cellStyle name="40% - Colore 4 3" xfId="1426" xr:uid="{00000000-0005-0000-0000-0000D4040000}"/>
    <cellStyle name="40% - Colore 4 3 2" xfId="1427" xr:uid="{00000000-0005-0000-0000-0000D5040000}"/>
    <cellStyle name="40% - Colore 4 4" xfId="1428" xr:uid="{00000000-0005-0000-0000-0000D6040000}"/>
    <cellStyle name="40% - Colore 4 4 2" xfId="1429" xr:uid="{00000000-0005-0000-0000-0000D7040000}"/>
    <cellStyle name="40% - Colore 4 5" xfId="1430" xr:uid="{00000000-0005-0000-0000-0000D8040000}"/>
    <cellStyle name="40% - Colore 4 5 2" xfId="1431" xr:uid="{00000000-0005-0000-0000-0000D9040000}"/>
    <cellStyle name="40% - Colore 4 6" xfId="1432" xr:uid="{00000000-0005-0000-0000-0000DA040000}"/>
    <cellStyle name="40% - Colore 4 6 2" xfId="1433" xr:uid="{00000000-0005-0000-0000-0000DB040000}"/>
    <cellStyle name="40% - Colore 4 7" xfId="1434" xr:uid="{00000000-0005-0000-0000-0000DC040000}"/>
    <cellStyle name="40% - Colore 4 7 2" xfId="1435" xr:uid="{00000000-0005-0000-0000-0000DD040000}"/>
    <cellStyle name="40% - Colore 4 8" xfId="1436" xr:uid="{00000000-0005-0000-0000-0000DE040000}"/>
    <cellStyle name="40% - Colore 4 8 2" xfId="1437" xr:uid="{00000000-0005-0000-0000-0000DF040000}"/>
    <cellStyle name="40% - Colore 4 9" xfId="1438" xr:uid="{00000000-0005-0000-0000-0000E0040000}"/>
    <cellStyle name="40% - Colore 4 9 2" xfId="1439" xr:uid="{00000000-0005-0000-0000-0000E1040000}"/>
    <cellStyle name="40% - Colore 4 9 3" xfId="1440" xr:uid="{00000000-0005-0000-0000-0000E2040000}"/>
    <cellStyle name="40% - Colore 4_Dummy RTS EY+CCF 20100818" xfId="1441" xr:uid="{00000000-0005-0000-0000-0000E3040000}"/>
    <cellStyle name="40% - Colore 5" xfId="48" xr:uid="{00000000-0005-0000-0000-0000E4040000}"/>
    <cellStyle name="40% - Colore 5 10" xfId="1442" xr:uid="{00000000-0005-0000-0000-0000E5040000}"/>
    <cellStyle name="40% - Colore 5 2" xfId="1443" xr:uid="{00000000-0005-0000-0000-0000E6040000}"/>
    <cellStyle name="40% - Colore 5 2 2" xfId="1444" xr:uid="{00000000-0005-0000-0000-0000E7040000}"/>
    <cellStyle name="40% - Colore 5 2 3" xfId="1445" xr:uid="{00000000-0005-0000-0000-0000E8040000}"/>
    <cellStyle name="40% - Colore 5 3" xfId="1446" xr:uid="{00000000-0005-0000-0000-0000E9040000}"/>
    <cellStyle name="40% - Colore 5 3 2" xfId="1447" xr:uid="{00000000-0005-0000-0000-0000EA040000}"/>
    <cellStyle name="40% - Colore 5 4" xfId="1448" xr:uid="{00000000-0005-0000-0000-0000EB040000}"/>
    <cellStyle name="40% - Colore 5 4 2" xfId="1449" xr:uid="{00000000-0005-0000-0000-0000EC040000}"/>
    <cellStyle name="40% - Colore 5 5" xfId="1450" xr:uid="{00000000-0005-0000-0000-0000ED040000}"/>
    <cellStyle name="40% - Colore 5 5 2" xfId="1451" xr:uid="{00000000-0005-0000-0000-0000EE040000}"/>
    <cellStyle name="40% - Colore 5 6" xfId="1452" xr:uid="{00000000-0005-0000-0000-0000EF040000}"/>
    <cellStyle name="40% - Colore 5 6 2" xfId="1453" xr:uid="{00000000-0005-0000-0000-0000F0040000}"/>
    <cellStyle name="40% - Colore 5 7" xfId="1454" xr:uid="{00000000-0005-0000-0000-0000F1040000}"/>
    <cellStyle name="40% - Colore 5 7 2" xfId="1455" xr:uid="{00000000-0005-0000-0000-0000F2040000}"/>
    <cellStyle name="40% - Colore 5 8" xfId="1456" xr:uid="{00000000-0005-0000-0000-0000F3040000}"/>
    <cellStyle name="40% - Colore 5 8 2" xfId="1457" xr:uid="{00000000-0005-0000-0000-0000F4040000}"/>
    <cellStyle name="40% - Colore 5 9" xfId="1458" xr:uid="{00000000-0005-0000-0000-0000F5040000}"/>
    <cellStyle name="40% - Colore 5 9 2" xfId="1459" xr:uid="{00000000-0005-0000-0000-0000F6040000}"/>
    <cellStyle name="40% - Colore 5 9 3" xfId="1460" xr:uid="{00000000-0005-0000-0000-0000F7040000}"/>
    <cellStyle name="40% - Colore 5_Dummy RTS EY+CCF 20100818" xfId="1461" xr:uid="{00000000-0005-0000-0000-0000F8040000}"/>
    <cellStyle name="40% - Colore 6" xfId="49" xr:uid="{00000000-0005-0000-0000-0000F9040000}"/>
    <cellStyle name="40% - Colore 6 10" xfId="1462" xr:uid="{00000000-0005-0000-0000-0000FA040000}"/>
    <cellStyle name="40% - Colore 6 2" xfId="1463" xr:uid="{00000000-0005-0000-0000-0000FB040000}"/>
    <cellStyle name="40% - Colore 6 2 2" xfId="1464" xr:uid="{00000000-0005-0000-0000-0000FC040000}"/>
    <cellStyle name="40% - Colore 6 2 3" xfId="1465" xr:uid="{00000000-0005-0000-0000-0000FD040000}"/>
    <cellStyle name="40% - Colore 6 3" xfId="1466" xr:uid="{00000000-0005-0000-0000-0000FE040000}"/>
    <cellStyle name="40% - Colore 6 3 2" xfId="1467" xr:uid="{00000000-0005-0000-0000-0000FF040000}"/>
    <cellStyle name="40% - Colore 6 4" xfId="1468" xr:uid="{00000000-0005-0000-0000-000000050000}"/>
    <cellStyle name="40% - Colore 6 4 2" xfId="1469" xr:uid="{00000000-0005-0000-0000-000001050000}"/>
    <cellStyle name="40% - Colore 6 5" xfId="1470" xr:uid="{00000000-0005-0000-0000-000002050000}"/>
    <cellStyle name="40% - Colore 6 5 2" xfId="1471" xr:uid="{00000000-0005-0000-0000-000003050000}"/>
    <cellStyle name="40% - Colore 6 6" xfId="1472" xr:uid="{00000000-0005-0000-0000-000004050000}"/>
    <cellStyle name="40% - Colore 6 6 2" xfId="1473" xr:uid="{00000000-0005-0000-0000-000005050000}"/>
    <cellStyle name="40% - Colore 6 7" xfId="1474" xr:uid="{00000000-0005-0000-0000-000006050000}"/>
    <cellStyle name="40% - Colore 6 7 2" xfId="1475" xr:uid="{00000000-0005-0000-0000-000007050000}"/>
    <cellStyle name="40% - Colore 6 8" xfId="1476" xr:uid="{00000000-0005-0000-0000-000008050000}"/>
    <cellStyle name="40% - Colore 6 8 2" xfId="1477" xr:uid="{00000000-0005-0000-0000-000009050000}"/>
    <cellStyle name="40% - Colore 6 9" xfId="1478" xr:uid="{00000000-0005-0000-0000-00000A050000}"/>
    <cellStyle name="40% - Colore 6 9 2" xfId="1479" xr:uid="{00000000-0005-0000-0000-00000B050000}"/>
    <cellStyle name="40% - Colore 6 9 3" xfId="1480" xr:uid="{00000000-0005-0000-0000-00000C050000}"/>
    <cellStyle name="40% - Colore 6_Dummy RTS EY+CCF 20100818" xfId="1481" xr:uid="{00000000-0005-0000-0000-00000D050000}"/>
    <cellStyle name="40% - Cor1" xfId="1482" xr:uid="{00000000-0005-0000-0000-00000E050000}"/>
    <cellStyle name="40% - Cor1 2" xfId="1483" xr:uid="{00000000-0005-0000-0000-00000F050000}"/>
    <cellStyle name="40% - Cor2" xfId="1484" xr:uid="{00000000-0005-0000-0000-000010050000}"/>
    <cellStyle name="40% - Cor2 2" xfId="1485" xr:uid="{00000000-0005-0000-0000-000011050000}"/>
    <cellStyle name="40% - Cor3" xfId="1486" xr:uid="{00000000-0005-0000-0000-000012050000}"/>
    <cellStyle name="40% - Cor3 2" xfId="1487" xr:uid="{00000000-0005-0000-0000-000013050000}"/>
    <cellStyle name="40% - Cor4" xfId="1488" xr:uid="{00000000-0005-0000-0000-000014050000}"/>
    <cellStyle name="40% - Cor4 2" xfId="1489" xr:uid="{00000000-0005-0000-0000-000015050000}"/>
    <cellStyle name="40% - Cor5" xfId="1490" xr:uid="{00000000-0005-0000-0000-000016050000}"/>
    <cellStyle name="40% - Cor5 2" xfId="1491" xr:uid="{00000000-0005-0000-0000-000017050000}"/>
    <cellStyle name="40% - Cor6" xfId="1492" xr:uid="{00000000-0005-0000-0000-000018050000}"/>
    <cellStyle name="40% - Cor6 2" xfId="1493" xr:uid="{00000000-0005-0000-0000-000019050000}"/>
    <cellStyle name="40% - Énfasis1" xfId="1494" xr:uid="{00000000-0005-0000-0000-00001A050000}"/>
    <cellStyle name="40% - Énfasis2" xfId="1495" xr:uid="{00000000-0005-0000-0000-00001B050000}"/>
    <cellStyle name="40% - Énfasis3" xfId="1496" xr:uid="{00000000-0005-0000-0000-00001C050000}"/>
    <cellStyle name="40% - Énfasis4" xfId="1497" xr:uid="{00000000-0005-0000-0000-00001D050000}"/>
    <cellStyle name="40% - Énfasis5" xfId="1498" xr:uid="{00000000-0005-0000-0000-00001E050000}"/>
    <cellStyle name="40% - Énfasis6" xfId="1499" xr:uid="{00000000-0005-0000-0000-00001F050000}"/>
    <cellStyle name="60 % - Aksentti1" xfId="50" xr:uid="{00000000-0005-0000-0000-000020050000}"/>
    <cellStyle name="60 % - Aksentti1 2" xfId="1500" xr:uid="{00000000-0005-0000-0000-000021050000}"/>
    <cellStyle name="60 % - Aksentti1 2 2" xfId="1501" xr:uid="{00000000-0005-0000-0000-000022050000}"/>
    <cellStyle name="60 % - Aksentti1 3" xfId="1502" xr:uid="{00000000-0005-0000-0000-000023050000}"/>
    <cellStyle name="60 % - Aksentti1 4" xfId="1503" xr:uid="{00000000-0005-0000-0000-000024050000}"/>
    <cellStyle name="60 % - Aksentti1 5" xfId="1504" xr:uid="{00000000-0005-0000-0000-000025050000}"/>
    <cellStyle name="60 % - Aksentti1_MCEV_activiteiten 2012Q4 gedeeld op 11-1-2012" xfId="1505" xr:uid="{00000000-0005-0000-0000-000026050000}"/>
    <cellStyle name="60 % - Aksentti2" xfId="51" xr:uid="{00000000-0005-0000-0000-000027050000}"/>
    <cellStyle name="60 % - Aksentti2 2" xfId="1506" xr:uid="{00000000-0005-0000-0000-000028050000}"/>
    <cellStyle name="60 % - Aksentti2 2 2" xfId="1507" xr:uid="{00000000-0005-0000-0000-000029050000}"/>
    <cellStyle name="60 % - Aksentti2 3" xfId="1508" xr:uid="{00000000-0005-0000-0000-00002A050000}"/>
    <cellStyle name="60 % - Aksentti2 4" xfId="1509" xr:uid="{00000000-0005-0000-0000-00002B050000}"/>
    <cellStyle name="60 % - Aksentti2 5" xfId="1510" xr:uid="{00000000-0005-0000-0000-00002C050000}"/>
    <cellStyle name="60 % - Aksentti2_MCEV_activiteiten 2012Q4 gedeeld op 11-1-2012" xfId="1511" xr:uid="{00000000-0005-0000-0000-00002D050000}"/>
    <cellStyle name="60 % - Aksentti3" xfId="52" xr:uid="{00000000-0005-0000-0000-00002E050000}"/>
    <cellStyle name="60 % - Aksentti3 2" xfId="1512" xr:uid="{00000000-0005-0000-0000-00002F050000}"/>
    <cellStyle name="60 % - Aksentti3 2 2" xfId="1513" xr:uid="{00000000-0005-0000-0000-000030050000}"/>
    <cellStyle name="60 % - Aksentti3 3" xfId="1514" xr:uid="{00000000-0005-0000-0000-000031050000}"/>
    <cellStyle name="60 % - Aksentti3 4" xfId="1515" xr:uid="{00000000-0005-0000-0000-000032050000}"/>
    <cellStyle name="60 % - Aksentti3 5" xfId="1516" xr:uid="{00000000-0005-0000-0000-000033050000}"/>
    <cellStyle name="60 % - Aksentti3_MCEV_activiteiten 2012Q4 gedeeld op 11-1-2012" xfId="1517" xr:uid="{00000000-0005-0000-0000-000034050000}"/>
    <cellStyle name="60 % - Aksentti4" xfId="53" xr:uid="{00000000-0005-0000-0000-000035050000}"/>
    <cellStyle name="60 % - Aksentti4 2" xfId="1518" xr:uid="{00000000-0005-0000-0000-000036050000}"/>
    <cellStyle name="60 % - Aksentti4 2 2" xfId="1519" xr:uid="{00000000-0005-0000-0000-000037050000}"/>
    <cellStyle name="60 % - Aksentti4 3" xfId="1520" xr:uid="{00000000-0005-0000-0000-000038050000}"/>
    <cellStyle name="60 % - Aksentti4 4" xfId="1521" xr:uid="{00000000-0005-0000-0000-000039050000}"/>
    <cellStyle name="60 % - Aksentti4 5" xfId="1522" xr:uid="{00000000-0005-0000-0000-00003A050000}"/>
    <cellStyle name="60 % - Aksentti4_MCEV_activiteiten 2012Q4 gedeeld op 11-1-2012" xfId="1523" xr:uid="{00000000-0005-0000-0000-00003B050000}"/>
    <cellStyle name="60 % - Aksentti5" xfId="54" xr:uid="{00000000-0005-0000-0000-00003C050000}"/>
    <cellStyle name="60 % - Aksentti5 2" xfId="1524" xr:uid="{00000000-0005-0000-0000-00003D050000}"/>
    <cellStyle name="60 % - Aksentti5 2 2" xfId="1525" xr:uid="{00000000-0005-0000-0000-00003E050000}"/>
    <cellStyle name="60 % - Aksentti5 3" xfId="1526" xr:uid="{00000000-0005-0000-0000-00003F050000}"/>
    <cellStyle name="60 % - Aksentti5 4" xfId="1527" xr:uid="{00000000-0005-0000-0000-000040050000}"/>
    <cellStyle name="60 % - Aksentti5 5" xfId="1528" xr:uid="{00000000-0005-0000-0000-000041050000}"/>
    <cellStyle name="60 % - Aksentti5_MCEV_activiteiten 2012Q4 gedeeld op 11-1-2012" xfId="1529" xr:uid="{00000000-0005-0000-0000-000042050000}"/>
    <cellStyle name="60 % - Aksentti6" xfId="55" xr:uid="{00000000-0005-0000-0000-000043050000}"/>
    <cellStyle name="60 % - Aksentti6 2" xfId="1530" xr:uid="{00000000-0005-0000-0000-000044050000}"/>
    <cellStyle name="60 % - Aksentti6 2 2" xfId="1531" xr:uid="{00000000-0005-0000-0000-000045050000}"/>
    <cellStyle name="60 % - Aksentti6 3" xfId="1532" xr:uid="{00000000-0005-0000-0000-000046050000}"/>
    <cellStyle name="60 % - Aksentti6 4" xfId="1533" xr:uid="{00000000-0005-0000-0000-000047050000}"/>
    <cellStyle name="60 % - Aksentti6 5" xfId="1534" xr:uid="{00000000-0005-0000-0000-000048050000}"/>
    <cellStyle name="60 % - Aksentti6_MCEV_activiteiten 2012Q4 gedeeld op 11-1-2012" xfId="1535" xr:uid="{00000000-0005-0000-0000-000049050000}"/>
    <cellStyle name="60 % - Accent1" xfId="56" xr:uid="{00000000-0005-0000-0000-00004A050000}"/>
    <cellStyle name="60 % - Accent1 2" xfId="1536" xr:uid="{00000000-0005-0000-0000-00004B050000}"/>
    <cellStyle name="60 % - Accent1 2 2" xfId="1537" xr:uid="{00000000-0005-0000-0000-00004C050000}"/>
    <cellStyle name="60 % - Accent1 2 2 2" xfId="1538" xr:uid="{00000000-0005-0000-0000-00004D050000}"/>
    <cellStyle name="60 % - Accent1 2 3" xfId="1539" xr:uid="{00000000-0005-0000-0000-00004E050000}"/>
    <cellStyle name="60 % - Accent1 2 4" xfId="1540" xr:uid="{00000000-0005-0000-0000-00004F050000}"/>
    <cellStyle name="60 % - Accent1 2 5" xfId="1541" xr:uid="{00000000-0005-0000-0000-000050050000}"/>
    <cellStyle name="60 % - Accent1 2_Procesplaat tbv QRT rapportage" xfId="1542" xr:uid="{00000000-0005-0000-0000-000051050000}"/>
    <cellStyle name="60 % - Accent1 3" xfId="1543" xr:uid="{00000000-0005-0000-0000-000052050000}"/>
    <cellStyle name="60 % - Accent1 3 2" xfId="1544" xr:uid="{00000000-0005-0000-0000-000053050000}"/>
    <cellStyle name="60 % - Accent1 3 3" xfId="1545" xr:uid="{00000000-0005-0000-0000-000054050000}"/>
    <cellStyle name="60 % - Accent1 3 4" xfId="1546" xr:uid="{00000000-0005-0000-0000-000055050000}"/>
    <cellStyle name="60 % - Accent1 4" xfId="1547" xr:uid="{00000000-0005-0000-0000-000056050000}"/>
    <cellStyle name="60 % - Accent1 5" xfId="1548" xr:uid="{00000000-0005-0000-0000-000057050000}"/>
    <cellStyle name="60 % - Accent2" xfId="57" xr:uid="{00000000-0005-0000-0000-000058050000}"/>
    <cellStyle name="60 % - Accent2 2" xfId="1549" xr:uid="{00000000-0005-0000-0000-000059050000}"/>
    <cellStyle name="60 % - Accent2 3" xfId="1550" xr:uid="{00000000-0005-0000-0000-00005A050000}"/>
    <cellStyle name="60 % - Accent2 4" xfId="1551" xr:uid="{00000000-0005-0000-0000-00005B050000}"/>
    <cellStyle name="60 % - Accent3" xfId="58" xr:uid="{00000000-0005-0000-0000-00005C050000}"/>
    <cellStyle name="60 % - Accent3 2" xfId="1552" xr:uid="{00000000-0005-0000-0000-00005D050000}"/>
    <cellStyle name="60 % - Accent3 3" xfId="1553" xr:uid="{00000000-0005-0000-0000-00005E050000}"/>
    <cellStyle name="60 % - Accent3 4" xfId="1554" xr:uid="{00000000-0005-0000-0000-00005F050000}"/>
    <cellStyle name="60 % - Accent4" xfId="59" xr:uid="{00000000-0005-0000-0000-000060050000}"/>
    <cellStyle name="60 % - Accent4 2" xfId="1555" xr:uid="{00000000-0005-0000-0000-000061050000}"/>
    <cellStyle name="60 % - Accent4 3" xfId="1556" xr:uid="{00000000-0005-0000-0000-000062050000}"/>
    <cellStyle name="60 % - Accent4 4" xfId="1557" xr:uid="{00000000-0005-0000-0000-000063050000}"/>
    <cellStyle name="60 % - Accent5" xfId="60" xr:uid="{00000000-0005-0000-0000-000064050000}"/>
    <cellStyle name="60 % - Accent5 2" xfId="1558" xr:uid="{00000000-0005-0000-0000-000065050000}"/>
    <cellStyle name="60 % - Accent5 3" xfId="1559" xr:uid="{00000000-0005-0000-0000-000066050000}"/>
    <cellStyle name="60 % - Accent5 4" xfId="1560" xr:uid="{00000000-0005-0000-0000-000067050000}"/>
    <cellStyle name="60 % - Accent6" xfId="61" xr:uid="{00000000-0005-0000-0000-000068050000}"/>
    <cellStyle name="60 % - Accent6 2" xfId="1561" xr:uid="{00000000-0005-0000-0000-000069050000}"/>
    <cellStyle name="60 % - Accent6 3" xfId="1562" xr:uid="{00000000-0005-0000-0000-00006A050000}"/>
    <cellStyle name="60 % - Accent6 4" xfId="1563" xr:uid="{00000000-0005-0000-0000-00006B050000}"/>
    <cellStyle name="60% - 1. jelölőszín" xfId="1564" xr:uid="{00000000-0005-0000-0000-00006C050000}"/>
    <cellStyle name="60% - 1. jelölőszín 2" xfId="1565" xr:uid="{00000000-0005-0000-0000-00006D050000}"/>
    <cellStyle name="60% - 1. jelölőszín 2 2" xfId="1566" xr:uid="{00000000-0005-0000-0000-00006E050000}"/>
    <cellStyle name="60% - 1. jelölőszín 3" xfId="1567" xr:uid="{00000000-0005-0000-0000-00006F050000}"/>
    <cellStyle name="60% - 1. jelölőszín 4" xfId="1568" xr:uid="{00000000-0005-0000-0000-000070050000}"/>
    <cellStyle name="60% - 1. jelölőszín 5" xfId="1569" xr:uid="{00000000-0005-0000-0000-000071050000}"/>
    <cellStyle name="60% - 1. jelölőszín_Procesplaat tbv QRT rapportage" xfId="1570" xr:uid="{00000000-0005-0000-0000-000072050000}"/>
    <cellStyle name="60% - 2. jelölőszín" xfId="1571" xr:uid="{00000000-0005-0000-0000-000073050000}"/>
    <cellStyle name="60% - 2. jelölőszín 2" xfId="1572" xr:uid="{00000000-0005-0000-0000-000074050000}"/>
    <cellStyle name="60% - 2. jelölőszín 2 2" xfId="1573" xr:uid="{00000000-0005-0000-0000-000075050000}"/>
    <cellStyle name="60% - 2. jelölőszín 3" xfId="1574" xr:uid="{00000000-0005-0000-0000-000076050000}"/>
    <cellStyle name="60% - 2. jelölőszín 4" xfId="1575" xr:uid="{00000000-0005-0000-0000-000077050000}"/>
    <cellStyle name="60% - 2. jelölőszín 5" xfId="1576" xr:uid="{00000000-0005-0000-0000-000078050000}"/>
    <cellStyle name="60% - 2. jelölőszín_Procesplaat tbv QRT rapportage" xfId="1577" xr:uid="{00000000-0005-0000-0000-000079050000}"/>
    <cellStyle name="60% - 3. jelölőszín" xfId="1578" xr:uid="{00000000-0005-0000-0000-00007A050000}"/>
    <cellStyle name="60% - 3. jelölőszín 2" xfId="1579" xr:uid="{00000000-0005-0000-0000-00007B050000}"/>
    <cellStyle name="60% - 3. jelölőszín 2 2" xfId="1580" xr:uid="{00000000-0005-0000-0000-00007C050000}"/>
    <cellStyle name="60% - 3. jelölőszín 3" xfId="1581" xr:uid="{00000000-0005-0000-0000-00007D050000}"/>
    <cellStyle name="60% - 3. jelölőszín 4" xfId="1582" xr:uid="{00000000-0005-0000-0000-00007E050000}"/>
    <cellStyle name="60% - 3. jelölőszín 5" xfId="1583" xr:uid="{00000000-0005-0000-0000-00007F050000}"/>
    <cellStyle name="60% - 3. jelölőszín_Procesplaat tbv QRT rapportage" xfId="1584" xr:uid="{00000000-0005-0000-0000-000080050000}"/>
    <cellStyle name="60% - 4. jelölőszín" xfId="1585" xr:uid="{00000000-0005-0000-0000-000081050000}"/>
    <cellStyle name="60% - 4. jelölőszín 2" xfId="1586" xr:uid="{00000000-0005-0000-0000-000082050000}"/>
    <cellStyle name="60% - 4. jelölőszín 2 2" xfId="1587" xr:uid="{00000000-0005-0000-0000-000083050000}"/>
    <cellStyle name="60% - 4. jelölőszín 3" xfId="1588" xr:uid="{00000000-0005-0000-0000-000084050000}"/>
    <cellStyle name="60% - 4. jelölőszín 4" xfId="1589" xr:uid="{00000000-0005-0000-0000-000085050000}"/>
    <cellStyle name="60% - 4. jelölőszín 5" xfId="1590" xr:uid="{00000000-0005-0000-0000-000086050000}"/>
    <cellStyle name="60% - 4. jelölőszín_Procesplaat tbv QRT rapportage" xfId="1591" xr:uid="{00000000-0005-0000-0000-000087050000}"/>
    <cellStyle name="60% - 5. jelölőszín" xfId="1592" xr:uid="{00000000-0005-0000-0000-000088050000}"/>
    <cellStyle name="60% - 5. jelölőszín 2" xfId="1593" xr:uid="{00000000-0005-0000-0000-000089050000}"/>
    <cellStyle name="60% - 5. jelölőszín 2 2" xfId="1594" xr:uid="{00000000-0005-0000-0000-00008A050000}"/>
    <cellStyle name="60% - 5. jelölőszín 3" xfId="1595" xr:uid="{00000000-0005-0000-0000-00008B050000}"/>
    <cellStyle name="60% - 5. jelölőszín 4" xfId="1596" xr:uid="{00000000-0005-0000-0000-00008C050000}"/>
    <cellStyle name="60% - 5. jelölőszín 5" xfId="1597" xr:uid="{00000000-0005-0000-0000-00008D050000}"/>
    <cellStyle name="60% - 5. jelölőszín_Procesplaat tbv QRT rapportage" xfId="1598" xr:uid="{00000000-0005-0000-0000-00008E050000}"/>
    <cellStyle name="60% - 6. jelölőszín" xfId="1599" xr:uid="{00000000-0005-0000-0000-00008F050000}"/>
    <cellStyle name="60% - 6. jelölőszín 2" xfId="1600" xr:uid="{00000000-0005-0000-0000-000090050000}"/>
    <cellStyle name="60% - 6. jelölőszín 2 2" xfId="1601" xr:uid="{00000000-0005-0000-0000-000091050000}"/>
    <cellStyle name="60% - 6. jelölőszín 3" xfId="1602" xr:uid="{00000000-0005-0000-0000-000092050000}"/>
    <cellStyle name="60% - 6. jelölőszín 4" xfId="1603" xr:uid="{00000000-0005-0000-0000-000093050000}"/>
    <cellStyle name="60% - 6. jelölőszín 5" xfId="1604" xr:uid="{00000000-0005-0000-0000-000094050000}"/>
    <cellStyle name="60% - 6. jelölőszín_Procesplaat tbv QRT rapportage" xfId="1605" xr:uid="{00000000-0005-0000-0000-000095050000}"/>
    <cellStyle name="60% - Accent1" xfId="62" builtinId="32" customBuiltin="1"/>
    <cellStyle name="60% - Accent1 10" xfId="1606" xr:uid="{00000000-0005-0000-0000-000097050000}"/>
    <cellStyle name="60% - Accent1 11" xfId="1607" xr:uid="{00000000-0005-0000-0000-000098050000}"/>
    <cellStyle name="60% - Accent1 12" xfId="1608" xr:uid="{00000000-0005-0000-0000-000099050000}"/>
    <cellStyle name="60% - Accent1 13" xfId="1609" xr:uid="{00000000-0005-0000-0000-00009A050000}"/>
    <cellStyle name="60% - Accent1 14" xfId="1610" xr:uid="{00000000-0005-0000-0000-00009B050000}"/>
    <cellStyle name="60% - Accent1 15" xfId="1611" xr:uid="{00000000-0005-0000-0000-00009C050000}"/>
    <cellStyle name="60% - Accent1 16" xfId="1612" xr:uid="{00000000-0005-0000-0000-00009D050000}"/>
    <cellStyle name="60% - Accent1 17" xfId="1613" xr:uid="{00000000-0005-0000-0000-00009E050000}"/>
    <cellStyle name="60% - Accent1 18" xfId="1614" xr:uid="{00000000-0005-0000-0000-00009F050000}"/>
    <cellStyle name="60% - Accent1 19" xfId="1615" xr:uid="{00000000-0005-0000-0000-0000A0050000}"/>
    <cellStyle name="60% - Accent1 2" xfId="200" xr:uid="{00000000-0005-0000-0000-0000A1050000}"/>
    <cellStyle name="60% - Accent1 2 2" xfId="1616" xr:uid="{00000000-0005-0000-0000-0000A2050000}"/>
    <cellStyle name="60% - Accent1 2 3" xfId="1617" xr:uid="{00000000-0005-0000-0000-0000A3050000}"/>
    <cellStyle name="60% - Accent1 20" xfId="1618" xr:uid="{00000000-0005-0000-0000-0000A4050000}"/>
    <cellStyle name="60% - Accent1 21" xfId="1619" xr:uid="{00000000-0005-0000-0000-0000A5050000}"/>
    <cellStyle name="60% - Accent1 22" xfId="1620" xr:uid="{00000000-0005-0000-0000-0000A6050000}"/>
    <cellStyle name="60% - Accent1 23" xfId="1621" xr:uid="{00000000-0005-0000-0000-0000A7050000}"/>
    <cellStyle name="60% - Accent1 24" xfId="1622" xr:uid="{00000000-0005-0000-0000-0000A8050000}"/>
    <cellStyle name="60% - Accent1 25" xfId="1623" xr:uid="{00000000-0005-0000-0000-0000A9050000}"/>
    <cellStyle name="60% - Accent1 26" xfId="1624" xr:uid="{00000000-0005-0000-0000-0000AA050000}"/>
    <cellStyle name="60% - Accent1 27" xfId="1625" xr:uid="{00000000-0005-0000-0000-0000AB050000}"/>
    <cellStyle name="60% - Accent1 28" xfId="1626" xr:uid="{00000000-0005-0000-0000-0000AC050000}"/>
    <cellStyle name="60% - Accent1 29" xfId="1627" xr:uid="{00000000-0005-0000-0000-0000AD050000}"/>
    <cellStyle name="60% - Accent1 3" xfId="1628" xr:uid="{00000000-0005-0000-0000-0000AE050000}"/>
    <cellStyle name="60% - Accent1 30" xfId="1629" xr:uid="{00000000-0005-0000-0000-0000AF050000}"/>
    <cellStyle name="60% - Accent1 31" xfId="1630" xr:uid="{00000000-0005-0000-0000-0000B0050000}"/>
    <cellStyle name="60% - Accent1 32" xfId="1631" xr:uid="{00000000-0005-0000-0000-0000B1050000}"/>
    <cellStyle name="60% - Accent1 33" xfId="1632" xr:uid="{00000000-0005-0000-0000-0000B2050000}"/>
    <cellStyle name="60% - Accent1 34" xfId="1633" xr:uid="{00000000-0005-0000-0000-0000B3050000}"/>
    <cellStyle name="60% - Accent1 35" xfId="1634" xr:uid="{00000000-0005-0000-0000-0000B4050000}"/>
    <cellStyle name="60% - Accent1 36" xfId="1635" xr:uid="{00000000-0005-0000-0000-0000B5050000}"/>
    <cellStyle name="60% - Accent1 37" xfId="1636" xr:uid="{00000000-0005-0000-0000-0000B6050000}"/>
    <cellStyle name="60% - Accent1 38" xfId="1637" xr:uid="{00000000-0005-0000-0000-0000B7050000}"/>
    <cellStyle name="60% - Accent1 39" xfId="1638" xr:uid="{00000000-0005-0000-0000-0000B8050000}"/>
    <cellStyle name="60% - Accent1 4" xfId="1639" xr:uid="{00000000-0005-0000-0000-0000B9050000}"/>
    <cellStyle name="60% - Accent1 40" xfId="1640" xr:uid="{00000000-0005-0000-0000-0000BA050000}"/>
    <cellStyle name="60% - Accent1 41" xfId="1641" xr:uid="{00000000-0005-0000-0000-0000BB050000}"/>
    <cellStyle name="60% - Accent1 42" xfId="1642" xr:uid="{00000000-0005-0000-0000-0000BC050000}"/>
    <cellStyle name="60% - Accent1 5" xfId="1643" xr:uid="{00000000-0005-0000-0000-0000BD050000}"/>
    <cellStyle name="60% - Accent1 6" xfId="1644" xr:uid="{00000000-0005-0000-0000-0000BE050000}"/>
    <cellStyle name="60% - Accent1 7" xfId="1645" xr:uid="{00000000-0005-0000-0000-0000BF050000}"/>
    <cellStyle name="60% - Accent1 8" xfId="1646" xr:uid="{00000000-0005-0000-0000-0000C0050000}"/>
    <cellStyle name="60% - Accent1 9" xfId="1647" xr:uid="{00000000-0005-0000-0000-0000C1050000}"/>
    <cellStyle name="60% - Accent2" xfId="63" builtinId="36" customBuiltin="1"/>
    <cellStyle name="60% - Accent2 10" xfId="1648" xr:uid="{00000000-0005-0000-0000-0000C3050000}"/>
    <cellStyle name="60% - Accent2 11" xfId="1649" xr:uid="{00000000-0005-0000-0000-0000C4050000}"/>
    <cellStyle name="60% - Accent2 12" xfId="1650" xr:uid="{00000000-0005-0000-0000-0000C5050000}"/>
    <cellStyle name="60% - Accent2 13" xfId="1651" xr:uid="{00000000-0005-0000-0000-0000C6050000}"/>
    <cellStyle name="60% - Accent2 14" xfId="1652" xr:uid="{00000000-0005-0000-0000-0000C7050000}"/>
    <cellStyle name="60% - Accent2 15" xfId="1653" xr:uid="{00000000-0005-0000-0000-0000C8050000}"/>
    <cellStyle name="60% - Accent2 16" xfId="1654" xr:uid="{00000000-0005-0000-0000-0000C9050000}"/>
    <cellStyle name="60% - Accent2 17" xfId="1655" xr:uid="{00000000-0005-0000-0000-0000CA050000}"/>
    <cellStyle name="60% - Accent2 18" xfId="1656" xr:uid="{00000000-0005-0000-0000-0000CB050000}"/>
    <cellStyle name="60% - Accent2 19" xfId="1657" xr:uid="{00000000-0005-0000-0000-0000CC050000}"/>
    <cellStyle name="60% - Accent2 2" xfId="201" xr:uid="{00000000-0005-0000-0000-0000CD050000}"/>
    <cellStyle name="60% - Accent2 2 2" xfId="1658" xr:uid="{00000000-0005-0000-0000-0000CE050000}"/>
    <cellStyle name="60% - Accent2 2 3" xfId="1659" xr:uid="{00000000-0005-0000-0000-0000CF050000}"/>
    <cellStyle name="60% - Accent2 20" xfId="1660" xr:uid="{00000000-0005-0000-0000-0000D0050000}"/>
    <cellStyle name="60% - Accent2 21" xfId="1661" xr:uid="{00000000-0005-0000-0000-0000D1050000}"/>
    <cellStyle name="60% - Accent2 22" xfId="1662" xr:uid="{00000000-0005-0000-0000-0000D2050000}"/>
    <cellStyle name="60% - Accent2 23" xfId="1663" xr:uid="{00000000-0005-0000-0000-0000D3050000}"/>
    <cellStyle name="60% - Accent2 24" xfId="1664" xr:uid="{00000000-0005-0000-0000-0000D4050000}"/>
    <cellStyle name="60% - Accent2 25" xfId="1665" xr:uid="{00000000-0005-0000-0000-0000D5050000}"/>
    <cellStyle name="60% - Accent2 26" xfId="1666" xr:uid="{00000000-0005-0000-0000-0000D6050000}"/>
    <cellStyle name="60% - Accent2 27" xfId="1667" xr:uid="{00000000-0005-0000-0000-0000D7050000}"/>
    <cellStyle name="60% - Accent2 28" xfId="1668" xr:uid="{00000000-0005-0000-0000-0000D8050000}"/>
    <cellStyle name="60% - Accent2 29" xfId="1669" xr:uid="{00000000-0005-0000-0000-0000D9050000}"/>
    <cellStyle name="60% - Accent2 3" xfId="1670" xr:uid="{00000000-0005-0000-0000-0000DA050000}"/>
    <cellStyle name="60% - Accent2 30" xfId="1671" xr:uid="{00000000-0005-0000-0000-0000DB050000}"/>
    <cellStyle name="60% - Accent2 31" xfId="1672" xr:uid="{00000000-0005-0000-0000-0000DC050000}"/>
    <cellStyle name="60% - Accent2 32" xfId="1673" xr:uid="{00000000-0005-0000-0000-0000DD050000}"/>
    <cellStyle name="60% - Accent2 33" xfId="1674" xr:uid="{00000000-0005-0000-0000-0000DE050000}"/>
    <cellStyle name="60% - Accent2 34" xfId="1675" xr:uid="{00000000-0005-0000-0000-0000DF050000}"/>
    <cellStyle name="60% - Accent2 35" xfId="1676" xr:uid="{00000000-0005-0000-0000-0000E0050000}"/>
    <cellStyle name="60% - Accent2 36" xfId="1677" xr:uid="{00000000-0005-0000-0000-0000E1050000}"/>
    <cellStyle name="60% - Accent2 37" xfId="1678" xr:uid="{00000000-0005-0000-0000-0000E2050000}"/>
    <cellStyle name="60% - Accent2 38" xfId="1679" xr:uid="{00000000-0005-0000-0000-0000E3050000}"/>
    <cellStyle name="60% - Accent2 39" xfId="1680" xr:uid="{00000000-0005-0000-0000-0000E4050000}"/>
    <cellStyle name="60% - Accent2 4" xfId="1681" xr:uid="{00000000-0005-0000-0000-0000E5050000}"/>
    <cellStyle name="60% - Accent2 40" xfId="1682" xr:uid="{00000000-0005-0000-0000-0000E6050000}"/>
    <cellStyle name="60% - Accent2 41" xfId="1683" xr:uid="{00000000-0005-0000-0000-0000E7050000}"/>
    <cellStyle name="60% - Accent2 42" xfId="1684" xr:uid="{00000000-0005-0000-0000-0000E8050000}"/>
    <cellStyle name="60% - Accent2 5" xfId="1685" xr:uid="{00000000-0005-0000-0000-0000E9050000}"/>
    <cellStyle name="60% - Accent2 6" xfId="1686" xr:uid="{00000000-0005-0000-0000-0000EA050000}"/>
    <cellStyle name="60% - Accent2 7" xfId="1687" xr:uid="{00000000-0005-0000-0000-0000EB050000}"/>
    <cellStyle name="60% - Accent2 8" xfId="1688" xr:uid="{00000000-0005-0000-0000-0000EC050000}"/>
    <cellStyle name="60% - Accent2 9" xfId="1689" xr:uid="{00000000-0005-0000-0000-0000ED050000}"/>
    <cellStyle name="60% - Accent3" xfId="64" builtinId="40" customBuiltin="1"/>
    <cellStyle name="60% - Accent3 10" xfId="1690" xr:uid="{00000000-0005-0000-0000-0000EF050000}"/>
    <cellStyle name="60% - Accent3 11" xfId="1691" xr:uid="{00000000-0005-0000-0000-0000F0050000}"/>
    <cellStyle name="60% - Accent3 12" xfId="1692" xr:uid="{00000000-0005-0000-0000-0000F1050000}"/>
    <cellStyle name="60% - Accent3 13" xfId="1693" xr:uid="{00000000-0005-0000-0000-0000F2050000}"/>
    <cellStyle name="60% - Accent3 14" xfId="1694" xr:uid="{00000000-0005-0000-0000-0000F3050000}"/>
    <cellStyle name="60% - Accent3 15" xfId="1695" xr:uid="{00000000-0005-0000-0000-0000F4050000}"/>
    <cellStyle name="60% - Accent3 16" xfId="1696" xr:uid="{00000000-0005-0000-0000-0000F5050000}"/>
    <cellStyle name="60% - Accent3 17" xfId="1697" xr:uid="{00000000-0005-0000-0000-0000F6050000}"/>
    <cellStyle name="60% - Accent3 18" xfId="1698" xr:uid="{00000000-0005-0000-0000-0000F7050000}"/>
    <cellStyle name="60% - Accent3 19" xfId="1699" xr:uid="{00000000-0005-0000-0000-0000F8050000}"/>
    <cellStyle name="60% - Accent3 2" xfId="202" xr:uid="{00000000-0005-0000-0000-0000F9050000}"/>
    <cellStyle name="60% - Accent3 2 2" xfId="1700" xr:uid="{00000000-0005-0000-0000-0000FA050000}"/>
    <cellStyle name="60% - Accent3 2 3" xfId="1701" xr:uid="{00000000-0005-0000-0000-0000FB050000}"/>
    <cellStyle name="60% - Accent3 20" xfId="1702" xr:uid="{00000000-0005-0000-0000-0000FC050000}"/>
    <cellStyle name="60% - Accent3 21" xfId="1703" xr:uid="{00000000-0005-0000-0000-0000FD050000}"/>
    <cellStyle name="60% - Accent3 22" xfId="1704" xr:uid="{00000000-0005-0000-0000-0000FE050000}"/>
    <cellStyle name="60% - Accent3 23" xfId="1705" xr:uid="{00000000-0005-0000-0000-0000FF050000}"/>
    <cellStyle name="60% - Accent3 24" xfId="1706" xr:uid="{00000000-0005-0000-0000-000000060000}"/>
    <cellStyle name="60% - Accent3 25" xfId="1707" xr:uid="{00000000-0005-0000-0000-000001060000}"/>
    <cellStyle name="60% - Accent3 26" xfId="1708" xr:uid="{00000000-0005-0000-0000-000002060000}"/>
    <cellStyle name="60% - Accent3 27" xfId="1709" xr:uid="{00000000-0005-0000-0000-000003060000}"/>
    <cellStyle name="60% - Accent3 28" xfId="1710" xr:uid="{00000000-0005-0000-0000-000004060000}"/>
    <cellStyle name="60% - Accent3 29" xfId="1711" xr:uid="{00000000-0005-0000-0000-000005060000}"/>
    <cellStyle name="60% - Accent3 3" xfId="1712" xr:uid="{00000000-0005-0000-0000-000006060000}"/>
    <cellStyle name="60% - Accent3 30" xfId="1713" xr:uid="{00000000-0005-0000-0000-000007060000}"/>
    <cellStyle name="60% - Accent3 31" xfId="1714" xr:uid="{00000000-0005-0000-0000-000008060000}"/>
    <cellStyle name="60% - Accent3 32" xfId="1715" xr:uid="{00000000-0005-0000-0000-000009060000}"/>
    <cellStyle name="60% - Accent3 33" xfId="1716" xr:uid="{00000000-0005-0000-0000-00000A060000}"/>
    <cellStyle name="60% - Accent3 34" xfId="1717" xr:uid="{00000000-0005-0000-0000-00000B060000}"/>
    <cellStyle name="60% - Accent3 35" xfId="1718" xr:uid="{00000000-0005-0000-0000-00000C060000}"/>
    <cellStyle name="60% - Accent3 36" xfId="1719" xr:uid="{00000000-0005-0000-0000-00000D060000}"/>
    <cellStyle name="60% - Accent3 37" xfId="1720" xr:uid="{00000000-0005-0000-0000-00000E060000}"/>
    <cellStyle name="60% - Accent3 38" xfId="1721" xr:uid="{00000000-0005-0000-0000-00000F060000}"/>
    <cellStyle name="60% - Accent3 39" xfId="1722" xr:uid="{00000000-0005-0000-0000-000010060000}"/>
    <cellStyle name="60% - Accent3 4" xfId="1723" xr:uid="{00000000-0005-0000-0000-000011060000}"/>
    <cellStyle name="60% - Accent3 40" xfId="1724" xr:uid="{00000000-0005-0000-0000-000012060000}"/>
    <cellStyle name="60% - Accent3 41" xfId="1725" xr:uid="{00000000-0005-0000-0000-000013060000}"/>
    <cellStyle name="60% - Accent3 42" xfId="1726" xr:uid="{00000000-0005-0000-0000-000014060000}"/>
    <cellStyle name="60% - Accent3 5" xfId="1727" xr:uid="{00000000-0005-0000-0000-000015060000}"/>
    <cellStyle name="60% - Accent3 6" xfId="1728" xr:uid="{00000000-0005-0000-0000-000016060000}"/>
    <cellStyle name="60% - Accent3 7" xfId="1729" xr:uid="{00000000-0005-0000-0000-000017060000}"/>
    <cellStyle name="60% - Accent3 8" xfId="1730" xr:uid="{00000000-0005-0000-0000-000018060000}"/>
    <cellStyle name="60% - Accent3 9" xfId="1731" xr:uid="{00000000-0005-0000-0000-000019060000}"/>
    <cellStyle name="60% - Accent4" xfId="65" builtinId="44" customBuiltin="1"/>
    <cellStyle name="60% - Accent4 10" xfId="1732" xr:uid="{00000000-0005-0000-0000-00001B060000}"/>
    <cellStyle name="60% - Accent4 11" xfId="1733" xr:uid="{00000000-0005-0000-0000-00001C060000}"/>
    <cellStyle name="60% - Accent4 12" xfId="1734" xr:uid="{00000000-0005-0000-0000-00001D060000}"/>
    <cellStyle name="60% - Accent4 13" xfId="1735" xr:uid="{00000000-0005-0000-0000-00001E060000}"/>
    <cellStyle name="60% - Accent4 14" xfId="1736" xr:uid="{00000000-0005-0000-0000-00001F060000}"/>
    <cellStyle name="60% - Accent4 15" xfId="1737" xr:uid="{00000000-0005-0000-0000-000020060000}"/>
    <cellStyle name="60% - Accent4 16" xfId="1738" xr:uid="{00000000-0005-0000-0000-000021060000}"/>
    <cellStyle name="60% - Accent4 17" xfId="1739" xr:uid="{00000000-0005-0000-0000-000022060000}"/>
    <cellStyle name="60% - Accent4 18" xfId="1740" xr:uid="{00000000-0005-0000-0000-000023060000}"/>
    <cellStyle name="60% - Accent4 19" xfId="1741" xr:uid="{00000000-0005-0000-0000-000024060000}"/>
    <cellStyle name="60% - Accent4 2" xfId="203" xr:uid="{00000000-0005-0000-0000-000025060000}"/>
    <cellStyle name="60% - Accent4 2 2" xfId="1742" xr:uid="{00000000-0005-0000-0000-000026060000}"/>
    <cellStyle name="60% - Accent4 2 3" xfId="1743" xr:uid="{00000000-0005-0000-0000-000027060000}"/>
    <cellStyle name="60% - Accent4 20" xfId="1744" xr:uid="{00000000-0005-0000-0000-000028060000}"/>
    <cellStyle name="60% - Accent4 21" xfId="1745" xr:uid="{00000000-0005-0000-0000-000029060000}"/>
    <cellStyle name="60% - Accent4 22" xfId="1746" xr:uid="{00000000-0005-0000-0000-00002A060000}"/>
    <cellStyle name="60% - Accent4 23" xfId="1747" xr:uid="{00000000-0005-0000-0000-00002B060000}"/>
    <cellStyle name="60% - Accent4 24" xfId="1748" xr:uid="{00000000-0005-0000-0000-00002C060000}"/>
    <cellStyle name="60% - Accent4 25" xfId="1749" xr:uid="{00000000-0005-0000-0000-00002D060000}"/>
    <cellStyle name="60% - Accent4 26" xfId="1750" xr:uid="{00000000-0005-0000-0000-00002E060000}"/>
    <cellStyle name="60% - Accent4 27" xfId="1751" xr:uid="{00000000-0005-0000-0000-00002F060000}"/>
    <cellStyle name="60% - Accent4 28" xfId="1752" xr:uid="{00000000-0005-0000-0000-000030060000}"/>
    <cellStyle name="60% - Accent4 29" xfId="1753" xr:uid="{00000000-0005-0000-0000-000031060000}"/>
    <cellStyle name="60% - Accent4 3" xfId="1754" xr:uid="{00000000-0005-0000-0000-000032060000}"/>
    <cellStyle name="60% - Accent4 30" xfId="1755" xr:uid="{00000000-0005-0000-0000-000033060000}"/>
    <cellStyle name="60% - Accent4 31" xfId="1756" xr:uid="{00000000-0005-0000-0000-000034060000}"/>
    <cellStyle name="60% - Accent4 32" xfId="1757" xr:uid="{00000000-0005-0000-0000-000035060000}"/>
    <cellStyle name="60% - Accent4 33" xfId="1758" xr:uid="{00000000-0005-0000-0000-000036060000}"/>
    <cellStyle name="60% - Accent4 34" xfId="1759" xr:uid="{00000000-0005-0000-0000-000037060000}"/>
    <cellStyle name="60% - Accent4 35" xfId="1760" xr:uid="{00000000-0005-0000-0000-000038060000}"/>
    <cellStyle name="60% - Accent4 36" xfId="1761" xr:uid="{00000000-0005-0000-0000-000039060000}"/>
    <cellStyle name="60% - Accent4 37" xfId="1762" xr:uid="{00000000-0005-0000-0000-00003A060000}"/>
    <cellStyle name="60% - Accent4 38" xfId="1763" xr:uid="{00000000-0005-0000-0000-00003B060000}"/>
    <cellStyle name="60% - Accent4 39" xfId="1764" xr:uid="{00000000-0005-0000-0000-00003C060000}"/>
    <cellStyle name="60% - Accent4 4" xfId="1765" xr:uid="{00000000-0005-0000-0000-00003D060000}"/>
    <cellStyle name="60% - Accent4 40" xfId="1766" xr:uid="{00000000-0005-0000-0000-00003E060000}"/>
    <cellStyle name="60% - Accent4 41" xfId="1767" xr:uid="{00000000-0005-0000-0000-00003F060000}"/>
    <cellStyle name="60% - Accent4 42" xfId="1768" xr:uid="{00000000-0005-0000-0000-000040060000}"/>
    <cellStyle name="60% - Accent4 5" xfId="1769" xr:uid="{00000000-0005-0000-0000-000041060000}"/>
    <cellStyle name="60% - Accent4 6" xfId="1770" xr:uid="{00000000-0005-0000-0000-000042060000}"/>
    <cellStyle name="60% - Accent4 7" xfId="1771" xr:uid="{00000000-0005-0000-0000-000043060000}"/>
    <cellStyle name="60% - Accent4 8" xfId="1772" xr:uid="{00000000-0005-0000-0000-000044060000}"/>
    <cellStyle name="60% - Accent4 9" xfId="1773" xr:uid="{00000000-0005-0000-0000-000045060000}"/>
    <cellStyle name="60% - Accent5" xfId="66" builtinId="48" customBuiltin="1"/>
    <cellStyle name="60% - Accent5 10" xfId="1774" xr:uid="{00000000-0005-0000-0000-000047060000}"/>
    <cellStyle name="60% - Accent5 11" xfId="1775" xr:uid="{00000000-0005-0000-0000-000048060000}"/>
    <cellStyle name="60% - Accent5 12" xfId="1776" xr:uid="{00000000-0005-0000-0000-000049060000}"/>
    <cellStyle name="60% - Accent5 13" xfId="1777" xr:uid="{00000000-0005-0000-0000-00004A060000}"/>
    <cellStyle name="60% - Accent5 14" xfId="1778" xr:uid="{00000000-0005-0000-0000-00004B060000}"/>
    <cellStyle name="60% - Accent5 15" xfId="1779" xr:uid="{00000000-0005-0000-0000-00004C060000}"/>
    <cellStyle name="60% - Accent5 16" xfId="1780" xr:uid="{00000000-0005-0000-0000-00004D060000}"/>
    <cellStyle name="60% - Accent5 17" xfId="1781" xr:uid="{00000000-0005-0000-0000-00004E060000}"/>
    <cellStyle name="60% - Accent5 18" xfId="1782" xr:uid="{00000000-0005-0000-0000-00004F060000}"/>
    <cellStyle name="60% - Accent5 19" xfId="1783" xr:uid="{00000000-0005-0000-0000-000050060000}"/>
    <cellStyle name="60% - Accent5 2" xfId="204" xr:uid="{00000000-0005-0000-0000-000051060000}"/>
    <cellStyle name="60% - Accent5 2 2" xfId="1784" xr:uid="{00000000-0005-0000-0000-000052060000}"/>
    <cellStyle name="60% - Accent5 2 3" xfId="1785" xr:uid="{00000000-0005-0000-0000-000053060000}"/>
    <cellStyle name="60% - Accent5 20" xfId="1786" xr:uid="{00000000-0005-0000-0000-000054060000}"/>
    <cellStyle name="60% - Accent5 21" xfId="1787" xr:uid="{00000000-0005-0000-0000-000055060000}"/>
    <cellStyle name="60% - Accent5 22" xfId="1788" xr:uid="{00000000-0005-0000-0000-000056060000}"/>
    <cellStyle name="60% - Accent5 23" xfId="1789" xr:uid="{00000000-0005-0000-0000-000057060000}"/>
    <cellStyle name="60% - Accent5 24" xfId="1790" xr:uid="{00000000-0005-0000-0000-000058060000}"/>
    <cellStyle name="60% - Accent5 25" xfId="1791" xr:uid="{00000000-0005-0000-0000-000059060000}"/>
    <cellStyle name="60% - Accent5 26" xfId="1792" xr:uid="{00000000-0005-0000-0000-00005A060000}"/>
    <cellStyle name="60% - Accent5 27" xfId="1793" xr:uid="{00000000-0005-0000-0000-00005B060000}"/>
    <cellStyle name="60% - Accent5 28" xfId="1794" xr:uid="{00000000-0005-0000-0000-00005C060000}"/>
    <cellStyle name="60% - Accent5 29" xfId="1795" xr:uid="{00000000-0005-0000-0000-00005D060000}"/>
    <cellStyle name="60% - Accent5 3" xfId="1796" xr:uid="{00000000-0005-0000-0000-00005E060000}"/>
    <cellStyle name="60% - Accent5 30" xfId="1797" xr:uid="{00000000-0005-0000-0000-00005F060000}"/>
    <cellStyle name="60% - Accent5 31" xfId="1798" xr:uid="{00000000-0005-0000-0000-000060060000}"/>
    <cellStyle name="60% - Accent5 32" xfId="1799" xr:uid="{00000000-0005-0000-0000-000061060000}"/>
    <cellStyle name="60% - Accent5 33" xfId="1800" xr:uid="{00000000-0005-0000-0000-000062060000}"/>
    <cellStyle name="60% - Accent5 34" xfId="1801" xr:uid="{00000000-0005-0000-0000-000063060000}"/>
    <cellStyle name="60% - Accent5 35" xfId="1802" xr:uid="{00000000-0005-0000-0000-000064060000}"/>
    <cellStyle name="60% - Accent5 36" xfId="1803" xr:uid="{00000000-0005-0000-0000-000065060000}"/>
    <cellStyle name="60% - Accent5 37" xfId="1804" xr:uid="{00000000-0005-0000-0000-000066060000}"/>
    <cellStyle name="60% - Accent5 38" xfId="1805" xr:uid="{00000000-0005-0000-0000-000067060000}"/>
    <cellStyle name="60% - Accent5 39" xfId="1806" xr:uid="{00000000-0005-0000-0000-000068060000}"/>
    <cellStyle name="60% - Accent5 4" xfId="1807" xr:uid="{00000000-0005-0000-0000-000069060000}"/>
    <cellStyle name="60% - Accent5 40" xfId="1808" xr:uid="{00000000-0005-0000-0000-00006A060000}"/>
    <cellStyle name="60% - Accent5 41" xfId="1809" xr:uid="{00000000-0005-0000-0000-00006B060000}"/>
    <cellStyle name="60% - Accent5 42" xfId="1810" xr:uid="{00000000-0005-0000-0000-00006C060000}"/>
    <cellStyle name="60% - Accent5 5" xfId="1811" xr:uid="{00000000-0005-0000-0000-00006D060000}"/>
    <cellStyle name="60% - Accent5 6" xfId="1812" xr:uid="{00000000-0005-0000-0000-00006E060000}"/>
    <cellStyle name="60% - Accent5 7" xfId="1813" xr:uid="{00000000-0005-0000-0000-00006F060000}"/>
    <cellStyle name="60% - Accent5 8" xfId="1814" xr:uid="{00000000-0005-0000-0000-000070060000}"/>
    <cellStyle name="60% - Accent5 9" xfId="1815" xr:uid="{00000000-0005-0000-0000-000071060000}"/>
    <cellStyle name="60% - Accent6" xfId="67" builtinId="52" customBuiltin="1"/>
    <cellStyle name="60% - Accent6 10" xfId="1816" xr:uid="{00000000-0005-0000-0000-000073060000}"/>
    <cellStyle name="60% - Accent6 11" xfId="1817" xr:uid="{00000000-0005-0000-0000-000074060000}"/>
    <cellStyle name="60% - Accent6 12" xfId="1818" xr:uid="{00000000-0005-0000-0000-000075060000}"/>
    <cellStyle name="60% - Accent6 13" xfId="1819" xr:uid="{00000000-0005-0000-0000-000076060000}"/>
    <cellStyle name="60% - Accent6 14" xfId="1820" xr:uid="{00000000-0005-0000-0000-000077060000}"/>
    <cellStyle name="60% - Accent6 15" xfId="1821" xr:uid="{00000000-0005-0000-0000-000078060000}"/>
    <cellStyle name="60% - Accent6 16" xfId="1822" xr:uid="{00000000-0005-0000-0000-000079060000}"/>
    <cellStyle name="60% - Accent6 17" xfId="1823" xr:uid="{00000000-0005-0000-0000-00007A060000}"/>
    <cellStyle name="60% - Accent6 18" xfId="1824" xr:uid="{00000000-0005-0000-0000-00007B060000}"/>
    <cellStyle name="60% - Accent6 19" xfId="1825" xr:uid="{00000000-0005-0000-0000-00007C060000}"/>
    <cellStyle name="60% - Accent6 2" xfId="205" xr:uid="{00000000-0005-0000-0000-00007D060000}"/>
    <cellStyle name="60% - Accent6 2 2" xfId="1826" xr:uid="{00000000-0005-0000-0000-00007E060000}"/>
    <cellStyle name="60% - Accent6 2 3" xfId="1827" xr:uid="{00000000-0005-0000-0000-00007F060000}"/>
    <cellStyle name="60% - Accent6 20" xfId="1828" xr:uid="{00000000-0005-0000-0000-000080060000}"/>
    <cellStyle name="60% - Accent6 21" xfId="1829" xr:uid="{00000000-0005-0000-0000-000081060000}"/>
    <cellStyle name="60% - Accent6 22" xfId="1830" xr:uid="{00000000-0005-0000-0000-000082060000}"/>
    <cellStyle name="60% - Accent6 23" xfId="1831" xr:uid="{00000000-0005-0000-0000-000083060000}"/>
    <cellStyle name="60% - Accent6 24" xfId="1832" xr:uid="{00000000-0005-0000-0000-000084060000}"/>
    <cellStyle name="60% - Accent6 25" xfId="1833" xr:uid="{00000000-0005-0000-0000-000085060000}"/>
    <cellStyle name="60% - Accent6 26" xfId="1834" xr:uid="{00000000-0005-0000-0000-000086060000}"/>
    <cellStyle name="60% - Accent6 27" xfId="1835" xr:uid="{00000000-0005-0000-0000-000087060000}"/>
    <cellStyle name="60% - Accent6 28" xfId="1836" xr:uid="{00000000-0005-0000-0000-000088060000}"/>
    <cellStyle name="60% - Accent6 29" xfId="1837" xr:uid="{00000000-0005-0000-0000-000089060000}"/>
    <cellStyle name="60% - Accent6 3" xfId="1838" xr:uid="{00000000-0005-0000-0000-00008A060000}"/>
    <cellStyle name="60% - Accent6 30" xfId="1839" xr:uid="{00000000-0005-0000-0000-00008B060000}"/>
    <cellStyle name="60% - Accent6 31" xfId="1840" xr:uid="{00000000-0005-0000-0000-00008C060000}"/>
    <cellStyle name="60% - Accent6 32" xfId="1841" xr:uid="{00000000-0005-0000-0000-00008D060000}"/>
    <cellStyle name="60% - Accent6 33" xfId="1842" xr:uid="{00000000-0005-0000-0000-00008E060000}"/>
    <cellStyle name="60% - Accent6 34" xfId="1843" xr:uid="{00000000-0005-0000-0000-00008F060000}"/>
    <cellStyle name="60% - Accent6 35" xfId="1844" xr:uid="{00000000-0005-0000-0000-000090060000}"/>
    <cellStyle name="60% - Accent6 36" xfId="1845" xr:uid="{00000000-0005-0000-0000-000091060000}"/>
    <cellStyle name="60% - Accent6 37" xfId="1846" xr:uid="{00000000-0005-0000-0000-000092060000}"/>
    <cellStyle name="60% - Accent6 38" xfId="1847" xr:uid="{00000000-0005-0000-0000-000093060000}"/>
    <cellStyle name="60% - Accent6 39" xfId="1848" xr:uid="{00000000-0005-0000-0000-000094060000}"/>
    <cellStyle name="60% - Accent6 4" xfId="1849" xr:uid="{00000000-0005-0000-0000-000095060000}"/>
    <cellStyle name="60% - Accent6 40" xfId="1850" xr:uid="{00000000-0005-0000-0000-000096060000}"/>
    <cellStyle name="60% - Accent6 41" xfId="1851" xr:uid="{00000000-0005-0000-0000-000097060000}"/>
    <cellStyle name="60% - Accent6 42" xfId="1852" xr:uid="{00000000-0005-0000-0000-000098060000}"/>
    <cellStyle name="60% - Accent6 5" xfId="1853" xr:uid="{00000000-0005-0000-0000-000099060000}"/>
    <cellStyle name="60% - Accent6 6" xfId="1854" xr:uid="{00000000-0005-0000-0000-00009A060000}"/>
    <cellStyle name="60% - Accent6 7" xfId="1855" xr:uid="{00000000-0005-0000-0000-00009B060000}"/>
    <cellStyle name="60% - Accent6 8" xfId="1856" xr:uid="{00000000-0005-0000-0000-00009C060000}"/>
    <cellStyle name="60% - Accent6 9" xfId="1857" xr:uid="{00000000-0005-0000-0000-00009D060000}"/>
    <cellStyle name="60% - Colore 1" xfId="68" xr:uid="{00000000-0005-0000-0000-00009E060000}"/>
    <cellStyle name="60% - Colore 1 2" xfId="1858" xr:uid="{00000000-0005-0000-0000-00009F060000}"/>
    <cellStyle name="60% - Colore 1 2 2" xfId="1859" xr:uid="{00000000-0005-0000-0000-0000A0060000}"/>
    <cellStyle name="60% - Colore 1 3" xfId="1860" xr:uid="{00000000-0005-0000-0000-0000A1060000}"/>
    <cellStyle name="60% - Colore 1 4" xfId="1861" xr:uid="{00000000-0005-0000-0000-0000A2060000}"/>
    <cellStyle name="60% - Colore 1 5" xfId="1862" xr:uid="{00000000-0005-0000-0000-0000A3060000}"/>
    <cellStyle name="60% - Colore 1_MCEV_activiteiten 2012Q4 gedeeld op 11-1-2012" xfId="1863" xr:uid="{00000000-0005-0000-0000-0000A4060000}"/>
    <cellStyle name="60% - Colore 2" xfId="69" xr:uid="{00000000-0005-0000-0000-0000A5060000}"/>
    <cellStyle name="60% - Colore 2 2" xfId="1864" xr:uid="{00000000-0005-0000-0000-0000A6060000}"/>
    <cellStyle name="60% - Colore 2 2 2" xfId="1865" xr:uid="{00000000-0005-0000-0000-0000A7060000}"/>
    <cellStyle name="60% - Colore 2 3" xfId="1866" xr:uid="{00000000-0005-0000-0000-0000A8060000}"/>
    <cellStyle name="60% - Colore 2 4" xfId="1867" xr:uid="{00000000-0005-0000-0000-0000A9060000}"/>
    <cellStyle name="60% - Colore 2 5" xfId="1868" xr:uid="{00000000-0005-0000-0000-0000AA060000}"/>
    <cellStyle name="60% - Colore 2_MCEV_activiteiten 2012Q4 gedeeld op 11-1-2012" xfId="1869" xr:uid="{00000000-0005-0000-0000-0000AB060000}"/>
    <cellStyle name="60% - Colore 3" xfId="70" xr:uid="{00000000-0005-0000-0000-0000AC060000}"/>
    <cellStyle name="60% - Colore 3 2" xfId="1870" xr:uid="{00000000-0005-0000-0000-0000AD060000}"/>
    <cellStyle name="60% - Colore 3 2 2" xfId="1871" xr:uid="{00000000-0005-0000-0000-0000AE060000}"/>
    <cellStyle name="60% - Colore 3 3" xfId="1872" xr:uid="{00000000-0005-0000-0000-0000AF060000}"/>
    <cellStyle name="60% - Colore 3 4" xfId="1873" xr:uid="{00000000-0005-0000-0000-0000B0060000}"/>
    <cellStyle name="60% - Colore 3 5" xfId="1874" xr:uid="{00000000-0005-0000-0000-0000B1060000}"/>
    <cellStyle name="60% - Colore 3_MCEV_activiteiten 2012Q4 gedeeld op 11-1-2012" xfId="1875" xr:uid="{00000000-0005-0000-0000-0000B2060000}"/>
    <cellStyle name="60% - Colore 4" xfId="71" xr:uid="{00000000-0005-0000-0000-0000B3060000}"/>
    <cellStyle name="60% - Colore 4 2" xfId="1876" xr:uid="{00000000-0005-0000-0000-0000B4060000}"/>
    <cellStyle name="60% - Colore 4 2 2" xfId="1877" xr:uid="{00000000-0005-0000-0000-0000B5060000}"/>
    <cellStyle name="60% - Colore 4 3" xfId="1878" xr:uid="{00000000-0005-0000-0000-0000B6060000}"/>
    <cellStyle name="60% - Colore 4 4" xfId="1879" xr:uid="{00000000-0005-0000-0000-0000B7060000}"/>
    <cellStyle name="60% - Colore 4 5" xfId="1880" xr:uid="{00000000-0005-0000-0000-0000B8060000}"/>
    <cellStyle name="60% - Colore 4_MCEV_activiteiten 2012Q4 gedeeld op 11-1-2012" xfId="1881" xr:uid="{00000000-0005-0000-0000-0000B9060000}"/>
    <cellStyle name="60% - Colore 5" xfId="72" xr:uid="{00000000-0005-0000-0000-0000BA060000}"/>
    <cellStyle name="60% - Colore 5 2" xfId="1882" xr:uid="{00000000-0005-0000-0000-0000BB060000}"/>
    <cellStyle name="60% - Colore 5 2 2" xfId="1883" xr:uid="{00000000-0005-0000-0000-0000BC060000}"/>
    <cellStyle name="60% - Colore 5 3" xfId="1884" xr:uid="{00000000-0005-0000-0000-0000BD060000}"/>
    <cellStyle name="60% - Colore 5 4" xfId="1885" xr:uid="{00000000-0005-0000-0000-0000BE060000}"/>
    <cellStyle name="60% - Colore 5 5" xfId="1886" xr:uid="{00000000-0005-0000-0000-0000BF060000}"/>
    <cellStyle name="60% - Colore 5_MCEV_activiteiten 2012Q4 gedeeld op 11-1-2012" xfId="1887" xr:uid="{00000000-0005-0000-0000-0000C0060000}"/>
    <cellStyle name="60% - Colore 6" xfId="73" xr:uid="{00000000-0005-0000-0000-0000C1060000}"/>
    <cellStyle name="60% - Colore 6 2" xfId="1888" xr:uid="{00000000-0005-0000-0000-0000C2060000}"/>
    <cellStyle name="60% - Colore 6 2 2" xfId="1889" xr:uid="{00000000-0005-0000-0000-0000C3060000}"/>
    <cellStyle name="60% - Colore 6 3" xfId="1890" xr:uid="{00000000-0005-0000-0000-0000C4060000}"/>
    <cellStyle name="60% - Colore 6 4" xfId="1891" xr:uid="{00000000-0005-0000-0000-0000C5060000}"/>
    <cellStyle name="60% - Colore 6 5" xfId="1892" xr:uid="{00000000-0005-0000-0000-0000C6060000}"/>
    <cellStyle name="60% - Colore 6_MCEV_activiteiten 2012Q4 gedeeld op 11-1-2012" xfId="1893" xr:uid="{00000000-0005-0000-0000-0000C7060000}"/>
    <cellStyle name="60% - Cor1" xfId="1894" xr:uid="{00000000-0005-0000-0000-0000C8060000}"/>
    <cellStyle name="60% - Cor2" xfId="1895" xr:uid="{00000000-0005-0000-0000-0000C9060000}"/>
    <cellStyle name="60% - Cor3" xfId="1896" xr:uid="{00000000-0005-0000-0000-0000CA060000}"/>
    <cellStyle name="60% - Cor4" xfId="1897" xr:uid="{00000000-0005-0000-0000-0000CB060000}"/>
    <cellStyle name="60% - Cor5" xfId="1898" xr:uid="{00000000-0005-0000-0000-0000CC060000}"/>
    <cellStyle name="60% - Cor6" xfId="1899" xr:uid="{00000000-0005-0000-0000-0000CD060000}"/>
    <cellStyle name="60% - Énfasis1" xfId="1900" xr:uid="{00000000-0005-0000-0000-0000CE060000}"/>
    <cellStyle name="60% - Énfasis2" xfId="1901" xr:uid="{00000000-0005-0000-0000-0000CF060000}"/>
    <cellStyle name="60% - Énfasis3" xfId="1902" xr:uid="{00000000-0005-0000-0000-0000D0060000}"/>
    <cellStyle name="60% - Énfasis4" xfId="1903" xr:uid="{00000000-0005-0000-0000-0000D1060000}"/>
    <cellStyle name="60% - Énfasis5" xfId="1904" xr:uid="{00000000-0005-0000-0000-0000D2060000}"/>
    <cellStyle name="60% - Énfasis6" xfId="1905" xr:uid="{00000000-0005-0000-0000-0000D3060000}"/>
    <cellStyle name="Accent1" xfId="74" builtinId="29" customBuiltin="1"/>
    <cellStyle name="Accent1 - 20%" xfId="1906" xr:uid="{00000000-0005-0000-0000-0000D5060000}"/>
    <cellStyle name="Accent1 - 40%" xfId="1907" xr:uid="{00000000-0005-0000-0000-0000D6060000}"/>
    <cellStyle name="Accent1 - 60%" xfId="1908" xr:uid="{00000000-0005-0000-0000-0000D7060000}"/>
    <cellStyle name="Accent1 10" xfId="1909" xr:uid="{00000000-0005-0000-0000-0000D8060000}"/>
    <cellStyle name="Accent1 11" xfId="1910" xr:uid="{00000000-0005-0000-0000-0000D9060000}"/>
    <cellStyle name="Accent1 12" xfId="1911" xr:uid="{00000000-0005-0000-0000-0000DA060000}"/>
    <cellStyle name="Accent1 13" xfId="1912" xr:uid="{00000000-0005-0000-0000-0000DB060000}"/>
    <cellStyle name="Accent1 14" xfId="1913" xr:uid="{00000000-0005-0000-0000-0000DC060000}"/>
    <cellStyle name="Accent1 15" xfId="1914" xr:uid="{00000000-0005-0000-0000-0000DD060000}"/>
    <cellStyle name="Accent1 16" xfId="1915" xr:uid="{00000000-0005-0000-0000-0000DE060000}"/>
    <cellStyle name="Accent1 17" xfId="1916" xr:uid="{00000000-0005-0000-0000-0000DF060000}"/>
    <cellStyle name="Accent1 18" xfId="1917" xr:uid="{00000000-0005-0000-0000-0000E0060000}"/>
    <cellStyle name="Accent1 19" xfId="1918" xr:uid="{00000000-0005-0000-0000-0000E1060000}"/>
    <cellStyle name="Accent1 2" xfId="206" xr:uid="{00000000-0005-0000-0000-0000E2060000}"/>
    <cellStyle name="Accent1 2 2" xfId="1919" xr:uid="{00000000-0005-0000-0000-0000E3060000}"/>
    <cellStyle name="Accent1 20" xfId="1920" xr:uid="{00000000-0005-0000-0000-0000E4060000}"/>
    <cellStyle name="Accent1 21" xfId="1921" xr:uid="{00000000-0005-0000-0000-0000E5060000}"/>
    <cellStyle name="Accent1 22" xfId="1922" xr:uid="{00000000-0005-0000-0000-0000E6060000}"/>
    <cellStyle name="Accent1 23" xfId="1923" xr:uid="{00000000-0005-0000-0000-0000E7060000}"/>
    <cellStyle name="Accent1 24" xfId="1924" xr:uid="{00000000-0005-0000-0000-0000E8060000}"/>
    <cellStyle name="Accent1 25" xfId="1925" xr:uid="{00000000-0005-0000-0000-0000E9060000}"/>
    <cellStyle name="Accent1 26" xfId="1926" xr:uid="{00000000-0005-0000-0000-0000EA060000}"/>
    <cellStyle name="Accent1 27" xfId="1927" xr:uid="{00000000-0005-0000-0000-0000EB060000}"/>
    <cellStyle name="Accent1 28" xfId="1928" xr:uid="{00000000-0005-0000-0000-0000EC060000}"/>
    <cellStyle name="Accent1 29" xfId="1929" xr:uid="{00000000-0005-0000-0000-0000ED060000}"/>
    <cellStyle name="Accent1 3" xfId="1930" xr:uid="{00000000-0005-0000-0000-0000EE060000}"/>
    <cellStyle name="Accent1 30" xfId="1931" xr:uid="{00000000-0005-0000-0000-0000EF060000}"/>
    <cellStyle name="Accent1 31" xfId="1932" xr:uid="{00000000-0005-0000-0000-0000F0060000}"/>
    <cellStyle name="Accent1 32" xfId="1933" xr:uid="{00000000-0005-0000-0000-0000F1060000}"/>
    <cellStyle name="Accent1 33" xfId="1934" xr:uid="{00000000-0005-0000-0000-0000F2060000}"/>
    <cellStyle name="Accent1 34" xfId="1935" xr:uid="{00000000-0005-0000-0000-0000F3060000}"/>
    <cellStyle name="Accent1 35" xfId="1936" xr:uid="{00000000-0005-0000-0000-0000F4060000}"/>
    <cellStyle name="Accent1 36" xfId="1937" xr:uid="{00000000-0005-0000-0000-0000F5060000}"/>
    <cellStyle name="Accent1 37" xfId="1938" xr:uid="{00000000-0005-0000-0000-0000F6060000}"/>
    <cellStyle name="Accent1 38" xfId="1939" xr:uid="{00000000-0005-0000-0000-0000F7060000}"/>
    <cellStyle name="Accent1 39" xfId="1940" xr:uid="{00000000-0005-0000-0000-0000F8060000}"/>
    <cellStyle name="Accent1 4" xfId="1941" xr:uid="{00000000-0005-0000-0000-0000F9060000}"/>
    <cellStyle name="Accent1 40" xfId="1942" xr:uid="{00000000-0005-0000-0000-0000FA060000}"/>
    <cellStyle name="Accent1 41" xfId="1943" xr:uid="{00000000-0005-0000-0000-0000FB060000}"/>
    <cellStyle name="Accent1 42" xfId="1944" xr:uid="{00000000-0005-0000-0000-0000FC060000}"/>
    <cellStyle name="Accent1 43" xfId="1945" xr:uid="{00000000-0005-0000-0000-0000FD060000}"/>
    <cellStyle name="Accent1 5" xfId="1946" xr:uid="{00000000-0005-0000-0000-0000FE060000}"/>
    <cellStyle name="Accent1 6" xfId="1947" xr:uid="{00000000-0005-0000-0000-0000FF060000}"/>
    <cellStyle name="Accent1 7" xfId="1948" xr:uid="{00000000-0005-0000-0000-000000070000}"/>
    <cellStyle name="Accent1 8" xfId="1949" xr:uid="{00000000-0005-0000-0000-000001070000}"/>
    <cellStyle name="Accent1 9" xfId="1950" xr:uid="{00000000-0005-0000-0000-000002070000}"/>
    <cellStyle name="Accent2" xfId="75" builtinId="33" customBuiltin="1"/>
    <cellStyle name="Accent2 - 20%" xfId="1951" xr:uid="{00000000-0005-0000-0000-000004070000}"/>
    <cellStyle name="Accent2 - 40%" xfId="1952" xr:uid="{00000000-0005-0000-0000-000005070000}"/>
    <cellStyle name="Accent2 - 60%" xfId="1953" xr:uid="{00000000-0005-0000-0000-000006070000}"/>
    <cellStyle name="Accent2 10" xfId="1954" xr:uid="{00000000-0005-0000-0000-000007070000}"/>
    <cellStyle name="Accent2 11" xfId="1955" xr:uid="{00000000-0005-0000-0000-000008070000}"/>
    <cellStyle name="Accent2 12" xfId="1956" xr:uid="{00000000-0005-0000-0000-000009070000}"/>
    <cellStyle name="Accent2 13" xfId="1957" xr:uid="{00000000-0005-0000-0000-00000A070000}"/>
    <cellStyle name="Accent2 14" xfId="1958" xr:uid="{00000000-0005-0000-0000-00000B070000}"/>
    <cellStyle name="Accent2 15" xfId="1959" xr:uid="{00000000-0005-0000-0000-00000C070000}"/>
    <cellStyle name="Accent2 16" xfId="1960" xr:uid="{00000000-0005-0000-0000-00000D070000}"/>
    <cellStyle name="Accent2 17" xfId="1961" xr:uid="{00000000-0005-0000-0000-00000E070000}"/>
    <cellStyle name="Accent2 18" xfId="1962" xr:uid="{00000000-0005-0000-0000-00000F070000}"/>
    <cellStyle name="Accent2 19" xfId="1963" xr:uid="{00000000-0005-0000-0000-000010070000}"/>
    <cellStyle name="Accent2 2" xfId="207" xr:uid="{00000000-0005-0000-0000-000011070000}"/>
    <cellStyle name="Accent2 2 2" xfId="1964" xr:uid="{00000000-0005-0000-0000-000012070000}"/>
    <cellStyle name="Accent2 20" xfId="1965" xr:uid="{00000000-0005-0000-0000-000013070000}"/>
    <cellStyle name="Accent2 21" xfId="1966" xr:uid="{00000000-0005-0000-0000-000014070000}"/>
    <cellStyle name="Accent2 22" xfId="1967" xr:uid="{00000000-0005-0000-0000-000015070000}"/>
    <cellStyle name="Accent2 23" xfId="1968" xr:uid="{00000000-0005-0000-0000-000016070000}"/>
    <cellStyle name="Accent2 24" xfId="1969" xr:uid="{00000000-0005-0000-0000-000017070000}"/>
    <cellStyle name="Accent2 25" xfId="1970" xr:uid="{00000000-0005-0000-0000-000018070000}"/>
    <cellStyle name="Accent2 26" xfId="1971" xr:uid="{00000000-0005-0000-0000-000019070000}"/>
    <cellStyle name="Accent2 27" xfId="1972" xr:uid="{00000000-0005-0000-0000-00001A070000}"/>
    <cellStyle name="Accent2 28" xfId="1973" xr:uid="{00000000-0005-0000-0000-00001B070000}"/>
    <cellStyle name="Accent2 29" xfId="1974" xr:uid="{00000000-0005-0000-0000-00001C070000}"/>
    <cellStyle name="Accent2 3" xfId="1975" xr:uid="{00000000-0005-0000-0000-00001D070000}"/>
    <cellStyle name="Accent2 30" xfId="1976" xr:uid="{00000000-0005-0000-0000-00001E070000}"/>
    <cellStyle name="Accent2 31" xfId="1977" xr:uid="{00000000-0005-0000-0000-00001F070000}"/>
    <cellStyle name="Accent2 32" xfId="1978" xr:uid="{00000000-0005-0000-0000-000020070000}"/>
    <cellStyle name="Accent2 33" xfId="1979" xr:uid="{00000000-0005-0000-0000-000021070000}"/>
    <cellStyle name="Accent2 34" xfId="1980" xr:uid="{00000000-0005-0000-0000-000022070000}"/>
    <cellStyle name="Accent2 35" xfId="1981" xr:uid="{00000000-0005-0000-0000-000023070000}"/>
    <cellStyle name="Accent2 36" xfId="1982" xr:uid="{00000000-0005-0000-0000-000024070000}"/>
    <cellStyle name="Accent2 37" xfId="1983" xr:uid="{00000000-0005-0000-0000-000025070000}"/>
    <cellStyle name="Accent2 38" xfId="1984" xr:uid="{00000000-0005-0000-0000-000026070000}"/>
    <cellStyle name="Accent2 39" xfId="1985" xr:uid="{00000000-0005-0000-0000-000027070000}"/>
    <cellStyle name="Accent2 4" xfId="1986" xr:uid="{00000000-0005-0000-0000-000028070000}"/>
    <cellStyle name="Accent2 40" xfId="1987" xr:uid="{00000000-0005-0000-0000-000029070000}"/>
    <cellStyle name="Accent2 41" xfId="1988" xr:uid="{00000000-0005-0000-0000-00002A070000}"/>
    <cellStyle name="Accent2 42" xfId="1989" xr:uid="{00000000-0005-0000-0000-00002B070000}"/>
    <cellStyle name="Accent2 43" xfId="1990" xr:uid="{00000000-0005-0000-0000-00002C070000}"/>
    <cellStyle name="Accent2 5" xfId="1991" xr:uid="{00000000-0005-0000-0000-00002D070000}"/>
    <cellStyle name="Accent2 6" xfId="1992" xr:uid="{00000000-0005-0000-0000-00002E070000}"/>
    <cellStyle name="Accent2 7" xfId="1993" xr:uid="{00000000-0005-0000-0000-00002F070000}"/>
    <cellStyle name="Accent2 8" xfId="1994" xr:uid="{00000000-0005-0000-0000-000030070000}"/>
    <cellStyle name="Accent2 9" xfId="1995" xr:uid="{00000000-0005-0000-0000-000031070000}"/>
    <cellStyle name="Accent3" xfId="76" builtinId="37" customBuiltin="1"/>
    <cellStyle name="Accent3 - 20%" xfId="1996" xr:uid="{00000000-0005-0000-0000-000033070000}"/>
    <cellStyle name="Accent3 - 40%" xfId="1997" xr:uid="{00000000-0005-0000-0000-000034070000}"/>
    <cellStyle name="Accent3 - 60%" xfId="1998" xr:uid="{00000000-0005-0000-0000-000035070000}"/>
    <cellStyle name="Accent3 10" xfId="1999" xr:uid="{00000000-0005-0000-0000-000036070000}"/>
    <cellStyle name="Accent3 11" xfId="2000" xr:uid="{00000000-0005-0000-0000-000037070000}"/>
    <cellStyle name="Accent3 12" xfId="2001" xr:uid="{00000000-0005-0000-0000-000038070000}"/>
    <cellStyle name="Accent3 13" xfId="2002" xr:uid="{00000000-0005-0000-0000-000039070000}"/>
    <cellStyle name="Accent3 14" xfId="2003" xr:uid="{00000000-0005-0000-0000-00003A070000}"/>
    <cellStyle name="Accent3 15" xfId="2004" xr:uid="{00000000-0005-0000-0000-00003B070000}"/>
    <cellStyle name="Accent3 16" xfId="2005" xr:uid="{00000000-0005-0000-0000-00003C070000}"/>
    <cellStyle name="Accent3 17" xfId="2006" xr:uid="{00000000-0005-0000-0000-00003D070000}"/>
    <cellStyle name="Accent3 18" xfId="2007" xr:uid="{00000000-0005-0000-0000-00003E070000}"/>
    <cellStyle name="Accent3 19" xfId="2008" xr:uid="{00000000-0005-0000-0000-00003F070000}"/>
    <cellStyle name="Accent3 2" xfId="208" xr:uid="{00000000-0005-0000-0000-000040070000}"/>
    <cellStyle name="Accent3 2 2" xfId="2009" xr:uid="{00000000-0005-0000-0000-000041070000}"/>
    <cellStyle name="Accent3 20" xfId="2010" xr:uid="{00000000-0005-0000-0000-000042070000}"/>
    <cellStyle name="Accent3 21" xfId="2011" xr:uid="{00000000-0005-0000-0000-000043070000}"/>
    <cellStyle name="Accent3 22" xfId="2012" xr:uid="{00000000-0005-0000-0000-000044070000}"/>
    <cellStyle name="Accent3 23" xfId="2013" xr:uid="{00000000-0005-0000-0000-000045070000}"/>
    <cellStyle name="Accent3 24" xfId="2014" xr:uid="{00000000-0005-0000-0000-000046070000}"/>
    <cellStyle name="Accent3 25" xfId="2015" xr:uid="{00000000-0005-0000-0000-000047070000}"/>
    <cellStyle name="Accent3 26" xfId="2016" xr:uid="{00000000-0005-0000-0000-000048070000}"/>
    <cellStyle name="Accent3 27" xfId="2017" xr:uid="{00000000-0005-0000-0000-000049070000}"/>
    <cellStyle name="Accent3 28" xfId="2018" xr:uid="{00000000-0005-0000-0000-00004A070000}"/>
    <cellStyle name="Accent3 29" xfId="2019" xr:uid="{00000000-0005-0000-0000-00004B070000}"/>
    <cellStyle name="Accent3 3" xfId="2020" xr:uid="{00000000-0005-0000-0000-00004C070000}"/>
    <cellStyle name="Accent3 30" xfId="2021" xr:uid="{00000000-0005-0000-0000-00004D070000}"/>
    <cellStyle name="Accent3 31" xfId="2022" xr:uid="{00000000-0005-0000-0000-00004E070000}"/>
    <cellStyle name="Accent3 32" xfId="2023" xr:uid="{00000000-0005-0000-0000-00004F070000}"/>
    <cellStyle name="Accent3 33" xfId="2024" xr:uid="{00000000-0005-0000-0000-000050070000}"/>
    <cellStyle name="Accent3 34" xfId="2025" xr:uid="{00000000-0005-0000-0000-000051070000}"/>
    <cellStyle name="Accent3 35" xfId="2026" xr:uid="{00000000-0005-0000-0000-000052070000}"/>
    <cellStyle name="Accent3 36" xfId="2027" xr:uid="{00000000-0005-0000-0000-000053070000}"/>
    <cellStyle name="Accent3 37" xfId="2028" xr:uid="{00000000-0005-0000-0000-000054070000}"/>
    <cellStyle name="Accent3 38" xfId="2029" xr:uid="{00000000-0005-0000-0000-000055070000}"/>
    <cellStyle name="Accent3 39" xfId="2030" xr:uid="{00000000-0005-0000-0000-000056070000}"/>
    <cellStyle name="Accent3 4" xfId="2031" xr:uid="{00000000-0005-0000-0000-000057070000}"/>
    <cellStyle name="Accent3 40" xfId="2032" xr:uid="{00000000-0005-0000-0000-000058070000}"/>
    <cellStyle name="Accent3 41" xfId="2033" xr:uid="{00000000-0005-0000-0000-000059070000}"/>
    <cellStyle name="Accent3 42" xfId="2034" xr:uid="{00000000-0005-0000-0000-00005A070000}"/>
    <cellStyle name="Accent3 43" xfId="2035" xr:uid="{00000000-0005-0000-0000-00005B070000}"/>
    <cellStyle name="Accent3 5" xfId="2036" xr:uid="{00000000-0005-0000-0000-00005C070000}"/>
    <cellStyle name="Accent3 6" xfId="2037" xr:uid="{00000000-0005-0000-0000-00005D070000}"/>
    <cellStyle name="Accent3 7" xfId="2038" xr:uid="{00000000-0005-0000-0000-00005E070000}"/>
    <cellStyle name="Accent3 8" xfId="2039" xr:uid="{00000000-0005-0000-0000-00005F070000}"/>
    <cellStyle name="Accent3 9" xfId="2040" xr:uid="{00000000-0005-0000-0000-000060070000}"/>
    <cellStyle name="Accent4" xfId="77" builtinId="41" customBuiltin="1"/>
    <cellStyle name="Accent4 - 20%" xfId="2041" xr:uid="{00000000-0005-0000-0000-000062070000}"/>
    <cellStyle name="Accent4 - 40%" xfId="2042" xr:uid="{00000000-0005-0000-0000-000063070000}"/>
    <cellStyle name="Accent4 - 60%" xfId="2043" xr:uid="{00000000-0005-0000-0000-000064070000}"/>
    <cellStyle name="Accent4 10" xfId="2044" xr:uid="{00000000-0005-0000-0000-000065070000}"/>
    <cellStyle name="Accent4 11" xfId="2045" xr:uid="{00000000-0005-0000-0000-000066070000}"/>
    <cellStyle name="Accent4 12" xfId="2046" xr:uid="{00000000-0005-0000-0000-000067070000}"/>
    <cellStyle name="Accent4 13" xfId="2047" xr:uid="{00000000-0005-0000-0000-000068070000}"/>
    <cellStyle name="Accent4 14" xfId="2048" xr:uid="{00000000-0005-0000-0000-000069070000}"/>
    <cellStyle name="Accent4 15" xfId="2049" xr:uid="{00000000-0005-0000-0000-00006A070000}"/>
    <cellStyle name="Accent4 16" xfId="2050" xr:uid="{00000000-0005-0000-0000-00006B070000}"/>
    <cellStyle name="Accent4 17" xfId="2051" xr:uid="{00000000-0005-0000-0000-00006C070000}"/>
    <cellStyle name="Accent4 18" xfId="2052" xr:uid="{00000000-0005-0000-0000-00006D070000}"/>
    <cellStyle name="Accent4 19" xfId="2053" xr:uid="{00000000-0005-0000-0000-00006E070000}"/>
    <cellStyle name="Accent4 2" xfId="209" xr:uid="{00000000-0005-0000-0000-00006F070000}"/>
    <cellStyle name="Accent4 2 2" xfId="2054" xr:uid="{00000000-0005-0000-0000-000070070000}"/>
    <cellStyle name="Accent4 20" xfId="2055" xr:uid="{00000000-0005-0000-0000-000071070000}"/>
    <cellStyle name="Accent4 21" xfId="2056" xr:uid="{00000000-0005-0000-0000-000072070000}"/>
    <cellStyle name="Accent4 22" xfId="2057" xr:uid="{00000000-0005-0000-0000-000073070000}"/>
    <cellStyle name="Accent4 23" xfId="2058" xr:uid="{00000000-0005-0000-0000-000074070000}"/>
    <cellStyle name="Accent4 24" xfId="2059" xr:uid="{00000000-0005-0000-0000-000075070000}"/>
    <cellStyle name="Accent4 25" xfId="2060" xr:uid="{00000000-0005-0000-0000-000076070000}"/>
    <cellStyle name="Accent4 26" xfId="2061" xr:uid="{00000000-0005-0000-0000-000077070000}"/>
    <cellStyle name="Accent4 27" xfId="2062" xr:uid="{00000000-0005-0000-0000-000078070000}"/>
    <cellStyle name="Accent4 28" xfId="2063" xr:uid="{00000000-0005-0000-0000-000079070000}"/>
    <cellStyle name="Accent4 29" xfId="2064" xr:uid="{00000000-0005-0000-0000-00007A070000}"/>
    <cellStyle name="Accent4 3" xfId="2065" xr:uid="{00000000-0005-0000-0000-00007B070000}"/>
    <cellStyle name="Accent4 30" xfId="2066" xr:uid="{00000000-0005-0000-0000-00007C070000}"/>
    <cellStyle name="Accent4 31" xfId="2067" xr:uid="{00000000-0005-0000-0000-00007D070000}"/>
    <cellStyle name="Accent4 32" xfId="2068" xr:uid="{00000000-0005-0000-0000-00007E070000}"/>
    <cellStyle name="Accent4 33" xfId="2069" xr:uid="{00000000-0005-0000-0000-00007F070000}"/>
    <cellStyle name="Accent4 34" xfId="2070" xr:uid="{00000000-0005-0000-0000-000080070000}"/>
    <cellStyle name="Accent4 35" xfId="2071" xr:uid="{00000000-0005-0000-0000-000081070000}"/>
    <cellStyle name="Accent4 36" xfId="2072" xr:uid="{00000000-0005-0000-0000-000082070000}"/>
    <cellStyle name="Accent4 37" xfId="2073" xr:uid="{00000000-0005-0000-0000-000083070000}"/>
    <cellStyle name="Accent4 38" xfId="2074" xr:uid="{00000000-0005-0000-0000-000084070000}"/>
    <cellStyle name="Accent4 39" xfId="2075" xr:uid="{00000000-0005-0000-0000-000085070000}"/>
    <cellStyle name="Accent4 4" xfId="2076" xr:uid="{00000000-0005-0000-0000-000086070000}"/>
    <cellStyle name="Accent4 40" xfId="2077" xr:uid="{00000000-0005-0000-0000-000087070000}"/>
    <cellStyle name="Accent4 41" xfId="2078" xr:uid="{00000000-0005-0000-0000-000088070000}"/>
    <cellStyle name="Accent4 42" xfId="2079" xr:uid="{00000000-0005-0000-0000-000089070000}"/>
    <cellStyle name="Accent4 43" xfId="2080" xr:uid="{00000000-0005-0000-0000-00008A070000}"/>
    <cellStyle name="Accent4 5" xfId="2081" xr:uid="{00000000-0005-0000-0000-00008B070000}"/>
    <cellStyle name="Accent4 6" xfId="2082" xr:uid="{00000000-0005-0000-0000-00008C070000}"/>
    <cellStyle name="Accent4 7" xfId="2083" xr:uid="{00000000-0005-0000-0000-00008D070000}"/>
    <cellStyle name="Accent4 8" xfId="2084" xr:uid="{00000000-0005-0000-0000-00008E070000}"/>
    <cellStyle name="Accent4 9" xfId="2085" xr:uid="{00000000-0005-0000-0000-00008F070000}"/>
    <cellStyle name="Accent5" xfId="78" builtinId="45" customBuiltin="1"/>
    <cellStyle name="Accent5 - 20%" xfId="2086" xr:uid="{00000000-0005-0000-0000-000091070000}"/>
    <cellStyle name="Accent5 - 40%" xfId="2087" xr:uid="{00000000-0005-0000-0000-000092070000}"/>
    <cellStyle name="Accent5 - 60%" xfId="2088" xr:uid="{00000000-0005-0000-0000-000093070000}"/>
    <cellStyle name="Accent5 10" xfId="2089" xr:uid="{00000000-0005-0000-0000-000094070000}"/>
    <cellStyle name="Accent5 11" xfId="2090" xr:uid="{00000000-0005-0000-0000-000095070000}"/>
    <cellStyle name="Accent5 12" xfId="2091" xr:uid="{00000000-0005-0000-0000-000096070000}"/>
    <cellStyle name="Accent5 13" xfId="2092" xr:uid="{00000000-0005-0000-0000-000097070000}"/>
    <cellStyle name="Accent5 14" xfId="2093" xr:uid="{00000000-0005-0000-0000-000098070000}"/>
    <cellStyle name="Accent5 15" xfId="2094" xr:uid="{00000000-0005-0000-0000-000099070000}"/>
    <cellStyle name="Accent5 16" xfId="2095" xr:uid="{00000000-0005-0000-0000-00009A070000}"/>
    <cellStyle name="Accent5 17" xfId="2096" xr:uid="{00000000-0005-0000-0000-00009B070000}"/>
    <cellStyle name="Accent5 18" xfId="2097" xr:uid="{00000000-0005-0000-0000-00009C070000}"/>
    <cellStyle name="Accent5 19" xfId="2098" xr:uid="{00000000-0005-0000-0000-00009D070000}"/>
    <cellStyle name="Accent5 2" xfId="210" xr:uid="{00000000-0005-0000-0000-00009E070000}"/>
    <cellStyle name="Accent5 2 2" xfId="2099" xr:uid="{00000000-0005-0000-0000-00009F070000}"/>
    <cellStyle name="Accent5 20" xfId="2100" xr:uid="{00000000-0005-0000-0000-0000A0070000}"/>
    <cellStyle name="Accent5 21" xfId="2101" xr:uid="{00000000-0005-0000-0000-0000A1070000}"/>
    <cellStyle name="Accent5 22" xfId="2102" xr:uid="{00000000-0005-0000-0000-0000A2070000}"/>
    <cellStyle name="Accent5 23" xfId="2103" xr:uid="{00000000-0005-0000-0000-0000A3070000}"/>
    <cellStyle name="Accent5 24" xfId="2104" xr:uid="{00000000-0005-0000-0000-0000A4070000}"/>
    <cellStyle name="Accent5 25" xfId="2105" xr:uid="{00000000-0005-0000-0000-0000A5070000}"/>
    <cellStyle name="Accent5 26" xfId="2106" xr:uid="{00000000-0005-0000-0000-0000A6070000}"/>
    <cellStyle name="Accent5 27" xfId="2107" xr:uid="{00000000-0005-0000-0000-0000A7070000}"/>
    <cellStyle name="Accent5 28" xfId="2108" xr:uid="{00000000-0005-0000-0000-0000A8070000}"/>
    <cellStyle name="Accent5 29" xfId="2109" xr:uid="{00000000-0005-0000-0000-0000A9070000}"/>
    <cellStyle name="Accent5 3" xfId="2110" xr:uid="{00000000-0005-0000-0000-0000AA070000}"/>
    <cellStyle name="Accent5 30" xfId="2111" xr:uid="{00000000-0005-0000-0000-0000AB070000}"/>
    <cellStyle name="Accent5 31" xfId="2112" xr:uid="{00000000-0005-0000-0000-0000AC070000}"/>
    <cellStyle name="Accent5 32" xfId="2113" xr:uid="{00000000-0005-0000-0000-0000AD070000}"/>
    <cellStyle name="Accent5 33" xfId="2114" xr:uid="{00000000-0005-0000-0000-0000AE070000}"/>
    <cellStyle name="Accent5 34" xfId="2115" xr:uid="{00000000-0005-0000-0000-0000AF070000}"/>
    <cellStyle name="Accent5 35" xfId="2116" xr:uid="{00000000-0005-0000-0000-0000B0070000}"/>
    <cellStyle name="Accent5 36" xfId="2117" xr:uid="{00000000-0005-0000-0000-0000B1070000}"/>
    <cellStyle name="Accent5 37" xfId="2118" xr:uid="{00000000-0005-0000-0000-0000B2070000}"/>
    <cellStyle name="Accent5 38" xfId="2119" xr:uid="{00000000-0005-0000-0000-0000B3070000}"/>
    <cellStyle name="Accent5 39" xfId="2120" xr:uid="{00000000-0005-0000-0000-0000B4070000}"/>
    <cellStyle name="Accent5 4" xfId="2121" xr:uid="{00000000-0005-0000-0000-0000B5070000}"/>
    <cellStyle name="Accent5 40" xfId="2122" xr:uid="{00000000-0005-0000-0000-0000B6070000}"/>
    <cellStyle name="Accent5 41" xfId="2123" xr:uid="{00000000-0005-0000-0000-0000B7070000}"/>
    <cellStyle name="Accent5 42" xfId="2124" xr:uid="{00000000-0005-0000-0000-0000B8070000}"/>
    <cellStyle name="Accent5 43" xfId="2125" xr:uid="{00000000-0005-0000-0000-0000B9070000}"/>
    <cellStyle name="Accent5 5" xfId="2126" xr:uid="{00000000-0005-0000-0000-0000BA070000}"/>
    <cellStyle name="Accent5 6" xfId="2127" xr:uid="{00000000-0005-0000-0000-0000BB070000}"/>
    <cellStyle name="Accent5 7" xfId="2128" xr:uid="{00000000-0005-0000-0000-0000BC070000}"/>
    <cellStyle name="Accent5 8" xfId="2129" xr:uid="{00000000-0005-0000-0000-0000BD070000}"/>
    <cellStyle name="Accent5 9" xfId="2130" xr:uid="{00000000-0005-0000-0000-0000BE070000}"/>
    <cellStyle name="Accent6" xfId="79" builtinId="49" customBuiltin="1"/>
    <cellStyle name="Accent6 - 20%" xfId="2131" xr:uid="{00000000-0005-0000-0000-0000C0070000}"/>
    <cellStyle name="Accent6 - 40%" xfId="2132" xr:uid="{00000000-0005-0000-0000-0000C1070000}"/>
    <cellStyle name="Accent6 - 60%" xfId="2133" xr:uid="{00000000-0005-0000-0000-0000C2070000}"/>
    <cellStyle name="Accent6 10" xfId="2134" xr:uid="{00000000-0005-0000-0000-0000C3070000}"/>
    <cellStyle name="Accent6 11" xfId="2135" xr:uid="{00000000-0005-0000-0000-0000C4070000}"/>
    <cellStyle name="Accent6 12" xfId="2136" xr:uid="{00000000-0005-0000-0000-0000C5070000}"/>
    <cellStyle name="Accent6 13" xfId="2137" xr:uid="{00000000-0005-0000-0000-0000C6070000}"/>
    <cellStyle name="Accent6 14" xfId="2138" xr:uid="{00000000-0005-0000-0000-0000C7070000}"/>
    <cellStyle name="Accent6 15" xfId="2139" xr:uid="{00000000-0005-0000-0000-0000C8070000}"/>
    <cellStyle name="Accent6 16" xfId="2140" xr:uid="{00000000-0005-0000-0000-0000C9070000}"/>
    <cellStyle name="Accent6 17" xfId="2141" xr:uid="{00000000-0005-0000-0000-0000CA070000}"/>
    <cellStyle name="Accent6 18" xfId="2142" xr:uid="{00000000-0005-0000-0000-0000CB070000}"/>
    <cellStyle name="Accent6 19" xfId="2143" xr:uid="{00000000-0005-0000-0000-0000CC070000}"/>
    <cellStyle name="Accent6 2" xfId="211" xr:uid="{00000000-0005-0000-0000-0000CD070000}"/>
    <cellStyle name="Accent6 2 2" xfId="2144" xr:uid="{00000000-0005-0000-0000-0000CE070000}"/>
    <cellStyle name="Accent6 20" xfId="2145" xr:uid="{00000000-0005-0000-0000-0000CF070000}"/>
    <cellStyle name="Accent6 21" xfId="2146" xr:uid="{00000000-0005-0000-0000-0000D0070000}"/>
    <cellStyle name="Accent6 22" xfId="2147" xr:uid="{00000000-0005-0000-0000-0000D1070000}"/>
    <cellStyle name="Accent6 23" xfId="2148" xr:uid="{00000000-0005-0000-0000-0000D2070000}"/>
    <cellStyle name="Accent6 24" xfId="2149" xr:uid="{00000000-0005-0000-0000-0000D3070000}"/>
    <cellStyle name="Accent6 25" xfId="2150" xr:uid="{00000000-0005-0000-0000-0000D4070000}"/>
    <cellStyle name="Accent6 26" xfId="2151" xr:uid="{00000000-0005-0000-0000-0000D5070000}"/>
    <cellStyle name="Accent6 27" xfId="2152" xr:uid="{00000000-0005-0000-0000-0000D6070000}"/>
    <cellStyle name="Accent6 28" xfId="2153" xr:uid="{00000000-0005-0000-0000-0000D7070000}"/>
    <cellStyle name="Accent6 29" xfId="2154" xr:uid="{00000000-0005-0000-0000-0000D8070000}"/>
    <cellStyle name="Accent6 3" xfId="2155" xr:uid="{00000000-0005-0000-0000-0000D9070000}"/>
    <cellStyle name="Accent6 30" xfId="2156" xr:uid="{00000000-0005-0000-0000-0000DA070000}"/>
    <cellStyle name="Accent6 31" xfId="2157" xr:uid="{00000000-0005-0000-0000-0000DB070000}"/>
    <cellStyle name="Accent6 32" xfId="2158" xr:uid="{00000000-0005-0000-0000-0000DC070000}"/>
    <cellStyle name="Accent6 33" xfId="2159" xr:uid="{00000000-0005-0000-0000-0000DD070000}"/>
    <cellStyle name="Accent6 34" xfId="2160" xr:uid="{00000000-0005-0000-0000-0000DE070000}"/>
    <cellStyle name="Accent6 35" xfId="2161" xr:uid="{00000000-0005-0000-0000-0000DF070000}"/>
    <cellStyle name="Accent6 36" xfId="2162" xr:uid="{00000000-0005-0000-0000-0000E0070000}"/>
    <cellStyle name="Accent6 37" xfId="2163" xr:uid="{00000000-0005-0000-0000-0000E1070000}"/>
    <cellStyle name="Accent6 38" xfId="2164" xr:uid="{00000000-0005-0000-0000-0000E2070000}"/>
    <cellStyle name="Accent6 39" xfId="2165" xr:uid="{00000000-0005-0000-0000-0000E3070000}"/>
    <cellStyle name="Accent6 4" xfId="2166" xr:uid="{00000000-0005-0000-0000-0000E4070000}"/>
    <cellStyle name="Accent6 40" xfId="2167" xr:uid="{00000000-0005-0000-0000-0000E5070000}"/>
    <cellStyle name="Accent6 41" xfId="2168" xr:uid="{00000000-0005-0000-0000-0000E6070000}"/>
    <cellStyle name="Accent6 42" xfId="2169" xr:uid="{00000000-0005-0000-0000-0000E7070000}"/>
    <cellStyle name="Accent6 43" xfId="2170" xr:uid="{00000000-0005-0000-0000-0000E8070000}"/>
    <cellStyle name="Accent6 5" xfId="2171" xr:uid="{00000000-0005-0000-0000-0000E9070000}"/>
    <cellStyle name="Accent6 6" xfId="2172" xr:uid="{00000000-0005-0000-0000-0000EA070000}"/>
    <cellStyle name="Accent6 7" xfId="2173" xr:uid="{00000000-0005-0000-0000-0000EB070000}"/>
    <cellStyle name="Accent6 8" xfId="2174" xr:uid="{00000000-0005-0000-0000-0000EC070000}"/>
    <cellStyle name="Accent6 9" xfId="2175" xr:uid="{00000000-0005-0000-0000-0000ED070000}"/>
    <cellStyle name="Akcent 1 2" xfId="2176" xr:uid="{00000000-0005-0000-0000-0000EE070000}"/>
    <cellStyle name="Akcent 1 3" xfId="2177" xr:uid="{00000000-0005-0000-0000-0000EF070000}"/>
    <cellStyle name="Akcent 1 4" xfId="2178" xr:uid="{00000000-0005-0000-0000-0000F0070000}"/>
    <cellStyle name="Akcent 2 2" xfId="2179" xr:uid="{00000000-0005-0000-0000-0000F1070000}"/>
    <cellStyle name="Akcent 2 3" xfId="2180" xr:uid="{00000000-0005-0000-0000-0000F2070000}"/>
    <cellStyle name="Akcent 2 4" xfId="2181" xr:uid="{00000000-0005-0000-0000-0000F3070000}"/>
    <cellStyle name="Akcent 3 2" xfId="2182" xr:uid="{00000000-0005-0000-0000-0000F4070000}"/>
    <cellStyle name="Akcent 3 3" xfId="2183" xr:uid="{00000000-0005-0000-0000-0000F5070000}"/>
    <cellStyle name="Akcent 3 4" xfId="2184" xr:uid="{00000000-0005-0000-0000-0000F6070000}"/>
    <cellStyle name="Akcent 4 2" xfId="2185" xr:uid="{00000000-0005-0000-0000-0000F7070000}"/>
    <cellStyle name="Akcent 4 3" xfId="2186" xr:uid="{00000000-0005-0000-0000-0000F8070000}"/>
    <cellStyle name="Akcent 4 4" xfId="2187" xr:uid="{00000000-0005-0000-0000-0000F9070000}"/>
    <cellStyle name="Akcent 5 2" xfId="2188" xr:uid="{00000000-0005-0000-0000-0000FA070000}"/>
    <cellStyle name="Akcent 5 3" xfId="2189" xr:uid="{00000000-0005-0000-0000-0000FB070000}"/>
    <cellStyle name="Akcent 5 4" xfId="2190" xr:uid="{00000000-0005-0000-0000-0000FC070000}"/>
    <cellStyle name="Akcent 6 2" xfId="2191" xr:uid="{00000000-0005-0000-0000-0000FD070000}"/>
    <cellStyle name="Akcent 6 3" xfId="2192" xr:uid="{00000000-0005-0000-0000-0000FE070000}"/>
    <cellStyle name="Akcent 6 4" xfId="2193" xr:uid="{00000000-0005-0000-0000-0000FF070000}"/>
    <cellStyle name="Aksentti1" xfId="80" xr:uid="{00000000-0005-0000-0000-000000080000}"/>
    <cellStyle name="Aksentti1 2" xfId="2194" xr:uid="{00000000-0005-0000-0000-000001080000}"/>
    <cellStyle name="Aksentti1 2 2" xfId="2195" xr:uid="{00000000-0005-0000-0000-000002080000}"/>
    <cellStyle name="Aksentti1 3" xfId="2196" xr:uid="{00000000-0005-0000-0000-000003080000}"/>
    <cellStyle name="Aksentti1 4" xfId="2197" xr:uid="{00000000-0005-0000-0000-000004080000}"/>
    <cellStyle name="Aksentti1 5" xfId="2198" xr:uid="{00000000-0005-0000-0000-000005080000}"/>
    <cellStyle name="Aksentti1_MCEV_activiteiten 2012Q4 gedeeld op 11-1-2012" xfId="2199" xr:uid="{00000000-0005-0000-0000-000006080000}"/>
    <cellStyle name="Aksentti2" xfId="81" xr:uid="{00000000-0005-0000-0000-000007080000}"/>
    <cellStyle name="Aksentti2 2" xfId="2200" xr:uid="{00000000-0005-0000-0000-000008080000}"/>
    <cellStyle name="Aksentti2 2 2" xfId="2201" xr:uid="{00000000-0005-0000-0000-000009080000}"/>
    <cellStyle name="Aksentti2 3" xfId="2202" xr:uid="{00000000-0005-0000-0000-00000A080000}"/>
    <cellStyle name="Aksentti2 4" xfId="2203" xr:uid="{00000000-0005-0000-0000-00000B080000}"/>
    <cellStyle name="Aksentti2 5" xfId="2204" xr:uid="{00000000-0005-0000-0000-00000C080000}"/>
    <cellStyle name="Aksentti2_MCEV_activiteiten 2012Q4 gedeeld op 11-1-2012" xfId="2205" xr:uid="{00000000-0005-0000-0000-00000D080000}"/>
    <cellStyle name="Aksentti3" xfId="82" xr:uid="{00000000-0005-0000-0000-00000E080000}"/>
    <cellStyle name="Aksentti3 2" xfId="2206" xr:uid="{00000000-0005-0000-0000-00000F080000}"/>
    <cellStyle name="Aksentti3 2 2" xfId="2207" xr:uid="{00000000-0005-0000-0000-000010080000}"/>
    <cellStyle name="Aksentti3 3" xfId="2208" xr:uid="{00000000-0005-0000-0000-000011080000}"/>
    <cellStyle name="Aksentti3 4" xfId="2209" xr:uid="{00000000-0005-0000-0000-000012080000}"/>
    <cellStyle name="Aksentti3 5" xfId="2210" xr:uid="{00000000-0005-0000-0000-000013080000}"/>
    <cellStyle name="Aksentti3_MCEV_activiteiten 2012Q4 gedeeld op 11-1-2012" xfId="2211" xr:uid="{00000000-0005-0000-0000-000014080000}"/>
    <cellStyle name="Aksentti4" xfId="83" xr:uid="{00000000-0005-0000-0000-000015080000}"/>
    <cellStyle name="Aksentti4 2" xfId="2212" xr:uid="{00000000-0005-0000-0000-000016080000}"/>
    <cellStyle name="Aksentti4 2 2" xfId="2213" xr:uid="{00000000-0005-0000-0000-000017080000}"/>
    <cellStyle name="Aksentti4 3" xfId="2214" xr:uid="{00000000-0005-0000-0000-000018080000}"/>
    <cellStyle name="Aksentti4 4" xfId="2215" xr:uid="{00000000-0005-0000-0000-000019080000}"/>
    <cellStyle name="Aksentti4 5" xfId="2216" xr:uid="{00000000-0005-0000-0000-00001A080000}"/>
    <cellStyle name="Aksentti4_MCEV_activiteiten 2012Q4 gedeeld op 11-1-2012" xfId="2217" xr:uid="{00000000-0005-0000-0000-00001B080000}"/>
    <cellStyle name="Aksentti5" xfId="84" xr:uid="{00000000-0005-0000-0000-00001C080000}"/>
    <cellStyle name="Aksentti5 2" xfId="2218" xr:uid="{00000000-0005-0000-0000-00001D080000}"/>
    <cellStyle name="Aksentti5 2 2" xfId="2219" xr:uid="{00000000-0005-0000-0000-00001E080000}"/>
    <cellStyle name="Aksentti5 3" xfId="2220" xr:uid="{00000000-0005-0000-0000-00001F080000}"/>
    <cellStyle name="Aksentti5 4" xfId="2221" xr:uid="{00000000-0005-0000-0000-000020080000}"/>
    <cellStyle name="Aksentti5 5" xfId="2222" xr:uid="{00000000-0005-0000-0000-000021080000}"/>
    <cellStyle name="Aksentti5_MCEV_activiteiten 2012Q4 gedeeld op 11-1-2012" xfId="2223" xr:uid="{00000000-0005-0000-0000-000022080000}"/>
    <cellStyle name="Aksentti6" xfId="85" xr:uid="{00000000-0005-0000-0000-000023080000}"/>
    <cellStyle name="Aksentti6 2" xfId="2224" xr:uid="{00000000-0005-0000-0000-000024080000}"/>
    <cellStyle name="Aksentti6 2 2" xfId="2225" xr:uid="{00000000-0005-0000-0000-000025080000}"/>
    <cellStyle name="Aksentti6 3" xfId="2226" xr:uid="{00000000-0005-0000-0000-000026080000}"/>
    <cellStyle name="Aksentti6 4" xfId="2227" xr:uid="{00000000-0005-0000-0000-000027080000}"/>
    <cellStyle name="Aksentti6 5" xfId="2228" xr:uid="{00000000-0005-0000-0000-000028080000}"/>
    <cellStyle name="Aksentti6_MCEV_activiteiten 2012Q4 gedeeld op 11-1-2012" xfId="2229" xr:uid="{00000000-0005-0000-0000-000029080000}"/>
    <cellStyle name="Avertissement" xfId="86" xr:uid="{00000000-0005-0000-0000-00002A080000}"/>
    <cellStyle name="Avertissement 2" xfId="2230" xr:uid="{00000000-0005-0000-0000-00002B080000}"/>
    <cellStyle name="Avertissement 3" xfId="2231" xr:uid="{00000000-0005-0000-0000-00002C080000}"/>
    <cellStyle name="Avertissement 4" xfId="2232" xr:uid="{00000000-0005-0000-0000-00002D080000}"/>
    <cellStyle name="Bad" xfId="128" xr:uid="{00000000-0005-0000-0000-00002E080000}"/>
    <cellStyle name="Bad 10" xfId="2233" xr:uid="{00000000-0005-0000-0000-00002F080000}"/>
    <cellStyle name="Bad 100" xfId="2234" xr:uid="{00000000-0005-0000-0000-000030080000}"/>
    <cellStyle name="Bad 1000" xfId="2235" xr:uid="{00000000-0005-0000-0000-000031080000}"/>
    <cellStyle name="Bad 1001" xfId="2236" xr:uid="{00000000-0005-0000-0000-000032080000}"/>
    <cellStyle name="Bad 1002" xfId="2237" xr:uid="{00000000-0005-0000-0000-000033080000}"/>
    <cellStyle name="Bad 1003" xfId="2238" xr:uid="{00000000-0005-0000-0000-000034080000}"/>
    <cellStyle name="Bad 1004" xfId="2239" xr:uid="{00000000-0005-0000-0000-000035080000}"/>
    <cellStyle name="Bad 1005" xfId="2240" xr:uid="{00000000-0005-0000-0000-000036080000}"/>
    <cellStyle name="Bad 1006" xfId="2241" xr:uid="{00000000-0005-0000-0000-000037080000}"/>
    <cellStyle name="Bad 1007" xfId="2242" xr:uid="{00000000-0005-0000-0000-000038080000}"/>
    <cellStyle name="Bad 1008" xfId="2243" xr:uid="{00000000-0005-0000-0000-000039080000}"/>
    <cellStyle name="Bad 1009" xfId="2244" xr:uid="{00000000-0005-0000-0000-00003A080000}"/>
    <cellStyle name="Bad 101" xfId="2245" xr:uid="{00000000-0005-0000-0000-00003B080000}"/>
    <cellStyle name="Bad 1010" xfId="2246" xr:uid="{00000000-0005-0000-0000-00003C080000}"/>
    <cellStyle name="Bad 1011" xfId="2247" xr:uid="{00000000-0005-0000-0000-00003D080000}"/>
    <cellStyle name="Bad 1012" xfId="2248" xr:uid="{00000000-0005-0000-0000-00003E080000}"/>
    <cellStyle name="Bad 1013" xfId="2249" xr:uid="{00000000-0005-0000-0000-00003F080000}"/>
    <cellStyle name="Bad 1014" xfId="2250" xr:uid="{00000000-0005-0000-0000-000040080000}"/>
    <cellStyle name="Bad 1015" xfId="2251" xr:uid="{00000000-0005-0000-0000-000041080000}"/>
    <cellStyle name="Bad 1016" xfId="2252" xr:uid="{00000000-0005-0000-0000-000042080000}"/>
    <cellStyle name="Bad 1017" xfId="2253" xr:uid="{00000000-0005-0000-0000-000043080000}"/>
    <cellStyle name="Bad 1018" xfId="2254" xr:uid="{00000000-0005-0000-0000-000044080000}"/>
    <cellStyle name="Bad 1019" xfId="2255" xr:uid="{00000000-0005-0000-0000-000045080000}"/>
    <cellStyle name="Bad 102" xfId="2256" xr:uid="{00000000-0005-0000-0000-000046080000}"/>
    <cellStyle name="Bad 1020" xfId="2257" xr:uid="{00000000-0005-0000-0000-000047080000}"/>
    <cellStyle name="Bad 1021" xfId="2258" xr:uid="{00000000-0005-0000-0000-000048080000}"/>
    <cellStyle name="Bad 1022" xfId="2259" xr:uid="{00000000-0005-0000-0000-000049080000}"/>
    <cellStyle name="Bad 1023" xfId="2260" xr:uid="{00000000-0005-0000-0000-00004A080000}"/>
    <cellStyle name="Bad 1024" xfId="2261" xr:uid="{00000000-0005-0000-0000-00004B080000}"/>
    <cellStyle name="Bad 1025" xfId="2262" xr:uid="{00000000-0005-0000-0000-00004C080000}"/>
    <cellStyle name="Bad 1026" xfId="2263" xr:uid="{00000000-0005-0000-0000-00004D080000}"/>
    <cellStyle name="Bad 1027" xfId="2264" xr:uid="{00000000-0005-0000-0000-00004E080000}"/>
    <cellStyle name="Bad 1028" xfId="2265" xr:uid="{00000000-0005-0000-0000-00004F080000}"/>
    <cellStyle name="Bad 1029" xfId="2266" xr:uid="{00000000-0005-0000-0000-000050080000}"/>
    <cellStyle name="Bad 103" xfId="2267" xr:uid="{00000000-0005-0000-0000-000051080000}"/>
    <cellStyle name="Bad 1030" xfId="2268" xr:uid="{00000000-0005-0000-0000-000052080000}"/>
    <cellStyle name="Bad 1031" xfId="2269" xr:uid="{00000000-0005-0000-0000-000053080000}"/>
    <cellStyle name="Bad 1032" xfId="2270" xr:uid="{00000000-0005-0000-0000-000054080000}"/>
    <cellStyle name="Bad 1033" xfId="2271" xr:uid="{00000000-0005-0000-0000-000055080000}"/>
    <cellStyle name="Bad 1034" xfId="2272" xr:uid="{00000000-0005-0000-0000-000056080000}"/>
    <cellStyle name="Bad 1035" xfId="2273" xr:uid="{00000000-0005-0000-0000-000057080000}"/>
    <cellStyle name="Bad 1036" xfId="2274" xr:uid="{00000000-0005-0000-0000-000058080000}"/>
    <cellStyle name="Bad 1037" xfId="2275" xr:uid="{00000000-0005-0000-0000-000059080000}"/>
    <cellStyle name="Bad 1038" xfId="2276" xr:uid="{00000000-0005-0000-0000-00005A080000}"/>
    <cellStyle name="Bad 1039" xfId="2277" xr:uid="{00000000-0005-0000-0000-00005B080000}"/>
    <cellStyle name="Bad 104" xfId="2278" xr:uid="{00000000-0005-0000-0000-00005C080000}"/>
    <cellStyle name="Bad 1040" xfId="2279" xr:uid="{00000000-0005-0000-0000-00005D080000}"/>
    <cellStyle name="Bad 1041" xfId="2280" xr:uid="{00000000-0005-0000-0000-00005E080000}"/>
    <cellStyle name="Bad 1042" xfId="2281" xr:uid="{00000000-0005-0000-0000-00005F080000}"/>
    <cellStyle name="Bad 1043" xfId="2282" xr:uid="{00000000-0005-0000-0000-000060080000}"/>
    <cellStyle name="Bad 1044" xfId="2283" xr:uid="{00000000-0005-0000-0000-000061080000}"/>
    <cellStyle name="Bad 1045" xfId="2284" xr:uid="{00000000-0005-0000-0000-000062080000}"/>
    <cellStyle name="Bad 1046" xfId="2285" xr:uid="{00000000-0005-0000-0000-000063080000}"/>
    <cellStyle name="Bad 1047" xfId="2286" xr:uid="{00000000-0005-0000-0000-000064080000}"/>
    <cellStyle name="Bad 1048" xfId="2287" xr:uid="{00000000-0005-0000-0000-000065080000}"/>
    <cellStyle name="Bad 1049" xfId="2288" xr:uid="{00000000-0005-0000-0000-000066080000}"/>
    <cellStyle name="Bad 105" xfId="2289" xr:uid="{00000000-0005-0000-0000-000067080000}"/>
    <cellStyle name="Bad 1050" xfId="2290" xr:uid="{00000000-0005-0000-0000-000068080000}"/>
    <cellStyle name="Bad 1051" xfId="2291" xr:uid="{00000000-0005-0000-0000-000069080000}"/>
    <cellStyle name="Bad 1052" xfId="2292" xr:uid="{00000000-0005-0000-0000-00006A080000}"/>
    <cellStyle name="Bad 1053" xfId="2293" xr:uid="{00000000-0005-0000-0000-00006B080000}"/>
    <cellStyle name="Bad 1054" xfId="2294" xr:uid="{00000000-0005-0000-0000-00006C080000}"/>
    <cellStyle name="Bad 1055" xfId="2295" xr:uid="{00000000-0005-0000-0000-00006D080000}"/>
    <cellStyle name="Bad 1056" xfId="2296" xr:uid="{00000000-0005-0000-0000-00006E080000}"/>
    <cellStyle name="Bad 1057" xfId="2297" xr:uid="{00000000-0005-0000-0000-00006F080000}"/>
    <cellStyle name="Bad 1058" xfId="2298" xr:uid="{00000000-0005-0000-0000-000070080000}"/>
    <cellStyle name="Bad 1059" xfId="2299" xr:uid="{00000000-0005-0000-0000-000071080000}"/>
    <cellStyle name="Bad 106" xfId="2300" xr:uid="{00000000-0005-0000-0000-000072080000}"/>
    <cellStyle name="Bad 1060" xfId="2301" xr:uid="{00000000-0005-0000-0000-000073080000}"/>
    <cellStyle name="Bad 1061" xfId="2302" xr:uid="{00000000-0005-0000-0000-000074080000}"/>
    <cellStyle name="Bad 1062" xfId="2303" xr:uid="{00000000-0005-0000-0000-000075080000}"/>
    <cellStyle name="Bad 1063" xfId="2304" xr:uid="{00000000-0005-0000-0000-000076080000}"/>
    <cellStyle name="Bad 1064" xfId="2305" xr:uid="{00000000-0005-0000-0000-000077080000}"/>
    <cellStyle name="Bad 1065" xfId="2306" xr:uid="{00000000-0005-0000-0000-000078080000}"/>
    <cellStyle name="Bad 1066" xfId="2307" xr:uid="{00000000-0005-0000-0000-000079080000}"/>
    <cellStyle name="Bad 1067" xfId="2308" xr:uid="{00000000-0005-0000-0000-00007A080000}"/>
    <cellStyle name="Bad 1068" xfId="2309" xr:uid="{00000000-0005-0000-0000-00007B080000}"/>
    <cellStyle name="Bad 1069" xfId="2310" xr:uid="{00000000-0005-0000-0000-00007C080000}"/>
    <cellStyle name="Bad 107" xfId="2311" xr:uid="{00000000-0005-0000-0000-00007D080000}"/>
    <cellStyle name="Bad 1070" xfId="2312" xr:uid="{00000000-0005-0000-0000-00007E080000}"/>
    <cellStyle name="Bad 1071" xfId="2313" xr:uid="{00000000-0005-0000-0000-00007F080000}"/>
    <cellStyle name="Bad 1072" xfId="2314" xr:uid="{00000000-0005-0000-0000-000080080000}"/>
    <cellStyle name="Bad 1073" xfId="2315" xr:uid="{00000000-0005-0000-0000-000081080000}"/>
    <cellStyle name="Bad 1074" xfId="2316" xr:uid="{00000000-0005-0000-0000-000082080000}"/>
    <cellStyle name="Bad 1075" xfId="2317" xr:uid="{00000000-0005-0000-0000-000083080000}"/>
    <cellStyle name="Bad 1076" xfId="2318" xr:uid="{00000000-0005-0000-0000-000084080000}"/>
    <cellStyle name="Bad 1077" xfId="2319" xr:uid="{00000000-0005-0000-0000-000085080000}"/>
    <cellStyle name="Bad 1078" xfId="2320" xr:uid="{00000000-0005-0000-0000-000086080000}"/>
    <cellStyle name="Bad 1079" xfId="2321" xr:uid="{00000000-0005-0000-0000-000087080000}"/>
    <cellStyle name="Bad 108" xfId="2322" xr:uid="{00000000-0005-0000-0000-000088080000}"/>
    <cellStyle name="Bad 1080" xfId="2323" xr:uid="{00000000-0005-0000-0000-000089080000}"/>
    <cellStyle name="Bad 1081" xfId="2324" xr:uid="{00000000-0005-0000-0000-00008A080000}"/>
    <cellStyle name="Bad 1082" xfId="2325" xr:uid="{00000000-0005-0000-0000-00008B080000}"/>
    <cellStyle name="Bad 1083" xfId="2326" xr:uid="{00000000-0005-0000-0000-00008C080000}"/>
    <cellStyle name="Bad 1084" xfId="2327" xr:uid="{00000000-0005-0000-0000-00008D080000}"/>
    <cellStyle name="Bad 1085" xfId="2328" xr:uid="{00000000-0005-0000-0000-00008E080000}"/>
    <cellStyle name="Bad 1086" xfId="2329" xr:uid="{00000000-0005-0000-0000-00008F080000}"/>
    <cellStyle name="Bad 1087" xfId="2330" xr:uid="{00000000-0005-0000-0000-000090080000}"/>
    <cellStyle name="Bad 1088" xfId="2331" xr:uid="{00000000-0005-0000-0000-000091080000}"/>
    <cellStyle name="Bad 1089" xfId="2332" xr:uid="{00000000-0005-0000-0000-000092080000}"/>
    <cellStyle name="Bad 109" xfId="2333" xr:uid="{00000000-0005-0000-0000-000093080000}"/>
    <cellStyle name="Bad 1090" xfId="2334" xr:uid="{00000000-0005-0000-0000-000094080000}"/>
    <cellStyle name="Bad 1091" xfId="2335" xr:uid="{00000000-0005-0000-0000-000095080000}"/>
    <cellStyle name="Bad 1092" xfId="2336" xr:uid="{00000000-0005-0000-0000-000096080000}"/>
    <cellStyle name="Bad 1093" xfId="2337" xr:uid="{00000000-0005-0000-0000-000097080000}"/>
    <cellStyle name="Bad 1094" xfId="2338" xr:uid="{00000000-0005-0000-0000-000098080000}"/>
    <cellStyle name="Bad 1095" xfId="2339" xr:uid="{00000000-0005-0000-0000-000099080000}"/>
    <cellStyle name="Bad 1096" xfId="2340" xr:uid="{00000000-0005-0000-0000-00009A080000}"/>
    <cellStyle name="Bad 1097" xfId="2341" xr:uid="{00000000-0005-0000-0000-00009B080000}"/>
    <cellStyle name="Bad 1098" xfId="2342" xr:uid="{00000000-0005-0000-0000-00009C080000}"/>
    <cellStyle name="Bad 1099" xfId="2343" xr:uid="{00000000-0005-0000-0000-00009D080000}"/>
    <cellStyle name="Bad 11" xfId="2344" xr:uid="{00000000-0005-0000-0000-00009E080000}"/>
    <cellStyle name="Bad 110" xfId="2345" xr:uid="{00000000-0005-0000-0000-00009F080000}"/>
    <cellStyle name="Bad 1100" xfId="2346" xr:uid="{00000000-0005-0000-0000-0000A0080000}"/>
    <cellStyle name="Bad 1101" xfId="2347" xr:uid="{00000000-0005-0000-0000-0000A1080000}"/>
    <cellStyle name="Bad 1102" xfId="2348" xr:uid="{00000000-0005-0000-0000-0000A2080000}"/>
    <cellStyle name="Bad 1103" xfId="2349" xr:uid="{00000000-0005-0000-0000-0000A3080000}"/>
    <cellStyle name="Bad 1104" xfId="2350" xr:uid="{00000000-0005-0000-0000-0000A4080000}"/>
    <cellStyle name="Bad 1105" xfId="2351" xr:uid="{00000000-0005-0000-0000-0000A5080000}"/>
    <cellStyle name="Bad 1106" xfId="2352" xr:uid="{00000000-0005-0000-0000-0000A6080000}"/>
    <cellStyle name="Bad 1107" xfId="2353" xr:uid="{00000000-0005-0000-0000-0000A7080000}"/>
    <cellStyle name="Bad 1108" xfId="2354" xr:uid="{00000000-0005-0000-0000-0000A8080000}"/>
    <cellStyle name="Bad 1109" xfId="2355" xr:uid="{00000000-0005-0000-0000-0000A9080000}"/>
    <cellStyle name="Bad 111" xfId="2356" xr:uid="{00000000-0005-0000-0000-0000AA080000}"/>
    <cellStyle name="Bad 1110" xfId="2357" xr:uid="{00000000-0005-0000-0000-0000AB080000}"/>
    <cellStyle name="Bad 1111" xfId="2358" xr:uid="{00000000-0005-0000-0000-0000AC080000}"/>
    <cellStyle name="Bad 1112" xfId="2359" xr:uid="{00000000-0005-0000-0000-0000AD080000}"/>
    <cellStyle name="Bad 1113" xfId="2360" xr:uid="{00000000-0005-0000-0000-0000AE080000}"/>
    <cellStyle name="Bad 1114" xfId="2361" xr:uid="{00000000-0005-0000-0000-0000AF080000}"/>
    <cellStyle name="Bad 1115" xfId="2362" xr:uid="{00000000-0005-0000-0000-0000B0080000}"/>
    <cellStyle name="Bad 1116" xfId="2363" xr:uid="{00000000-0005-0000-0000-0000B1080000}"/>
    <cellStyle name="Bad 1117" xfId="2364" xr:uid="{00000000-0005-0000-0000-0000B2080000}"/>
    <cellStyle name="Bad 1118" xfId="2365" xr:uid="{00000000-0005-0000-0000-0000B3080000}"/>
    <cellStyle name="Bad 1119" xfId="2366" xr:uid="{00000000-0005-0000-0000-0000B4080000}"/>
    <cellStyle name="Bad 112" xfId="2367" xr:uid="{00000000-0005-0000-0000-0000B5080000}"/>
    <cellStyle name="Bad 1120" xfId="2368" xr:uid="{00000000-0005-0000-0000-0000B6080000}"/>
    <cellStyle name="Bad 1121" xfId="2369" xr:uid="{00000000-0005-0000-0000-0000B7080000}"/>
    <cellStyle name="Bad 1122" xfId="2370" xr:uid="{00000000-0005-0000-0000-0000B8080000}"/>
    <cellStyle name="Bad 1123" xfId="2371" xr:uid="{00000000-0005-0000-0000-0000B9080000}"/>
    <cellStyle name="Bad 1124" xfId="2372" xr:uid="{00000000-0005-0000-0000-0000BA080000}"/>
    <cellStyle name="Bad 1125" xfId="2373" xr:uid="{00000000-0005-0000-0000-0000BB080000}"/>
    <cellStyle name="Bad 1126" xfId="2374" xr:uid="{00000000-0005-0000-0000-0000BC080000}"/>
    <cellStyle name="Bad 1127" xfId="2375" xr:uid="{00000000-0005-0000-0000-0000BD080000}"/>
    <cellStyle name="Bad 1128" xfId="2376" xr:uid="{00000000-0005-0000-0000-0000BE080000}"/>
    <cellStyle name="Bad 1129" xfId="2377" xr:uid="{00000000-0005-0000-0000-0000BF080000}"/>
    <cellStyle name="Bad 113" xfId="2378" xr:uid="{00000000-0005-0000-0000-0000C0080000}"/>
    <cellStyle name="Bad 1130" xfId="2379" xr:uid="{00000000-0005-0000-0000-0000C1080000}"/>
    <cellStyle name="Bad 1131" xfId="2380" xr:uid="{00000000-0005-0000-0000-0000C2080000}"/>
    <cellStyle name="Bad 1132" xfId="2381" xr:uid="{00000000-0005-0000-0000-0000C3080000}"/>
    <cellStyle name="Bad 1133" xfId="2382" xr:uid="{00000000-0005-0000-0000-0000C4080000}"/>
    <cellStyle name="Bad 1134" xfId="2383" xr:uid="{00000000-0005-0000-0000-0000C5080000}"/>
    <cellStyle name="Bad 1135" xfId="2384" xr:uid="{00000000-0005-0000-0000-0000C6080000}"/>
    <cellStyle name="Bad 1136" xfId="2385" xr:uid="{00000000-0005-0000-0000-0000C7080000}"/>
    <cellStyle name="Bad 1137" xfId="2386" xr:uid="{00000000-0005-0000-0000-0000C8080000}"/>
    <cellStyle name="Bad 1138" xfId="2387" xr:uid="{00000000-0005-0000-0000-0000C9080000}"/>
    <cellStyle name="Bad 1139" xfId="2388" xr:uid="{00000000-0005-0000-0000-0000CA080000}"/>
    <cellStyle name="Bad 114" xfId="2389" xr:uid="{00000000-0005-0000-0000-0000CB080000}"/>
    <cellStyle name="Bad 1140" xfId="2390" xr:uid="{00000000-0005-0000-0000-0000CC080000}"/>
    <cellStyle name="Bad 1141" xfId="2391" xr:uid="{00000000-0005-0000-0000-0000CD080000}"/>
    <cellStyle name="Bad 1142" xfId="2392" xr:uid="{00000000-0005-0000-0000-0000CE080000}"/>
    <cellStyle name="Bad 1143" xfId="2393" xr:uid="{00000000-0005-0000-0000-0000CF080000}"/>
    <cellStyle name="Bad 1144" xfId="2394" xr:uid="{00000000-0005-0000-0000-0000D0080000}"/>
    <cellStyle name="Bad 1145" xfId="2395" xr:uid="{00000000-0005-0000-0000-0000D1080000}"/>
    <cellStyle name="Bad 1146" xfId="2396" xr:uid="{00000000-0005-0000-0000-0000D2080000}"/>
    <cellStyle name="Bad 1147" xfId="2397" xr:uid="{00000000-0005-0000-0000-0000D3080000}"/>
    <cellStyle name="Bad 1148" xfId="2398" xr:uid="{00000000-0005-0000-0000-0000D4080000}"/>
    <cellStyle name="Bad 1149" xfId="2399" xr:uid="{00000000-0005-0000-0000-0000D5080000}"/>
    <cellStyle name="Bad 115" xfId="2400" xr:uid="{00000000-0005-0000-0000-0000D6080000}"/>
    <cellStyle name="Bad 1150" xfId="2401" xr:uid="{00000000-0005-0000-0000-0000D7080000}"/>
    <cellStyle name="Bad 1151" xfId="2402" xr:uid="{00000000-0005-0000-0000-0000D8080000}"/>
    <cellStyle name="Bad 1152" xfId="2403" xr:uid="{00000000-0005-0000-0000-0000D9080000}"/>
    <cellStyle name="Bad 1153" xfId="2404" xr:uid="{00000000-0005-0000-0000-0000DA080000}"/>
    <cellStyle name="Bad 1154" xfId="2405" xr:uid="{00000000-0005-0000-0000-0000DB080000}"/>
    <cellStyle name="Bad 1155" xfId="2406" xr:uid="{00000000-0005-0000-0000-0000DC080000}"/>
    <cellStyle name="Bad 1156" xfId="2407" xr:uid="{00000000-0005-0000-0000-0000DD080000}"/>
    <cellStyle name="Bad 1157" xfId="2408" xr:uid="{00000000-0005-0000-0000-0000DE080000}"/>
    <cellStyle name="Bad 1158" xfId="2409" xr:uid="{00000000-0005-0000-0000-0000DF080000}"/>
    <cellStyle name="Bad 1159" xfId="2410" xr:uid="{00000000-0005-0000-0000-0000E0080000}"/>
    <cellStyle name="Bad 116" xfId="2411" xr:uid="{00000000-0005-0000-0000-0000E1080000}"/>
    <cellStyle name="Bad 1160" xfId="2412" xr:uid="{00000000-0005-0000-0000-0000E2080000}"/>
    <cellStyle name="Bad 1161" xfId="2413" xr:uid="{00000000-0005-0000-0000-0000E3080000}"/>
    <cellStyle name="Bad 1162" xfId="2414" xr:uid="{00000000-0005-0000-0000-0000E4080000}"/>
    <cellStyle name="Bad 1163" xfId="2415" xr:uid="{00000000-0005-0000-0000-0000E5080000}"/>
    <cellStyle name="Bad 117" xfId="2416" xr:uid="{00000000-0005-0000-0000-0000E6080000}"/>
    <cellStyle name="Bad 118" xfId="2417" xr:uid="{00000000-0005-0000-0000-0000E7080000}"/>
    <cellStyle name="Bad 119" xfId="2418" xr:uid="{00000000-0005-0000-0000-0000E8080000}"/>
    <cellStyle name="Bad 12" xfId="2419" xr:uid="{00000000-0005-0000-0000-0000E9080000}"/>
    <cellStyle name="Bad 120" xfId="2420" xr:uid="{00000000-0005-0000-0000-0000EA080000}"/>
    <cellStyle name="Bad 121" xfId="2421" xr:uid="{00000000-0005-0000-0000-0000EB080000}"/>
    <cellStyle name="Bad 122" xfId="2422" xr:uid="{00000000-0005-0000-0000-0000EC080000}"/>
    <cellStyle name="Bad 123" xfId="2423" xr:uid="{00000000-0005-0000-0000-0000ED080000}"/>
    <cellStyle name="Bad 124" xfId="2424" xr:uid="{00000000-0005-0000-0000-0000EE080000}"/>
    <cellStyle name="Bad 125" xfId="2425" xr:uid="{00000000-0005-0000-0000-0000EF080000}"/>
    <cellStyle name="Bad 126" xfId="2426" xr:uid="{00000000-0005-0000-0000-0000F0080000}"/>
    <cellStyle name="Bad 127" xfId="2427" xr:uid="{00000000-0005-0000-0000-0000F1080000}"/>
    <cellStyle name="Bad 128" xfId="2428" xr:uid="{00000000-0005-0000-0000-0000F2080000}"/>
    <cellStyle name="Bad 129" xfId="2429" xr:uid="{00000000-0005-0000-0000-0000F3080000}"/>
    <cellStyle name="Bad 13" xfId="2430" xr:uid="{00000000-0005-0000-0000-0000F4080000}"/>
    <cellStyle name="Bad 130" xfId="2431" xr:uid="{00000000-0005-0000-0000-0000F5080000}"/>
    <cellStyle name="Bad 131" xfId="2432" xr:uid="{00000000-0005-0000-0000-0000F6080000}"/>
    <cellStyle name="Bad 132" xfId="2433" xr:uid="{00000000-0005-0000-0000-0000F7080000}"/>
    <cellStyle name="Bad 133" xfId="2434" xr:uid="{00000000-0005-0000-0000-0000F8080000}"/>
    <cellStyle name="Bad 134" xfId="2435" xr:uid="{00000000-0005-0000-0000-0000F9080000}"/>
    <cellStyle name="Bad 135" xfId="2436" xr:uid="{00000000-0005-0000-0000-0000FA080000}"/>
    <cellStyle name="Bad 136" xfId="2437" xr:uid="{00000000-0005-0000-0000-0000FB080000}"/>
    <cellStyle name="Bad 137" xfId="2438" xr:uid="{00000000-0005-0000-0000-0000FC080000}"/>
    <cellStyle name="Bad 138" xfId="2439" xr:uid="{00000000-0005-0000-0000-0000FD080000}"/>
    <cellStyle name="Bad 139" xfId="2440" xr:uid="{00000000-0005-0000-0000-0000FE080000}"/>
    <cellStyle name="Bad 14" xfId="2441" xr:uid="{00000000-0005-0000-0000-0000FF080000}"/>
    <cellStyle name="Bad 140" xfId="2442" xr:uid="{00000000-0005-0000-0000-000000090000}"/>
    <cellStyle name="Bad 141" xfId="2443" xr:uid="{00000000-0005-0000-0000-000001090000}"/>
    <cellStyle name="Bad 142" xfId="2444" xr:uid="{00000000-0005-0000-0000-000002090000}"/>
    <cellStyle name="Bad 143" xfId="2445" xr:uid="{00000000-0005-0000-0000-000003090000}"/>
    <cellStyle name="Bad 144" xfId="2446" xr:uid="{00000000-0005-0000-0000-000004090000}"/>
    <cellStyle name="Bad 145" xfId="2447" xr:uid="{00000000-0005-0000-0000-000005090000}"/>
    <cellStyle name="Bad 146" xfId="2448" xr:uid="{00000000-0005-0000-0000-000006090000}"/>
    <cellStyle name="Bad 147" xfId="2449" xr:uid="{00000000-0005-0000-0000-000007090000}"/>
    <cellStyle name="Bad 148" xfId="2450" xr:uid="{00000000-0005-0000-0000-000008090000}"/>
    <cellStyle name="Bad 149" xfId="2451" xr:uid="{00000000-0005-0000-0000-000009090000}"/>
    <cellStyle name="Bad 15" xfId="2452" xr:uid="{00000000-0005-0000-0000-00000A090000}"/>
    <cellStyle name="Bad 150" xfId="2453" xr:uid="{00000000-0005-0000-0000-00000B090000}"/>
    <cellStyle name="Bad 151" xfId="2454" xr:uid="{00000000-0005-0000-0000-00000C090000}"/>
    <cellStyle name="Bad 152" xfId="2455" xr:uid="{00000000-0005-0000-0000-00000D090000}"/>
    <cellStyle name="Bad 153" xfId="2456" xr:uid="{00000000-0005-0000-0000-00000E090000}"/>
    <cellStyle name="Bad 154" xfId="2457" xr:uid="{00000000-0005-0000-0000-00000F090000}"/>
    <cellStyle name="Bad 155" xfId="2458" xr:uid="{00000000-0005-0000-0000-000010090000}"/>
    <cellStyle name="Bad 156" xfId="2459" xr:uid="{00000000-0005-0000-0000-000011090000}"/>
    <cellStyle name="Bad 157" xfId="2460" xr:uid="{00000000-0005-0000-0000-000012090000}"/>
    <cellStyle name="Bad 158" xfId="2461" xr:uid="{00000000-0005-0000-0000-000013090000}"/>
    <cellStyle name="Bad 159" xfId="2462" xr:uid="{00000000-0005-0000-0000-000014090000}"/>
    <cellStyle name="Bad 16" xfId="2463" xr:uid="{00000000-0005-0000-0000-000015090000}"/>
    <cellStyle name="Bad 160" xfId="2464" xr:uid="{00000000-0005-0000-0000-000016090000}"/>
    <cellStyle name="Bad 161" xfId="2465" xr:uid="{00000000-0005-0000-0000-000017090000}"/>
    <cellStyle name="Bad 162" xfId="2466" xr:uid="{00000000-0005-0000-0000-000018090000}"/>
    <cellStyle name="Bad 163" xfId="2467" xr:uid="{00000000-0005-0000-0000-000019090000}"/>
    <cellStyle name="Bad 164" xfId="2468" xr:uid="{00000000-0005-0000-0000-00001A090000}"/>
    <cellStyle name="Bad 165" xfId="2469" xr:uid="{00000000-0005-0000-0000-00001B090000}"/>
    <cellStyle name="Bad 166" xfId="2470" xr:uid="{00000000-0005-0000-0000-00001C090000}"/>
    <cellStyle name="Bad 167" xfId="2471" xr:uid="{00000000-0005-0000-0000-00001D090000}"/>
    <cellStyle name="Bad 168" xfId="2472" xr:uid="{00000000-0005-0000-0000-00001E090000}"/>
    <cellStyle name="Bad 169" xfId="2473" xr:uid="{00000000-0005-0000-0000-00001F090000}"/>
    <cellStyle name="Bad 17" xfId="2474" xr:uid="{00000000-0005-0000-0000-000020090000}"/>
    <cellStyle name="Bad 170" xfId="2475" xr:uid="{00000000-0005-0000-0000-000021090000}"/>
    <cellStyle name="Bad 171" xfId="2476" xr:uid="{00000000-0005-0000-0000-000022090000}"/>
    <cellStyle name="Bad 172" xfId="2477" xr:uid="{00000000-0005-0000-0000-000023090000}"/>
    <cellStyle name="Bad 173" xfId="2478" xr:uid="{00000000-0005-0000-0000-000024090000}"/>
    <cellStyle name="Bad 174" xfId="2479" xr:uid="{00000000-0005-0000-0000-000025090000}"/>
    <cellStyle name="Bad 175" xfId="2480" xr:uid="{00000000-0005-0000-0000-000026090000}"/>
    <cellStyle name="Bad 176" xfId="2481" xr:uid="{00000000-0005-0000-0000-000027090000}"/>
    <cellStyle name="Bad 177" xfId="2482" xr:uid="{00000000-0005-0000-0000-000028090000}"/>
    <cellStyle name="Bad 178" xfId="2483" xr:uid="{00000000-0005-0000-0000-000029090000}"/>
    <cellStyle name="Bad 179" xfId="2484" xr:uid="{00000000-0005-0000-0000-00002A090000}"/>
    <cellStyle name="Bad 18" xfId="2485" xr:uid="{00000000-0005-0000-0000-00002B090000}"/>
    <cellStyle name="Bad 180" xfId="2486" xr:uid="{00000000-0005-0000-0000-00002C090000}"/>
    <cellStyle name="Bad 181" xfId="2487" xr:uid="{00000000-0005-0000-0000-00002D090000}"/>
    <cellStyle name="Bad 182" xfId="2488" xr:uid="{00000000-0005-0000-0000-00002E090000}"/>
    <cellStyle name="Bad 183" xfId="2489" xr:uid="{00000000-0005-0000-0000-00002F090000}"/>
    <cellStyle name="Bad 184" xfId="2490" xr:uid="{00000000-0005-0000-0000-000030090000}"/>
    <cellStyle name="Bad 185" xfId="2491" xr:uid="{00000000-0005-0000-0000-000031090000}"/>
    <cellStyle name="Bad 186" xfId="2492" xr:uid="{00000000-0005-0000-0000-000032090000}"/>
    <cellStyle name="Bad 187" xfId="2493" xr:uid="{00000000-0005-0000-0000-000033090000}"/>
    <cellStyle name="Bad 188" xfId="2494" xr:uid="{00000000-0005-0000-0000-000034090000}"/>
    <cellStyle name="Bad 189" xfId="2495" xr:uid="{00000000-0005-0000-0000-000035090000}"/>
    <cellStyle name="Bad 19" xfId="2496" xr:uid="{00000000-0005-0000-0000-000036090000}"/>
    <cellStyle name="Bad 190" xfId="2497" xr:uid="{00000000-0005-0000-0000-000037090000}"/>
    <cellStyle name="Bad 191" xfId="2498" xr:uid="{00000000-0005-0000-0000-000038090000}"/>
    <cellStyle name="Bad 192" xfId="2499" xr:uid="{00000000-0005-0000-0000-000039090000}"/>
    <cellStyle name="Bad 193" xfId="2500" xr:uid="{00000000-0005-0000-0000-00003A090000}"/>
    <cellStyle name="Bad 194" xfId="2501" xr:uid="{00000000-0005-0000-0000-00003B090000}"/>
    <cellStyle name="Bad 195" xfId="2502" xr:uid="{00000000-0005-0000-0000-00003C090000}"/>
    <cellStyle name="Bad 196" xfId="2503" xr:uid="{00000000-0005-0000-0000-00003D090000}"/>
    <cellStyle name="Bad 197" xfId="2504" xr:uid="{00000000-0005-0000-0000-00003E090000}"/>
    <cellStyle name="Bad 198" xfId="2505" xr:uid="{00000000-0005-0000-0000-00003F090000}"/>
    <cellStyle name="Bad 199" xfId="2506" xr:uid="{00000000-0005-0000-0000-000040090000}"/>
    <cellStyle name="Bad 2" xfId="230" xr:uid="{00000000-0005-0000-0000-000041090000}"/>
    <cellStyle name="Bad 2 2" xfId="2507" xr:uid="{00000000-0005-0000-0000-000042090000}"/>
    <cellStyle name="Bad 2 3" xfId="2508" xr:uid="{00000000-0005-0000-0000-000043090000}"/>
    <cellStyle name="Bad 2 4" xfId="2509" xr:uid="{00000000-0005-0000-0000-000044090000}"/>
    <cellStyle name="Bad 20" xfId="2510" xr:uid="{00000000-0005-0000-0000-000045090000}"/>
    <cellStyle name="Bad 200" xfId="2511" xr:uid="{00000000-0005-0000-0000-000046090000}"/>
    <cellStyle name="Bad 201" xfId="2512" xr:uid="{00000000-0005-0000-0000-000047090000}"/>
    <cellStyle name="Bad 202" xfId="2513" xr:uid="{00000000-0005-0000-0000-000048090000}"/>
    <cellStyle name="Bad 203" xfId="2514" xr:uid="{00000000-0005-0000-0000-000049090000}"/>
    <cellStyle name="Bad 204" xfId="2515" xr:uid="{00000000-0005-0000-0000-00004A090000}"/>
    <cellStyle name="Bad 205" xfId="2516" xr:uid="{00000000-0005-0000-0000-00004B090000}"/>
    <cellStyle name="Bad 206" xfId="2517" xr:uid="{00000000-0005-0000-0000-00004C090000}"/>
    <cellStyle name="Bad 207" xfId="2518" xr:uid="{00000000-0005-0000-0000-00004D090000}"/>
    <cellStyle name="Bad 208" xfId="2519" xr:uid="{00000000-0005-0000-0000-00004E090000}"/>
    <cellStyle name="Bad 209" xfId="2520" xr:uid="{00000000-0005-0000-0000-00004F090000}"/>
    <cellStyle name="Bad 21" xfId="2521" xr:uid="{00000000-0005-0000-0000-000050090000}"/>
    <cellStyle name="Bad 210" xfId="2522" xr:uid="{00000000-0005-0000-0000-000051090000}"/>
    <cellStyle name="Bad 211" xfId="2523" xr:uid="{00000000-0005-0000-0000-000052090000}"/>
    <cellStyle name="Bad 212" xfId="2524" xr:uid="{00000000-0005-0000-0000-000053090000}"/>
    <cellStyle name="Bad 213" xfId="2525" xr:uid="{00000000-0005-0000-0000-000054090000}"/>
    <cellStyle name="Bad 214" xfId="2526" xr:uid="{00000000-0005-0000-0000-000055090000}"/>
    <cellStyle name="Bad 215" xfId="2527" xr:uid="{00000000-0005-0000-0000-000056090000}"/>
    <cellStyle name="Bad 216" xfId="2528" xr:uid="{00000000-0005-0000-0000-000057090000}"/>
    <cellStyle name="Bad 217" xfId="2529" xr:uid="{00000000-0005-0000-0000-000058090000}"/>
    <cellStyle name="Bad 218" xfId="2530" xr:uid="{00000000-0005-0000-0000-000059090000}"/>
    <cellStyle name="Bad 219" xfId="2531" xr:uid="{00000000-0005-0000-0000-00005A090000}"/>
    <cellStyle name="Bad 22" xfId="2532" xr:uid="{00000000-0005-0000-0000-00005B090000}"/>
    <cellStyle name="Bad 220" xfId="2533" xr:uid="{00000000-0005-0000-0000-00005C090000}"/>
    <cellStyle name="Bad 221" xfId="2534" xr:uid="{00000000-0005-0000-0000-00005D090000}"/>
    <cellStyle name="Bad 222" xfId="2535" xr:uid="{00000000-0005-0000-0000-00005E090000}"/>
    <cellStyle name="Bad 223" xfId="2536" xr:uid="{00000000-0005-0000-0000-00005F090000}"/>
    <cellStyle name="Bad 224" xfId="2537" xr:uid="{00000000-0005-0000-0000-000060090000}"/>
    <cellStyle name="Bad 225" xfId="2538" xr:uid="{00000000-0005-0000-0000-000061090000}"/>
    <cellStyle name="Bad 226" xfId="2539" xr:uid="{00000000-0005-0000-0000-000062090000}"/>
    <cellStyle name="Bad 227" xfId="2540" xr:uid="{00000000-0005-0000-0000-000063090000}"/>
    <cellStyle name="Bad 228" xfId="2541" xr:uid="{00000000-0005-0000-0000-000064090000}"/>
    <cellStyle name="Bad 229" xfId="2542" xr:uid="{00000000-0005-0000-0000-000065090000}"/>
    <cellStyle name="Bad 23" xfId="2543" xr:uid="{00000000-0005-0000-0000-000066090000}"/>
    <cellStyle name="Bad 230" xfId="2544" xr:uid="{00000000-0005-0000-0000-000067090000}"/>
    <cellStyle name="Bad 231" xfId="2545" xr:uid="{00000000-0005-0000-0000-000068090000}"/>
    <cellStyle name="Bad 232" xfId="2546" xr:uid="{00000000-0005-0000-0000-000069090000}"/>
    <cellStyle name="Bad 233" xfId="2547" xr:uid="{00000000-0005-0000-0000-00006A090000}"/>
    <cellStyle name="Bad 234" xfId="2548" xr:uid="{00000000-0005-0000-0000-00006B090000}"/>
    <cellStyle name="Bad 235" xfId="2549" xr:uid="{00000000-0005-0000-0000-00006C090000}"/>
    <cellStyle name="Bad 236" xfId="2550" xr:uid="{00000000-0005-0000-0000-00006D090000}"/>
    <cellStyle name="Bad 237" xfId="2551" xr:uid="{00000000-0005-0000-0000-00006E090000}"/>
    <cellStyle name="Bad 238" xfId="2552" xr:uid="{00000000-0005-0000-0000-00006F090000}"/>
    <cellStyle name="Bad 239" xfId="2553" xr:uid="{00000000-0005-0000-0000-000070090000}"/>
    <cellStyle name="Bad 24" xfId="2554" xr:uid="{00000000-0005-0000-0000-000071090000}"/>
    <cellStyle name="Bad 240" xfId="2555" xr:uid="{00000000-0005-0000-0000-000072090000}"/>
    <cellStyle name="Bad 241" xfId="2556" xr:uid="{00000000-0005-0000-0000-000073090000}"/>
    <cellStyle name="Bad 242" xfId="2557" xr:uid="{00000000-0005-0000-0000-000074090000}"/>
    <cellStyle name="Bad 243" xfId="2558" xr:uid="{00000000-0005-0000-0000-000075090000}"/>
    <cellStyle name="Bad 244" xfId="2559" xr:uid="{00000000-0005-0000-0000-000076090000}"/>
    <cellStyle name="Bad 245" xfId="2560" xr:uid="{00000000-0005-0000-0000-000077090000}"/>
    <cellStyle name="Bad 246" xfId="2561" xr:uid="{00000000-0005-0000-0000-000078090000}"/>
    <cellStyle name="Bad 247" xfId="2562" xr:uid="{00000000-0005-0000-0000-000079090000}"/>
    <cellStyle name="Bad 248" xfId="2563" xr:uid="{00000000-0005-0000-0000-00007A090000}"/>
    <cellStyle name="Bad 249" xfId="2564" xr:uid="{00000000-0005-0000-0000-00007B090000}"/>
    <cellStyle name="Bad 25" xfId="2565" xr:uid="{00000000-0005-0000-0000-00007C090000}"/>
    <cellStyle name="Bad 250" xfId="2566" xr:uid="{00000000-0005-0000-0000-00007D090000}"/>
    <cellStyle name="Bad 251" xfId="2567" xr:uid="{00000000-0005-0000-0000-00007E090000}"/>
    <cellStyle name="Bad 252" xfId="2568" xr:uid="{00000000-0005-0000-0000-00007F090000}"/>
    <cellStyle name="Bad 253" xfId="2569" xr:uid="{00000000-0005-0000-0000-000080090000}"/>
    <cellStyle name="Bad 254" xfId="2570" xr:uid="{00000000-0005-0000-0000-000081090000}"/>
    <cellStyle name="Bad 255" xfId="2571" xr:uid="{00000000-0005-0000-0000-000082090000}"/>
    <cellStyle name="Bad 256" xfId="2572" xr:uid="{00000000-0005-0000-0000-000083090000}"/>
    <cellStyle name="Bad 257" xfId="2573" xr:uid="{00000000-0005-0000-0000-000084090000}"/>
    <cellStyle name="Bad 258" xfId="2574" xr:uid="{00000000-0005-0000-0000-000085090000}"/>
    <cellStyle name="Bad 259" xfId="2575" xr:uid="{00000000-0005-0000-0000-000086090000}"/>
    <cellStyle name="Bad 26" xfId="2576" xr:uid="{00000000-0005-0000-0000-000087090000}"/>
    <cellStyle name="Bad 260" xfId="2577" xr:uid="{00000000-0005-0000-0000-000088090000}"/>
    <cellStyle name="Bad 261" xfId="2578" xr:uid="{00000000-0005-0000-0000-000089090000}"/>
    <cellStyle name="Bad 262" xfId="2579" xr:uid="{00000000-0005-0000-0000-00008A090000}"/>
    <cellStyle name="Bad 263" xfId="2580" xr:uid="{00000000-0005-0000-0000-00008B090000}"/>
    <cellStyle name="Bad 264" xfId="2581" xr:uid="{00000000-0005-0000-0000-00008C090000}"/>
    <cellStyle name="Bad 265" xfId="2582" xr:uid="{00000000-0005-0000-0000-00008D090000}"/>
    <cellStyle name="Bad 266" xfId="2583" xr:uid="{00000000-0005-0000-0000-00008E090000}"/>
    <cellStyle name="Bad 267" xfId="2584" xr:uid="{00000000-0005-0000-0000-00008F090000}"/>
    <cellStyle name="Bad 268" xfId="2585" xr:uid="{00000000-0005-0000-0000-000090090000}"/>
    <cellStyle name="Bad 269" xfId="2586" xr:uid="{00000000-0005-0000-0000-000091090000}"/>
    <cellStyle name="Bad 27" xfId="2587" xr:uid="{00000000-0005-0000-0000-000092090000}"/>
    <cellStyle name="Bad 270" xfId="2588" xr:uid="{00000000-0005-0000-0000-000093090000}"/>
    <cellStyle name="Bad 271" xfId="2589" xr:uid="{00000000-0005-0000-0000-000094090000}"/>
    <cellStyle name="Bad 272" xfId="2590" xr:uid="{00000000-0005-0000-0000-000095090000}"/>
    <cellStyle name="Bad 273" xfId="2591" xr:uid="{00000000-0005-0000-0000-000096090000}"/>
    <cellStyle name="Bad 274" xfId="2592" xr:uid="{00000000-0005-0000-0000-000097090000}"/>
    <cellStyle name="Bad 275" xfId="2593" xr:uid="{00000000-0005-0000-0000-000098090000}"/>
    <cellStyle name="Bad 276" xfId="2594" xr:uid="{00000000-0005-0000-0000-000099090000}"/>
    <cellStyle name="Bad 277" xfId="2595" xr:uid="{00000000-0005-0000-0000-00009A090000}"/>
    <cellStyle name="Bad 278" xfId="2596" xr:uid="{00000000-0005-0000-0000-00009B090000}"/>
    <cellStyle name="Bad 279" xfId="2597" xr:uid="{00000000-0005-0000-0000-00009C090000}"/>
    <cellStyle name="Bad 28" xfId="2598" xr:uid="{00000000-0005-0000-0000-00009D090000}"/>
    <cellStyle name="Bad 280" xfId="2599" xr:uid="{00000000-0005-0000-0000-00009E090000}"/>
    <cellStyle name="Bad 281" xfId="2600" xr:uid="{00000000-0005-0000-0000-00009F090000}"/>
    <cellStyle name="Bad 282" xfId="2601" xr:uid="{00000000-0005-0000-0000-0000A0090000}"/>
    <cellStyle name="Bad 283" xfId="2602" xr:uid="{00000000-0005-0000-0000-0000A1090000}"/>
    <cellStyle name="Bad 284" xfId="2603" xr:uid="{00000000-0005-0000-0000-0000A2090000}"/>
    <cellStyle name="Bad 285" xfId="2604" xr:uid="{00000000-0005-0000-0000-0000A3090000}"/>
    <cellStyle name="Bad 286" xfId="2605" xr:uid="{00000000-0005-0000-0000-0000A4090000}"/>
    <cellStyle name="Bad 287" xfId="2606" xr:uid="{00000000-0005-0000-0000-0000A5090000}"/>
    <cellStyle name="Bad 288" xfId="2607" xr:uid="{00000000-0005-0000-0000-0000A6090000}"/>
    <cellStyle name="Bad 289" xfId="2608" xr:uid="{00000000-0005-0000-0000-0000A7090000}"/>
    <cellStyle name="Bad 29" xfId="2609" xr:uid="{00000000-0005-0000-0000-0000A8090000}"/>
    <cellStyle name="Bad 290" xfId="2610" xr:uid="{00000000-0005-0000-0000-0000A9090000}"/>
    <cellStyle name="Bad 291" xfId="2611" xr:uid="{00000000-0005-0000-0000-0000AA090000}"/>
    <cellStyle name="Bad 292" xfId="2612" xr:uid="{00000000-0005-0000-0000-0000AB090000}"/>
    <cellStyle name="Bad 293" xfId="2613" xr:uid="{00000000-0005-0000-0000-0000AC090000}"/>
    <cellStyle name="Bad 294" xfId="2614" xr:uid="{00000000-0005-0000-0000-0000AD090000}"/>
    <cellStyle name="Bad 295" xfId="2615" xr:uid="{00000000-0005-0000-0000-0000AE090000}"/>
    <cellStyle name="Bad 296" xfId="2616" xr:uid="{00000000-0005-0000-0000-0000AF090000}"/>
    <cellStyle name="Bad 297" xfId="2617" xr:uid="{00000000-0005-0000-0000-0000B0090000}"/>
    <cellStyle name="Bad 298" xfId="2618" xr:uid="{00000000-0005-0000-0000-0000B1090000}"/>
    <cellStyle name="Bad 299" xfId="2619" xr:uid="{00000000-0005-0000-0000-0000B2090000}"/>
    <cellStyle name="Bad 3" xfId="2620" xr:uid="{00000000-0005-0000-0000-0000B3090000}"/>
    <cellStyle name="Bad 3 2" xfId="2621" xr:uid="{00000000-0005-0000-0000-0000B4090000}"/>
    <cellStyle name="Bad 3 3" xfId="2622" xr:uid="{00000000-0005-0000-0000-0000B5090000}"/>
    <cellStyle name="Bad 30" xfId="2623" xr:uid="{00000000-0005-0000-0000-0000B6090000}"/>
    <cellStyle name="Bad 300" xfId="2624" xr:uid="{00000000-0005-0000-0000-0000B7090000}"/>
    <cellStyle name="Bad 301" xfId="2625" xr:uid="{00000000-0005-0000-0000-0000B8090000}"/>
    <cellStyle name="Bad 302" xfId="2626" xr:uid="{00000000-0005-0000-0000-0000B9090000}"/>
    <cellStyle name="Bad 303" xfId="2627" xr:uid="{00000000-0005-0000-0000-0000BA090000}"/>
    <cellStyle name="Bad 304" xfId="2628" xr:uid="{00000000-0005-0000-0000-0000BB090000}"/>
    <cellStyle name="Bad 305" xfId="2629" xr:uid="{00000000-0005-0000-0000-0000BC090000}"/>
    <cellStyle name="Bad 306" xfId="2630" xr:uid="{00000000-0005-0000-0000-0000BD090000}"/>
    <cellStyle name="Bad 307" xfId="2631" xr:uid="{00000000-0005-0000-0000-0000BE090000}"/>
    <cellStyle name="Bad 308" xfId="2632" xr:uid="{00000000-0005-0000-0000-0000BF090000}"/>
    <cellStyle name="Bad 309" xfId="2633" xr:uid="{00000000-0005-0000-0000-0000C0090000}"/>
    <cellStyle name="Bad 31" xfId="2634" xr:uid="{00000000-0005-0000-0000-0000C1090000}"/>
    <cellStyle name="Bad 310" xfId="2635" xr:uid="{00000000-0005-0000-0000-0000C2090000}"/>
    <cellStyle name="Bad 311" xfId="2636" xr:uid="{00000000-0005-0000-0000-0000C3090000}"/>
    <cellStyle name="Bad 312" xfId="2637" xr:uid="{00000000-0005-0000-0000-0000C4090000}"/>
    <cellStyle name="Bad 313" xfId="2638" xr:uid="{00000000-0005-0000-0000-0000C5090000}"/>
    <cellStyle name="Bad 314" xfId="2639" xr:uid="{00000000-0005-0000-0000-0000C6090000}"/>
    <cellStyle name="Bad 315" xfId="2640" xr:uid="{00000000-0005-0000-0000-0000C7090000}"/>
    <cellStyle name="Bad 316" xfId="2641" xr:uid="{00000000-0005-0000-0000-0000C8090000}"/>
    <cellStyle name="Bad 317" xfId="2642" xr:uid="{00000000-0005-0000-0000-0000C9090000}"/>
    <cellStyle name="Bad 318" xfId="2643" xr:uid="{00000000-0005-0000-0000-0000CA090000}"/>
    <cellStyle name="Bad 319" xfId="2644" xr:uid="{00000000-0005-0000-0000-0000CB090000}"/>
    <cellStyle name="Bad 32" xfId="2645" xr:uid="{00000000-0005-0000-0000-0000CC090000}"/>
    <cellStyle name="Bad 320" xfId="2646" xr:uid="{00000000-0005-0000-0000-0000CD090000}"/>
    <cellStyle name="Bad 321" xfId="2647" xr:uid="{00000000-0005-0000-0000-0000CE090000}"/>
    <cellStyle name="Bad 322" xfId="2648" xr:uid="{00000000-0005-0000-0000-0000CF090000}"/>
    <cellStyle name="Bad 323" xfId="2649" xr:uid="{00000000-0005-0000-0000-0000D0090000}"/>
    <cellStyle name="Bad 324" xfId="2650" xr:uid="{00000000-0005-0000-0000-0000D1090000}"/>
    <cellStyle name="Bad 325" xfId="2651" xr:uid="{00000000-0005-0000-0000-0000D2090000}"/>
    <cellStyle name="Bad 326" xfId="2652" xr:uid="{00000000-0005-0000-0000-0000D3090000}"/>
    <cellStyle name="Bad 327" xfId="2653" xr:uid="{00000000-0005-0000-0000-0000D4090000}"/>
    <cellStyle name="Bad 328" xfId="2654" xr:uid="{00000000-0005-0000-0000-0000D5090000}"/>
    <cellStyle name="Bad 329" xfId="2655" xr:uid="{00000000-0005-0000-0000-0000D6090000}"/>
    <cellStyle name="Bad 33" xfId="2656" xr:uid="{00000000-0005-0000-0000-0000D7090000}"/>
    <cellStyle name="Bad 330" xfId="2657" xr:uid="{00000000-0005-0000-0000-0000D8090000}"/>
    <cellStyle name="Bad 331" xfId="2658" xr:uid="{00000000-0005-0000-0000-0000D9090000}"/>
    <cellStyle name="Bad 332" xfId="2659" xr:uid="{00000000-0005-0000-0000-0000DA090000}"/>
    <cellStyle name="Bad 333" xfId="2660" xr:uid="{00000000-0005-0000-0000-0000DB090000}"/>
    <cellStyle name="Bad 334" xfId="2661" xr:uid="{00000000-0005-0000-0000-0000DC090000}"/>
    <cellStyle name="Bad 335" xfId="2662" xr:uid="{00000000-0005-0000-0000-0000DD090000}"/>
    <cellStyle name="Bad 336" xfId="2663" xr:uid="{00000000-0005-0000-0000-0000DE090000}"/>
    <cellStyle name="Bad 337" xfId="2664" xr:uid="{00000000-0005-0000-0000-0000DF090000}"/>
    <cellStyle name="Bad 338" xfId="2665" xr:uid="{00000000-0005-0000-0000-0000E0090000}"/>
    <cellStyle name="Bad 339" xfId="2666" xr:uid="{00000000-0005-0000-0000-0000E1090000}"/>
    <cellStyle name="Bad 34" xfId="2667" xr:uid="{00000000-0005-0000-0000-0000E2090000}"/>
    <cellStyle name="Bad 340" xfId="2668" xr:uid="{00000000-0005-0000-0000-0000E3090000}"/>
    <cellStyle name="Bad 341" xfId="2669" xr:uid="{00000000-0005-0000-0000-0000E4090000}"/>
    <cellStyle name="Bad 342" xfId="2670" xr:uid="{00000000-0005-0000-0000-0000E5090000}"/>
    <cellStyle name="Bad 343" xfId="2671" xr:uid="{00000000-0005-0000-0000-0000E6090000}"/>
    <cellStyle name="Bad 344" xfId="2672" xr:uid="{00000000-0005-0000-0000-0000E7090000}"/>
    <cellStyle name="Bad 345" xfId="2673" xr:uid="{00000000-0005-0000-0000-0000E8090000}"/>
    <cellStyle name="Bad 346" xfId="2674" xr:uid="{00000000-0005-0000-0000-0000E9090000}"/>
    <cellStyle name="Bad 347" xfId="2675" xr:uid="{00000000-0005-0000-0000-0000EA090000}"/>
    <cellStyle name="Bad 348" xfId="2676" xr:uid="{00000000-0005-0000-0000-0000EB090000}"/>
    <cellStyle name="Bad 349" xfId="2677" xr:uid="{00000000-0005-0000-0000-0000EC090000}"/>
    <cellStyle name="Bad 35" xfId="2678" xr:uid="{00000000-0005-0000-0000-0000ED090000}"/>
    <cellStyle name="Bad 350" xfId="2679" xr:uid="{00000000-0005-0000-0000-0000EE090000}"/>
    <cellStyle name="Bad 351" xfId="2680" xr:uid="{00000000-0005-0000-0000-0000EF090000}"/>
    <cellStyle name="Bad 352" xfId="2681" xr:uid="{00000000-0005-0000-0000-0000F0090000}"/>
    <cellStyle name="Bad 353" xfId="2682" xr:uid="{00000000-0005-0000-0000-0000F1090000}"/>
    <cellStyle name="Bad 354" xfId="2683" xr:uid="{00000000-0005-0000-0000-0000F2090000}"/>
    <cellStyle name="Bad 355" xfId="2684" xr:uid="{00000000-0005-0000-0000-0000F3090000}"/>
    <cellStyle name="Bad 356" xfId="2685" xr:uid="{00000000-0005-0000-0000-0000F4090000}"/>
    <cellStyle name="Bad 357" xfId="2686" xr:uid="{00000000-0005-0000-0000-0000F5090000}"/>
    <cellStyle name="Bad 358" xfId="2687" xr:uid="{00000000-0005-0000-0000-0000F6090000}"/>
    <cellStyle name="Bad 359" xfId="2688" xr:uid="{00000000-0005-0000-0000-0000F7090000}"/>
    <cellStyle name="Bad 36" xfId="2689" xr:uid="{00000000-0005-0000-0000-0000F8090000}"/>
    <cellStyle name="Bad 360" xfId="2690" xr:uid="{00000000-0005-0000-0000-0000F9090000}"/>
    <cellStyle name="Bad 361" xfId="2691" xr:uid="{00000000-0005-0000-0000-0000FA090000}"/>
    <cellStyle name="Bad 362" xfId="2692" xr:uid="{00000000-0005-0000-0000-0000FB090000}"/>
    <cellStyle name="Bad 363" xfId="2693" xr:uid="{00000000-0005-0000-0000-0000FC090000}"/>
    <cellStyle name="Bad 364" xfId="2694" xr:uid="{00000000-0005-0000-0000-0000FD090000}"/>
    <cellStyle name="Bad 365" xfId="2695" xr:uid="{00000000-0005-0000-0000-0000FE090000}"/>
    <cellStyle name="Bad 366" xfId="2696" xr:uid="{00000000-0005-0000-0000-0000FF090000}"/>
    <cellStyle name="Bad 367" xfId="2697" xr:uid="{00000000-0005-0000-0000-0000000A0000}"/>
    <cellStyle name="Bad 368" xfId="2698" xr:uid="{00000000-0005-0000-0000-0000010A0000}"/>
    <cellStyle name="Bad 369" xfId="2699" xr:uid="{00000000-0005-0000-0000-0000020A0000}"/>
    <cellStyle name="Bad 37" xfId="2700" xr:uid="{00000000-0005-0000-0000-0000030A0000}"/>
    <cellStyle name="Bad 370" xfId="2701" xr:uid="{00000000-0005-0000-0000-0000040A0000}"/>
    <cellStyle name="Bad 371" xfId="2702" xr:uid="{00000000-0005-0000-0000-0000050A0000}"/>
    <cellStyle name="Bad 372" xfId="2703" xr:uid="{00000000-0005-0000-0000-0000060A0000}"/>
    <cellStyle name="Bad 373" xfId="2704" xr:uid="{00000000-0005-0000-0000-0000070A0000}"/>
    <cellStyle name="Bad 374" xfId="2705" xr:uid="{00000000-0005-0000-0000-0000080A0000}"/>
    <cellStyle name="Bad 375" xfId="2706" xr:uid="{00000000-0005-0000-0000-0000090A0000}"/>
    <cellStyle name="Bad 376" xfId="2707" xr:uid="{00000000-0005-0000-0000-00000A0A0000}"/>
    <cellStyle name="Bad 377" xfId="2708" xr:uid="{00000000-0005-0000-0000-00000B0A0000}"/>
    <cellStyle name="Bad 378" xfId="2709" xr:uid="{00000000-0005-0000-0000-00000C0A0000}"/>
    <cellStyle name="Bad 379" xfId="2710" xr:uid="{00000000-0005-0000-0000-00000D0A0000}"/>
    <cellStyle name="Bad 38" xfId="2711" xr:uid="{00000000-0005-0000-0000-00000E0A0000}"/>
    <cellStyle name="Bad 380" xfId="2712" xr:uid="{00000000-0005-0000-0000-00000F0A0000}"/>
    <cellStyle name="Bad 381" xfId="2713" xr:uid="{00000000-0005-0000-0000-0000100A0000}"/>
    <cellStyle name="Bad 382" xfId="2714" xr:uid="{00000000-0005-0000-0000-0000110A0000}"/>
    <cellStyle name="Bad 383" xfId="2715" xr:uid="{00000000-0005-0000-0000-0000120A0000}"/>
    <cellStyle name="Bad 384" xfId="2716" xr:uid="{00000000-0005-0000-0000-0000130A0000}"/>
    <cellStyle name="Bad 385" xfId="2717" xr:uid="{00000000-0005-0000-0000-0000140A0000}"/>
    <cellStyle name="Bad 386" xfId="2718" xr:uid="{00000000-0005-0000-0000-0000150A0000}"/>
    <cellStyle name="Bad 387" xfId="2719" xr:uid="{00000000-0005-0000-0000-0000160A0000}"/>
    <cellStyle name="Bad 388" xfId="2720" xr:uid="{00000000-0005-0000-0000-0000170A0000}"/>
    <cellStyle name="Bad 389" xfId="2721" xr:uid="{00000000-0005-0000-0000-0000180A0000}"/>
    <cellStyle name="Bad 39" xfId="2722" xr:uid="{00000000-0005-0000-0000-0000190A0000}"/>
    <cellStyle name="Bad 390" xfId="2723" xr:uid="{00000000-0005-0000-0000-00001A0A0000}"/>
    <cellStyle name="Bad 391" xfId="2724" xr:uid="{00000000-0005-0000-0000-00001B0A0000}"/>
    <cellStyle name="Bad 392" xfId="2725" xr:uid="{00000000-0005-0000-0000-00001C0A0000}"/>
    <cellStyle name="Bad 393" xfId="2726" xr:uid="{00000000-0005-0000-0000-00001D0A0000}"/>
    <cellStyle name="Bad 394" xfId="2727" xr:uid="{00000000-0005-0000-0000-00001E0A0000}"/>
    <cellStyle name="Bad 395" xfId="2728" xr:uid="{00000000-0005-0000-0000-00001F0A0000}"/>
    <cellStyle name="Bad 396" xfId="2729" xr:uid="{00000000-0005-0000-0000-0000200A0000}"/>
    <cellStyle name="Bad 397" xfId="2730" xr:uid="{00000000-0005-0000-0000-0000210A0000}"/>
    <cellStyle name="Bad 398" xfId="2731" xr:uid="{00000000-0005-0000-0000-0000220A0000}"/>
    <cellStyle name="Bad 399" xfId="2732" xr:uid="{00000000-0005-0000-0000-0000230A0000}"/>
    <cellStyle name="Bad 4" xfId="2733" xr:uid="{00000000-0005-0000-0000-0000240A0000}"/>
    <cellStyle name="Bad 40" xfId="2734" xr:uid="{00000000-0005-0000-0000-0000250A0000}"/>
    <cellStyle name="Bad 400" xfId="2735" xr:uid="{00000000-0005-0000-0000-0000260A0000}"/>
    <cellStyle name="Bad 401" xfId="2736" xr:uid="{00000000-0005-0000-0000-0000270A0000}"/>
    <cellStyle name="Bad 402" xfId="2737" xr:uid="{00000000-0005-0000-0000-0000280A0000}"/>
    <cellStyle name="Bad 403" xfId="2738" xr:uid="{00000000-0005-0000-0000-0000290A0000}"/>
    <cellStyle name="Bad 404" xfId="2739" xr:uid="{00000000-0005-0000-0000-00002A0A0000}"/>
    <cellStyle name="Bad 405" xfId="2740" xr:uid="{00000000-0005-0000-0000-00002B0A0000}"/>
    <cellStyle name="Bad 406" xfId="2741" xr:uid="{00000000-0005-0000-0000-00002C0A0000}"/>
    <cellStyle name="Bad 407" xfId="2742" xr:uid="{00000000-0005-0000-0000-00002D0A0000}"/>
    <cellStyle name="Bad 408" xfId="2743" xr:uid="{00000000-0005-0000-0000-00002E0A0000}"/>
    <cellStyle name="Bad 409" xfId="2744" xr:uid="{00000000-0005-0000-0000-00002F0A0000}"/>
    <cellStyle name="Bad 41" xfId="2745" xr:uid="{00000000-0005-0000-0000-0000300A0000}"/>
    <cellStyle name="Bad 410" xfId="2746" xr:uid="{00000000-0005-0000-0000-0000310A0000}"/>
    <cellStyle name="Bad 411" xfId="2747" xr:uid="{00000000-0005-0000-0000-0000320A0000}"/>
    <cellStyle name="Bad 412" xfId="2748" xr:uid="{00000000-0005-0000-0000-0000330A0000}"/>
    <cellStyle name="Bad 413" xfId="2749" xr:uid="{00000000-0005-0000-0000-0000340A0000}"/>
    <cellStyle name="Bad 414" xfId="2750" xr:uid="{00000000-0005-0000-0000-0000350A0000}"/>
    <cellStyle name="Bad 415" xfId="2751" xr:uid="{00000000-0005-0000-0000-0000360A0000}"/>
    <cellStyle name="Bad 416" xfId="2752" xr:uid="{00000000-0005-0000-0000-0000370A0000}"/>
    <cellStyle name="Bad 417" xfId="2753" xr:uid="{00000000-0005-0000-0000-0000380A0000}"/>
    <cellStyle name="Bad 418" xfId="2754" xr:uid="{00000000-0005-0000-0000-0000390A0000}"/>
    <cellStyle name="Bad 419" xfId="2755" xr:uid="{00000000-0005-0000-0000-00003A0A0000}"/>
    <cellStyle name="Bad 42" xfId="2756" xr:uid="{00000000-0005-0000-0000-00003B0A0000}"/>
    <cellStyle name="Bad 420" xfId="2757" xr:uid="{00000000-0005-0000-0000-00003C0A0000}"/>
    <cellStyle name="Bad 421" xfId="2758" xr:uid="{00000000-0005-0000-0000-00003D0A0000}"/>
    <cellStyle name="Bad 422" xfId="2759" xr:uid="{00000000-0005-0000-0000-00003E0A0000}"/>
    <cellStyle name="Bad 423" xfId="2760" xr:uid="{00000000-0005-0000-0000-00003F0A0000}"/>
    <cellStyle name="Bad 424" xfId="2761" xr:uid="{00000000-0005-0000-0000-0000400A0000}"/>
    <cellStyle name="Bad 425" xfId="2762" xr:uid="{00000000-0005-0000-0000-0000410A0000}"/>
    <cellStyle name="Bad 426" xfId="2763" xr:uid="{00000000-0005-0000-0000-0000420A0000}"/>
    <cellStyle name="Bad 427" xfId="2764" xr:uid="{00000000-0005-0000-0000-0000430A0000}"/>
    <cellStyle name="Bad 428" xfId="2765" xr:uid="{00000000-0005-0000-0000-0000440A0000}"/>
    <cellStyle name="Bad 429" xfId="2766" xr:uid="{00000000-0005-0000-0000-0000450A0000}"/>
    <cellStyle name="Bad 43" xfId="2767" xr:uid="{00000000-0005-0000-0000-0000460A0000}"/>
    <cellStyle name="Bad 430" xfId="2768" xr:uid="{00000000-0005-0000-0000-0000470A0000}"/>
    <cellStyle name="Bad 431" xfId="2769" xr:uid="{00000000-0005-0000-0000-0000480A0000}"/>
    <cellStyle name="Bad 432" xfId="2770" xr:uid="{00000000-0005-0000-0000-0000490A0000}"/>
    <cellStyle name="Bad 433" xfId="2771" xr:uid="{00000000-0005-0000-0000-00004A0A0000}"/>
    <cellStyle name="Bad 434" xfId="2772" xr:uid="{00000000-0005-0000-0000-00004B0A0000}"/>
    <cellStyle name="Bad 435" xfId="2773" xr:uid="{00000000-0005-0000-0000-00004C0A0000}"/>
    <cellStyle name="Bad 436" xfId="2774" xr:uid="{00000000-0005-0000-0000-00004D0A0000}"/>
    <cellStyle name="Bad 437" xfId="2775" xr:uid="{00000000-0005-0000-0000-00004E0A0000}"/>
    <cellStyle name="Bad 438" xfId="2776" xr:uid="{00000000-0005-0000-0000-00004F0A0000}"/>
    <cellStyle name="Bad 439" xfId="2777" xr:uid="{00000000-0005-0000-0000-0000500A0000}"/>
    <cellStyle name="Bad 44" xfId="2778" xr:uid="{00000000-0005-0000-0000-0000510A0000}"/>
    <cellStyle name="Bad 440" xfId="2779" xr:uid="{00000000-0005-0000-0000-0000520A0000}"/>
    <cellStyle name="Bad 441" xfId="2780" xr:uid="{00000000-0005-0000-0000-0000530A0000}"/>
    <cellStyle name="Bad 442" xfId="2781" xr:uid="{00000000-0005-0000-0000-0000540A0000}"/>
    <cellStyle name="Bad 443" xfId="2782" xr:uid="{00000000-0005-0000-0000-0000550A0000}"/>
    <cellStyle name="Bad 444" xfId="2783" xr:uid="{00000000-0005-0000-0000-0000560A0000}"/>
    <cellStyle name="Bad 445" xfId="2784" xr:uid="{00000000-0005-0000-0000-0000570A0000}"/>
    <cellStyle name="Bad 446" xfId="2785" xr:uid="{00000000-0005-0000-0000-0000580A0000}"/>
    <cellStyle name="Bad 447" xfId="2786" xr:uid="{00000000-0005-0000-0000-0000590A0000}"/>
    <cellStyle name="Bad 448" xfId="2787" xr:uid="{00000000-0005-0000-0000-00005A0A0000}"/>
    <cellStyle name="Bad 449" xfId="2788" xr:uid="{00000000-0005-0000-0000-00005B0A0000}"/>
    <cellStyle name="Bad 45" xfId="2789" xr:uid="{00000000-0005-0000-0000-00005C0A0000}"/>
    <cellStyle name="Bad 450" xfId="2790" xr:uid="{00000000-0005-0000-0000-00005D0A0000}"/>
    <cellStyle name="Bad 451" xfId="2791" xr:uid="{00000000-0005-0000-0000-00005E0A0000}"/>
    <cellStyle name="Bad 452" xfId="2792" xr:uid="{00000000-0005-0000-0000-00005F0A0000}"/>
    <cellStyle name="Bad 453" xfId="2793" xr:uid="{00000000-0005-0000-0000-0000600A0000}"/>
    <cellStyle name="Bad 454" xfId="2794" xr:uid="{00000000-0005-0000-0000-0000610A0000}"/>
    <cellStyle name="Bad 455" xfId="2795" xr:uid="{00000000-0005-0000-0000-0000620A0000}"/>
    <cellStyle name="Bad 456" xfId="2796" xr:uid="{00000000-0005-0000-0000-0000630A0000}"/>
    <cellStyle name="Bad 457" xfId="2797" xr:uid="{00000000-0005-0000-0000-0000640A0000}"/>
    <cellStyle name="Bad 458" xfId="2798" xr:uid="{00000000-0005-0000-0000-0000650A0000}"/>
    <cellStyle name="Bad 459" xfId="2799" xr:uid="{00000000-0005-0000-0000-0000660A0000}"/>
    <cellStyle name="Bad 46" xfId="2800" xr:uid="{00000000-0005-0000-0000-0000670A0000}"/>
    <cellStyle name="Bad 460" xfId="2801" xr:uid="{00000000-0005-0000-0000-0000680A0000}"/>
    <cellStyle name="Bad 461" xfId="2802" xr:uid="{00000000-0005-0000-0000-0000690A0000}"/>
    <cellStyle name="Bad 462" xfId="2803" xr:uid="{00000000-0005-0000-0000-00006A0A0000}"/>
    <cellStyle name="Bad 463" xfId="2804" xr:uid="{00000000-0005-0000-0000-00006B0A0000}"/>
    <cellStyle name="Bad 464" xfId="2805" xr:uid="{00000000-0005-0000-0000-00006C0A0000}"/>
    <cellStyle name="Bad 465" xfId="2806" xr:uid="{00000000-0005-0000-0000-00006D0A0000}"/>
    <cellStyle name="Bad 466" xfId="2807" xr:uid="{00000000-0005-0000-0000-00006E0A0000}"/>
    <cellStyle name="Bad 467" xfId="2808" xr:uid="{00000000-0005-0000-0000-00006F0A0000}"/>
    <cellStyle name="Bad 468" xfId="2809" xr:uid="{00000000-0005-0000-0000-0000700A0000}"/>
    <cellStyle name="Bad 469" xfId="2810" xr:uid="{00000000-0005-0000-0000-0000710A0000}"/>
    <cellStyle name="Bad 47" xfId="2811" xr:uid="{00000000-0005-0000-0000-0000720A0000}"/>
    <cellStyle name="Bad 470" xfId="2812" xr:uid="{00000000-0005-0000-0000-0000730A0000}"/>
    <cellStyle name="Bad 471" xfId="2813" xr:uid="{00000000-0005-0000-0000-0000740A0000}"/>
    <cellStyle name="Bad 472" xfId="2814" xr:uid="{00000000-0005-0000-0000-0000750A0000}"/>
    <cellStyle name="Bad 473" xfId="2815" xr:uid="{00000000-0005-0000-0000-0000760A0000}"/>
    <cellStyle name="Bad 474" xfId="2816" xr:uid="{00000000-0005-0000-0000-0000770A0000}"/>
    <cellStyle name="Bad 475" xfId="2817" xr:uid="{00000000-0005-0000-0000-0000780A0000}"/>
    <cellStyle name="Bad 476" xfId="2818" xr:uid="{00000000-0005-0000-0000-0000790A0000}"/>
    <cellStyle name="Bad 477" xfId="2819" xr:uid="{00000000-0005-0000-0000-00007A0A0000}"/>
    <cellStyle name="Bad 478" xfId="2820" xr:uid="{00000000-0005-0000-0000-00007B0A0000}"/>
    <cellStyle name="Bad 479" xfId="2821" xr:uid="{00000000-0005-0000-0000-00007C0A0000}"/>
    <cellStyle name="Bad 48" xfId="2822" xr:uid="{00000000-0005-0000-0000-00007D0A0000}"/>
    <cellStyle name="Bad 480" xfId="2823" xr:uid="{00000000-0005-0000-0000-00007E0A0000}"/>
    <cellStyle name="Bad 481" xfId="2824" xr:uid="{00000000-0005-0000-0000-00007F0A0000}"/>
    <cellStyle name="Bad 482" xfId="2825" xr:uid="{00000000-0005-0000-0000-0000800A0000}"/>
    <cellStyle name="Bad 483" xfId="2826" xr:uid="{00000000-0005-0000-0000-0000810A0000}"/>
    <cellStyle name="Bad 484" xfId="2827" xr:uid="{00000000-0005-0000-0000-0000820A0000}"/>
    <cellStyle name="Bad 485" xfId="2828" xr:uid="{00000000-0005-0000-0000-0000830A0000}"/>
    <cellStyle name="Bad 486" xfId="2829" xr:uid="{00000000-0005-0000-0000-0000840A0000}"/>
    <cellStyle name="Bad 487" xfId="2830" xr:uid="{00000000-0005-0000-0000-0000850A0000}"/>
    <cellStyle name="Bad 488" xfId="2831" xr:uid="{00000000-0005-0000-0000-0000860A0000}"/>
    <cellStyle name="Bad 489" xfId="2832" xr:uid="{00000000-0005-0000-0000-0000870A0000}"/>
    <cellStyle name="Bad 49" xfId="2833" xr:uid="{00000000-0005-0000-0000-0000880A0000}"/>
    <cellStyle name="Bad 490" xfId="2834" xr:uid="{00000000-0005-0000-0000-0000890A0000}"/>
    <cellStyle name="Bad 491" xfId="2835" xr:uid="{00000000-0005-0000-0000-00008A0A0000}"/>
    <cellStyle name="Bad 492" xfId="2836" xr:uid="{00000000-0005-0000-0000-00008B0A0000}"/>
    <cellStyle name="Bad 493" xfId="2837" xr:uid="{00000000-0005-0000-0000-00008C0A0000}"/>
    <cellStyle name="Bad 494" xfId="2838" xr:uid="{00000000-0005-0000-0000-00008D0A0000}"/>
    <cellStyle name="Bad 495" xfId="2839" xr:uid="{00000000-0005-0000-0000-00008E0A0000}"/>
    <cellStyle name="Bad 496" xfId="2840" xr:uid="{00000000-0005-0000-0000-00008F0A0000}"/>
    <cellStyle name="Bad 497" xfId="2841" xr:uid="{00000000-0005-0000-0000-0000900A0000}"/>
    <cellStyle name="Bad 498" xfId="2842" xr:uid="{00000000-0005-0000-0000-0000910A0000}"/>
    <cellStyle name="Bad 499" xfId="2843" xr:uid="{00000000-0005-0000-0000-0000920A0000}"/>
    <cellStyle name="Bad 5" xfId="2844" xr:uid="{00000000-0005-0000-0000-0000930A0000}"/>
    <cellStyle name="Bad 50" xfId="2845" xr:uid="{00000000-0005-0000-0000-0000940A0000}"/>
    <cellStyle name="Bad 500" xfId="2846" xr:uid="{00000000-0005-0000-0000-0000950A0000}"/>
    <cellStyle name="Bad 501" xfId="2847" xr:uid="{00000000-0005-0000-0000-0000960A0000}"/>
    <cellStyle name="Bad 502" xfId="2848" xr:uid="{00000000-0005-0000-0000-0000970A0000}"/>
    <cellStyle name="Bad 503" xfId="2849" xr:uid="{00000000-0005-0000-0000-0000980A0000}"/>
    <cellStyle name="Bad 504" xfId="2850" xr:uid="{00000000-0005-0000-0000-0000990A0000}"/>
    <cellStyle name="Bad 505" xfId="2851" xr:uid="{00000000-0005-0000-0000-00009A0A0000}"/>
    <cellStyle name="Bad 506" xfId="2852" xr:uid="{00000000-0005-0000-0000-00009B0A0000}"/>
    <cellStyle name="Bad 507" xfId="2853" xr:uid="{00000000-0005-0000-0000-00009C0A0000}"/>
    <cellStyle name="Bad 508" xfId="2854" xr:uid="{00000000-0005-0000-0000-00009D0A0000}"/>
    <cellStyle name="Bad 509" xfId="2855" xr:uid="{00000000-0005-0000-0000-00009E0A0000}"/>
    <cellStyle name="Bad 51" xfId="2856" xr:uid="{00000000-0005-0000-0000-00009F0A0000}"/>
    <cellStyle name="Bad 510" xfId="2857" xr:uid="{00000000-0005-0000-0000-0000A00A0000}"/>
    <cellStyle name="Bad 511" xfId="2858" xr:uid="{00000000-0005-0000-0000-0000A10A0000}"/>
    <cellStyle name="Bad 512" xfId="2859" xr:uid="{00000000-0005-0000-0000-0000A20A0000}"/>
    <cellStyle name="Bad 513" xfId="2860" xr:uid="{00000000-0005-0000-0000-0000A30A0000}"/>
    <cellStyle name="Bad 514" xfId="2861" xr:uid="{00000000-0005-0000-0000-0000A40A0000}"/>
    <cellStyle name="Bad 515" xfId="2862" xr:uid="{00000000-0005-0000-0000-0000A50A0000}"/>
    <cellStyle name="Bad 516" xfId="2863" xr:uid="{00000000-0005-0000-0000-0000A60A0000}"/>
    <cellStyle name="Bad 517" xfId="2864" xr:uid="{00000000-0005-0000-0000-0000A70A0000}"/>
    <cellStyle name="Bad 518" xfId="2865" xr:uid="{00000000-0005-0000-0000-0000A80A0000}"/>
    <cellStyle name="Bad 519" xfId="2866" xr:uid="{00000000-0005-0000-0000-0000A90A0000}"/>
    <cellStyle name="Bad 52" xfId="2867" xr:uid="{00000000-0005-0000-0000-0000AA0A0000}"/>
    <cellStyle name="Bad 520" xfId="2868" xr:uid="{00000000-0005-0000-0000-0000AB0A0000}"/>
    <cellStyle name="Bad 521" xfId="2869" xr:uid="{00000000-0005-0000-0000-0000AC0A0000}"/>
    <cellStyle name="Bad 522" xfId="2870" xr:uid="{00000000-0005-0000-0000-0000AD0A0000}"/>
    <cellStyle name="Bad 523" xfId="2871" xr:uid="{00000000-0005-0000-0000-0000AE0A0000}"/>
    <cellStyle name="Bad 524" xfId="2872" xr:uid="{00000000-0005-0000-0000-0000AF0A0000}"/>
    <cellStyle name="Bad 525" xfId="2873" xr:uid="{00000000-0005-0000-0000-0000B00A0000}"/>
    <cellStyle name="Bad 526" xfId="2874" xr:uid="{00000000-0005-0000-0000-0000B10A0000}"/>
    <cellStyle name="Bad 527" xfId="2875" xr:uid="{00000000-0005-0000-0000-0000B20A0000}"/>
    <cellStyle name="Bad 528" xfId="2876" xr:uid="{00000000-0005-0000-0000-0000B30A0000}"/>
    <cellStyle name="Bad 529" xfId="2877" xr:uid="{00000000-0005-0000-0000-0000B40A0000}"/>
    <cellStyle name="Bad 53" xfId="2878" xr:uid="{00000000-0005-0000-0000-0000B50A0000}"/>
    <cellStyle name="Bad 530" xfId="2879" xr:uid="{00000000-0005-0000-0000-0000B60A0000}"/>
    <cellStyle name="Bad 531" xfId="2880" xr:uid="{00000000-0005-0000-0000-0000B70A0000}"/>
    <cellStyle name="Bad 532" xfId="2881" xr:uid="{00000000-0005-0000-0000-0000B80A0000}"/>
    <cellStyle name="Bad 533" xfId="2882" xr:uid="{00000000-0005-0000-0000-0000B90A0000}"/>
    <cellStyle name="Bad 534" xfId="2883" xr:uid="{00000000-0005-0000-0000-0000BA0A0000}"/>
    <cellStyle name="Bad 535" xfId="2884" xr:uid="{00000000-0005-0000-0000-0000BB0A0000}"/>
    <cellStyle name="Bad 536" xfId="2885" xr:uid="{00000000-0005-0000-0000-0000BC0A0000}"/>
    <cellStyle name="Bad 537" xfId="2886" xr:uid="{00000000-0005-0000-0000-0000BD0A0000}"/>
    <cellStyle name="Bad 538" xfId="2887" xr:uid="{00000000-0005-0000-0000-0000BE0A0000}"/>
    <cellStyle name="Bad 539" xfId="2888" xr:uid="{00000000-0005-0000-0000-0000BF0A0000}"/>
    <cellStyle name="Bad 54" xfId="2889" xr:uid="{00000000-0005-0000-0000-0000C00A0000}"/>
    <cellStyle name="Bad 540" xfId="2890" xr:uid="{00000000-0005-0000-0000-0000C10A0000}"/>
    <cellStyle name="Bad 541" xfId="2891" xr:uid="{00000000-0005-0000-0000-0000C20A0000}"/>
    <cellStyle name="Bad 542" xfId="2892" xr:uid="{00000000-0005-0000-0000-0000C30A0000}"/>
    <cellStyle name="Bad 543" xfId="2893" xr:uid="{00000000-0005-0000-0000-0000C40A0000}"/>
    <cellStyle name="Bad 544" xfId="2894" xr:uid="{00000000-0005-0000-0000-0000C50A0000}"/>
    <cellStyle name="Bad 545" xfId="2895" xr:uid="{00000000-0005-0000-0000-0000C60A0000}"/>
    <cellStyle name="Bad 546" xfId="2896" xr:uid="{00000000-0005-0000-0000-0000C70A0000}"/>
    <cellStyle name="Bad 547" xfId="2897" xr:uid="{00000000-0005-0000-0000-0000C80A0000}"/>
    <cellStyle name="Bad 548" xfId="2898" xr:uid="{00000000-0005-0000-0000-0000C90A0000}"/>
    <cellStyle name="Bad 549" xfId="2899" xr:uid="{00000000-0005-0000-0000-0000CA0A0000}"/>
    <cellStyle name="Bad 55" xfId="2900" xr:uid="{00000000-0005-0000-0000-0000CB0A0000}"/>
    <cellStyle name="Bad 550" xfId="2901" xr:uid="{00000000-0005-0000-0000-0000CC0A0000}"/>
    <cellStyle name="Bad 551" xfId="2902" xr:uid="{00000000-0005-0000-0000-0000CD0A0000}"/>
    <cellStyle name="Bad 552" xfId="2903" xr:uid="{00000000-0005-0000-0000-0000CE0A0000}"/>
    <cellStyle name="Bad 553" xfId="2904" xr:uid="{00000000-0005-0000-0000-0000CF0A0000}"/>
    <cellStyle name="Bad 554" xfId="2905" xr:uid="{00000000-0005-0000-0000-0000D00A0000}"/>
    <cellStyle name="Bad 555" xfId="2906" xr:uid="{00000000-0005-0000-0000-0000D10A0000}"/>
    <cellStyle name="Bad 556" xfId="2907" xr:uid="{00000000-0005-0000-0000-0000D20A0000}"/>
    <cellStyle name="Bad 557" xfId="2908" xr:uid="{00000000-0005-0000-0000-0000D30A0000}"/>
    <cellStyle name="Bad 558" xfId="2909" xr:uid="{00000000-0005-0000-0000-0000D40A0000}"/>
    <cellStyle name="Bad 559" xfId="2910" xr:uid="{00000000-0005-0000-0000-0000D50A0000}"/>
    <cellStyle name="Bad 56" xfId="2911" xr:uid="{00000000-0005-0000-0000-0000D60A0000}"/>
    <cellStyle name="Bad 560" xfId="2912" xr:uid="{00000000-0005-0000-0000-0000D70A0000}"/>
    <cellStyle name="Bad 561" xfId="2913" xr:uid="{00000000-0005-0000-0000-0000D80A0000}"/>
    <cellStyle name="Bad 562" xfId="2914" xr:uid="{00000000-0005-0000-0000-0000D90A0000}"/>
    <cellStyle name="Bad 563" xfId="2915" xr:uid="{00000000-0005-0000-0000-0000DA0A0000}"/>
    <cellStyle name="Bad 564" xfId="2916" xr:uid="{00000000-0005-0000-0000-0000DB0A0000}"/>
    <cellStyle name="Bad 565" xfId="2917" xr:uid="{00000000-0005-0000-0000-0000DC0A0000}"/>
    <cellStyle name="Bad 566" xfId="2918" xr:uid="{00000000-0005-0000-0000-0000DD0A0000}"/>
    <cellStyle name="Bad 567" xfId="2919" xr:uid="{00000000-0005-0000-0000-0000DE0A0000}"/>
    <cellStyle name="Bad 568" xfId="2920" xr:uid="{00000000-0005-0000-0000-0000DF0A0000}"/>
    <cellStyle name="Bad 569" xfId="2921" xr:uid="{00000000-0005-0000-0000-0000E00A0000}"/>
    <cellStyle name="Bad 57" xfId="2922" xr:uid="{00000000-0005-0000-0000-0000E10A0000}"/>
    <cellStyle name="Bad 570" xfId="2923" xr:uid="{00000000-0005-0000-0000-0000E20A0000}"/>
    <cellStyle name="Bad 571" xfId="2924" xr:uid="{00000000-0005-0000-0000-0000E30A0000}"/>
    <cellStyle name="Bad 572" xfId="2925" xr:uid="{00000000-0005-0000-0000-0000E40A0000}"/>
    <cellStyle name="Bad 573" xfId="2926" xr:uid="{00000000-0005-0000-0000-0000E50A0000}"/>
    <cellStyle name="Bad 574" xfId="2927" xr:uid="{00000000-0005-0000-0000-0000E60A0000}"/>
    <cellStyle name="Bad 575" xfId="2928" xr:uid="{00000000-0005-0000-0000-0000E70A0000}"/>
    <cellStyle name="Bad 576" xfId="2929" xr:uid="{00000000-0005-0000-0000-0000E80A0000}"/>
    <cellStyle name="Bad 577" xfId="2930" xr:uid="{00000000-0005-0000-0000-0000E90A0000}"/>
    <cellStyle name="Bad 578" xfId="2931" xr:uid="{00000000-0005-0000-0000-0000EA0A0000}"/>
    <cellStyle name="Bad 579" xfId="2932" xr:uid="{00000000-0005-0000-0000-0000EB0A0000}"/>
    <cellStyle name="Bad 58" xfId="2933" xr:uid="{00000000-0005-0000-0000-0000EC0A0000}"/>
    <cellStyle name="Bad 580" xfId="2934" xr:uid="{00000000-0005-0000-0000-0000ED0A0000}"/>
    <cellStyle name="Bad 581" xfId="2935" xr:uid="{00000000-0005-0000-0000-0000EE0A0000}"/>
    <cellStyle name="Bad 582" xfId="2936" xr:uid="{00000000-0005-0000-0000-0000EF0A0000}"/>
    <cellStyle name="Bad 583" xfId="2937" xr:uid="{00000000-0005-0000-0000-0000F00A0000}"/>
    <cellStyle name="Bad 584" xfId="2938" xr:uid="{00000000-0005-0000-0000-0000F10A0000}"/>
    <cellStyle name="Bad 585" xfId="2939" xr:uid="{00000000-0005-0000-0000-0000F20A0000}"/>
    <cellStyle name="Bad 586" xfId="2940" xr:uid="{00000000-0005-0000-0000-0000F30A0000}"/>
    <cellStyle name="Bad 587" xfId="2941" xr:uid="{00000000-0005-0000-0000-0000F40A0000}"/>
    <cellStyle name="Bad 588" xfId="2942" xr:uid="{00000000-0005-0000-0000-0000F50A0000}"/>
    <cellStyle name="Bad 589" xfId="2943" xr:uid="{00000000-0005-0000-0000-0000F60A0000}"/>
    <cellStyle name="Bad 59" xfId="2944" xr:uid="{00000000-0005-0000-0000-0000F70A0000}"/>
    <cellStyle name="Bad 590" xfId="2945" xr:uid="{00000000-0005-0000-0000-0000F80A0000}"/>
    <cellStyle name="Bad 591" xfId="2946" xr:uid="{00000000-0005-0000-0000-0000F90A0000}"/>
    <cellStyle name="Bad 592" xfId="2947" xr:uid="{00000000-0005-0000-0000-0000FA0A0000}"/>
    <cellStyle name="Bad 593" xfId="2948" xr:uid="{00000000-0005-0000-0000-0000FB0A0000}"/>
    <cellStyle name="Bad 594" xfId="2949" xr:uid="{00000000-0005-0000-0000-0000FC0A0000}"/>
    <cellStyle name="Bad 595" xfId="2950" xr:uid="{00000000-0005-0000-0000-0000FD0A0000}"/>
    <cellStyle name="Bad 596" xfId="2951" xr:uid="{00000000-0005-0000-0000-0000FE0A0000}"/>
    <cellStyle name="Bad 597" xfId="2952" xr:uid="{00000000-0005-0000-0000-0000FF0A0000}"/>
    <cellStyle name="Bad 598" xfId="2953" xr:uid="{00000000-0005-0000-0000-0000000B0000}"/>
    <cellStyle name="Bad 599" xfId="2954" xr:uid="{00000000-0005-0000-0000-0000010B0000}"/>
    <cellStyle name="Bad 6" xfId="2955" xr:uid="{00000000-0005-0000-0000-0000020B0000}"/>
    <cellStyle name="Bad 60" xfId="2956" xr:uid="{00000000-0005-0000-0000-0000030B0000}"/>
    <cellStyle name="Bad 600" xfId="2957" xr:uid="{00000000-0005-0000-0000-0000040B0000}"/>
    <cellStyle name="Bad 601" xfId="2958" xr:uid="{00000000-0005-0000-0000-0000050B0000}"/>
    <cellStyle name="Bad 602" xfId="2959" xr:uid="{00000000-0005-0000-0000-0000060B0000}"/>
    <cellStyle name="Bad 603" xfId="2960" xr:uid="{00000000-0005-0000-0000-0000070B0000}"/>
    <cellStyle name="Bad 604" xfId="2961" xr:uid="{00000000-0005-0000-0000-0000080B0000}"/>
    <cellStyle name="Bad 605" xfId="2962" xr:uid="{00000000-0005-0000-0000-0000090B0000}"/>
    <cellStyle name="Bad 606" xfId="2963" xr:uid="{00000000-0005-0000-0000-00000A0B0000}"/>
    <cellStyle name="Bad 607" xfId="2964" xr:uid="{00000000-0005-0000-0000-00000B0B0000}"/>
    <cellStyle name="Bad 608" xfId="2965" xr:uid="{00000000-0005-0000-0000-00000C0B0000}"/>
    <cellStyle name="Bad 609" xfId="2966" xr:uid="{00000000-0005-0000-0000-00000D0B0000}"/>
    <cellStyle name="Bad 61" xfId="2967" xr:uid="{00000000-0005-0000-0000-00000E0B0000}"/>
    <cellStyle name="Bad 610" xfId="2968" xr:uid="{00000000-0005-0000-0000-00000F0B0000}"/>
    <cellStyle name="Bad 611" xfId="2969" xr:uid="{00000000-0005-0000-0000-0000100B0000}"/>
    <cellStyle name="Bad 612" xfId="2970" xr:uid="{00000000-0005-0000-0000-0000110B0000}"/>
    <cellStyle name="Bad 613" xfId="2971" xr:uid="{00000000-0005-0000-0000-0000120B0000}"/>
    <cellStyle name="Bad 614" xfId="2972" xr:uid="{00000000-0005-0000-0000-0000130B0000}"/>
    <cellStyle name="Bad 615" xfId="2973" xr:uid="{00000000-0005-0000-0000-0000140B0000}"/>
    <cellStyle name="Bad 616" xfId="2974" xr:uid="{00000000-0005-0000-0000-0000150B0000}"/>
    <cellStyle name="Bad 617" xfId="2975" xr:uid="{00000000-0005-0000-0000-0000160B0000}"/>
    <cellStyle name="Bad 618" xfId="2976" xr:uid="{00000000-0005-0000-0000-0000170B0000}"/>
    <cellStyle name="Bad 619" xfId="2977" xr:uid="{00000000-0005-0000-0000-0000180B0000}"/>
    <cellStyle name="Bad 62" xfId="2978" xr:uid="{00000000-0005-0000-0000-0000190B0000}"/>
    <cellStyle name="Bad 620" xfId="2979" xr:uid="{00000000-0005-0000-0000-00001A0B0000}"/>
    <cellStyle name="Bad 621" xfId="2980" xr:uid="{00000000-0005-0000-0000-00001B0B0000}"/>
    <cellStyle name="Bad 622" xfId="2981" xr:uid="{00000000-0005-0000-0000-00001C0B0000}"/>
    <cellStyle name="Bad 623" xfId="2982" xr:uid="{00000000-0005-0000-0000-00001D0B0000}"/>
    <cellStyle name="Bad 624" xfId="2983" xr:uid="{00000000-0005-0000-0000-00001E0B0000}"/>
    <cellStyle name="Bad 625" xfId="2984" xr:uid="{00000000-0005-0000-0000-00001F0B0000}"/>
    <cellStyle name="Bad 626" xfId="2985" xr:uid="{00000000-0005-0000-0000-0000200B0000}"/>
    <cellStyle name="Bad 627" xfId="2986" xr:uid="{00000000-0005-0000-0000-0000210B0000}"/>
    <cellStyle name="Bad 628" xfId="2987" xr:uid="{00000000-0005-0000-0000-0000220B0000}"/>
    <cellStyle name="Bad 629" xfId="2988" xr:uid="{00000000-0005-0000-0000-0000230B0000}"/>
    <cellStyle name="Bad 63" xfId="2989" xr:uid="{00000000-0005-0000-0000-0000240B0000}"/>
    <cellStyle name="Bad 630" xfId="2990" xr:uid="{00000000-0005-0000-0000-0000250B0000}"/>
    <cellStyle name="Bad 631" xfId="2991" xr:uid="{00000000-0005-0000-0000-0000260B0000}"/>
    <cellStyle name="Bad 632" xfId="2992" xr:uid="{00000000-0005-0000-0000-0000270B0000}"/>
    <cellStyle name="Bad 633" xfId="2993" xr:uid="{00000000-0005-0000-0000-0000280B0000}"/>
    <cellStyle name="Bad 634" xfId="2994" xr:uid="{00000000-0005-0000-0000-0000290B0000}"/>
    <cellStyle name="Bad 635" xfId="2995" xr:uid="{00000000-0005-0000-0000-00002A0B0000}"/>
    <cellStyle name="Bad 636" xfId="2996" xr:uid="{00000000-0005-0000-0000-00002B0B0000}"/>
    <cellStyle name="Bad 637" xfId="2997" xr:uid="{00000000-0005-0000-0000-00002C0B0000}"/>
    <cellStyle name="Bad 638" xfId="2998" xr:uid="{00000000-0005-0000-0000-00002D0B0000}"/>
    <cellStyle name="Bad 639" xfId="2999" xr:uid="{00000000-0005-0000-0000-00002E0B0000}"/>
    <cellStyle name="Bad 64" xfId="3000" xr:uid="{00000000-0005-0000-0000-00002F0B0000}"/>
    <cellStyle name="Bad 640" xfId="3001" xr:uid="{00000000-0005-0000-0000-0000300B0000}"/>
    <cellStyle name="Bad 641" xfId="3002" xr:uid="{00000000-0005-0000-0000-0000310B0000}"/>
    <cellStyle name="Bad 642" xfId="3003" xr:uid="{00000000-0005-0000-0000-0000320B0000}"/>
    <cellStyle name="Bad 643" xfId="3004" xr:uid="{00000000-0005-0000-0000-0000330B0000}"/>
    <cellStyle name="Bad 644" xfId="3005" xr:uid="{00000000-0005-0000-0000-0000340B0000}"/>
    <cellStyle name="Bad 645" xfId="3006" xr:uid="{00000000-0005-0000-0000-0000350B0000}"/>
    <cellStyle name="Bad 646" xfId="3007" xr:uid="{00000000-0005-0000-0000-0000360B0000}"/>
    <cellStyle name="Bad 647" xfId="3008" xr:uid="{00000000-0005-0000-0000-0000370B0000}"/>
    <cellStyle name="Bad 648" xfId="3009" xr:uid="{00000000-0005-0000-0000-0000380B0000}"/>
    <cellStyle name="Bad 649" xfId="3010" xr:uid="{00000000-0005-0000-0000-0000390B0000}"/>
    <cellStyle name="Bad 65" xfId="3011" xr:uid="{00000000-0005-0000-0000-00003A0B0000}"/>
    <cellStyle name="Bad 650" xfId="3012" xr:uid="{00000000-0005-0000-0000-00003B0B0000}"/>
    <cellStyle name="Bad 651" xfId="3013" xr:uid="{00000000-0005-0000-0000-00003C0B0000}"/>
    <cellStyle name="Bad 652" xfId="3014" xr:uid="{00000000-0005-0000-0000-00003D0B0000}"/>
    <cellStyle name="Bad 653" xfId="3015" xr:uid="{00000000-0005-0000-0000-00003E0B0000}"/>
    <cellStyle name="Bad 654" xfId="3016" xr:uid="{00000000-0005-0000-0000-00003F0B0000}"/>
    <cellStyle name="Bad 655" xfId="3017" xr:uid="{00000000-0005-0000-0000-0000400B0000}"/>
    <cellStyle name="Bad 656" xfId="3018" xr:uid="{00000000-0005-0000-0000-0000410B0000}"/>
    <cellStyle name="Bad 657" xfId="3019" xr:uid="{00000000-0005-0000-0000-0000420B0000}"/>
    <cellStyle name="Bad 658" xfId="3020" xr:uid="{00000000-0005-0000-0000-0000430B0000}"/>
    <cellStyle name="Bad 659" xfId="3021" xr:uid="{00000000-0005-0000-0000-0000440B0000}"/>
    <cellStyle name="Bad 66" xfId="3022" xr:uid="{00000000-0005-0000-0000-0000450B0000}"/>
    <cellStyle name="Bad 660" xfId="3023" xr:uid="{00000000-0005-0000-0000-0000460B0000}"/>
    <cellStyle name="Bad 661" xfId="3024" xr:uid="{00000000-0005-0000-0000-0000470B0000}"/>
    <cellStyle name="Bad 662" xfId="3025" xr:uid="{00000000-0005-0000-0000-0000480B0000}"/>
    <cellStyle name="Bad 663" xfId="3026" xr:uid="{00000000-0005-0000-0000-0000490B0000}"/>
    <cellStyle name="Bad 664" xfId="3027" xr:uid="{00000000-0005-0000-0000-00004A0B0000}"/>
    <cellStyle name="Bad 665" xfId="3028" xr:uid="{00000000-0005-0000-0000-00004B0B0000}"/>
    <cellStyle name="Bad 666" xfId="3029" xr:uid="{00000000-0005-0000-0000-00004C0B0000}"/>
    <cellStyle name="Bad 667" xfId="3030" xr:uid="{00000000-0005-0000-0000-00004D0B0000}"/>
    <cellStyle name="Bad 668" xfId="3031" xr:uid="{00000000-0005-0000-0000-00004E0B0000}"/>
    <cellStyle name="Bad 669" xfId="3032" xr:uid="{00000000-0005-0000-0000-00004F0B0000}"/>
    <cellStyle name="Bad 67" xfId="3033" xr:uid="{00000000-0005-0000-0000-0000500B0000}"/>
    <cellStyle name="Bad 670" xfId="3034" xr:uid="{00000000-0005-0000-0000-0000510B0000}"/>
    <cellStyle name="Bad 671" xfId="3035" xr:uid="{00000000-0005-0000-0000-0000520B0000}"/>
    <cellStyle name="Bad 672" xfId="3036" xr:uid="{00000000-0005-0000-0000-0000530B0000}"/>
    <cellStyle name="Bad 673" xfId="3037" xr:uid="{00000000-0005-0000-0000-0000540B0000}"/>
    <cellStyle name="Bad 674" xfId="3038" xr:uid="{00000000-0005-0000-0000-0000550B0000}"/>
    <cellStyle name="Bad 675" xfId="3039" xr:uid="{00000000-0005-0000-0000-0000560B0000}"/>
    <cellStyle name="Bad 676" xfId="3040" xr:uid="{00000000-0005-0000-0000-0000570B0000}"/>
    <cellStyle name="Bad 677" xfId="3041" xr:uid="{00000000-0005-0000-0000-0000580B0000}"/>
    <cellStyle name="Bad 678" xfId="3042" xr:uid="{00000000-0005-0000-0000-0000590B0000}"/>
    <cellStyle name="Bad 679" xfId="3043" xr:uid="{00000000-0005-0000-0000-00005A0B0000}"/>
    <cellStyle name="Bad 68" xfId="3044" xr:uid="{00000000-0005-0000-0000-00005B0B0000}"/>
    <cellStyle name="Bad 680" xfId="3045" xr:uid="{00000000-0005-0000-0000-00005C0B0000}"/>
    <cellStyle name="Bad 681" xfId="3046" xr:uid="{00000000-0005-0000-0000-00005D0B0000}"/>
    <cellStyle name="Bad 682" xfId="3047" xr:uid="{00000000-0005-0000-0000-00005E0B0000}"/>
    <cellStyle name="Bad 683" xfId="3048" xr:uid="{00000000-0005-0000-0000-00005F0B0000}"/>
    <cellStyle name="Bad 684" xfId="3049" xr:uid="{00000000-0005-0000-0000-0000600B0000}"/>
    <cellStyle name="Bad 685" xfId="3050" xr:uid="{00000000-0005-0000-0000-0000610B0000}"/>
    <cellStyle name="Bad 686" xfId="3051" xr:uid="{00000000-0005-0000-0000-0000620B0000}"/>
    <cellStyle name="Bad 687" xfId="3052" xr:uid="{00000000-0005-0000-0000-0000630B0000}"/>
    <cellStyle name="Bad 688" xfId="3053" xr:uid="{00000000-0005-0000-0000-0000640B0000}"/>
    <cellStyle name="Bad 689" xfId="3054" xr:uid="{00000000-0005-0000-0000-0000650B0000}"/>
    <cellStyle name="Bad 69" xfId="3055" xr:uid="{00000000-0005-0000-0000-0000660B0000}"/>
    <cellStyle name="Bad 690" xfId="3056" xr:uid="{00000000-0005-0000-0000-0000670B0000}"/>
    <cellStyle name="Bad 691" xfId="3057" xr:uid="{00000000-0005-0000-0000-0000680B0000}"/>
    <cellStyle name="Bad 692" xfId="3058" xr:uid="{00000000-0005-0000-0000-0000690B0000}"/>
    <cellStyle name="Bad 693" xfId="3059" xr:uid="{00000000-0005-0000-0000-00006A0B0000}"/>
    <cellStyle name="Bad 694" xfId="3060" xr:uid="{00000000-0005-0000-0000-00006B0B0000}"/>
    <cellStyle name="Bad 695" xfId="3061" xr:uid="{00000000-0005-0000-0000-00006C0B0000}"/>
    <cellStyle name="Bad 696" xfId="3062" xr:uid="{00000000-0005-0000-0000-00006D0B0000}"/>
    <cellStyle name="Bad 697" xfId="3063" xr:uid="{00000000-0005-0000-0000-00006E0B0000}"/>
    <cellStyle name="Bad 698" xfId="3064" xr:uid="{00000000-0005-0000-0000-00006F0B0000}"/>
    <cellStyle name="Bad 699" xfId="3065" xr:uid="{00000000-0005-0000-0000-0000700B0000}"/>
    <cellStyle name="Bad 7" xfId="3066" xr:uid="{00000000-0005-0000-0000-0000710B0000}"/>
    <cellStyle name="Bad 70" xfId="3067" xr:uid="{00000000-0005-0000-0000-0000720B0000}"/>
    <cellStyle name="Bad 700" xfId="3068" xr:uid="{00000000-0005-0000-0000-0000730B0000}"/>
    <cellStyle name="Bad 701" xfId="3069" xr:uid="{00000000-0005-0000-0000-0000740B0000}"/>
    <cellStyle name="Bad 702" xfId="3070" xr:uid="{00000000-0005-0000-0000-0000750B0000}"/>
    <cellStyle name="Bad 703" xfId="3071" xr:uid="{00000000-0005-0000-0000-0000760B0000}"/>
    <cellStyle name="Bad 704" xfId="3072" xr:uid="{00000000-0005-0000-0000-0000770B0000}"/>
    <cellStyle name="Bad 705" xfId="3073" xr:uid="{00000000-0005-0000-0000-0000780B0000}"/>
    <cellStyle name="Bad 706" xfId="3074" xr:uid="{00000000-0005-0000-0000-0000790B0000}"/>
    <cellStyle name="Bad 707" xfId="3075" xr:uid="{00000000-0005-0000-0000-00007A0B0000}"/>
    <cellStyle name="Bad 708" xfId="3076" xr:uid="{00000000-0005-0000-0000-00007B0B0000}"/>
    <cellStyle name="Bad 709" xfId="3077" xr:uid="{00000000-0005-0000-0000-00007C0B0000}"/>
    <cellStyle name="Bad 71" xfId="3078" xr:uid="{00000000-0005-0000-0000-00007D0B0000}"/>
    <cellStyle name="Bad 710" xfId="3079" xr:uid="{00000000-0005-0000-0000-00007E0B0000}"/>
    <cellStyle name="Bad 711" xfId="3080" xr:uid="{00000000-0005-0000-0000-00007F0B0000}"/>
    <cellStyle name="Bad 712" xfId="3081" xr:uid="{00000000-0005-0000-0000-0000800B0000}"/>
    <cellStyle name="Bad 713" xfId="3082" xr:uid="{00000000-0005-0000-0000-0000810B0000}"/>
    <cellStyle name="Bad 714" xfId="3083" xr:uid="{00000000-0005-0000-0000-0000820B0000}"/>
    <cellStyle name="Bad 715" xfId="3084" xr:uid="{00000000-0005-0000-0000-0000830B0000}"/>
    <cellStyle name="Bad 716" xfId="3085" xr:uid="{00000000-0005-0000-0000-0000840B0000}"/>
    <cellStyle name="Bad 717" xfId="3086" xr:uid="{00000000-0005-0000-0000-0000850B0000}"/>
    <cellStyle name="Bad 718" xfId="3087" xr:uid="{00000000-0005-0000-0000-0000860B0000}"/>
    <cellStyle name="Bad 719" xfId="3088" xr:uid="{00000000-0005-0000-0000-0000870B0000}"/>
    <cellStyle name="Bad 72" xfId="3089" xr:uid="{00000000-0005-0000-0000-0000880B0000}"/>
    <cellStyle name="Bad 720" xfId="3090" xr:uid="{00000000-0005-0000-0000-0000890B0000}"/>
    <cellStyle name="Bad 721" xfId="3091" xr:uid="{00000000-0005-0000-0000-00008A0B0000}"/>
    <cellStyle name="Bad 722" xfId="3092" xr:uid="{00000000-0005-0000-0000-00008B0B0000}"/>
    <cellStyle name="Bad 723" xfId="3093" xr:uid="{00000000-0005-0000-0000-00008C0B0000}"/>
    <cellStyle name="Bad 724" xfId="3094" xr:uid="{00000000-0005-0000-0000-00008D0B0000}"/>
    <cellStyle name="Bad 725" xfId="3095" xr:uid="{00000000-0005-0000-0000-00008E0B0000}"/>
    <cellStyle name="Bad 726" xfId="3096" xr:uid="{00000000-0005-0000-0000-00008F0B0000}"/>
    <cellStyle name="Bad 727" xfId="3097" xr:uid="{00000000-0005-0000-0000-0000900B0000}"/>
    <cellStyle name="Bad 728" xfId="3098" xr:uid="{00000000-0005-0000-0000-0000910B0000}"/>
    <cellStyle name="Bad 729" xfId="3099" xr:uid="{00000000-0005-0000-0000-0000920B0000}"/>
    <cellStyle name="Bad 73" xfId="3100" xr:uid="{00000000-0005-0000-0000-0000930B0000}"/>
    <cellStyle name="Bad 730" xfId="3101" xr:uid="{00000000-0005-0000-0000-0000940B0000}"/>
    <cellStyle name="Bad 731" xfId="3102" xr:uid="{00000000-0005-0000-0000-0000950B0000}"/>
    <cellStyle name="Bad 732" xfId="3103" xr:uid="{00000000-0005-0000-0000-0000960B0000}"/>
    <cellStyle name="Bad 733" xfId="3104" xr:uid="{00000000-0005-0000-0000-0000970B0000}"/>
    <cellStyle name="Bad 734" xfId="3105" xr:uid="{00000000-0005-0000-0000-0000980B0000}"/>
    <cellStyle name="Bad 735" xfId="3106" xr:uid="{00000000-0005-0000-0000-0000990B0000}"/>
    <cellStyle name="Bad 736" xfId="3107" xr:uid="{00000000-0005-0000-0000-00009A0B0000}"/>
    <cellStyle name="Bad 737" xfId="3108" xr:uid="{00000000-0005-0000-0000-00009B0B0000}"/>
    <cellStyle name="Bad 738" xfId="3109" xr:uid="{00000000-0005-0000-0000-00009C0B0000}"/>
    <cellStyle name="Bad 739" xfId="3110" xr:uid="{00000000-0005-0000-0000-00009D0B0000}"/>
    <cellStyle name="Bad 74" xfId="3111" xr:uid="{00000000-0005-0000-0000-00009E0B0000}"/>
    <cellStyle name="Bad 740" xfId="3112" xr:uid="{00000000-0005-0000-0000-00009F0B0000}"/>
    <cellStyle name="Bad 741" xfId="3113" xr:uid="{00000000-0005-0000-0000-0000A00B0000}"/>
    <cellStyle name="Bad 742" xfId="3114" xr:uid="{00000000-0005-0000-0000-0000A10B0000}"/>
    <cellStyle name="Bad 743" xfId="3115" xr:uid="{00000000-0005-0000-0000-0000A20B0000}"/>
    <cellStyle name="Bad 744" xfId="3116" xr:uid="{00000000-0005-0000-0000-0000A30B0000}"/>
    <cellStyle name="Bad 745" xfId="3117" xr:uid="{00000000-0005-0000-0000-0000A40B0000}"/>
    <cellStyle name="Bad 746" xfId="3118" xr:uid="{00000000-0005-0000-0000-0000A50B0000}"/>
    <cellStyle name="Bad 747" xfId="3119" xr:uid="{00000000-0005-0000-0000-0000A60B0000}"/>
    <cellStyle name="Bad 748" xfId="3120" xr:uid="{00000000-0005-0000-0000-0000A70B0000}"/>
    <cellStyle name="Bad 749" xfId="3121" xr:uid="{00000000-0005-0000-0000-0000A80B0000}"/>
    <cellStyle name="Bad 75" xfId="3122" xr:uid="{00000000-0005-0000-0000-0000A90B0000}"/>
    <cellStyle name="Bad 750" xfId="3123" xr:uid="{00000000-0005-0000-0000-0000AA0B0000}"/>
    <cellStyle name="Bad 751" xfId="3124" xr:uid="{00000000-0005-0000-0000-0000AB0B0000}"/>
    <cellStyle name="Bad 752" xfId="3125" xr:uid="{00000000-0005-0000-0000-0000AC0B0000}"/>
    <cellStyle name="Bad 753" xfId="3126" xr:uid="{00000000-0005-0000-0000-0000AD0B0000}"/>
    <cellStyle name="Bad 754" xfId="3127" xr:uid="{00000000-0005-0000-0000-0000AE0B0000}"/>
    <cellStyle name="Bad 755" xfId="3128" xr:uid="{00000000-0005-0000-0000-0000AF0B0000}"/>
    <cellStyle name="Bad 756" xfId="3129" xr:uid="{00000000-0005-0000-0000-0000B00B0000}"/>
    <cellStyle name="Bad 757" xfId="3130" xr:uid="{00000000-0005-0000-0000-0000B10B0000}"/>
    <cellStyle name="Bad 758" xfId="3131" xr:uid="{00000000-0005-0000-0000-0000B20B0000}"/>
    <cellStyle name="Bad 759" xfId="3132" xr:uid="{00000000-0005-0000-0000-0000B30B0000}"/>
    <cellStyle name="Bad 76" xfId="3133" xr:uid="{00000000-0005-0000-0000-0000B40B0000}"/>
    <cellStyle name="Bad 760" xfId="3134" xr:uid="{00000000-0005-0000-0000-0000B50B0000}"/>
    <cellStyle name="Bad 761" xfId="3135" xr:uid="{00000000-0005-0000-0000-0000B60B0000}"/>
    <cellStyle name="Bad 762" xfId="3136" xr:uid="{00000000-0005-0000-0000-0000B70B0000}"/>
    <cellStyle name="Bad 763" xfId="3137" xr:uid="{00000000-0005-0000-0000-0000B80B0000}"/>
    <cellStyle name="Bad 764" xfId="3138" xr:uid="{00000000-0005-0000-0000-0000B90B0000}"/>
    <cellStyle name="Bad 765" xfId="3139" xr:uid="{00000000-0005-0000-0000-0000BA0B0000}"/>
    <cellStyle name="Bad 766" xfId="3140" xr:uid="{00000000-0005-0000-0000-0000BB0B0000}"/>
    <cellStyle name="Bad 767" xfId="3141" xr:uid="{00000000-0005-0000-0000-0000BC0B0000}"/>
    <cellStyle name="Bad 768" xfId="3142" xr:uid="{00000000-0005-0000-0000-0000BD0B0000}"/>
    <cellStyle name="Bad 769" xfId="3143" xr:uid="{00000000-0005-0000-0000-0000BE0B0000}"/>
    <cellStyle name="Bad 77" xfId="3144" xr:uid="{00000000-0005-0000-0000-0000BF0B0000}"/>
    <cellStyle name="Bad 770" xfId="3145" xr:uid="{00000000-0005-0000-0000-0000C00B0000}"/>
    <cellStyle name="Bad 771" xfId="3146" xr:uid="{00000000-0005-0000-0000-0000C10B0000}"/>
    <cellStyle name="Bad 772" xfId="3147" xr:uid="{00000000-0005-0000-0000-0000C20B0000}"/>
    <cellStyle name="Bad 773" xfId="3148" xr:uid="{00000000-0005-0000-0000-0000C30B0000}"/>
    <cellStyle name="Bad 774" xfId="3149" xr:uid="{00000000-0005-0000-0000-0000C40B0000}"/>
    <cellStyle name="Bad 775" xfId="3150" xr:uid="{00000000-0005-0000-0000-0000C50B0000}"/>
    <cellStyle name="Bad 776" xfId="3151" xr:uid="{00000000-0005-0000-0000-0000C60B0000}"/>
    <cellStyle name="Bad 777" xfId="3152" xr:uid="{00000000-0005-0000-0000-0000C70B0000}"/>
    <cellStyle name="Bad 778" xfId="3153" xr:uid="{00000000-0005-0000-0000-0000C80B0000}"/>
    <cellStyle name="Bad 779" xfId="3154" xr:uid="{00000000-0005-0000-0000-0000C90B0000}"/>
    <cellStyle name="Bad 78" xfId="3155" xr:uid="{00000000-0005-0000-0000-0000CA0B0000}"/>
    <cellStyle name="Bad 780" xfId="3156" xr:uid="{00000000-0005-0000-0000-0000CB0B0000}"/>
    <cellStyle name="Bad 781" xfId="3157" xr:uid="{00000000-0005-0000-0000-0000CC0B0000}"/>
    <cellStyle name="Bad 782" xfId="3158" xr:uid="{00000000-0005-0000-0000-0000CD0B0000}"/>
    <cellStyle name="Bad 783" xfId="3159" xr:uid="{00000000-0005-0000-0000-0000CE0B0000}"/>
    <cellStyle name="Bad 784" xfId="3160" xr:uid="{00000000-0005-0000-0000-0000CF0B0000}"/>
    <cellStyle name="Bad 785" xfId="3161" xr:uid="{00000000-0005-0000-0000-0000D00B0000}"/>
    <cellStyle name="Bad 786" xfId="3162" xr:uid="{00000000-0005-0000-0000-0000D10B0000}"/>
    <cellStyle name="Bad 787" xfId="3163" xr:uid="{00000000-0005-0000-0000-0000D20B0000}"/>
    <cellStyle name="Bad 788" xfId="3164" xr:uid="{00000000-0005-0000-0000-0000D30B0000}"/>
    <cellStyle name="Bad 789" xfId="3165" xr:uid="{00000000-0005-0000-0000-0000D40B0000}"/>
    <cellStyle name="Bad 79" xfId="3166" xr:uid="{00000000-0005-0000-0000-0000D50B0000}"/>
    <cellStyle name="Bad 790" xfId="3167" xr:uid="{00000000-0005-0000-0000-0000D60B0000}"/>
    <cellStyle name="Bad 791" xfId="3168" xr:uid="{00000000-0005-0000-0000-0000D70B0000}"/>
    <cellStyle name="Bad 792" xfId="3169" xr:uid="{00000000-0005-0000-0000-0000D80B0000}"/>
    <cellStyle name="Bad 793" xfId="3170" xr:uid="{00000000-0005-0000-0000-0000D90B0000}"/>
    <cellStyle name="Bad 794" xfId="3171" xr:uid="{00000000-0005-0000-0000-0000DA0B0000}"/>
    <cellStyle name="Bad 795" xfId="3172" xr:uid="{00000000-0005-0000-0000-0000DB0B0000}"/>
    <cellStyle name="Bad 796" xfId="3173" xr:uid="{00000000-0005-0000-0000-0000DC0B0000}"/>
    <cellStyle name="Bad 797" xfId="3174" xr:uid="{00000000-0005-0000-0000-0000DD0B0000}"/>
    <cellStyle name="Bad 798" xfId="3175" xr:uid="{00000000-0005-0000-0000-0000DE0B0000}"/>
    <cellStyle name="Bad 799" xfId="3176" xr:uid="{00000000-0005-0000-0000-0000DF0B0000}"/>
    <cellStyle name="Bad 8" xfId="3177" xr:uid="{00000000-0005-0000-0000-0000E00B0000}"/>
    <cellStyle name="Bad 80" xfId="3178" xr:uid="{00000000-0005-0000-0000-0000E10B0000}"/>
    <cellStyle name="Bad 800" xfId="3179" xr:uid="{00000000-0005-0000-0000-0000E20B0000}"/>
    <cellStyle name="Bad 801" xfId="3180" xr:uid="{00000000-0005-0000-0000-0000E30B0000}"/>
    <cellStyle name="Bad 802" xfId="3181" xr:uid="{00000000-0005-0000-0000-0000E40B0000}"/>
    <cellStyle name="Bad 803" xfId="3182" xr:uid="{00000000-0005-0000-0000-0000E50B0000}"/>
    <cellStyle name="Bad 804" xfId="3183" xr:uid="{00000000-0005-0000-0000-0000E60B0000}"/>
    <cellStyle name="Bad 805" xfId="3184" xr:uid="{00000000-0005-0000-0000-0000E70B0000}"/>
    <cellStyle name="Bad 806" xfId="3185" xr:uid="{00000000-0005-0000-0000-0000E80B0000}"/>
    <cellStyle name="Bad 807" xfId="3186" xr:uid="{00000000-0005-0000-0000-0000E90B0000}"/>
    <cellStyle name="Bad 808" xfId="3187" xr:uid="{00000000-0005-0000-0000-0000EA0B0000}"/>
    <cellStyle name="Bad 809" xfId="3188" xr:uid="{00000000-0005-0000-0000-0000EB0B0000}"/>
    <cellStyle name="Bad 81" xfId="3189" xr:uid="{00000000-0005-0000-0000-0000EC0B0000}"/>
    <cellStyle name="Bad 810" xfId="3190" xr:uid="{00000000-0005-0000-0000-0000ED0B0000}"/>
    <cellStyle name="Bad 811" xfId="3191" xr:uid="{00000000-0005-0000-0000-0000EE0B0000}"/>
    <cellStyle name="Bad 812" xfId="3192" xr:uid="{00000000-0005-0000-0000-0000EF0B0000}"/>
    <cellStyle name="Bad 813" xfId="3193" xr:uid="{00000000-0005-0000-0000-0000F00B0000}"/>
    <cellStyle name="Bad 814" xfId="3194" xr:uid="{00000000-0005-0000-0000-0000F10B0000}"/>
    <cellStyle name="Bad 815" xfId="3195" xr:uid="{00000000-0005-0000-0000-0000F20B0000}"/>
    <cellStyle name="Bad 816" xfId="3196" xr:uid="{00000000-0005-0000-0000-0000F30B0000}"/>
    <cellStyle name="Bad 817" xfId="3197" xr:uid="{00000000-0005-0000-0000-0000F40B0000}"/>
    <cellStyle name="Bad 818" xfId="3198" xr:uid="{00000000-0005-0000-0000-0000F50B0000}"/>
    <cellStyle name="Bad 819" xfId="3199" xr:uid="{00000000-0005-0000-0000-0000F60B0000}"/>
    <cellStyle name="Bad 82" xfId="3200" xr:uid="{00000000-0005-0000-0000-0000F70B0000}"/>
    <cellStyle name="Bad 820" xfId="3201" xr:uid="{00000000-0005-0000-0000-0000F80B0000}"/>
    <cellStyle name="Bad 821" xfId="3202" xr:uid="{00000000-0005-0000-0000-0000F90B0000}"/>
    <cellStyle name="Bad 822" xfId="3203" xr:uid="{00000000-0005-0000-0000-0000FA0B0000}"/>
    <cellStyle name="Bad 823" xfId="3204" xr:uid="{00000000-0005-0000-0000-0000FB0B0000}"/>
    <cellStyle name="Bad 824" xfId="3205" xr:uid="{00000000-0005-0000-0000-0000FC0B0000}"/>
    <cellStyle name="Bad 825" xfId="3206" xr:uid="{00000000-0005-0000-0000-0000FD0B0000}"/>
    <cellStyle name="Bad 826" xfId="3207" xr:uid="{00000000-0005-0000-0000-0000FE0B0000}"/>
    <cellStyle name="Bad 827" xfId="3208" xr:uid="{00000000-0005-0000-0000-0000FF0B0000}"/>
    <cellStyle name="Bad 828" xfId="3209" xr:uid="{00000000-0005-0000-0000-0000000C0000}"/>
    <cellStyle name="Bad 829" xfId="3210" xr:uid="{00000000-0005-0000-0000-0000010C0000}"/>
    <cellStyle name="Bad 83" xfId="3211" xr:uid="{00000000-0005-0000-0000-0000020C0000}"/>
    <cellStyle name="Bad 830" xfId="3212" xr:uid="{00000000-0005-0000-0000-0000030C0000}"/>
    <cellStyle name="Bad 831" xfId="3213" xr:uid="{00000000-0005-0000-0000-0000040C0000}"/>
    <cellStyle name="Bad 832" xfId="3214" xr:uid="{00000000-0005-0000-0000-0000050C0000}"/>
    <cellStyle name="Bad 833" xfId="3215" xr:uid="{00000000-0005-0000-0000-0000060C0000}"/>
    <cellStyle name="Bad 834" xfId="3216" xr:uid="{00000000-0005-0000-0000-0000070C0000}"/>
    <cellStyle name="Bad 835" xfId="3217" xr:uid="{00000000-0005-0000-0000-0000080C0000}"/>
    <cellStyle name="Bad 836" xfId="3218" xr:uid="{00000000-0005-0000-0000-0000090C0000}"/>
    <cellStyle name="Bad 837" xfId="3219" xr:uid="{00000000-0005-0000-0000-00000A0C0000}"/>
    <cellStyle name="Bad 838" xfId="3220" xr:uid="{00000000-0005-0000-0000-00000B0C0000}"/>
    <cellStyle name="Bad 839" xfId="3221" xr:uid="{00000000-0005-0000-0000-00000C0C0000}"/>
    <cellStyle name="Bad 84" xfId="3222" xr:uid="{00000000-0005-0000-0000-00000D0C0000}"/>
    <cellStyle name="Bad 840" xfId="3223" xr:uid="{00000000-0005-0000-0000-00000E0C0000}"/>
    <cellStyle name="Bad 841" xfId="3224" xr:uid="{00000000-0005-0000-0000-00000F0C0000}"/>
    <cellStyle name="Bad 842" xfId="3225" xr:uid="{00000000-0005-0000-0000-0000100C0000}"/>
    <cellStyle name="Bad 843" xfId="3226" xr:uid="{00000000-0005-0000-0000-0000110C0000}"/>
    <cellStyle name="Bad 844" xfId="3227" xr:uid="{00000000-0005-0000-0000-0000120C0000}"/>
    <cellStyle name="Bad 845" xfId="3228" xr:uid="{00000000-0005-0000-0000-0000130C0000}"/>
    <cellStyle name="Bad 846" xfId="3229" xr:uid="{00000000-0005-0000-0000-0000140C0000}"/>
    <cellStyle name="Bad 847" xfId="3230" xr:uid="{00000000-0005-0000-0000-0000150C0000}"/>
    <cellStyle name="Bad 848" xfId="3231" xr:uid="{00000000-0005-0000-0000-0000160C0000}"/>
    <cellStyle name="Bad 849" xfId="3232" xr:uid="{00000000-0005-0000-0000-0000170C0000}"/>
    <cellStyle name="Bad 85" xfId="3233" xr:uid="{00000000-0005-0000-0000-0000180C0000}"/>
    <cellStyle name="Bad 850" xfId="3234" xr:uid="{00000000-0005-0000-0000-0000190C0000}"/>
    <cellStyle name="Bad 851" xfId="3235" xr:uid="{00000000-0005-0000-0000-00001A0C0000}"/>
    <cellStyle name="Bad 852" xfId="3236" xr:uid="{00000000-0005-0000-0000-00001B0C0000}"/>
    <cellStyle name="Bad 853" xfId="3237" xr:uid="{00000000-0005-0000-0000-00001C0C0000}"/>
    <cellStyle name="Bad 854" xfId="3238" xr:uid="{00000000-0005-0000-0000-00001D0C0000}"/>
    <cellStyle name="Bad 855" xfId="3239" xr:uid="{00000000-0005-0000-0000-00001E0C0000}"/>
    <cellStyle name="Bad 856" xfId="3240" xr:uid="{00000000-0005-0000-0000-00001F0C0000}"/>
    <cellStyle name="Bad 857" xfId="3241" xr:uid="{00000000-0005-0000-0000-0000200C0000}"/>
    <cellStyle name="Bad 858" xfId="3242" xr:uid="{00000000-0005-0000-0000-0000210C0000}"/>
    <cellStyle name="Bad 859" xfId="3243" xr:uid="{00000000-0005-0000-0000-0000220C0000}"/>
    <cellStyle name="Bad 86" xfId="3244" xr:uid="{00000000-0005-0000-0000-0000230C0000}"/>
    <cellStyle name="Bad 860" xfId="3245" xr:uid="{00000000-0005-0000-0000-0000240C0000}"/>
    <cellStyle name="Bad 861" xfId="3246" xr:uid="{00000000-0005-0000-0000-0000250C0000}"/>
    <cellStyle name="Bad 862" xfId="3247" xr:uid="{00000000-0005-0000-0000-0000260C0000}"/>
    <cellStyle name="Bad 863" xfId="3248" xr:uid="{00000000-0005-0000-0000-0000270C0000}"/>
    <cellStyle name="Bad 864" xfId="3249" xr:uid="{00000000-0005-0000-0000-0000280C0000}"/>
    <cellStyle name="Bad 865" xfId="3250" xr:uid="{00000000-0005-0000-0000-0000290C0000}"/>
    <cellStyle name="Bad 866" xfId="3251" xr:uid="{00000000-0005-0000-0000-00002A0C0000}"/>
    <cellStyle name="Bad 867" xfId="3252" xr:uid="{00000000-0005-0000-0000-00002B0C0000}"/>
    <cellStyle name="Bad 868" xfId="3253" xr:uid="{00000000-0005-0000-0000-00002C0C0000}"/>
    <cellStyle name="Bad 869" xfId="3254" xr:uid="{00000000-0005-0000-0000-00002D0C0000}"/>
    <cellStyle name="Bad 87" xfId="3255" xr:uid="{00000000-0005-0000-0000-00002E0C0000}"/>
    <cellStyle name="Bad 870" xfId="3256" xr:uid="{00000000-0005-0000-0000-00002F0C0000}"/>
    <cellStyle name="Bad 871" xfId="3257" xr:uid="{00000000-0005-0000-0000-0000300C0000}"/>
    <cellStyle name="Bad 872" xfId="3258" xr:uid="{00000000-0005-0000-0000-0000310C0000}"/>
    <cellStyle name="Bad 873" xfId="3259" xr:uid="{00000000-0005-0000-0000-0000320C0000}"/>
    <cellStyle name="Bad 874" xfId="3260" xr:uid="{00000000-0005-0000-0000-0000330C0000}"/>
    <cellStyle name="Bad 875" xfId="3261" xr:uid="{00000000-0005-0000-0000-0000340C0000}"/>
    <cellStyle name="Bad 876" xfId="3262" xr:uid="{00000000-0005-0000-0000-0000350C0000}"/>
    <cellStyle name="Bad 877" xfId="3263" xr:uid="{00000000-0005-0000-0000-0000360C0000}"/>
    <cellStyle name="Bad 878" xfId="3264" xr:uid="{00000000-0005-0000-0000-0000370C0000}"/>
    <cellStyle name="Bad 879" xfId="3265" xr:uid="{00000000-0005-0000-0000-0000380C0000}"/>
    <cellStyle name="Bad 88" xfId="3266" xr:uid="{00000000-0005-0000-0000-0000390C0000}"/>
    <cellStyle name="Bad 880" xfId="3267" xr:uid="{00000000-0005-0000-0000-00003A0C0000}"/>
    <cellStyle name="Bad 881" xfId="3268" xr:uid="{00000000-0005-0000-0000-00003B0C0000}"/>
    <cellStyle name="Bad 882" xfId="3269" xr:uid="{00000000-0005-0000-0000-00003C0C0000}"/>
    <cellStyle name="Bad 883" xfId="3270" xr:uid="{00000000-0005-0000-0000-00003D0C0000}"/>
    <cellStyle name="Bad 884" xfId="3271" xr:uid="{00000000-0005-0000-0000-00003E0C0000}"/>
    <cellStyle name="Bad 885" xfId="3272" xr:uid="{00000000-0005-0000-0000-00003F0C0000}"/>
    <cellStyle name="Bad 886" xfId="3273" xr:uid="{00000000-0005-0000-0000-0000400C0000}"/>
    <cellStyle name="Bad 887" xfId="3274" xr:uid="{00000000-0005-0000-0000-0000410C0000}"/>
    <cellStyle name="Bad 888" xfId="3275" xr:uid="{00000000-0005-0000-0000-0000420C0000}"/>
    <cellStyle name="Bad 889" xfId="3276" xr:uid="{00000000-0005-0000-0000-0000430C0000}"/>
    <cellStyle name="Bad 89" xfId="3277" xr:uid="{00000000-0005-0000-0000-0000440C0000}"/>
    <cellStyle name="Bad 890" xfId="3278" xr:uid="{00000000-0005-0000-0000-0000450C0000}"/>
    <cellStyle name="Bad 891" xfId="3279" xr:uid="{00000000-0005-0000-0000-0000460C0000}"/>
    <cellStyle name="Bad 892" xfId="3280" xr:uid="{00000000-0005-0000-0000-0000470C0000}"/>
    <cellStyle name="Bad 893" xfId="3281" xr:uid="{00000000-0005-0000-0000-0000480C0000}"/>
    <cellStyle name="Bad 894" xfId="3282" xr:uid="{00000000-0005-0000-0000-0000490C0000}"/>
    <cellStyle name="Bad 895" xfId="3283" xr:uid="{00000000-0005-0000-0000-00004A0C0000}"/>
    <cellStyle name="Bad 896" xfId="3284" xr:uid="{00000000-0005-0000-0000-00004B0C0000}"/>
    <cellStyle name="Bad 897" xfId="3285" xr:uid="{00000000-0005-0000-0000-00004C0C0000}"/>
    <cellStyle name="Bad 898" xfId="3286" xr:uid="{00000000-0005-0000-0000-00004D0C0000}"/>
    <cellStyle name="Bad 899" xfId="3287" xr:uid="{00000000-0005-0000-0000-00004E0C0000}"/>
    <cellStyle name="Bad 9" xfId="3288" xr:uid="{00000000-0005-0000-0000-00004F0C0000}"/>
    <cellStyle name="Bad 90" xfId="3289" xr:uid="{00000000-0005-0000-0000-0000500C0000}"/>
    <cellStyle name="Bad 900" xfId="3290" xr:uid="{00000000-0005-0000-0000-0000510C0000}"/>
    <cellStyle name="Bad 901" xfId="3291" xr:uid="{00000000-0005-0000-0000-0000520C0000}"/>
    <cellStyle name="Bad 902" xfId="3292" xr:uid="{00000000-0005-0000-0000-0000530C0000}"/>
    <cellStyle name="Bad 903" xfId="3293" xr:uid="{00000000-0005-0000-0000-0000540C0000}"/>
    <cellStyle name="Bad 904" xfId="3294" xr:uid="{00000000-0005-0000-0000-0000550C0000}"/>
    <cellStyle name="Bad 905" xfId="3295" xr:uid="{00000000-0005-0000-0000-0000560C0000}"/>
    <cellStyle name="Bad 906" xfId="3296" xr:uid="{00000000-0005-0000-0000-0000570C0000}"/>
    <cellStyle name="Bad 907" xfId="3297" xr:uid="{00000000-0005-0000-0000-0000580C0000}"/>
    <cellStyle name="Bad 908" xfId="3298" xr:uid="{00000000-0005-0000-0000-0000590C0000}"/>
    <cellStyle name="Bad 909" xfId="3299" xr:uid="{00000000-0005-0000-0000-00005A0C0000}"/>
    <cellStyle name="Bad 91" xfId="3300" xr:uid="{00000000-0005-0000-0000-00005B0C0000}"/>
    <cellStyle name="Bad 910" xfId="3301" xr:uid="{00000000-0005-0000-0000-00005C0C0000}"/>
    <cellStyle name="Bad 911" xfId="3302" xr:uid="{00000000-0005-0000-0000-00005D0C0000}"/>
    <cellStyle name="Bad 912" xfId="3303" xr:uid="{00000000-0005-0000-0000-00005E0C0000}"/>
    <cellStyle name="Bad 913" xfId="3304" xr:uid="{00000000-0005-0000-0000-00005F0C0000}"/>
    <cellStyle name="Bad 914" xfId="3305" xr:uid="{00000000-0005-0000-0000-0000600C0000}"/>
    <cellStyle name="Bad 915" xfId="3306" xr:uid="{00000000-0005-0000-0000-0000610C0000}"/>
    <cellStyle name="Bad 916" xfId="3307" xr:uid="{00000000-0005-0000-0000-0000620C0000}"/>
    <cellStyle name="Bad 917" xfId="3308" xr:uid="{00000000-0005-0000-0000-0000630C0000}"/>
    <cellStyle name="Bad 918" xfId="3309" xr:uid="{00000000-0005-0000-0000-0000640C0000}"/>
    <cellStyle name="Bad 919" xfId="3310" xr:uid="{00000000-0005-0000-0000-0000650C0000}"/>
    <cellStyle name="Bad 92" xfId="3311" xr:uid="{00000000-0005-0000-0000-0000660C0000}"/>
    <cellStyle name="Bad 920" xfId="3312" xr:uid="{00000000-0005-0000-0000-0000670C0000}"/>
    <cellStyle name="Bad 921" xfId="3313" xr:uid="{00000000-0005-0000-0000-0000680C0000}"/>
    <cellStyle name="Bad 922" xfId="3314" xr:uid="{00000000-0005-0000-0000-0000690C0000}"/>
    <cellStyle name="Bad 923" xfId="3315" xr:uid="{00000000-0005-0000-0000-00006A0C0000}"/>
    <cellStyle name="Bad 924" xfId="3316" xr:uid="{00000000-0005-0000-0000-00006B0C0000}"/>
    <cellStyle name="Bad 925" xfId="3317" xr:uid="{00000000-0005-0000-0000-00006C0C0000}"/>
    <cellStyle name="Bad 926" xfId="3318" xr:uid="{00000000-0005-0000-0000-00006D0C0000}"/>
    <cellStyle name="Bad 927" xfId="3319" xr:uid="{00000000-0005-0000-0000-00006E0C0000}"/>
    <cellStyle name="Bad 928" xfId="3320" xr:uid="{00000000-0005-0000-0000-00006F0C0000}"/>
    <cellStyle name="Bad 929" xfId="3321" xr:uid="{00000000-0005-0000-0000-0000700C0000}"/>
    <cellStyle name="Bad 93" xfId="3322" xr:uid="{00000000-0005-0000-0000-0000710C0000}"/>
    <cellStyle name="Bad 930" xfId="3323" xr:uid="{00000000-0005-0000-0000-0000720C0000}"/>
    <cellStyle name="Bad 931" xfId="3324" xr:uid="{00000000-0005-0000-0000-0000730C0000}"/>
    <cellStyle name="Bad 932" xfId="3325" xr:uid="{00000000-0005-0000-0000-0000740C0000}"/>
    <cellStyle name="Bad 933" xfId="3326" xr:uid="{00000000-0005-0000-0000-0000750C0000}"/>
    <cellStyle name="Bad 934" xfId="3327" xr:uid="{00000000-0005-0000-0000-0000760C0000}"/>
    <cellStyle name="Bad 935" xfId="3328" xr:uid="{00000000-0005-0000-0000-0000770C0000}"/>
    <cellStyle name="Bad 936" xfId="3329" xr:uid="{00000000-0005-0000-0000-0000780C0000}"/>
    <cellStyle name="Bad 937" xfId="3330" xr:uid="{00000000-0005-0000-0000-0000790C0000}"/>
    <cellStyle name="Bad 938" xfId="3331" xr:uid="{00000000-0005-0000-0000-00007A0C0000}"/>
    <cellStyle name="Bad 939" xfId="3332" xr:uid="{00000000-0005-0000-0000-00007B0C0000}"/>
    <cellStyle name="Bad 94" xfId="3333" xr:uid="{00000000-0005-0000-0000-00007C0C0000}"/>
    <cellStyle name="Bad 940" xfId="3334" xr:uid="{00000000-0005-0000-0000-00007D0C0000}"/>
    <cellStyle name="Bad 941" xfId="3335" xr:uid="{00000000-0005-0000-0000-00007E0C0000}"/>
    <cellStyle name="Bad 942" xfId="3336" xr:uid="{00000000-0005-0000-0000-00007F0C0000}"/>
    <cellStyle name="Bad 943" xfId="3337" xr:uid="{00000000-0005-0000-0000-0000800C0000}"/>
    <cellStyle name="Bad 944" xfId="3338" xr:uid="{00000000-0005-0000-0000-0000810C0000}"/>
    <cellStyle name="Bad 945" xfId="3339" xr:uid="{00000000-0005-0000-0000-0000820C0000}"/>
    <cellStyle name="Bad 946" xfId="3340" xr:uid="{00000000-0005-0000-0000-0000830C0000}"/>
    <cellStyle name="Bad 947" xfId="3341" xr:uid="{00000000-0005-0000-0000-0000840C0000}"/>
    <cellStyle name="Bad 948" xfId="3342" xr:uid="{00000000-0005-0000-0000-0000850C0000}"/>
    <cellStyle name="Bad 949" xfId="3343" xr:uid="{00000000-0005-0000-0000-0000860C0000}"/>
    <cellStyle name="Bad 95" xfId="3344" xr:uid="{00000000-0005-0000-0000-0000870C0000}"/>
    <cellStyle name="Bad 950" xfId="3345" xr:uid="{00000000-0005-0000-0000-0000880C0000}"/>
    <cellStyle name="Bad 951" xfId="3346" xr:uid="{00000000-0005-0000-0000-0000890C0000}"/>
    <cellStyle name="Bad 952" xfId="3347" xr:uid="{00000000-0005-0000-0000-00008A0C0000}"/>
    <cellStyle name="Bad 953" xfId="3348" xr:uid="{00000000-0005-0000-0000-00008B0C0000}"/>
    <cellStyle name="Bad 954" xfId="3349" xr:uid="{00000000-0005-0000-0000-00008C0C0000}"/>
    <cellStyle name="Bad 955" xfId="3350" xr:uid="{00000000-0005-0000-0000-00008D0C0000}"/>
    <cellStyle name="Bad 956" xfId="3351" xr:uid="{00000000-0005-0000-0000-00008E0C0000}"/>
    <cellStyle name="Bad 957" xfId="3352" xr:uid="{00000000-0005-0000-0000-00008F0C0000}"/>
    <cellStyle name="Bad 958" xfId="3353" xr:uid="{00000000-0005-0000-0000-0000900C0000}"/>
    <cellStyle name="Bad 959" xfId="3354" xr:uid="{00000000-0005-0000-0000-0000910C0000}"/>
    <cellStyle name="Bad 96" xfId="3355" xr:uid="{00000000-0005-0000-0000-0000920C0000}"/>
    <cellStyle name="Bad 960" xfId="3356" xr:uid="{00000000-0005-0000-0000-0000930C0000}"/>
    <cellStyle name="Bad 961" xfId="3357" xr:uid="{00000000-0005-0000-0000-0000940C0000}"/>
    <cellStyle name="Bad 962" xfId="3358" xr:uid="{00000000-0005-0000-0000-0000950C0000}"/>
    <cellStyle name="Bad 963" xfId="3359" xr:uid="{00000000-0005-0000-0000-0000960C0000}"/>
    <cellStyle name="Bad 964" xfId="3360" xr:uid="{00000000-0005-0000-0000-0000970C0000}"/>
    <cellStyle name="Bad 965" xfId="3361" xr:uid="{00000000-0005-0000-0000-0000980C0000}"/>
    <cellStyle name="Bad 966" xfId="3362" xr:uid="{00000000-0005-0000-0000-0000990C0000}"/>
    <cellStyle name="Bad 967" xfId="3363" xr:uid="{00000000-0005-0000-0000-00009A0C0000}"/>
    <cellStyle name="Bad 968" xfId="3364" xr:uid="{00000000-0005-0000-0000-00009B0C0000}"/>
    <cellStyle name="Bad 969" xfId="3365" xr:uid="{00000000-0005-0000-0000-00009C0C0000}"/>
    <cellStyle name="Bad 97" xfId="3366" xr:uid="{00000000-0005-0000-0000-00009D0C0000}"/>
    <cellStyle name="Bad 970" xfId="3367" xr:uid="{00000000-0005-0000-0000-00009E0C0000}"/>
    <cellStyle name="Bad 971" xfId="3368" xr:uid="{00000000-0005-0000-0000-00009F0C0000}"/>
    <cellStyle name="Bad 972" xfId="3369" xr:uid="{00000000-0005-0000-0000-0000A00C0000}"/>
    <cellStyle name="Bad 973" xfId="3370" xr:uid="{00000000-0005-0000-0000-0000A10C0000}"/>
    <cellStyle name="Bad 974" xfId="3371" xr:uid="{00000000-0005-0000-0000-0000A20C0000}"/>
    <cellStyle name="Bad 975" xfId="3372" xr:uid="{00000000-0005-0000-0000-0000A30C0000}"/>
    <cellStyle name="Bad 976" xfId="3373" xr:uid="{00000000-0005-0000-0000-0000A40C0000}"/>
    <cellStyle name="Bad 977" xfId="3374" xr:uid="{00000000-0005-0000-0000-0000A50C0000}"/>
    <cellStyle name="Bad 978" xfId="3375" xr:uid="{00000000-0005-0000-0000-0000A60C0000}"/>
    <cellStyle name="Bad 979" xfId="3376" xr:uid="{00000000-0005-0000-0000-0000A70C0000}"/>
    <cellStyle name="Bad 98" xfId="3377" xr:uid="{00000000-0005-0000-0000-0000A80C0000}"/>
    <cellStyle name="Bad 980" xfId="3378" xr:uid="{00000000-0005-0000-0000-0000A90C0000}"/>
    <cellStyle name="Bad 981" xfId="3379" xr:uid="{00000000-0005-0000-0000-0000AA0C0000}"/>
    <cellStyle name="Bad 982" xfId="3380" xr:uid="{00000000-0005-0000-0000-0000AB0C0000}"/>
    <cellStyle name="Bad 983" xfId="3381" xr:uid="{00000000-0005-0000-0000-0000AC0C0000}"/>
    <cellStyle name="Bad 984" xfId="3382" xr:uid="{00000000-0005-0000-0000-0000AD0C0000}"/>
    <cellStyle name="Bad 985" xfId="3383" xr:uid="{00000000-0005-0000-0000-0000AE0C0000}"/>
    <cellStyle name="Bad 986" xfId="3384" xr:uid="{00000000-0005-0000-0000-0000AF0C0000}"/>
    <cellStyle name="Bad 987" xfId="3385" xr:uid="{00000000-0005-0000-0000-0000B00C0000}"/>
    <cellStyle name="Bad 988" xfId="3386" xr:uid="{00000000-0005-0000-0000-0000B10C0000}"/>
    <cellStyle name="Bad 989" xfId="3387" xr:uid="{00000000-0005-0000-0000-0000B20C0000}"/>
    <cellStyle name="Bad 99" xfId="3388" xr:uid="{00000000-0005-0000-0000-0000B30C0000}"/>
    <cellStyle name="Bad 990" xfId="3389" xr:uid="{00000000-0005-0000-0000-0000B40C0000}"/>
    <cellStyle name="Bad 991" xfId="3390" xr:uid="{00000000-0005-0000-0000-0000B50C0000}"/>
    <cellStyle name="Bad 992" xfId="3391" xr:uid="{00000000-0005-0000-0000-0000B60C0000}"/>
    <cellStyle name="Bad 993" xfId="3392" xr:uid="{00000000-0005-0000-0000-0000B70C0000}"/>
    <cellStyle name="Bad 994" xfId="3393" xr:uid="{00000000-0005-0000-0000-0000B80C0000}"/>
    <cellStyle name="Bad 995" xfId="3394" xr:uid="{00000000-0005-0000-0000-0000B90C0000}"/>
    <cellStyle name="Bad 996" xfId="3395" xr:uid="{00000000-0005-0000-0000-0000BA0C0000}"/>
    <cellStyle name="Bad 997" xfId="3396" xr:uid="{00000000-0005-0000-0000-0000BB0C0000}"/>
    <cellStyle name="Bad 998" xfId="3397" xr:uid="{00000000-0005-0000-0000-0000BC0C0000}"/>
    <cellStyle name="Bad 999" xfId="3398" xr:uid="{00000000-0005-0000-0000-0000BD0C0000}"/>
    <cellStyle name="Bad_Concept Analyse verschillen TS  LTGA en QIS5 v1" xfId="3399" xr:uid="{00000000-0005-0000-0000-0000BE0C0000}"/>
    <cellStyle name="Berekening" xfId="3427" builtinId="22" customBuiltin="1"/>
    <cellStyle name="Buena" xfId="3400" xr:uid="{00000000-0005-0000-0000-0000BF0C0000}"/>
    <cellStyle name="Cabeçalho 1" xfId="3401" xr:uid="{00000000-0005-0000-0000-0000C00C0000}"/>
    <cellStyle name="Cabeçalho 1 2" xfId="3402" xr:uid="{00000000-0005-0000-0000-0000C10C0000}"/>
    <cellStyle name="Cabeçalho 1 3" xfId="3403" xr:uid="{00000000-0005-0000-0000-0000C20C0000}"/>
    <cellStyle name="Cabeçalho 1 4" xfId="3404" xr:uid="{00000000-0005-0000-0000-0000C30C0000}"/>
    <cellStyle name="Cabeçalho 2" xfId="3405" xr:uid="{00000000-0005-0000-0000-0000C40C0000}"/>
    <cellStyle name="Cabeçalho 2 2" xfId="3406" xr:uid="{00000000-0005-0000-0000-0000C50C0000}"/>
    <cellStyle name="Cabeçalho 2 3" xfId="3407" xr:uid="{00000000-0005-0000-0000-0000C60C0000}"/>
    <cellStyle name="Cabeçalho 2 4" xfId="3408" xr:uid="{00000000-0005-0000-0000-0000C70C0000}"/>
    <cellStyle name="Cabeçalho 3" xfId="3409" xr:uid="{00000000-0005-0000-0000-0000C80C0000}"/>
    <cellStyle name="Cabeçalho 3 2" xfId="3410" xr:uid="{00000000-0005-0000-0000-0000C90C0000}"/>
    <cellStyle name="Cabeçalho 3 3" xfId="3411" xr:uid="{00000000-0005-0000-0000-0000CA0C0000}"/>
    <cellStyle name="Cabeçalho 3 4" xfId="3412" xr:uid="{00000000-0005-0000-0000-0000CB0C0000}"/>
    <cellStyle name="Cabeçalho 4" xfId="3413" xr:uid="{00000000-0005-0000-0000-0000CC0C0000}"/>
    <cellStyle name="Cabeçalho 4 2" xfId="3414" xr:uid="{00000000-0005-0000-0000-0000CD0C0000}"/>
    <cellStyle name="Cabeçalho 4 3" xfId="3415" xr:uid="{00000000-0005-0000-0000-0000CE0C0000}"/>
    <cellStyle name="Cabeçalho 4 4" xfId="3416" xr:uid="{00000000-0005-0000-0000-0000CF0C0000}"/>
    <cellStyle name="Calcolo" xfId="88" xr:uid="{00000000-0005-0000-0000-0000D00C0000}"/>
    <cellStyle name="Calcolo 2" xfId="3417" xr:uid="{00000000-0005-0000-0000-0000D10C0000}"/>
    <cellStyle name="Calcolo 2 2" xfId="3418" xr:uid="{00000000-0005-0000-0000-0000D20C0000}"/>
    <cellStyle name="Calcolo 3" xfId="3419" xr:uid="{00000000-0005-0000-0000-0000D30C0000}"/>
    <cellStyle name="Calcolo 4" xfId="3420" xr:uid="{00000000-0005-0000-0000-0000D40C0000}"/>
    <cellStyle name="Calcolo 5" xfId="3421" xr:uid="{00000000-0005-0000-0000-0000D50C0000}"/>
    <cellStyle name="Calcolo_Map2" xfId="3422" xr:uid="{00000000-0005-0000-0000-0000D60C0000}"/>
    <cellStyle name="Calcul" xfId="89" xr:uid="{00000000-0005-0000-0000-0000D70C0000}"/>
    <cellStyle name="Calcul 2" xfId="3423" xr:uid="{00000000-0005-0000-0000-0000D80C0000}"/>
    <cellStyle name="Calcul 3" xfId="3424" xr:uid="{00000000-0005-0000-0000-0000D90C0000}"/>
    <cellStyle name="Calcul 4" xfId="3425" xr:uid="{00000000-0005-0000-0000-0000DA0C0000}"/>
    <cellStyle name="Calcul_Concept Analyse verschillen TS  LTGA en QIS5 v1" xfId="3426" xr:uid="{00000000-0005-0000-0000-0000DB0C0000}"/>
    <cellStyle name="Calculation 10" xfId="3428" xr:uid="{00000000-0005-0000-0000-0000DD0C0000}"/>
    <cellStyle name="Calculation 100" xfId="3429" xr:uid="{00000000-0005-0000-0000-0000DE0C0000}"/>
    <cellStyle name="Calculation 1000" xfId="3430" xr:uid="{00000000-0005-0000-0000-0000DF0C0000}"/>
    <cellStyle name="Calculation 1001" xfId="3431" xr:uid="{00000000-0005-0000-0000-0000E00C0000}"/>
    <cellStyle name="Calculation 1002" xfId="3432" xr:uid="{00000000-0005-0000-0000-0000E10C0000}"/>
    <cellStyle name="Calculation 1003" xfId="3433" xr:uid="{00000000-0005-0000-0000-0000E20C0000}"/>
    <cellStyle name="Calculation 1004" xfId="3434" xr:uid="{00000000-0005-0000-0000-0000E30C0000}"/>
    <cellStyle name="Calculation 1005" xfId="3435" xr:uid="{00000000-0005-0000-0000-0000E40C0000}"/>
    <cellStyle name="Calculation 1006" xfId="3436" xr:uid="{00000000-0005-0000-0000-0000E50C0000}"/>
    <cellStyle name="Calculation 1007" xfId="3437" xr:uid="{00000000-0005-0000-0000-0000E60C0000}"/>
    <cellStyle name="Calculation 1008" xfId="3438" xr:uid="{00000000-0005-0000-0000-0000E70C0000}"/>
    <cellStyle name="Calculation 1009" xfId="3439" xr:uid="{00000000-0005-0000-0000-0000E80C0000}"/>
    <cellStyle name="Calculation 101" xfId="3440" xr:uid="{00000000-0005-0000-0000-0000E90C0000}"/>
    <cellStyle name="Calculation 1010" xfId="3441" xr:uid="{00000000-0005-0000-0000-0000EA0C0000}"/>
    <cellStyle name="Calculation 1011" xfId="3442" xr:uid="{00000000-0005-0000-0000-0000EB0C0000}"/>
    <cellStyle name="Calculation 1012" xfId="3443" xr:uid="{00000000-0005-0000-0000-0000EC0C0000}"/>
    <cellStyle name="Calculation 1013" xfId="3444" xr:uid="{00000000-0005-0000-0000-0000ED0C0000}"/>
    <cellStyle name="Calculation 1014" xfId="3445" xr:uid="{00000000-0005-0000-0000-0000EE0C0000}"/>
    <cellStyle name="Calculation 1015" xfId="3446" xr:uid="{00000000-0005-0000-0000-0000EF0C0000}"/>
    <cellStyle name="Calculation 1016" xfId="3447" xr:uid="{00000000-0005-0000-0000-0000F00C0000}"/>
    <cellStyle name="Calculation 1017" xfId="3448" xr:uid="{00000000-0005-0000-0000-0000F10C0000}"/>
    <cellStyle name="Calculation 1018" xfId="3449" xr:uid="{00000000-0005-0000-0000-0000F20C0000}"/>
    <cellStyle name="Calculation 1019" xfId="3450" xr:uid="{00000000-0005-0000-0000-0000F30C0000}"/>
    <cellStyle name="Calculation 102" xfId="3451" xr:uid="{00000000-0005-0000-0000-0000F40C0000}"/>
    <cellStyle name="Calculation 1020" xfId="3452" xr:uid="{00000000-0005-0000-0000-0000F50C0000}"/>
    <cellStyle name="Calculation 1021" xfId="3453" xr:uid="{00000000-0005-0000-0000-0000F60C0000}"/>
    <cellStyle name="Calculation 1022" xfId="3454" xr:uid="{00000000-0005-0000-0000-0000F70C0000}"/>
    <cellStyle name="Calculation 1023" xfId="3455" xr:uid="{00000000-0005-0000-0000-0000F80C0000}"/>
    <cellStyle name="Calculation 1024" xfId="3456" xr:uid="{00000000-0005-0000-0000-0000F90C0000}"/>
    <cellStyle name="Calculation 1025" xfId="3457" xr:uid="{00000000-0005-0000-0000-0000FA0C0000}"/>
    <cellStyle name="Calculation 1026" xfId="3458" xr:uid="{00000000-0005-0000-0000-0000FB0C0000}"/>
    <cellStyle name="Calculation 1027" xfId="3459" xr:uid="{00000000-0005-0000-0000-0000FC0C0000}"/>
    <cellStyle name="Calculation 1028" xfId="3460" xr:uid="{00000000-0005-0000-0000-0000FD0C0000}"/>
    <cellStyle name="Calculation 1029" xfId="3461" xr:uid="{00000000-0005-0000-0000-0000FE0C0000}"/>
    <cellStyle name="Calculation 103" xfId="3462" xr:uid="{00000000-0005-0000-0000-0000FF0C0000}"/>
    <cellStyle name="Calculation 1030" xfId="3463" xr:uid="{00000000-0005-0000-0000-0000000D0000}"/>
    <cellStyle name="Calculation 1031" xfId="3464" xr:uid="{00000000-0005-0000-0000-0000010D0000}"/>
    <cellStyle name="Calculation 1032" xfId="3465" xr:uid="{00000000-0005-0000-0000-0000020D0000}"/>
    <cellStyle name="Calculation 1033" xfId="3466" xr:uid="{00000000-0005-0000-0000-0000030D0000}"/>
    <cellStyle name="Calculation 1034" xfId="3467" xr:uid="{00000000-0005-0000-0000-0000040D0000}"/>
    <cellStyle name="Calculation 1035" xfId="3468" xr:uid="{00000000-0005-0000-0000-0000050D0000}"/>
    <cellStyle name="Calculation 1036" xfId="3469" xr:uid="{00000000-0005-0000-0000-0000060D0000}"/>
    <cellStyle name="Calculation 1037" xfId="3470" xr:uid="{00000000-0005-0000-0000-0000070D0000}"/>
    <cellStyle name="Calculation 1038" xfId="3471" xr:uid="{00000000-0005-0000-0000-0000080D0000}"/>
    <cellStyle name="Calculation 1039" xfId="3472" xr:uid="{00000000-0005-0000-0000-0000090D0000}"/>
    <cellStyle name="Calculation 104" xfId="3473" xr:uid="{00000000-0005-0000-0000-00000A0D0000}"/>
    <cellStyle name="Calculation 1040" xfId="3474" xr:uid="{00000000-0005-0000-0000-00000B0D0000}"/>
    <cellStyle name="Calculation 1041" xfId="3475" xr:uid="{00000000-0005-0000-0000-00000C0D0000}"/>
    <cellStyle name="Calculation 1042" xfId="3476" xr:uid="{00000000-0005-0000-0000-00000D0D0000}"/>
    <cellStyle name="Calculation 1043" xfId="3477" xr:uid="{00000000-0005-0000-0000-00000E0D0000}"/>
    <cellStyle name="Calculation 1044" xfId="3478" xr:uid="{00000000-0005-0000-0000-00000F0D0000}"/>
    <cellStyle name="Calculation 1045" xfId="3479" xr:uid="{00000000-0005-0000-0000-0000100D0000}"/>
    <cellStyle name="Calculation 1046" xfId="3480" xr:uid="{00000000-0005-0000-0000-0000110D0000}"/>
    <cellStyle name="Calculation 1047" xfId="3481" xr:uid="{00000000-0005-0000-0000-0000120D0000}"/>
    <cellStyle name="Calculation 1048" xfId="3482" xr:uid="{00000000-0005-0000-0000-0000130D0000}"/>
    <cellStyle name="Calculation 1049" xfId="3483" xr:uid="{00000000-0005-0000-0000-0000140D0000}"/>
    <cellStyle name="Calculation 105" xfId="3484" xr:uid="{00000000-0005-0000-0000-0000150D0000}"/>
    <cellStyle name="Calculation 1050" xfId="3485" xr:uid="{00000000-0005-0000-0000-0000160D0000}"/>
    <cellStyle name="Calculation 1051" xfId="3486" xr:uid="{00000000-0005-0000-0000-0000170D0000}"/>
    <cellStyle name="Calculation 1052" xfId="3487" xr:uid="{00000000-0005-0000-0000-0000180D0000}"/>
    <cellStyle name="Calculation 1053" xfId="3488" xr:uid="{00000000-0005-0000-0000-0000190D0000}"/>
    <cellStyle name="Calculation 1054" xfId="3489" xr:uid="{00000000-0005-0000-0000-00001A0D0000}"/>
    <cellStyle name="Calculation 1055" xfId="3490" xr:uid="{00000000-0005-0000-0000-00001B0D0000}"/>
    <cellStyle name="Calculation 1056" xfId="3491" xr:uid="{00000000-0005-0000-0000-00001C0D0000}"/>
    <cellStyle name="Calculation 1057" xfId="3492" xr:uid="{00000000-0005-0000-0000-00001D0D0000}"/>
    <cellStyle name="Calculation 1058" xfId="3493" xr:uid="{00000000-0005-0000-0000-00001E0D0000}"/>
    <cellStyle name="Calculation 1059" xfId="3494" xr:uid="{00000000-0005-0000-0000-00001F0D0000}"/>
    <cellStyle name="Calculation 106" xfId="3495" xr:uid="{00000000-0005-0000-0000-0000200D0000}"/>
    <cellStyle name="Calculation 1060" xfId="3496" xr:uid="{00000000-0005-0000-0000-0000210D0000}"/>
    <cellStyle name="Calculation 1061" xfId="3497" xr:uid="{00000000-0005-0000-0000-0000220D0000}"/>
    <cellStyle name="Calculation 1062" xfId="3498" xr:uid="{00000000-0005-0000-0000-0000230D0000}"/>
    <cellStyle name="Calculation 1063" xfId="3499" xr:uid="{00000000-0005-0000-0000-0000240D0000}"/>
    <cellStyle name="Calculation 1064" xfId="3500" xr:uid="{00000000-0005-0000-0000-0000250D0000}"/>
    <cellStyle name="Calculation 1065" xfId="3501" xr:uid="{00000000-0005-0000-0000-0000260D0000}"/>
    <cellStyle name="Calculation 1066" xfId="3502" xr:uid="{00000000-0005-0000-0000-0000270D0000}"/>
    <cellStyle name="Calculation 1067" xfId="3503" xr:uid="{00000000-0005-0000-0000-0000280D0000}"/>
    <cellStyle name="Calculation 1068" xfId="3504" xr:uid="{00000000-0005-0000-0000-0000290D0000}"/>
    <cellStyle name="Calculation 1069" xfId="3505" xr:uid="{00000000-0005-0000-0000-00002A0D0000}"/>
    <cellStyle name="Calculation 107" xfId="3506" xr:uid="{00000000-0005-0000-0000-00002B0D0000}"/>
    <cellStyle name="Calculation 1070" xfId="3507" xr:uid="{00000000-0005-0000-0000-00002C0D0000}"/>
    <cellStyle name="Calculation 1071" xfId="3508" xr:uid="{00000000-0005-0000-0000-00002D0D0000}"/>
    <cellStyle name="Calculation 1072" xfId="3509" xr:uid="{00000000-0005-0000-0000-00002E0D0000}"/>
    <cellStyle name="Calculation 1073" xfId="3510" xr:uid="{00000000-0005-0000-0000-00002F0D0000}"/>
    <cellStyle name="Calculation 1074" xfId="3511" xr:uid="{00000000-0005-0000-0000-0000300D0000}"/>
    <cellStyle name="Calculation 1075" xfId="3512" xr:uid="{00000000-0005-0000-0000-0000310D0000}"/>
    <cellStyle name="Calculation 1076" xfId="3513" xr:uid="{00000000-0005-0000-0000-0000320D0000}"/>
    <cellStyle name="Calculation 1077" xfId="3514" xr:uid="{00000000-0005-0000-0000-0000330D0000}"/>
    <cellStyle name="Calculation 1078" xfId="3515" xr:uid="{00000000-0005-0000-0000-0000340D0000}"/>
    <cellStyle name="Calculation 1079" xfId="3516" xr:uid="{00000000-0005-0000-0000-0000350D0000}"/>
    <cellStyle name="Calculation 108" xfId="3517" xr:uid="{00000000-0005-0000-0000-0000360D0000}"/>
    <cellStyle name="Calculation 1080" xfId="3518" xr:uid="{00000000-0005-0000-0000-0000370D0000}"/>
    <cellStyle name="Calculation 1081" xfId="3519" xr:uid="{00000000-0005-0000-0000-0000380D0000}"/>
    <cellStyle name="Calculation 1082" xfId="3520" xr:uid="{00000000-0005-0000-0000-0000390D0000}"/>
    <cellStyle name="Calculation 1083" xfId="3521" xr:uid="{00000000-0005-0000-0000-00003A0D0000}"/>
    <cellStyle name="Calculation 1084" xfId="3522" xr:uid="{00000000-0005-0000-0000-00003B0D0000}"/>
    <cellStyle name="Calculation 1085" xfId="3523" xr:uid="{00000000-0005-0000-0000-00003C0D0000}"/>
    <cellStyle name="Calculation 1086" xfId="3524" xr:uid="{00000000-0005-0000-0000-00003D0D0000}"/>
    <cellStyle name="Calculation 1087" xfId="3525" xr:uid="{00000000-0005-0000-0000-00003E0D0000}"/>
    <cellStyle name="Calculation 1088" xfId="3526" xr:uid="{00000000-0005-0000-0000-00003F0D0000}"/>
    <cellStyle name="Calculation 1089" xfId="3527" xr:uid="{00000000-0005-0000-0000-0000400D0000}"/>
    <cellStyle name="Calculation 109" xfId="3528" xr:uid="{00000000-0005-0000-0000-0000410D0000}"/>
    <cellStyle name="Calculation 1090" xfId="3529" xr:uid="{00000000-0005-0000-0000-0000420D0000}"/>
    <cellStyle name="Calculation 1091" xfId="3530" xr:uid="{00000000-0005-0000-0000-0000430D0000}"/>
    <cellStyle name="Calculation 1092" xfId="3531" xr:uid="{00000000-0005-0000-0000-0000440D0000}"/>
    <cellStyle name="Calculation 1093" xfId="3532" xr:uid="{00000000-0005-0000-0000-0000450D0000}"/>
    <cellStyle name="Calculation 1094" xfId="3533" xr:uid="{00000000-0005-0000-0000-0000460D0000}"/>
    <cellStyle name="Calculation 1095" xfId="3534" xr:uid="{00000000-0005-0000-0000-0000470D0000}"/>
    <cellStyle name="Calculation 1096" xfId="3535" xr:uid="{00000000-0005-0000-0000-0000480D0000}"/>
    <cellStyle name="Calculation 1097" xfId="3536" xr:uid="{00000000-0005-0000-0000-0000490D0000}"/>
    <cellStyle name="Calculation 1098" xfId="3537" xr:uid="{00000000-0005-0000-0000-00004A0D0000}"/>
    <cellStyle name="Calculation 1099" xfId="3538" xr:uid="{00000000-0005-0000-0000-00004B0D0000}"/>
    <cellStyle name="Calculation 11" xfId="3539" xr:uid="{00000000-0005-0000-0000-00004C0D0000}"/>
    <cellStyle name="Calculation 110" xfId="3540" xr:uid="{00000000-0005-0000-0000-00004D0D0000}"/>
    <cellStyle name="Calculation 1100" xfId="3541" xr:uid="{00000000-0005-0000-0000-00004E0D0000}"/>
    <cellStyle name="Calculation 1101" xfId="3542" xr:uid="{00000000-0005-0000-0000-00004F0D0000}"/>
    <cellStyle name="Calculation 1102" xfId="3543" xr:uid="{00000000-0005-0000-0000-0000500D0000}"/>
    <cellStyle name="Calculation 1103" xfId="3544" xr:uid="{00000000-0005-0000-0000-0000510D0000}"/>
    <cellStyle name="Calculation 1104" xfId="3545" xr:uid="{00000000-0005-0000-0000-0000520D0000}"/>
    <cellStyle name="Calculation 1105" xfId="3546" xr:uid="{00000000-0005-0000-0000-0000530D0000}"/>
    <cellStyle name="Calculation 1106" xfId="3547" xr:uid="{00000000-0005-0000-0000-0000540D0000}"/>
    <cellStyle name="Calculation 1107" xfId="3548" xr:uid="{00000000-0005-0000-0000-0000550D0000}"/>
    <cellStyle name="Calculation 1108" xfId="3549" xr:uid="{00000000-0005-0000-0000-0000560D0000}"/>
    <cellStyle name="Calculation 1109" xfId="3550" xr:uid="{00000000-0005-0000-0000-0000570D0000}"/>
    <cellStyle name="Calculation 111" xfId="3551" xr:uid="{00000000-0005-0000-0000-0000580D0000}"/>
    <cellStyle name="Calculation 1110" xfId="3552" xr:uid="{00000000-0005-0000-0000-0000590D0000}"/>
    <cellStyle name="Calculation 1111" xfId="3553" xr:uid="{00000000-0005-0000-0000-00005A0D0000}"/>
    <cellStyle name="Calculation 1112" xfId="3554" xr:uid="{00000000-0005-0000-0000-00005B0D0000}"/>
    <cellStyle name="Calculation 1113" xfId="3555" xr:uid="{00000000-0005-0000-0000-00005C0D0000}"/>
    <cellStyle name="Calculation 1114" xfId="3556" xr:uid="{00000000-0005-0000-0000-00005D0D0000}"/>
    <cellStyle name="Calculation 1115" xfId="3557" xr:uid="{00000000-0005-0000-0000-00005E0D0000}"/>
    <cellStyle name="Calculation 1116" xfId="3558" xr:uid="{00000000-0005-0000-0000-00005F0D0000}"/>
    <cellStyle name="Calculation 1117" xfId="3559" xr:uid="{00000000-0005-0000-0000-0000600D0000}"/>
    <cellStyle name="Calculation 1118" xfId="3560" xr:uid="{00000000-0005-0000-0000-0000610D0000}"/>
    <cellStyle name="Calculation 1119" xfId="3561" xr:uid="{00000000-0005-0000-0000-0000620D0000}"/>
    <cellStyle name="Calculation 112" xfId="3562" xr:uid="{00000000-0005-0000-0000-0000630D0000}"/>
    <cellStyle name="Calculation 1120" xfId="3563" xr:uid="{00000000-0005-0000-0000-0000640D0000}"/>
    <cellStyle name="Calculation 1121" xfId="3564" xr:uid="{00000000-0005-0000-0000-0000650D0000}"/>
    <cellStyle name="Calculation 1122" xfId="3565" xr:uid="{00000000-0005-0000-0000-0000660D0000}"/>
    <cellStyle name="Calculation 1123" xfId="3566" xr:uid="{00000000-0005-0000-0000-0000670D0000}"/>
    <cellStyle name="Calculation 1124" xfId="3567" xr:uid="{00000000-0005-0000-0000-0000680D0000}"/>
    <cellStyle name="Calculation 1125" xfId="3568" xr:uid="{00000000-0005-0000-0000-0000690D0000}"/>
    <cellStyle name="Calculation 1126" xfId="3569" xr:uid="{00000000-0005-0000-0000-00006A0D0000}"/>
    <cellStyle name="Calculation 1127" xfId="3570" xr:uid="{00000000-0005-0000-0000-00006B0D0000}"/>
    <cellStyle name="Calculation 1128" xfId="3571" xr:uid="{00000000-0005-0000-0000-00006C0D0000}"/>
    <cellStyle name="Calculation 1129" xfId="3572" xr:uid="{00000000-0005-0000-0000-00006D0D0000}"/>
    <cellStyle name="Calculation 113" xfId="3573" xr:uid="{00000000-0005-0000-0000-00006E0D0000}"/>
    <cellStyle name="Calculation 1130" xfId="3574" xr:uid="{00000000-0005-0000-0000-00006F0D0000}"/>
    <cellStyle name="Calculation 1131" xfId="3575" xr:uid="{00000000-0005-0000-0000-0000700D0000}"/>
    <cellStyle name="Calculation 1132" xfId="3576" xr:uid="{00000000-0005-0000-0000-0000710D0000}"/>
    <cellStyle name="Calculation 1133" xfId="3577" xr:uid="{00000000-0005-0000-0000-0000720D0000}"/>
    <cellStyle name="Calculation 1134" xfId="3578" xr:uid="{00000000-0005-0000-0000-0000730D0000}"/>
    <cellStyle name="Calculation 1135" xfId="3579" xr:uid="{00000000-0005-0000-0000-0000740D0000}"/>
    <cellStyle name="Calculation 1136" xfId="3580" xr:uid="{00000000-0005-0000-0000-0000750D0000}"/>
    <cellStyle name="Calculation 1137" xfId="3581" xr:uid="{00000000-0005-0000-0000-0000760D0000}"/>
    <cellStyle name="Calculation 1138" xfId="3582" xr:uid="{00000000-0005-0000-0000-0000770D0000}"/>
    <cellStyle name="Calculation 1139" xfId="3583" xr:uid="{00000000-0005-0000-0000-0000780D0000}"/>
    <cellStyle name="Calculation 114" xfId="3584" xr:uid="{00000000-0005-0000-0000-0000790D0000}"/>
    <cellStyle name="Calculation 1140" xfId="3585" xr:uid="{00000000-0005-0000-0000-00007A0D0000}"/>
    <cellStyle name="Calculation 1141" xfId="3586" xr:uid="{00000000-0005-0000-0000-00007B0D0000}"/>
    <cellStyle name="Calculation 1142" xfId="3587" xr:uid="{00000000-0005-0000-0000-00007C0D0000}"/>
    <cellStyle name="Calculation 1143" xfId="3588" xr:uid="{00000000-0005-0000-0000-00007D0D0000}"/>
    <cellStyle name="Calculation 1144" xfId="3589" xr:uid="{00000000-0005-0000-0000-00007E0D0000}"/>
    <cellStyle name="Calculation 1145" xfId="3590" xr:uid="{00000000-0005-0000-0000-00007F0D0000}"/>
    <cellStyle name="Calculation 1146" xfId="3591" xr:uid="{00000000-0005-0000-0000-0000800D0000}"/>
    <cellStyle name="Calculation 1147" xfId="3592" xr:uid="{00000000-0005-0000-0000-0000810D0000}"/>
    <cellStyle name="Calculation 1148" xfId="3593" xr:uid="{00000000-0005-0000-0000-0000820D0000}"/>
    <cellStyle name="Calculation 1149" xfId="3594" xr:uid="{00000000-0005-0000-0000-0000830D0000}"/>
    <cellStyle name="Calculation 115" xfId="3595" xr:uid="{00000000-0005-0000-0000-0000840D0000}"/>
    <cellStyle name="Calculation 1150" xfId="3596" xr:uid="{00000000-0005-0000-0000-0000850D0000}"/>
    <cellStyle name="Calculation 1151" xfId="3597" xr:uid="{00000000-0005-0000-0000-0000860D0000}"/>
    <cellStyle name="Calculation 1152" xfId="3598" xr:uid="{00000000-0005-0000-0000-0000870D0000}"/>
    <cellStyle name="Calculation 1153" xfId="3599" xr:uid="{00000000-0005-0000-0000-0000880D0000}"/>
    <cellStyle name="Calculation 1154" xfId="3600" xr:uid="{00000000-0005-0000-0000-0000890D0000}"/>
    <cellStyle name="Calculation 1155" xfId="3601" xr:uid="{00000000-0005-0000-0000-00008A0D0000}"/>
    <cellStyle name="Calculation 1156" xfId="3602" xr:uid="{00000000-0005-0000-0000-00008B0D0000}"/>
    <cellStyle name="Calculation 1157" xfId="3603" xr:uid="{00000000-0005-0000-0000-00008C0D0000}"/>
    <cellStyle name="Calculation 1158" xfId="3604" xr:uid="{00000000-0005-0000-0000-00008D0D0000}"/>
    <cellStyle name="Calculation 1159" xfId="3605" xr:uid="{00000000-0005-0000-0000-00008E0D0000}"/>
    <cellStyle name="Calculation 116" xfId="3606" xr:uid="{00000000-0005-0000-0000-00008F0D0000}"/>
    <cellStyle name="Calculation 1160" xfId="3607" xr:uid="{00000000-0005-0000-0000-0000900D0000}"/>
    <cellStyle name="Calculation 1161" xfId="3608" xr:uid="{00000000-0005-0000-0000-0000910D0000}"/>
    <cellStyle name="Calculation 117" xfId="3609" xr:uid="{00000000-0005-0000-0000-0000920D0000}"/>
    <cellStyle name="Calculation 118" xfId="3610" xr:uid="{00000000-0005-0000-0000-0000930D0000}"/>
    <cellStyle name="Calculation 119" xfId="3611" xr:uid="{00000000-0005-0000-0000-0000940D0000}"/>
    <cellStyle name="Calculation 12" xfId="3612" xr:uid="{00000000-0005-0000-0000-0000950D0000}"/>
    <cellStyle name="Calculation 120" xfId="3613" xr:uid="{00000000-0005-0000-0000-0000960D0000}"/>
    <cellStyle name="Calculation 121" xfId="3614" xr:uid="{00000000-0005-0000-0000-0000970D0000}"/>
    <cellStyle name="Calculation 122" xfId="3615" xr:uid="{00000000-0005-0000-0000-0000980D0000}"/>
    <cellStyle name="Calculation 123" xfId="3616" xr:uid="{00000000-0005-0000-0000-0000990D0000}"/>
    <cellStyle name="Calculation 124" xfId="3617" xr:uid="{00000000-0005-0000-0000-00009A0D0000}"/>
    <cellStyle name="Calculation 125" xfId="3618" xr:uid="{00000000-0005-0000-0000-00009B0D0000}"/>
    <cellStyle name="Calculation 126" xfId="3619" xr:uid="{00000000-0005-0000-0000-00009C0D0000}"/>
    <cellStyle name="Calculation 127" xfId="3620" xr:uid="{00000000-0005-0000-0000-00009D0D0000}"/>
    <cellStyle name="Calculation 128" xfId="3621" xr:uid="{00000000-0005-0000-0000-00009E0D0000}"/>
    <cellStyle name="Calculation 129" xfId="3622" xr:uid="{00000000-0005-0000-0000-00009F0D0000}"/>
    <cellStyle name="Calculation 13" xfId="3623" xr:uid="{00000000-0005-0000-0000-0000A00D0000}"/>
    <cellStyle name="Calculation 130" xfId="3624" xr:uid="{00000000-0005-0000-0000-0000A10D0000}"/>
    <cellStyle name="Calculation 131" xfId="3625" xr:uid="{00000000-0005-0000-0000-0000A20D0000}"/>
    <cellStyle name="Calculation 132" xfId="3626" xr:uid="{00000000-0005-0000-0000-0000A30D0000}"/>
    <cellStyle name="Calculation 133" xfId="3627" xr:uid="{00000000-0005-0000-0000-0000A40D0000}"/>
    <cellStyle name="Calculation 134" xfId="3628" xr:uid="{00000000-0005-0000-0000-0000A50D0000}"/>
    <cellStyle name="Calculation 135" xfId="3629" xr:uid="{00000000-0005-0000-0000-0000A60D0000}"/>
    <cellStyle name="Calculation 136" xfId="3630" xr:uid="{00000000-0005-0000-0000-0000A70D0000}"/>
    <cellStyle name="Calculation 137" xfId="3631" xr:uid="{00000000-0005-0000-0000-0000A80D0000}"/>
    <cellStyle name="Calculation 138" xfId="3632" xr:uid="{00000000-0005-0000-0000-0000A90D0000}"/>
    <cellStyle name="Calculation 139" xfId="3633" xr:uid="{00000000-0005-0000-0000-0000AA0D0000}"/>
    <cellStyle name="Calculation 14" xfId="3634" xr:uid="{00000000-0005-0000-0000-0000AB0D0000}"/>
    <cellStyle name="Calculation 140" xfId="3635" xr:uid="{00000000-0005-0000-0000-0000AC0D0000}"/>
    <cellStyle name="Calculation 141" xfId="3636" xr:uid="{00000000-0005-0000-0000-0000AD0D0000}"/>
    <cellStyle name="Calculation 142" xfId="3637" xr:uid="{00000000-0005-0000-0000-0000AE0D0000}"/>
    <cellStyle name="Calculation 143" xfId="3638" xr:uid="{00000000-0005-0000-0000-0000AF0D0000}"/>
    <cellStyle name="Calculation 144" xfId="3639" xr:uid="{00000000-0005-0000-0000-0000B00D0000}"/>
    <cellStyle name="Calculation 145" xfId="3640" xr:uid="{00000000-0005-0000-0000-0000B10D0000}"/>
    <cellStyle name="Calculation 146" xfId="3641" xr:uid="{00000000-0005-0000-0000-0000B20D0000}"/>
    <cellStyle name="Calculation 147" xfId="3642" xr:uid="{00000000-0005-0000-0000-0000B30D0000}"/>
    <cellStyle name="Calculation 148" xfId="3643" xr:uid="{00000000-0005-0000-0000-0000B40D0000}"/>
    <cellStyle name="Calculation 149" xfId="3644" xr:uid="{00000000-0005-0000-0000-0000B50D0000}"/>
    <cellStyle name="Calculation 15" xfId="3645" xr:uid="{00000000-0005-0000-0000-0000B60D0000}"/>
    <cellStyle name="Calculation 150" xfId="3646" xr:uid="{00000000-0005-0000-0000-0000B70D0000}"/>
    <cellStyle name="Calculation 151" xfId="3647" xr:uid="{00000000-0005-0000-0000-0000B80D0000}"/>
    <cellStyle name="Calculation 152" xfId="3648" xr:uid="{00000000-0005-0000-0000-0000B90D0000}"/>
    <cellStyle name="Calculation 153" xfId="3649" xr:uid="{00000000-0005-0000-0000-0000BA0D0000}"/>
    <cellStyle name="Calculation 154" xfId="3650" xr:uid="{00000000-0005-0000-0000-0000BB0D0000}"/>
    <cellStyle name="Calculation 155" xfId="3651" xr:uid="{00000000-0005-0000-0000-0000BC0D0000}"/>
    <cellStyle name="Calculation 156" xfId="3652" xr:uid="{00000000-0005-0000-0000-0000BD0D0000}"/>
    <cellStyle name="Calculation 157" xfId="3653" xr:uid="{00000000-0005-0000-0000-0000BE0D0000}"/>
    <cellStyle name="Calculation 158" xfId="3654" xr:uid="{00000000-0005-0000-0000-0000BF0D0000}"/>
    <cellStyle name="Calculation 159" xfId="3655" xr:uid="{00000000-0005-0000-0000-0000C00D0000}"/>
    <cellStyle name="Calculation 16" xfId="3656" xr:uid="{00000000-0005-0000-0000-0000C10D0000}"/>
    <cellStyle name="Calculation 160" xfId="3657" xr:uid="{00000000-0005-0000-0000-0000C20D0000}"/>
    <cellStyle name="Calculation 161" xfId="3658" xr:uid="{00000000-0005-0000-0000-0000C30D0000}"/>
    <cellStyle name="Calculation 162" xfId="3659" xr:uid="{00000000-0005-0000-0000-0000C40D0000}"/>
    <cellStyle name="Calculation 163" xfId="3660" xr:uid="{00000000-0005-0000-0000-0000C50D0000}"/>
    <cellStyle name="Calculation 164" xfId="3661" xr:uid="{00000000-0005-0000-0000-0000C60D0000}"/>
    <cellStyle name="Calculation 165" xfId="3662" xr:uid="{00000000-0005-0000-0000-0000C70D0000}"/>
    <cellStyle name="Calculation 166" xfId="3663" xr:uid="{00000000-0005-0000-0000-0000C80D0000}"/>
    <cellStyle name="Calculation 167" xfId="3664" xr:uid="{00000000-0005-0000-0000-0000C90D0000}"/>
    <cellStyle name="Calculation 168" xfId="3665" xr:uid="{00000000-0005-0000-0000-0000CA0D0000}"/>
    <cellStyle name="Calculation 169" xfId="3666" xr:uid="{00000000-0005-0000-0000-0000CB0D0000}"/>
    <cellStyle name="Calculation 17" xfId="3667" xr:uid="{00000000-0005-0000-0000-0000CC0D0000}"/>
    <cellStyle name="Calculation 170" xfId="3668" xr:uid="{00000000-0005-0000-0000-0000CD0D0000}"/>
    <cellStyle name="Calculation 171" xfId="3669" xr:uid="{00000000-0005-0000-0000-0000CE0D0000}"/>
    <cellStyle name="Calculation 172" xfId="3670" xr:uid="{00000000-0005-0000-0000-0000CF0D0000}"/>
    <cellStyle name="Calculation 173" xfId="3671" xr:uid="{00000000-0005-0000-0000-0000D00D0000}"/>
    <cellStyle name="Calculation 174" xfId="3672" xr:uid="{00000000-0005-0000-0000-0000D10D0000}"/>
    <cellStyle name="Calculation 175" xfId="3673" xr:uid="{00000000-0005-0000-0000-0000D20D0000}"/>
    <cellStyle name="Calculation 176" xfId="3674" xr:uid="{00000000-0005-0000-0000-0000D30D0000}"/>
    <cellStyle name="Calculation 177" xfId="3675" xr:uid="{00000000-0005-0000-0000-0000D40D0000}"/>
    <cellStyle name="Calculation 178" xfId="3676" xr:uid="{00000000-0005-0000-0000-0000D50D0000}"/>
    <cellStyle name="Calculation 179" xfId="3677" xr:uid="{00000000-0005-0000-0000-0000D60D0000}"/>
    <cellStyle name="Calculation 18" xfId="3678" xr:uid="{00000000-0005-0000-0000-0000D70D0000}"/>
    <cellStyle name="Calculation 180" xfId="3679" xr:uid="{00000000-0005-0000-0000-0000D80D0000}"/>
    <cellStyle name="Calculation 181" xfId="3680" xr:uid="{00000000-0005-0000-0000-0000D90D0000}"/>
    <cellStyle name="Calculation 182" xfId="3681" xr:uid="{00000000-0005-0000-0000-0000DA0D0000}"/>
    <cellStyle name="Calculation 183" xfId="3682" xr:uid="{00000000-0005-0000-0000-0000DB0D0000}"/>
    <cellStyle name="Calculation 184" xfId="3683" xr:uid="{00000000-0005-0000-0000-0000DC0D0000}"/>
    <cellStyle name="Calculation 185" xfId="3684" xr:uid="{00000000-0005-0000-0000-0000DD0D0000}"/>
    <cellStyle name="Calculation 186" xfId="3685" xr:uid="{00000000-0005-0000-0000-0000DE0D0000}"/>
    <cellStyle name="Calculation 187" xfId="3686" xr:uid="{00000000-0005-0000-0000-0000DF0D0000}"/>
    <cellStyle name="Calculation 188" xfId="3687" xr:uid="{00000000-0005-0000-0000-0000E00D0000}"/>
    <cellStyle name="Calculation 189" xfId="3688" xr:uid="{00000000-0005-0000-0000-0000E10D0000}"/>
    <cellStyle name="Calculation 19" xfId="3689" xr:uid="{00000000-0005-0000-0000-0000E20D0000}"/>
    <cellStyle name="Calculation 190" xfId="3690" xr:uid="{00000000-0005-0000-0000-0000E30D0000}"/>
    <cellStyle name="Calculation 191" xfId="3691" xr:uid="{00000000-0005-0000-0000-0000E40D0000}"/>
    <cellStyle name="Calculation 192" xfId="3692" xr:uid="{00000000-0005-0000-0000-0000E50D0000}"/>
    <cellStyle name="Calculation 193" xfId="3693" xr:uid="{00000000-0005-0000-0000-0000E60D0000}"/>
    <cellStyle name="Calculation 194" xfId="3694" xr:uid="{00000000-0005-0000-0000-0000E70D0000}"/>
    <cellStyle name="Calculation 195" xfId="3695" xr:uid="{00000000-0005-0000-0000-0000E80D0000}"/>
    <cellStyle name="Calculation 196" xfId="3696" xr:uid="{00000000-0005-0000-0000-0000E90D0000}"/>
    <cellStyle name="Calculation 197" xfId="3697" xr:uid="{00000000-0005-0000-0000-0000EA0D0000}"/>
    <cellStyle name="Calculation 198" xfId="3698" xr:uid="{00000000-0005-0000-0000-0000EB0D0000}"/>
    <cellStyle name="Calculation 199" xfId="3699" xr:uid="{00000000-0005-0000-0000-0000EC0D0000}"/>
    <cellStyle name="Calculation 2" xfId="212" xr:uid="{00000000-0005-0000-0000-0000ED0D0000}"/>
    <cellStyle name="Calculation 2 2" xfId="3700" xr:uid="{00000000-0005-0000-0000-0000EE0D0000}"/>
    <cellStyle name="Calculation 2 3" xfId="3701" xr:uid="{00000000-0005-0000-0000-0000EF0D0000}"/>
    <cellStyle name="Calculation 2 4" xfId="3702" xr:uid="{00000000-0005-0000-0000-0000F00D0000}"/>
    <cellStyle name="Calculation 20" xfId="3703" xr:uid="{00000000-0005-0000-0000-0000F10D0000}"/>
    <cellStyle name="Calculation 200" xfId="3704" xr:uid="{00000000-0005-0000-0000-0000F20D0000}"/>
    <cellStyle name="Calculation 201" xfId="3705" xr:uid="{00000000-0005-0000-0000-0000F30D0000}"/>
    <cellStyle name="Calculation 202" xfId="3706" xr:uid="{00000000-0005-0000-0000-0000F40D0000}"/>
    <cellStyle name="Calculation 203" xfId="3707" xr:uid="{00000000-0005-0000-0000-0000F50D0000}"/>
    <cellStyle name="Calculation 204" xfId="3708" xr:uid="{00000000-0005-0000-0000-0000F60D0000}"/>
    <cellStyle name="Calculation 205" xfId="3709" xr:uid="{00000000-0005-0000-0000-0000F70D0000}"/>
    <cellStyle name="Calculation 206" xfId="3710" xr:uid="{00000000-0005-0000-0000-0000F80D0000}"/>
    <cellStyle name="Calculation 207" xfId="3711" xr:uid="{00000000-0005-0000-0000-0000F90D0000}"/>
    <cellStyle name="Calculation 208" xfId="3712" xr:uid="{00000000-0005-0000-0000-0000FA0D0000}"/>
    <cellStyle name="Calculation 209" xfId="3713" xr:uid="{00000000-0005-0000-0000-0000FB0D0000}"/>
    <cellStyle name="Calculation 21" xfId="3714" xr:uid="{00000000-0005-0000-0000-0000FC0D0000}"/>
    <cellStyle name="Calculation 210" xfId="3715" xr:uid="{00000000-0005-0000-0000-0000FD0D0000}"/>
    <cellStyle name="Calculation 211" xfId="3716" xr:uid="{00000000-0005-0000-0000-0000FE0D0000}"/>
    <cellStyle name="Calculation 212" xfId="3717" xr:uid="{00000000-0005-0000-0000-0000FF0D0000}"/>
    <cellStyle name="Calculation 213" xfId="3718" xr:uid="{00000000-0005-0000-0000-0000000E0000}"/>
    <cellStyle name="Calculation 214" xfId="3719" xr:uid="{00000000-0005-0000-0000-0000010E0000}"/>
    <cellStyle name="Calculation 215" xfId="3720" xr:uid="{00000000-0005-0000-0000-0000020E0000}"/>
    <cellStyle name="Calculation 216" xfId="3721" xr:uid="{00000000-0005-0000-0000-0000030E0000}"/>
    <cellStyle name="Calculation 217" xfId="3722" xr:uid="{00000000-0005-0000-0000-0000040E0000}"/>
    <cellStyle name="Calculation 218" xfId="3723" xr:uid="{00000000-0005-0000-0000-0000050E0000}"/>
    <cellStyle name="Calculation 219" xfId="3724" xr:uid="{00000000-0005-0000-0000-0000060E0000}"/>
    <cellStyle name="Calculation 22" xfId="3725" xr:uid="{00000000-0005-0000-0000-0000070E0000}"/>
    <cellStyle name="Calculation 220" xfId="3726" xr:uid="{00000000-0005-0000-0000-0000080E0000}"/>
    <cellStyle name="Calculation 221" xfId="3727" xr:uid="{00000000-0005-0000-0000-0000090E0000}"/>
    <cellStyle name="Calculation 222" xfId="3728" xr:uid="{00000000-0005-0000-0000-00000A0E0000}"/>
    <cellStyle name="Calculation 223" xfId="3729" xr:uid="{00000000-0005-0000-0000-00000B0E0000}"/>
    <cellStyle name="Calculation 224" xfId="3730" xr:uid="{00000000-0005-0000-0000-00000C0E0000}"/>
    <cellStyle name="Calculation 225" xfId="3731" xr:uid="{00000000-0005-0000-0000-00000D0E0000}"/>
    <cellStyle name="Calculation 226" xfId="3732" xr:uid="{00000000-0005-0000-0000-00000E0E0000}"/>
    <cellStyle name="Calculation 227" xfId="3733" xr:uid="{00000000-0005-0000-0000-00000F0E0000}"/>
    <cellStyle name="Calculation 228" xfId="3734" xr:uid="{00000000-0005-0000-0000-0000100E0000}"/>
    <cellStyle name="Calculation 229" xfId="3735" xr:uid="{00000000-0005-0000-0000-0000110E0000}"/>
    <cellStyle name="Calculation 23" xfId="3736" xr:uid="{00000000-0005-0000-0000-0000120E0000}"/>
    <cellStyle name="Calculation 230" xfId="3737" xr:uid="{00000000-0005-0000-0000-0000130E0000}"/>
    <cellStyle name="Calculation 231" xfId="3738" xr:uid="{00000000-0005-0000-0000-0000140E0000}"/>
    <cellStyle name="Calculation 232" xfId="3739" xr:uid="{00000000-0005-0000-0000-0000150E0000}"/>
    <cellStyle name="Calculation 233" xfId="3740" xr:uid="{00000000-0005-0000-0000-0000160E0000}"/>
    <cellStyle name="Calculation 234" xfId="3741" xr:uid="{00000000-0005-0000-0000-0000170E0000}"/>
    <cellStyle name="Calculation 235" xfId="3742" xr:uid="{00000000-0005-0000-0000-0000180E0000}"/>
    <cellStyle name="Calculation 236" xfId="3743" xr:uid="{00000000-0005-0000-0000-0000190E0000}"/>
    <cellStyle name="Calculation 237" xfId="3744" xr:uid="{00000000-0005-0000-0000-00001A0E0000}"/>
    <cellStyle name="Calculation 238" xfId="3745" xr:uid="{00000000-0005-0000-0000-00001B0E0000}"/>
    <cellStyle name="Calculation 239" xfId="3746" xr:uid="{00000000-0005-0000-0000-00001C0E0000}"/>
    <cellStyle name="Calculation 24" xfId="3747" xr:uid="{00000000-0005-0000-0000-00001D0E0000}"/>
    <cellStyle name="Calculation 240" xfId="3748" xr:uid="{00000000-0005-0000-0000-00001E0E0000}"/>
    <cellStyle name="Calculation 241" xfId="3749" xr:uid="{00000000-0005-0000-0000-00001F0E0000}"/>
    <cellStyle name="Calculation 242" xfId="3750" xr:uid="{00000000-0005-0000-0000-0000200E0000}"/>
    <cellStyle name="Calculation 243" xfId="3751" xr:uid="{00000000-0005-0000-0000-0000210E0000}"/>
    <cellStyle name="Calculation 244" xfId="3752" xr:uid="{00000000-0005-0000-0000-0000220E0000}"/>
    <cellStyle name="Calculation 245" xfId="3753" xr:uid="{00000000-0005-0000-0000-0000230E0000}"/>
    <cellStyle name="Calculation 246" xfId="3754" xr:uid="{00000000-0005-0000-0000-0000240E0000}"/>
    <cellStyle name="Calculation 247" xfId="3755" xr:uid="{00000000-0005-0000-0000-0000250E0000}"/>
    <cellStyle name="Calculation 248" xfId="3756" xr:uid="{00000000-0005-0000-0000-0000260E0000}"/>
    <cellStyle name="Calculation 249" xfId="3757" xr:uid="{00000000-0005-0000-0000-0000270E0000}"/>
    <cellStyle name="Calculation 25" xfId="3758" xr:uid="{00000000-0005-0000-0000-0000280E0000}"/>
    <cellStyle name="Calculation 250" xfId="3759" xr:uid="{00000000-0005-0000-0000-0000290E0000}"/>
    <cellStyle name="Calculation 251" xfId="3760" xr:uid="{00000000-0005-0000-0000-00002A0E0000}"/>
    <cellStyle name="Calculation 252" xfId="3761" xr:uid="{00000000-0005-0000-0000-00002B0E0000}"/>
    <cellStyle name="Calculation 253" xfId="3762" xr:uid="{00000000-0005-0000-0000-00002C0E0000}"/>
    <cellStyle name="Calculation 254" xfId="3763" xr:uid="{00000000-0005-0000-0000-00002D0E0000}"/>
    <cellStyle name="Calculation 255" xfId="3764" xr:uid="{00000000-0005-0000-0000-00002E0E0000}"/>
    <cellStyle name="Calculation 256" xfId="3765" xr:uid="{00000000-0005-0000-0000-00002F0E0000}"/>
    <cellStyle name="Calculation 257" xfId="3766" xr:uid="{00000000-0005-0000-0000-0000300E0000}"/>
    <cellStyle name="Calculation 258" xfId="3767" xr:uid="{00000000-0005-0000-0000-0000310E0000}"/>
    <cellStyle name="Calculation 259" xfId="3768" xr:uid="{00000000-0005-0000-0000-0000320E0000}"/>
    <cellStyle name="Calculation 26" xfId="3769" xr:uid="{00000000-0005-0000-0000-0000330E0000}"/>
    <cellStyle name="Calculation 260" xfId="3770" xr:uid="{00000000-0005-0000-0000-0000340E0000}"/>
    <cellStyle name="Calculation 261" xfId="3771" xr:uid="{00000000-0005-0000-0000-0000350E0000}"/>
    <cellStyle name="Calculation 262" xfId="3772" xr:uid="{00000000-0005-0000-0000-0000360E0000}"/>
    <cellStyle name="Calculation 263" xfId="3773" xr:uid="{00000000-0005-0000-0000-0000370E0000}"/>
    <cellStyle name="Calculation 264" xfId="3774" xr:uid="{00000000-0005-0000-0000-0000380E0000}"/>
    <cellStyle name="Calculation 265" xfId="3775" xr:uid="{00000000-0005-0000-0000-0000390E0000}"/>
    <cellStyle name="Calculation 266" xfId="3776" xr:uid="{00000000-0005-0000-0000-00003A0E0000}"/>
    <cellStyle name="Calculation 267" xfId="3777" xr:uid="{00000000-0005-0000-0000-00003B0E0000}"/>
    <cellStyle name="Calculation 268" xfId="3778" xr:uid="{00000000-0005-0000-0000-00003C0E0000}"/>
    <cellStyle name="Calculation 269" xfId="3779" xr:uid="{00000000-0005-0000-0000-00003D0E0000}"/>
    <cellStyle name="Calculation 27" xfId="3780" xr:uid="{00000000-0005-0000-0000-00003E0E0000}"/>
    <cellStyle name="Calculation 270" xfId="3781" xr:uid="{00000000-0005-0000-0000-00003F0E0000}"/>
    <cellStyle name="Calculation 271" xfId="3782" xr:uid="{00000000-0005-0000-0000-0000400E0000}"/>
    <cellStyle name="Calculation 272" xfId="3783" xr:uid="{00000000-0005-0000-0000-0000410E0000}"/>
    <cellStyle name="Calculation 273" xfId="3784" xr:uid="{00000000-0005-0000-0000-0000420E0000}"/>
    <cellStyle name="Calculation 274" xfId="3785" xr:uid="{00000000-0005-0000-0000-0000430E0000}"/>
    <cellStyle name="Calculation 275" xfId="3786" xr:uid="{00000000-0005-0000-0000-0000440E0000}"/>
    <cellStyle name="Calculation 276" xfId="3787" xr:uid="{00000000-0005-0000-0000-0000450E0000}"/>
    <cellStyle name="Calculation 277" xfId="3788" xr:uid="{00000000-0005-0000-0000-0000460E0000}"/>
    <cellStyle name="Calculation 278" xfId="3789" xr:uid="{00000000-0005-0000-0000-0000470E0000}"/>
    <cellStyle name="Calculation 279" xfId="3790" xr:uid="{00000000-0005-0000-0000-0000480E0000}"/>
    <cellStyle name="Calculation 28" xfId="3791" xr:uid="{00000000-0005-0000-0000-0000490E0000}"/>
    <cellStyle name="Calculation 280" xfId="3792" xr:uid="{00000000-0005-0000-0000-00004A0E0000}"/>
    <cellStyle name="Calculation 281" xfId="3793" xr:uid="{00000000-0005-0000-0000-00004B0E0000}"/>
    <cellStyle name="Calculation 282" xfId="3794" xr:uid="{00000000-0005-0000-0000-00004C0E0000}"/>
    <cellStyle name="Calculation 283" xfId="3795" xr:uid="{00000000-0005-0000-0000-00004D0E0000}"/>
    <cellStyle name="Calculation 284" xfId="3796" xr:uid="{00000000-0005-0000-0000-00004E0E0000}"/>
    <cellStyle name="Calculation 285" xfId="3797" xr:uid="{00000000-0005-0000-0000-00004F0E0000}"/>
    <cellStyle name="Calculation 286" xfId="3798" xr:uid="{00000000-0005-0000-0000-0000500E0000}"/>
    <cellStyle name="Calculation 287" xfId="3799" xr:uid="{00000000-0005-0000-0000-0000510E0000}"/>
    <cellStyle name="Calculation 288" xfId="3800" xr:uid="{00000000-0005-0000-0000-0000520E0000}"/>
    <cellStyle name="Calculation 289" xfId="3801" xr:uid="{00000000-0005-0000-0000-0000530E0000}"/>
    <cellStyle name="Calculation 29" xfId="3802" xr:uid="{00000000-0005-0000-0000-0000540E0000}"/>
    <cellStyle name="Calculation 290" xfId="3803" xr:uid="{00000000-0005-0000-0000-0000550E0000}"/>
    <cellStyle name="Calculation 291" xfId="3804" xr:uid="{00000000-0005-0000-0000-0000560E0000}"/>
    <cellStyle name="Calculation 292" xfId="3805" xr:uid="{00000000-0005-0000-0000-0000570E0000}"/>
    <cellStyle name="Calculation 293" xfId="3806" xr:uid="{00000000-0005-0000-0000-0000580E0000}"/>
    <cellStyle name="Calculation 294" xfId="3807" xr:uid="{00000000-0005-0000-0000-0000590E0000}"/>
    <cellStyle name="Calculation 295" xfId="3808" xr:uid="{00000000-0005-0000-0000-00005A0E0000}"/>
    <cellStyle name="Calculation 296" xfId="3809" xr:uid="{00000000-0005-0000-0000-00005B0E0000}"/>
    <cellStyle name="Calculation 297" xfId="3810" xr:uid="{00000000-0005-0000-0000-00005C0E0000}"/>
    <cellStyle name="Calculation 298" xfId="3811" xr:uid="{00000000-0005-0000-0000-00005D0E0000}"/>
    <cellStyle name="Calculation 299" xfId="3812" xr:uid="{00000000-0005-0000-0000-00005E0E0000}"/>
    <cellStyle name="Calculation 3" xfId="3813" xr:uid="{00000000-0005-0000-0000-00005F0E0000}"/>
    <cellStyle name="Calculation 30" xfId="3814" xr:uid="{00000000-0005-0000-0000-0000600E0000}"/>
    <cellStyle name="Calculation 300" xfId="3815" xr:uid="{00000000-0005-0000-0000-0000610E0000}"/>
    <cellStyle name="Calculation 301" xfId="3816" xr:uid="{00000000-0005-0000-0000-0000620E0000}"/>
    <cellStyle name="Calculation 302" xfId="3817" xr:uid="{00000000-0005-0000-0000-0000630E0000}"/>
    <cellStyle name="Calculation 303" xfId="3818" xr:uid="{00000000-0005-0000-0000-0000640E0000}"/>
    <cellStyle name="Calculation 304" xfId="3819" xr:uid="{00000000-0005-0000-0000-0000650E0000}"/>
    <cellStyle name="Calculation 305" xfId="3820" xr:uid="{00000000-0005-0000-0000-0000660E0000}"/>
    <cellStyle name="Calculation 306" xfId="3821" xr:uid="{00000000-0005-0000-0000-0000670E0000}"/>
    <cellStyle name="Calculation 307" xfId="3822" xr:uid="{00000000-0005-0000-0000-0000680E0000}"/>
    <cellStyle name="Calculation 308" xfId="3823" xr:uid="{00000000-0005-0000-0000-0000690E0000}"/>
    <cellStyle name="Calculation 309" xfId="3824" xr:uid="{00000000-0005-0000-0000-00006A0E0000}"/>
    <cellStyle name="Calculation 31" xfId="3825" xr:uid="{00000000-0005-0000-0000-00006B0E0000}"/>
    <cellStyle name="Calculation 310" xfId="3826" xr:uid="{00000000-0005-0000-0000-00006C0E0000}"/>
    <cellStyle name="Calculation 311" xfId="3827" xr:uid="{00000000-0005-0000-0000-00006D0E0000}"/>
    <cellStyle name="Calculation 312" xfId="3828" xr:uid="{00000000-0005-0000-0000-00006E0E0000}"/>
    <cellStyle name="Calculation 313" xfId="3829" xr:uid="{00000000-0005-0000-0000-00006F0E0000}"/>
    <cellStyle name="Calculation 314" xfId="3830" xr:uid="{00000000-0005-0000-0000-0000700E0000}"/>
    <cellStyle name="Calculation 315" xfId="3831" xr:uid="{00000000-0005-0000-0000-0000710E0000}"/>
    <cellStyle name="Calculation 316" xfId="3832" xr:uid="{00000000-0005-0000-0000-0000720E0000}"/>
    <cellStyle name="Calculation 317" xfId="3833" xr:uid="{00000000-0005-0000-0000-0000730E0000}"/>
    <cellStyle name="Calculation 318" xfId="3834" xr:uid="{00000000-0005-0000-0000-0000740E0000}"/>
    <cellStyle name="Calculation 319" xfId="3835" xr:uid="{00000000-0005-0000-0000-0000750E0000}"/>
    <cellStyle name="Calculation 32" xfId="3836" xr:uid="{00000000-0005-0000-0000-0000760E0000}"/>
    <cellStyle name="Calculation 320" xfId="3837" xr:uid="{00000000-0005-0000-0000-0000770E0000}"/>
    <cellStyle name="Calculation 321" xfId="3838" xr:uid="{00000000-0005-0000-0000-0000780E0000}"/>
    <cellStyle name="Calculation 322" xfId="3839" xr:uid="{00000000-0005-0000-0000-0000790E0000}"/>
    <cellStyle name="Calculation 323" xfId="3840" xr:uid="{00000000-0005-0000-0000-00007A0E0000}"/>
    <cellStyle name="Calculation 324" xfId="3841" xr:uid="{00000000-0005-0000-0000-00007B0E0000}"/>
    <cellStyle name="Calculation 325" xfId="3842" xr:uid="{00000000-0005-0000-0000-00007C0E0000}"/>
    <cellStyle name="Calculation 326" xfId="3843" xr:uid="{00000000-0005-0000-0000-00007D0E0000}"/>
    <cellStyle name="Calculation 327" xfId="3844" xr:uid="{00000000-0005-0000-0000-00007E0E0000}"/>
    <cellStyle name="Calculation 328" xfId="3845" xr:uid="{00000000-0005-0000-0000-00007F0E0000}"/>
    <cellStyle name="Calculation 329" xfId="3846" xr:uid="{00000000-0005-0000-0000-0000800E0000}"/>
    <cellStyle name="Calculation 33" xfId="3847" xr:uid="{00000000-0005-0000-0000-0000810E0000}"/>
    <cellStyle name="Calculation 330" xfId="3848" xr:uid="{00000000-0005-0000-0000-0000820E0000}"/>
    <cellStyle name="Calculation 331" xfId="3849" xr:uid="{00000000-0005-0000-0000-0000830E0000}"/>
    <cellStyle name="Calculation 332" xfId="3850" xr:uid="{00000000-0005-0000-0000-0000840E0000}"/>
    <cellStyle name="Calculation 333" xfId="3851" xr:uid="{00000000-0005-0000-0000-0000850E0000}"/>
    <cellStyle name="Calculation 334" xfId="3852" xr:uid="{00000000-0005-0000-0000-0000860E0000}"/>
    <cellStyle name="Calculation 335" xfId="3853" xr:uid="{00000000-0005-0000-0000-0000870E0000}"/>
    <cellStyle name="Calculation 336" xfId="3854" xr:uid="{00000000-0005-0000-0000-0000880E0000}"/>
    <cellStyle name="Calculation 337" xfId="3855" xr:uid="{00000000-0005-0000-0000-0000890E0000}"/>
    <cellStyle name="Calculation 338" xfId="3856" xr:uid="{00000000-0005-0000-0000-00008A0E0000}"/>
    <cellStyle name="Calculation 339" xfId="3857" xr:uid="{00000000-0005-0000-0000-00008B0E0000}"/>
    <cellStyle name="Calculation 34" xfId="3858" xr:uid="{00000000-0005-0000-0000-00008C0E0000}"/>
    <cellStyle name="Calculation 340" xfId="3859" xr:uid="{00000000-0005-0000-0000-00008D0E0000}"/>
    <cellStyle name="Calculation 341" xfId="3860" xr:uid="{00000000-0005-0000-0000-00008E0E0000}"/>
    <cellStyle name="Calculation 342" xfId="3861" xr:uid="{00000000-0005-0000-0000-00008F0E0000}"/>
    <cellStyle name="Calculation 343" xfId="3862" xr:uid="{00000000-0005-0000-0000-0000900E0000}"/>
    <cellStyle name="Calculation 344" xfId="3863" xr:uid="{00000000-0005-0000-0000-0000910E0000}"/>
    <cellStyle name="Calculation 345" xfId="3864" xr:uid="{00000000-0005-0000-0000-0000920E0000}"/>
    <cellStyle name="Calculation 346" xfId="3865" xr:uid="{00000000-0005-0000-0000-0000930E0000}"/>
    <cellStyle name="Calculation 347" xfId="3866" xr:uid="{00000000-0005-0000-0000-0000940E0000}"/>
    <cellStyle name="Calculation 348" xfId="3867" xr:uid="{00000000-0005-0000-0000-0000950E0000}"/>
    <cellStyle name="Calculation 349" xfId="3868" xr:uid="{00000000-0005-0000-0000-0000960E0000}"/>
    <cellStyle name="Calculation 35" xfId="3869" xr:uid="{00000000-0005-0000-0000-0000970E0000}"/>
    <cellStyle name="Calculation 350" xfId="3870" xr:uid="{00000000-0005-0000-0000-0000980E0000}"/>
    <cellStyle name="Calculation 351" xfId="3871" xr:uid="{00000000-0005-0000-0000-0000990E0000}"/>
    <cellStyle name="Calculation 352" xfId="3872" xr:uid="{00000000-0005-0000-0000-00009A0E0000}"/>
    <cellStyle name="Calculation 353" xfId="3873" xr:uid="{00000000-0005-0000-0000-00009B0E0000}"/>
    <cellStyle name="Calculation 354" xfId="3874" xr:uid="{00000000-0005-0000-0000-00009C0E0000}"/>
    <cellStyle name="Calculation 355" xfId="3875" xr:uid="{00000000-0005-0000-0000-00009D0E0000}"/>
    <cellStyle name="Calculation 356" xfId="3876" xr:uid="{00000000-0005-0000-0000-00009E0E0000}"/>
    <cellStyle name="Calculation 357" xfId="3877" xr:uid="{00000000-0005-0000-0000-00009F0E0000}"/>
    <cellStyle name="Calculation 358" xfId="3878" xr:uid="{00000000-0005-0000-0000-0000A00E0000}"/>
    <cellStyle name="Calculation 359" xfId="3879" xr:uid="{00000000-0005-0000-0000-0000A10E0000}"/>
    <cellStyle name="Calculation 36" xfId="3880" xr:uid="{00000000-0005-0000-0000-0000A20E0000}"/>
    <cellStyle name="Calculation 360" xfId="3881" xr:uid="{00000000-0005-0000-0000-0000A30E0000}"/>
    <cellStyle name="Calculation 361" xfId="3882" xr:uid="{00000000-0005-0000-0000-0000A40E0000}"/>
    <cellStyle name="Calculation 362" xfId="3883" xr:uid="{00000000-0005-0000-0000-0000A50E0000}"/>
    <cellStyle name="Calculation 363" xfId="3884" xr:uid="{00000000-0005-0000-0000-0000A60E0000}"/>
    <cellStyle name="Calculation 364" xfId="3885" xr:uid="{00000000-0005-0000-0000-0000A70E0000}"/>
    <cellStyle name="Calculation 365" xfId="3886" xr:uid="{00000000-0005-0000-0000-0000A80E0000}"/>
    <cellStyle name="Calculation 366" xfId="3887" xr:uid="{00000000-0005-0000-0000-0000A90E0000}"/>
    <cellStyle name="Calculation 367" xfId="3888" xr:uid="{00000000-0005-0000-0000-0000AA0E0000}"/>
    <cellStyle name="Calculation 368" xfId="3889" xr:uid="{00000000-0005-0000-0000-0000AB0E0000}"/>
    <cellStyle name="Calculation 369" xfId="3890" xr:uid="{00000000-0005-0000-0000-0000AC0E0000}"/>
    <cellStyle name="Calculation 37" xfId="3891" xr:uid="{00000000-0005-0000-0000-0000AD0E0000}"/>
    <cellStyle name="Calculation 370" xfId="3892" xr:uid="{00000000-0005-0000-0000-0000AE0E0000}"/>
    <cellStyle name="Calculation 371" xfId="3893" xr:uid="{00000000-0005-0000-0000-0000AF0E0000}"/>
    <cellStyle name="Calculation 372" xfId="3894" xr:uid="{00000000-0005-0000-0000-0000B00E0000}"/>
    <cellStyle name="Calculation 373" xfId="3895" xr:uid="{00000000-0005-0000-0000-0000B10E0000}"/>
    <cellStyle name="Calculation 374" xfId="3896" xr:uid="{00000000-0005-0000-0000-0000B20E0000}"/>
    <cellStyle name="Calculation 375" xfId="3897" xr:uid="{00000000-0005-0000-0000-0000B30E0000}"/>
    <cellStyle name="Calculation 376" xfId="3898" xr:uid="{00000000-0005-0000-0000-0000B40E0000}"/>
    <cellStyle name="Calculation 377" xfId="3899" xr:uid="{00000000-0005-0000-0000-0000B50E0000}"/>
    <cellStyle name="Calculation 378" xfId="3900" xr:uid="{00000000-0005-0000-0000-0000B60E0000}"/>
    <cellStyle name="Calculation 379" xfId="3901" xr:uid="{00000000-0005-0000-0000-0000B70E0000}"/>
    <cellStyle name="Calculation 38" xfId="3902" xr:uid="{00000000-0005-0000-0000-0000B80E0000}"/>
    <cellStyle name="Calculation 380" xfId="3903" xr:uid="{00000000-0005-0000-0000-0000B90E0000}"/>
    <cellStyle name="Calculation 381" xfId="3904" xr:uid="{00000000-0005-0000-0000-0000BA0E0000}"/>
    <cellStyle name="Calculation 382" xfId="3905" xr:uid="{00000000-0005-0000-0000-0000BB0E0000}"/>
    <cellStyle name="Calculation 383" xfId="3906" xr:uid="{00000000-0005-0000-0000-0000BC0E0000}"/>
    <cellStyle name="Calculation 384" xfId="3907" xr:uid="{00000000-0005-0000-0000-0000BD0E0000}"/>
    <cellStyle name="Calculation 385" xfId="3908" xr:uid="{00000000-0005-0000-0000-0000BE0E0000}"/>
    <cellStyle name="Calculation 386" xfId="3909" xr:uid="{00000000-0005-0000-0000-0000BF0E0000}"/>
    <cellStyle name="Calculation 387" xfId="3910" xr:uid="{00000000-0005-0000-0000-0000C00E0000}"/>
    <cellStyle name="Calculation 388" xfId="3911" xr:uid="{00000000-0005-0000-0000-0000C10E0000}"/>
    <cellStyle name="Calculation 389" xfId="3912" xr:uid="{00000000-0005-0000-0000-0000C20E0000}"/>
    <cellStyle name="Calculation 39" xfId="3913" xr:uid="{00000000-0005-0000-0000-0000C30E0000}"/>
    <cellStyle name="Calculation 390" xfId="3914" xr:uid="{00000000-0005-0000-0000-0000C40E0000}"/>
    <cellStyle name="Calculation 391" xfId="3915" xr:uid="{00000000-0005-0000-0000-0000C50E0000}"/>
    <cellStyle name="Calculation 392" xfId="3916" xr:uid="{00000000-0005-0000-0000-0000C60E0000}"/>
    <cellStyle name="Calculation 393" xfId="3917" xr:uid="{00000000-0005-0000-0000-0000C70E0000}"/>
    <cellStyle name="Calculation 394" xfId="3918" xr:uid="{00000000-0005-0000-0000-0000C80E0000}"/>
    <cellStyle name="Calculation 395" xfId="3919" xr:uid="{00000000-0005-0000-0000-0000C90E0000}"/>
    <cellStyle name="Calculation 396" xfId="3920" xr:uid="{00000000-0005-0000-0000-0000CA0E0000}"/>
    <cellStyle name="Calculation 397" xfId="3921" xr:uid="{00000000-0005-0000-0000-0000CB0E0000}"/>
    <cellStyle name="Calculation 398" xfId="3922" xr:uid="{00000000-0005-0000-0000-0000CC0E0000}"/>
    <cellStyle name="Calculation 399" xfId="3923" xr:uid="{00000000-0005-0000-0000-0000CD0E0000}"/>
    <cellStyle name="Calculation 4" xfId="3924" xr:uid="{00000000-0005-0000-0000-0000CE0E0000}"/>
    <cellStyle name="Calculation 40" xfId="3925" xr:uid="{00000000-0005-0000-0000-0000CF0E0000}"/>
    <cellStyle name="Calculation 400" xfId="3926" xr:uid="{00000000-0005-0000-0000-0000D00E0000}"/>
    <cellStyle name="Calculation 401" xfId="3927" xr:uid="{00000000-0005-0000-0000-0000D10E0000}"/>
    <cellStyle name="Calculation 402" xfId="3928" xr:uid="{00000000-0005-0000-0000-0000D20E0000}"/>
    <cellStyle name="Calculation 403" xfId="3929" xr:uid="{00000000-0005-0000-0000-0000D30E0000}"/>
    <cellStyle name="Calculation 404" xfId="3930" xr:uid="{00000000-0005-0000-0000-0000D40E0000}"/>
    <cellStyle name="Calculation 405" xfId="3931" xr:uid="{00000000-0005-0000-0000-0000D50E0000}"/>
    <cellStyle name="Calculation 406" xfId="3932" xr:uid="{00000000-0005-0000-0000-0000D60E0000}"/>
    <cellStyle name="Calculation 407" xfId="3933" xr:uid="{00000000-0005-0000-0000-0000D70E0000}"/>
    <cellStyle name="Calculation 408" xfId="3934" xr:uid="{00000000-0005-0000-0000-0000D80E0000}"/>
    <cellStyle name="Calculation 409" xfId="3935" xr:uid="{00000000-0005-0000-0000-0000D90E0000}"/>
    <cellStyle name="Calculation 41" xfId="3936" xr:uid="{00000000-0005-0000-0000-0000DA0E0000}"/>
    <cellStyle name="Calculation 410" xfId="3937" xr:uid="{00000000-0005-0000-0000-0000DB0E0000}"/>
    <cellStyle name="Calculation 411" xfId="3938" xr:uid="{00000000-0005-0000-0000-0000DC0E0000}"/>
    <cellStyle name="Calculation 412" xfId="3939" xr:uid="{00000000-0005-0000-0000-0000DD0E0000}"/>
    <cellStyle name="Calculation 413" xfId="3940" xr:uid="{00000000-0005-0000-0000-0000DE0E0000}"/>
    <cellStyle name="Calculation 414" xfId="3941" xr:uid="{00000000-0005-0000-0000-0000DF0E0000}"/>
    <cellStyle name="Calculation 415" xfId="3942" xr:uid="{00000000-0005-0000-0000-0000E00E0000}"/>
    <cellStyle name="Calculation 416" xfId="3943" xr:uid="{00000000-0005-0000-0000-0000E10E0000}"/>
    <cellStyle name="Calculation 417" xfId="3944" xr:uid="{00000000-0005-0000-0000-0000E20E0000}"/>
    <cellStyle name="Calculation 418" xfId="3945" xr:uid="{00000000-0005-0000-0000-0000E30E0000}"/>
    <cellStyle name="Calculation 419" xfId="3946" xr:uid="{00000000-0005-0000-0000-0000E40E0000}"/>
    <cellStyle name="Calculation 42" xfId="3947" xr:uid="{00000000-0005-0000-0000-0000E50E0000}"/>
    <cellStyle name="Calculation 420" xfId="3948" xr:uid="{00000000-0005-0000-0000-0000E60E0000}"/>
    <cellStyle name="Calculation 421" xfId="3949" xr:uid="{00000000-0005-0000-0000-0000E70E0000}"/>
    <cellStyle name="Calculation 422" xfId="3950" xr:uid="{00000000-0005-0000-0000-0000E80E0000}"/>
    <cellStyle name="Calculation 423" xfId="3951" xr:uid="{00000000-0005-0000-0000-0000E90E0000}"/>
    <cellStyle name="Calculation 424" xfId="3952" xr:uid="{00000000-0005-0000-0000-0000EA0E0000}"/>
    <cellStyle name="Calculation 425" xfId="3953" xr:uid="{00000000-0005-0000-0000-0000EB0E0000}"/>
    <cellStyle name="Calculation 426" xfId="3954" xr:uid="{00000000-0005-0000-0000-0000EC0E0000}"/>
    <cellStyle name="Calculation 427" xfId="3955" xr:uid="{00000000-0005-0000-0000-0000ED0E0000}"/>
    <cellStyle name="Calculation 428" xfId="3956" xr:uid="{00000000-0005-0000-0000-0000EE0E0000}"/>
    <cellStyle name="Calculation 429" xfId="3957" xr:uid="{00000000-0005-0000-0000-0000EF0E0000}"/>
    <cellStyle name="Calculation 43" xfId="3958" xr:uid="{00000000-0005-0000-0000-0000F00E0000}"/>
    <cellStyle name="Calculation 430" xfId="3959" xr:uid="{00000000-0005-0000-0000-0000F10E0000}"/>
    <cellStyle name="Calculation 431" xfId="3960" xr:uid="{00000000-0005-0000-0000-0000F20E0000}"/>
    <cellStyle name="Calculation 432" xfId="3961" xr:uid="{00000000-0005-0000-0000-0000F30E0000}"/>
    <cellStyle name="Calculation 433" xfId="3962" xr:uid="{00000000-0005-0000-0000-0000F40E0000}"/>
    <cellStyle name="Calculation 434" xfId="3963" xr:uid="{00000000-0005-0000-0000-0000F50E0000}"/>
    <cellStyle name="Calculation 435" xfId="3964" xr:uid="{00000000-0005-0000-0000-0000F60E0000}"/>
    <cellStyle name="Calculation 436" xfId="3965" xr:uid="{00000000-0005-0000-0000-0000F70E0000}"/>
    <cellStyle name="Calculation 437" xfId="3966" xr:uid="{00000000-0005-0000-0000-0000F80E0000}"/>
    <cellStyle name="Calculation 438" xfId="3967" xr:uid="{00000000-0005-0000-0000-0000F90E0000}"/>
    <cellStyle name="Calculation 439" xfId="3968" xr:uid="{00000000-0005-0000-0000-0000FA0E0000}"/>
    <cellStyle name="Calculation 44" xfId="3969" xr:uid="{00000000-0005-0000-0000-0000FB0E0000}"/>
    <cellStyle name="Calculation 440" xfId="3970" xr:uid="{00000000-0005-0000-0000-0000FC0E0000}"/>
    <cellStyle name="Calculation 441" xfId="3971" xr:uid="{00000000-0005-0000-0000-0000FD0E0000}"/>
    <cellStyle name="Calculation 442" xfId="3972" xr:uid="{00000000-0005-0000-0000-0000FE0E0000}"/>
    <cellStyle name="Calculation 443" xfId="3973" xr:uid="{00000000-0005-0000-0000-0000FF0E0000}"/>
    <cellStyle name="Calculation 444" xfId="3974" xr:uid="{00000000-0005-0000-0000-0000000F0000}"/>
    <cellStyle name="Calculation 445" xfId="3975" xr:uid="{00000000-0005-0000-0000-0000010F0000}"/>
    <cellStyle name="Calculation 446" xfId="3976" xr:uid="{00000000-0005-0000-0000-0000020F0000}"/>
    <cellStyle name="Calculation 447" xfId="3977" xr:uid="{00000000-0005-0000-0000-0000030F0000}"/>
    <cellStyle name="Calculation 448" xfId="3978" xr:uid="{00000000-0005-0000-0000-0000040F0000}"/>
    <cellStyle name="Calculation 449" xfId="3979" xr:uid="{00000000-0005-0000-0000-0000050F0000}"/>
    <cellStyle name="Calculation 45" xfId="3980" xr:uid="{00000000-0005-0000-0000-0000060F0000}"/>
    <cellStyle name="Calculation 450" xfId="3981" xr:uid="{00000000-0005-0000-0000-0000070F0000}"/>
    <cellStyle name="Calculation 451" xfId="3982" xr:uid="{00000000-0005-0000-0000-0000080F0000}"/>
    <cellStyle name="Calculation 452" xfId="3983" xr:uid="{00000000-0005-0000-0000-0000090F0000}"/>
    <cellStyle name="Calculation 453" xfId="3984" xr:uid="{00000000-0005-0000-0000-00000A0F0000}"/>
    <cellStyle name="Calculation 454" xfId="3985" xr:uid="{00000000-0005-0000-0000-00000B0F0000}"/>
    <cellStyle name="Calculation 455" xfId="3986" xr:uid="{00000000-0005-0000-0000-00000C0F0000}"/>
    <cellStyle name="Calculation 456" xfId="3987" xr:uid="{00000000-0005-0000-0000-00000D0F0000}"/>
    <cellStyle name="Calculation 457" xfId="3988" xr:uid="{00000000-0005-0000-0000-00000E0F0000}"/>
    <cellStyle name="Calculation 458" xfId="3989" xr:uid="{00000000-0005-0000-0000-00000F0F0000}"/>
    <cellStyle name="Calculation 459" xfId="3990" xr:uid="{00000000-0005-0000-0000-0000100F0000}"/>
    <cellStyle name="Calculation 46" xfId="3991" xr:uid="{00000000-0005-0000-0000-0000110F0000}"/>
    <cellStyle name="Calculation 460" xfId="3992" xr:uid="{00000000-0005-0000-0000-0000120F0000}"/>
    <cellStyle name="Calculation 461" xfId="3993" xr:uid="{00000000-0005-0000-0000-0000130F0000}"/>
    <cellStyle name="Calculation 462" xfId="3994" xr:uid="{00000000-0005-0000-0000-0000140F0000}"/>
    <cellStyle name="Calculation 463" xfId="3995" xr:uid="{00000000-0005-0000-0000-0000150F0000}"/>
    <cellStyle name="Calculation 464" xfId="3996" xr:uid="{00000000-0005-0000-0000-0000160F0000}"/>
    <cellStyle name="Calculation 465" xfId="3997" xr:uid="{00000000-0005-0000-0000-0000170F0000}"/>
    <cellStyle name="Calculation 466" xfId="3998" xr:uid="{00000000-0005-0000-0000-0000180F0000}"/>
    <cellStyle name="Calculation 467" xfId="3999" xr:uid="{00000000-0005-0000-0000-0000190F0000}"/>
    <cellStyle name="Calculation 468" xfId="4000" xr:uid="{00000000-0005-0000-0000-00001A0F0000}"/>
    <cellStyle name="Calculation 469" xfId="4001" xr:uid="{00000000-0005-0000-0000-00001B0F0000}"/>
    <cellStyle name="Calculation 47" xfId="4002" xr:uid="{00000000-0005-0000-0000-00001C0F0000}"/>
    <cellStyle name="Calculation 470" xfId="4003" xr:uid="{00000000-0005-0000-0000-00001D0F0000}"/>
    <cellStyle name="Calculation 471" xfId="4004" xr:uid="{00000000-0005-0000-0000-00001E0F0000}"/>
    <cellStyle name="Calculation 472" xfId="4005" xr:uid="{00000000-0005-0000-0000-00001F0F0000}"/>
    <cellStyle name="Calculation 473" xfId="4006" xr:uid="{00000000-0005-0000-0000-0000200F0000}"/>
    <cellStyle name="Calculation 474" xfId="4007" xr:uid="{00000000-0005-0000-0000-0000210F0000}"/>
    <cellStyle name="Calculation 475" xfId="4008" xr:uid="{00000000-0005-0000-0000-0000220F0000}"/>
    <cellStyle name="Calculation 476" xfId="4009" xr:uid="{00000000-0005-0000-0000-0000230F0000}"/>
    <cellStyle name="Calculation 477" xfId="4010" xr:uid="{00000000-0005-0000-0000-0000240F0000}"/>
    <cellStyle name="Calculation 478" xfId="4011" xr:uid="{00000000-0005-0000-0000-0000250F0000}"/>
    <cellStyle name="Calculation 479" xfId="4012" xr:uid="{00000000-0005-0000-0000-0000260F0000}"/>
    <cellStyle name="Calculation 48" xfId="4013" xr:uid="{00000000-0005-0000-0000-0000270F0000}"/>
    <cellStyle name="Calculation 480" xfId="4014" xr:uid="{00000000-0005-0000-0000-0000280F0000}"/>
    <cellStyle name="Calculation 481" xfId="4015" xr:uid="{00000000-0005-0000-0000-0000290F0000}"/>
    <cellStyle name="Calculation 482" xfId="4016" xr:uid="{00000000-0005-0000-0000-00002A0F0000}"/>
    <cellStyle name="Calculation 483" xfId="4017" xr:uid="{00000000-0005-0000-0000-00002B0F0000}"/>
    <cellStyle name="Calculation 484" xfId="4018" xr:uid="{00000000-0005-0000-0000-00002C0F0000}"/>
    <cellStyle name="Calculation 485" xfId="4019" xr:uid="{00000000-0005-0000-0000-00002D0F0000}"/>
    <cellStyle name="Calculation 486" xfId="4020" xr:uid="{00000000-0005-0000-0000-00002E0F0000}"/>
    <cellStyle name="Calculation 487" xfId="4021" xr:uid="{00000000-0005-0000-0000-00002F0F0000}"/>
    <cellStyle name="Calculation 488" xfId="4022" xr:uid="{00000000-0005-0000-0000-0000300F0000}"/>
    <cellStyle name="Calculation 489" xfId="4023" xr:uid="{00000000-0005-0000-0000-0000310F0000}"/>
    <cellStyle name="Calculation 49" xfId="4024" xr:uid="{00000000-0005-0000-0000-0000320F0000}"/>
    <cellStyle name="Calculation 490" xfId="4025" xr:uid="{00000000-0005-0000-0000-0000330F0000}"/>
    <cellStyle name="Calculation 491" xfId="4026" xr:uid="{00000000-0005-0000-0000-0000340F0000}"/>
    <cellStyle name="Calculation 492" xfId="4027" xr:uid="{00000000-0005-0000-0000-0000350F0000}"/>
    <cellStyle name="Calculation 493" xfId="4028" xr:uid="{00000000-0005-0000-0000-0000360F0000}"/>
    <cellStyle name="Calculation 494" xfId="4029" xr:uid="{00000000-0005-0000-0000-0000370F0000}"/>
    <cellStyle name="Calculation 495" xfId="4030" xr:uid="{00000000-0005-0000-0000-0000380F0000}"/>
    <cellStyle name="Calculation 496" xfId="4031" xr:uid="{00000000-0005-0000-0000-0000390F0000}"/>
    <cellStyle name="Calculation 497" xfId="4032" xr:uid="{00000000-0005-0000-0000-00003A0F0000}"/>
    <cellStyle name="Calculation 498" xfId="4033" xr:uid="{00000000-0005-0000-0000-00003B0F0000}"/>
    <cellStyle name="Calculation 499" xfId="4034" xr:uid="{00000000-0005-0000-0000-00003C0F0000}"/>
    <cellStyle name="Calculation 5" xfId="4035" xr:uid="{00000000-0005-0000-0000-00003D0F0000}"/>
    <cellStyle name="Calculation 50" xfId="4036" xr:uid="{00000000-0005-0000-0000-00003E0F0000}"/>
    <cellStyle name="Calculation 500" xfId="4037" xr:uid="{00000000-0005-0000-0000-00003F0F0000}"/>
    <cellStyle name="Calculation 501" xfId="4038" xr:uid="{00000000-0005-0000-0000-0000400F0000}"/>
    <cellStyle name="Calculation 502" xfId="4039" xr:uid="{00000000-0005-0000-0000-0000410F0000}"/>
    <cellStyle name="Calculation 503" xfId="4040" xr:uid="{00000000-0005-0000-0000-0000420F0000}"/>
    <cellStyle name="Calculation 504" xfId="4041" xr:uid="{00000000-0005-0000-0000-0000430F0000}"/>
    <cellStyle name="Calculation 505" xfId="4042" xr:uid="{00000000-0005-0000-0000-0000440F0000}"/>
    <cellStyle name="Calculation 506" xfId="4043" xr:uid="{00000000-0005-0000-0000-0000450F0000}"/>
    <cellStyle name="Calculation 507" xfId="4044" xr:uid="{00000000-0005-0000-0000-0000460F0000}"/>
    <cellStyle name="Calculation 508" xfId="4045" xr:uid="{00000000-0005-0000-0000-0000470F0000}"/>
    <cellStyle name="Calculation 509" xfId="4046" xr:uid="{00000000-0005-0000-0000-0000480F0000}"/>
    <cellStyle name="Calculation 51" xfId="4047" xr:uid="{00000000-0005-0000-0000-0000490F0000}"/>
    <cellStyle name="Calculation 510" xfId="4048" xr:uid="{00000000-0005-0000-0000-00004A0F0000}"/>
    <cellStyle name="Calculation 511" xfId="4049" xr:uid="{00000000-0005-0000-0000-00004B0F0000}"/>
    <cellStyle name="Calculation 512" xfId="4050" xr:uid="{00000000-0005-0000-0000-00004C0F0000}"/>
    <cellStyle name="Calculation 513" xfId="4051" xr:uid="{00000000-0005-0000-0000-00004D0F0000}"/>
    <cellStyle name="Calculation 514" xfId="4052" xr:uid="{00000000-0005-0000-0000-00004E0F0000}"/>
    <cellStyle name="Calculation 515" xfId="4053" xr:uid="{00000000-0005-0000-0000-00004F0F0000}"/>
    <cellStyle name="Calculation 516" xfId="4054" xr:uid="{00000000-0005-0000-0000-0000500F0000}"/>
    <cellStyle name="Calculation 517" xfId="4055" xr:uid="{00000000-0005-0000-0000-0000510F0000}"/>
    <cellStyle name="Calculation 518" xfId="4056" xr:uid="{00000000-0005-0000-0000-0000520F0000}"/>
    <cellStyle name="Calculation 519" xfId="4057" xr:uid="{00000000-0005-0000-0000-0000530F0000}"/>
    <cellStyle name="Calculation 52" xfId="4058" xr:uid="{00000000-0005-0000-0000-0000540F0000}"/>
    <cellStyle name="Calculation 520" xfId="4059" xr:uid="{00000000-0005-0000-0000-0000550F0000}"/>
    <cellStyle name="Calculation 521" xfId="4060" xr:uid="{00000000-0005-0000-0000-0000560F0000}"/>
    <cellStyle name="Calculation 522" xfId="4061" xr:uid="{00000000-0005-0000-0000-0000570F0000}"/>
    <cellStyle name="Calculation 523" xfId="4062" xr:uid="{00000000-0005-0000-0000-0000580F0000}"/>
    <cellStyle name="Calculation 524" xfId="4063" xr:uid="{00000000-0005-0000-0000-0000590F0000}"/>
    <cellStyle name="Calculation 525" xfId="4064" xr:uid="{00000000-0005-0000-0000-00005A0F0000}"/>
    <cellStyle name="Calculation 526" xfId="4065" xr:uid="{00000000-0005-0000-0000-00005B0F0000}"/>
    <cellStyle name="Calculation 527" xfId="4066" xr:uid="{00000000-0005-0000-0000-00005C0F0000}"/>
    <cellStyle name="Calculation 528" xfId="4067" xr:uid="{00000000-0005-0000-0000-00005D0F0000}"/>
    <cellStyle name="Calculation 529" xfId="4068" xr:uid="{00000000-0005-0000-0000-00005E0F0000}"/>
    <cellStyle name="Calculation 53" xfId="4069" xr:uid="{00000000-0005-0000-0000-00005F0F0000}"/>
    <cellStyle name="Calculation 530" xfId="4070" xr:uid="{00000000-0005-0000-0000-0000600F0000}"/>
    <cellStyle name="Calculation 531" xfId="4071" xr:uid="{00000000-0005-0000-0000-0000610F0000}"/>
    <cellStyle name="Calculation 532" xfId="4072" xr:uid="{00000000-0005-0000-0000-0000620F0000}"/>
    <cellStyle name="Calculation 533" xfId="4073" xr:uid="{00000000-0005-0000-0000-0000630F0000}"/>
    <cellStyle name="Calculation 534" xfId="4074" xr:uid="{00000000-0005-0000-0000-0000640F0000}"/>
    <cellStyle name="Calculation 535" xfId="4075" xr:uid="{00000000-0005-0000-0000-0000650F0000}"/>
    <cellStyle name="Calculation 536" xfId="4076" xr:uid="{00000000-0005-0000-0000-0000660F0000}"/>
    <cellStyle name="Calculation 537" xfId="4077" xr:uid="{00000000-0005-0000-0000-0000670F0000}"/>
    <cellStyle name="Calculation 538" xfId="4078" xr:uid="{00000000-0005-0000-0000-0000680F0000}"/>
    <cellStyle name="Calculation 539" xfId="4079" xr:uid="{00000000-0005-0000-0000-0000690F0000}"/>
    <cellStyle name="Calculation 54" xfId="4080" xr:uid="{00000000-0005-0000-0000-00006A0F0000}"/>
    <cellStyle name="Calculation 540" xfId="4081" xr:uid="{00000000-0005-0000-0000-00006B0F0000}"/>
    <cellStyle name="Calculation 541" xfId="4082" xr:uid="{00000000-0005-0000-0000-00006C0F0000}"/>
    <cellStyle name="Calculation 542" xfId="4083" xr:uid="{00000000-0005-0000-0000-00006D0F0000}"/>
    <cellStyle name="Calculation 543" xfId="4084" xr:uid="{00000000-0005-0000-0000-00006E0F0000}"/>
    <cellStyle name="Calculation 544" xfId="4085" xr:uid="{00000000-0005-0000-0000-00006F0F0000}"/>
    <cellStyle name="Calculation 545" xfId="4086" xr:uid="{00000000-0005-0000-0000-0000700F0000}"/>
    <cellStyle name="Calculation 546" xfId="4087" xr:uid="{00000000-0005-0000-0000-0000710F0000}"/>
    <cellStyle name="Calculation 547" xfId="4088" xr:uid="{00000000-0005-0000-0000-0000720F0000}"/>
    <cellStyle name="Calculation 548" xfId="4089" xr:uid="{00000000-0005-0000-0000-0000730F0000}"/>
    <cellStyle name="Calculation 549" xfId="4090" xr:uid="{00000000-0005-0000-0000-0000740F0000}"/>
    <cellStyle name="Calculation 55" xfId="4091" xr:uid="{00000000-0005-0000-0000-0000750F0000}"/>
    <cellStyle name="Calculation 550" xfId="4092" xr:uid="{00000000-0005-0000-0000-0000760F0000}"/>
    <cellStyle name="Calculation 551" xfId="4093" xr:uid="{00000000-0005-0000-0000-0000770F0000}"/>
    <cellStyle name="Calculation 552" xfId="4094" xr:uid="{00000000-0005-0000-0000-0000780F0000}"/>
    <cellStyle name="Calculation 553" xfId="4095" xr:uid="{00000000-0005-0000-0000-0000790F0000}"/>
    <cellStyle name="Calculation 554" xfId="4096" xr:uid="{00000000-0005-0000-0000-00007A0F0000}"/>
    <cellStyle name="Calculation 555" xfId="4097" xr:uid="{00000000-0005-0000-0000-00007B0F0000}"/>
    <cellStyle name="Calculation 556" xfId="4098" xr:uid="{00000000-0005-0000-0000-00007C0F0000}"/>
    <cellStyle name="Calculation 557" xfId="4099" xr:uid="{00000000-0005-0000-0000-00007D0F0000}"/>
    <cellStyle name="Calculation 558" xfId="4100" xr:uid="{00000000-0005-0000-0000-00007E0F0000}"/>
    <cellStyle name="Calculation 559" xfId="4101" xr:uid="{00000000-0005-0000-0000-00007F0F0000}"/>
    <cellStyle name="Calculation 56" xfId="4102" xr:uid="{00000000-0005-0000-0000-0000800F0000}"/>
    <cellStyle name="Calculation 560" xfId="4103" xr:uid="{00000000-0005-0000-0000-0000810F0000}"/>
    <cellStyle name="Calculation 561" xfId="4104" xr:uid="{00000000-0005-0000-0000-0000820F0000}"/>
    <cellStyle name="Calculation 562" xfId="4105" xr:uid="{00000000-0005-0000-0000-0000830F0000}"/>
    <cellStyle name="Calculation 563" xfId="4106" xr:uid="{00000000-0005-0000-0000-0000840F0000}"/>
    <cellStyle name="Calculation 564" xfId="4107" xr:uid="{00000000-0005-0000-0000-0000850F0000}"/>
    <cellStyle name="Calculation 565" xfId="4108" xr:uid="{00000000-0005-0000-0000-0000860F0000}"/>
    <cellStyle name="Calculation 566" xfId="4109" xr:uid="{00000000-0005-0000-0000-0000870F0000}"/>
    <cellStyle name="Calculation 567" xfId="4110" xr:uid="{00000000-0005-0000-0000-0000880F0000}"/>
    <cellStyle name="Calculation 568" xfId="4111" xr:uid="{00000000-0005-0000-0000-0000890F0000}"/>
    <cellStyle name="Calculation 569" xfId="4112" xr:uid="{00000000-0005-0000-0000-00008A0F0000}"/>
    <cellStyle name="Calculation 57" xfId="4113" xr:uid="{00000000-0005-0000-0000-00008B0F0000}"/>
    <cellStyle name="Calculation 570" xfId="4114" xr:uid="{00000000-0005-0000-0000-00008C0F0000}"/>
    <cellStyle name="Calculation 571" xfId="4115" xr:uid="{00000000-0005-0000-0000-00008D0F0000}"/>
    <cellStyle name="Calculation 572" xfId="4116" xr:uid="{00000000-0005-0000-0000-00008E0F0000}"/>
    <cellStyle name="Calculation 573" xfId="4117" xr:uid="{00000000-0005-0000-0000-00008F0F0000}"/>
    <cellStyle name="Calculation 574" xfId="4118" xr:uid="{00000000-0005-0000-0000-0000900F0000}"/>
    <cellStyle name="Calculation 575" xfId="4119" xr:uid="{00000000-0005-0000-0000-0000910F0000}"/>
    <cellStyle name="Calculation 576" xfId="4120" xr:uid="{00000000-0005-0000-0000-0000920F0000}"/>
    <cellStyle name="Calculation 577" xfId="4121" xr:uid="{00000000-0005-0000-0000-0000930F0000}"/>
    <cellStyle name="Calculation 578" xfId="4122" xr:uid="{00000000-0005-0000-0000-0000940F0000}"/>
    <cellStyle name="Calculation 579" xfId="4123" xr:uid="{00000000-0005-0000-0000-0000950F0000}"/>
    <cellStyle name="Calculation 58" xfId="4124" xr:uid="{00000000-0005-0000-0000-0000960F0000}"/>
    <cellStyle name="Calculation 580" xfId="4125" xr:uid="{00000000-0005-0000-0000-0000970F0000}"/>
    <cellStyle name="Calculation 581" xfId="4126" xr:uid="{00000000-0005-0000-0000-0000980F0000}"/>
    <cellStyle name="Calculation 582" xfId="4127" xr:uid="{00000000-0005-0000-0000-0000990F0000}"/>
    <cellStyle name="Calculation 583" xfId="4128" xr:uid="{00000000-0005-0000-0000-00009A0F0000}"/>
    <cellStyle name="Calculation 584" xfId="4129" xr:uid="{00000000-0005-0000-0000-00009B0F0000}"/>
    <cellStyle name="Calculation 585" xfId="4130" xr:uid="{00000000-0005-0000-0000-00009C0F0000}"/>
    <cellStyle name="Calculation 586" xfId="4131" xr:uid="{00000000-0005-0000-0000-00009D0F0000}"/>
    <cellStyle name="Calculation 587" xfId="4132" xr:uid="{00000000-0005-0000-0000-00009E0F0000}"/>
    <cellStyle name="Calculation 588" xfId="4133" xr:uid="{00000000-0005-0000-0000-00009F0F0000}"/>
    <cellStyle name="Calculation 589" xfId="4134" xr:uid="{00000000-0005-0000-0000-0000A00F0000}"/>
    <cellStyle name="Calculation 59" xfId="4135" xr:uid="{00000000-0005-0000-0000-0000A10F0000}"/>
    <cellStyle name="Calculation 590" xfId="4136" xr:uid="{00000000-0005-0000-0000-0000A20F0000}"/>
    <cellStyle name="Calculation 591" xfId="4137" xr:uid="{00000000-0005-0000-0000-0000A30F0000}"/>
    <cellStyle name="Calculation 592" xfId="4138" xr:uid="{00000000-0005-0000-0000-0000A40F0000}"/>
    <cellStyle name="Calculation 593" xfId="4139" xr:uid="{00000000-0005-0000-0000-0000A50F0000}"/>
    <cellStyle name="Calculation 594" xfId="4140" xr:uid="{00000000-0005-0000-0000-0000A60F0000}"/>
    <cellStyle name="Calculation 595" xfId="4141" xr:uid="{00000000-0005-0000-0000-0000A70F0000}"/>
    <cellStyle name="Calculation 596" xfId="4142" xr:uid="{00000000-0005-0000-0000-0000A80F0000}"/>
    <cellStyle name="Calculation 597" xfId="4143" xr:uid="{00000000-0005-0000-0000-0000A90F0000}"/>
    <cellStyle name="Calculation 598" xfId="4144" xr:uid="{00000000-0005-0000-0000-0000AA0F0000}"/>
    <cellStyle name="Calculation 599" xfId="4145" xr:uid="{00000000-0005-0000-0000-0000AB0F0000}"/>
    <cellStyle name="Calculation 6" xfId="4146" xr:uid="{00000000-0005-0000-0000-0000AC0F0000}"/>
    <cellStyle name="Calculation 60" xfId="4147" xr:uid="{00000000-0005-0000-0000-0000AD0F0000}"/>
    <cellStyle name="Calculation 600" xfId="4148" xr:uid="{00000000-0005-0000-0000-0000AE0F0000}"/>
    <cellStyle name="Calculation 601" xfId="4149" xr:uid="{00000000-0005-0000-0000-0000AF0F0000}"/>
    <cellStyle name="Calculation 602" xfId="4150" xr:uid="{00000000-0005-0000-0000-0000B00F0000}"/>
    <cellStyle name="Calculation 603" xfId="4151" xr:uid="{00000000-0005-0000-0000-0000B10F0000}"/>
    <cellStyle name="Calculation 604" xfId="4152" xr:uid="{00000000-0005-0000-0000-0000B20F0000}"/>
    <cellStyle name="Calculation 605" xfId="4153" xr:uid="{00000000-0005-0000-0000-0000B30F0000}"/>
    <cellStyle name="Calculation 606" xfId="4154" xr:uid="{00000000-0005-0000-0000-0000B40F0000}"/>
    <cellStyle name="Calculation 607" xfId="4155" xr:uid="{00000000-0005-0000-0000-0000B50F0000}"/>
    <cellStyle name="Calculation 608" xfId="4156" xr:uid="{00000000-0005-0000-0000-0000B60F0000}"/>
    <cellStyle name="Calculation 609" xfId="4157" xr:uid="{00000000-0005-0000-0000-0000B70F0000}"/>
    <cellStyle name="Calculation 61" xfId="4158" xr:uid="{00000000-0005-0000-0000-0000B80F0000}"/>
    <cellStyle name="Calculation 610" xfId="4159" xr:uid="{00000000-0005-0000-0000-0000B90F0000}"/>
    <cellStyle name="Calculation 611" xfId="4160" xr:uid="{00000000-0005-0000-0000-0000BA0F0000}"/>
    <cellStyle name="Calculation 612" xfId="4161" xr:uid="{00000000-0005-0000-0000-0000BB0F0000}"/>
    <cellStyle name="Calculation 613" xfId="4162" xr:uid="{00000000-0005-0000-0000-0000BC0F0000}"/>
    <cellStyle name="Calculation 614" xfId="4163" xr:uid="{00000000-0005-0000-0000-0000BD0F0000}"/>
    <cellStyle name="Calculation 615" xfId="4164" xr:uid="{00000000-0005-0000-0000-0000BE0F0000}"/>
    <cellStyle name="Calculation 616" xfId="4165" xr:uid="{00000000-0005-0000-0000-0000BF0F0000}"/>
    <cellStyle name="Calculation 617" xfId="4166" xr:uid="{00000000-0005-0000-0000-0000C00F0000}"/>
    <cellStyle name="Calculation 618" xfId="4167" xr:uid="{00000000-0005-0000-0000-0000C10F0000}"/>
    <cellStyle name="Calculation 619" xfId="4168" xr:uid="{00000000-0005-0000-0000-0000C20F0000}"/>
    <cellStyle name="Calculation 62" xfId="4169" xr:uid="{00000000-0005-0000-0000-0000C30F0000}"/>
    <cellStyle name="Calculation 620" xfId="4170" xr:uid="{00000000-0005-0000-0000-0000C40F0000}"/>
    <cellStyle name="Calculation 621" xfId="4171" xr:uid="{00000000-0005-0000-0000-0000C50F0000}"/>
    <cellStyle name="Calculation 622" xfId="4172" xr:uid="{00000000-0005-0000-0000-0000C60F0000}"/>
    <cellStyle name="Calculation 623" xfId="4173" xr:uid="{00000000-0005-0000-0000-0000C70F0000}"/>
    <cellStyle name="Calculation 624" xfId="4174" xr:uid="{00000000-0005-0000-0000-0000C80F0000}"/>
    <cellStyle name="Calculation 625" xfId="4175" xr:uid="{00000000-0005-0000-0000-0000C90F0000}"/>
    <cellStyle name="Calculation 626" xfId="4176" xr:uid="{00000000-0005-0000-0000-0000CA0F0000}"/>
    <cellStyle name="Calculation 627" xfId="4177" xr:uid="{00000000-0005-0000-0000-0000CB0F0000}"/>
    <cellStyle name="Calculation 628" xfId="4178" xr:uid="{00000000-0005-0000-0000-0000CC0F0000}"/>
    <cellStyle name="Calculation 629" xfId="4179" xr:uid="{00000000-0005-0000-0000-0000CD0F0000}"/>
    <cellStyle name="Calculation 63" xfId="4180" xr:uid="{00000000-0005-0000-0000-0000CE0F0000}"/>
    <cellStyle name="Calculation 630" xfId="4181" xr:uid="{00000000-0005-0000-0000-0000CF0F0000}"/>
    <cellStyle name="Calculation 631" xfId="4182" xr:uid="{00000000-0005-0000-0000-0000D00F0000}"/>
    <cellStyle name="Calculation 632" xfId="4183" xr:uid="{00000000-0005-0000-0000-0000D10F0000}"/>
    <cellStyle name="Calculation 633" xfId="4184" xr:uid="{00000000-0005-0000-0000-0000D20F0000}"/>
    <cellStyle name="Calculation 634" xfId="4185" xr:uid="{00000000-0005-0000-0000-0000D30F0000}"/>
    <cellStyle name="Calculation 635" xfId="4186" xr:uid="{00000000-0005-0000-0000-0000D40F0000}"/>
    <cellStyle name="Calculation 636" xfId="4187" xr:uid="{00000000-0005-0000-0000-0000D50F0000}"/>
    <cellStyle name="Calculation 637" xfId="4188" xr:uid="{00000000-0005-0000-0000-0000D60F0000}"/>
    <cellStyle name="Calculation 638" xfId="4189" xr:uid="{00000000-0005-0000-0000-0000D70F0000}"/>
    <cellStyle name="Calculation 639" xfId="4190" xr:uid="{00000000-0005-0000-0000-0000D80F0000}"/>
    <cellStyle name="Calculation 64" xfId="4191" xr:uid="{00000000-0005-0000-0000-0000D90F0000}"/>
    <cellStyle name="Calculation 640" xfId="4192" xr:uid="{00000000-0005-0000-0000-0000DA0F0000}"/>
    <cellStyle name="Calculation 641" xfId="4193" xr:uid="{00000000-0005-0000-0000-0000DB0F0000}"/>
    <cellStyle name="Calculation 642" xfId="4194" xr:uid="{00000000-0005-0000-0000-0000DC0F0000}"/>
    <cellStyle name="Calculation 643" xfId="4195" xr:uid="{00000000-0005-0000-0000-0000DD0F0000}"/>
    <cellStyle name="Calculation 644" xfId="4196" xr:uid="{00000000-0005-0000-0000-0000DE0F0000}"/>
    <cellStyle name="Calculation 645" xfId="4197" xr:uid="{00000000-0005-0000-0000-0000DF0F0000}"/>
    <cellStyle name="Calculation 646" xfId="4198" xr:uid="{00000000-0005-0000-0000-0000E00F0000}"/>
    <cellStyle name="Calculation 647" xfId="4199" xr:uid="{00000000-0005-0000-0000-0000E10F0000}"/>
    <cellStyle name="Calculation 648" xfId="4200" xr:uid="{00000000-0005-0000-0000-0000E20F0000}"/>
    <cellStyle name="Calculation 649" xfId="4201" xr:uid="{00000000-0005-0000-0000-0000E30F0000}"/>
    <cellStyle name="Calculation 65" xfId="4202" xr:uid="{00000000-0005-0000-0000-0000E40F0000}"/>
    <cellStyle name="Calculation 650" xfId="4203" xr:uid="{00000000-0005-0000-0000-0000E50F0000}"/>
    <cellStyle name="Calculation 651" xfId="4204" xr:uid="{00000000-0005-0000-0000-0000E60F0000}"/>
    <cellStyle name="Calculation 652" xfId="4205" xr:uid="{00000000-0005-0000-0000-0000E70F0000}"/>
    <cellStyle name="Calculation 653" xfId="4206" xr:uid="{00000000-0005-0000-0000-0000E80F0000}"/>
    <cellStyle name="Calculation 654" xfId="4207" xr:uid="{00000000-0005-0000-0000-0000E90F0000}"/>
    <cellStyle name="Calculation 655" xfId="4208" xr:uid="{00000000-0005-0000-0000-0000EA0F0000}"/>
    <cellStyle name="Calculation 656" xfId="4209" xr:uid="{00000000-0005-0000-0000-0000EB0F0000}"/>
    <cellStyle name="Calculation 657" xfId="4210" xr:uid="{00000000-0005-0000-0000-0000EC0F0000}"/>
    <cellStyle name="Calculation 658" xfId="4211" xr:uid="{00000000-0005-0000-0000-0000ED0F0000}"/>
    <cellStyle name="Calculation 659" xfId="4212" xr:uid="{00000000-0005-0000-0000-0000EE0F0000}"/>
    <cellStyle name="Calculation 66" xfId="4213" xr:uid="{00000000-0005-0000-0000-0000EF0F0000}"/>
    <cellStyle name="Calculation 660" xfId="4214" xr:uid="{00000000-0005-0000-0000-0000F00F0000}"/>
    <cellStyle name="Calculation 661" xfId="4215" xr:uid="{00000000-0005-0000-0000-0000F10F0000}"/>
    <cellStyle name="Calculation 662" xfId="4216" xr:uid="{00000000-0005-0000-0000-0000F20F0000}"/>
    <cellStyle name="Calculation 663" xfId="4217" xr:uid="{00000000-0005-0000-0000-0000F30F0000}"/>
    <cellStyle name="Calculation 664" xfId="4218" xr:uid="{00000000-0005-0000-0000-0000F40F0000}"/>
    <cellStyle name="Calculation 665" xfId="4219" xr:uid="{00000000-0005-0000-0000-0000F50F0000}"/>
    <cellStyle name="Calculation 666" xfId="4220" xr:uid="{00000000-0005-0000-0000-0000F60F0000}"/>
    <cellStyle name="Calculation 667" xfId="4221" xr:uid="{00000000-0005-0000-0000-0000F70F0000}"/>
    <cellStyle name="Calculation 668" xfId="4222" xr:uid="{00000000-0005-0000-0000-0000F80F0000}"/>
    <cellStyle name="Calculation 669" xfId="4223" xr:uid="{00000000-0005-0000-0000-0000F90F0000}"/>
    <cellStyle name="Calculation 67" xfId="4224" xr:uid="{00000000-0005-0000-0000-0000FA0F0000}"/>
    <cellStyle name="Calculation 670" xfId="4225" xr:uid="{00000000-0005-0000-0000-0000FB0F0000}"/>
    <cellStyle name="Calculation 671" xfId="4226" xr:uid="{00000000-0005-0000-0000-0000FC0F0000}"/>
    <cellStyle name="Calculation 672" xfId="4227" xr:uid="{00000000-0005-0000-0000-0000FD0F0000}"/>
    <cellStyle name="Calculation 673" xfId="4228" xr:uid="{00000000-0005-0000-0000-0000FE0F0000}"/>
    <cellStyle name="Calculation 674" xfId="4229" xr:uid="{00000000-0005-0000-0000-0000FF0F0000}"/>
    <cellStyle name="Calculation 675" xfId="4230" xr:uid="{00000000-0005-0000-0000-000000100000}"/>
    <cellStyle name="Calculation 676" xfId="4231" xr:uid="{00000000-0005-0000-0000-000001100000}"/>
    <cellStyle name="Calculation 677" xfId="4232" xr:uid="{00000000-0005-0000-0000-000002100000}"/>
    <cellStyle name="Calculation 678" xfId="4233" xr:uid="{00000000-0005-0000-0000-000003100000}"/>
    <cellStyle name="Calculation 679" xfId="4234" xr:uid="{00000000-0005-0000-0000-000004100000}"/>
    <cellStyle name="Calculation 68" xfId="4235" xr:uid="{00000000-0005-0000-0000-000005100000}"/>
    <cellStyle name="Calculation 680" xfId="4236" xr:uid="{00000000-0005-0000-0000-000006100000}"/>
    <cellStyle name="Calculation 681" xfId="4237" xr:uid="{00000000-0005-0000-0000-000007100000}"/>
    <cellStyle name="Calculation 682" xfId="4238" xr:uid="{00000000-0005-0000-0000-000008100000}"/>
    <cellStyle name="Calculation 683" xfId="4239" xr:uid="{00000000-0005-0000-0000-000009100000}"/>
    <cellStyle name="Calculation 684" xfId="4240" xr:uid="{00000000-0005-0000-0000-00000A100000}"/>
    <cellStyle name="Calculation 685" xfId="4241" xr:uid="{00000000-0005-0000-0000-00000B100000}"/>
    <cellStyle name="Calculation 686" xfId="4242" xr:uid="{00000000-0005-0000-0000-00000C100000}"/>
    <cellStyle name="Calculation 687" xfId="4243" xr:uid="{00000000-0005-0000-0000-00000D100000}"/>
    <cellStyle name="Calculation 688" xfId="4244" xr:uid="{00000000-0005-0000-0000-00000E100000}"/>
    <cellStyle name="Calculation 689" xfId="4245" xr:uid="{00000000-0005-0000-0000-00000F100000}"/>
    <cellStyle name="Calculation 69" xfId="4246" xr:uid="{00000000-0005-0000-0000-000010100000}"/>
    <cellStyle name="Calculation 690" xfId="4247" xr:uid="{00000000-0005-0000-0000-000011100000}"/>
    <cellStyle name="Calculation 691" xfId="4248" xr:uid="{00000000-0005-0000-0000-000012100000}"/>
    <cellStyle name="Calculation 692" xfId="4249" xr:uid="{00000000-0005-0000-0000-000013100000}"/>
    <cellStyle name="Calculation 693" xfId="4250" xr:uid="{00000000-0005-0000-0000-000014100000}"/>
    <cellStyle name="Calculation 694" xfId="4251" xr:uid="{00000000-0005-0000-0000-000015100000}"/>
    <cellStyle name="Calculation 695" xfId="4252" xr:uid="{00000000-0005-0000-0000-000016100000}"/>
    <cellStyle name="Calculation 696" xfId="4253" xr:uid="{00000000-0005-0000-0000-000017100000}"/>
    <cellStyle name="Calculation 697" xfId="4254" xr:uid="{00000000-0005-0000-0000-000018100000}"/>
    <cellStyle name="Calculation 698" xfId="4255" xr:uid="{00000000-0005-0000-0000-000019100000}"/>
    <cellStyle name="Calculation 699" xfId="4256" xr:uid="{00000000-0005-0000-0000-00001A100000}"/>
    <cellStyle name="Calculation 7" xfId="4257" xr:uid="{00000000-0005-0000-0000-00001B100000}"/>
    <cellStyle name="Calculation 70" xfId="4258" xr:uid="{00000000-0005-0000-0000-00001C100000}"/>
    <cellStyle name="Calculation 700" xfId="4259" xr:uid="{00000000-0005-0000-0000-00001D100000}"/>
    <cellStyle name="Calculation 701" xfId="4260" xr:uid="{00000000-0005-0000-0000-00001E100000}"/>
    <cellStyle name="Calculation 702" xfId="4261" xr:uid="{00000000-0005-0000-0000-00001F100000}"/>
    <cellStyle name="Calculation 703" xfId="4262" xr:uid="{00000000-0005-0000-0000-000020100000}"/>
    <cellStyle name="Calculation 704" xfId="4263" xr:uid="{00000000-0005-0000-0000-000021100000}"/>
    <cellStyle name="Calculation 705" xfId="4264" xr:uid="{00000000-0005-0000-0000-000022100000}"/>
    <cellStyle name="Calculation 706" xfId="4265" xr:uid="{00000000-0005-0000-0000-000023100000}"/>
    <cellStyle name="Calculation 707" xfId="4266" xr:uid="{00000000-0005-0000-0000-000024100000}"/>
    <cellStyle name="Calculation 708" xfId="4267" xr:uid="{00000000-0005-0000-0000-000025100000}"/>
    <cellStyle name="Calculation 709" xfId="4268" xr:uid="{00000000-0005-0000-0000-000026100000}"/>
    <cellStyle name="Calculation 71" xfId="4269" xr:uid="{00000000-0005-0000-0000-000027100000}"/>
    <cellStyle name="Calculation 710" xfId="4270" xr:uid="{00000000-0005-0000-0000-000028100000}"/>
    <cellStyle name="Calculation 711" xfId="4271" xr:uid="{00000000-0005-0000-0000-000029100000}"/>
    <cellStyle name="Calculation 712" xfId="4272" xr:uid="{00000000-0005-0000-0000-00002A100000}"/>
    <cellStyle name="Calculation 713" xfId="4273" xr:uid="{00000000-0005-0000-0000-00002B100000}"/>
    <cellStyle name="Calculation 714" xfId="4274" xr:uid="{00000000-0005-0000-0000-00002C100000}"/>
    <cellStyle name="Calculation 715" xfId="4275" xr:uid="{00000000-0005-0000-0000-00002D100000}"/>
    <cellStyle name="Calculation 716" xfId="4276" xr:uid="{00000000-0005-0000-0000-00002E100000}"/>
    <cellStyle name="Calculation 717" xfId="4277" xr:uid="{00000000-0005-0000-0000-00002F100000}"/>
    <cellStyle name="Calculation 718" xfId="4278" xr:uid="{00000000-0005-0000-0000-000030100000}"/>
    <cellStyle name="Calculation 719" xfId="4279" xr:uid="{00000000-0005-0000-0000-000031100000}"/>
    <cellStyle name="Calculation 72" xfId="4280" xr:uid="{00000000-0005-0000-0000-000032100000}"/>
    <cellStyle name="Calculation 720" xfId="4281" xr:uid="{00000000-0005-0000-0000-000033100000}"/>
    <cellStyle name="Calculation 721" xfId="4282" xr:uid="{00000000-0005-0000-0000-000034100000}"/>
    <cellStyle name="Calculation 722" xfId="4283" xr:uid="{00000000-0005-0000-0000-000035100000}"/>
    <cellStyle name="Calculation 723" xfId="4284" xr:uid="{00000000-0005-0000-0000-000036100000}"/>
    <cellStyle name="Calculation 724" xfId="4285" xr:uid="{00000000-0005-0000-0000-000037100000}"/>
    <cellStyle name="Calculation 725" xfId="4286" xr:uid="{00000000-0005-0000-0000-000038100000}"/>
    <cellStyle name="Calculation 726" xfId="4287" xr:uid="{00000000-0005-0000-0000-000039100000}"/>
    <cellStyle name="Calculation 727" xfId="4288" xr:uid="{00000000-0005-0000-0000-00003A100000}"/>
    <cellStyle name="Calculation 728" xfId="4289" xr:uid="{00000000-0005-0000-0000-00003B100000}"/>
    <cellStyle name="Calculation 729" xfId="4290" xr:uid="{00000000-0005-0000-0000-00003C100000}"/>
    <cellStyle name="Calculation 73" xfId="4291" xr:uid="{00000000-0005-0000-0000-00003D100000}"/>
    <cellStyle name="Calculation 730" xfId="4292" xr:uid="{00000000-0005-0000-0000-00003E100000}"/>
    <cellStyle name="Calculation 731" xfId="4293" xr:uid="{00000000-0005-0000-0000-00003F100000}"/>
    <cellStyle name="Calculation 732" xfId="4294" xr:uid="{00000000-0005-0000-0000-000040100000}"/>
    <cellStyle name="Calculation 733" xfId="4295" xr:uid="{00000000-0005-0000-0000-000041100000}"/>
    <cellStyle name="Calculation 734" xfId="4296" xr:uid="{00000000-0005-0000-0000-000042100000}"/>
    <cellStyle name="Calculation 735" xfId="4297" xr:uid="{00000000-0005-0000-0000-000043100000}"/>
    <cellStyle name="Calculation 736" xfId="4298" xr:uid="{00000000-0005-0000-0000-000044100000}"/>
    <cellStyle name="Calculation 737" xfId="4299" xr:uid="{00000000-0005-0000-0000-000045100000}"/>
    <cellStyle name="Calculation 738" xfId="4300" xr:uid="{00000000-0005-0000-0000-000046100000}"/>
    <cellStyle name="Calculation 739" xfId="4301" xr:uid="{00000000-0005-0000-0000-000047100000}"/>
    <cellStyle name="Calculation 74" xfId="4302" xr:uid="{00000000-0005-0000-0000-000048100000}"/>
    <cellStyle name="Calculation 740" xfId="4303" xr:uid="{00000000-0005-0000-0000-000049100000}"/>
    <cellStyle name="Calculation 741" xfId="4304" xr:uid="{00000000-0005-0000-0000-00004A100000}"/>
    <cellStyle name="Calculation 742" xfId="4305" xr:uid="{00000000-0005-0000-0000-00004B100000}"/>
    <cellStyle name="Calculation 743" xfId="4306" xr:uid="{00000000-0005-0000-0000-00004C100000}"/>
    <cellStyle name="Calculation 744" xfId="4307" xr:uid="{00000000-0005-0000-0000-00004D100000}"/>
    <cellStyle name="Calculation 745" xfId="4308" xr:uid="{00000000-0005-0000-0000-00004E100000}"/>
    <cellStyle name="Calculation 746" xfId="4309" xr:uid="{00000000-0005-0000-0000-00004F100000}"/>
    <cellStyle name="Calculation 747" xfId="4310" xr:uid="{00000000-0005-0000-0000-000050100000}"/>
    <cellStyle name="Calculation 748" xfId="4311" xr:uid="{00000000-0005-0000-0000-000051100000}"/>
    <cellStyle name="Calculation 749" xfId="4312" xr:uid="{00000000-0005-0000-0000-000052100000}"/>
    <cellStyle name="Calculation 75" xfId="4313" xr:uid="{00000000-0005-0000-0000-000053100000}"/>
    <cellStyle name="Calculation 750" xfId="4314" xr:uid="{00000000-0005-0000-0000-000054100000}"/>
    <cellStyle name="Calculation 751" xfId="4315" xr:uid="{00000000-0005-0000-0000-000055100000}"/>
    <cellStyle name="Calculation 752" xfId="4316" xr:uid="{00000000-0005-0000-0000-000056100000}"/>
    <cellStyle name="Calculation 753" xfId="4317" xr:uid="{00000000-0005-0000-0000-000057100000}"/>
    <cellStyle name="Calculation 754" xfId="4318" xr:uid="{00000000-0005-0000-0000-000058100000}"/>
    <cellStyle name="Calculation 755" xfId="4319" xr:uid="{00000000-0005-0000-0000-000059100000}"/>
    <cellStyle name="Calculation 756" xfId="4320" xr:uid="{00000000-0005-0000-0000-00005A100000}"/>
    <cellStyle name="Calculation 757" xfId="4321" xr:uid="{00000000-0005-0000-0000-00005B100000}"/>
    <cellStyle name="Calculation 758" xfId="4322" xr:uid="{00000000-0005-0000-0000-00005C100000}"/>
    <cellStyle name="Calculation 759" xfId="4323" xr:uid="{00000000-0005-0000-0000-00005D100000}"/>
    <cellStyle name="Calculation 76" xfId="4324" xr:uid="{00000000-0005-0000-0000-00005E100000}"/>
    <cellStyle name="Calculation 760" xfId="4325" xr:uid="{00000000-0005-0000-0000-00005F100000}"/>
    <cellStyle name="Calculation 761" xfId="4326" xr:uid="{00000000-0005-0000-0000-000060100000}"/>
    <cellStyle name="Calculation 762" xfId="4327" xr:uid="{00000000-0005-0000-0000-000061100000}"/>
    <cellStyle name="Calculation 763" xfId="4328" xr:uid="{00000000-0005-0000-0000-000062100000}"/>
    <cellStyle name="Calculation 764" xfId="4329" xr:uid="{00000000-0005-0000-0000-000063100000}"/>
    <cellStyle name="Calculation 765" xfId="4330" xr:uid="{00000000-0005-0000-0000-000064100000}"/>
    <cellStyle name="Calculation 766" xfId="4331" xr:uid="{00000000-0005-0000-0000-000065100000}"/>
    <cellStyle name="Calculation 767" xfId="4332" xr:uid="{00000000-0005-0000-0000-000066100000}"/>
    <cellStyle name="Calculation 768" xfId="4333" xr:uid="{00000000-0005-0000-0000-000067100000}"/>
    <cellStyle name="Calculation 769" xfId="4334" xr:uid="{00000000-0005-0000-0000-000068100000}"/>
    <cellStyle name="Calculation 77" xfId="4335" xr:uid="{00000000-0005-0000-0000-000069100000}"/>
    <cellStyle name="Calculation 770" xfId="4336" xr:uid="{00000000-0005-0000-0000-00006A100000}"/>
    <cellStyle name="Calculation 771" xfId="4337" xr:uid="{00000000-0005-0000-0000-00006B100000}"/>
    <cellStyle name="Calculation 772" xfId="4338" xr:uid="{00000000-0005-0000-0000-00006C100000}"/>
    <cellStyle name="Calculation 773" xfId="4339" xr:uid="{00000000-0005-0000-0000-00006D100000}"/>
    <cellStyle name="Calculation 774" xfId="4340" xr:uid="{00000000-0005-0000-0000-00006E100000}"/>
    <cellStyle name="Calculation 775" xfId="4341" xr:uid="{00000000-0005-0000-0000-00006F100000}"/>
    <cellStyle name="Calculation 776" xfId="4342" xr:uid="{00000000-0005-0000-0000-000070100000}"/>
    <cellStyle name="Calculation 777" xfId="4343" xr:uid="{00000000-0005-0000-0000-000071100000}"/>
    <cellStyle name="Calculation 778" xfId="4344" xr:uid="{00000000-0005-0000-0000-000072100000}"/>
    <cellStyle name="Calculation 779" xfId="4345" xr:uid="{00000000-0005-0000-0000-000073100000}"/>
    <cellStyle name="Calculation 78" xfId="4346" xr:uid="{00000000-0005-0000-0000-000074100000}"/>
    <cellStyle name="Calculation 780" xfId="4347" xr:uid="{00000000-0005-0000-0000-000075100000}"/>
    <cellStyle name="Calculation 781" xfId="4348" xr:uid="{00000000-0005-0000-0000-000076100000}"/>
    <cellStyle name="Calculation 782" xfId="4349" xr:uid="{00000000-0005-0000-0000-000077100000}"/>
    <cellStyle name="Calculation 783" xfId="4350" xr:uid="{00000000-0005-0000-0000-000078100000}"/>
    <cellStyle name="Calculation 784" xfId="4351" xr:uid="{00000000-0005-0000-0000-000079100000}"/>
    <cellStyle name="Calculation 785" xfId="4352" xr:uid="{00000000-0005-0000-0000-00007A100000}"/>
    <cellStyle name="Calculation 786" xfId="4353" xr:uid="{00000000-0005-0000-0000-00007B100000}"/>
    <cellStyle name="Calculation 787" xfId="4354" xr:uid="{00000000-0005-0000-0000-00007C100000}"/>
    <cellStyle name="Calculation 788" xfId="4355" xr:uid="{00000000-0005-0000-0000-00007D100000}"/>
    <cellStyle name="Calculation 789" xfId="4356" xr:uid="{00000000-0005-0000-0000-00007E100000}"/>
    <cellStyle name="Calculation 79" xfId="4357" xr:uid="{00000000-0005-0000-0000-00007F100000}"/>
    <cellStyle name="Calculation 790" xfId="4358" xr:uid="{00000000-0005-0000-0000-000080100000}"/>
    <cellStyle name="Calculation 791" xfId="4359" xr:uid="{00000000-0005-0000-0000-000081100000}"/>
    <cellStyle name="Calculation 792" xfId="4360" xr:uid="{00000000-0005-0000-0000-000082100000}"/>
    <cellStyle name="Calculation 793" xfId="4361" xr:uid="{00000000-0005-0000-0000-000083100000}"/>
    <cellStyle name="Calculation 794" xfId="4362" xr:uid="{00000000-0005-0000-0000-000084100000}"/>
    <cellStyle name="Calculation 795" xfId="4363" xr:uid="{00000000-0005-0000-0000-000085100000}"/>
    <cellStyle name="Calculation 796" xfId="4364" xr:uid="{00000000-0005-0000-0000-000086100000}"/>
    <cellStyle name="Calculation 797" xfId="4365" xr:uid="{00000000-0005-0000-0000-000087100000}"/>
    <cellStyle name="Calculation 798" xfId="4366" xr:uid="{00000000-0005-0000-0000-000088100000}"/>
    <cellStyle name="Calculation 799" xfId="4367" xr:uid="{00000000-0005-0000-0000-000089100000}"/>
    <cellStyle name="Calculation 8" xfId="4368" xr:uid="{00000000-0005-0000-0000-00008A100000}"/>
    <cellStyle name="Calculation 80" xfId="4369" xr:uid="{00000000-0005-0000-0000-00008B100000}"/>
    <cellStyle name="Calculation 800" xfId="4370" xr:uid="{00000000-0005-0000-0000-00008C100000}"/>
    <cellStyle name="Calculation 801" xfId="4371" xr:uid="{00000000-0005-0000-0000-00008D100000}"/>
    <cellStyle name="Calculation 802" xfId="4372" xr:uid="{00000000-0005-0000-0000-00008E100000}"/>
    <cellStyle name="Calculation 803" xfId="4373" xr:uid="{00000000-0005-0000-0000-00008F100000}"/>
    <cellStyle name="Calculation 804" xfId="4374" xr:uid="{00000000-0005-0000-0000-000090100000}"/>
    <cellStyle name="Calculation 805" xfId="4375" xr:uid="{00000000-0005-0000-0000-000091100000}"/>
    <cellStyle name="Calculation 806" xfId="4376" xr:uid="{00000000-0005-0000-0000-000092100000}"/>
    <cellStyle name="Calculation 807" xfId="4377" xr:uid="{00000000-0005-0000-0000-000093100000}"/>
    <cellStyle name="Calculation 808" xfId="4378" xr:uid="{00000000-0005-0000-0000-000094100000}"/>
    <cellStyle name="Calculation 809" xfId="4379" xr:uid="{00000000-0005-0000-0000-000095100000}"/>
    <cellStyle name="Calculation 81" xfId="4380" xr:uid="{00000000-0005-0000-0000-000096100000}"/>
    <cellStyle name="Calculation 810" xfId="4381" xr:uid="{00000000-0005-0000-0000-000097100000}"/>
    <cellStyle name="Calculation 811" xfId="4382" xr:uid="{00000000-0005-0000-0000-000098100000}"/>
    <cellStyle name="Calculation 812" xfId="4383" xr:uid="{00000000-0005-0000-0000-000099100000}"/>
    <cellStyle name="Calculation 813" xfId="4384" xr:uid="{00000000-0005-0000-0000-00009A100000}"/>
    <cellStyle name="Calculation 814" xfId="4385" xr:uid="{00000000-0005-0000-0000-00009B100000}"/>
    <cellStyle name="Calculation 815" xfId="4386" xr:uid="{00000000-0005-0000-0000-00009C100000}"/>
    <cellStyle name="Calculation 816" xfId="4387" xr:uid="{00000000-0005-0000-0000-00009D100000}"/>
    <cellStyle name="Calculation 817" xfId="4388" xr:uid="{00000000-0005-0000-0000-00009E100000}"/>
    <cellStyle name="Calculation 818" xfId="4389" xr:uid="{00000000-0005-0000-0000-00009F100000}"/>
    <cellStyle name="Calculation 819" xfId="4390" xr:uid="{00000000-0005-0000-0000-0000A0100000}"/>
    <cellStyle name="Calculation 82" xfId="4391" xr:uid="{00000000-0005-0000-0000-0000A1100000}"/>
    <cellStyle name="Calculation 820" xfId="4392" xr:uid="{00000000-0005-0000-0000-0000A2100000}"/>
    <cellStyle name="Calculation 821" xfId="4393" xr:uid="{00000000-0005-0000-0000-0000A3100000}"/>
    <cellStyle name="Calculation 822" xfId="4394" xr:uid="{00000000-0005-0000-0000-0000A4100000}"/>
    <cellStyle name="Calculation 823" xfId="4395" xr:uid="{00000000-0005-0000-0000-0000A5100000}"/>
    <cellStyle name="Calculation 824" xfId="4396" xr:uid="{00000000-0005-0000-0000-0000A6100000}"/>
    <cellStyle name="Calculation 825" xfId="4397" xr:uid="{00000000-0005-0000-0000-0000A7100000}"/>
    <cellStyle name="Calculation 826" xfId="4398" xr:uid="{00000000-0005-0000-0000-0000A8100000}"/>
    <cellStyle name="Calculation 827" xfId="4399" xr:uid="{00000000-0005-0000-0000-0000A9100000}"/>
    <cellStyle name="Calculation 828" xfId="4400" xr:uid="{00000000-0005-0000-0000-0000AA100000}"/>
    <cellStyle name="Calculation 829" xfId="4401" xr:uid="{00000000-0005-0000-0000-0000AB100000}"/>
    <cellStyle name="Calculation 83" xfId="4402" xr:uid="{00000000-0005-0000-0000-0000AC100000}"/>
    <cellStyle name="Calculation 830" xfId="4403" xr:uid="{00000000-0005-0000-0000-0000AD100000}"/>
    <cellStyle name="Calculation 831" xfId="4404" xr:uid="{00000000-0005-0000-0000-0000AE100000}"/>
    <cellStyle name="Calculation 832" xfId="4405" xr:uid="{00000000-0005-0000-0000-0000AF100000}"/>
    <cellStyle name="Calculation 833" xfId="4406" xr:uid="{00000000-0005-0000-0000-0000B0100000}"/>
    <cellStyle name="Calculation 834" xfId="4407" xr:uid="{00000000-0005-0000-0000-0000B1100000}"/>
    <cellStyle name="Calculation 835" xfId="4408" xr:uid="{00000000-0005-0000-0000-0000B2100000}"/>
    <cellStyle name="Calculation 836" xfId="4409" xr:uid="{00000000-0005-0000-0000-0000B3100000}"/>
    <cellStyle name="Calculation 837" xfId="4410" xr:uid="{00000000-0005-0000-0000-0000B4100000}"/>
    <cellStyle name="Calculation 838" xfId="4411" xr:uid="{00000000-0005-0000-0000-0000B5100000}"/>
    <cellStyle name="Calculation 839" xfId="4412" xr:uid="{00000000-0005-0000-0000-0000B6100000}"/>
    <cellStyle name="Calculation 84" xfId="4413" xr:uid="{00000000-0005-0000-0000-0000B7100000}"/>
    <cellStyle name="Calculation 840" xfId="4414" xr:uid="{00000000-0005-0000-0000-0000B8100000}"/>
    <cellStyle name="Calculation 841" xfId="4415" xr:uid="{00000000-0005-0000-0000-0000B9100000}"/>
    <cellStyle name="Calculation 842" xfId="4416" xr:uid="{00000000-0005-0000-0000-0000BA100000}"/>
    <cellStyle name="Calculation 843" xfId="4417" xr:uid="{00000000-0005-0000-0000-0000BB100000}"/>
    <cellStyle name="Calculation 844" xfId="4418" xr:uid="{00000000-0005-0000-0000-0000BC100000}"/>
    <cellStyle name="Calculation 845" xfId="4419" xr:uid="{00000000-0005-0000-0000-0000BD100000}"/>
    <cellStyle name="Calculation 846" xfId="4420" xr:uid="{00000000-0005-0000-0000-0000BE100000}"/>
    <cellStyle name="Calculation 847" xfId="4421" xr:uid="{00000000-0005-0000-0000-0000BF100000}"/>
    <cellStyle name="Calculation 848" xfId="4422" xr:uid="{00000000-0005-0000-0000-0000C0100000}"/>
    <cellStyle name="Calculation 849" xfId="4423" xr:uid="{00000000-0005-0000-0000-0000C1100000}"/>
    <cellStyle name="Calculation 85" xfId="4424" xr:uid="{00000000-0005-0000-0000-0000C2100000}"/>
    <cellStyle name="Calculation 850" xfId="4425" xr:uid="{00000000-0005-0000-0000-0000C3100000}"/>
    <cellStyle name="Calculation 851" xfId="4426" xr:uid="{00000000-0005-0000-0000-0000C4100000}"/>
    <cellStyle name="Calculation 852" xfId="4427" xr:uid="{00000000-0005-0000-0000-0000C5100000}"/>
    <cellStyle name="Calculation 853" xfId="4428" xr:uid="{00000000-0005-0000-0000-0000C6100000}"/>
    <cellStyle name="Calculation 854" xfId="4429" xr:uid="{00000000-0005-0000-0000-0000C7100000}"/>
    <cellStyle name="Calculation 855" xfId="4430" xr:uid="{00000000-0005-0000-0000-0000C8100000}"/>
    <cellStyle name="Calculation 856" xfId="4431" xr:uid="{00000000-0005-0000-0000-0000C9100000}"/>
    <cellStyle name="Calculation 857" xfId="4432" xr:uid="{00000000-0005-0000-0000-0000CA100000}"/>
    <cellStyle name="Calculation 858" xfId="4433" xr:uid="{00000000-0005-0000-0000-0000CB100000}"/>
    <cellStyle name="Calculation 859" xfId="4434" xr:uid="{00000000-0005-0000-0000-0000CC100000}"/>
    <cellStyle name="Calculation 86" xfId="4435" xr:uid="{00000000-0005-0000-0000-0000CD100000}"/>
    <cellStyle name="Calculation 860" xfId="4436" xr:uid="{00000000-0005-0000-0000-0000CE100000}"/>
    <cellStyle name="Calculation 861" xfId="4437" xr:uid="{00000000-0005-0000-0000-0000CF100000}"/>
    <cellStyle name="Calculation 862" xfId="4438" xr:uid="{00000000-0005-0000-0000-0000D0100000}"/>
    <cellStyle name="Calculation 863" xfId="4439" xr:uid="{00000000-0005-0000-0000-0000D1100000}"/>
    <cellStyle name="Calculation 864" xfId="4440" xr:uid="{00000000-0005-0000-0000-0000D2100000}"/>
    <cellStyle name="Calculation 865" xfId="4441" xr:uid="{00000000-0005-0000-0000-0000D3100000}"/>
    <cellStyle name="Calculation 866" xfId="4442" xr:uid="{00000000-0005-0000-0000-0000D4100000}"/>
    <cellStyle name="Calculation 867" xfId="4443" xr:uid="{00000000-0005-0000-0000-0000D5100000}"/>
    <cellStyle name="Calculation 868" xfId="4444" xr:uid="{00000000-0005-0000-0000-0000D6100000}"/>
    <cellStyle name="Calculation 869" xfId="4445" xr:uid="{00000000-0005-0000-0000-0000D7100000}"/>
    <cellStyle name="Calculation 87" xfId="4446" xr:uid="{00000000-0005-0000-0000-0000D8100000}"/>
    <cellStyle name="Calculation 870" xfId="4447" xr:uid="{00000000-0005-0000-0000-0000D9100000}"/>
    <cellStyle name="Calculation 871" xfId="4448" xr:uid="{00000000-0005-0000-0000-0000DA100000}"/>
    <cellStyle name="Calculation 872" xfId="4449" xr:uid="{00000000-0005-0000-0000-0000DB100000}"/>
    <cellStyle name="Calculation 873" xfId="4450" xr:uid="{00000000-0005-0000-0000-0000DC100000}"/>
    <cellStyle name="Calculation 874" xfId="4451" xr:uid="{00000000-0005-0000-0000-0000DD100000}"/>
    <cellStyle name="Calculation 875" xfId="4452" xr:uid="{00000000-0005-0000-0000-0000DE100000}"/>
    <cellStyle name="Calculation 876" xfId="4453" xr:uid="{00000000-0005-0000-0000-0000DF100000}"/>
    <cellStyle name="Calculation 877" xfId="4454" xr:uid="{00000000-0005-0000-0000-0000E0100000}"/>
    <cellStyle name="Calculation 878" xfId="4455" xr:uid="{00000000-0005-0000-0000-0000E1100000}"/>
    <cellStyle name="Calculation 879" xfId="4456" xr:uid="{00000000-0005-0000-0000-0000E2100000}"/>
    <cellStyle name="Calculation 88" xfId="4457" xr:uid="{00000000-0005-0000-0000-0000E3100000}"/>
    <cellStyle name="Calculation 880" xfId="4458" xr:uid="{00000000-0005-0000-0000-0000E4100000}"/>
    <cellStyle name="Calculation 881" xfId="4459" xr:uid="{00000000-0005-0000-0000-0000E5100000}"/>
    <cellStyle name="Calculation 882" xfId="4460" xr:uid="{00000000-0005-0000-0000-0000E6100000}"/>
    <cellStyle name="Calculation 883" xfId="4461" xr:uid="{00000000-0005-0000-0000-0000E7100000}"/>
    <cellStyle name="Calculation 884" xfId="4462" xr:uid="{00000000-0005-0000-0000-0000E8100000}"/>
    <cellStyle name="Calculation 885" xfId="4463" xr:uid="{00000000-0005-0000-0000-0000E9100000}"/>
    <cellStyle name="Calculation 886" xfId="4464" xr:uid="{00000000-0005-0000-0000-0000EA100000}"/>
    <cellStyle name="Calculation 887" xfId="4465" xr:uid="{00000000-0005-0000-0000-0000EB100000}"/>
    <cellStyle name="Calculation 888" xfId="4466" xr:uid="{00000000-0005-0000-0000-0000EC100000}"/>
    <cellStyle name="Calculation 889" xfId="4467" xr:uid="{00000000-0005-0000-0000-0000ED100000}"/>
    <cellStyle name="Calculation 89" xfId="4468" xr:uid="{00000000-0005-0000-0000-0000EE100000}"/>
    <cellStyle name="Calculation 890" xfId="4469" xr:uid="{00000000-0005-0000-0000-0000EF100000}"/>
    <cellStyle name="Calculation 891" xfId="4470" xr:uid="{00000000-0005-0000-0000-0000F0100000}"/>
    <cellStyle name="Calculation 892" xfId="4471" xr:uid="{00000000-0005-0000-0000-0000F1100000}"/>
    <cellStyle name="Calculation 893" xfId="4472" xr:uid="{00000000-0005-0000-0000-0000F2100000}"/>
    <cellStyle name="Calculation 894" xfId="4473" xr:uid="{00000000-0005-0000-0000-0000F3100000}"/>
    <cellStyle name="Calculation 895" xfId="4474" xr:uid="{00000000-0005-0000-0000-0000F4100000}"/>
    <cellStyle name="Calculation 896" xfId="4475" xr:uid="{00000000-0005-0000-0000-0000F5100000}"/>
    <cellStyle name="Calculation 897" xfId="4476" xr:uid="{00000000-0005-0000-0000-0000F6100000}"/>
    <cellStyle name="Calculation 898" xfId="4477" xr:uid="{00000000-0005-0000-0000-0000F7100000}"/>
    <cellStyle name="Calculation 899" xfId="4478" xr:uid="{00000000-0005-0000-0000-0000F8100000}"/>
    <cellStyle name="Calculation 9" xfId="4479" xr:uid="{00000000-0005-0000-0000-0000F9100000}"/>
    <cellStyle name="Calculation 90" xfId="4480" xr:uid="{00000000-0005-0000-0000-0000FA100000}"/>
    <cellStyle name="Calculation 900" xfId="4481" xr:uid="{00000000-0005-0000-0000-0000FB100000}"/>
    <cellStyle name="Calculation 901" xfId="4482" xr:uid="{00000000-0005-0000-0000-0000FC100000}"/>
    <cellStyle name="Calculation 902" xfId="4483" xr:uid="{00000000-0005-0000-0000-0000FD100000}"/>
    <cellStyle name="Calculation 903" xfId="4484" xr:uid="{00000000-0005-0000-0000-0000FE100000}"/>
    <cellStyle name="Calculation 904" xfId="4485" xr:uid="{00000000-0005-0000-0000-0000FF100000}"/>
    <cellStyle name="Calculation 905" xfId="4486" xr:uid="{00000000-0005-0000-0000-000000110000}"/>
    <cellStyle name="Calculation 906" xfId="4487" xr:uid="{00000000-0005-0000-0000-000001110000}"/>
    <cellStyle name="Calculation 907" xfId="4488" xr:uid="{00000000-0005-0000-0000-000002110000}"/>
    <cellStyle name="Calculation 908" xfId="4489" xr:uid="{00000000-0005-0000-0000-000003110000}"/>
    <cellStyle name="Calculation 909" xfId="4490" xr:uid="{00000000-0005-0000-0000-000004110000}"/>
    <cellStyle name="Calculation 91" xfId="4491" xr:uid="{00000000-0005-0000-0000-000005110000}"/>
    <cellStyle name="Calculation 910" xfId="4492" xr:uid="{00000000-0005-0000-0000-000006110000}"/>
    <cellStyle name="Calculation 911" xfId="4493" xr:uid="{00000000-0005-0000-0000-000007110000}"/>
    <cellStyle name="Calculation 912" xfId="4494" xr:uid="{00000000-0005-0000-0000-000008110000}"/>
    <cellStyle name="Calculation 913" xfId="4495" xr:uid="{00000000-0005-0000-0000-000009110000}"/>
    <cellStyle name="Calculation 914" xfId="4496" xr:uid="{00000000-0005-0000-0000-00000A110000}"/>
    <cellStyle name="Calculation 915" xfId="4497" xr:uid="{00000000-0005-0000-0000-00000B110000}"/>
    <cellStyle name="Calculation 916" xfId="4498" xr:uid="{00000000-0005-0000-0000-00000C110000}"/>
    <cellStyle name="Calculation 917" xfId="4499" xr:uid="{00000000-0005-0000-0000-00000D110000}"/>
    <cellStyle name="Calculation 918" xfId="4500" xr:uid="{00000000-0005-0000-0000-00000E110000}"/>
    <cellStyle name="Calculation 919" xfId="4501" xr:uid="{00000000-0005-0000-0000-00000F110000}"/>
    <cellStyle name="Calculation 92" xfId="4502" xr:uid="{00000000-0005-0000-0000-000010110000}"/>
    <cellStyle name="Calculation 920" xfId="4503" xr:uid="{00000000-0005-0000-0000-000011110000}"/>
    <cellStyle name="Calculation 921" xfId="4504" xr:uid="{00000000-0005-0000-0000-000012110000}"/>
    <cellStyle name="Calculation 922" xfId="4505" xr:uid="{00000000-0005-0000-0000-000013110000}"/>
    <cellStyle name="Calculation 923" xfId="4506" xr:uid="{00000000-0005-0000-0000-000014110000}"/>
    <cellStyle name="Calculation 924" xfId="4507" xr:uid="{00000000-0005-0000-0000-000015110000}"/>
    <cellStyle name="Calculation 925" xfId="4508" xr:uid="{00000000-0005-0000-0000-000016110000}"/>
    <cellStyle name="Calculation 926" xfId="4509" xr:uid="{00000000-0005-0000-0000-000017110000}"/>
    <cellStyle name="Calculation 927" xfId="4510" xr:uid="{00000000-0005-0000-0000-000018110000}"/>
    <cellStyle name="Calculation 928" xfId="4511" xr:uid="{00000000-0005-0000-0000-000019110000}"/>
    <cellStyle name="Calculation 929" xfId="4512" xr:uid="{00000000-0005-0000-0000-00001A110000}"/>
    <cellStyle name="Calculation 93" xfId="4513" xr:uid="{00000000-0005-0000-0000-00001B110000}"/>
    <cellStyle name="Calculation 930" xfId="4514" xr:uid="{00000000-0005-0000-0000-00001C110000}"/>
    <cellStyle name="Calculation 931" xfId="4515" xr:uid="{00000000-0005-0000-0000-00001D110000}"/>
    <cellStyle name="Calculation 932" xfId="4516" xr:uid="{00000000-0005-0000-0000-00001E110000}"/>
    <cellStyle name="Calculation 933" xfId="4517" xr:uid="{00000000-0005-0000-0000-00001F110000}"/>
    <cellStyle name="Calculation 934" xfId="4518" xr:uid="{00000000-0005-0000-0000-000020110000}"/>
    <cellStyle name="Calculation 935" xfId="4519" xr:uid="{00000000-0005-0000-0000-000021110000}"/>
    <cellStyle name="Calculation 936" xfId="4520" xr:uid="{00000000-0005-0000-0000-000022110000}"/>
    <cellStyle name="Calculation 937" xfId="4521" xr:uid="{00000000-0005-0000-0000-000023110000}"/>
    <cellStyle name="Calculation 938" xfId="4522" xr:uid="{00000000-0005-0000-0000-000024110000}"/>
    <cellStyle name="Calculation 939" xfId="4523" xr:uid="{00000000-0005-0000-0000-000025110000}"/>
    <cellStyle name="Calculation 94" xfId="4524" xr:uid="{00000000-0005-0000-0000-000026110000}"/>
    <cellStyle name="Calculation 940" xfId="4525" xr:uid="{00000000-0005-0000-0000-000027110000}"/>
    <cellStyle name="Calculation 941" xfId="4526" xr:uid="{00000000-0005-0000-0000-000028110000}"/>
    <cellStyle name="Calculation 942" xfId="4527" xr:uid="{00000000-0005-0000-0000-000029110000}"/>
    <cellStyle name="Calculation 943" xfId="4528" xr:uid="{00000000-0005-0000-0000-00002A110000}"/>
    <cellStyle name="Calculation 944" xfId="4529" xr:uid="{00000000-0005-0000-0000-00002B110000}"/>
    <cellStyle name="Calculation 945" xfId="4530" xr:uid="{00000000-0005-0000-0000-00002C110000}"/>
    <cellStyle name="Calculation 946" xfId="4531" xr:uid="{00000000-0005-0000-0000-00002D110000}"/>
    <cellStyle name="Calculation 947" xfId="4532" xr:uid="{00000000-0005-0000-0000-00002E110000}"/>
    <cellStyle name="Calculation 948" xfId="4533" xr:uid="{00000000-0005-0000-0000-00002F110000}"/>
    <cellStyle name="Calculation 949" xfId="4534" xr:uid="{00000000-0005-0000-0000-000030110000}"/>
    <cellStyle name="Calculation 95" xfId="4535" xr:uid="{00000000-0005-0000-0000-000031110000}"/>
    <cellStyle name="Calculation 950" xfId="4536" xr:uid="{00000000-0005-0000-0000-000032110000}"/>
    <cellStyle name="Calculation 951" xfId="4537" xr:uid="{00000000-0005-0000-0000-000033110000}"/>
    <cellStyle name="Calculation 952" xfId="4538" xr:uid="{00000000-0005-0000-0000-000034110000}"/>
    <cellStyle name="Calculation 953" xfId="4539" xr:uid="{00000000-0005-0000-0000-000035110000}"/>
    <cellStyle name="Calculation 954" xfId="4540" xr:uid="{00000000-0005-0000-0000-000036110000}"/>
    <cellStyle name="Calculation 955" xfId="4541" xr:uid="{00000000-0005-0000-0000-000037110000}"/>
    <cellStyle name="Calculation 956" xfId="4542" xr:uid="{00000000-0005-0000-0000-000038110000}"/>
    <cellStyle name="Calculation 957" xfId="4543" xr:uid="{00000000-0005-0000-0000-000039110000}"/>
    <cellStyle name="Calculation 958" xfId="4544" xr:uid="{00000000-0005-0000-0000-00003A110000}"/>
    <cellStyle name="Calculation 959" xfId="4545" xr:uid="{00000000-0005-0000-0000-00003B110000}"/>
    <cellStyle name="Calculation 96" xfId="4546" xr:uid="{00000000-0005-0000-0000-00003C110000}"/>
    <cellStyle name="Calculation 960" xfId="4547" xr:uid="{00000000-0005-0000-0000-00003D110000}"/>
    <cellStyle name="Calculation 961" xfId="4548" xr:uid="{00000000-0005-0000-0000-00003E110000}"/>
    <cellStyle name="Calculation 962" xfId="4549" xr:uid="{00000000-0005-0000-0000-00003F110000}"/>
    <cellStyle name="Calculation 963" xfId="4550" xr:uid="{00000000-0005-0000-0000-000040110000}"/>
    <cellStyle name="Calculation 964" xfId="4551" xr:uid="{00000000-0005-0000-0000-000041110000}"/>
    <cellStyle name="Calculation 965" xfId="4552" xr:uid="{00000000-0005-0000-0000-000042110000}"/>
    <cellStyle name="Calculation 966" xfId="4553" xr:uid="{00000000-0005-0000-0000-000043110000}"/>
    <cellStyle name="Calculation 967" xfId="4554" xr:uid="{00000000-0005-0000-0000-000044110000}"/>
    <cellStyle name="Calculation 968" xfId="4555" xr:uid="{00000000-0005-0000-0000-000045110000}"/>
    <cellStyle name="Calculation 969" xfId="4556" xr:uid="{00000000-0005-0000-0000-000046110000}"/>
    <cellStyle name="Calculation 97" xfId="4557" xr:uid="{00000000-0005-0000-0000-000047110000}"/>
    <cellStyle name="Calculation 970" xfId="4558" xr:uid="{00000000-0005-0000-0000-000048110000}"/>
    <cellStyle name="Calculation 971" xfId="4559" xr:uid="{00000000-0005-0000-0000-000049110000}"/>
    <cellStyle name="Calculation 972" xfId="4560" xr:uid="{00000000-0005-0000-0000-00004A110000}"/>
    <cellStyle name="Calculation 973" xfId="4561" xr:uid="{00000000-0005-0000-0000-00004B110000}"/>
    <cellStyle name="Calculation 974" xfId="4562" xr:uid="{00000000-0005-0000-0000-00004C110000}"/>
    <cellStyle name="Calculation 975" xfId="4563" xr:uid="{00000000-0005-0000-0000-00004D110000}"/>
    <cellStyle name="Calculation 976" xfId="4564" xr:uid="{00000000-0005-0000-0000-00004E110000}"/>
    <cellStyle name="Calculation 977" xfId="4565" xr:uid="{00000000-0005-0000-0000-00004F110000}"/>
    <cellStyle name="Calculation 978" xfId="4566" xr:uid="{00000000-0005-0000-0000-000050110000}"/>
    <cellStyle name="Calculation 979" xfId="4567" xr:uid="{00000000-0005-0000-0000-000051110000}"/>
    <cellStyle name="Calculation 98" xfId="4568" xr:uid="{00000000-0005-0000-0000-000052110000}"/>
    <cellStyle name="Calculation 980" xfId="4569" xr:uid="{00000000-0005-0000-0000-000053110000}"/>
    <cellStyle name="Calculation 981" xfId="4570" xr:uid="{00000000-0005-0000-0000-000054110000}"/>
    <cellStyle name="Calculation 982" xfId="4571" xr:uid="{00000000-0005-0000-0000-000055110000}"/>
    <cellStyle name="Calculation 983" xfId="4572" xr:uid="{00000000-0005-0000-0000-000056110000}"/>
    <cellStyle name="Calculation 984" xfId="4573" xr:uid="{00000000-0005-0000-0000-000057110000}"/>
    <cellStyle name="Calculation 985" xfId="4574" xr:uid="{00000000-0005-0000-0000-000058110000}"/>
    <cellStyle name="Calculation 986" xfId="4575" xr:uid="{00000000-0005-0000-0000-000059110000}"/>
    <cellStyle name="Calculation 987" xfId="4576" xr:uid="{00000000-0005-0000-0000-00005A110000}"/>
    <cellStyle name="Calculation 988" xfId="4577" xr:uid="{00000000-0005-0000-0000-00005B110000}"/>
    <cellStyle name="Calculation 989" xfId="4578" xr:uid="{00000000-0005-0000-0000-00005C110000}"/>
    <cellStyle name="Calculation 99" xfId="4579" xr:uid="{00000000-0005-0000-0000-00005D110000}"/>
    <cellStyle name="Calculation 990" xfId="4580" xr:uid="{00000000-0005-0000-0000-00005E110000}"/>
    <cellStyle name="Calculation 991" xfId="4581" xr:uid="{00000000-0005-0000-0000-00005F110000}"/>
    <cellStyle name="Calculation 992" xfId="4582" xr:uid="{00000000-0005-0000-0000-000060110000}"/>
    <cellStyle name="Calculation 993" xfId="4583" xr:uid="{00000000-0005-0000-0000-000061110000}"/>
    <cellStyle name="Calculation 994" xfId="4584" xr:uid="{00000000-0005-0000-0000-000062110000}"/>
    <cellStyle name="Calculation 995" xfId="4585" xr:uid="{00000000-0005-0000-0000-000063110000}"/>
    <cellStyle name="Calculation 996" xfId="4586" xr:uid="{00000000-0005-0000-0000-000064110000}"/>
    <cellStyle name="Calculation 997" xfId="4587" xr:uid="{00000000-0005-0000-0000-000065110000}"/>
    <cellStyle name="Calculation 998" xfId="4588" xr:uid="{00000000-0005-0000-0000-000066110000}"/>
    <cellStyle name="Calculation 999" xfId="4589" xr:uid="{00000000-0005-0000-0000-000067110000}"/>
    <cellStyle name="Cálculo" xfId="4590" xr:uid="{00000000-0005-0000-0000-000068110000}"/>
    <cellStyle name="Cálculo 2" xfId="4591" xr:uid="{00000000-0005-0000-0000-000069110000}"/>
    <cellStyle name="čárky_20091209 - FR - templates group - v2bis" xfId="4592" xr:uid="{00000000-0005-0000-0000-00006A110000}"/>
    <cellStyle name="Celda de comprobación" xfId="4593" xr:uid="{00000000-0005-0000-0000-00006B110000}"/>
    <cellStyle name="Celda vinculada" xfId="4594" xr:uid="{00000000-0005-0000-0000-00006C110000}"/>
    <cellStyle name="Cella collegata" xfId="90" xr:uid="{00000000-0005-0000-0000-00006D110000}"/>
    <cellStyle name="Cella collegata 2" xfId="4595" xr:uid="{00000000-0005-0000-0000-00006E110000}"/>
    <cellStyle name="Cella collegata 3" xfId="4596" xr:uid="{00000000-0005-0000-0000-00006F110000}"/>
    <cellStyle name="Cella collegata 4" xfId="4597" xr:uid="{00000000-0005-0000-0000-000070110000}"/>
    <cellStyle name="Cella collegata_MCEV_activiteiten 2012Q4 gedeeld op 11-1-2012" xfId="4598" xr:uid="{00000000-0005-0000-0000-000071110000}"/>
    <cellStyle name="Cella da controllare" xfId="91" xr:uid="{00000000-0005-0000-0000-000072110000}"/>
    <cellStyle name="Cella da controllare 2" xfId="4599" xr:uid="{00000000-0005-0000-0000-000073110000}"/>
    <cellStyle name="Cella da controllare 2 2" xfId="4600" xr:uid="{00000000-0005-0000-0000-000074110000}"/>
    <cellStyle name="Cella da controllare 3" xfId="4601" xr:uid="{00000000-0005-0000-0000-000075110000}"/>
    <cellStyle name="Cella da controllare 4" xfId="4602" xr:uid="{00000000-0005-0000-0000-000076110000}"/>
    <cellStyle name="Cella da controllare 5" xfId="4603" xr:uid="{00000000-0005-0000-0000-000077110000}"/>
    <cellStyle name="Cella da controllare_Map2" xfId="4604" xr:uid="{00000000-0005-0000-0000-000078110000}"/>
    <cellStyle name="Cellule liée" xfId="92" xr:uid="{00000000-0005-0000-0000-000079110000}"/>
    <cellStyle name="Cellule liée 2" xfId="4605" xr:uid="{00000000-0005-0000-0000-00007A110000}"/>
    <cellStyle name="Cellule liée 3" xfId="4606" xr:uid="{00000000-0005-0000-0000-00007B110000}"/>
    <cellStyle name="Cellule liée 4" xfId="4607" xr:uid="{00000000-0005-0000-0000-00007C110000}"/>
    <cellStyle name="Cellule liée_Concept Analyse verschillen TS  LTGA en QIS5 v1" xfId="4608" xr:uid="{00000000-0005-0000-0000-00007D110000}"/>
    <cellStyle name="Célula Ligada" xfId="4609" xr:uid="{00000000-0005-0000-0000-00007E110000}"/>
    <cellStyle name="Célula Ligada 2" xfId="4610" xr:uid="{00000000-0005-0000-0000-00007F110000}"/>
    <cellStyle name="Check Cell" xfId="100" xr:uid="{00000000-0005-0000-0000-000080110000}"/>
    <cellStyle name="Check Cell 10" xfId="4611" xr:uid="{00000000-0005-0000-0000-000081110000}"/>
    <cellStyle name="Check Cell 100" xfId="4612" xr:uid="{00000000-0005-0000-0000-000082110000}"/>
    <cellStyle name="Check Cell 1000" xfId="4613" xr:uid="{00000000-0005-0000-0000-000083110000}"/>
    <cellStyle name="Check Cell 1001" xfId="4614" xr:uid="{00000000-0005-0000-0000-000084110000}"/>
    <cellStyle name="Check Cell 1002" xfId="4615" xr:uid="{00000000-0005-0000-0000-000085110000}"/>
    <cellStyle name="Check Cell 1003" xfId="4616" xr:uid="{00000000-0005-0000-0000-000086110000}"/>
    <cellStyle name="Check Cell 1004" xfId="4617" xr:uid="{00000000-0005-0000-0000-000087110000}"/>
    <cellStyle name="Check Cell 1005" xfId="4618" xr:uid="{00000000-0005-0000-0000-000088110000}"/>
    <cellStyle name="Check Cell 1006" xfId="4619" xr:uid="{00000000-0005-0000-0000-000089110000}"/>
    <cellStyle name="Check Cell 1007" xfId="4620" xr:uid="{00000000-0005-0000-0000-00008A110000}"/>
    <cellStyle name="Check Cell 1008" xfId="4621" xr:uid="{00000000-0005-0000-0000-00008B110000}"/>
    <cellStyle name="Check Cell 1009" xfId="4622" xr:uid="{00000000-0005-0000-0000-00008C110000}"/>
    <cellStyle name="Check Cell 101" xfId="4623" xr:uid="{00000000-0005-0000-0000-00008D110000}"/>
    <cellStyle name="Check Cell 1010" xfId="4624" xr:uid="{00000000-0005-0000-0000-00008E110000}"/>
    <cellStyle name="Check Cell 1011" xfId="4625" xr:uid="{00000000-0005-0000-0000-00008F110000}"/>
    <cellStyle name="Check Cell 1012" xfId="4626" xr:uid="{00000000-0005-0000-0000-000090110000}"/>
    <cellStyle name="Check Cell 1013" xfId="4627" xr:uid="{00000000-0005-0000-0000-000091110000}"/>
    <cellStyle name="Check Cell 1014" xfId="4628" xr:uid="{00000000-0005-0000-0000-000092110000}"/>
    <cellStyle name="Check Cell 1015" xfId="4629" xr:uid="{00000000-0005-0000-0000-000093110000}"/>
    <cellStyle name="Check Cell 1016" xfId="4630" xr:uid="{00000000-0005-0000-0000-000094110000}"/>
    <cellStyle name="Check Cell 1017" xfId="4631" xr:uid="{00000000-0005-0000-0000-000095110000}"/>
    <cellStyle name="Check Cell 1018" xfId="4632" xr:uid="{00000000-0005-0000-0000-000096110000}"/>
    <cellStyle name="Check Cell 1019" xfId="4633" xr:uid="{00000000-0005-0000-0000-000097110000}"/>
    <cellStyle name="Check Cell 102" xfId="4634" xr:uid="{00000000-0005-0000-0000-000098110000}"/>
    <cellStyle name="Check Cell 1020" xfId="4635" xr:uid="{00000000-0005-0000-0000-000099110000}"/>
    <cellStyle name="Check Cell 1021" xfId="4636" xr:uid="{00000000-0005-0000-0000-00009A110000}"/>
    <cellStyle name="Check Cell 1022" xfId="4637" xr:uid="{00000000-0005-0000-0000-00009B110000}"/>
    <cellStyle name="Check Cell 1023" xfId="4638" xr:uid="{00000000-0005-0000-0000-00009C110000}"/>
    <cellStyle name="Check Cell 1024" xfId="4639" xr:uid="{00000000-0005-0000-0000-00009D110000}"/>
    <cellStyle name="Check Cell 1025" xfId="4640" xr:uid="{00000000-0005-0000-0000-00009E110000}"/>
    <cellStyle name="Check Cell 1026" xfId="4641" xr:uid="{00000000-0005-0000-0000-00009F110000}"/>
    <cellStyle name="Check Cell 1027" xfId="4642" xr:uid="{00000000-0005-0000-0000-0000A0110000}"/>
    <cellStyle name="Check Cell 1028" xfId="4643" xr:uid="{00000000-0005-0000-0000-0000A1110000}"/>
    <cellStyle name="Check Cell 1029" xfId="4644" xr:uid="{00000000-0005-0000-0000-0000A2110000}"/>
    <cellStyle name="Check Cell 103" xfId="4645" xr:uid="{00000000-0005-0000-0000-0000A3110000}"/>
    <cellStyle name="Check Cell 1030" xfId="4646" xr:uid="{00000000-0005-0000-0000-0000A4110000}"/>
    <cellStyle name="Check Cell 1031" xfId="4647" xr:uid="{00000000-0005-0000-0000-0000A5110000}"/>
    <cellStyle name="Check Cell 1032" xfId="4648" xr:uid="{00000000-0005-0000-0000-0000A6110000}"/>
    <cellStyle name="Check Cell 1033" xfId="4649" xr:uid="{00000000-0005-0000-0000-0000A7110000}"/>
    <cellStyle name="Check Cell 1034" xfId="4650" xr:uid="{00000000-0005-0000-0000-0000A8110000}"/>
    <cellStyle name="Check Cell 1035" xfId="4651" xr:uid="{00000000-0005-0000-0000-0000A9110000}"/>
    <cellStyle name="Check Cell 1036" xfId="4652" xr:uid="{00000000-0005-0000-0000-0000AA110000}"/>
    <cellStyle name="Check Cell 1037" xfId="4653" xr:uid="{00000000-0005-0000-0000-0000AB110000}"/>
    <cellStyle name="Check Cell 1038" xfId="4654" xr:uid="{00000000-0005-0000-0000-0000AC110000}"/>
    <cellStyle name="Check Cell 1039" xfId="4655" xr:uid="{00000000-0005-0000-0000-0000AD110000}"/>
    <cellStyle name="Check Cell 104" xfId="4656" xr:uid="{00000000-0005-0000-0000-0000AE110000}"/>
    <cellStyle name="Check Cell 1040" xfId="4657" xr:uid="{00000000-0005-0000-0000-0000AF110000}"/>
    <cellStyle name="Check Cell 1041" xfId="4658" xr:uid="{00000000-0005-0000-0000-0000B0110000}"/>
    <cellStyle name="Check Cell 1042" xfId="4659" xr:uid="{00000000-0005-0000-0000-0000B1110000}"/>
    <cellStyle name="Check Cell 1043" xfId="4660" xr:uid="{00000000-0005-0000-0000-0000B2110000}"/>
    <cellStyle name="Check Cell 1044" xfId="4661" xr:uid="{00000000-0005-0000-0000-0000B3110000}"/>
    <cellStyle name="Check Cell 1045" xfId="4662" xr:uid="{00000000-0005-0000-0000-0000B4110000}"/>
    <cellStyle name="Check Cell 1046" xfId="4663" xr:uid="{00000000-0005-0000-0000-0000B5110000}"/>
    <cellStyle name="Check Cell 1047" xfId="4664" xr:uid="{00000000-0005-0000-0000-0000B6110000}"/>
    <cellStyle name="Check Cell 1048" xfId="4665" xr:uid="{00000000-0005-0000-0000-0000B7110000}"/>
    <cellStyle name="Check Cell 1049" xfId="4666" xr:uid="{00000000-0005-0000-0000-0000B8110000}"/>
    <cellStyle name="Check Cell 105" xfId="4667" xr:uid="{00000000-0005-0000-0000-0000B9110000}"/>
    <cellStyle name="Check Cell 1050" xfId="4668" xr:uid="{00000000-0005-0000-0000-0000BA110000}"/>
    <cellStyle name="Check Cell 1051" xfId="4669" xr:uid="{00000000-0005-0000-0000-0000BB110000}"/>
    <cellStyle name="Check Cell 1052" xfId="4670" xr:uid="{00000000-0005-0000-0000-0000BC110000}"/>
    <cellStyle name="Check Cell 1053" xfId="4671" xr:uid="{00000000-0005-0000-0000-0000BD110000}"/>
    <cellStyle name="Check Cell 1054" xfId="4672" xr:uid="{00000000-0005-0000-0000-0000BE110000}"/>
    <cellStyle name="Check Cell 1055" xfId="4673" xr:uid="{00000000-0005-0000-0000-0000BF110000}"/>
    <cellStyle name="Check Cell 1056" xfId="4674" xr:uid="{00000000-0005-0000-0000-0000C0110000}"/>
    <cellStyle name="Check Cell 1057" xfId="4675" xr:uid="{00000000-0005-0000-0000-0000C1110000}"/>
    <cellStyle name="Check Cell 1058" xfId="4676" xr:uid="{00000000-0005-0000-0000-0000C2110000}"/>
    <cellStyle name="Check Cell 1059" xfId="4677" xr:uid="{00000000-0005-0000-0000-0000C3110000}"/>
    <cellStyle name="Check Cell 106" xfId="4678" xr:uid="{00000000-0005-0000-0000-0000C4110000}"/>
    <cellStyle name="Check Cell 1060" xfId="4679" xr:uid="{00000000-0005-0000-0000-0000C5110000}"/>
    <cellStyle name="Check Cell 1061" xfId="4680" xr:uid="{00000000-0005-0000-0000-0000C6110000}"/>
    <cellStyle name="Check Cell 1062" xfId="4681" xr:uid="{00000000-0005-0000-0000-0000C7110000}"/>
    <cellStyle name="Check Cell 1063" xfId="4682" xr:uid="{00000000-0005-0000-0000-0000C8110000}"/>
    <cellStyle name="Check Cell 1064" xfId="4683" xr:uid="{00000000-0005-0000-0000-0000C9110000}"/>
    <cellStyle name="Check Cell 1065" xfId="4684" xr:uid="{00000000-0005-0000-0000-0000CA110000}"/>
    <cellStyle name="Check Cell 1066" xfId="4685" xr:uid="{00000000-0005-0000-0000-0000CB110000}"/>
    <cellStyle name="Check Cell 1067" xfId="4686" xr:uid="{00000000-0005-0000-0000-0000CC110000}"/>
    <cellStyle name="Check Cell 1068" xfId="4687" xr:uid="{00000000-0005-0000-0000-0000CD110000}"/>
    <cellStyle name="Check Cell 1069" xfId="4688" xr:uid="{00000000-0005-0000-0000-0000CE110000}"/>
    <cellStyle name="Check Cell 107" xfId="4689" xr:uid="{00000000-0005-0000-0000-0000CF110000}"/>
    <cellStyle name="Check Cell 1070" xfId="4690" xr:uid="{00000000-0005-0000-0000-0000D0110000}"/>
    <cellStyle name="Check Cell 1071" xfId="4691" xr:uid="{00000000-0005-0000-0000-0000D1110000}"/>
    <cellStyle name="Check Cell 1072" xfId="4692" xr:uid="{00000000-0005-0000-0000-0000D2110000}"/>
    <cellStyle name="Check Cell 1073" xfId="4693" xr:uid="{00000000-0005-0000-0000-0000D3110000}"/>
    <cellStyle name="Check Cell 1074" xfId="4694" xr:uid="{00000000-0005-0000-0000-0000D4110000}"/>
    <cellStyle name="Check Cell 1075" xfId="4695" xr:uid="{00000000-0005-0000-0000-0000D5110000}"/>
    <cellStyle name="Check Cell 1076" xfId="4696" xr:uid="{00000000-0005-0000-0000-0000D6110000}"/>
    <cellStyle name="Check Cell 1077" xfId="4697" xr:uid="{00000000-0005-0000-0000-0000D7110000}"/>
    <cellStyle name="Check Cell 1078" xfId="4698" xr:uid="{00000000-0005-0000-0000-0000D8110000}"/>
    <cellStyle name="Check Cell 1079" xfId="4699" xr:uid="{00000000-0005-0000-0000-0000D9110000}"/>
    <cellStyle name="Check Cell 108" xfId="4700" xr:uid="{00000000-0005-0000-0000-0000DA110000}"/>
    <cellStyle name="Check Cell 1080" xfId="4701" xr:uid="{00000000-0005-0000-0000-0000DB110000}"/>
    <cellStyle name="Check Cell 1081" xfId="4702" xr:uid="{00000000-0005-0000-0000-0000DC110000}"/>
    <cellStyle name="Check Cell 1082" xfId="4703" xr:uid="{00000000-0005-0000-0000-0000DD110000}"/>
    <cellStyle name="Check Cell 1083" xfId="4704" xr:uid="{00000000-0005-0000-0000-0000DE110000}"/>
    <cellStyle name="Check Cell 1084" xfId="4705" xr:uid="{00000000-0005-0000-0000-0000DF110000}"/>
    <cellStyle name="Check Cell 1085" xfId="4706" xr:uid="{00000000-0005-0000-0000-0000E0110000}"/>
    <cellStyle name="Check Cell 1086" xfId="4707" xr:uid="{00000000-0005-0000-0000-0000E1110000}"/>
    <cellStyle name="Check Cell 1087" xfId="4708" xr:uid="{00000000-0005-0000-0000-0000E2110000}"/>
    <cellStyle name="Check Cell 1088" xfId="4709" xr:uid="{00000000-0005-0000-0000-0000E3110000}"/>
    <cellStyle name="Check Cell 1089" xfId="4710" xr:uid="{00000000-0005-0000-0000-0000E4110000}"/>
    <cellStyle name="Check Cell 109" xfId="4711" xr:uid="{00000000-0005-0000-0000-0000E5110000}"/>
    <cellStyle name="Check Cell 1090" xfId="4712" xr:uid="{00000000-0005-0000-0000-0000E6110000}"/>
    <cellStyle name="Check Cell 1091" xfId="4713" xr:uid="{00000000-0005-0000-0000-0000E7110000}"/>
    <cellStyle name="Check Cell 1092" xfId="4714" xr:uid="{00000000-0005-0000-0000-0000E8110000}"/>
    <cellStyle name="Check Cell 1093" xfId="4715" xr:uid="{00000000-0005-0000-0000-0000E9110000}"/>
    <cellStyle name="Check Cell 1094" xfId="4716" xr:uid="{00000000-0005-0000-0000-0000EA110000}"/>
    <cellStyle name="Check Cell 1095" xfId="4717" xr:uid="{00000000-0005-0000-0000-0000EB110000}"/>
    <cellStyle name="Check Cell 1096" xfId="4718" xr:uid="{00000000-0005-0000-0000-0000EC110000}"/>
    <cellStyle name="Check Cell 1097" xfId="4719" xr:uid="{00000000-0005-0000-0000-0000ED110000}"/>
    <cellStyle name="Check Cell 1098" xfId="4720" xr:uid="{00000000-0005-0000-0000-0000EE110000}"/>
    <cellStyle name="Check Cell 1099" xfId="4721" xr:uid="{00000000-0005-0000-0000-0000EF110000}"/>
    <cellStyle name="Check Cell 11" xfId="4722" xr:uid="{00000000-0005-0000-0000-0000F0110000}"/>
    <cellStyle name="Check Cell 110" xfId="4723" xr:uid="{00000000-0005-0000-0000-0000F1110000}"/>
    <cellStyle name="Check Cell 1100" xfId="4724" xr:uid="{00000000-0005-0000-0000-0000F2110000}"/>
    <cellStyle name="Check Cell 1101" xfId="4725" xr:uid="{00000000-0005-0000-0000-0000F3110000}"/>
    <cellStyle name="Check Cell 1102" xfId="4726" xr:uid="{00000000-0005-0000-0000-0000F4110000}"/>
    <cellStyle name="Check Cell 1103" xfId="4727" xr:uid="{00000000-0005-0000-0000-0000F5110000}"/>
    <cellStyle name="Check Cell 1104" xfId="4728" xr:uid="{00000000-0005-0000-0000-0000F6110000}"/>
    <cellStyle name="Check Cell 1105" xfId="4729" xr:uid="{00000000-0005-0000-0000-0000F7110000}"/>
    <cellStyle name="Check Cell 1106" xfId="4730" xr:uid="{00000000-0005-0000-0000-0000F8110000}"/>
    <cellStyle name="Check Cell 1107" xfId="4731" xr:uid="{00000000-0005-0000-0000-0000F9110000}"/>
    <cellStyle name="Check Cell 1108" xfId="4732" xr:uid="{00000000-0005-0000-0000-0000FA110000}"/>
    <cellStyle name="Check Cell 1109" xfId="4733" xr:uid="{00000000-0005-0000-0000-0000FB110000}"/>
    <cellStyle name="Check Cell 111" xfId="4734" xr:uid="{00000000-0005-0000-0000-0000FC110000}"/>
    <cellStyle name="Check Cell 1110" xfId="4735" xr:uid="{00000000-0005-0000-0000-0000FD110000}"/>
    <cellStyle name="Check Cell 1111" xfId="4736" xr:uid="{00000000-0005-0000-0000-0000FE110000}"/>
    <cellStyle name="Check Cell 1112" xfId="4737" xr:uid="{00000000-0005-0000-0000-0000FF110000}"/>
    <cellStyle name="Check Cell 1113" xfId="4738" xr:uid="{00000000-0005-0000-0000-000000120000}"/>
    <cellStyle name="Check Cell 1114" xfId="4739" xr:uid="{00000000-0005-0000-0000-000001120000}"/>
    <cellStyle name="Check Cell 1115" xfId="4740" xr:uid="{00000000-0005-0000-0000-000002120000}"/>
    <cellStyle name="Check Cell 1116" xfId="4741" xr:uid="{00000000-0005-0000-0000-000003120000}"/>
    <cellStyle name="Check Cell 1117" xfId="4742" xr:uid="{00000000-0005-0000-0000-000004120000}"/>
    <cellStyle name="Check Cell 1118" xfId="4743" xr:uid="{00000000-0005-0000-0000-000005120000}"/>
    <cellStyle name="Check Cell 1119" xfId="4744" xr:uid="{00000000-0005-0000-0000-000006120000}"/>
    <cellStyle name="Check Cell 112" xfId="4745" xr:uid="{00000000-0005-0000-0000-000007120000}"/>
    <cellStyle name="Check Cell 1120" xfId="4746" xr:uid="{00000000-0005-0000-0000-000008120000}"/>
    <cellStyle name="Check Cell 1121" xfId="4747" xr:uid="{00000000-0005-0000-0000-000009120000}"/>
    <cellStyle name="Check Cell 1122" xfId="4748" xr:uid="{00000000-0005-0000-0000-00000A120000}"/>
    <cellStyle name="Check Cell 1123" xfId="4749" xr:uid="{00000000-0005-0000-0000-00000B120000}"/>
    <cellStyle name="Check Cell 1124" xfId="4750" xr:uid="{00000000-0005-0000-0000-00000C120000}"/>
    <cellStyle name="Check Cell 1125" xfId="4751" xr:uid="{00000000-0005-0000-0000-00000D120000}"/>
    <cellStyle name="Check Cell 1126" xfId="4752" xr:uid="{00000000-0005-0000-0000-00000E120000}"/>
    <cellStyle name="Check Cell 1127" xfId="4753" xr:uid="{00000000-0005-0000-0000-00000F120000}"/>
    <cellStyle name="Check Cell 1128" xfId="4754" xr:uid="{00000000-0005-0000-0000-000010120000}"/>
    <cellStyle name="Check Cell 1129" xfId="4755" xr:uid="{00000000-0005-0000-0000-000011120000}"/>
    <cellStyle name="Check Cell 113" xfId="4756" xr:uid="{00000000-0005-0000-0000-000012120000}"/>
    <cellStyle name="Check Cell 1130" xfId="4757" xr:uid="{00000000-0005-0000-0000-000013120000}"/>
    <cellStyle name="Check Cell 1131" xfId="4758" xr:uid="{00000000-0005-0000-0000-000014120000}"/>
    <cellStyle name="Check Cell 1132" xfId="4759" xr:uid="{00000000-0005-0000-0000-000015120000}"/>
    <cellStyle name="Check Cell 1133" xfId="4760" xr:uid="{00000000-0005-0000-0000-000016120000}"/>
    <cellStyle name="Check Cell 1134" xfId="4761" xr:uid="{00000000-0005-0000-0000-000017120000}"/>
    <cellStyle name="Check Cell 1135" xfId="4762" xr:uid="{00000000-0005-0000-0000-000018120000}"/>
    <cellStyle name="Check Cell 1136" xfId="4763" xr:uid="{00000000-0005-0000-0000-000019120000}"/>
    <cellStyle name="Check Cell 1137" xfId="4764" xr:uid="{00000000-0005-0000-0000-00001A120000}"/>
    <cellStyle name="Check Cell 1138" xfId="4765" xr:uid="{00000000-0005-0000-0000-00001B120000}"/>
    <cellStyle name="Check Cell 1139" xfId="4766" xr:uid="{00000000-0005-0000-0000-00001C120000}"/>
    <cellStyle name="Check Cell 114" xfId="4767" xr:uid="{00000000-0005-0000-0000-00001D120000}"/>
    <cellStyle name="Check Cell 1140" xfId="4768" xr:uid="{00000000-0005-0000-0000-00001E120000}"/>
    <cellStyle name="Check Cell 1141" xfId="4769" xr:uid="{00000000-0005-0000-0000-00001F120000}"/>
    <cellStyle name="Check Cell 1142" xfId="4770" xr:uid="{00000000-0005-0000-0000-000020120000}"/>
    <cellStyle name="Check Cell 1143" xfId="4771" xr:uid="{00000000-0005-0000-0000-000021120000}"/>
    <cellStyle name="Check Cell 1144" xfId="4772" xr:uid="{00000000-0005-0000-0000-000022120000}"/>
    <cellStyle name="Check Cell 1145" xfId="4773" xr:uid="{00000000-0005-0000-0000-000023120000}"/>
    <cellStyle name="Check Cell 1146" xfId="4774" xr:uid="{00000000-0005-0000-0000-000024120000}"/>
    <cellStyle name="Check Cell 1147" xfId="4775" xr:uid="{00000000-0005-0000-0000-000025120000}"/>
    <cellStyle name="Check Cell 1148" xfId="4776" xr:uid="{00000000-0005-0000-0000-000026120000}"/>
    <cellStyle name="Check Cell 1149" xfId="4777" xr:uid="{00000000-0005-0000-0000-000027120000}"/>
    <cellStyle name="Check Cell 115" xfId="4778" xr:uid="{00000000-0005-0000-0000-000028120000}"/>
    <cellStyle name="Check Cell 1150" xfId="4779" xr:uid="{00000000-0005-0000-0000-000029120000}"/>
    <cellStyle name="Check Cell 1151" xfId="4780" xr:uid="{00000000-0005-0000-0000-00002A120000}"/>
    <cellStyle name="Check Cell 1152" xfId="4781" xr:uid="{00000000-0005-0000-0000-00002B120000}"/>
    <cellStyle name="Check Cell 1153" xfId="4782" xr:uid="{00000000-0005-0000-0000-00002C120000}"/>
    <cellStyle name="Check Cell 1154" xfId="4783" xr:uid="{00000000-0005-0000-0000-00002D120000}"/>
    <cellStyle name="Check Cell 1155" xfId="4784" xr:uid="{00000000-0005-0000-0000-00002E120000}"/>
    <cellStyle name="Check Cell 1156" xfId="4785" xr:uid="{00000000-0005-0000-0000-00002F120000}"/>
    <cellStyle name="Check Cell 1157" xfId="4786" xr:uid="{00000000-0005-0000-0000-000030120000}"/>
    <cellStyle name="Check Cell 1158" xfId="4787" xr:uid="{00000000-0005-0000-0000-000031120000}"/>
    <cellStyle name="Check Cell 1159" xfId="4788" xr:uid="{00000000-0005-0000-0000-000032120000}"/>
    <cellStyle name="Check Cell 116" xfId="4789" xr:uid="{00000000-0005-0000-0000-000033120000}"/>
    <cellStyle name="Check Cell 1160" xfId="4790" xr:uid="{00000000-0005-0000-0000-000034120000}"/>
    <cellStyle name="Check Cell 1161" xfId="4791" xr:uid="{00000000-0005-0000-0000-000035120000}"/>
    <cellStyle name="Check Cell 1162" xfId="4792" xr:uid="{00000000-0005-0000-0000-000036120000}"/>
    <cellStyle name="Check Cell 117" xfId="4793" xr:uid="{00000000-0005-0000-0000-000037120000}"/>
    <cellStyle name="Check Cell 118" xfId="4794" xr:uid="{00000000-0005-0000-0000-000038120000}"/>
    <cellStyle name="Check Cell 119" xfId="4795" xr:uid="{00000000-0005-0000-0000-000039120000}"/>
    <cellStyle name="Check Cell 12" xfId="4796" xr:uid="{00000000-0005-0000-0000-00003A120000}"/>
    <cellStyle name="Check Cell 120" xfId="4797" xr:uid="{00000000-0005-0000-0000-00003B120000}"/>
    <cellStyle name="Check Cell 121" xfId="4798" xr:uid="{00000000-0005-0000-0000-00003C120000}"/>
    <cellStyle name="Check Cell 122" xfId="4799" xr:uid="{00000000-0005-0000-0000-00003D120000}"/>
    <cellStyle name="Check Cell 123" xfId="4800" xr:uid="{00000000-0005-0000-0000-00003E120000}"/>
    <cellStyle name="Check Cell 124" xfId="4801" xr:uid="{00000000-0005-0000-0000-00003F120000}"/>
    <cellStyle name="Check Cell 125" xfId="4802" xr:uid="{00000000-0005-0000-0000-000040120000}"/>
    <cellStyle name="Check Cell 126" xfId="4803" xr:uid="{00000000-0005-0000-0000-000041120000}"/>
    <cellStyle name="Check Cell 127" xfId="4804" xr:uid="{00000000-0005-0000-0000-000042120000}"/>
    <cellStyle name="Check Cell 128" xfId="4805" xr:uid="{00000000-0005-0000-0000-000043120000}"/>
    <cellStyle name="Check Cell 129" xfId="4806" xr:uid="{00000000-0005-0000-0000-000044120000}"/>
    <cellStyle name="Check Cell 13" xfId="4807" xr:uid="{00000000-0005-0000-0000-000045120000}"/>
    <cellStyle name="Check Cell 130" xfId="4808" xr:uid="{00000000-0005-0000-0000-000046120000}"/>
    <cellStyle name="Check Cell 131" xfId="4809" xr:uid="{00000000-0005-0000-0000-000047120000}"/>
    <cellStyle name="Check Cell 132" xfId="4810" xr:uid="{00000000-0005-0000-0000-000048120000}"/>
    <cellStyle name="Check Cell 133" xfId="4811" xr:uid="{00000000-0005-0000-0000-000049120000}"/>
    <cellStyle name="Check Cell 134" xfId="4812" xr:uid="{00000000-0005-0000-0000-00004A120000}"/>
    <cellStyle name="Check Cell 135" xfId="4813" xr:uid="{00000000-0005-0000-0000-00004B120000}"/>
    <cellStyle name="Check Cell 136" xfId="4814" xr:uid="{00000000-0005-0000-0000-00004C120000}"/>
    <cellStyle name="Check Cell 137" xfId="4815" xr:uid="{00000000-0005-0000-0000-00004D120000}"/>
    <cellStyle name="Check Cell 138" xfId="4816" xr:uid="{00000000-0005-0000-0000-00004E120000}"/>
    <cellStyle name="Check Cell 139" xfId="4817" xr:uid="{00000000-0005-0000-0000-00004F120000}"/>
    <cellStyle name="Check Cell 14" xfId="4818" xr:uid="{00000000-0005-0000-0000-000050120000}"/>
    <cellStyle name="Check Cell 140" xfId="4819" xr:uid="{00000000-0005-0000-0000-000051120000}"/>
    <cellStyle name="Check Cell 141" xfId="4820" xr:uid="{00000000-0005-0000-0000-000052120000}"/>
    <cellStyle name="Check Cell 142" xfId="4821" xr:uid="{00000000-0005-0000-0000-000053120000}"/>
    <cellStyle name="Check Cell 143" xfId="4822" xr:uid="{00000000-0005-0000-0000-000054120000}"/>
    <cellStyle name="Check Cell 144" xfId="4823" xr:uid="{00000000-0005-0000-0000-000055120000}"/>
    <cellStyle name="Check Cell 145" xfId="4824" xr:uid="{00000000-0005-0000-0000-000056120000}"/>
    <cellStyle name="Check Cell 146" xfId="4825" xr:uid="{00000000-0005-0000-0000-000057120000}"/>
    <cellStyle name="Check Cell 147" xfId="4826" xr:uid="{00000000-0005-0000-0000-000058120000}"/>
    <cellStyle name="Check Cell 148" xfId="4827" xr:uid="{00000000-0005-0000-0000-000059120000}"/>
    <cellStyle name="Check Cell 149" xfId="4828" xr:uid="{00000000-0005-0000-0000-00005A120000}"/>
    <cellStyle name="Check Cell 15" xfId="4829" xr:uid="{00000000-0005-0000-0000-00005B120000}"/>
    <cellStyle name="Check Cell 150" xfId="4830" xr:uid="{00000000-0005-0000-0000-00005C120000}"/>
    <cellStyle name="Check Cell 151" xfId="4831" xr:uid="{00000000-0005-0000-0000-00005D120000}"/>
    <cellStyle name="Check Cell 152" xfId="4832" xr:uid="{00000000-0005-0000-0000-00005E120000}"/>
    <cellStyle name="Check Cell 153" xfId="4833" xr:uid="{00000000-0005-0000-0000-00005F120000}"/>
    <cellStyle name="Check Cell 154" xfId="4834" xr:uid="{00000000-0005-0000-0000-000060120000}"/>
    <cellStyle name="Check Cell 155" xfId="4835" xr:uid="{00000000-0005-0000-0000-000061120000}"/>
    <cellStyle name="Check Cell 156" xfId="4836" xr:uid="{00000000-0005-0000-0000-000062120000}"/>
    <cellStyle name="Check Cell 157" xfId="4837" xr:uid="{00000000-0005-0000-0000-000063120000}"/>
    <cellStyle name="Check Cell 158" xfId="4838" xr:uid="{00000000-0005-0000-0000-000064120000}"/>
    <cellStyle name="Check Cell 159" xfId="4839" xr:uid="{00000000-0005-0000-0000-000065120000}"/>
    <cellStyle name="Check Cell 16" xfId="4840" xr:uid="{00000000-0005-0000-0000-000066120000}"/>
    <cellStyle name="Check Cell 160" xfId="4841" xr:uid="{00000000-0005-0000-0000-000067120000}"/>
    <cellStyle name="Check Cell 161" xfId="4842" xr:uid="{00000000-0005-0000-0000-000068120000}"/>
    <cellStyle name="Check Cell 162" xfId="4843" xr:uid="{00000000-0005-0000-0000-000069120000}"/>
    <cellStyle name="Check Cell 163" xfId="4844" xr:uid="{00000000-0005-0000-0000-00006A120000}"/>
    <cellStyle name="Check Cell 164" xfId="4845" xr:uid="{00000000-0005-0000-0000-00006B120000}"/>
    <cellStyle name="Check Cell 165" xfId="4846" xr:uid="{00000000-0005-0000-0000-00006C120000}"/>
    <cellStyle name="Check Cell 166" xfId="4847" xr:uid="{00000000-0005-0000-0000-00006D120000}"/>
    <cellStyle name="Check Cell 167" xfId="4848" xr:uid="{00000000-0005-0000-0000-00006E120000}"/>
    <cellStyle name="Check Cell 168" xfId="4849" xr:uid="{00000000-0005-0000-0000-00006F120000}"/>
    <cellStyle name="Check Cell 169" xfId="4850" xr:uid="{00000000-0005-0000-0000-000070120000}"/>
    <cellStyle name="Check Cell 17" xfId="4851" xr:uid="{00000000-0005-0000-0000-000071120000}"/>
    <cellStyle name="Check Cell 170" xfId="4852" xr:uid="{00000000-0005-0000-0000-000072120000}"/>
    <cellStyle name="Check Cell 171" xfId="4853" xr:uid="{00000000-0005-0000-0000-000073120000}"/>
    <cellStyle name="Check Cell 172" xfId="4854" xr:uid="{00000000-0005-0000-0000-000074120000}"/>
    <cellStyle name="Check Cell 173" xfId="4855" xr:uid="{00000000-0005-0000-0000-000075120000}"/>
    <cellStyle name="Check Cell 174" xfId="4856" xr:uid="{00000000-0005-0000-0000-000076120000}"/>
    <cellStyle name="Check Cell 175" xfId="4857" xr:uid="{00000000-0005-0000-0000-000077120000}"/>
    <cellStyle name="Check Cell 176" xfId="4858" xr:uid="{00000000-0005-0000-0000-000078120000}"/>
    <cellStyle name="Check Cell 177" xfId="4859" xr:uid="{00000000-0005-0000-0000-000079120000}"/>
    <cellStyle name="Check Cell 178" xfId="4860" xr:uid="{00000000-0005-0000-0000-00007A120000}"/>
    <cellStyle name="Check Cell 179" xfId="4861" xr:uid="{00000000-0005-0000-0000-00007B120000}"/>
    <cellStyle name="Check Cell 18" xfId="4862" xr:uid="{00000000-0005-0000-0000-00007C120000}"/>
    <cellStyle name="Check Cell 180" xfId="4863" xr:uid="{00000000-0005-0000-0000-00007D120000}"/>
    <cellStyle name="Check Cell 181" xfId="4864" xr:uid="{00000000-0005-0000-0000-00007E120000}"/>
    <cellStyle name="Check Cell 182" xfId="4865" xr:uid="{00000000-0005-0000-0000-00007F120000}"/>
    <cellStyle name="Check Cell 183" xfId="4866" xr:uid="{00000000-0005-0000-0000-000080120000}"/>
    <cellStyle name="Check Cell 184" xfId="4867" xr:uid="{00000000-0005-0000-0000-000081120000}"/>
    <cellStyle name="Check Cell 185" xfId="4868" xr:uid="{00000000-0005-0000-0000-000082120000}"/>
    <cellStyle name="Check Cell 186" xfId="4869" xr:uid="{00000000-0005-0000-0000-000083120000}"/>
    <cellStyle name="Check Cell 187" xfId="4870" xr:uid="{00000000-0005-0000-0000-000084120000}"/>
    <cellStyle name="Check Cell 188" xfId="4871" xr:uid="{00000000-0005-0000-0000-000085120000}"/>
    <cellStyle name="Check Cell 189" xfId="4872" xr:uid="{00000000-0005-0000-0000-000086120000}"/>
    <cellStyle name="Check Cell 19" xfId="4873" xr:uid="{00000000-0005-0000-0000-000087120000}"/>
    <cellStyle name="Check Cell 190" xfId="4874" xr:uid="{00000000-0005-0000-0000-000088120000}"/>
    <cellStyle name="Check Cell 191" xfId="4875" xr:uid="{00000000-0005-0000-0000-000089120000}"/>
    <cellStyle name="Check Cell 192" xfId="4876" xr:uid="{00000000-0005-0000-0000-00008A120000}"/>
    <cellStyle name="Check Cell 193" xfId="4877" xr:uid="{00000000-0005-0000-0000-00008B120000}"/>
    <cellStyle name="Check Cell 194" xfId="4878" xr:uid="{00000000-0005-0000-0000-00008C120000}"/>
    <cellStyle name="Check Cell 195" xfId="4879" xr:uid="{00000000-0005-0000-0000-00008D120000}"/>
    <cellStyle name="Check Cell 196" xfId="4880" xr:uid="{00000000-0005-0000-0000-00008E120000}"/>
    <cellStyle name="Check Cell 197" xfId="4881" xr:uid="{00000000-0005-0000-0000-00008F120000}"/>
    <cellStyle name="Check Cell 198" xfId="4882" xr:uid="{00000000-0005-0000-0000-000090120000}"/>
    <cellStyle name="Check Cell 199" xfId="4883" xr:uid="{00000000-0005-0000-0000-000091120000}"/>
    <cellStyle name="Check Cell 2" xfId="214" xr:uid="{00000000-0005-0000-0000-000092120000}"/>
    <cellStyle name="Check Cell 2 2" xfId="4884" xr:uid="{00000000-0005-0000-0000-000093120000}"/>
    <cellStyle name="Check Cell 2 3" xfId="4885" xr:uid="{00000000-0005-0000-0000-000094120000}"/>
    <cellStyle name="Check Cell 2 4" xfId="4886" xr:uid="{00000000-0005-0000-0000-000095120000}"/>
    <cellStyle name="Check Cell 20" xfId="4887" xr:uid="{00000000-0005-0000-0000-000096120000}"/>
    <cellStyle name="Check Cell 200" xfId="4888" xr:uid="{00000000-0005-0000-0000-000097120000}"/>
    <cellStyle name="Check Cell 201" xfId="4889" xr:uid="{00000000-0005-0000-0000-000098120000}"/>
    <cellStyle name="Check Cell 202" xfId="4890" xr:uid="{00000000-0005-0000-0000-000099120000}"/>
    <cellStyle name="Check Cell 203" xfId="4891" xr:uid="{00000000-0005-0000-0000-00009A120000}"/>
    <cellStyle name="Check Cell 204" xfId="4892" xr:uid="{00000000-0005-0000-0000-00009B120000}"/>
    <cellStyle name="Check Cell 205" xfId="4893" xr:uid="{00000000-0005-0000-0000-00009C120000}"/>
    <cellStyle name="Check Cell 206" xfId="4894" xr:uid="{00000000-0005-0000-0000-00009D120000}"/>
    <cellStyle name="Check Cell 207" xfId="4895" xr:uid="{00000000-0005-0000-0000-00009E120000}"/>
    <cellStyle name="Check Cell 208" xfId="4896" xr:uid="{00000000-0005-0000-0000-00009F120000}"/>
    <cellStyle name="Check Cell 209" xfId="4897" xr:uid="{00000000-0005-0000-0000-0000A0120000}"/>
    <cellStyle name="Check Cell 21" xfId="4898" xr:uid="{00000000-0005-0000-0000-0000A1120000}"/>
    <cellStyle name="Check Cell 210" xfId="4899" xr:uid="{00000000-0005-0000-0000-0000A2120000}"/>
    <cellStyle name="Check Cell 211" xfId="4900" xr:uid="{00000000-0005-0000-0000-0000A3120000}"/>
    <cellStyle name="Check Cell 212" xfId="4901" xr:uid="{00000000-0005-0000-0000-0000A4120000}"/>
    <cellStyle name="Check Cell 213" xfId="4902" xr:uid="{00000000-0005-0000-0000-0000A5120000}"/>
    <cellStyle name="Check Cell 214" xfId="4903" xr:uid="{00000000-0005-0000-0000-0000A6120000}"/>
    <cellStyle name="Check Cell 215" xfId="4904" xr:uid="{00000000-0005-0000-0000-0000A7120000}"/>
    <cellStyle name="Check Cell 216" xfId="4905" xr:uid="{00000000-0005-0000-0000-0000A8120000}"/>
    <cellStyle name="Check Cell 217" xfId="4906" xr:uid="{00000000-0005-0000-0000-0000A9120000}"/>
    <cellStyle name="Check Cell 218" xfId="4907" xr:uid="{00000000-0005-0000-0000-0000AA120000}"/>
    <cellStyle name="Check Cell 219" xfId="4908" xr:uid="{00000000-0005-0000-0000-0000AB120000}"/>
    <cellStyle name="Check Cell 22" xfId="4909" xr:uid="{00000000-0005-0000-0000-0000AC120000}"/>
    <cellStyle name="Check Cell 220" xfId="4910" xr:uid="{00000000-0005-0000-0000-0000AD120000}"/>
    <cellStyle name="Check Cell 221" xfId="4911" xr:uid="{00000000-0005-0000-0000-0000AE120000}"/>
    <cellStyle name="Check Cell 222" xfId="4912" xr:uid="{00000000-0005-0000-0000-0000AF120000}"/>
    <cellStyle name="Check Cell 223" xfId="4913" xr:uid="{00000000-0005-0000-0000-0000B0120000}"/>
    <cellStyle name="Check Cell 224" xfId="4914" xr:uid="{00000000-0005-0000-0000-0000B1120000}"/>
    <cellStyle name="Check Cell 225" xfId="4915" xr:uid="{00000000-0005-0000-0000-0000B2120000}"/>
    <cellStyle name="Check Cell 226" xfId="4916" xr:uid="{00000000-0005-0000-0000-0000B3120000}"/>
    <cellStyle name="Check Cell 227" xfId="4917" xr:uid="{00000000-0005-0000-0000-0000B4120000}"/>
    <cellStyle name="Check Cell 228" xfId="4918" xr:uid="{00000000-0005-0000-0000-0000B5120000}"/>
    <cellStyle name="Check Cell 229" xfId="4919" xr:uid="{00000000-0005-0000-0000-0000B6120000}"/>
    <cellStyle name="Check Cell 23" xfId="4920" xr:uid="{00000000-0005-0000-0000-0000B7120000}"/>
    <cellStyle name="Check Cell 230" xfId="4921" xr:uid="{00000000-0005-0000-0000-0000B8120000}"/>
    <cellStyle name="Check Cell 231" xfId="4922" xr:uid="{00000000-0005-0000-0000-0000B9120000}"/>
    <cellStyle name="Check Cell 232" xfId="4923" xr:uid="{00000000-0005-0000-0000-0000BA120000}"/>
    <cellStyle name="Check Cell 233" xfId="4924" xr:uid="{00000000-0005-0000-0000-0000BB120000}"/>
    <cellStyle name="Check Cell 234" xfId="4925" xr:uid="{00000000-0005-0000-0000-0000BC120000}"/>
    <cellStyle name="Check Cell 235" xfId="4926" xr:uid="{00000000-0005-0000-0000-0000BD120000}"/>
    <cellStyle name="Check Cell 236" xfId="4927" xr:uid="{00000000-0005-0000-0000-0000BE120000}"/>
    <cellStyle name="Check Cell 237" xfId="4928" xr:uid="{00000000-0005-0000-0000-0000BF120000}"/>
    <cellStyle name="Check Cell 238" xfId="4929" xr:uid="{00000000-0005-0000-0000-0000C0120000}"/>
    <cellStyle name="Check Cell 239" xfId="4930" xr:uid="{00000000-0005-0000-0000-0000C1120000}"/>
    <cellStyle name="Check Cell 24" xfId="4931" xr:uid="{00000000-0005-0000-0000-0000C2120000}"/>
    <cellStyle name="Check Cell 240" xfId="4932" xr:uid="{00000000-0005-0000-0000-0000C3120000}"/>
    <cellStyle name="Check Cell 241" xfId="4933" xr:uid="{00000000-0005-0000-0000-0000C4120000}"/>
    <cellStyle name="Check Cell 242" xfId="4934" xr:uid="{00000000-0005-0000-0000-0000C5120000}"/>
    <cellStyle name="Check Cell 243" xfId="4935" xr:uid="{00000000-0005-0000-0000-0000C6120000}"/>
    <cellStyle name="Check Cell 244" xfId="4936" xr:uid="{00000000-0005-0000-0000-0000C7120000}"/>
    <cellStyle name="Check Cell 245" xfId="4937" xr:uid="{00000000-0005-0000-0000-0000C8120000}"/>
    <cellStyle name="Check Cell 246" xfId="4938" xr:uid="{00000000-0005-0000-0000-0000C9120000}"/>
    <cellStyle name="Check Cell 247" xfId="4939" xr:uid="{00000000-0005-0000-0000-0000CA120000}"/>
    <cellStyle name="Check Cell 248" xfId="4940" xr:uid="{00000000-0005-0000-0000-0000CB120000}"/>
    <cellStyle name="Check Cell 249" xfId="4941" xr:uid="{00000000-0005-0000-0000-0000CC120000}"/>
    <cellStyle name="Check Cell 25" xfId="4942" xr:uid="{00000000-0005-0000-0000-0000CD120000}"/>
    <cellStyle name="Check Cell 250" xfId="4943" xr:uid="{00000000-0005-0000-0000-0000CE120000}"/>
    <cellStyle name="Check Cell 251" xfId="4944" xr:uid="{00000000-0005-0000-0000-0000CF120000}"/>
    <cellStyle name="Check Cell 252" xfId="4945" xr:uid="{00000000-0005-0000-0000-0000D0120000}"/>
    <cellStyle name="Check Cell 253" xfId="4946" xr:uid="{00000000-0005-0000-0000-0000D1120000}"/>
    <cellStyle name="Check Cell 254" xfId="4947" xr:uid="{00000000-0005-0000-0000-0000D2120000}"/>
    <cellStyle name="Check Cell 255" xfId="4948" xr:uid="{00000000-0005-0000-0000-0000D3120000}"/>
    <cellStyle name="Check Cell 256" xfId="4949" xr:uid="{00000000-0005-0000-0000-0000D4120000}"/>
    <cellStyle name="Check Cell 257" xfId="4950" xr:uid="{00000000-0005-0000-0000-0000D5120000}"/>
    <cellStyle name="Check Cell 258" xfId="4951" xr:uid="{00000000-0005-0000-0000-0000D6120000}"/>
    <cellStyle name="Check Cell 259" xfId="4952" xr:uid="{00000000-0005-0000-0000-0000D7120000}"/>
    <cellStyle name="Check Cell 26" xfId="4953" xr:uid="{00000000-0005-0000-0000-0000D8120000}"/>
    <cellStyle name="Check Cell 260" xfId="4954" xr:uid="{00000000-0005-0000-0000-0000D9120000}"/>
    <cellStyle name="Check Cell 261" xfId="4955" xr:uid="{00000000-0005-0000-0000-0000DA120000}"/>
    <cellStyle name="Check Cell 262" xfId="4956" xr:uid="{00000000-0005-0000-0000-0000DB120000}"/>
    <cellStyle name="Check Cell 263" xfId="4957" xr:uid="{00000000-0005-0000-0000-0000DC120000}"/>
    <cellStyle name="Check Cell 264" xfId="4958" xr:uid="{00000000-0005-0000-0000-0000DD120000}"/>
    <cellStyle name="Check Cell 265" xfId="4959" xr:uid="{00000000-0005-0000-0000-0000DE120000}"/>
    <cellStyle name="Check Cell 266" xfId="4960" xr:uid="{00000000-0005-0000-0000-0000DF120000}"/>
    <cellStyle name="Check Cell 267" xfId="4961" xr:uid="{00000000-0005-0000-0000-0000E0120000}"/>
    <cellStyle name="Check Cell 268" xfId="4962" xr:uid="{00000000-0005-0000-0000-0000E1120000}"/>
    <cellStyle name="Check Cell 269" xfId="4963" xr:uid="{00000000-0005-0000-0000-0000E2120000}"/>
    <cellStyle name="Check Cell 27" xfId="4964" xr:uid="{00000000-0005-0000-0000-0000E3120000}"/>
    <cellStyle name="Check Cell 270" xfId="4965" xr:uid="{00000000-0005-0000-0000-0000E4120000}"/>
    <cellStyle name="Check Cell 271" xfId="4966" xr:uid="{00000000-0005-0000-0000-0000E5120000}"/>
    <cellStyle name="Check Cell 272" xfId="4967" xr:uid="{00000000-0005-0000-0000-0000E6120000}"/>
    <cellStyle name="Check Cell 273" xfId="4968" xr:uid="{00000000-0005-0000-0000-0000E7120000}"/>
    <cellStyle name="Check Cell 274" xfId="4969" xr:uid="{00000000-0005-0000-0000-0000E8120000}"/>
    <cellStyle name="Check Cell 275" xfId="4970" xr:uid="{00000000-0005-0000-0000-0000E9120000}"/>
    <cellStyle name="Check Cell 276" xfId="4971" xr:uid="{00000000-0005-0000-0000-0000EA120000}"/>
    <cellStyle name="Check Cell 277" xfId="4972" xr:uid="{00000000-0005-0000-0000-0000EB120000}"/>
    <cellStyle name="Check Cell 278" xfId="4973" xr:uid="{00000000-0005-0000-0000-0000EC120000}"/>
    <cellStyle name="Check Cell 279" xfId="4974" xr:uid="{00000000-0005-0000-0000-0000ED120000}"/>
    <cellStyle name="Check Cell 28" xfId="4975" xr:uid="{00000000-0005-0000-0000-0000EE120000}"/>
    <cellStyle name="Check Cell 280" xfId="4976" xr:uid="{00000000-0005-0000-0000-0000EF120000}"/>
    <cellStyle name="Check Cell 281" xfId="4977" xr:uid="{00000000-0005-0000-0000-0000F0120000}"/>
    <cellStyle name="Check Cell 282" xfId="4978" xr:uid="{00000000-0005-0000-0000-0000F1120000}"/>
    <cellStyle name="Check Cell 283" xfId="4979" xr:uid="{00000000-0005-0000-0000-0000F2120000}"/>
    <cellStyle name="Check Cell 284" xfId="4980" xr:uid="{00000000-0005-0000-0000-0000F3120000}"/>
    <cellStyle name="Check Cell 285" xfId="4981" xr:uid="{00000000-0005-0000-0000-0000F4120000}"/>
    <cellStyle name="Check Cell 286" xfId="4982" xr:uid="{00000000-0005-0000-0000-0000F5120000}"/>
    <cellStyle name="Check Cell 287" xfId="4983" xr:uid="{00000000-0005-0000-0000-0000F6120000}"/>
    <cellStyle name="Check Cell 288" xfId="4984" xr:uid="{00000000-0005-0000-0000-0000F7120000}"/>
    <cellStyle name="Check Cell 289" xfId="4985" xr:uid="{00000000-0005-0000-0000-0000F8120000}"/>
    <cellStyle name="Check Cell 29" xfId="4986" xr:uid="{00000000-0005-0000-0000-0000F9120000}"/>
    <cellStyle name="Check Cell 290" xfId="4987" xr:uid="{00000000-0005-0000-0000-0000FA120000}"/>
    <cellStyle name="Check Cell 291" xfId="4988" xr:uid="{00000000-0005-0000-0000-0000FB120000}"/>
    <cellStyle name="Check Cell 292" xfId="4989" xr:uid="{00000000-0005-0000-0000-0000FC120000}"/>
    <cellStyle name="Check Cell 293" xfId="4990" xr:uid="{00000000-0005-0000-0000-0000FD120000}"/>
    <cellStyle name="Check Cell 294" xfId="4991" xr:uid="{00000000-0005-0000-0000-0000FE120000}"/>
    <cellStyle name="Check Cell 295" xfId="4992" xr:uid="{00000000-0005-0000-0000-0000FF120000}"/>
    <cellStyle name="Check Cell 296" xfId="4993" xr:uid="{00000000-0005-0000-0000-000000130000}"/>
    <cellStyle name="Check Cell 297" xfId="4994" xr:uid="{00000000-0005-0000-0000-000001130000}"/>
    <cellStyle name="Check Cell 298" xfId="4995" xr:uid="{00000000-0005-0000-0000-000002130000}"/>
    <cellStyle name="Check Cell 299" xfId="4996" xr:uid="{00000000-0005-0000-0000-000003130000}"/>
    <cellStyle name="Check Cell 3" xfId="4997" xr:uid="{00000000-0005-0000-0000-000004130000}"/>
    <cellStyle name="Check Cell 3 2" xfId="4998" xr:uid="{00000000-0005-0000-0000-000005130000}"/>
    <cellStyle name="Check Cell 3 3" xfId="4999" xr:uid="{00000000-0005-0000-0000-000006130000}"/>
    <cellStyle name="Check Cell 30" xfId="5000" xr:uid="{00000000-0005-0000-0000-000007130000}"/>
    <cellStyle name="Check Cell 300" xfId="5001" xr:uid="{00000000-0005-0000-0000-000008130000}"/>
    <cellStyle name="Check Cell 301" xfId="5002" xr:uid="{00000000-0005-0000-0000-000009130000}"/>
    <cellStyle name="Check Cell 302" xfId="5003" xr:uid="{00000000-0005-0000-0000-00000A130000}"/>
    <cellStyle name="Check Cell 303" xfId="5004" xr:uid="{00000000-0005-0000-0000-00000B130000}"/>
    <cellStyle name="Check Cell 304" xfId="5005" xr:uid="{00000000-0005-0000-0000-00000C130000}"/>
    <cellStyle name="Check Cell 305" xfId="5006" xr:uid="{00000000-0005-0000-0000-00000D130000}"/>
    <cellStyle name="Check Cell 306" xfId="5007" xr:uid="{00000000-0005-0000-0000-00000E130000}"/>
    <cellStyle name="Check Cell 307" xfId="5008" xr:uid="{00000000-0005-0000-0000-00000F130000}"/>
    <cellStyle name="Check Cell 308" xfId="5009" xr:uid="{00000000-0005-0000-0000-000010130000}"/>
    <cellStyle name="Check Cell 309" xfId="5010" xr:uid="{00000000-0005-0000-0000-000011130000}"/>
    <cellStyle name="Check Cell 31" xfId="5011" xr:uid="{00000000-0005-0000-0000-000012130000}"/>
    <cellStyle name="Check Cell 310" xfId="5012" xr:uid="{00000000-0005-0000-0000-000013130000}"/>
    <cellStyle name="Check Cell 311" xfId="5013" xr:uid="{00000000-0005-0000-0000-000014130000}"/>
    <cellStyle name="Check Cell 312" xfId="5014" xr:uid="{00000000-0005-0000-0000-000015130000}"/>
    <cellStyle name="Check Cell 313" xfId="5015" xr:uid="{00000000-0005-0000-0000-000016130000}"/>
    <cellStyle name="Check Cell 314" xfId="5016" xr:uid="{00000000-0005-0000-0000-000017130000}"/>
    <cellStyle name="Check Cell 315" xfId="5017" xr:uid="{00000000-0005-0000-0000-000018130000}"/>
    <cellStyle name="Check Cell 316" xfId="5018" xr:uid="{00000000-0005-0000-0000-000019130000}"/>
    <cellStyle name="Check Cell 317" xfId="5019" xr:uid="{00000000-0005-0000-0000-00001A130000}"/>
    <cellStyle name="Check Cell 318" xfId="5020" xr:uid="{00000000-0005-0000-0000-00001B130000}"/>
    <cellStyle name="Check Cell 319" xfId="5021" xr:uid="{00000000-0005-0000-0000-00001C130000}"/>
    <cellStyle name="Check Cell 32" xfId="5022" xr:uid="{00000000-0005-0000-0000-00001D130000}"/>
    <cellStyle name="Check Cell 320" xfId="5023" xr:uid="{00000000-0005-0000-0000-00001E130000}"/>
    <cellStyle name="Check Cell 321" xfId="5024" xr:uid="{00000000-0005-0000-0000-00001F130000}"/>
    <cellStyle name="Check Cell 322" xfId="5025" xr:uid="{00000000-0005-0000-0000-000020130000}"/>
    <cellStyle name="Check Cell 323" xfId="5026" xr:uid="{00000000-0005-0000-0000-000021130000}"/>
    <cellStyle name="Check Cell 324" xfId="5027" xr:uid="{00000000-0005-0000-0000-000022130000}"/>
    <cellStyle name="Check Cell 325" xfId="5028" xr:uid="{00000000-0005-0000-0000-000023130000}"/>
    <cellStyle name="Check Cell 326" xfId="5029" xr:uid="{00000000-0005-0000-0000-000024130000}"/>
    <cellStyle name="Check Cell 327" xfId="5030" xr:uid="{00000000-0005-0000-0000-000025130000}"/>
    <cellStyle name="Check Cell 328" xfId="5031" xr:uid="{00000000-0005-0000-0000-000026130000}"/>
    <cellStyle name="Check Cell 329" xfId="5032" xr:uid="{00000000-0005-0000-0000-000027130000}"/>
    <cellStyle name="Check Cell 33" xfId="5033" xr:uid="{00000000-0005-0000-0000-000028130000}"/>
    <cellStyle name="Check Cell 330" xfId="5034" xr:uid="{00000000-0005-0000-0000-000029130000}"/>
    <cellStyle name="Check Cell 331" xfId="5035" xr:uid="{00000000-0005-0000-0000-00002A130000}"/>
    <cellStyle name="Check Cell 332" xfId="5036" xr:uid="{00000000-0005-0000-0000-00002B130000}"/>
    <cellStyle name="Check Cell 333" xfId="5037" xr:uid="{00000000-0005-0000-0000-00002C130000}"/>
    <cellStyle name="Check Cell 334" xfId="5038" xr:uid="{00000000-0005-0000-0000-00002D130000}"/>
    <cellStyle name="Check Cell 335" xfId="5039" xr:uid="{00000000-0005-0000-0000-00002E130000}"/>
    <cellStyle name="Check Cell 336" xfId="5040" xr:uid="{00000000-0005-0000-0000-00002F130000}"/>
    <cellStyle name="Check Cell 337" xfId="5041" xr:uid="{00000000-0005-0000-0000-000030130000}"/>
    <cellStyle name="Check Cell 338" xfId="5042" xr:uid="{00000000-0005-0000-0000-000031130000}"/>
    <cellStyle name="Check Cell 339" xfId="5043" xr:uid="{00000000-0005-0000-0000-000032130000}"/>
    <cellStyle name="Check Cell 34" xfId="5044" xr:uid="{00000000-0005-0000-0000-000033130000}"/>
    <cellStyle name="Check Cell 340" xfId="5045" xr:uid="{00000000-0005-0000-0000-000034130000}"/>
    <cellStyle name="Check Cell 341" xfId="5046" xr:uid="{00000000-0005-0000-0000-000035130000}"/>
    <cellStyle name="Check Cell 342" xfId="5047" xr:uid="{00000000-0005-0000-0000-000036130000}"/>
    <cellStyle name="Check Cell 343" xfId="5048" xr:uid="{00000000-0005-0000-0000-000037130000}"/>
    <cellStyle name="Check Cell 344" xfId="5049" xr:uid="{00000000-0005-0000-0000-000038130000}"/>
    <cellStyle name="Check Cell 345" xfId="5050" xr:uid="{00000000-0005-0000-0000-000039130000}"/>
    <cellStyle name="Check Cell 346" xfId="5051" xr:uid="{00000000-0005-0000-0000-00003A130000}"/>
    <cellStyle name="Check Cell 347" xfId="5052" xr:uid="{00000000-0005-0000-0000-00003B130000}"/>
    <cellStyle name="Check Cell 348" xfId="5053" xr:uid="{00000000-0005-0000-0000-00003C130000}"/>
    <cellStyle name="Check Cell 349" xfId="5054" xr:uid="{00000000-0005-0000-0000-00003D130000}"/>
    <cellStyle name="Check Cell 35" xfId="5055" xr:uid="{00000000-0005-0000-0000-00003E130000}"/>
    <cellStyle name="Check Cell 350" xfId="5056" xr:uid="{00000000-0005-0000-0000-00003F130000}"/>
    <cellStyle name="Check Cell 351" xfId="5057" xr:uid="{00000000-0005-0000-0000-000040130000}"/>
    <cellStyle name="Check Cell 352" xfId="5058" xr:uid="{00000000-0005-0000-0000-000041130000}"/>
    <cellStyle name="Check Cell 353" xfId="5059" xr:uid="{00000000-0005-0000-0000-000042130000}"/>
    <cellStyle name="Check Cell 354" xfId="5060" xr:uid="{00000000-0005-0000-0000-000043130000}"/>
    <cellStyle name="Check Cell 355" xfId="5061" xr:uid="{00000000-0005-0000-0000-000044130000}"/>
    <cellStyle name="Check Cell 356" xfId="5062" xr:uid="{00000000-0005-0000-0000-000045130000}"/>
    <cellStyle name="Check Cell 357" xfId="5063" xr:uid="{00000000-0005-0000-0000-000046130000}"/>
    <cellStyle name="Check Cell 358" xfId="5064" xr:uid="{00000000-0005-0000-0000-000047130000}"/>
    <cellStyle name="Check Cell 359" xfId="5065" xr:uid="{00000000-0005-0000-0000-000048130000}"/>
    <cellStyle name="Check Cell 36" xfId="5066" xr:uid="{00000000-0005-0000-0000-000049130000}"/>
    <cellStyle name="Check Cell 360" xfId="5067" xr:uid="{00000000-0005-0000-0000-00004A130000}"/>
    <cellStyle name="Check Cell 361" xfId="5068" xr:uid="{00000000-0005-0000-0000-00004B130000}"/>
    <cellStyle name="Check Cell 362" xfId="5069" xr:uid="{00000000-0005-0000-0000-00004C130000}"/>
    <cellStyle name="Check Cell 363" xfId="5070" xr:uid="{00000000-0005-0000-0000-00004D130000}"/>
    <cellStyle name="Check Cell 364" xfId="5071" xr:uid="{00000000-0005-0000-0000-00004E130000}"/>
    <cellStyle name="Check Cell 365" xfId="5072" xr:uid="{00000000-0005-0000-0000-00004F130000}"/>
    <cellStyle name="Check Cell 366" xfId="5073" xr:uid="{00000000-0005-0000-0000-000050130000}"/>
    <cellStyle name="Check Cell 367" xfId="5074" xr:uid="{00000000-0005-0000-0000-000051130000}"/>
    <cellStyle name="Check Cell 368" xfId="5075" xr:uid="{00000000-0005-0000-0000-000052130000}"/>
    <cellStyle name="Check Cell 369" xfId="5076" xr:uid="{00000000-0005-0000-0000-000053130000}"/>
    <cellStyle name="Check Cell 37" xfId="5077" xr:uid="{00000000-0005-0000-0000-000054130000}"/>
    <cellStyle name="Check Cell 370" xfId="5078" xr:uid="{00000000-0005-0000-0000-000055130000}"/>
    <cellStyle name="Check Cell 371" xfId="5079" xr:uid="{00000000-0005-0000-0000-000056130000}"/>
    <cellStyle name="Check Cell 372" xfId="5080" xr:uid="{00000000-0005-0000-0000-000057130000}"/>
    <cellStyle name="Check Cell 373" xfId="5081" xr:uid="{00000000-0005-0000-0000-000058130000}"/>
    <cellStyle name="Check Cell 374" xfId="5082" xr:uid="{00000000-0005-0000-0000-000059130000}"/>
    <cellStyle name="Check Cell 375" xfId="5083" xr:uid="{00000000-0005-0000-0000-00005A130000}"/>
    <cellStyle name="Check Cell 376" xfId="5084" xr:uid="{00000000-0005-0000-0000-00005B130000}"/>
    <cellStyle name="Check Cell 377" xfId="5085" xr:uid="{00000000-0005-0000-0000-00005C130000}"/>
    <cellStyle name="Check Cell 378" xfId="5086" xr:uid="{00000000-0005-0000-0000-00005D130000}"/>
    <cellStyle name="Check Cell 379" xfId="5087" xr:uid="{00000000-0005-0000-0000-00005E130000}"/>
    <cellStyle name="Check Cell 38" xfId="5088" xr:uid="{00000000-0005-0000-0000-00005F130000}"/>
    <cellStyle name="Check Cell 380" xfId="5089" xr:uid="{00000000-0005-0000-0000-000060130000}"/>
    <cellStyle name="Check Cell 381" xfId="5090" xr:uid="{00000000-0005-0000-0000-000061130000}"/>
    <cellStyle name="Check Cell 382" xfId="5091" xr:uid="{00000000-0005-0000-0000-000062130000}"/>
    <cellStyle name="Check Cell 383" xfId="5092" xr:uid="{00000000-0005-0000-0000-000063130000}"/>
    <cellStyle name="Check Cell 384" xfId="5093" xr:uid="{00000000-0005-0000-0000-000064130000}"/>
    <cellStyle name="Check Cell 385" xfId="5094" xr:uid="{00000000-0005-0000-0000-000065130000}"/>
    <cellStyle name="Check Cell 386" xfId="5095" xr:uid="{00000000-0005-0000-0000-000066130000}"/>
    <cellStyle name="Check Cell 387" xfId="5096" xr:uid="{00000000-0005-0000-0000-000067130000}"/>
    <cellStyle name="Check Cell 388" xfId="5097" xr:uid="{00000000-0005-0000-0000-000068130000}"/>
    <cellStyle name="Check Cell 389" xfId="5098" xr:uid="{00000000-0005-0000-0000-000069130000}"/>
    <cellStyle name="Check Cell 39" xfId="5099" xr:uid="{00000000-0005-0000-0000-00006A130000}"/>
    <cellStyle name="Check Cell 390" xfId="5100" xr:uid="{00000000-0005-0000-0000-00006B130000}"/>
    <cellStyle name="Check Cell 391" xfId="5101" xr:uid="{00000000-0005-0000-0000-00006C130000}"/>
    <cellStyle name="Check Cell 392" xfId="5102" xr:uid="{00000000-0005-0000-0000-00006D130000}"/>
    <cellStyle name="Check Cell 393" xfId="5103" xr:uid="{00000000-0005-0000-0000-00006E130000}"/>
    <cellStyle name="Check Cell 394" xfId="5104" xr:uid="{00000000-0005-0000-0000-00006F130000}"/>
    <cellStyle name="Check Cell 395" xfId="5105" xr:uid="{00000000-0005-0000-0000-000070130000}"/>
    <cellStyle name="Check Cell 396" xfId="5106" xr:uid="{00000000-0005-0000-0000-000071130000}"/>
    <cellStyle name="Check Cell 397" xfId="5107" xr:uid="{00000000-0005-0000-0000-000072130000}"/>
    <cellStyle name="Check Cell 398" xfId="5108" xr:uid="{00000000-0005-0000-0000-000073130000}"/>
    <cellStyle name="Check Cell 399" xfId="5109" xr:uid="{00000000-0005-0000-0000-000074130000}"/>
    <cellStyle name="Check Cell 4" xfId="5110" xr:uid="{00000000-0005-0000-0000-000075130000}"/>
    <cellStyle name="Check Cell 40" xfId="5111" xr:uid="{00000000-0005-0000-0000-000076130000}"/>
    <cellStyle name="Check Cell 400" xfId="5112" xr:uid="{00000000-0005-0000-0000-000077130000}"/>
    <cellStyle name="Check Cell 401" xfId="5113" xr:uid="{00000000-0005-0000-0000-000078130000}"/>
    <cellStyle name="Check Cell 402" xfId="5114" xr:uid="{00000000-0005-0000-0000-000079130000}"/>
    <cellStyle name="Check Cell 403" xfId="5115" xr:uid="{00000000-0005-0000-0000-00007A130000}"/>
    <cellStyle name="Check Cell 404" xfId="5116" xr:uid="{00000000-0005-0000-0000-00007B130000}"/>
    <cellStyle name="Check Cell 405" xfId="5117" xr:uid="{00000000-0005-0000-0000-00007C130000}"/>
    <cellStyle name="Check Cell 406" xfId="5118" xr:uid="{00000000-0005-0000-0000-00007D130000}"/>
    <cellStyle name="Check Cell 407" xfId="5119" xr:uid="{00000000-0005-0000-0000-00007E130000}"/>
    <cellStyle name="Check Cell 408" xfId="5120" xr:uid="{00000000-0005-0000-0000-00007F130000}"/>
    <cellStyle name="Check Cell 409" xfId="5121" xr:uid="{00000000-0005-0000-0000-000080130000}"/>
    <cellStyle name="Check Cell 41" xfId="5122" xr:uid="{00000000-0005-0000-0000-000081130000}"/>
    <cellStyle name="Check Cell 410" xfId="5123" xr:uid="{00000000-0005-0000-0000-000082130000}"/>
    <cellStyle name="Check Cell 411" xfId="5124" xr:uid="{00000000-0005-0000-0000-000083130000}"/>
    <cellStyle name="Check Cell 412" xfId="5125" xr:uid="{00000000-0005-0000-0000-000084130000}"/>
    <cellStyle name="Check Cell 413" xfId="5126" xr:uid="{00000000-0005-0000-0000-000085130000}"/>
    <cellStyle name="Check Cell 414" xfId="5127" xr:uid="{00000000-0005-0000-0000-000086130000}"/>
    <cellStyle name="Check Cell 415" xfId="5128" xr:uid="{00000000-0005-0000-0000-000087130000}"/>
    <cellStyle name="Check Cell 416" xfId="5129" xr:uid="{00000000-0005-0000-0000-000088130000}"/>
    <cellStyle name="Check Cell 417" xfId="5130" xr:uid="{00000000-0005-0000-0000-000089130000}"/>
    <cellStyle name="Check Cell 418" xfId="5131" xr:uid="{00000000-0005-0000-0000-00008A130000}"/>
    <cellStyle name="Check Cell 419" xfId="5132" xr:uid="{00000000-0005-0000-0000-00008B130000}"/>
    <cellStyle name="Check Cell 42" xfId="5133" xr:uid="{00000000-0005-0000-0000-00008C130000}"/>
    <cellStyle name="Check Cell 420" xfId="5134" xr:uid="{00000000-0005-0000-0000-00008D130000}"/>
    <cellStyle name="Check Cell 421" xfId="5135" xr:uid="{00000000-0005-0000-0000-00008E130000}"/>
    <cellStyle name="Check Cell 422" xfId="5136" xr:uid="{00000000-0005-0000-0000-00008F130000}"/>
    <cellStyle name="Check Cell 423" xfId="5137" xr:uid="{00000000-0005-0000-0000-000090130000}"/>
    <cellStyle name="Check Cell 424" xfId="5138" xr:uid="{00000000-0005-0000-0000-000091130000}"/>
    <cellStyle name="Check Cell 425" xfId="5139" xr:uid="{00000000-0005-0000-0000-000092130000}"/>
    <cellStyle name="Check Cell 426" xfId="5140" xr:uid="{00000000-0005-0000-0000-000093130000}"/>
    <cellStyle name="Check Cell 427" xfId="5141" xr:uid="{00000000-0005-0000-0000-000094130000}"/>
    <cellStyle name="Check Cell 428" xfId="5142" xr:uid="{00000000-0005-0000-0000-000095130000}"/>
    <cellStyle name="Check Cell 429" xfId="5143" xr:uid="{00000000-0005-0000-0000-000096130000}"/>
    <cellStyle name="Check Cell 43" xfId="5144" xr:uid="{00000000-0005-0000-0000-000097130000}"/>
    <cellStyle name="Check Cell 430" xfId="5145" xr:uid="{00000000-0005-0000-0000-000098130000}"/>
    <cellStyle name="Check Cell 431" xfId="5146" xr:uid="{00000000-0005-0000-0000-000099130000}"/>
    <cellStyle name="Check Cell 432" xfId="5147" xr:uid="{00000000-0005-0000-0000-00009A130000}"/>
    <cellStyle name="Check Cell 433" xfId="5148" xr:uid="{00000000-0005-0000-0000-00009B130000}"/>
    <cellStyle name="Check Cell 434" xfId="5149" xr:uid="{00000000-0005-0000-0000-00009C130000}"/>
    <cellStyle name="Check Cell 435" xfId="5150" xr:uid="{00000000-0005-0000-0000-00009D130000}"/>
    <cellStyle name="Check Cell 436" xfId="5151" xr:uid="{00000000-0005-0000-0000-00009E130000}"/>
    <cellStyle name="Check Cell 437" xfId="5152" xr:uid="{00000000-0005-0000-0000-00009F130000}"/>
    <cellStyle name="Check Cell 438" xfId="5153" xr:uid="{00000000-0005-0000-0000-0000A0130000}"/>
    <cellStyle name="Check Cell 439" xfId="5154" xr:uid="{00000000-0005-0000-0000-0000A1130000}"/>
    <cellStyle name="Check Cell 44" xfId="5155" xr:uid="{00000000-0005-0000-0000-0000A2130000}"/>
    <cellStyle name="Check Cell 440" xfId="5156" xr:uid="{00000000-0005-0000-0000-0000A3130000}"/>
    <cellStyle name="Check Cell 441" xfId="5157" xr:uid="{00000000-0005-0000-0000-0000A4130000}"/>
    <cellStyle name="Check Cell 442" xfId="5158" xr:uid="{00000000-0005-0000-0000-0000A5130000}"/>
    <cellStyle name="Check Cell 443" xfId="5159" xr:uid="{00000000-0005-0000-0000-0000A6130000}"/>
    <cellStyle name="Check Cell 444" xfId="5160" xr:uid="{00000000-0005-0000-0000-0000A7130000}"/>
    <cellStyle name="Check Cell 445" xfId="5161" xr:uid="{00000000-0005-0000-0000-0000A8130000}"/>
    <cellStyle name="Check Cell 446" xfId="5162" xr:uid="{00000000-0005-0000-0000-0000A9130000}"/>
    <cellStyle name="Check Cell 447" xfId="5163" xr:uid="{00000000-0005-0000-0000-0000AA130000}"/>
    <cellStyle name="Check Cell 448" xfId="5164" xr:uid="{00000000-0005-0000-0000-0000AB130000}"/>
    <cellStyle name="Check Cell 449" xfId="5165" xr:uid="{00000000-0005-0000-0000-0000AC130000}"/>
    <cellStyle name="Check Cell 45" xfId="5166" xr:uid="{00000000-0005-0000-0000-0000AD130000}"/>
    <cellStyle name="Check Cell 450" xfId="5167" xr:uid="{00000000-0005-0000-0000-0000AE130000}"/>
    <cellStyle name="Check Cell 451" xfId="5168" xr:uid="{00000000-0005-0000-0000-0000AF130000}"/>
    <cellStyle name="Check Cell 452" xfId="5169" xr:uid="{00000000-0005-0000-0000-0000B0130000}"/>
    <cellStyle name="Check Cell 453" xfId="5170" xr:uid="{00000000-0005-0000-0000-0000B1130000}"/>
    <cellStyle name="Check Cell 454" xfId="5171" xr:uid="{00000000-0005-0000-0000-0000B2130000}"/>
    <cellStyle name="Check Cell 455" xfId="5172" xr:uid="{00000000-0005-0000-0000-0000B3130000}"/>
    <cellStyle name="Check Cell 456" xfId="5173" xr:uid="{00000000-0005-0000-0000-0000B4130000}"/>
    <cellStyle name="Check Cell 457" xfId="5174" xr:uid="{00000000-0005-0000-0000-0000B5130000}"/>
    <cellStyle name="Check Cell 458" xfId="5175" xr:uid="{00000000-0005-0000-0000-0000B6130000}"/>
    <cellStyle name="Check Cell 459" xfId="5176" xr:uid="{00000000-0005-0000-0000-0000B7130000}"/>
    <cellStyle name="Check Cell 46" xfId="5177" xr:uid="{00000000-0005-0000-0000-0000B8130000}"/>
    <cellStyle name="Check Cell 460" xfId="5178" xr:uid="{00000000-0005-0000-0000-0000B9130000}"/>
    <cellStyle name="Check Cell 461" xfId="5179" xr:uid="{00000000-0005-0000-0000-0000BA130000}"/>
    <cellStyle name="Check Cell 462" xfId="5180" xr:uid="{00000000-0005-0000-0000-0000BB130000}"/>
    <cellStyle name="Check Cell 463" xfId="5181" xr:uid="{00000000-0005-0000-0000-0000BC130000}"/>
    <cellStyle name="Check Cell 464" xfId="5182" xr:uid="{00000000-0005-0000-0000-0000BD130000}"/>
    <cellStyle name="Check Cell 465" xfId="5183" xr:uid="{00000000-0005-0000-0000-0000BE130000}"/>
    <cellStyle name="Check Cell 466" xfId="5184" xr:uid="{00000000-0005-0000-0000-0000BF130000}"/>
    <cellStyle name="Check Cell 467" xfId="5185" xr:uid="{00000000-0005-0000-0000-0000C0130000}"/>
    <cellStyle name="Check Cell 468" xfId="5186" xr:uid="{00000000-0005-0000-0000-0000C1130000}"/>
    <cellStyle name="Check Cell 469" xfId="5187" xr:uid="{00000000-0005-0000-0000-0000C2130000}"/>
    <cellStyle name="Check Cell 47" xfId="5188" xr:uid="{00000000-0005-0000-0000-0000C3130000}"/>
    <cellStyle name="Check Cell 470" xfId="5189" xr:uid="{00000000-0005-0000-0000-0000C4130000}"/>
    <cellStyle name="Check Cell 471" xfId="5190" xr:uid="{00000000-0005-0000-0000-0000C5130000}"/>
    <cellStyle name="Check Cell 472" xfId="5191" xr:uid="{00000000-0005-0000-0000-0000C6130000}"/>
    <cellStyle name="Check Cell 473" xfId="5192" xr:uid="{00000000-0005-0000-0000-0000C7130000}"/>
    <cellStyle name="Check Cell 474" xfId="5193" xr:uid="{00000000-0005-0000-0000-0000C8130000}"/>
    <cellStyle name="Check Cell 475" xfId="5194" xr:uid="{00000000-0005-0000-0000-0000C9130000}"/>
    <cellStyle name="Check Cell 476" xfId="5195" xr:uid="{00000000-0005-0000-0000-0000CA130000}"/>
    <cellStyle name="Check Cell 477" xfId="5196" xr:uid="{00000000-0005-0000-0000-0000CB130000}"/>
    <cellStyle name="Check Cell 478" xfId="5197" xr:uid="{00000000-0005-0000-0000-0000CC130000}"/>
    <cellStyle name="Check Cell 479" xfId="5198" xr:uid="{00000000-0005-0000-0000-0000CD130000}"/>
    <cellStyle name="Check Cell 48" xfId="5199" xr:uid="{00000000-0005-0000-0000-0000CE130000}"/>
    <cellStyle name="Check Cell 480" xfId="5200" xr:uid="{00000000-0005-0000-0000-0000CF130000}"/>
    <cellStyle name="Check Cell 481" xfId="5201" xr:uid="{00000000-0005-0000-0000-0000D0130000}"/>
    <cellStyle name="Check Cell 482" xfId="5202" xr:uid="{00000000-0005-0000-0000-0000D1130000}"/>
    <cellStyle name="Check Cell 483" xfId="5203" xr:uid="{00000000-0005-0000-0000-0000D2130000}"/>
    <cellStyle name="Check Cell 484" xfId="5204" xr:uid="{00000000-0005-0000-0000-0000D3130000}"/>
    <cellStyle name="Check Cell 485" xfId="5205" xr:uid="{00000000-0005-0000-0000-0000D4130000}"/>
    <cellStyle name="Check Cell 486" xfId="5206" xr:uid="{00000000-0005-0000-0000-0000D5130000}"/>
    <cellStyle name="Check Cell 487" xfId="5207" xr:uid="{00000000-0005-0000-0000-0000D6130000}"/>
    <cellStyle name="Check Cell 488" xfId="5208" xr:uid="{00000000-0005-0000-0000-0000D7130000}"/>
    <cellStyle name="Check Cell 489" xfId="5209" xr:uid="{00000000-0005-0000-0000-0000D8130000}"/>
    <cellStyle name="Check Cell 49" xfId="5210" xr:uid="{00000000-0005-0000-0000-0000D9130000}"/>
    <cellStyle name="Check Cell 490" xfId="5211" xr:uid="{00000000-0005-0000-0000-0000DA130000}"/>
    <cellStyle name="Check Cell 491" xfId="5212" xr:uid="{00000000-0005-0000-0000-0000DB130000}"/>
    <cellStyle name="Check Cell 492" xfId="5213" xr:uid="{00000000-0005-0000-0000-0000DC130000}"/>
    <cellStyle name="Check Cell 493" xfId="5214" xr:uid="{00000000-0005-0000-0000-0000DD130000}"/>
    <cellStyle name="Check Cell 494" xfId="5215" xr:uid="{00000000-0005-0000-0000-0000DE130000}"/>
    <cellStyle name="Check Cell 495" xfId="5216" xr:uid="{00000000-0005-0000-0000-0000DF130000}"/>
    <cellStyle name="Check Cell 496" xfId="5217" xr:uid="{00000000-0005-0000-0000-0000E0130000}"/>
    <cellStyle name="Check Cell 497" xfId="5218" xr:uid="{00000000-0005-0000-0000-0000E1130000}"/>
    <cellStyle name="Check Cell 498" xfId="5219" xr:uid="{00000000-0005-0000-0000-0000E2130000}"/>
    <cellStyle name="Check Cell 499" xfId="5220" xr:uid="{00000000-0005-0000-0000-0000E3130000}"/>
    <cellStyle name="Check Cell 5" xfId="5221" xr:uid="{00000000-0005-0000-0000-0000E4130000}"/>
    <cellStyle name="Check Cell 50" xfId="5222" xr:uid="{00000000-0005-0000-0000-0000E5130000}"/>
    <cellStyle name="Check Cell 500" xfId="5223" xr:uid="{00000000-0005-0000-0000-0000E6130000}"/>
    <cellStyle name="Check Cell 501" xfId="5224" xr:uid="{00000000-0005-0000-0000-0000E7130000}"/>
    <cellStyle name="Check Cell 502" xfId="5225" xr:uid="{00000000-0005-0000-0000-0000E8130000}"/>
    <cellStyle name="Check Cell 503" xfId="5226" xr:uid="{00000000-0005-0000-0000-0000E9130000}"/>
    <cellStyle name="Check Cell 504" xfId="5227" xr:uid="{00000000-0005-0000-0000-0000EA130000}"/>
    <cellStyle name="Check Cell 505" xfId="5228" xr:uid="{00000000-0005-0000-0000-0000EB130000}"/>
    <cellStyle name="Check Cell 506" xfId="5229" xr:uid="{00000000-0005-0000-0000-0000EC130000}"/>
    <cellStyle name="Check Cell 507" xfId="5230" xr:uid="{00000000-0005-0000-0000-0000ED130000}"/>
    <cellStyle name="Check Cell 508" xfId="5231" xr:uid="{00000000-0005-0000-0000-0000EE130000}"/>
    <cellStyle name="Check Cell 509" xfId="5232" xr:uid="{00000000-0005-0000-0000-0000EF130000}"/>
    <cellStyle name="Check Cell 51" xfId="5233" xr:uid="{00000000-0005-0000-0000-0000F0130000}"/>
    <cellStyle name="Check Cell 510" xfId="5234" xr:uid="{00000000-0005-0000-0000-0000F1130000}"/>
    <cellStyle name="Check Cell 511" xfId="5235" xr:uid="{00000000-0005-0000-0000-0000F2130000}"/>
    <cellStyle name="Check Cell 512" xfId="5236" xr:uid="{00000000-0005-0000-0000-0000F3130000}"/>
    <cellStyle name="Check Cell 513" xfId="5237" xr:uid="{00000000-0005-0000-0000-0000F4130000}"/>
    <cellStyle name="Check Cell 514" xfId="5238" xr:uid="{00000000-0005-0000-0000-0000F5130000}"/>
    <cellStyle name="Check Cell 515" xfId="5239" xr:uid="{00000000-0005-0000-0000-0000F6130000}"/>
    <cellStyle name="Check Cell 516" xfId="5240" xr:uid="{00000000-0005-0000-0000-0000F7130000}"/>
    <cellStyle name="Check Cell 517" xfId="5241" xr:uid="{00000000-0005-0000-0000-0000F8130000}"/>
    <cellStyle name="Check Cell 518" xfId="5242" xr:uid="{00000000-0005-0000-0000-0000F9130000}"/>
    <cellStyle name="Check Cell 519" xfId="5243" xr:uid="{00000000-0005-0000-0000-0000FA130000}"/>
    <cellStyle name="Check Cell 52" xfId="5244" xr:uid="{00000000-0005-0000-0000-0000FB130000}"/>
    <cellStyle name="Check Cell 520" xfId="5245" xr:uid="{00000000-0005-0000-0000-0000FC130000}"/>
    <cellStyle name="Check Cell 521" xfId="5246" xr:uid="{00000000-0005-0000-0000-0000FD130000}"/>
    <cellStyle name="Check Cell 522" xfId="5247" xr:uid="{00000000-0005-0000-0000-0000FE130000}"/>
    <cellStyle name="Check Cell 523" xfId="5248" xr:uid="{00000000-0005-0000-0000-0000FF130000}"/>
    <cellStyle name="Check Cell 524" xfId="5249" xr:uid="{00000000-0005-0000-0000-000000140000}"/>
    <cellStyle name="Check Cell 525" xfId="5250" xr:uid="{00000000-0005-0000-0000-000001140000}"/>
    <cellStyle name="Check Cell 526" xfId="5251" xr:uid="{00000000-0005-0000-0000-000002140000}"/>
    <cellStyle name="Check Cell 527" xfId="5252" xr:uid="{00000000-0005-0000-0000-000003140000}"/>
    <cellStyle name="Check Cell 528" xfId="5253" xr:uid="{00000000-0005-0000-0000-000004140000}"/>
    <cellStyle name="Check Cell 529" xfId="5254" xr:uid="{00000000-0005-0000-0000-000005140000}"/>
    <cellStyle name="Check Cell 53" xfId="5255" xr:uid="{00000000-0005-0000-0000-000006140000}"/>
    <cellStyle name="Check Cell 530" xfId="5256" xr:uid="{00000000-0005-0000-0000-000007140000}"/>
    <cellStyle name="Check Cell 531" xfId="5257" xr:uid="{00000000-0005-0000-0000-000008140000}"/>
    <cellStyle name="Check Cell 532" xfId="5258" xr:uid="{00000000-0005-0000-0000-000009140000}"/>
    <cellStyle name="Check Cell 533" xfId="5259" xr:uid="{00000000-0005-0000-0000-00000A140000}"/>
    <cellStyle name="Check Cell 534" xfId="5260" xr:uid="{00000000-0005-0000-0000-00000B140000}"/>
    <cellStyle name="Check Cell 535" xfId="5261" xr:uid="{00000000-0005-0000-0000-00000C140000}"/>
    <cellStyle name="Check Cell 536" xfId="5262" xr:uid="{00000000-0005-0000-0000-00000D140000}"/>
    <cellStyle name="Check Cell 537" xfId="5263" xr:uid="{00000000-0005-0000-0000-00000E140000}"/>
    <cellStyle name="Check Cell 538" xfId="5264" xr:uid="{00000000-0005-0000-0000-00000F140000}"/>
    <cellStyle name="Check Cell 539" xfId="5265" xr:uid="{00000000-0005-0000-0000-000010140000}"/>
    <cellStyle name="Check Cell 54" xfId="5266" xr:uid="{00000000-0005-0000-0000-000011140000}"/>
    <cellStyle name="Check Cell 540" xfId="5267" xr:uid="{00000000-0005-0000-0000-000012140000}"/>
    <cellStyle name="Check Cell 541" xfId="5268" xr:uid="{00000000-0005-0000-0000-000013140000}"/>
    <cellStyle name="Check Cell 542" xfId="5269" xr:uid="{00000000-0005-0000-0000-000014140000}"/>
    <cellStyle name="Check Cell 543" xfId="5270" xr:uid="{00000000-0005-0000-0000-000015140000}"/>
    <cellStyle name="Check Cell 544" xfId="5271" xr:uid="{00000000-0005-0000-0000-000016140000}"/>
    <cellStyle name="Check Cell 545" xfId="5272" xr:uid="{00000000-0005-0000-0000-000017140000}"/>
    <cellStyle name="Check Cell 546" xfId="5273" xr:uid="{00000000-0005-0000-0000-000018140000}"/>
    <cellStyle name="Check Cell 547" xfId="5274" xr:uid="{00000000-0005-0000-0000-000019140000}"/>
    <cellStyle name="Check Cell 548" xfId="5275" xr:uid="{00000000-0005-0000-0000-00001A140000}"/>
    <cellStyle name="Check Cell 549" xfId="5276" xr:uid="{00000000-0005-0000-0000-00001B140000}"/>
    <cellStyle name="Check Cell 55" xfId="5277" xr:uid="{00000000-0005-0000-0000-00001C140000}"/>
    <cellStyle name="Check Cell 550" xfId="5278" xr:uid="{00000000-0005-0000-0000-00001D140000}"/>
    <cellStyle name="Check Cell 551" xfId="5279" xr:uid="{00000000-0005-0000-0000-00001E140000}"/>
    <cellStyle name="Check Cell 552" xfId="5280" xr:uid="{00000000-0005-0000-0000-00001F140000}"/>
    <cellStyle name="Check Cell 553" xfId="5281" xr:uid="{00000000-0005-0000-0000-000020140000}"/>
    <cellStyle name="Check Cell 554" xfId="5282" xr:uid="{00000000-0005-0000-0000-000021140000}"/>
    <cellStyle name="Check Cell 555" xfId="5283" xr:uid="{00000000-0005-0000-0000-000022140000}"/>
    <cellStyle name="Check Cell 556" xfId="5284" xr:uid="{00000000-0005-0000-0000-000023140000}"/>
    <cellStyle name="Check Cell 557" xfId="5285" xr:uid="{00000000-0005-0000-0000-000024140000}"/>
    <cellStyle name="Check Cell 558" xfId="5286" xr:uid="{00000000-0005-0000-0000-000025140000}"/>
    <cellStyle name="Check Cell 559" xfId="5287" xr:uid="{00000000-0005-0000-0000-000026140000}"/>
    <cellStyle name="Check Cell 56" xfId="5288" xr:uid="{00000000-0005-0000-0000-000027140000}"/>
    <cellStyle name="Check Cell 560" xfId="5289" xr:uid="{00000000-0005-0000-0000-000028140000}"/>
    <cellStyle name="Check Cell 561" xfId="5290" xr:uid="{00000000-0005-0000-0000-000029140000}"/>
    <cellStyle name="Check Cell 562" xfId="5291" xr:uid="{00000000-0005-0000-0000-00002A140000}"/>
    <cellStyle name="Check Cell 563" xfId="5292" xr:uid="{00000000-0005-0000-0000-00002B140000}"/>
    <cellStyle name="Check Cell 564" xfId="5293" xr:uid="{00000000-0005-0000-0000-00002C140000}"/>
    <cellStyle name="Check Cell 565" xfId="5294" xr:uid="{00000000-0005-0000-0000-00002D140000}"/>
    <cellStyle name="Check Cell 566" xfId="5295" xr:uid="{00000000-0005-0000-0000-00002E140000}"/>
    <cellStyle name="Check Cell 567" xfId="5296" xr:uid="{00000000-0005-0000-0000-00002F140000}"/>
    <cellStyle name="Check Cell 568" xfId="5297" xr:uid="{00000000-0005-0000-0000-000030140000}"/>
    <cellStyle name="Check Cell 569" xfId="5298" xr:uid="{00000000-0005-0000-0000-000031140000}"/>
    <cellStyle name="Check Cell 57" xfId="5299" xr:uid="{00000000-0005-0000-0000-000032140000}"/>
    <cellStyle name="Check Cell 570" xfId="5300" xr:uid="{00000000-0005-0000-0000-000033140000}"/>
    <cellStyle name="Check Cell 571" xfId="5301" xr:uid="{00000000-0005-0000-0000-000034140000}"/>
    <cellStyle name="Check Cell 572" xfId="5302" xr:uid="{00000000-0005-0000-0000-000035140000}"/>
    <cellStyle name="Check Cell 573" xfId="5303" xr:uid="{00000000-0005-0000-0000-000036140000}"/>
    <cellStyle name="Check Cell 574" xfId="5304" xr:uid="{00000000-0005-0000-0000-000037140000}"/>
    <cellStyle name="Check Cell 575" xfId="5305" xr:uid="{00000000-0005-0000-0000-000038140000}"/>
    <cellStyle name="Check Cell 576" xfId="5306" xr:uid="{00000000-0005-0000-0000-000039140000}"/>
    <cellStyle name="Check Cell 577" xfId="5307" xr:uid="{00000000-0005-0000-0000-00003A140000}"/>
    <cellStyle name="Check Cell 578" xfId="5308" xr:uid="{00000000-0005-0000-0000-00003B140000}"/>
    <cellStyle name="Check Cell 579" xfId="5309" xr:uid="{00000000-0005-0000-0000-00003C140000}"/>
    <cellStyle name="Check Cell 58" xfId="5310" xr:uid="{00000000-0005-0000-0000-00003D140000}"/>
    <cellStyle name="Check Cell 580" xfId="5311" xr:uid="{00000000-0005-0000-0000-00003E140000}"/>
    <cellStyle name="Check Cell 581" xfId="5312" xr:uid="{00000000-0005-0000-0000-00003F140000}"/>
    <cellStyle name="Check Cell 582" xfId="5313" xr:uid="{00000000-0005-0000-0000-000040140000}"/>
    <cellStyle name="Check Cell 583" xfId="5314" xr:uid="{00000000-0005-0000-0000-000041140000}"/>
    <cellStyle name="Check Cell 584" xfId="5315" xr:uid="{00000000-0005-0000-0000-000042140000}"/>
    <cellStyle name="Check Cell 585" xfId="5316" xr:uid="{00000000-0005-0000-0000-000043140000}"/>
    <cellStyle name="Check Cell 586" xfId="5317" xr:uid="{00000000-0005-0000-0000-000044140000}"/>
    <cellStyle name="Check Cell 587" xfId="5318" xr:uid="{00000000-0005-0000-0000-000045140000}"/>
    <cellStyle name="Check Cell 588" xfId="5319" xr:uid="{00000000-0005-0000-0000-000046140000}"/>
    <cellStyle name="Check Cell 589" xfId="5320" xr:uid="{00000000-0005-0000-0000-000047140000}"/>
    <cellStyle name="Check Cell 59" xfId="5321" xr:uid="{00000000-0005-0000-0000-000048140000}"/>
    <cellStyle name="Check Cell 590" xfId="5322" xr:uid="{00000000-0005-0000-0000-000049140000}"/>
    <cellStyle name="Check Cell 591" xfId="5323" xr:uid="{00000000-0005-0000-0000-00004A140000}"/>
    <cellStyle name="Check Cell 592" xfId="5324" xr:uid="{00000000-0005-0000-0000-00004B140000}"/>
    <cellStyle name="Check Cell 593" xfId="5325" xr:uid="{00000000-0005-0000-0000-00004C140000}"/>
    <cellStyle name="Check Cell 594" xfId="5326" xr:uid="{00000000-0005-0000-0000-00004D140000}"/>
    <cellStyle name="Check Cell 595" xfId="5327" xr:uid="{00000000-0005-0000-0000-00004E140000}"/>
    <cellStyle name="Check Cell 596" xfId="5328" xr:uid="{00000000-0005-0000-0000-00004F140000}"/>
    <cellStyle name="Check Cell 597" xfId="5329" xr:uid="{00000000-0005-0000-0000-000050140000}"/>
    <cellStyle name="Check Cell 598" xfId="5330" xr:uid="{00000000-0005-0000-0000-000051140000}"/>
    <cellStyle name="Check Cell 599" xfId="5331" xr:uid="{00000000-0005-0000-0000-000052140000}"/>
    <cellStyle name="Check Cell 6" xfId="5332" xr:uid="{00000000-0005-0000-0000-000053140000}"/>
    <cellStyle name="Check Cell 60" xfId="5333" xr:uid="{00000000-0005-0000-0000-000054140000}"/>
    <cellStyle name="Check Cell 600" xfId="5334" xr:uid="{00000000-0005-0000-0000-000055140000}"/>
    <cellStyle name="Check Cell 601" xfId="5335" xr:uid="{00000000-0005-0000-0000-000056140000}"/>
    <cellStyle name="Check Cell 602" xfId="5336" xr:uid="{00000000-0005-0000-0000-000057140000}"/>
    <cellStyle name="Check Cell 603" xfId="5337" xr:uid="{00000000-0005-0000-0000-000058140000}"/>
    <cellStyle name="Check Cell 604" xfId="5338" xr:uid="{00000000-0005-0000-0000-000059140000}"/>
    <cellStyle name="Check Cell 605" xfId="5339" xr:uid="{00000000-0005-0000-0000-00005A140000}"/>
    <cellStyle name="Check Cell 606" xfId="5340" xr:uid="{00000000-0005-0000-0000-00005B140000}"/>
    <cellStyle name="Check Cell 607" xfId="5341" xr:uid="{00000000-0005-0000-0000-00005C140000}"/>
    <cellStyle name="Check Cell 608" xfId="5342" xr:uid="{00000000-0005-0000-0000-00005D140000}"/>
    <cellStyle name="Check Cell 609" xfId="5343" xr:uid="{00000000-0005-0000-0000-00005E140000}"/>
    <cellStyle name="Check Cell 61" xfId="5344" xr:uid="{00000000-0005-0000-0000-00005F140000}"/>
    <cellStyle name="Check Cell 610" xfId="5345" xr:uid="{00000000-0005-0000-0000-000060140000}"/>
    <cellStyle name="Check Cell 611" xfId="5346" xr:uid="{00000000-0005-0000-0000-000061140000}"/>
    <cellStyle name="Check Cell 612" xfId="5347" xr:uid="{00000000-0005-0000-0000-000062140000}"/>
    <cellStyle name="Check Cell 613" xfId="5348" xr:uid="{00000000-0005-0000-0000-000063140000}"/>
    <cellStyle name="Check Cell 614" xfId="5349" xr:uid="{00000000-0005-0000-0000-000064140000}"/>
    <cellStyle name="Check Cell 615" xfId="5350" xr:uid="{00000000-0005-0000-0000-000065140000}"/>
    <cellStyle name="Check Cell 616" xfId="5351" xr:uid="{00000000-0005-0000-0000-000066140000}"/>
    <cellStyle name="Check Cell 617" xfId="5352" xr:uid="{00000000-0005-0000-0000-000067140000}"/>
    <cellStyle name="Check Cell 618" xfId="5353" xr:uid="{00000000-0005-0000-0000-000068140000}"/>
    <cellStyle name="Check Cell 619" xfId="5354" xr:uid="{00000000-0005-0000-0000-000069140000}"/>
    <cellStyle name="Check Cell 62" xfId="5355" xr:uid="{00000000-0005-0000-0000-00006A140000}"/>
    <cellStyle name="Check Cell 620" xfId="5356" xr:uid="{00000000-0005-0000-0000-00006B140000}"/>
    <cellStyle name="Check Cell 621" xfId="5357" xr:uid="{00000000-0005-0000-0000-00006C140000}"/>
    <cellStyle name="Check Cell 622" xfId="5358" xr:uid="{00000000-0005-0000-0000-00006D140000}"/>
    <cellStyle name="Check Cell 623" xfId="5359" xr:uid="{00000000-0005-0000-0000-00006E140000}"/>
    <cellStyle name="Check Cell 624" xfId="5360" xr:uid="{00000000-0005-0000-0000-00006F140000}"/>
    <cellStyle name="Check Cell 625" xfId="5361" xr:uid="{00000000-0005-0000-0000-000070140000}"/>
    <cellStyle name="Check Cell 626" xfId="5362" xr:uid="{00000000-0005-0000-0000-000071140000}"/>
    <cellStyle name="Check Cell 627" xfId="5363" xr:uid="{00000000-0005-0000-0000-000072140000}"/>
    <cellStyle name="Check Cell 628" xfId="5364" xr:uid="{00000000-0005-0000-0000-000073140000}"/>
    <cellStyle name="Check Cell 629" xfId="5365" xr:uid="{00000000-0005-0000-0000-000074140000}"/>
    <cellStyle name="Check Cell 63" xfId="5366" xr:uid="{00000000-0005-0000-0000-000075140000}"/>
    <cellStyle name="Check Cell 630" xfId="5367" xr:uid="{00000000-0005-0000-0000-000076140000}"/>
    <cellStyle name="Check Cell 631" xfId="5368" xr:uid="{00000000-0005-0000-0000-000077140000}"/>
    <cellStyle name="Check Cell 632" xfId="5369" xr:uid="{00000000-0005-0000-0000-000078140000}"/>
    <cellStyle name="Check Cell 633" xfId="5370" xr:uid="{00000000-0005-0000-0000-000079140000}"/>
    <cellStyle name="Check Cell 634" xfId="5371" xr:uid="{00000000-0005-0000-0000-00007A140000}"/>
    <cellStyle name="Check Cell 635" xfId="5372" xr:uid="{00000000-0005-0000-0000-00007B140000}"/>
    <cellStyle name="Check Cell 636" xfId="5373" xr:uid="{00000000-0005-0000-0000-00007C140000}"/>
    <cellStyle name="Check Cell 637" xfId="5374" xr:uid="{00000000-0005-0000-0000-00007D140000}"/>
    <cellStyle name="Check Cell 638" xfId="5375" xr:uid="{00000000-0005-0000-0000-00007E140000}"/>
    <cellStyle name="Check Cell 639" xfId="5376" xr:uid="{00000000-0005-0000-0000-00007F140000}"/>
    <cellStyle name="Check Cell 64" xfId="5377" xr:uid="{00000000-0005-0000-0000-000080140000}"/>
    <cellStyle name="Check Cell 640" xfId="5378" xr:uid="{00000000-0005-0000-0000-000081140000}"/>
    <cellStyle name="Check Cell 641" xfId="5379" xr:uid="{00000000-0005-0000-0000-000082140000}"/>
    <cellStyle name="Check Cell 642" xfId="5380" xr:uid="{00000000-0005-0000-0000-000083140000}"/>
    <cellStyle name="Check Cell 643" xfId="5381" xr:uid="{00000000-0005-0000-0000-000084140000}"/>
    <cellStyle name="Check Cell 644" xfId="5382" xr:uid="{00000000-0005-0000-0000-000085140000}"/>
    <cellStyle name="Check Cell 645" xfId="5383" xr:uid="{00000000-0005-0000-0000-000086140000}"/>
    <cellStyle name="Check Cell 646" xfId="5384" xr:uid="{00000000-0005-0000-0000-000087140000}"/>
    <cellStyle name="Check Cell 647" xfId="5385" xr:uid="{00000000-0005-0000-0000-000088140000}"/>
    <cellStyle name="Check Cell 648" xfId="5386" xr:uid="{00000000-0005-0000-0000-000089140000}"/>
    <cellStyle name="Check Cell 649" xfId="5387" xr:uid="{00000000-0005-0000-0000-00008A140000}"/>
    <cellStyle name="Check Cell 65" xfId="5388" xr:uid="{00000000-0005-0000-0000-00008B140000}"/>
    <cellStyle name="Check Cell 650" xfId="5389" xr:uid="{00000000-0005-0000-0000-00008C140000}"/>
    <cellStyle name="Check Cell 651" xfId="5390" xr:uid="{00000000-0005-0000-0000-00008D140000}"/>
    <cellStyle name="Check Cell 652" xfId="5391" xr:uid="{00000000-0005-0000-0000-00008E140000}"/>
    <cellStyle name="Check Cell 653" xfId="5392" xr:uid="{00000000-0005-0000-0000-00008F140000}"/>
    <cellStyle name="Check Cell 654" xfId="5393" xr:uid="{00000000-0005-0000-0000-000090140000}"/>
    <cellStyle name="Check Cell 655" xfId="5394" xr:uid="{00000000-0005-0000-0000-000091140000}"/>
    <cellStyle name="Check Cell 656" xfId="5395" xr:uid="{00000000-0005-0000-0000-000092140000}"/>
    <cellStyle name="Check Cell 657" xfId="5396" xr:uid="{00000000-0005-0000-0000-000093140000}"/>
    <cellStyle name="Check Cell 658" xfId="5397" xr:uid="{00000000-0005-0000-0000-000094140000}"/>
    <cellStyle name="Check Cell 659" xfId="5398" xr:uid="{00000000-0005-0000-0000-000095140000}"/>
    <cellStyle name="Check Cell 66" xfId="5399" xr:uid="{00000000-0005-0000-0000-000096140000}"/>
    <cellStyle name="Check Cell 660" xfId="5400" xr:uid="{00000000-0005-0000-0000-000097140000}"/>
    <cellStyle name="Check Cell 661" xfId="5401" xr:uid="{00000000-0005-0000-0000-000098140000}"/>
    <cellStyle name="Check Cell 662" xfId="5402" xr:uid="{00000000-0005-0000-0000-000099140000}"/>
    <cellStyle name="Check Cell 663" xfId="5403" xr:uid="{00000000-0005-0000-0000-00009A140000}"/>
    <cellStyle name="Check Cell 664" xfId="5404" xr:uid="{00000000-0005-0000-0000-00009B140000}"/>
    <cellStyle name="Check Cell 665" xfId="5405" xr:uid="{00000000-0005-0000-0000-00009C140000}"/>
    <cellStyle name="Check Cell 666" xfId="5406" xr:uid="{00000000-0005-0000-0000-00009D140000}"/>
    <cellStyle name="Check Cell 667" xfId="5407" xr:uid="{00000000-0005-0000-0000-00009E140000}"/>
    <cellStyle name="Check Cell 668" xfId="5408" xr:uid="{00000000-0005-0000-0000-00009F140000}"/>
    <cellStyle name="Check Cell 669" xfId="5409" xr:uid="{00000000-0005-0000-0000-0000A0140000}"/>
    <cellStyle name="Check Cell 67" xfId="5410" xr:uid="{00000000-0005-0000-0000-0000A1140000}"/>
    <cellStyle name="Check Cell 670" xfId="5411" xr:uid="{00000000-0005-0000-0000-0000A2140000}"/>
    <cellStyle name="Check Cell 671" xfId="5412" xr:uid="{00000000-0005-0000-0000-0000A3140000}"/>
    <cellStyle name="Check Cell 672" xfId="5413" xr:uid="{00000000-0005-0000-0000-0000A4140000}"/>
    <cellStyle name="Check Cell 673" xfId="5414" xr:uid="{00000000-0005-0000-0000-0000A5140000}"/>
    <cellStyle name="Check Cell 674" xfId="5415" xr:uid="{00000000-0005-0000-0000-0000A6140000}"/>
    <cellStyle name="Check Cell 675" xfId="5416" xr:uid="{00000000-0005-0000-0000-0000A7140000}"/>
    <cellStyle name="Check Cell 676" xfId="5417" xr:uid="{00000000-0005-0000-0000-0000A8140000}"/>
    <cellStyle name="Check Cell 677" xfId="5418" xr:uid="{00000000-0005-0000-0000-0000A9140000}"/>
    <cellStyle name="Check Cell 678" xfId="5419" xr:uid="{00000000-0005-0000-0000-0000AA140000}"/>
    <cellStyle name="Check Cell 679" xfId="5420" xr:uid="{00000000-0005-0000-0000-0000AB140000}"/>
    <cellStyle name="Check Cell 68" xfId="5421" xr:uid="{00000000-0005-0000-0000-0000AC140000}"/>
    <cellStyle name="Check Cell 680" xfId="5422" xr:uid="{00000000-0005-0000-0000-0000AD140000}"/>
    <cellStyle name="Check Cell 681" xfId="5423" xr:uid="{00000000-0005-0000-0000-0000AE140000}"/>
    <cellStyle name="Check Cell 682" xfId="5424" xr:uid="{00000000-0005-0000-0000-0000AF140000}"/>
    <cellStyle name="Check Cell 683" xfId="5425" xr:uid="{00000000-0005-0000-0000-0000B0140000}"/>
    <cellStyle name="Check Cell 684" xfId="5426" xr:uid="{00000000-0005-0000-0000-0000B1140000}"/>
    <cellStyle name="Check Cell 685" xfId="5427" xr:uid="{00000000-0005-0000-0000-0000B2140000}"/>
    <cellStyle name="Check Cell 686" xfId="5428" xr:uid="{00000000-0005-0000-0000-0000B3140000}"/>
    <cellStyle name="Check Cell 687" xfId="5429" xr:uid="{00000000-0005-0000-0000-0000B4140000}"/>
    <cellStyle name="Check Cell 688" xfId="5430" xr:uid="{00000000-0005-0000-0000-0000B5140000}"/>
    <cellStyle name="Check Cell 689" xfId="5431" xr:uid="{00000000-0005-0000-0000-0000B6140000}"/>
    <cellStyle name="Check Cell 69" xfId="5432" xr:uid="{00000000-0005-0000-0000-0000B7140000}"/>
    <cellStyle name="Check Cell 690" xfId="5433" xr:uid="{00000000-0005-0000-0000-0000B8140000}"/>
    <cellStyle name="Check Cell 691" xfId="5434" xr:uid="{00000000-0005-0000-0000-0000B9140000}"/>
    <cellStyle name="Check Cell 692" xfId="5435" xr:uid="{00000000-0005-0000-0000-0000BA140000}"/>
    <cellStyle name="Check Cell 693" xfId="5436" xr:uid="{00000000-0005-0000-0000-0000BB140000}"/>
    <cellStyle name="Check Cell 694" xfId="5437" xr:uid="{00000000-0005-0000-0000-0000BC140000}"/>
    <cellStyle name="Check Cell 695" xfId="5438" xr:uid="{00000000-0005-0000-0000-0000BD140000}"/>
    <cellStyle name="Check Cell 696" xfId="5439" xr:uid="{00000000-0005-0000-0000-0000BE140000}"/>
    <cellStyle name="Check Cell 697" xfId="5440" xr:uid="{00000000-0005-0000-0000-0000BF140000}"/>
    <cellStyle name="Check Cell 698" xfId="5441" xr:uid="{00000000-0005-0000-0000-0000C0140000}"/>
    <cellStyle name="Check Cell 699" xfId="5442" xr:uid="{00000000-0005-0000-0000-0000C1140000}"/>
    <cellStyle name="Check Cell 7" xfId="5443" xr:uid="{00000000-0005-0000-0000-0000C2140000}"/>
    <cellStyle name="Check Cell 70" xfId="5444" xr:uid="{00000000-0005-0000-0000-0000C3140000}"/>
    <cellStyle name="Check Cell 700" xfId="5445" xr:uid="{00000000-0005-0000-0000-0000C4140000}"/>
    <cellStyle name="Check Cell 701" xfId="5446" xr:uid="{00000000-0005-0000-0000-0000C5140000}"/>
    <cellStyle name="Check Cell 702" xfId="5447" xr:uid="{00000000-0005-0000-0000-0000C6140000}"/>
    <cellStyle name="Check Cell 703" xfId="5448" xr:uid="{00000000-0005-0000-0000-0000C7140000}"/>
    <cellStyle name="Check Cell 704" xfId="5449" xr:uid="{00000000-0005-0000-0000-0000C8140000}"/>
    <cellStyle name="Check Cell 705" xfId="5450" xr:uid="{00000000-0005-0000-0000-0000C9140000}"/>
    <cellStyle name="Check Cell 706" xfId="5451" xr:uid="{00000000-0005-0000-0000-0000CA140000}"/>
    <cellStyle name="Check Cell 707" xfId="5452" xr:uid="{00000000-0005-0000-0000-0000CB140000}"/>
    <cellStyle name="Check Cell 708" xfId="5453" xr:uid="{00000000-0005-0000-0000-0000CC140000}"/>
    <cellStyle name="Check Cell 709" xfId="5454" xr:uid="{00000000-0005-0000-0000-0000CD140000}"/>
    <cellStyle name="Check Cell 71" xfId="5455" xr:uid="{00000000-0005-0000-0000-0000CE140000}"/>
    <cellStyle name="Check Cell 710" xfId="5456" xr:uid="{00000000-0005-0000-0000-0000CF140000}"/>
    <cellStyle name="Check Cell 711" xfId="5457" xr:uid="{00000000-0005-0000-0000-0000D0140000}"/>
    <cellStyle name="Check Cell 712" xfId="5458" xr:uid="{00000000-0005-0000-0000-0000D1140000}"/>
    <cellStyle name="Check Cell 713" xfId="5459" xr:uid="{00000000-0005-0000-0000-0000D2140000}"/>
    <cellStyle name="Check Cell 714" xfId="5460" xr:uid="{00000000-0005-0000-0000-0000D3140000}"/>
    <cellStyle name="Check Cell 715" xfId="5461" xr:uid="{00000000-0005-0000-0000-0000D4140000}"/>
    <cellStyle name="Check Cell 716" xfId="5462" xr:uid="{00000000-0005-0000-0000-0000D5140000}"/>
    <cellStyle name="Check Cell 717" xfId="5463" xr:uid="{00000000-0005-0000-0000-0000D6140000}"/>
    <cellStyle name="Check Cell 718" xfId="5464" xr:uid="{00000000-0005-0000-0000-0000D7140000}"/>
    <cellStyle name="Check Cell 719" xfId="5465" xr:uid="{00000000-0005-0000-0000-0000D8140000}"/>
    <cellStyle name="Check Cell 72" xfId="5466" xr:uid="{00000000-0005-0000-0000-0000D9140000}"/>
    <cellStyle name="Check Cell 720" xfId="5467" xr:uid="{00000000-0005-0000-0000-0000DA140000}"/>
    <cellStyle name="Check Cell 721" xfId="5468" xr:uid="{00000000-0005-0000-0000-0000DB140000}"/>
    <cellStyle name="Check Cell 722" xfId="5469" xr:uid="{00000000-0005-0000-0000-0000DC140000}"/>
    <cellStyle name="Check Cell 723" xfId="5470" xr:uid="{00000000-0005-0000-0000-0000DD140000}"/>
    <cellStyle name="Check Cell 724" xfId="5471" xr:uid="{00000000-0005-0000-0000-0000DE140000}"/>
    <cellStyle name="Check Cell 725" xfId="5472" xr:uid="{00000000-0005-0000-0000-0000DF140000}"/>
    <cellStyle name="Check Cell 726" xfId="5473" xr:uid="{00000000-0005-0000-0000-0000E0140000}"/>
    <cellStyle name="Check Cell 727" xfId="5474" xr:uid="{00000000-0005-0000-0000-0000E1140000}"/>
    <cellStyle name="Check Cell 728" xfId="5475" xr:uid="{00000000-0005-0000-0000-0000E2140000}"/>
    <cellStyle name="Check Cell 729" xfId="5476" xr:uid="{00000000-0005-0000-0000-0000E3140000}"/>
    <cellStyle name="Check Cell 73" xfId="5477" xr:uid="{00000000-0005-0000-0000-0000E4140000}"/>
    <cellStyle name="Check Cell 730" xfId="5478" xr:uid="{00000000-0005-0000-0000-0000E5140000}"/>
    <cellStyle name="Check Cell 731" xfId="5479" xr:uid="{00000000-0005-0000-0000-0000E6140000}"/>
    <cellStyle name="Check Cell 732" xfId="5480" xr:uid="{00000000-0005-0000-0000-0000E7140000}"/>
    <cellStyle name="Check Cell 733" xfId="5481" xr:uid="{00000000-0005-0000-0000-0000E8140000}"/>
    <cellStyle name="Check Cell 734" xfId="5482" xr:uid="{00000000-0005-0000-0000-0000E9140000}"/>
    <cellStyle name="Check Cell 735" xfId="5483" xr:uid="{00000000-0005-0000-0000-0000EA140000}"/>
    <cellStyle name="Check Cell 736" xfId="5484" xr:uid="{00000000-0005-0000-0000-0000EB140000}"/>
    <cellStyle name="Check Cell 737" xfId="5485" xr:uid="{00000000-0005-0000-0000-0000EC140000}"/>
    <cellStyle name="Check Cell 738" xfId="5486" xr:uid="{00000000-0005-0000-0000-0000ED140000}"/>
    <cellStyle name="Check Cell 739" xfId="5487" xr:uid="{00000000-0005-0000-0000-0000EE140000}"/>
    <cellStyle name="Check Cell 74" xfId="5488" xr:uid="{00000000-0005-0000-0000-0000EF140000}"/>
    <cellStyle name="Check Cell 740" xfId="5489" xr:uid="{00000000-0005-0000-0000-0000F0140000}"/>
    <cellStyle name="Check Cell 741" xfId="5490" xr:uid="{00000000-0005-0000-0000-0000F1140000}"/>
    <cellStyle name="Check Cell 742" xfId="5491" xr:uid="{00000000-0005-0000-0000-0000F2140000}"/>
    <cellStyle name="Check Cell 743" xfId="5492" xr:uid="{00000000-0005-0000-0000-0000F3140000}"/>
    <cellStyle name="Check Cell 744" xfId="5493" xr:uid="{00000000-0005-0000-0000-0000F4140000}"/>
    <cellStyle name="Check Cell 745" xfId="5494" xr:uid="{00000000-0005-0000-0000-0000F5140000}"/>
    <cellStyle name="Check Cell 746" xfId="5495" xr:uid="{00000000-0005-0000-0000-0000F6140000}"/>
    <cellStyle name="Check Cell 747" xfId="5496" xr:uid="{00000000-0005-0000-0000-0000F7140000}"/>
    <cellStyle name="Check Cell 748" xfId="5497" xr:uid="{00000000-0005-0000-0000-0000F8140000}"/>
    <cellStyle name="Check Cell 749" xfId="5498" xr:uid="{00000000-0005-0000-0000-0000F9140000}"/>
    <cellStyle name="Check Cell 75" xfId="5499" xr:uid="{00000000-0005-0000-0000-0000FA140000}"/>
    <cellStyle name="Check Cell 750" xfId="5500" xr:uid="{00000000-0005-0000-0000-0000FB140000}"/>
    <cellStyle name="Check Cell 751" xfId="5501" xr:uid="{00000000-0005-0000-0000-0000FC140000}"/>
    <cellStyle name="Check Cell 752" xfId="5502" xr:uid="{00000000-0005-0000-0000-0000FD140000}"/>
    <cellStyle name="Check Cell 753" xfId="5503" xr:uid="{00000000-0005-0000-0000-0000FE140000}"/>
    <cellStyle name="Check Cell 754" xfId="5504" xr:uid="{00000000-0005-0000-0000-0000FF140000}"/>
    <cellStyle name="Check Cell 755" xfId="5505" xr:uid="{00000000-0005-0000-0000-000000150000}"/>
    <cellStyle name="Check Cell 756" xfId="5506" xr:uid="{00000000-0005-0000-0000-000001150000}"/>
    <cellStyle name="Check Cell 757" xfId="5507" xr:uid="{00000000-0005-0000-0000-000002150000}"/>
    <cellStyle name="Check Cell 758" xfId="5508" xr:uid="{00000000-0005-0000-0000-000003150000}"/>
    <cellStyle name="Check Cell 759" xfId="5509" xr:uid="{00000000-0005-0000-0000-000004150000}"/>
    <cellStyle name="Check Cell 76" xfId="5510" xr:uid="{00000000-0005-0000-0000-000005150000}"/>
    <cellStyle name="Check Cell 760" xfId="5511" xr:uid="{00000000-0005-0000-0000-000006150000}"/>
    <cellStyle name="Check Cell 761" xfId="5512" xr:uid="{00000000-0005-0000-0000-000007150000}"/>
    <cellStyle name="Check Cell 762" xfId="5513" xr:uid="{00000000-0005-0000-0000-000008150000}"/>
    <cellStyle name="Check Cell 763" xfId="5514" xr:uid="{00000000-0005-0000-0000-000009150000}"/>
    <cellStyle name="Check Cell 764" xfId="5515" xr:uid="{00000000-0005-0000-0000-00000A150000}"/>
    <cellStyle name="Check Cell 765" xfId="5516" xr:uid="{00000000-0005-0000-0000-00000B150000}"/>
    <cellStyle name="Check Cell 766" xfId="5517" xr:uid="{00000000-0005-0000-0000-00000C150000}"/>
    <cellStyle name="Check Cell 767" xfId="5518" xr:uid="{00000000-0005-0000-0000-00000D150000}"/>
    <cellStyle name="Check Cell 768" xfId="5519" xr:uid="{00000000-0005-0000-0000-00000E150000}"/>
    <cellStyle name="Check Cell 769" xfId="5520" xr:uid="{00000000-0005-0000-0000-00000F150000}"/>
    <cellStyle name="Check Cell 77" xfId="5521" xr:uid="{00000000-0005-0000-0000-000010150000}"/>
    <cellStyle name="Check Cell 770" xfId="5522" xr:uid="{00000000-0005-0000-0000-000011150000}"/>
    <cellStyle name="Check Cell 771" xfId="5523" xr:uid="{00000000-0005-0000-0000-000012150000}"/>
    <cellStyle name="Check Cell 772" xfId="5524" xr:uid="{00000000-0005-0000-0000-000013150000}"/>
    <cellStyle name="Check Cell 773" xfId="5525" xr:uid="{00000000-0005-0000-0000-000014150000}"/>
    <cellStyle name="Check Cell 774" xfId="5526" xr:uid="{00000000-0005-0000-0000-000015150000}"/>
    <cellStyle name="Check Cell 775" xfId="5527" xr:uid="{00000000-0005-0000-0000-000016150000}"/>
    <cellStyle name="Check Cell 776" xfId="5528" xr:uid="{00000000-0005-0000-0000-000017150000}"/>
    <cellStyle name="Check Cell 777" xfId="5529" xr:uid="{00000000-0005-0000-0000-000018150000}"/>
    <cellStyle name="Check Cell 778" xfId="5530" xr:uid="{00000000-0005-0000-0000-000019150000}"/>
    <cellStyle name="Check Cell 779" xfId="5531" xr:uid="{00000000-0005-0000-0000-00001A150000}"/>
    <cellStyle name="Check Cell 78" xfId="5532" xr:uid="{00000000-0005-0000-0000-00001B150000}"/>
    <cellStyle name="Check Cell 780" xfId="5533" xr:uid="{00000000-0005-0000-0000-00001C150000}"/>
    <cellStyle name="Check Cell 781" xfId="5534" xr:uid="{00000000-0005-0000-0000-00001D150000}"/>
    <cellStyle name="Check Cell 782" xfId="5535" xr:uid="{00000000-0005-0000-0000-00001E150000}"/>
    <cellStyle name="Check Cell 783" xfId="5536" xr:uid="{00000000-0005-0000-0000-00001F150000}"/>
    <cellStyle name="Check Cell 784" xfId="5537" xr:uid="{00000000-0005-0000-0000-000020150000}"/>
    <cellStyle name="Check Cell 785" xfId="5538" xr:uid="{00000000-0005-0000-0000-000021150000}"/>
    <cellStyle name="Check Cell 786" xfId="5539" xr:uid="{00000000-0005-0000-0000-000022150000}"/>
    <cellStyle name="Check Cell 787" xfId="5540" xr:uid="{00000000-0005-0000-0000-000023150000}"/>
    <cellStyle name="Check Cell 788" xfId="5541" xr:uid="{00000000-0005-0000-0000-000024150000}"/>
    <cellStyle name="Check Cell 789" xfId="5542" xr:uid="{00000000-0005-0000-0000-000025150000}"/>
    <cellStyle name="Check Cell 79" xfId="5543" xr:uid="{00000000-0005-0000-0000-000026150000}"/>
    <cellStyle name="Check Cell 790" xfId="5544" xr:uid="{00000000-0005-0000-0000-000027150000}"/>
    <cellStyle name="Check Cell 791" xfId="5545" xr:uid="{00000000-0005-0000-0000-000028150000}"/>
    <cellStyle name="Check Cell 792" xfId="5546" xr:uid="{00000000-0005-0000-0000-000029150000}"/>
    <cellStyle name="Check Cell 793" xfId="5547" xr:uid="{00000000-0005-0000-0000-00002A150000}"/>
    <cellStyle name="Check Cell 794" xfId="5548" xr:uid="{00000000-0005-0000-0000-00002B150000}"/>
    <cellStyle name="Check Cell 795" xfId="5549" xr:uid="{00000000-0005-0000-0000-00002C150000}"/>
    <cellStyle name="Check Cell 796" xfId="5550" xr:uid="{00000000-0005-0000-0000-00002D150000}"/>
    <cellStyle name="Check Cell 797" xfId="5551" xr:uid="{00000000-0005-0000-0000-00002E150000}"/>
    <cellStyle name="Check Cell 798" xfId="5552" xr:uid="{00000000-0005-0000-0000-00002F150000}"/>
    <cellStyle name="Check Cell 799" xfId="5553" xr:uid="{00000000-0005-0000-0000-000030150000}"/>
    <cellStyle name="Check Cell 8" xfId="5554" xr:uid="{00000000-0005-0000-0000-000031150000}"/>
    <cellStyle name="Check Cell 80" xfId="5555" xr:uid="{00000000-0005-0000-0000-000032150000}"/>
    <cellStyle name="Check Cell 800" xfId="5556" xr:uid="{00000000-0005-0000-0000-000033150000}"/>
    <cellStyle name="Check Cell 801" xfId="5557" xr:uid="{00000000-0005-0000-0000-000034150000}"/>
    <cellStyle name="Check Cell 802" xfId="5558" xr:uid="{00000000-0005-0000-0000-000035150000}"/>
    <cellStyle name="Check Cell 803" xfId="5559" xr:uid="{00000000-0005-0000-0000-000036150000}"/>
    <cellStyle name="Check Cell 804" xfId="5560" xr:uid="{00000000-0005-0000-0000-000037150000}"/>
    <cellStyle name="Check Cell 805" xfId="5561" xr:uid="{00000000-0005-0000-0000-000038150000}"/>
    <cellStyle name="Check Cell 806" xfId="5562" xr:uid="{00000000-0005-0000-0000-000039150000}"/>
    <cellStyle name="Check Cell 807" xfId="5563" xr:uid="{00000000-0005-0000-0000-00003A150000}"/>
    <cellStyle name="Check Cell 808" xfId="5564" xr:uid="{00000000-0005-0000-0000-00003B150000}"/>
    <cellStyle name="Check Cell 809" xfId="5565" xr:uid="{00000000-0005-0000-0000-00003C150000}"/>
    <cellStyle name="Check Cell 81" xfId="5566" xr:uid="{00000000-0005-0000-0000-00003D150000}"/>
    <cellStyle name="Check Cell 810" xfId="5567" xr:uid="{00000000-0005-0000-0000-00003E150000}"/>
    <cellStyle name="Check Cell 811" xfId="5568" xr:uid="{00000000-0005-0000-0000-00003F150000}"/>
    <cellStyle name="Check Cell 812" xfId="5569" xr:uid="{00000000-0005-0000-0000-000040150000}"/>
    <cellStyle name="Check Cell 813" xfId="5570" xr:uid="{00000000-0005-0000-0000-000041150000}"/>
    <cellStyle name="Check Cell 814" xfId="5571" xr:uid="{00000000-0005-0000-0000-000042150000}"/>
    <cellStyle name="Check Cell 815" xfId="5572" xr:uid="{00000000-0005-0000-0000-000043150000}"/>
    <cellStyle name="Check Cell 816" xfId="5573" xr:uid="{00000000-0005-0000-0000-000044150000}"/>
    <cellStyle name="Check Cell 817" xfId="5574" xr:uid="{00000000-0005-0000-0000-000045150000}"/>
    <cellStyle name="Check Cell 818" xfId="5575" xr:uid="{00000000-0005-0000-0000-000046150000}"/>
    <cellStyle name="Check Cell 819" xfId="5576" xr:uid="{00000000-0005-0000-0000-000047150000}"/>
    <cellStyle name="Check Cell 82" xfId="5577" xr:uid="{00000000-0005-0000-0000-000048150000}"/>
    <cellStyle name="Check Cell 820" xfId="5578" xr:uid="{00000000-0005-0000-0000-000049150000}"/>
    <cellStyle name="Check Cell 821" xfId="5579" xr:uid="{00000000-0005-0000-0000-00004A150000}"/>
    <cellStyle name="Check Cell 822" xfId="5580" xr:uid="{00000000-0005-0000-0000-00004B150000}"/>
    <cellStyle name="Check Cell 823" xfId="5581" xr:uid="{00000000-0005-0000-0000-00004C150000}"/>
    <cellStyle name="Check Cell 824" xfId="5582" xr:uid="{00000000-0005-0000-0000-00004D150000}"/>
    <cellStyle name="Check Cell 825" xfId="5583" xr:uid="{00000000-0005-0000-0000-00004E150000}"/>
    <cellStyle name="Check Cell 826" xfId="5584" xr:uid="{00000000-0005-0000-0000-00004F150000}"/>
    <cellStyle name="Check Cell 827" xfId="5585" xr:uid="{00000000-0005-0000-0000-000050150000}"/>
    <cellStyle name="Check Cell 828" xfId="5586" xr:uid="{00000000-0005-0000-0000-000051150000}"/>
    <cellStyle name="Check Cell 829" xfId="5587" xr:uid="{00000000-0005-0000-0000-000052150000}"/>
    <cellStyle name="Check Cell 83" xfId="5588" xr:uid="{00000000-0005-0000-0000-000053150000}"/>
    <cellStyle name="Check Cell 830" xfId="5589" xr:uid="{00000000-0005-0000-0000-000054150000}"/>
    <cellStyle name="Check Cell 831" xfId="5590" xr:uid="{00000000-0005-0000-0000-000055150000}"/>
    <cellStyle name="Check Cell 832" xfId="5591" xr:uid="{00000000-0005-0000-0000-000056150000}"/>
    <cellStyle name="Check Cell 833" xfId="5592" xr:uid="{00000000-0005-0000-0000-000057150000}"/>
    <cellStyle name="Check Cell 834" xfId="5593" xr:uid="{00000000-0005-0000-0000-000058150000}"/>
    <cellStyle name="Check Cell 835" xfId="5594" xr:uid="{00000000-0005-0000-0000-000059150000}"/>
    <cellStyle name="Check Cell 836" xfId="5595" xr:uid="{00000000-0005-0000-0000-00005A150000}"/>
    <cellStyle name="Check Cell 837" xfId="5596" xr:uid="{00000000-0005-0000-0000-00005B150000}"/>
    <cellStyle name="Check Cell 838" xfId="5597" xr:uid="{00000000-0005-0000-0000-00005C150000}"/>
    <cellStyle name="Check Cell 839" xfId="5598" xr:uid="{00000000-0005-0000-0000-00005D150000}"/>
    <cellStyle name="Check Cell 84" xfId="5599" xr:uid="{00000000-0005-0000-0000-00005E150000}"/>
    <cellStyle name="Check Cell 840" xfId="5600" xr:uid="{00000000-0005-0000-0000-00005F150000}"/>
    <cellStyle name="Check Cell 841" xfId="5601" xr:uid="{00000000-0005-0000-0000-000060150000}"/>
    <cellStyle name="Check Cell 842" xfId="5602" xr:uid="{00000000-0005-0000-0000-000061150000}"/>
    <cellStyle name="Check Cell 843" xfId="5603" xr:uid="{00000000-0005-0000-0000-000062150000}"/>
    <cellStyle name="Check Cell 844" xfId="5604" xr:uid="{00000000-0005-0000-0000-000063150000}"/>
    <cellStyle name="Check Cell 845" xfId="5605" xr:uid="{00000000-0005-0000-0000-000064150000}"/>
    <cellStyle name="Check Cell 846" xfId="5606" xr:uid="{00000000-0005-0000-0000-000065150000}"/>
    <cellStyle name="Check Cell 847" xfId="5607" xr:uid="{00000000-0005-0000-0000-000066150000}"/>
    <cellStyle name="Check Cell 848" xfId="5608" xr:uid="{00000000-0005-0000-0000-000067150000}"/>
    <cellStyle name="Check Cell 849" xfId="5609" xr:uid="{00000000-0005-0000-0000-000068150000}"/>
    <cellStyle name="Check Cell 85" xfId="5610" xr:uid="{00000000-0005-0000-0000-000069150000}"/>
    <cellStyle name="Check Cell 850" xfId="5611" xr:uid="{00000000-0005-0000-0000-00006A150000}"/>
    <cellStyle name="Check Cell 851" xfId="5612" xr:uid="{00000000-0005-0000-0000-00006B150000}"/>
    <cellStyle name="Check Cell 852" xfId="5613" xr:uid="{00000000-0005-0000-0000-00006C150000}"/>
    <cellStyle name="Check Cell 853" xfId="5614" xr:uid="{00000000-0005-0000-0000-00006D150000}"/>
    <cellStyle name="Check Cell 854" xfId="5615" xr:uid="{00000000-0005-0000-0000-00006E150000}"/>
    <cellStyle name="Check Cell 855" xfId="5616" xr:uid="{00000000-0005-0000-0000-00006F150000}"/>
    <cellStyle name="Check Cell 856" xfId="5617" xr:uid="{00000000-0005-0000-0000-000070150000}"/>
    <cellStyle name="Check Cell 857" xfId="5618" xr:uid="{00000000-0005-0000-0000-000071150000}"/>
    <cellStyle name="Check Cell 858" xfId="5619" xr:uid="{00000000-0005-0000-0000-000072150000}"/>
    <cellStyle name="Check Cell 859" xfId="5620" xr:uid="{00000000-0005-0000-0000-000073150000}"/>
    <cellStyle name="Check Cell 86" xfId="5621" xr:uid="{00000000-0005-0000-0000-000074150000}"/>
    <cellStyle name="Check Cell 860" xfId="5622" xr:uid="{00000000-0005-0000-0000-000075150000}"/>
    <cellStyle name="Check Cell 861" xfId="5623" xr:uid="{00000000-0005-0000-0000-000076150000}"/>
    <cellStyle name="Check Cell 862" xfId="5624" xr:uid="{00000000-0005-0000-0000-000077150000}"/>
    <cellStyle name="Check Cell 863" xfId="5625" xr:uid="{00000000-0005-0000-0000-000078150000}"/>
    <cellStyle name="Check Cell 864" xfId="5626" xr:uid="{00000000-0005-0000-0000-000079150000}"/>
    <cellStyle name="Check Cell 865" xfId="5627" xr:uid="{00000000-0005-0000-0000-00007A150000}"/>
    <cellStyle name="Check Cell 866" xfId="5628" xr:uid="{00000000-0005-0000-0000-00007B150000}"/>
    <cellStyle name="Check Cell 867" xfId="5629" xr:uid="{00000000-0005-0000-0000-00007C150000}"/>
    <cellStyle name="Check Cell 868" xfId="5630" xr:uid="{00000000-0005-0000-0000-00007D150000}"/>
    <cellStyle name="Check Cell 869" xfId="5631" xr:uid="{00000000-0005-0000-0000-00007E150000}"/>
    <cellStyle name="Check Cell 87" xfId="5632" xr:uid="{00000000-0005-0000-0000-00007F150000}"/>
    <cellStyle name="Check Cell 870" xfId="5633" xr:uid="{00000000-0005-0000-0000-000080150000}"/>
    <cellStyle name="Check Cell 871" xfId="5634" xr:uid="{00000000-0005-0000-0000-000081150000}"/>
    <cellStyle name="Check Cell 872" xfId="5635" xr:uid="{00000000-0005-0000-0000-000082150000}"/>
    <cellStyle name="Check Cell 873" xfId="5636" xr:uid="{00000000-0005-0000-0000-000083150000}"/>
    <cellStyle name="Check Cell 874" xfId="5637" xr:uid="{00000000-0005-0000-0000-000084150000}"/>
    <cellStyle name="Check Cell 875" xfId="5638" xr:uid="{00000000-0005-0000-0000-000085150000}"/>
    <cellStyle name="Check Cell 876" xfId="5639" xr:uid="{00000000-0005-0000-0000-000086150000}"/>
    <cellStyle name="Check Cell 877" xfId="5640" xr:uid="{00000000-0005-0000-0000-000087150000}"/>
    <cellStyle name="Check Cell 878" xfId="5641" xr:uid="{00000000-0005-0000-0000-000088150000}"/>
    <cellStyle name="Check Cell 879" xfId="5642" xr:uid="{00000000-0005-0000-0000-000089150000}"/>
    <cellStyle name="Check Cell 88" xfId="5643" xr:uid="{00000000-0005-0000-0000-00008A150000}"/>
    <cellStyle name="Check Cell 880" xfId="5644" xr:uid="{00000000-0005-0000-0000-00008B150000}"/>
    <cellStyle name="Check Cell 881" xfId="5645" xr:uid="{00000000-0005-0000-0000-00008C150000}"/>
    <cellStyle name="Check Cell 882" xfId="5646" xr:uid="{00000000-0005-0000-0000-00008D150000}"/>
    <cellStyle name="Check Cell 883" xfId="5647" xr:uid="{00000000-0005-0000-0000-00008E150000}"/>
    <cellStyle name="Check Cell 884" xfId="5648" xr:uid="{00000000-0005-0000-0000-00008F150000}"/>
    <cellStyle name="Check Cell 885" xfId="5649" xr:uid="{00000000-0005-0000-0000-000090150000}"/>
    <cellStyle name="Check Cell 886" xfId="5650" xr:uid="{00000000-0005-0000-0000-000091150000}"/>
    <cellStyle name="Check Cell 887" xfId="5651" xr:uid="{00000000-0005-0000-0000-000092150000}"/>
    <cellStyle name="Check Cell 888" xfId="5652" xr:uid="{00000000-0005-0000-0000-000093150000}"/>
    <cellStyle name="Check Cell 889" xfId="5653" xr:uid="{00000000-0005-0000-0000-000094150000}"/>
    <cellStyle name="Check Cell 89" xfId="5654" xr:uid="{00000000-0005-0000-0000-000095150000}"/>
    <cellStyle name="Check Cell 890" xfId="5655" xr:uid="{00000000-0005-0000-0000-000096150000}"/>
    <cellStyle name="Check Cell 891" xfId="5656" xr:uid="{00000000-0005-0000-0000-000097150000}"/>
    <cellStyle name="Check Cell 892" xfId="5657" xr:uid="{00000000-0005-0000-0000-000098150000}"/>
    <cellStyle name="Check Cell 893" xfId="5658" xr:uid="{00000000-0005-0000-0000-000099150000}"/>
    <cellStyle name="Check Cell 894" xfId="5659" xr:uid="{00000000-0005-0000-0000-00009A150000}"/>
    <cellStyle name="Check Cell 895" xfId="5660" xr:uid="{00000000-0005-0000-0000-00009B150000}"/>
    <cellStyle name="Check Cell 896" xfId="5661" xr:uid="{00000000-0005-0000-0000-00009C150000}"/>
    <cellStyle name="Check Cell 897" xfId="5662" xr:uid="{00000000-0005-0000-0000-00009D150000}"/>
    <cellStyle name="Check Cell 898" xfId="5663" xr:uid="{00000000-0005-0000-0000-00009E150000}"/>
    <cellStyle name="Check Cell 899" xfId="5664" xr:uid="{00000000-0005-0000-0000-00009F150000}"/>
    <cellStyle name="Check Cell 9" xfId="5665" xr:uid="{00000000-0005-0000-0000-0000A0150000}"/>
    <cellStyle name="Check Cell 90" xfId="5666" xr:uid="{00000000-0005-0000-0000-0000A1150000}"/>
    <cellStyle name="Check Cell 900" xfId="5667" xr:uid="{00000000-0005-0000-0000-0000A2150000}"/>
    <cellStyle name="Check Cell 901" xfId="5668" xr:uid="{00000000-0005-0000-0000-0000A3150000}"/>
    <cellStyle name="Check Cell 902" xfId="5669" xr:uid="{00000000-0005-0000-0000-0000A4150000}"/>
    <cellStyle name="Check Cell 903" xfId="5670" xr:uid="{00000000-0005-0000-0000-0000A5150000}"/>
    <cellStyle name="Check Cell 904" xfId="5671" xr:uid="{00000000-0005-0000-0000-0000A6150000}"/>
    <cellStyle name="Check Cell 905" xfId="5672" xr:uid="{00000000-0005-0000-0000-0000A7150000}"/>
    <cellStyle name="Check Cell 906" xfId="5673" xr:uid="{00000000-0005-0000-0000-0000A8150000}"/>
    <cellStyle name="Check Cell 907" xfId="5674" xr:uid="{00000000-0005-0000-0000-0000A9150000}"/>
    <cellStyle name="Check Cell 908" xfId="5675" xr:uid="{00000000-0005-0000-0000-0000AA150000}"/>
    <cellStyle name="Check Cell 909" xfId="5676" xr:uid="{00000000-0005-0000-0000-0000AB150000}"/>
    <cellStyle name="Check Cell 91" xfId="5677" xr:uid="{00000000-0005-0000-0000-0000AC150000}"/>
    <cellStyle name="Check Cell 910" xfId="5678" xr:uid="{00000000-0005-0000-0000-0000AD150000}"/>
    <cellStyle name="Check Cell 911" xfId="5679" xr:uid="{00000000-0005-0000-0000-0000AE150000}"/>
    <cellStyle name="Check Cell 912" xfId="5680" xr:uid="{00000000-0005-0000-0000-0000AF150000}"/>
    <cellStyle name="Check Cell 913" xfId="5681" xr:uid="{00000000-0005-0000-0000-0000B0150000}"/>
    <cellStyle name="Check Cell 914" xfId="5682" xr:uid="{00000000-0005-0000-0000-0000B1150000}"/>
    <cellStyle name="Check Cell 915" xfId="5683" xr:uid="{00000000-0005-0000-0000-0000B2150000}"/>
    <cellStyle name="Check Cell 916" xfId="5684" xr:uid="{00000000-0005-0000-0000-0000B3150000}"/>
    <cellStyle name="Check Cell 917" xfId="5685" xr:uid="{00000000-0005-0000-0000-0000B4150000}"/>
    <cellStyle name="Check Cell 918" xfId="5686" xr:uid="{00000000-0005-0000-0000-0000B5150000}"/>
    <cellStyle name="Check Cell 919" xfId="5687" xr:uid="{00000000-0005-0000-0000-0000B6150000}"/>
    <cellStyle name="Check Cell 92" xfId="5688" xr:uid="{00000000-0005-0000-0000-0000B7150000}"/>
    <cellStyle name="Check Cell 920" xfId="5689" xr:uid="{00000000-0005-0000-0000-0000B8150000}"/>
    <cellStyle name="Check Cell 921" xfId="5690" xr:uid="{00000000-0005-0000-0000-0000B9150000}"/>
    <cellStyle name="Check Cell 922" xfId="5691" xr:uid="{00000000-0005-0000-0000-0000BA150000}"/>
    <cellStyle name="Check Cell 923" xfId="5692" xr:uid="{00000000-0005-0000-0000-0000BB150000}"/>
    <cellStyle name="Check Cell 924" xfId="5693" xr:uid="{00000000-0005-0000-0000-0000BC150000}"/>
    <cellStyle name="Check Cell 925" xfId="5694" xr:uid="{00000000-0005-0000-0000-0000BD150000}"/>
    <cellStyle name="Check Cell 926" xfId="5695" xr:uid="{00000000-0005-0000-0000-0000BE150000}"/>
    <cellStyle name="Check Cell 927" xfId="5696" xr:uid="{00000000-0005-0000-0000-0000BF150000}"/>
    <cellStyle name="Check Cell 928" xfId="5697" xr:uid="{00000000-0005-0000-0000-0000C0150000}"/>
    <cellStyle name="Check Cell 929" xfId="5698" xr:uid="{00000000-0005-0000-0000-0000C1150000}"/>
    <cellStyle name="Check Cell 93" xfId="5699" xr:uid="{00000000-0005-0000-0000-0000C2150000}"/>
    <cellStyle name="Check Cell 930" xfId="5700" xr:uid="{00000000-0005-0000-0000-0000C3150000}"/>
    <cellStyle name="Check Cell 931" xfId="5701" xr:uid="{00000000-0005-0000-0000-0000C4150000}"/>
    <cellStyle name="Check Cell 932" xfId="5702" xr:uid="{00000000-0005-0000-0000-0000C5150000}"/>
    <cellStyle name="Check Cell 933" xfId="5703" xr:uid="{00000000-0005-0000-0000-0000C6150000}"/>
    <cellStyle name="Check Cell 934" xfId="5704" xr:uid="{00000000-0005-0000-0000-0000C7150000}"/>
    <cellStyle name="Check Cell 935" xfId="5705" xr:uid="{00000000-0005-0000-0000-0000C8150000}"/>
    <cellStyle name="Check Cell 936" xfId="5706" xr:uid="{00000000-0005-0000-0000-0000C9150000}"/>
    <cellStyle name="Check Cell 937" xfId="5707" xr:uid="{00000000-0005-0000-0000-0000CA150000}"/>
    <cellStyle name="Check Cell 938" xfId="5708" xr:uid="{00000000-0005-0000-0000-0000CB150000}"/>
    <cellStyle name="Check Cell 939" xfId="5709" xr:uid="{00000000-0005-0000-0000-0000CC150000}"/>
    <cellStyle name="Check Cell 94" xfId="5710" xr:uid="{00000000-0005-0000-0000-0000CD150000}"/>
    <cellStyle name="Check Cell 940" xfId="5711" xr:uid="{00000000-0005-0000-0000-0000CE150000}"/>
    <cellStyle name="Check Cell 941" xfId="5712" xr:uid="{00000000-0005-0000-0000-0000CF150000}"/>
    <cellStyle name="Check Cell 942" xfId="5713" xr:uid="{00000000-0005-0000-0000-0000D0150000}"/>
    <cellStyle name="Check Cell 943" xfId="5714" xr:uid="{00000000-0005-0000-0000-0000D1150000}"/>
    <cellStyle name="Check Cell 944" xfId="5715" xr:uid="{00000000-0005-0000-0000-0000D2150000}"/>
    <cellStyle name="Check Cell 945" xfId="5716" xr:uid="{00000000-0005-0000-0000-0000D3150000}"/>
    <cellStyle name="Check Cell 946" xfId="5717" xr:uid="{00000000-0005-0000-0000-0000D4150000}"/>
    <cellStyle name="Check Cell 947" xfId="5718" xr:uid="{00000000-0005-0000-0000-0000D5150000}"/>
    <cellStyle name="Check Cell 948" xfId="5719" xr:uid="{00000000-0005-0000-0000-0000D6150000}"/>
    <cellStyle name="Check Cell 949" xfId="5720" xr:uid="{00000000-0005-0000-0000-0000D7150000}"/>
    <cellStyle name="Check Cell 95" xfId="5721" xr:uid="{00000000-0005-0000-0000-0000D8150000}"/>
    <cellStyle name="Check Cell 950" xfId="5722" xr:uid="{00000000-0005-0000-0000-0000D9150000}"/>
    <cellStyle name="Check Cell 951" xfId="5723" xr:uid="{00000000-0005-0000-0000-0000DA150000}"/>
    <cellStyle name="Check Cell 952" xfId="5724" xr:uid="{00000000-0005-0000-0000-0000DB150000}"/>
    <cellStyle name="Check Cell 953" xfId="5725" xr:uid="{00000000-0005-0000-0000-0000DC150000}"/>
    <cellStyle name="Check Cell 954" xfId="5726" xr:uid="{00000000-0005-0000-0000-0000DD150000}"/>
    <cellStyle name="Check Cell 955" xfId="5727" xr:uid="{00000000-0005-0000-0000-0000DE150000}"/>
    <cellStyle name="Check Cell 956" xfId="5728" xr:uid="{00000000-0005-0000-0000-0000DF150000}"/>
    <cellStyle name="Check Cell 957" xfId="5729" xr:uid="{00000000-0005-0000-0000-0000E0150000}"/>
    <cellStyle name="Check Cell 958" xfId="5730" xr:uid="{00000000-0005-0000-0000-0000E1150000}"/>
    <cellStyle name="Check Cell 959" xfId="5731" xr:uid="{00000000-0005-0000-0000-0000E2150000}"/>
    <cellStyle name="Check Cell 96" xfId="5732" xr:uid="{00000000-0005-0000-0000-0000E3150000}"/>
    <cellStyle name="Check Cell 960" xfId="5733" xr:uid="{00000000-0005-0000-0000-0000E4150000}"/>
    <cellStyle name="Check Cell 961" xfId="5734" xr:uid="{00000000-0005-0000-0000-0000E5150000}"/>
    <cellStyle name="Check Cell 962" xfId="5735" xr:uid="{00000000-0005-0000-0000-0000E6150000}"/>
    <cellStyle name="Check Cell 963" xfId="5736" xr:uid="{00000000-0005-0000-0000-0000E7150000}"/>
    <cellStyle name="Check Cell 964" xfId="5737" xr:uid="{00000000-0005-0000-0000-0000E8150000}"/>
    <cellStyle name="Check Cell 965" xfId="5738" xr:uid="{00000000-0005-0000-0000-0000E9150000}"/>
    <cellStyle name="Check Cell 966" xfId="5739" xr:uid="{00000000-0005-0000-0000-0000EA150000}"/>
    <cellStyle name="Check Cell 967" xfId="5740" xr:uid="{00000000-0005-0000-0000-0000EB150000}"/>
    <cellStyle name="Check Cell 968" xfId="5741" xr:uid="{00000000-0005-0000-0000-0000EC150000}"/>
    <cellStyle name="Check Cell 969" xfId="5742" xr:uid="{00000000-0005-0000-0000-0000ED150000}"/>
    <cellStyle name="Check Cell 97" xfId="5743" xr:uid="{00000000-0005-0000-0000-0000EE150000}"/>
    <cellStyle name="Check Cell 970" xfId="5744" xr:uid="{00000000-0005-0000-0000-0000EF150000}"/>
    <cellStyle name="Check Cell 971" xfId="5745" xr:uid="{00000000-0005-0000-0000-0000F0150000}"/>
    <cellStyle name="Check Cell 972" xfId="5746" xr:uid="{00000000-0005-0000-0000-0000F1150000}"/>
    <cellStyle name="Check Cell 973" xfId="5747" xr:uid="{00000000-0005-0000-0000-0000F2150000}"/>
    <cellStyle name="Check Cell 974" xfId="5748" xr:uid="{00000000-0005-0000-0000-0000F3150000}"/>
    <cellStyle name="Check Cell 975" xfId="5749" xr:uid="{00000000-0005-0000-0000-0000F4150000}"/>
    <cellStyle name="Check Cell 976" xfId="5750" xr:uid="{00000000-0005-0000-0000-0000F5150000}"/>
    <cellStyle name="Check Cell 977" xfId="5751" xr:uid="{00000000-0005-0000-0000-0000F6150000}"/>
    <cellStyle name="Check Cell 978" xfId="5752" xr:uid="{00000000-0005-0000-0000-0000F7150000}"/>
    <cellStyle name="Check Cell 979" xfId="5753" xr:uid="{00000000-0005-0000-0000-0000F8150000}"/>
    <cellStyle name="Check Cell 98" xfId="5754" xr:uid="{00000000-0005-0000-0000-0000F9150000}"/>
    <cellStyle name="Check Cell 980" xfId="5755" xr:uid="{00000000-0005-0000-0000-0000FA150000}"/>
    <cellStyle name="Check Cell 981" xfId="5756" xr:uid="{00000000-0005-0000-0000-0000FB150000}"/>
    <cellStyle name="Check Cell 982" xfId="5757" xr:uid="{00000000-0005-0000-0000-0000FC150000}"/>
    <cellStyle name="Check Cell 983" xfId="5758" xr:uid="{00000000-0005-0000-0000-0000FD150000}"/>
    <cellStyle name="Check Cell 984" xfId="5759" xr:uid="{00000000-0005-0000-0000-0000FE150000}"/>
    <cellStyle name="Check Cell 985" xfId="5760" xr:uid="{00000000-0005-0000-0000-0000FF150000}"/>
    <cellStyle name="Check Cell 986" xfId="5761" xr:uid="{00000000-0005-0000-0000-000000160000}"/>
    <cellStyle name="Check Cell 987" xfId="5762" xr:uid="{00000000-0005-0000-0000-000001160000}"/>
    <cellStyle name="Check Cell 988" xfId="5763" xr:uid="{00000000-0005-0000-0000-000002160000}"/>
    <cellStyle name="Check Cell 989" xfId="5764" xr:uid="{00000000-0005-0000-0000-000003160000}"/>
    <cellStyle name="Check Cell 99" xfId="5765" xr:uid="{00000000-0005-0000-0000-000004160000}"/>
    <cellStyle name="Check Cell 990" xfId="5766" xr:uid="{00000000-0005-0000-0000-000005160000}"/>
    <cellStyle name="Check Cell 991" xfId="5767" xr:uid="{00000000-0005-0000-0000-000006160000}"/>
    <cellStyle name="Check Cell 992" xfId="5768" xr:uid="{00000000-0005-0000-0000-000007160000}"/>
    <cellStyle name="Check Cell 993" xfId="5769" xr:uid="{00000000-0005-0000-0000-000008160000}"/>
    <cellStyle name="Check Cell 994" xfId="5770" xr:uid="{00000000-0005-0000-0000-000009160000}"/>
    <cellStyle name="Check Cell 995" xfId="5771" xr:uid="{00000000-0005-0000-0000-00000A160000}"/>
    <cellStyle name="Check Cell 996" xfId="5772" xr:uid="{00000000-0005-0000-0000-00000B160000}"/>
    <cellStyle name="Check Cell 997" xfId="5773" xr:uid="{00000000-0005-0000-0000-00000C160000}"/>
    <cellStyle name="Check Cell 998" xfId="5774" xr:uid="{00000000-0005-0000-0000-00000D160000}"/>
    <cellStyle name="Check Cell 999" xfId="5775" xr:uid="{00000000-0005-0000-0000-00000E160000}"/>
    <cellStyle name="Check Cell_Annual_Disclosure_Solo" xfId="5776" xr:uid="{00000000-0005-0000-0000-00000F160000}"/>
    <cellStyle name="Colore 1" xfId="93" xr:uid="{00000000-0005-0000-0000-000010160000}"/>
    <cellStyle name="Colore 1 2" xfId="5777" xr:uid="{00000000-0005-0000-0000-000011160000}"/>
    <cellStyle name="Colore 1 2 2" xfId="5778" xr:uid="{00000000-0005-0000-0000-000012160000}"/>
    <cellStyle name="Colore 1 3" xfId="5779" xr:uid="{00000000-0005-0000-0000-000013160000}"/>
    <cellStyle name="Colore 1 4" xfId="5780" xr:uid="{00000000-0005-0000-0000-000014160000}"/>
    <cellStyle name="Colore 1 5" xfId="5781" xr:uid="{00000000-0005-0000-0000-000015160000}"/>
    <cellStyle name="Colore 1_MCEV_activiteiten 2012Q4 gedeeld op 11-1-2012" xfId="5782" xr:uid="{00000000-0005-0000-0000-000016160000}"/>
    <cellStyle name="Colore 2" xfId="94" xr:uid="{00000000-0005-0000-0000-000017160000}"/>
    <cellStyle name="Colore 2 2" xfId="5783" xr:uid="{00000000-0005-0000-0000-000018160000}"/>
    <cellStyle name="Colore 2 2 2" xfId="5784" xr:uid="{00000000-0005-0000-0000-000019160000}"/>
    <cellStyle name="Colore 2 3" xfId="5785" xr:uid="{00000000-0005-0000-0000-00001A160000}"/>
    <cellStyle name="Colore 2 4" xfId="5786" xr:uid="{00000000-0005-0000-0000-00001B160000}"/>
    <cellStyle name="Colore 2 5" xfId="5787" xr:uid="{00000000-0005-0000-0000-00001C160000}"/>
    <cellStyle name="Colore 2_MCEV_activiteiten 2012Q4 gedeeld op 11-1-2012" xfId="5788" xr:uid="{00000000-0005-0000-0000-00001D160000}"/>
    <cellStyle name="Colore 3" xfId="95" xr:uid="{00000000-0005-0000-0000-00001E160000}"/>
    <cellStyle name="Colore 3 2" xfId="5789" xr:uid="{00000000-0005-0000-0000-00001F160000}"/>
    <cellStyle name="Colore 3 2 2" xfId="5790" xr:uid="{00000000-0005-0000-0000-000020160000}"/>
    <cellStyle name="Colore 3 3" xfId="5791" xr:uid="{00000000-0005-0000-0000-000021160000}"/>
    <cellStyle name="Colore 3 4" xfId="5792" xr:uid="{00000000-0005-0000-0000-000022160000}"/>
    <cellStyle name="Colore 3 5" xfId="5793" xr:uid="{00000000-0005-0000-0000-000023160000}"/>
    <cellStyle name="Colore 3_MCEV_activiteiten 2012Q4 gedeeld op 11-1-2012" xfId="5794" xr:uid="{00000000-0005-0000-0000-000024160000}"/>
    <cellStyle name="Colore 4" xfId="96" xr:uid="{00000000-0005-0000-0000-000025160000}"/>
    <cellStyle name="Colore 4 2" xfId="5795" xr:uid="{00000000-0005-0000-0000-000026160000}"/>
    <cellStyle name="Colore 4 2 2" xfId="5796" xr:uid="{00000000-0005-0000-0000-000027160000}"/>
    <cellStyle name="Colore 4 3" xfId="5797" xr:uid="{00000000-0005-0000-0000-000028160000}"/>
    <cellStyle name="Colore 4 4" xfId="5798" xr:uid="{00000000-0005-0000-0000-000029160000}"/>
    <cellStyle name="Colore 4 5" xfId="5799" xr:uid="{00000000-0005-0000-0000-00002A160000}"/>
    <cellStyle name="Colore 4_MCEV_activiteiten 2012Q4 gedeeld op 11-1-2012" xfId="5800" xr:uid="{00000000-0005-0000-0000-00002B160000}"/>
    <cellStyle name="Colore 5" xfId="97" xr:uid="{00000000-0005-0000-0000-00002C160000}"/>
    <cellStyle name="Colore 5 2" xfId="5801" xr:uid="{00000000-0005-0000-0000-00002D160000}"/>
    <cellStyle name="Colore 5 2 2" xfId="5802" xr:uid="{00000000-0005-0000-0000-00002E160000}"/>
    <cellStyle name="Colore 5 3" xfId="5803" xr:uid="{00000000-0005-0000-0000-00002F160000}"/>
    <cellStyle name="Colore 5 4" xfId="5804" xr:uid="{00000000-0005-0000-0000-000030160000}"/>
    <cellStyle name="Colore 5 5" xfId="5805" xr:uid="{00000000-0005-0000-0000-000031160000}"/>
    <cellStyle name="Colore 5_MCEV_activiteiten 2012Q4 gedeeld op 11-1-2012" xfId="5806" xr:uid="{00000000-0005-0000-0000-000032160000}"/>
    <cellStyle name="Colore 6" xfId="98" xr:uid="{00000000-0005-0000-0000-000033160000}"/>
    <cellStyle name="Colore 6 2" xfId="5807" xr:uid="{00000000-0005-0000-0000-000034160000}"/>
    <cellStyle name="Colore 6 2 2" xfId="5808" xr:uid="{00000000-0005-0000-0000-000035160000}"/>
    <cellStyle name="Colore 6 3" xfId="5809" xr:uid="{00000000-0005-0000-0000-000036160000}"/>
    <cellStyle name="Colore 6 4" xfId="5810" xr:uid="{00000000-0005-0000-0000-000037160000}"/>
    <cellStyle name="Colore 6 5" xfId="5811" xr:uid="{00000000-0005-0000-0000-000038160000}"/>
    <cellStyle name="Colore 6_MCEV_activiteiten 2012Q4 gedeeld op 11-1-2012" xfId="5812" xr:uid="{00000000-0005-0000-0000-000039160000}"/>
    <cellStyle name="Comma 2" xfId="219" xr:uid="{00000000-0005-0000-0000-00003B160000}"/>
    <cellStyle name="Comma 2 2" xfId="5813" xr:uid="{00000000-0005-0000-0000-00003C160000}"/>
    <cellStyle name="Commentaire" xfId="99" xr:uid="{00000000-0005-0000-0000-00003D160000}"/>
    <cellStyle name="Commentaire 2" xfId="213" xr:uid="{00000000-0005-0000-0000-00003E160000}"/>
    <cellStyle name="Commentaire 2 2" xfId="5814" xr:uid="{00000000-0005-0000-0000-00003F160000}"/>
    <cellStyle name="Commentaire 2 3" xfId="5815" xr:uid="{00000000-0005-0000-0000-000040160000}"/>
    <cellStyle name="Commentaire 3" xfId="5816" xr:uid="{00000000-0005-0000-0000-000041160000}"/>
    <cellStyle name="Commentaire 3 2" xfId="5817" xr:uid="{00000000-0005-0000-0000-000042160000}"/>
    <cellStyle name="Commentaire_Concept Analyse verschillen TS  LTGA en QIS5 v1" xfId="5818" xr:uid="{00000000-0005-0000-0000-000043160000}"/>
    <cellStyle name="Compute" xfId="5819" xr:uid="{00000000-0005-0000-0000-000044160000}"/>
    <cellStyle name="Cor1" xfId="5820" xr:uid="{00000000-0005-0000-0000-000045160000}"/>
    <cellStyle name="Cor2" xfId="5821" xr:uid="{00000000-0005-0000-0000-000046160000}"/>
    <cellStyle name="Cor3" xfId="5822" xr:uid="{00000000-0005-0000-0000-000047160000}"/>
    <cellStyle name="Cor4" xfId="5823" xr:uid="{00000000-0005-0000-0000-000048160000}"/>
    <cellStyle name="Cor5" xfId="5824" xr:uid="{00000000-0005-0000-0000-000049160000}"/>
    <cellStyle name="Cor6" xfId="5825" xr:uid="{00000000-0005-0000-0000-00004A160000}"/>
    <cellStyle name="Correcto" xfId="5826" xr:uid="{00000000-0005-0000-0000-00004B160000}"/>
    <cellStyle name="Correcto 2" xfId="5827" xr:uid="{00000000-0005-0000-0000-00004C160000}"/>
    <cellStyle name="Correcto 3" xfId="5828" xr:uid="{00000000-0005-0000-0000-00004D160000}"/>
    <cellStyle name="Correcto 4" xfId="5829" xr:uid="{00000000-0005-0000-0000-00004E160000}"/>
    <cellStyle name="Correcto 5" xfId="5830" xr:uid="{00000000-0005-0000-0000-00004F160000}"/>
    <cellStyle name="Currency 2" xfId="5831" xr:uid="{00000000-0005-0000-0000-000050160000}"/>
    <cellStyle name="Currency 2 2" xfId="5832" xr:uid="{00000000-0005-0000-0000-000051160000}"/>
    <cellStyle name="DataCell" xfId="101" xr:uid="{00000000-0005-0000-0000-000052160000}"/>
    <cellStyle name="DataCell 2" xfId="5833" xr:uid="{00000000-0005-0000-0000-000053160000}"/>
    <cellStyle name="DataCell 2 2" xfId="5834" xr:uid="{00000000-0005-0000-0000-000054160000}"/>
    <cellStyle name="DataCell 3" xfId="5835" xr:uid="{00000000-0005-0000-0000-000055160000}"/>
    <cellStyle name="DataCell 4" xfId="5836" xr:uid="{00000000-0005-0000-0000-000056160000}"/>
    <cellStyle name="DataCell 5" xfId="5837" xr:uid="{00000000-0005-0000-0000-000057160000}"/>
    <cellStyle name="Datum" xfId="5838" xr:uid="{00000000-0005-0000-0000-000058160000}"/>
    <cellStyle name="Datum 2" xfId="5839" xr:uid="{00000000-0005-0000-0000-000059160000}"/>
    <cellStyle name="Datum 2 2" xfId="5840" xr:uid="{00000000-0005-0000-0000-00005A160000}"/>
    <cellStyle name="Datum 3" xfId="5841" xr:uid="{00000000-0005-0000-0000-00005B160000}"/>
    <cellStyle name="Datum 3 2" xfId="5842" xr:uid="{00000000-0005-0000-0000-00005C160000}"/>
    <cellStyle name="Datum 4" xfId="5843" xr:uid="{00000000-0005-0000-0000-00005D160000}"/>
    <cellStyle name="Datum 4 2" xfId="5844" xr:uid="{00000000-0005-0000-0000-00005E160000}"/>
    <cellStyle name="Datum 5" xfId="5845" xr:uid="{00000000-0005-0000-0000-00005F160000}"/>
    <cellStyle name="Dezimal_FIValueHelper-incl Term_structures" xfId="5846" xr:uid="{00000000-0005-0000-0000-000060160000}"/>
    <cellStyle name="Dezimal+-" xfId="5847" xr:uid="{00000000-0005-0000-0000-000061160000}"/>
    <cellStyle name="Dezimal+- 2" xfId="5848" xr:uid="{00000000-0005-0000-0000-000062160000}"/>
    <cellStyle name="Dezimal+- 2 2" xfId="5849" xr:uid="{00000000-0005-0000-0000-000063160000}"/>
    <cellStyle name="Dezimal+- 3" xfId="5850" xr:uid="{00000000-0005-0000-0000-000064160000}"/>
    <cellStyle name="Dezimal+- 3 2" xfId="5851" xr:uid="{00000000-0005-0000-0000-000065160000}"/>
    <cellStyle name="Dezimal+- 4" xfId="5852" xr:uid="{00000000-0005-0000-0000-000066160000}"/>
    <cellStyle name="Dezimal+- 4 2" xfId="5853" xr:uid="{00000000-0005-0000-0000-000067160000}"/>
    <cellStyle name="Dezimal+- 5" xfId="5854" xr:uid="{00000000-0005-0000-0000-000068160000}"/>
    <cellStyle name="Dezimal0" xfId="5855" xr:uid="{00000000-0005-0000-0000-000069160000}"/>
    <cellStyle name="Dezimal0 2" xfId="5856" xr:uid="{00000000-0005-0000-0000-00006A160000}"/>
    <cellStyle name="Dezimal0 2 2" xfId="5857" xr:uid="{00000000-0005-0000-0000-00006B160000}"/>
    <cellStyle name="Dezimal0 3" xfId="5858" xr:uid="{00000000-0005-0000-0000-00006C160000}"/>
    <cellStyle name="Dezimal0 3 2" xfId="5859" xr:uid="{00000000-0005-0000-0000-00006D160000}"/>
    <cellStyle name="Dezimal0 4" xfId="5860" xr:uid="{00000000-0005-0000-0000-00006E160000}"/>
    <cellStyle name="Dezimal0 4 2" xfId="5861" xr:uid="{00000000-0005-0000-0000-00006F160000}"/>
    <cellStyle name="Dezimal0 5" xfId="5862" xr:uid="{00000000-0005-0000-0000-000070160000}"/>
    <cellStyle name="Dezimal0+-" xfId="5863" xr:uid="{00000000-0005-0000-0000-000071160000}"/>
    <cellStyle name="Dezimal0+- 2" xfId="5864" xr:uid="{00000000-0005-0000-0000-000072160000}"/>
    <cellStyle name="Dezimal0+- 2 2" xfId="5865" xr:uid="{00000000-0005-0000-0000-000073160000}"/>
    <cellStyle name="Dezimal0+- 3" xfId="5866" xr:uid="{00000000-0005-0000-0000-000074160000}"/>
    <cellStyle name="Dezimal0+- 3 2" xfId="5867" xr:uid="{00000000-0005-0000-0000-000075160000}"/>
    <cellStyle name="Dezimal0+- 4" xfId="5868" xr:uid="{00000000-0005-0000-0000-000076160000}"/>
    <cellStyle name="Dezimal0+- 4 2" xfId="5869" xr:uid="{00000000-0005-0000-0000-000077160000}"/>
    <cellStyle name="Dezimal0+- 5" xfId="5870" xr:uid="{00000000-0005-0000-0000-000078160000}"/>
    <cellStyle name="Dziesiętny 2" xfId="5871" xr:uid="{00000000-0005-0000-0000-000079160000}"/>
    <cellStyle name="Dziesiętny 2 2" xfId="20680" xr:uid="{00000000-0005-0000-0000-00007A160000}"/>
    <cellStyle name="Emphasis 1" xfId="5872" xr:uid="{00000000-0005-0000-0000-00007B160000}"/>
    <cellStyle name="Emphasis 2" xfId="5873" xr:uid="{00000000-0005-0000-0000-00007C160000}"/>
    <cellStyle name="Emphasis 3" xfId="5874" xr:uid="{00000000-0005-0000-0000-00007D160000}"/>
    <cellStyle name="EmptyCell" xfId="102" xr:uid="{00000000-0005-0000-0000-00007E160000}"/>
    <cellStyle name="EmptyCell 10" xfId="5875" xr:uid="{00000000-0005-0000-0000-00007F160000}"/>
    <cellStyle name="EmptyCell 11" xfId="5876" xr:uid="{00000000-0005-0000-0000-000080160000}"/>
    <cellStyle name="EmptyCell 12" xfId="5877" xr:uid="{00000000-0005-0000-0000-000081160000}"/>
    <cellStyle name="EmptyCell 2" xfId="103" xr:uid="{00000000-0005-0000-0000-000082160000}"/>
    <cellStyle name="EmptyCell 2 2" xfId="215" xr:uid="{00000000-0005-0000-0000-000083160000}"/>
    <cellStyle name="EmptyCell 2 2 2" xfId="5878" xr:uid="{00000000-0005-0000-0000-000084160000}"/>
    <cellStyle name="EmptyCell 2 2 3" xfId="5879" xr:uid="{00000000-0005-0000-0000-000085160000}"/>
    <cellStyle name="EmptyCell 2 3" xfId="5880" xr:uid="{00000000-0005-0000-0000-000086160000}"/>
    <cellStyle name="EmptyCell 2 3 2" xfId="5881" xr:uid="{00000000-0005-0000-0000-000087160000}"/>
    <cellStyle name="EmptyCell 2 4" xfId="5882" xr:uid="{00000000-0005-0000-0000-000088160000}"/>
    <cellStyle name="EmptyCell 2 4 2" xfId="5883" xr:uid="{00000000-0005-0000-0000-000089160000}"/>
    <cellStyle name="EmptyCell 2 5" xfId="5884" xr:uid="{00000000-0005-0000-0000-00008A160000}"/>
    <cellStyle name="EmptyCell 2 5 2" xfId="5885" xr:uid="{00000000-0005-0000-0000-00008B160000}"/>
    <cellStyle name="EmptyCell 2 6" xfId="5886" xr:uid="{00000000-0005-0000-0000-00008C160000}"/>
    <cellStyle name="EmptyCell 2_MCEV_activiteiten 2012Q4 gedeeld op 11-1-2012" xfId="5887" xr:uid="{00000000-0005-0000-0000-00008D160000}"/>
    <cellStyle name="EmptyCell 3" xfId="5888" xr:uid="{00000000-0005-0000-0000-00008E160000}"/>
    <cellStyle name="EmptyCell 3 2" xfId="5889" xr:uid="{00000000-0005-0000-0000-00008F160000}"/>
    <cellStyle name="EmptyCell 3 3" xfId="5890" xr:uid="{00000000-0005-0000-0000-000090160000}"/>
    <cellStyle name="EmptyCell 3 4" xfId="5891" xr:uid="{00000000-0005-0000-0000-000091160000}"/>
    <cellStyle name="EmptyCell 4" xfId="5892" xr:uid="{00000000-0005-0000-0000-000092160000}"/>
    <cellStyle name="EmptyCell 4 2" xfId="5893" xr:uid="{00000000-0005-0000-0000-000093160000}"/>
    <cellStyle name="EmptyCell 4 3" xfId="5894" xr:uid="{00000000-0005-0000-0000-000094160000}"/>
    <cellStyle name="EmptyCell 5" xfId="5895" xr:uid="{00000000-0005-0000-0000-000095160000}"/>
    <cellStyle name="EmptyCell 5 2" xfId="5896" xr:uid="{00000000-0005-0000-0000-000096160000}"/>
    <cellStyle name="EmptyCell 5 3" xfId="5897" xr:uid="{00000000-0005-0000-0000-000097160000}"/>
    <cellStyle name="EmptyCell 5 4" xfId="5898" xr:uid="{00000000-0005-0000-0000-000098160000}"/>
    <cellStyle name="EmptyCell 6" xfId="5899" xr:uid="{00000000-0005-0000-0000-000099160000}"/>
    <cellStyle name="EmptyCell 6 2" xfId="5900" xr:uid="{00000000-0005-0000-0000-00009A160000}"/>
    <cellStyle name="EmptyCell 6 3" xfId="5901" xr:uid="{00000000-0005-0000-0000-00009B160000}"/>
    <cellStyle name="EmptyCell 6 4" xfId="5902" xr:uid="{00000000-0005-0000-0000-00009C160000}"/>
    <cellStyle name="EmptyCell 7" xfId="5903" xr:uid="{00000000-0005-0000-0000-00009D160000}"/>
    <cellStyle name="EmptyCell 7 2" xfId="5904" xr:uid="{00000000-0005-0000-0000-00009E160000}"/>
    <cellStyle name="EmptyCell 7 3" xfId="5905" xr:uid="{00000000-0005-0000-0000-00009F160000}"/>
    <cellStyle name="EmptyCell 8" xfId="5906" xr:uid="{00000000-0005-0000-0000-0000A0160000}"/>
    <cellStyle name="EmptyCell 8 2" xfId="5907" xr:uid="{00000000-0005-0000-0000-0000A1160000}"/>
    <cellStyle name="EmptyCell 9" xfId="5908" xr:uid="{00000000-0005-0000-0000-0000A2160000}"/>
    <cellStyle name="EmptyCell 9 2" xfId="5909" xr:uid="{00000000-0005-0000-0000-0000A3160000}"/>
    <cellStyle name="EmptyCell_20100104 - FR - templates group_IGT only" xfId="5910" xr:uid="{00000000-0005-0000-0000-0000A4160000}"/>
    <cellStyle name="Encabezado 4" xfId="5911" xr:uid="{00000000-0005-0000-0000-0000A5160000}"/>
    <cellStyle name="Énfasis1" xfId="5912" xr:uid="{00000000-0005-0000-0000-0000A6160000}"/>
    <cellStyle name="Énfasis2" xfId="5913" xr:uid="{00000000-0005-0000-0000-0000A7160000}"/>
    <cellStyle name="Énfasis3" xfId="5914" xr:uid="{00000000-0005-0000-0000-0000A8160000}"/>
    <cellStyle name="Énfasis4" xfId="5915" xr:uid="{00000000-0005-0000-0000-0000A9160000}"/>
    <cellStyle name="Énfasis5" xfId="5916" xr:uid="{00000000-0005-0000-0000-0000AA160000}"/>
    <cellStyle name="Énfasis6" xfId="5917" xr:uid="{00000000-0005-0000-0000-0000AB160000}"/>
    <cellStyle name="Entrada" xfId="5918" xr:uid="{00000000-0005-0000-0000-0000AC160000}"/>
    <cellStyle name="Entrada 2" xfId="5919" xr:uid="{00000000-0005-0000-0000-0000AD160000}"/>
    <cellStyle name="Entrada 3" xfId="5920" xr:uid="{00000000-0005-0000-0000-0000AE160000}"/>
    <cellStyle name="Entrada 4" xfId="5921" xr:uid="{00000000-0005-0000-0000-0000AF160000}"/>
    <cellStyle name="Entrada 5" xfId="5922" xr:uid="{00000000-0005-0000-0000-0000B0160000}"/>
    <cellStyle name="Entrada 6" xfId="5923" xr:uid="{00000000-0005-0000-0000-0000B1160000}"/>
    <cellStyle name="Entrée" xfId="104" xr:uid="{00000000-0005-0000-0000-0000B2160000}"/>
    <cellStyle name="Entrée 10" xfId="5924" xr:uid="{00000000-0005-0000-0000-0000B3160000}"/>
    <cellStyle name="Entrée 11" xfId="5925" xr:uid="{00000000-0005-0000-0000-0000B4160000}"/>
    <cellStyle name="Entrée 12" xfId="5926" xr:uid="{00000000-0005-0000-0000-0000B5160000}"/>
    <cellStyle name="Entrée 13" xfId="5927" xr:uid="{00000000-0005-0000-0000-0000B6160000}"/>
    <cellStyle name="Entrée 14" xfId="5928" xr:uid="{00000000-0005-0000-0000-0000B7160000}"/>
    <cellStyle name="Entrée 2" xfId="5929" xr:uid="{00000000-0005-0000-0000-0000B8160000}"/>
    <cellStyle name="Entrée 2 2" xfId="5930" xr:uid="{00000000-0005-0000-0000-0000B9160000}"/>
    <cellStyle name="Entrée 3" xfId="5931" xr:uid="{00000000-0005-0000-0000-0000BA160000}"/>
    <cellStyle name="Entrée 4" xfId="5932" xr:uid="{00000000-0005-0000-0000-0000BB160000}"/>
    <cellStyle name="Entrée 5" xfId="5933" xr:uid="{00000000-0005-0000-0000-0000BC160000}"/>
    <cellStyle name="Entrée 6" xfId="5934" xr:uid="{00000000-0005-0000-0000-0000BD160000}"/>
    <cellStyle name="Entrée 7" xfId="5935" xr:uid="{00000000-0005-0000-0000-0000BE160000}"/>
    <cellStyle name="Entrée 8" xfId="5936" xr:uid="{00000000-0005-0000-0000-0000BF160000}"/>
    <cellStyle name="Entrée 9" xfId="5937" xr:uid="{00000000-0005-0000-0000-0000C0160000}"/>
    <cellStyle name="Entrée_Concept Analyse verschillen TS  LTGA en QIS5 v1" xfId="5938" xr:uid="{00000000-0005-0000-0000-0000C1160000}"/>
    <cellStyle name="Estilo 1" xfId="5939" xr:uid="{00000000-0005-0000-0000-0000C2160000}"/>
    <cellStyle name="Estilo 1 2" xfId="5940" xr:uid="{00000000-0005-0000-0000-0000C3160000}"/>
    <cellStyle name="Estilo 1 2 2" xfId="5941" xr:uid="{00000000-0005-0000-0000-0000C4160000}"/>
    <cellStyle name="Estilo 1 3" xfId="5942" xr:uid="{00000000-0005-0000-0000-0000C5160000}"/>
    <cellStyle name="Estilo 1 3 2" xfId="5943" xr:uid="{00000000-0005-0000-0000-0000C6160000}"/>
    <cellStyle name="Estilo 1 4" xfId="5944" xr:uid="{00000000-0005-0000-0000-0000C7160000}"/>
    <cellStyle name="Euro" xfId="105" xr:uid="{00000000-0005-0000-0000-0000C8160000}"/>
    <cellStyle name="Euro 10" xfId="5945" xr:uid="{00000000-0005-0000-0000-0000C9160000}"/>
    <cellStyle name="Euro 2" xfId="216" xr:uid="{00000000-0005-0000-0000-0000CA160000}"/>
    <cellStyle name="Euro 2 2" xfId="5946" xr:uid="{00000000-0005-0000-0000-0000CB160000}"/>
    <cellStyle name="Euro 2 2 2" xfId="5947" xr:uid="{00000000-0005-0000-0000-0000CC160000}"/>
    <cellStyle name="Euro 2 3" xfId="5948" xr:uid="{00000000-0005-0000-0000-0000CD160000}"/>
    <cellStyle name="Euro 3" xfId="5949" xr:uid="{00000000-0005-0000-0000-0000CE160000}"/>
    <cellStyle name="Euro 3 2" xfId="5950" xr:uid="{00000000-0005-0000-0000-0000CF160000}"/>
    <cellStyle name="Euro 3 3" xfId="5951" xr:uid="{00000000-0005-0000-0000-0000D0160000}"/>
    <cellStyle name="Euro 3 4" xfId="5952" xr:uid="{00000000-0005-0000-0000-0000D1160000}"/>
    <cellStyle name="Euro 4" xfId="5953" xr:uid="{00000000-0005-0000-0000-0000D2160000}"/>
    <cellStyle name="Euro 4 2" xfId="5954" xr:uid="{00000000-0005-0000-0000-0000D3160000}"/>
    <cellStyle name="Euro 4 3" xfId="5955" xr:uid="{00000000-0005-0000-0000-0000D4160000}"/>
    <cellStyle name="Euro 4 4" xfId="5956" xr:uid="{00000000-0005-0000-0000-0000D5160000}"/>
    <cellStyle name="Euro 5" xfId="5957" xr:uid="{00000000-0005-0000-0000-0000D6160000}"/>
    <cellStyle name="Euro 5 2" xfId="5958" xr:uid="{00000000-0005-0000-0000-0000D7160000}"/>
    <cellStyle name="Euro 5 3" xfId="5959" xr:uid="{00000000-0005-0000-0000-0000D8160000}"/>
    <cellStyle name="Euro 5 4" xfId="5960" xr:uid="{00000000-0005-0000-0000-0000D9160000}"/>
    <cellStyle name="Euro 6" xfId="5961" xr:uid="{00000000-0005-0000-0000-0000DA160000}"/>
    <cellStyle name="Euro 6 2" xfId="5962" xr:uid="{00000000-0005-0000-0000-0000DB160000}"/>
    <cellStyle name="Euro 6 3" xfId="5963" xr:uid="{00000000-0005-0000-0000-0000DC160000}"/>
    <cellStyle name="Euro 6 4" xfId="5964" xr:uid="{00000000-0005-0000-0000-0000DD160000}"/>
    <cellStyle name="Euro 7" xfId="5965" xr:uid="{00000000-0005-0000-0000-0000DE160000}"/>
    <cellStyle name="Euro 7 2" xfId="5966" xr:uid="{00000000-0005-0000-0000-0000DF160000}"/>
    <cellStyle name="Euro 7 3" xfId="5967" xr:uid="{00000000-0005-0000-0000-0000E0160000}"/>
    <cellStyle name="Euro 8" xfId="5968" xr:uid="{00000000-0005-0000-0000-0000E1160000}"/>
    <cellStyle name="Euro 8 2" xfId="5969" xr:uid="{00000000-0005-0000-0000-0000E2160000}"/>
    <cellStyle name="Euro 9" xfId="5970" xr:uid="{00000000-0005-0000-0000-0000E3160000}"/>
    <cellStyle name="Euro 9 2" xfId="5971" xr:uid="{00000000-0005-0000-0000-0000E4160000}"/>
    <cellStyle name="Euro 9 3" xfId="5972" xr:uid="{00000000-0005-0000-0000-0000E5160000}"/>
    <cellStyle name="Euro_Chainage IG Passif" xfId="5973" xr:uid="{00000000-0005-0000-0000-0000E6160000}"/>
    <cellStyle name="Explanatory Text" xfId="184" xr:uid="{00000000-0005-0000-0000-0000E7160000}"/>
    <cellStyle name="Explanatory Text 10" xfId="5974" xr:uid="{00000000-0005-0000-0000-0000E8160000}"/>
    <cellStyle name="Explanatory Text 100" xfId="5975" xr:uid="{00000000-0005-0000-0000-0000E9160000}"/>
    <cellStyle name="Explanatory Text 1000" xfId="5976" xr:uid="{00000000-0005-0000-0000-0000EA160000}"/>
    <cellStyle name="Explanatory Text 1001" xfId="5977" xr:uid="{00000000-0005-0000-0000-0000EB160000}"/>
    <cellStyle name="Explanatory Text 1002" xfId="5978" xr:uid="{00000000-0005-0000-0000-0000EC160000}"/>
    <cellStyle name="Explanatory Text 1003" xfId="5979" xr:uid="{00000000-0005-0000-0000-0000ED160000}"/>
    <cellStyle name="Explanatory Text 1004" xfId="5980" xr:uid="{00000000-0005-0000-0000-0000EE160000}"/>
    <cellStyle name="Explanatory Text 1005" xfId="5981" xr:uid="{00000000-0005-0000-0000-0000EF160000}"/>
    <cellStyle name="Explanatory Text 1006" xfId="5982" xr:uid="{00000000-0005-0000-0000-0000F0160000}"/>
    <cellStyle name="Explanatory Text 1007" xfId="5983" xr:uid="{00000000-0005-0000-0000-0000F1160000}"/>
    <cellStyle name="Explanatory Text 1008" xfId="5984" xr:uid="{00000000-0005-0000-0000-0000F2160000}"/>
    <cellStyle name="Explanatory Text 1009" xfId="5985" xr:uid="{00000000-0005-0000-0000-0000F3160000}"/>
    <cellStyle name="Explanatory Text 101" xfId="5986" xr:uid="{00000000-0005-0000-0000-0000F4160000}"/>
    <cellStyle name="Explanatory Text 1010" xfId="5987" xr:uid="{00000000-0005-0000-0000-0000F5160000}"/>
    <cellStyle name="Explanatory Text 1011" xfId="5988" xr:uid="{00000000-0005-0000-0000-0000F6160000}"/>
    <cellStyle name="Explanatory Text 1012" xfId="5989" xr:uid="{00000000-0005-0000-0000-0000F7160000}"/>
    <cellStyle name="Explanatory Text 1013" xfId="5990" xr:uid="{00000000-0005-0000-0000-0000F8160000}"/>
    <cellStyle name="Explanatory Text 1014" xfId="5991" xr:uid="{00000000-0005-0000-0000-0000F9160000}"/>
    <cellStyle name="Explanatory Text 1015" xfId="5992" xr:uid="{00000000-0005-0000-0000-0000FA160000}"/>
    <cellStyle name="Explanatory Text 1016" xfId="5993" xr:uid="{00000000-0005-0000-0000-0000FB160000}"/>
    <cellStyle name="Explanatory Text 1017" xfId="5994" xr:uid="{00000000-0005-0000-0000-0000FC160000}"/>
    <cellStyle name="Explanatory Text 1018" xfId="5995" xr:uid="{00000000-0005-0000-0000-0000FD160000}"/>
    <cellStyle name="Explanatory Text 1019" xfId="5996" xr:uid="{00000000-0005-0000-0000-0000FE160000}"/>
    <cellStyle name="Explanatory Text 102" xfId="5997" xr:uid="{00000000-0005-0000-0000-0000FF160000}"/>
    <cellStyle name="Explanatory Text 1020" xfId="5998" xr:uid="{00000000-0005-0000-0000-000000170000}"/>
    <cellStyle name="Explanatory Text 1021" xfId="5999" xr:uid="{00000000-0005-0000-0000-000001170000}"/>
    <cellStyle name="Explanatory Text 1022" xfId="6000" xr:uid="{00000000-0005-0000-0000-000002170000}"/>
    <cellStyle name="Explanatory Text 1023" xfId="6001" xr:uid="{00000000-0005-0000-0000-000003170000}"/>
    <cellStyle name="Explanatory Text 1024" xfId="6002" xr:uid="{00000000-0005-0000-0000-000004170000}"/>
    <cellStyle name="Explanatory Text 1025" xfId="6003" xr:uid="{00000000-0005-0000-0000-000005170000}"/>
    <cellStyle name="Explanatory Text 1026" xfId="6004" xr:uid="{00000000-0005-0000-0000-000006170000}"/>
    <cellStyle name="Explanatory Text 1027" xfId="6005" xr:uid="{00000000-0005-0000-0000-000007170000}"/>
    <cellStyle name="Explanatory Text 1028" xfId="6006" xr:uid="{00000000-0005-0000-0000-000008170000}"/>
    <cellStyle name="Explanatory Text 1029" xfId="6007" xr:uid="{00000000-0005-0000-0000-000009170000}"/>
    <cellStyle name="Explanatory Text 103" xfId="6008" xr:uid="{00000000-0005-0000-0000-00000A170000}"/>
    <cellStyle name="Explanatory Text 1030" xfId="6009" xr:uid="{00000000-0005-0000-0000-00000B170000}"/>
    <cellStyle name="Explanatory Text 1031" xfId="6010" xr:uid="{00000000-0005-0000-0000-00000C170000}"/>
    <cellStyle name="Explanatory Text 1032" xfId="6011" xr:uid="{00000000-0005-0000-0000-00000D170000}"/>
    <cellStyle name="Explanatory Text 1033" xfId="6012" xr:uid="{00000000-0005-0000-0000-00000E170000}"/>
    <cellStyle name="Explanatory Text 1034" xfId="6013" xr:uid="{00000000-0005-0000-0000-00000F170000}"/>
    <cellStyle name="Explanatory Text 1035" xfId="6014" xr:uid="{00000000-0005-0000-0000-000010170000}"/>
    <cellStyle name="Explanatory Text 1036" xfId="6015" xr:uid="{00000000-0005-0000-0000-000011170000}"/>
    <cellStyle name="Explanatory Text 1037" xfId="6016" xr:uid="{00000000-0005-0000-0000-000012170000}"/>
    <cellStyle name="Explanatory Text 1038" xfId="6017" xr:uid="{00000000-0005-0000-0000-000013170000}"/>
    <cellStyle name="Explanatory Text 1039" xfId="6018" xr:uid="{00000000-0005-0000-0000-000014170000}"/>
    <cellStyle name="Explanatory Text 104" xfId="6019" xr:uid="{00000000-0005-0000-0000-000015170000}"/>
    <cellStyle name="Explanatory Text 1040" xfId="6020" xr:uid="{00000000-0005-0000-0000-000016170000}"/>
    <cellStyle name="Explanatory Text 1041" xfId="6021" xr:uid="{00000000-0005-0000-0000-000017170000}"/>
    <cellStyle name="Explanatory Text 1042" xfId="6022" xr:uid="{00000000-0005-0000-0000-000018170000}"/>
    <cellStyle name="Explanatory Text 1043" xfId="6023" xr:uid="{00000000-0005-0000-0000-000019170000}"/>
    <cellStyle name="Explanatory Text 1044" xfId="6024" xr:uid="{00000000-0005-0000-0000-00001A170000}"/>
    <cellStyle name="Explanatory Text 1045" xfId="6025" xr:uid="{00000000-0005-0000-0000-00001B170000}"/>
    <cellStyle name="Explanatory Text 1046" xfId="6026" xr:uid="{00000000-0005-0000-0000-00001C170000}"/>
    <cellStyle name="Explanatory Text 1047" xfId="6027" xr:uid="{00000000-0005-0000-0000-00001D170000}"/>
    <cellStyle name="Explanatory Text 1048" xfId="6028" xr:uid="{00000000-0005-0000-0000-00001E170000}"/>
    <cellStyle name="Explanatory Text 1049" xfId="6029" xr:uid="{00000000-0005-0000-0000-00001F170000}"/>
    <cellStyle name="Explanatory Text 105" xfId="6030" xr:uid="{00000000-0005-0000-0000-000020170000}"/>
    <cellStyle name="Explanatory Text 1050" xfId="6031" xr:uid="{00000000-0005-0000-0000-000021170000}"/>
    <cellStyle name="Explanatory Text 1051" xfId="6032" xr:uid="{00000000-0005-0000-0000-000022170000}"/>
    <cellStyle name="Explanatory Text 1052" xfId="6033" xr:uid="{00000000-0005-0000-0000-000023170000}"/>
    <cellStyle name="Explanatory Text 1053" xfId="6034" xr:uid="{00000000-0005-0000-0000-000024170000}"/>
    <cellStyle name="Explanatory Text 1054" xfId="6035" xr:uid="{00000000-0005-0000-0000-000025170000}"/>
    <cellStyle name="Explanatory Text 1055" xfId="6036" xr:uid="{00000000-0005-0000-0000-000026170000}"/>
    <cellStyle name="Explanatory Text 1056" xfId="6037" xr:uid="{00000000-0005-0000-0000-000027170000}"/>
    <cellStyle name="Explanatory Text 1057" xfId="6038" xr:uid="{00000000-0005-0000-0000-000028170000}"/>
    <cellStyle name="Explanatory Text 1058" xfId="6039" xr:uid="{00000000-0005-0000-0000-000029170000}"/>
    <cellStyle name="Explanatory Text 1059" xfId="6040" xr:uid="{00000000-0005-0000-0000-00002A170000}"/>
    <cellStyle name="Explanatory Text 106" xfId="6041" xr:uid="{00000000-0005-0000-0000-00002B170000}"/>
    <cellStyle name="Explanatory Text 1060" xfId="6042" xr:uid="{00000000-0005-0000-0000-00002C170000}"/>
    <cellStyle name="Explanatory Text 1061" xfId="6043" xr:uid="{00000000-0005-0000-0000-00002D170000}"/>
    <cellStyle name="Explanatory Text 1062" xfId="6044" xr:uid="{00000000-0005-0000-0000-00002E170000}"/>
    <cellStyle name="Explanatory Text 1063" xfId="6045" xr:uid="{00000000-0005-0000-0000-00002F170000}"/>
    <cellStyle name="Explanatory Text 1064" xfId="6046" xr:uid="{00000000-0005-0000-0000-000030170000}"/>
    <cellStyle name="Explanatory Text 1065" xfId="6047" xr:uid="{00000000-0005-0000-0000-000031170000}"/>
    <cellStyle name="Explanatory Text 1066" xfId="6048" xr:uid="{00000000-0005-0000-0000-000032170000}"/>
    <cellStyle name="Explanatory Text 1067" xfId="6049" xr:uid="{00000000-0005-0000-0000-000033170000}"/>
    <cellStyle name="Explanatory Text 1068" xfId="6050" xr:uid="{00000000-0005-0000-0000-000034170000}"/>
    <cellStyle name="Explanatory Text 1069" xfId="6051" xr:uid="{00000000-0005-0000-0000-000035170000}"/>
    <cellStyle name="Explanatory Text 107" xfId="6052" xr:uid="{00000000-0005-0000-0000-000036170000}"/>
    <cellStyle name="Explanatory Text 1070" xfId="6053" xr:uid="{00000000-0005-0000-0000-000037170000}"/>
    <cellStyle name="Explanatory Text 1071" xfId="6054" xr:uid="{00000000-0005-0000-0000-000038170000}"/>
    <cellStyle name="Explanatory Text 1072" xfId="6055" xr:uid="{00000000-0005-0000-0000-000039170000}"/>
    <cellStyle name="Explanatory Text 1073" xfId="6056" xr:uid="{00000000-0005-0000-0000-00003A170000}"/>
    <cellStyle name="Explanatory Text 1074" xfId="6057" xr:uid="{00000000-0005-0000-0000-00003B170000}"/>
    <cellStyle name="Explanatory Text 1075" xfId="6058" xr:uid="{00000000-0005-0000-0000-00003C170000}"/>
    <cellStyle name="Explanatory Text 1076" xfId="6059" xr:uid="{00000000-0005-0000-0000-00003D170000}"/>
    <cellStyle name="Explanatory Text 1077" xfId="6060" xr:uid="{00000000-0005-0000-0000-00003E170000}"/>
    <cellStyle name="Explanatory Text 1078" xfId="6061" xr:uid="{00000000-0005-0000-0000-00003F170000}"/>
    <cellStyle name="Explanatory Text 1079" xfId="6062" xr:uid="{00000000-0005-0000-0000-000040170000}"/>
    <cellStyle name="Explanatory Text 108" xfId="6063" xr:uid="{00000000-0005-0000-0000-000041170000}"/>
    <cellStyle name="Explanatory Text 1080" xfId="6064" xr:uid="{00000000-0005-0000-0000-000042170000}"/>
    <cellStyle name="Explanatory Text 1081" xfId="6065" xr:uid="{00000000-0005-0000-0000-000043170000}"/>
    <cellStyle name="Explanatory Text 1082" xfId="6066" xr:uid="{00000000-0005-0000-0000-000044170000}"/>
    <cellStyle name="Explanatory Text 1083" xfId="6067" xr:uid="{00000000-0005-0000-0000-000045170000}"/>
    <cellStyle name="Explanatory Text 1084" xfId="6068" xr:uid="{00000000-0005-0000-0000-000046170000}"/>
    <cellStyle name="Explanatory Text 1085" xfId="6069" xr:uid="{00000000-0005-0000-0000-000047170000}"/>
    <cellStyle name="Explanatory Text 1086" xfId="6070" xr:uid="{00000000-0005-0000-0000-000048170000}"/>
    <cellStyle name="Explanatory Text 1087" xfId="6071" xr:uid="{00000000-0005-0000-0000-000049170000}"/>
    <cellStyle name="Explanatory Text 1088" xfId="6072" xr:uid="{00000000-0005-0000-0000-00004A170000}"/>
    <cellStyle name="Explanatory Text 1089" xfId="6073" xr:uid="{00000000-0005-0000-0000-00004B170000}"/>
    <cellStyle name="Explanatory Text 109" xfId="6074" xr:uid="{00000000-0005-0000-0000-00004C170000}"/>
    <cellStyle name="Explanatory Text 1090" xfId="6075" xr:uid="{00000000-0005-0000-0000-00004D170000}"/>
    <cellStyle name="Explanatory Text 1091" xfId="6076" xr:uid="{00000000-0005-0000-0000-00004E170000}"/>
    <cellStyle name="Explanatory Text 1092" xfId="6077" xr:uid="{00000000-0005-0000-0000-00004F170000}"/>
    <cellStyle name="Explanatory Text 1093" xfId="6078" xr:uid="{00000000-0005-0000-0000-000050170000}"/>
    <cellStyle name="Explanatory Text 1094" xfId="6079" xr:uid="{00000000-0005-0000-0000-000051170000}"/>
    <cellStyle name="Explanatory Text 1095" xfId="6080" xr:uid="{00000000-0005-0000-0000-000052170000}"/>
    <cellStyle name="Explanatory Text 1096" xfId="6081" xr:uid="{00000000-0005-0000-0000-000053170000}"/>
    <cellStyle name="Explanatory Text 1097" xfId="6082" xr:uid="{00000000-0005-0000-0000-000054170000}"/>
    <cellStyle name="Explanatory Text 1098" xfId="6083" xr:uid="{00000000-0005-0000-0000-000055170000}"/>
    <cellStyle name="Explanatory Text 1099" xfId="6084" xr:uid="{00000000-0005-0000-0000-000056170000}"/>
    <cellStyle name="Explanatory Text 11" xfId="6085" xr:uid="{00000000-0005-0000-0000-000057170000}"/>
    <cellStyle name="Explanatory Text 110" xfId="6086" xr:uid="{00000000-0005-0000-0000-000058170000}"/>
    <cellStyle name="Explanatory Text 1100" xfId="6087" xr:uid="{00000000-0005-0000-0000-000059170000}"/>
    <cellStyle name="Explanatory Text 1101" xfId="6088" xr:uid="{00000000-0005-0000-0000-00005A170000}"/>
    <cellStyle name="Explanatory Text 1102" xfId="6089" xr:uid="{00000000-0005-0000-0000-00005B170000}"/>
    <cellStyle name="Explanatory Text 1103" xfId="6090" xr:uid="{00000000-0005-0000-0000-00005C170000}"/>
    <cellStyle name="Explanatory Text 1104" xfId="6091" xr:uid="{00000000-0005-0000-0000-00005D170000}"/>
    <cellStyle name="Explanatory Text 1105" xfId="6092" xr:uid="{00000000-0005-0000-0000-00005E170000}"/>
    <cellStyle name="Explanatory Text 1106" xfId="6093" xr:uid="{00000000-0005-0000-0000-00005F170000}"/>
    <cellStyle name="Explanatory Text 1107" xfId="6094" xr:uid="{00000000-0005-0000-0000-000060170000}"/>
    <cellStyle name="Explanatory Text 1108" xfId="6095" xr:uid="{00000000-0005-0000-0000-000061170000}"/>
    <cellStyle name="Explanatory Text 1109" xfId="6096" xr:uid="{00000000-0005-0000-0000-000062170000}"/>
    <cellStyle name="Explanatory Text 111" xfId="6097" xr:uid="{00000000-0005-0000-0000-000063170000}"/>
    <cellStyle name="Explanatory Text 1110" xfId="6098" xr:uid="{00000000-0005-0000-0000-000064170000}"/>
    <cellStyle name="Explanatory Text 1111" xfId="6099" xr:uid="{00000000-0005-0000-0000-000065170000}"/>
    <cellStyle name="Explanatory Text 1112" xfId="6100" xr:uid="{00000000-0005-0000-0000-000066170000}"/>
    <cellStyle name="Explanatory Text 1113" xfId="6101" xr:uid="{00000000-0005-0000-0000-000067170000}"/>
    <cellStyle name="Explanatory Text 1114" xfId="6102" xr:uid="{00000000-0005-0000-0000-000068170000}"/>
    <cellStyle name="Explanatory Text 1115" xfId="6103" xr:uid="{00000000-0005-0000-0000-000069170000}"/>
    <cellStyle name="Explanatory Text 1116" xfId="6104" xr:uid="{00000000-0005-0000-0000-00006A170000}"/>
    <cellStyle name="Explanatory Text 1117" xfId="6105" xr:uid="{00000000-0005-0000-0000-00006B170000}"/>
    <cellStyle name="Explanatory Text 1118" xfId="6106" xr:uid="{00000000-0005-0000-0000-00006C170000}"/>
    <cellStyle name="Explanatory Text 1119" xfId="6107" xr:uid="{00000000-0005-0000-0000-00006D170000}"/>
    <cellStyle name="Explanatory Text 112" xfId="6108" xr:uid="{00000000-0005-0000-0000-00006E170000}"/>
    <cellStyle name="Explanatory Text 1120" xfId="6109" xr:uid="{00000000-0005-0000-0000-00006F170000}"/>
    <cellStyle name="Explanatory Text 1121" xfId="6110" xr:uid="{00000000-0005-0000-0000-000070170000}"/>
    <cellStyle name="Explanatory Text 1122" xfId="6111" xr:uid="{00000000-0005-0000-0000-000071170000}"/>
    <cellStyle name="Explanatory Text 1123" xfId="6112" xr:uid="{00000000-0005-0000-0000-000072170000}"/>
    <cellStyle name="Explanatory Text 1124" xfId="6113" xr:uid="{00000000-0005-0000-0000-000073170000}"/>
    <cellStyle name="Explanatory Text 1125" xfId="6114" xr:uid="{00000000-0005-0000-0000-000074170000}"/>
    <cellStyle name="Explanatory Text 1126" xfId="6115" xr:uid="{00000000-0005-0000-0000-000075170000}"/>
    <cellStyle name="Explanatory Text 1127" xfId="6116" xr:uid="{00000000-0005-0000-0000-000076170000}"/>
    <cellStyle name="Explanatory Text 1128" xfId="6117" xr:uid="{00000000-0005-0000-0000-000077170000}"/>
    <cellStyle name="Explanatory Text 1129" xfId="6118" xr:uid="{00000000-0005-0000-0000-000078170000}"/>
    <cellStyle name="Explanatory Text 113" xfId="6119" xr:uid="{00000000-0005-0000-0000-000079170000}"/>
    <cellStyle name="Explanatory Text 1130" xfId="6120" xr:uid="{00000000-0005-0000-0000-00007A170000}"/>
    <cellStyle name="Explanatory Text 1131" xfId="6121" xr:uid="{00000000-0005-0000-0000-00007B170000}"/>
    <cellStyle name="Explanatory Text 1132" xfId="6122" xr:uid="{00000000-0005-0000-0000-00007C170000}"/>
    <cellStyle name="Explanatory Text 1133" xfId="6123" xr:uid="{00000000-0005-0000-0000-00007D170000}"/>
    <cellStyle name="Explanatory Text 1134" xfId="6124" xr:uid="{00000000-0005-0000-0000-00007E170000}"/>
    <cellStyle name="Explanatory Text 1135" xfId="6125" xr:uid="{00000000-0005-0000-0000-00007F170000}"/>
    <cellStyle name="Explanatory Text 1136" xfId="6126" xr:uid="{00000000-0005-0000-0000-000080170000}"/>
    <cellStyle name="Explanatory Text 1137" xfId="6127" xr:uid="{00000000-0005-0000-0000-000081170000}"/>
    <cellStyle name="Explanatory Text 1138" xfId="6128" xr:uid="{00000000-0005-0000-0000-000082170000}"/>
    <cellStyle name="Explanatory Text 1139" xfId="6129" xr:uid="{00000000-0005-0000-0000-000083170000}"/>
    <cellStyle name="Explanatory Text 114" xfId="6130" xr:uid="{00000000-0005-0000-0000-000084170000}"/>
    <cellStyle name="Explanatory Text 1140" xfId="6131" xr:uid="{00000000-0005-0000-0000-000085170000}"/>
    <cellStyle name="Explanatory Text 1141" xfId="6132" xr:uid="{00000000-0005-0000-0000-000086170000}"/>
    <cellStyle name="Explanatory Text 1142" xfId="6133" xr:uid="{00000000-0005-0000-0000-000087170000}"/>
    <cellStyle name="Explanatory Text 1143" xfId="6134" xr:uid="{00000000-0005-0000-0000-000088170000}"/>
    <cellStyle name="Explanatory Text 1144" xfId="6135" xr:uid="{00000000-0005-0000-0000-000089170000}"/>
    <cellStyle name="Explanatory Text 1145" xfId="6136" xr:uid="{00000000-0005-0000-0000-00008A170000}"/>
    <cellStyle name="Explanatory Text 1146" xfId="6137" xr:uid="{00000000-0005-0000-0000-00008B170000}"/>
    <cellStyle name="Explanatory Text 1147" xfId="6138" xr:uid="{00000000-0005-0000-0000-00008C170000}"/>
    <cellStyle name="Explanatory Text 1148" xfId="6139" xr:uid="{00000000-0005-0000-0000-00008D170000}"/>
    <cellStyle name="Explanatory Text 1149" xfId="6140" xr:uid="{00000000-0005-0000-0000-00008E170000}"/>
    <cellStyle name="Explanatory Text 115" xfId="6141" xr:uid="{00000000-0005-0000-0000-00008F170000}"/>
    <cellStyle name="Explanatory Text 1150" xfId="6142" xr:uid="{00000000-0005-0000-0000-000090170000}"/>
    <cellStyle name="Explanatory Text 1151" xfId="6143" xr:uid="{00000000-0005-0000-0000-000091170000}"/>
    <cellStyle name="Explanatory Text 1152" xfId="6144" xr:uid="{00000000-0005-0000-0000-000092170000}"/>
    <cellStyle name="Explanatory Text 1153" xfId="6145" xr:uid="{00000000-0005-0000-0000-000093170000}"/>
    <cellStyle name="Explanatory Text 1154" xfId="6146" xr:uid="{00000000-0005-0000-0000-000094170000}"/>
    <cellStyle name="Explanatory Text 1155" xfId="6147" xr:uid="{00000000-0005-0000-0000-000095170000}"/>
    <cellStyle name="Explanatory Text 1156" xfId="6148" xr:uid="{00000000-0005-0000-0000-000096170000}"/>
    <cellStyle name="Explanatory Text 1157" xfId="6149" xr:uid="{00000000-0005-0000-0000-000097170000}"/>
    <cellStyle name="Explanatory Text 1158" xfId="6150" xr:uid="{00000000-0005-0000-0000-000098170000}"/>
    <cellStyle name="Explanatory Text 1159" xfId="6151" xr:uid="{00000000-0005-0000-0000-000099170000}"/>
    <cellStyle name="Explanatory Text 116" xfId="6152" xr:uid="{00000000-0005-0000-0000-00009A170000}"/>
    <cellStyle name="Explanatory Text 1160" xfId="6153" xr:uid="{00000000-0005-0000-0000-00009B170000}"/>
    <cellStyle name="Explanatory Text 117" xfId="6154" xr:uid="{00000000-0005-0000-0000-00009C170000}"/>
    <cellStyle name="Explanatory Text 118" xfId="6155" xr:uid="{00000000-0005-0000-0000-00009D170000}"/>
    <cellStyle name="Explanatory Text 119" xfId="6156" xr:uid="{00000000-0005-0000-0000-00009E170000}"/>
    <cellStyle name="Explanatory Text 12" xfId="6157" xr:uid="{00000000-0005-0000-0000-00009F170000}"/>
    <cellStyle name="Explanatory Text 120" xfId="6158" xr:uid="{00000000-0005-0000-0000-0000A0170000}"/>
    <cellStyle name="Explanatory Text 121" xfId="6159" xr:uid="{00000000-0005-0000-0000-0000A1170000}"/>
    <cellStyle name="Explanatory Text 122" xfId="6160" xr:uid="{00000000-0005-0000-0000-0000A2170000}"/>
    <cellStyle name="Explanatory Text 123" xfId="6161" xr:uid="{00000000-0005-0000-0000-0000A3170000}"/>
    <cellStyle name="Explanatory Text 124" xfId="6162" xr:uid="{00000000-0005-0000-0000-0000A4170000}"/>
    <cellStyle name="Explanatory Text 125" xfId="6163" xr:uid="{00000000-0005-0000-0000-0000A5170000}"/>
    <cellStyle name="Explanatory Text 126" xfId="6164" xr:uid="{00000000-0005-0000-0000-0000A6170000}"/>
    <cellStyle name="Explanatory Text 127" xfId="6165" xr:uid="{00000000-0005-0000-0000-0000A7170000}"/>
    <cellStyle name="Explanatory Text 128" xfId="6166" xr:uid="{00000000-0005-0000-0000-0000A8170000}"/>
    <cellStyle name="Explanatory Text 129" xfId="6167" xr:uid="{00000000-0005-0000-0000-0000A9170000}"/>
    <cellStyle name="Explanatory Text 13" xfId="6168" xr:uid="{00000000-0005-0000-0000-0000AA170000}"/>
    <cellStyle name="Explanatory Text 130" xfId="6169" xr:uid="{00000000-0005-0000-0000-0000AB170000}"/>
    <cellStyle name="Explanatory Text 131" xfId="6170" xr:uid="{00000000-0005-0000-0000-0000AC170000}"/>
    <cellStyle name="Explanatory Text 132" xfId="6171" xr:uid="{00000000-0005-0000-0000-0000AD170000}"/>
    <cellStyle name="Explanatory Text 133" xfId="6172" xr:uid="{00000000-0005-0000-0000-0000AE170000}"/>
    <cellStyle name="Explanatory Text 134" xfId="6173" xr:uid="{00000000-0005-0000-0000-0000AF170000}"/>
    <cellStyle name="Explanatory Text 135" xfId="6174" xr:uid="{00000000-0005-0000-0000-0000B0170000}"/>
    <cellStyle name="Explanatory Text 136" xfId="6175" xr:uid="{00000000-0005-0000-0000-0000B1170000}"/>
    <cellStyle name="Explanatory Text 137" xfId="6176" xr:uid="{00000000-0005-0000-0000-0000B2170000}"/>
    <cellStyle name="Explanatory Text 138" xfId="6177" xr:uid="{00000000-0005-0000-0000-0000B3170000}"/>
    <cellStyle name="Explanatory Text 139" xfId="6178" xr:uid="{00000000-0005-0000-0000-0000B4170000}"/>
    <cellStyle name="Explanatory Text 14" xfId="6179" xr:uid="{00000000-0005-0000-0000-0000B5170000}"/>
    <cellStyle name="Explanatory Text 140" xfId="6180" xr:uid="{00000000-0005-0000-0000-0000B6170000}"/>
    <cellStyle name="Explanatory Text 141" xfId="6181" xr:uid="{00000000-0005-0000-0000-0000B7170000}"/>
    <cellStyle name="Explanatory Text 142" xfId="6182" xr:uid="{00000000-0005-0000-0000-0000B8170000}"/>
    <cellStyle name="Explanatory Text 143" xfId="6183" xr:uid="{00000000-0005-0000-0000-0000B9170000}"/>
    <cellStyle name="Explanatory Text 144" xfId="6184" xr:uid="{00000000-0005-0000-0000-0000BA170000}"/>
    <cellStyle name="Explanatory Text 145" xfId="6185" xr:uid="{00000000-0005-0000-0000-0000BB170000}"/>
    <cellStyle name="Explanatory Text 146" xfId="6186" xr:uid="{00000000-0005-0000-0000-0000BC170000}"/>
    <cellStyle name="Explanatory Text 147" xfId="6187" xr:uid="{00000000-0005-0000-0000-0000BD170000}"/>
    <cellStyle name="Explanatory Text 148" xfId="6188" xr:uid="{00000000-0005-0000-0000-0000BE170000}"/>
    <cellStyle name="Explanatory Text 149" xfId="6189" xr:uid="{00000000-0005-0000-0000-0000BF170000}"/>
    <cellStyle name="Explanatory Text 15" xfId="6190" xr:uid="{00000000-0005-0000-0000-0000C0170000}"/>
    <cellStyle name="Explanatory Text 150" xfId="6191" xr:uid="{00000000-0005-0000-0000-0000C1170000}"/>
    <cellStyle name="Explanatory Text 151" xfId="6192" xr:uid="{00000000-0005-0000-0000-0000C2170000}"/>
    <cellStyle name="Explanatory Text 152" xfId="6193" xr:uid="{00000000-0005-0000-0000-0000C3170000}"/>
    <cellStyle name="Explanatory Text 153" xfId="6194" xr:uid="{00000000-0005-0000-0000-0000C4170000}"/>
    <cellStyle name="Explanatory Text 154" xfId="6195" xr:uid="{00000000-0005-0000-0000-0000C5170000}"/>
    <cellStyle name="Explanatory Text 155" xfId="6196" xr:uid="{00000000-0005-0000-0000-0000C6170000}"/>
    <cellStyle name="Explanatory Text 156" xfId="6197" xr:uid="{00000000-0005-0000-0000-0000C7170000}"/>
    <cellStyle name="Explanatory Text 157" xfId="6198" xr:uid="{00000000-0005-0000-0000-0000C8170000}"/>
    <cellStyle name="Explanatory Text 158" xfId="6199" xr:uid="{00000000-0005-0000-0000-0000C9170000}"/>
    <cellStyle name="Explanatory Text 159" xfId="6200" xr:uid="{00000000-0005-0000-0000-0000CA170000}"/>
    <cellStyle name="Explanatory Text 16" xfId="6201" xr:uid="{00000000-0005-0000-0000-0000CB170000}"/>
    <cellStyle name="Explanatory Text 160" xfId="6202" xr:uid="{00000000-0005-0000-0000-0000CC170000}"/>
    <cellStyle name="Explanatory Text 161" xfId="6203" xr:uid="{00000000-0005-0000-0000-0000CD170000}"/>
    <cellStyle name="Explanatory Text 162" xfId="6204" xr:uid="{00000000-0005-0000-0000-0000CE170000}"/>
    <cellStyle name="Explanatory Text 163" xfId="6205" xr:uid="{00000000-0005-0000-0000-0000CF170000}"/>
    <cellStyle name="Explanatory Text 164" xfId="6206" xr:uid="{00000000-0005-0000-0000-0000D0170000}"/>
    <cellStyle name="Explanatory Text 165" xfId="6207" xr:uid="{00000000-0005-0000-0000-0000D1170000}"/>
    <cellStyle name="Explanatory Text 166" xfId="6208" xr:uid="{00000000-0005-0000-0000-0000D2170000}"/>
    <cellStyle name="Explanatory Text 167" xfId="6209" xr:uid="{00000000-0005-0000-0000-0000D3170000}"/>
    <cellStyle name="Explanatory Text 168" xfId="6210" xr:uid="{00000000-0005-0000-0000-0000D4170000}"/>
    <cellStyle name="Explanatory Text 169" xfId="6211" xr:uid="{00000000-0005-0000-0000-0000D5170000}"/>
    <cellStyle name="Explanatory Text 17" xfId="6212" xr:uid="{00000000-0005-0000-0000-0000D6170000}"/>
    <cellStyle name="Explanatory Text 170" xfId="6213" xr:uid="{00000000-0005-0000-0000-0000D7170000}"/>
    <cellStyle name="Explanatory Text 171" xfId="6214" xr:uid="{00000000-0005-0000-0000-0000D8170000}"/>
    <cellStyle name="Explanatory Text 172" xfId="6215" xr:uid="{00000000-0005-0000-0000-0000D9170000}"/>
    <cellStyle name="Explanatory Text 173" xfId="6216" xr:uid="{00000000-0005-0000-0000-0000DA170000}"/>
    <cellStyle name="Explanatory Text 174" xfId="6217" xr:uid="{00000000-0005-0000-0000-0000DB170000}"/>
    <cellStyle name="Explanatory Text 175" xfId="6218" xr:uid="{00000000-0005-0000-0000-0000DC170000}"/>
    <cellStyle name="Explanatory Text 176" xfId="6219" xr:uid="{00000000-0005-0000-0000-0000DD170000}"/>
    <cellStyle name="Explanatory Text 177" xfId="6220" xr:uid="{00000000-0005-0000-0000-0000DE170000}"/>
    <cellStyle name="Explanatory Text 178" xfId="6221" xr:uid="{00000000-0005-0000-0000-0000DF170000}"/>
    <cellStyle name="Explanatory Text 179" xfId="6222" xr:uid="{00000000-0005-0000-0000-0000E0170000}"/>
    <cellStyle name="Explanatory Text 18" xfId="6223" xr:uid="{00000000-0005-0000-0000-0000E1170000}"/>
    <cellStyle name="Explanatory Text 180" xfId="6224" xr:uid="{00000000-0005-0000-0000-0000E2170000}"/>
    <cellStyle name="Explanatory Text 181" xfId="6225" xr:uid="{00000000-0005-0000-0000-0000E3170000}"/>
    <cellStyle name="Explanatory Text 182" xfId="6226" xr:uid="{00000000-0005-0000-0000-0000E4170000}"/>
    <cellStyle name="Explanatory Text 183" xfId="6227" xr:uid="{00000000-0005-0000-0000-0000E5170000}"/>
    <cellStyle name="Explanatory Text 184" xfId="6228" xr:uid="{00000000-0005-0000-0000-0000E6170000}"/>
    <cellStyle name="Explanatory Text 185" xfId="6229" xr:uid="{00000000-0005-0000-0000-0000E7170000}"/>
    <cellStyle name="Explanatory Text 186" xfId="6230" xr:uid="{00000000-0005-0000-0000-0000E8170000}"/>
    <cellStyle name="Explanatory Text 187" xfId="6231" xr:uid="{00000000-0005-0000-0000-0000E9170000}"/>
    <cellStyle name="Explanatory Text 188" xfId="6232" xr:uid="{00000000-0005-0000-0000-0000EA170000}"/>
    <cellStyle name="Explanatory Text 189" xfId="6233" xr:uid="{00000000-0005-0000-0000-0000EB170000}"/>
    <cellStyle name="Explanatory Text 19" xfId="6234" xr:uid="{00000000-0005-0000-0000-0000EC170000}"/>
    <cellStyle name="Explanatory Text 190" xfId="6235" xr:uid="{00000000-0005-0000-0000-0000ED170000}"/>
    <cellStyle name="Explanatory Text 191" xfId="6236" xr:uid="{00000000-0005-0000-0000-0000EE170000}"/>
    <cellStyle name="Explanatory Text 192" xfId="6237" xr:uid="{00000000-0005-0000-0000-0000EF170000}"/>
    <cellStyle name="Explanatory Text 193" xfId="6238" xr:uid="{00000000-0005-0000-0000-0000F0170000}"/>
    <cellStyle name="Explanatory Text 194" xfId="6239" xr:uid="{00000000-0005-0000-0000-0000F1170000}"/>
    <cellStyle name="Explanatory Text 195" xfId="6240" xr:uid="{00000000-0005-0000-0000-0000F2170000}"/>
    <cellStyle name="Explanatory Text 196" xfId="6241" xr:uid="{00000000-0005-0000-0000-0000F3170000}"/>
    <cellStyle name="Explanatory Text 197" xfId="6242" xr:uid="{00000000-0005-0000-0000-0000F4170000}"/>
    <cellStyle name="Explanatory Text 198" xfId="6243" xr:uid="{00000000-0005-0000-0000-0000F5170000}"/>
    <cellStyle name="Explanatory Text 199" xfId="6244" xr:uid="{00000000-0005-0000-0000-0000F6170000}"/>
    <cellStyle name="Explanatory Text 2" xfId="239" xr:uid="{00000000-0005-0000-0000-0000F7170000}"/>
    <cellStyle name="Explanatory Text 2 2" xfId="6245" xr:uid="{00000000-0005-0000-0000-0000F8170000}"/>
    <cellStyle name="Explanatory Text 2 3" xfId="6246" xr:uid="{00000000-0005-0000-0000-0000F9170000}"/>
    <cellStyle name="Explanatory Text 20" xfId="6247" xr:uid="{00000000-0005-0000-0000-0000FA170000}"/>
    <cellStyle name="Explanatory Text 200" xfId="6248" xr:uid="{00000000-0005-0000-0000-0000FB170000}"/>
    <cellStyle name="Explanatory Text 201" xfId="6249" xr:uid="{00000000-0005-0000-0000-0000FC170000}"/>
    <cellStyle name="Explanatory Text 202" xfId="6250" xr:uid="{00000000-0005-0000-0000-0000FD170000}"/>
    <cellStyle name="Explanatory Text 203" xfId="6251" xr:uid="{00000000-0005-0000-0000-0000FE170000}"/>
    <cellStyle name="Explanatory Text 204" xfId="6252" xr:uid="{00000000-0005-0000-0000-0000FF170000}"/>
    <cellStyle name="Explanatory Text 205" xfId="6253" xr:uid="{00000000-0005-0000-0000-000000180000}"/>
    <cellStyle name="Explanatory Text 206" xfId="6254" xr:uid="{00000000-0005-0000-0000-000001180000}"/>
    <cellStyle name="Explanatory Text 207" xfId="6255" xr:uid="{00000000-0005-0000-0000-000002180000}"/>
    <cellStyle name="Explanatory Text 208" xfId="6256" xr:uid="{00000000-0005-0000-0000-000003180000}"/>
    <cellStyle name="Explanatory Text 209" xfId="6257" xr:uid="{00000000-0005-0000-0000-000004180000}"/>
    <cellStyle name="Explanatory Text 21" xfId="6258" xr:uid="{00000000-0005-0000-0000-000005180000}"/>
    <cellStyle name="Explanatory Text 210" xfId="6259" xr:uid="{00000000-0005-0000-0000-000006180000}"/>
    <cellStyle name="Explanatory Text 211" xfId="6260" xr:uid="{00000000-0005-0000-0000-000007180000}"/>
    <cellStyle name="Explanatory Text 212" xfId="6261" xr:uid="{00000000-0005-0000-0000-000008180000}"/>
    <cellStyle name="Explanatory Text 213" xfId="6262" xr:uid="{00000000-0005-0000-0000-000009180000}"/>
    <cellStyle name="Explanatory Text 214" xfId="6263" xr:uid="{00000000-0005-0000-0000-00000A180000}"/>
    <cellStyle name="Explanatory Text 215" xfId="6264" xr:uid="{00000000-0005-0000-0000-00000B180000}"/>
    <cellStyle name="Explanatory Text 216" xfId="6265" xr:uid="{00000000-0005-0000-0000-00000C180000}"/>
    <cellStyle name="Explanatory Text 217" xfId="6266" xr:uid="{00000000-0005-0000-0000-00000D180000}"/>
    <cellStyle name="Explanatory Text 218" xfId="6267" xr:uid="{00000000-0005-0000-0000-00000E180000}"/>
    <cellStyle name="Explanatory Text 219" xfId="6268" xr:uid="{00000000-0005-0000-0000-00000F180000}"/>
    <cellStyle name="Explanatory Text 22" xfId="6269" xr:uid="{00000000-0005-0000-0000-000010180000}"/>
    <cellStyle name="Explanatory Text 220" xfId="6270" xr:uid="{00000000-0005-0000-0000-000011180000}"/>
    <cellStyle name="Explanatory Text 221" xfId="6271" xr:uid="{00000000-0005-0000-0000-000012180000}"/>
    <cellStyle name="Explanatory Text 222" xfId="6272" xr:uid="{00000000-0005-0000-0000-000013180000}"/>
    <cellStyle name="Explanatory Text 223" xfId="6273" xr:uid="{00000000-0005-0000-0000-000014180000}"/>
    <cellStyle name="Explanatory Text 224" xfId="6274" xr:uid="{00000000-0005-0000-0000-000015180000}"/>
    <cellStyle name="Explanatory Text 225" xfId="6275" xr:uid="{00000000-0005-0000-0000-000016180000}"/>
    <cellStyle name="Explanatory Text 226" xfId="6276" xr:uid="{00000000-0005-0000-0000-000017180000}"/>
    <cellStyle name="Explanatory Text 227" xfId="6277" xr:uid="{00000000-0005-0000-0000-000018180000}"/>
    <cellStyle name="Explanatory Text 228" xfId="6278" xr:uid="{00000000-0005-0000-0000-000019180000}"/>
    <cellStyle name="Explanatory Text 229" xfId="6279" xr:uid="{00000000-0005-0000-0000-00001A180000}"/>
    <cellStyle name="Explanatory Text 23" xfId="6280" xr:uid="{00000000-0005-0000-0000-00001B180000}"/>
    <cellStyle name="Explanatory Text 230" xfId="6281" xr:uid="{00000000-0005-0000-0000-00001C180000}"/>
    <cellStyle name="Explanatory Text 231" xfId="6282" xr:uid="{00000000-0005-0000-0000-00001D180000}"/>
    <cellStyle name="Explanatory Text 232" xfId="6283" xr:uid="{00000000-0005-0000-0000-00001E180000}"/>
    <cellStyle name="Explanatory Text 233" xfId="6284" xr:uid="{00000000-0005-0000-0000-00001F180000}"/>
    <cellStyle name="Explanatory Text 234" xfId="6285" xr:uid="{00000000-0005-0000-0000-000020180000}"/>
    <cellStyle name="Explanatory Text 235" xfId="6286" xr:uid="{00000000-0005-0000-0000-000021180000}"/>
    <cellStyle name="Explanatory Text 236" xfId="6287" xr:uid="{00000000-0005-0000-0000-000022180000}"/>
    <cellStyle name="Explanatory Text 237" xfId="6288" xr:uid="{00000000-0005-0000-0000-000023180000}"/>
    <cellStyle name="Explanatory Text 238" xfId="6289" xr:uid="{00000000-0005-0000-0000-000024180000}"/>
    <cellStyle name="Explanatory Text 239" xfId="6290" xr:uid="{00000000-0005-0000-0000-000025180000}"/>
    <cellStyle name="Explanatory Text 24" xfId="6291" xr:uid="{00000000-0005-0000-0000-000026180000}"/>
    <cellStyle name="Explanatory Text 240" xfId="6292" xr:uid="{00000000-0005-0000-0000-000027180000}"/>
    <cellStyle name="Explanatory Text 241" xfId="6293" xr:uid="{00000000-0005-0000-0000-000028180000}"/>
    <cellStyle name="Explanatory Text 242" xfId="6294" xr:uid="{00000000-0005-0000-0000-000029180000}"/>
    <cellStyle name="Explanatory Text 243" xfId="6295" xr:uid="{00000000-0005-0000-0000-00002A180000}"/>
    <cellStyle name="Explanatory Text 244" xfId="6296" xr:uid="{00000000-0005-0000-0000-00002B180000}"/>
    <cellStyle name="Explanatory Text 245" xfId="6297" xr:uid="{00000000-0005-0000-0000-00002C180000}"/>
    <cellStyle name="Explanatory Text 246" xfId="6298" xr:uid="{00000000-0005-0000-0000-00002D180000}"/>
    <cellStyle name="Explanatory Text 247" xfId="6299" xr:uid="{00000000-0005-0000-0000-00002E180000}"/>
    <cellStyle name="Explanatory Text 248" xfId="6300" xr:uid="{00000000-0005-0000-0000-00002F180000}"/>
    <cellStyle name="Explanatory Text 249" xfId="6301" xr:uid="{00000000-0005-0000-0000-000030180000}"/>
    <cellStyle name="Explanatory Text 25" xfId="6302" xr:uid="{00000000-0005-0000-0000-000031180000}"/>
    <cellStyle name="Explanatory Text 250" xfId="6303" xr:uid="{00000000-0005-0000-0000-000032180000}"/>
    <cellStyle name="Explanatory Text 251" xfId="6304" xr:uid="{00000000-0005-0000-0000-000033180000}"/>
    <cellStyle name="Explanatory Text 252" xfId="6305" xr:uid="{00000000-0005-0000-0000-000034180000}"/>
    <cellStyle name="Explanatory Text 253" xfId="6306" xr:uid="{00000000-0005-0000-0000-000035180000}"/>
    <cellStyle name="Explanatory Text 254" xfId="6307" xr:uid="{00000000-0005-0000-0000-000036180000}"/>
    <cellStyle name="Explanatory Text 255" xfId="6308" xr:uid="{00000000-0005-0000-0000-000037180000}"/>
    <cellStyle name="Explanatory Text 256" xfId="6309" xr:uid="{00000000-0005-0000-0000-000038180000}"/>
    <cellStyle name="Explanatory Text 257" xfId="6310" xr:uid="{00000000-0005-0000-0000-000039180000}"/>
    <cellStyle name="Explanatory Text 258" xfId="6311" xr:uid="{00000000-0005-0000-0000-00003A180000}"/>
    <cellStyle name="Explanatory Text 259" xfId="6312" xr:uid="{00000000-0005-0000-0000-00003B180000}"/>
    <cellStyle name="Explanatory Text 26" xfId="6313" xr:uid="{00000000-0005-0000-0000-00003C180000}"/>
    <cellStyle name="Explanatory Text 260" xfId="6314" xr:uid="{00000000-0005-0000-0000-00003D180000}"/>
    <cellStyle name="Explanatory Text 261" xfId="6315" xr:uid="{00000000-0005-0000-0000-00003E180000}"/>
    <cellStyle name="Explanatory Text 262" xfId="6316" xr:uid="{00000000-0005-0000-0000-00003F180000}"/>
    <cellStyle name="Explanatory Text 263" xfId="6317" xr:uid="{00000000-0005-0000-0000-000040180000}"/>
    <cellStyle name="Explanatory Text 264" xfId="6318" xr:uid="{00000000-0005-0000-0000-000041180000}"/>
    <cellStyle name="Explanatory Text 265" xfId="6319" xr:uid="{00000000-0005-0000-0000-000042180000}"/>
    <cellStyle name="Explanatory Text 266" xfId="6320" xr:uid="{00000000-0005-0000-0000-000043180000}"/>
    <cellStyle name="Explanatory Text 267" xfId="6321" xr:uid="{00000000-0005-0000-0000-000044180000}"/>
    <cellStyle name="Explanatory Text 268" xfId="6322" xr:uid="{00000000-0005-0000-0000-000045180000}"/>
    <cellStyle name="Explanatory Text 269" xfId="6323" xr:uid="{00000000-0005-0000-0000-000046180000}"/>
    <cellStyle name="Explanatory Text 27" xfId="6324" xr:uid="{00000000-0005-0000-0000-000047180000}"/>
    <cellStyle name="Explanatory Text 270" xfId="6325" xr:uid="{00000000-0005-0000-0000-000048180000}"/>
    <cellStyle name="Explanatory Text 271" xfId="6326" xr:uid="{00000000-0005-0000-0000-000049180000}"/>
    <cellStyle name="Explanatory Text 272" xfId="6327" xr:uid="{00000000-0005-0000-0000-00004A180000}"/>
    <cellStyle name="Explanatory Text 273" xfId="6328" xr:uid="{00000000-0005-0000-0000-00004B180000}"/>
    <cellStyle name="Explanatory Text 274" xfId="6329" xr:uid="{00000000-0005-0000-0000-00004C180000}"/>
    <cellStyle name="Explanatory Text 275" xfId="6330" xr:uid="{00000000-0005-0000-0000-00004D180000}"/>
    <cellStyle name="Explanatory Text 276" xfId="6331" xr:uid="{00000000-0005-0000-0000-00004E180000}"/>
    <cellStyle name="Explanatory Text 277" xfId="6332" xr:uid="{00000000-0005-0000-0000-00004F180000}"/>
    <cellStyle name="Explanatory Text 278" xfId="6333" xr:uid="{00000000-0005-0000-0000-000050180000}"/>
    <cellStyle name="Explanatory Text 279" xfId="6334" xr:uid="{00000000-0005-0000-0000-000051180000}"/>
    <cellStyle name="Explanatory Text 28" xfId="6335" xr:uid="{00000000-0005-0000-0000-000052180000}"/>
    <cellStyle name="Explanatory Text 280" xfId="6336" xr:uid="{00000000-0005-0000-0000-000053180000}"/>
    <cellStyle name="Explanatory Text 281" xfId="6337" xr:uid="{00000000-0005-0000-0000-000054180000}"/>
    <cellStyle name="Explanatory Text 282" xfId="6338" xr:uid="{00000000-0005-0000-0000-000055180000}"/>
    <cellStyle name="Explanatory Text 283" xfId="6339" xr:uid="{00000000-0005-0000-0000-000056180000}"/>
    <cellStyle name="Explanatory Text 284" xfId="6340" xr:uid="{00000000-0005-0000-0000-000057180000}"/>
    <cellStyle name="Explanatory Text 285" xfId="6341" xr:uid="{00000000-0005-0000-0000-000058180000}"/>
    <cellStyle name="Explanatory Text 286" xfId="6342" xr:uid="{00000000-0005-0000-0000-000059180000}"/>
    <cellStyle name="Explanatory Text 287" xfId="6343" xr:uid="{00000000-0005-0000-0000-00005A180000}"/>
    <cellStyle name="Explanatory Text 288" xfId="6344" xr:uid="{00000000-0005-0000-0000-00005B180000}"/>
    <cellStyle name="Explanatory Text 289" xfId="6345" xr:uid="{00000000-0005-0000-0000-00005C180000}"/>
    <cellStyle name="Explanatory Text 29" xfId="6346" xr:uid="{00000000-0005-0000-0000-00005D180000}"/>
    <cellStyle name="Explanatory Text 290" xfId="6347" xr:uid="{00000000-0005-0000-0000-00005E180000}"/>
    <cellStyle name="Explanatory Text 291" xfId="6348" xr:uid="{00000000-0005-0000-0000-00005F180000}"/>
    <cellStyle name="Explanatory Text 292" xfId="6349" xr:uid="{00000000-0005-0000-0000-000060180000}"/>
    <cellStyle name="Explanatory Text 293" xfId="6350" xr:uid="{00000000-0005-0000-0000-000061180000}"/>
    <cellStyle name="Explanatory Text 294" xfId="6351" xr:uid="{00000000-0005-0000-0000-000062180000}"/>
    <cellStyle name="Explanatory Text 295" xfId="6352" xr:uid="{00000000-0005-0000-0000-000063180000}"/>
    <cellStyle name="Explanatory Text 296" xfId="6353" xr:uid="{00000000-0005-0000-0000-000064180000}"/>
    <cellStyle name="Explanatory Text 297" xfId="6354" xr:uid="{00000000-0005-0000-0000-000065180000}"/>
    <cellStyle name="Explanatory Text 298" xfId="6355" xr:uid="{00000000-0005-0000-0000-000066180000}"/>
    <cellStyle name="Explanatory Text 299" xfId="6356" xr:uid="{00000000-0005-0000-0000-000067180000}"/>
    <cellStyle name="Explanatory Text 3" xfId="6357" xr:uid="{00000000-0005-0000-0000-000068180000}"/>
    <cellStyle name="Explanatory Text 30" xfId="6358" xr:uid="{00000000-0005-0000-0000-000069180000}"/>
    <cellStyle name="Explanatory Text 300" xfId="6359" xr:uid="{00000000-0005-0000-0000-00006A180000}"/>
    <cellStyle name="Explanatory Text 301" xfId="6360" xr:uid="{00000000-0005-0000-0000-00006B180000}"/>
    <cellStyle name="Explanatory Text 302" xfId="6361" xr:uid="{00000000-0005-0000-0000-00006C180000}"/>
    <cellStyle name="Explanatory Text 303" xfId="6362" xr:uid="{00000000-0005-0000-0000-00006D180000}"/>
    <cellStyle name="Explanatory Text 304" xfId="6363" xr:uid="{00000000-0005-0000-0000-00006E180000}"/>
    <cellStyle name="Explanatory Text 305" xfId="6364" xr:uid="{00000000-0005-0000-0000-00006F180000}"/>
    <cellStyle name="Explanatory Text 306" xfId="6365" xr:uid="{00000000-0005-0000-0000-000070180000}"/>
    <cellStyle name="Explanatory Text 307" xfId="6366" xr:uid="{00000000-0005-0000-0000-000071180000}"/>
    <cellStyle name="Explanatory Text 308" xfId="6367" xr:uid="{00000000-0005-0000-0000-000072180000}"/>
    <cellStyle name="Explanatory Text 309" xfId="6368" xr:uid="{00000000-0005-0000-0000-000073180000}"/>
    <cellStyle name="Explanatory Text 31" xfId="6369" xr:uid="{00000000-0005-0000-0000-000074180000}"/>
    <cellStyle name="Explanatory Text 310" xfId="6370" xr:uid="{00000000-0005-0000-0000-000075180000}"/>
    <cellStyle name="Explanatory Text 311" xfId="6371" xr:uid="{00000000-0005-0000-0000-000076180000}"/>
    <cellStyle name="Explanatory Text 312" xfId="6372" xr:uid="{00000000-0005-0000-0000-000077180000}"/>
    <cellStyle name="Explanatory Text 313" xfId="6373" xr:uid="{00000000-0005-0000-0000-000078180000}"/>
    <cellStyle name="Explanatory Text 314" xfId="6374" xr:uid="{00000000-0005-0000-0000-000079180000}"/>
    <cellStyle name="Explanatory Text 315" xfId="6375" xr:uid="{00000000-0005-0000-0000-00007A180000}"/>
    <cellStyle name="Explanatory Text 316" xfId="6376" xr:uid="{00000000-0005-0000-0000-00007B180000}"/>
    <cellStyle name="Explanatory Text 317" xfId="6377" xr:uid="{00000000-0005-0000-0000-00007C180000}"/>
    <cellStyle name="Explanatory Text 318" xfId="6378" xr:uid="{00000000-0005-0000-0000-00007D180000}"/>
    <cellStyle name="Explanatory Text 319" xfId="6379" xr:uid="{00000000-0005-0000-0000-00007E180000}"/>
    <cellStyle name="Explanatory Text 32" xfId="6380" xr:uid="{00000000-0005-0000-0000-00007F180000}"/>
    <cellStyle name="Explanatory Text 320" xfId="6381" xr:uid="{00000000-0005-0000-0000-000080180000}"/>
    <cellStyle name="Explanatory Text 321" xfId="6382" xr:uid="{00000000-0005-0000-0000-000081180000}"/>
    <cellStyle name="Explanatory Text 322" xfId="6383" xr:uid="{00000000-0005-0000-0000-000082180000}"/>
    <cellStyle name="Explanatory Text 323" xfId="6384" xr:uid="{00000000-0005-0000-0000-000083180000}"/>
    <cellStyle name="Explanatory Text 324" xfId="6385" xr:uid="{00000000-0005-0000-0000-000084180000}"/>
    <cellStyle name="Explanatory Text 325" xfId="6386" xr:uid="{00000000-0005-0000-0000-000085180000}"/>
    <cellStyle name="Explanatory Text 326" xfId="6387" xr:uid="{00000000-0005-0000-0000-000086180000}"/>
    <cellStyle name="Explanatory Text 327" xfId="6388" xr:uid="{00000000-0005-0000-0000-000087180000}"/>
    <cellStyle name="Explanatory Text 328" xfId="6389" xr:uid="{00000000-0005-0000-0000-000088180000}"/>
    <cellStyle name="Explanatory Text 329" xfId="6390" xr:uid="{00000000-0005-0000-0000-000089180000}"/>
    <cellStyle name="Explanatory Text 33" xfId="6391" xr:uid="{00000000-0005-0000-0000-00008A180000}"/>
    <cellStyle name="Explanatory Text 330" xfId="6392" xr:uid="{00000000-0005-0000-0000-00008B180000}"/>
    <cellStyle name="Explanatory Text 331" xfId="6393" xr:uid="{00000000-0005-0000-0000-00008C180000}"/>
    <cellStyle name="Explanatory Text 332" xfId="6394" xr:uid="{00000000-0005-0000-0000-00008D180000}"/>
    <cellStyle name="Explanatory Text 333" xfId="6395" xr:uid="{00000000-0005-0000-0000-00008E180000}"/>
    <cellStyle name="Explanatory Text 334" xfId="6396" xr:uid="{00000000-0005-0000-0000-00008F180000}"/>
    <cellStyle name="Explanatory Text 335" xfId="6397" xr:uid="{00000000-0005-0000-0000-000090180000}"/>
    <cellStyle name="Explanatory Text 336" xfId="6398" xr:uid="{00000000-0005-0000-0000-000091180000}"/>
    <cellStyle name="Explanatory Text 337" xfId="6399" xr:uid="{00000000-0005-0000-0000-000092180000}"/>
    <cellStyle name="Explanatory Text 338" xfId="6400" xr:uid="{00000000-0005-0000-0000-000093180000}"/>
    <cellStyle name="Explanatory Text 339" xfId="6401" xr:uid="{00000000-0005-0000-0000-000094180000}"/>
    <cellStyle name="Explanatory Text 34" xfId="6402" xr:uid="{00000000-0005-0000-0000-000095180000}"/>
    <cellStyle name="Explanatory Text 340" xfId="6403" xr:uid="{00000000-0005-0000-0000-000096180000}"/>
    <cellStyle name="Explanatory Text 341" xfId="6404" xr:uid="{00000000-0005-0000-0000-000097180000}"/>
    <cellStyle name="Explanatory Text 342" xfId="6405" xr:uid="{00000000-0005-0000-0000-000098180000}"/>
    <cellStyle name="Explanatory Text 343" xfId="6406" xr:uid="{00000000-0005-0000-0000-000099180000}"/>
    <cellStyle name="Explanatory Text 344" xfId="6407" xr:uid="{00000000-0005-0000-0000-00009A180000}"/>
    <cellStyle name="Explanatory Text 345" xfId="6408" xr:uid="{00000000-0005-0000-0000-00009B180000}"/>
    <cellStyle name="Explanatory Text 346" xfId="6409" xr:uid="{00000000-0005-0000-0000-00009C180000}"/>
    <cellStyle name="Explanatory Text 347" xfId="6410" xr:uid="{00000000-0005-0000-0000-00009D180000}"/>
    <cellStyle name="Explanatory Text 348" xfId="6411" xr:uid="{00000000-0005-0000-0000-00009E180000}"/>
    <cellStyle name="Explanatory Text 349" xfId="6412" xr:uid="{00000000-0005-0000-0000-00009F180000}"/>
    <cellStyle name="Explanatory Text 35" xfId="6413" xr:uid="{00000000-0005-0000-0000-0000A0180000}"/>
    <cellStyle name="Explanatory Text 350" xfId="6414" xr:uid="{00000000-0005-0000-0000-0000A1180000}"/>
    <cellStyle name="Explanatory Text 351" xfId="6415" xr:uid="{00000000-0005-0000-0000-0000A2180000}"/>
    <cellStyle name="Explanatory Text 352" xfId="6416" xr:uid="{00000000-0005-0000-0000-0000A3180000}"/>
    <cellStyle name="Explanatory Text 353" xfId="6417" xr:uid="{00000000-0005-0000-0000-0000A4180000}"/>
    <cellStyle name="Explanatory Text 354" xfId="6418" xr:uid="{00000000-0005-0000-0000-0000A5180000}"/>
    <cellStyle name="Explanatory Text 355" xfId="6419" xr:uid="{00000000-0005-0000-0000-0000A6180000}"/>
    <cellStyle name="Explanatory Text 356" xfId="6420" xr:uid="{00000000-0005-0000-0000-0000A7180000}"/>
    <cellStyle name="Explanatory Text 357" xfId="6421" xr:uid="{00000000-0005-0000-0000-0000A8180000}"/>
    <cellStyle name="Explanatory Text 358" xfId="6422" xr:uid="{00000000-0005-0000-0000-0000A9180000}"/>
    <cellStyle name="Explanatory Text 359" xfId="6423" xr:uid="{00000000-0005-0000-0000-0000AA180000}"/>
    <cellStyle name="Explanatory Text 36" xfId="6424" xr:uid="{00000000-0005-0000-0000-0000AB180000}"/>
    <cellStyle name="Explanatory Text 360" xfId="6425" xr:uid="{00000000-0005-0000-0000-0000AC180000}"/>
    <cellStyle name="Explanatory Text 361" xfId="6426" xr:uid="{00000000-0005-0000-0000-0000AD180000}"/>
    <cellStyle name="Explanatory Text 362" xfId="6427" xr:uid="{00000000-0005-0000-0000-0000AE180000}"/>
    <cellStyle name="Explanatory Text 363" xfId="6428" xr:uid="{00000000-0005-0000-0000-0000AF180000}"/>
    <cellStyle name="Explanatory Text 364" xfId="6429" xr:uid="{00000000-0005-0000-0000-0000B0180000}"/>
    <cellStyle name="Explanatory Text 365" xfId="6430" xr:uid="{00000000-0005-0000-0000-0000B1180000}"/>
    <cellStyle name="Explanatory Text 366" xfId="6431" xr:uid="{00000000-0005-0000-0000-0000B2180000}"/>
    <cellStyle name="Explanatory Text 367" xfId="6432" xr:uid="{00000000-0005-0000-0000-0000B3180000}"/>
    <cellStyle name="Explanatory Text 368" xfId="6433" xr:uid="{00000000-0005-0000-0000-0000B4180000}"/>
    <cellStyle name="Explanatory Text 369" xfId="6434" xr:uid="{00000000-0005-0000-0000-0000B5180000}"/>
    <cellStyle name="Explanatory Text 37" xfId="6435" xr:uid="{00000000-0005-0000-0000-0000B6180000}"/>
    <cellStyle name="Explanatory Text 370" xfId="6436" xr:uid="{00000000-0005-0000-0000-0000B7180000}"/>
    <cellStyle name="Explanatory Text 371" xfId="6437" xr:uid="{00000000-0005-0000-0000-0000B8180000}"/>
    <cellStyle name="Explanatory Text 372" xfId="6438" xr:uid="{00000000-0005-0000-0000-0000B9180000}"/>
    <cellStyle name="Explanatory Text 373" xfId="6439" xr:uid="{00000000-0005-0000-0000-0000BA180000}"/>
    <cellStyle name="Explanatory Text 374" xfId="6440" xr:uid="{00000000-0005-0000-0000-0000BB180000}"/>
    <cellStyle name="Explanatory Text 375" xfId="6441" xr:uid="{00000000-0005-0000-0000-0000BC180000}"/>
    <cellStyle name="Explanatory Text 376" xfId="6442" xr:uid="{00000000-0005-0000-0000-0000BD180000}"/>
    <cellStyle name="Explanatory Text 377" xfId="6443" xr:uid="{00000000-0005-0000-0000-0000BE180000}"/>
    <cellStyle name="Explanatory Text 378" xfId="6444" xr:uid="{00000000-0005-0000-0000-0000BF180000}"/>
    <cellStyle name="Explanatory Text 379" xfId="6445" xr:uid="{00000000-0005-0000-0000-0000C0180000}"/>
    <cellStyle name="Explanatory Text 38" xfId="6446" xr:uid="{00000000-0005-0000-0000-0000C1180000}"/>
    <cellStyle name="Explanatory Text 380" xfId="6447" xr:uid="{00000000-0005-0000-0000-0000C2180000}"/>
    <cellStyle name="Explanatory Text 381" xfId="6448" xr:uid="{00000000-0005-0000-0000-0000C3180000}"/>
    <cellStyle name="Explanatory Text 382" xfId="6449" xr:uid="{00000000-0005-0000-0000-0000C4180000}"/>
    <cellStyle name="Explanatory Text 383" xfId="6450" xr:uid="{00000000-0005-0000-0000-0000C5180000}"/>
    <cellStyle name="Explanatory Text 384" xfId="6451" xr:uid="{00000000-0005-0000-0000-0000C6180000}"/>
    <cellStyle name="Explanatory Text 385" xfId="6452" xr:uid="{00000000-0005-0000-0000-0000C7180000}"/>
    <cellStyle name="Explanatory Text 386" xfId="6453" xr:uid="{00000000-0005-0000-0000-0000C8180000}"/>
    <cellStyle name="Explanatory Text 387" xfId="6454" xr:uid="{00000000-0005-0000-0000-0000C9180000}"/>
    <cellStyle name="Explanatory Text 388" xfId="6455" xr:uid="{00000000-0005-0000-0000-0000CA180000}"/>
    <cellStyle name="Explanatory Text 389" xfId="6456" xr:uid="{00000000-0005-0000-0000-0000CB180000}"/>
    <cellStyle name="Explanatory Text 39" xfId="6457" xr:uid="{00000000-0005-0000-0000-0000CC180000}"/>
    <cellStyle name="Explanatory Text 390" xfId="6458" xr:uid="{00000000-0005-0000-0000-0000CD180000}"/>
    <cellStyle name="Explanatory Text 391" xfId="6459" xr:uid="{00000000-0005-0000-0000-0000CE180000}"/>
    <cellStyle name="Explanatory Text 392" xfId="6460" xr:uid="{00000000-0005-0000-0000-0000CF180000}"/>
    <cellStyle name="Explanatory Text 393" xfId="6461" xr:uid="{00000000-0005-0000-0000-0000D0180000}"/>
    <cellStyle name="Explanatory Text 394" xfId="6462" xr:uid="{00000000-0005-0000-0000-0000D1180000}"/>
    <cellStyle name="Explanatory Text 395" xfId="6463" xr:uid="{00000000-0005-0000-0000-0000D2180000}"/>
    <cellStyle name="Explanatory Text 396" xfId="6464" xr:uid="{00000000-0005-0000-0000-0000D3180000}"/>
    <cellStyle name="Explanatory Text 397" xfId="6465" xr:uid="{00000000-0005-0000-0000-0000D4180000}"/>
    <cellStyle name="Explanatory Text 398" xfId="6466" xr:uid="{00000000-0005-0000-0000-0000D5180000}"/>
    <cellStyle name="Explanatory Text 399" xfId="6467" xr:uid="{00000000-0005-0000-0000-0000D6180000}"/>
    <cellStyle name="Explanatory Text 4" xfId="6468" xr:uid="{00000000-0005-0000-0000-0000D7180000}"/>
    <cellStyle name="Explanatory Text 40" xfId="6469" xr:uid="{00000000-0005-0000-0000-0000D8180000}"/>
    <cellStyle name="Explanatory Text 400" xfId="6470" xr:uid="{00000000-0005-0000-0000-0000D9180000}"/>
    <cellStyle name="Explanatory Text 401" xfId="6471" xr:uid="{00000000-0005-0000-0000-0000DA180000}"/>
    <cellStyle name="Explanatory Text 402" xfId="6472" xr:uid="{00000000-0005-0000-0000-0000DB180000}"/>
    <cellStyle name="Explanatory Text 403" xfId="6473" xr:uid="{00000000-0005-0000-0000-0000DC180000}"/>
    <cellStyle name="Explanatory Text 404" xfId="6474" xr:uid="{00000000-0005-0000-0000-0000DD180000}"/>
    <cellStyle name="Explanatory Text 405" xfId="6475" xr:uid="{00000000-0005-0000-0000-0000DE180000}"/>
    <cellStyle name="Explanatory Text 406" xfId="6476" xr:uid="{00000000-0005-0000-0000-0000DF180000}"/>
    <cellStyle name="Explanatory Text 407" xfId="6477" xr:uid="{00000000-0005-0000-0000-0000E0180000}"/>
    <cellStyle name="Explanatory Text 408" xfId="6478" xr:uid="{00000000-0005-0000-0000-0000E1180000}"/>
    <cellStyle name="Explanatory Text 409" xfId="6479" xr:uid="{00000000-0005-0000-0000-0000E2180000}"/>
    <cellStyle name="Explanatory Text 41" xfId="6480" xr:uid="{00000000-0005-0000-0000-0000E3180000}"/>
    <cellStyle name="Explanatory Text 410" xfId="6481" xr:uid="{00000000-0005-0000-0000-0000E4180000}"/>
    <cellStyle name="Explanatory Text 411" xfId="6482" xr:uid="{00000000-0005-0000-0000-0000E5180000}"/>
    <cellStyle name="Explanatory Text 412" xfId="6483" xr:uid="{00000000-0005-0000-0000-0000E6180000}"/>
    <cellStyle name="Explanatory Text 413" xfId="6484" xr:uid="{00000000-0005-0000-0000-0000E7180000}"/>
    <cellStyle name="Explanatory Text 414" xfId="6485" xr:uid="{00000000-0005-0000-0000-0000E8180000}"/>
    <cellStyle name="Explanatory Text 415" xfId="6486" xr:uid="{00000000-0005-0000-0000-0000E9180000}"/>
    <cellStyle name="Explanatory Text 416" xfId="6487" xr:uid="{00000000-0005-0000-0000-0000EA180000}"/>
    <cellStyle name="Explanatory Text 417" xfId="6488" xr:uid="{00000000-0005-0000-0000-0000EB180000}"/>
    <cellStyle name="Explanatory Text 418" xfId="6489" xr:uid="{00000000-0005-0000-0000-0000EC180000}"/>
    <cellStyle name="Explanatory Text 419" xfId="6490" xr:uid="{00000000-0005-0000-0000-0000ED180000}"/>
    <cellStyle name="Explanatory Text 42" xfId="6491" xr:uid="{00000000-0005-0000-0000-0000EE180000}"/>
    <cellStyle name="Explanatory Text 420" xfId="6492" xr:uid="{00000000-0005-0000-0000-0000EF180000}"/>
    <cellStyle name="Explanatory Text 421" xfId="6493" xr:uid="{00000000-0005-0000-0000-0000F0180000}"/>
    <cellStyle name="Explanatory Text 422" xfId="6494" xr:uid="{00000000-0005-0000-0000-0000F1180000}"/>
    <cellStyle name="Explanatory Text 423" xfId="6495" xr:uid="{00000000-0005-0000-0000-0000F2180000}"/>
    <cellStyle name="Explanatory Text 424" xfId="6496" xr:uid="{00000000-0005-0000-0000-0000F3180000}"/>
    <cellStyle name="Explanatory Text 425" xfId="6497" xr:uid="{00000000-0005-0000-0000-0000F4180000}"/>
    <cellStyle name="Explanatory Text 426" xfId="6498" xr:uid="{00000000-0005-0000-0000-0000F5180000}"/>
    <cellStyle name="Explanatory Text 427" xfId="6499" xr:uid="{00000000-0005-0000-0000-0000F6180000}"/>
    <cellStyle name="Explanatory Text 428" xfId="6500" xr:uid="{00000000-0005-0000-0000-0000F7180000}"/>
    <cellStyle name="Explanatory Text 429" xfId="6501" xr:uid="{00000000-0005-0000-0000-0000F8180000}"/>
    <cellStyle name="Explanatory Text 43" xfId="6502" xr:uid="{00000000-0005-0000-0000-0000F9180000}"/>
    <cellStyle name="Explanatory Text 430" xfId="6503" xr:uid="{00000000-0005-0000-0000-0000FA180000}"/>
    <cellStyle name="Explanatory Text 431" xfId="6504" xr:uid="{00000000-0005-0000-0000-0000FB180000}"/>
    <cellStyle name="Explanatory Text 432" xfId="6505" xr:uid="{00000000-0005-0000-0000-0000FC180000}"/>
    <cellStyle name="Explanatory Text 433" xfId="6506" xr:uid="{00000000-0005-0000-0000-0000FD180000}"/>
    <cellStyle name="Explanatory Text 434" xfId="6507" xr:uid="{00000000-0005-0000-0000-0000FE180000}"/>
    <cellStyle name="Explanatory Text 435" xfId="6508" xr:uid="{00000000-0005-0000-0000-0000FF180000}"/>
    <cellStyle name="Explanatory Text 436" xfId="6509" xr:uid="{00000000-0005-0000-0000-000000190000}"/>
    <cellStyle name="Explanatory Text 437" xfId="6510" xr:uid="{00000000-0005-0000-0000-000001190000}"/>
    <cellStyle name="Explanatory Text 438" xfId="6511" xr:uid="{00000000-0005-0000-0000-000002190000}"/>
    <cellStyle name="Explanatory Text 439" xfId="6512" xr:uid="{00000000-0005-0000-0000-000003190000}"/>
    <cellStyle name="Explanatory Text 44" xfId="6513" xr:uid="{00000000-0005-0000-0000-000004190000}"/>
    <cellStyle name="Explanatory Text 440" xfId="6514" xr:uid="{00000000-0005-0000-0000-000005190000}"/>
    <cellStyle name="Explanatory Text 441" xfId="6515" xr:uid="{00000000-0005-0000-0000-000006190000}"/>
    <cellStyle name="Explanatory Text 442" xfId="6516" xr:uid="{00000000-0005-0000-0000-000007190000}"/>
    <cellStyle name="Explanatory Text 443" xfId="6517" xr:uid="{00000000-0005-0000-0000-000008190000}"/>
    <cellStyle name="Explanatory Text 444" xfId="6518" xr:uid="{00000000-0005-0000-0000-000009190000}"/>
    <cellStyle name="Explanatory Text 445" xfId="6519" xr:uid="{00000000-0005-0000-0000-00000A190000}"/>
    <cellStyle name="Explanatory Text 446" xfId="6520" xr:uid="{00000000-0005-0000-0000-00000B190000}"/>
    <cellStyle name="Explanatory Text 447" xfId="6521" xr:uid="{00000000-0005-0000-0000-00000C190000}"/>
    <cellStyle name="Explanatory Text 448" xfId="6522" xr:uid="{00000000-0005-0000-0000-00000D190000}"/>
    <cellStyle name="Explanatory Text 449" xfId="6523" xr:uid="{00000000-0005-0000-0000-00000E190000}"/>
    <cellStyle name="Explanatory Text 45" xfId="6524" xr:uid="{00000000-0005-0000-0000-00000F190000}"/>
    <cellStyle name="Explanatory Text 450" xfId="6525" xr:uid="{00000000-0005-0000-0000-000010190000}"/>
    <cellStyle name="Explanatory Text 451" xfId="6526" xr:uid="{00000000-0005-0000-0000-000011190000}"/>
    <cellStyle name="Explanatory Text 452" xfId="6527" xr:uid="{00000000-0005-0000-0000-000012190000}"/>
    <cellStyle name="Explanatory Text 453" xfId="6528" xr:uid="{00000000-0005-0000-0000-000013190000}"/>
    <cellStyle name="Explanatory Text 454" xfId="6529" xr:uid="{00000000-0005-0000-0000-000014190000}"/>
    <cellStyle name="Explanatory Text 455" xfId="6530" xr:uid="{00000000-0005-0000-0000-000015190000}"/>
    <cellStyle name="Explanatory Text 456" xfId="6531" xr:uid="{00000000-0005-0000-0000-000016190000}"/>
    <cellStyle name="Explanatory Text 457" xfId="6532" xr:uid="{00000000-0005-0000-0000-000017190000}"/>
    <cellStyle name="Explanatory Text 458" xfId="6533" xr:uid="{00000000-0005-0000-0000-000018190000}"/>
    <cellStyle name="Explanatory Text 459" xfId="6534" xr:uid="{00000000-0005-0000-0000-000019190000}"/>
    <cellStyle name="Explanatory Text 46" xfId="6535" xr:uid="{00000000-0005-0000-0000-00001A190000}"/>
    <cellStyle name="Explanatory Text 460" xfId="6536" xr:uid="{00000000-0005-0000-0000-00001B190000}"/>
    <cellStyle name="Explanatory Text 461" xfId="6537" xr:uid="{00000000-0005-0000-0000-00001C190000}"/>
    <cellStyle name="Explanatory Text 462" xfId="6538" xr:uid="{00000000-0005-0000-0000-00001D190000}"/>
    <cellStyle name="Explanatory Text 463" xfId="6539" xr:uid="{00000000-0005-0000-0000-00001E190000}"/>
    <cellStyle name="Explanatory Text 464" xfId="6540" xr:uid="{00000000-0005-0000-0000-00001F190000}"/>
    <cellStyle name="Explanatory Text 465" xfId="6541" xr:uid="{00000000-0005-0000-0000-000020190000}"/>
    <cellStyle name="Explanatory Text 466" xfId="6542" xr:uid="{00000000-0005-0000-0000-000021190000}"/>
    <cellStyle name="Explanatory Text 467" xfId="6543" xr:uid="{00000000-0005-0000-0000-000022190000}"/>
    <cellStyle name="Explanatory Text 468" xfId="6544" xr:uid="{00000000-0005-0000-0000-000023190000}"/>
    <cellStyle name="Explanatory Text 469" xfId="6545" xr:uid="{00000000-0005-0000-0000-000024190000}"/>
    <cellStyle name="Explanatory Text 47" xfId="6546" xr:uid="{00000000-0005-0000-0000-000025190000}"/>
    <cellStyle name="Explanatory Text 470" xfId="6547" xr:uid="{00000000-0005-0000-0000-000026190000}"/>
    <cellStyle name="Explanatory Text 471" xfId="6548" xr:uid="{00000000-0005-0000-0000-000027190000}"/>
    <cellStyle name="Explanatory Text 472" xfId="6549" xr:uid="{00000000-0005-0000-0000-000028190000}"/>
    <cellStyle name="Explanatory Text 473" xfId="6550" xr:uid="{00000000-0005-0000-0000-000029190000}"/>
    <cellStyle name="Explanatory Text 474" xfId="6551" xr:uid="{00000000-0005-0000-0000-00002A190000}"/>
    <cellStyle name="Explanatory Text 475" xfId="6552" xr:uid="{00000000-0005-0000-0000-00002B190000}"/>
    <cellStyle name="Explanatory Text 476" xfId="6553" xr:uid="{00000000-0005-0000-0000-00002C190000}"/>
    <cellStyle name="Explanatory Text 477" xfId="6554" xr:uid="{00000000-0005-0000-0000-00002D190000}"/>
    <cellStyle name="Explanatory Text 478" xfId="6555" xr:uid="{00000000-0005-0000-0000-00002E190000}"/>
    <cellStyle name="Explanatory Text 479" xfId="6556" xr:uid="{00000000-0005-0000-0000-00002F190000}"/>
    <cellStyle name="Explanatory Text 48" xfId="6557" xr:uid="{00000000-0005-0000-0000-000030190000}"/>
    <cellStyle name="Explanatory Text 480" xfId="6558" xr:uid="{00000000-0005-0000-0000-000031190000}"/>
    <cellStyle name="Explanatory Text 481" xfId="6559" xr:uid="{00000000-0005-0000-0000-000032190000}"/>
    <cellStyle name="Explanatory Text 482" xfId="6560" xr:uid="{00000000-0005-0000-0000-000033190000}"/>
    <cellStyle name="Explanatory Text 483" xfId="6561" xr:uid="{00000000-0005-0000-0000-000034190000}"/>
    <cellStyle name="Explanatory Text 484" xfId="6562" xr:uid="{00000000-0005-0000-0000-000035190000}"/>
    <cellStyle name="Explanatory Text 485" xfId="6563" xr:uid="{00000000-0005-0000-0000-000036190000}"/>
    <cellStyle name="Explanatory Text 486" xfId="6564" xr:uid="{00000000-0005-0000-0000-000037190000}"/>
    <cellStyle name="Explanatory Text 487" xfId="6565" xr:uid="{00000000-0005-0000-0000-000038190000}"/>
    <cellStyle name="Explanatory Text 488" xfId="6566" xr:uid="{00000000-0005-0000-0000-000039190000}"/>
    <cellStyle name="Explanatory Text 489" xfId="6567" xr:uid="{00000000-0005-0000-0000-00003A190000}"/>
    <cellStyle name="Explanatory Text 49" xfId="6568" xr:uid="{00000000-0005-0000-0000-00003B190000}"/>
    <cellStyle name="Explanatory Text 490" xfId="6569" xr:uid="{00000000-0005-0000-0000-00003C190000}"/>
    <cellStyle name="Explanatory Text 491" xfId="6570" xr:uid="{00000000-0005-0000-0000-00003D190000}"/>
    <cellStyle name="Explanatory Text 492" xfId="6571" xr:uid="{00000000-0005-0000-0000-00003E190000}"/>
    <cellStyle name="Explanatory Text 493" xfId="6572" xr:uid="{00000000-0005-0000-0000-00003F190000}"/>
    <cellStyle name="Explanatory Text 494" xfId="6573" xr:uid="{00000000-0005-0000-0000-000040190000}"/>
    <cellStyle name="Explanatory Text 495" xfId="6574" xr:uid="{00000000-0005-0000-0000-000041190000}"/>
    <cellStyle name="Explanatory Text 496" xfId="6575" xr:uid="{00000000-0005-0000-0000-000042190000}"/>
    <cellStyle name="Explanatory Text 497" xfId="6576" xr:uid="{00000000-0005-0000-0000-000043190000}"/>
    <cellStyle name="Explanatory Text 498" xfId="6577" xr:uid="{00000000-0005-0000-0000-000044190000}"/>
    <cellStyle name="Explanatory Text 499" xfId="6578" xr:uid="{00000000-0005-0000-0000-000045190000}"/>
    <cellStyle name="Explanatory Text 5" xfId="6579" xr:uid="{00000000-0005-0000-0000-000046190000}"/>
    <cellStyle name="Explanatory Text 50" xfId="6580" xr:uid="{00000000-0005-0000-0000-000047190000}"/>
    <cellStyle name="Explanatory Text 500" xfId="6581" xr:uid="{00000000-0005-0000-0000-000048190000}"/>
    <cellStyle name="Explanatory Text 501" xfId="6582" xr:uid="{00000000-0005-0000-0000-000049190000}"/>
    <cellStyle name="Explanatory Text 502" xfId="6583" xr:uid="{00000000-0005-0000-0000-00004A190000}"/>
    <cellStyle name="Explanatory Text 503" xfId="6584" xr:uid="{00000000-0005-0000-0000-00004B190000}"/>
    <cellStyle name="Explanatory Text 504" xfId="6585" xr:uid="{00000000-0005-0000-0000-00004C190000}"/>
    <cellStyle name="Explanatory Text 505" xfId="6586" xr:uid="{00000000-0005-0000-0000-00004D190000}"/>
    <cellStyle name="Explanatory Text 506" xfId="6587" xr:uid="{00000000-0005-0000-0000-00004E190000}"/>
    <cellStyle name="Explanatory Text 507" xfId="6588" xr:uid="{00000000-0005-0000-0000-00004F190000}"/>
    <cellStyle name="Explanatory Text 508" xfId="6589" xr:uid="{00000000-0005-0000-0000-000050190000}"/>
    <cellStyle name="Explanatory Text 509" xfId="6590" xr:uid="{00000000-0005-0000-0000-000051190000}"/>
    <cellStyle name="Explanatory Text 51" xfId="6591" xr:uid="{00000000-0005-0000-0000-000052190000}"/>
    <cellStyle name="Explanatory Text 510" xfId="6592" xr:uid="{00000000-0005-0000-0000-000053190000}"/>
    <cellStyle name="Explanatory Text 511" xfId="6593" xr:uid="{00000000-0005-0000-0000-000054190000}"/>
    <cellStyle name="Explanatory Text 512" xfId="6594" xr:uid="{00000000-0005-0000-0000-000055190000}"/>
    <cellStyle name="Explanatory Text 513" xfId="6595" xr:uid="{00000000-0005-0000-0000-000056190000}"/>
    <cellStyle name="Explanatory Text 514" xfId="6596" xr:uid="{00000000-0005-0000-0000-000057190000}"/>
    <cellStyle name="Explanatory Text 515" xfId="6597" xr:uid="{00000000-0005-0000-0000-000058190000}"/>
    <cellStyle name="Explanatory Text 516" xfId="6598" xr:uid="{00000000-0005-0000-0000-000059190000}"/>
    <cellStyle name="Explanatory Text 517" xfId="6599" xr:uid="{00000000-0005-0000-0000-00005A190000}"/>
    <cellStyle name="Explanatory Text 518" xfId="6600" xr:uid="{00000000-0005-0000-0000-00005B190000}"/>
    <cellStyle name="Explanatory Text 519" xfId="6601" xr:uid="{00000000-0005-0000-0000-00005C190000}"/>
    <cellStyle name="Explanatory Text 52" xfId="6602" xr:uid="{00000000-0005-0000-0000-00005D190000}"/>
    <cellStyle name="Explanatory Text 520" xfId="6603" xr:uid="{00000000-0005-0000-0000-00005E190000}"/>
    <cellStyle name="Explanatory Text 521" xfId="6604" xr:uid="{00000000-0005-0000-0000-00005F190000}"/>
    <cellStyle name="Explanatory Text 522" xfId="6605" xr:uid="{00000000-0005-0000-0000-000060190000}"/>
    <cellStyle name="Explanatory Text 523" xfId="6606" xr:uid="{00000000-0005-0000-0000-000061190000}"/>
    <cellStyle name="Explanatory Text 524" xfId="6607" xr:uid="{00000000-0005-0000-0000-000062190000}"/>
    <cellStyle name="Explanatory Text 525" xfId="6608" xr:uid="{00000000-0005-0000-0000-000063190000}"/>
    <cellStyle name="Explanatory Text 526" xfId="6609" xr:uid="{00000000-0005-0000-0000-000064190000}"/>
    <cellStyle name="Explanatory Text 527" xfId="6610" xr:uid="{00000000-0005-0000-0000-000065190000}"/>
    <cellStyle name="Explanatory Text 528" xfId="6611" xr:uid="{00000000-0005-0000-0000-000066190000}"/>
    <cellStyle name="Explanatory Text 529" xfId="6612" xr:uid="{00000000-0005-0000-0000-000067190000}"/>
    <cellStyle name="Explanatory Text 53" xfId="6613" xr:uid="{00000000-0005-0000-0000-000068190000}"/>
    <cellStyle name="Explanatory Text 530" xfId="6614" xr:uid="{00000000-0005-0000-0000-000069190000}"/>
    <cellStyle name="Explanatory Text 531" xfId="6615" xr:uid="{00000000-0005-0000-0000-00006A190000}"/>
    <cellStyle name="Explanatory Text 532" xfId="6616" xr:uid="{00000000-0005-0000-0000-00006B190000}"/>
    <cellStyle name="Explanatory Text 533" xfId="6617" xr:uid="{00000000-0005-0000-0000-00006C190000}"/>
    <cellStyle name="Explanatory Text 534" xfId="6618" xr:uid="{00000000-0005-0000-0000-00006D190000}"/>
    <cellStyle name="Explanatory Text 535" xfId="6619" xr:uid="{00000000-0005-0000-0000-00006E190000}"/>
    <cellStyle name="Explanatory Text 536" xfId="6620" xr:uid="{00000000-0005-0000-0000-00006F190000}"/>
    <cellStyle name="Explanatory Text 537" xfId="6621" xr:uid="{00000000-0005-0000-0000-000070190000}"/>
    <cellStyle name="Explanatory Text 538" xfId="6622" xr:uid="{00000000-0005-0000-0000-000071190000}"/>
    <cellStyle name="Explanatory Text 539" xfId="6623" xr:uid="{00000000-0005-0000-0000-000072190000}"/>
    <cellStyle name="Explanatory Text 54" xfId="6624" xr:uid="{00000000-0005-0000-0000-000073190000}"/>
    <cellStyle name="Explanatory Text 540" xfId="6625" xr:uid="{00000000-0005-0000-0000-000074190000}"/>
    <cellStyle name="Explanatory Text 541" xfId="6626" xr:uid="{00000000-0005-0000-0000-000075190000}"/>
    <cellStyle name="Explanatory Text 542" xfId="6627" xr:uid="{00000000-0005-0000-0000-000076190000}"/>
    <cellStyle name="Explanatory Text 543" xfId="6628" xr:uid="{00000000-0005-0000-0000-000077190000}"/>
    <cellStyle name="Explanatory Text 544" xfId="6629" xr:uid="{00000000-0005-0000-0000-000078190000}"/>
    <cellStyle name="Explanatory Text 545" xfId="6630" xr:uid="{00000000-0005-0000-0000-000079190000}"/>
    <cellStyle name="Explanatory Text 546" xfId="6631" xr:uid="{00000000-0005-0000-0000-00007A190000}"/>
    <cellStyle name="Explanatory Text 547" xfId="6632" xr:uid="{00000000-0005-0000-0000-00007B190000}"/>
    <cellStyle name="Explanatory Text 548" xfId="6633" xr:uid="{00000000-0005-0000-0000-00007C190000}"/>
    <cellStyle name="Explanatory Text 549" xfId="6634" xr:uid="{00000000-0005-0000-0000-00007D190000}"/>
    <cellStyle name="Explanatory Text 55" xfId="6635" xr:uid="{00000000-0005-0000-0000-00007E190000}"/>
    <cellStyle name="Explanatory Text 550" xfId="6636" xr:uid="{00000000-0005-0000-0000-00007F190000}"/>
    <cellStyle name="Explanatory Text 551" xfId="6637" xr:uid="{00000000-0005-0000-0000-000080190000}"/>
    <cellStyle name="Explanatory Text 552" xfId="6638" xr:uid="{00000000-0005-0000-0000-000081190000}"/>
    <cellStyle name="Explanatory Text 553" xfId="6639" xr:uid="{00000000-0005-0000-0000-000082190000}"/>
    <cellStyle name="Explanatory Text 554" xfId="6640" xr:uid="{00000000-0005-0000-0000-000083190000}"/>
    <cellStyle name="Explanatory Text 555" xfId="6641" xr:uid="{00000000-0005-0000-0000-000084190000}"/>
    <cellStyle name="Explanatory Text 556" xfId="6642" xr:uid="{00000000-0005-0000-0000-000085190000}"/>
    <cellStyle name="Explanatory Text 557" xfId="6643" xr:uid="{00000000-0005-0000-0000-000086190000}"/>
    <cellStyle name="Explanatory Text 558" xfId="6644" xr:uid="{00000000-0005-0000-0000-000087190000}"/>
    <cellStyle name="Explanatory Text 559" xfId="6645" xr:uid="{00000000-0005-0000-0000-000088190000}"/>
    <cellStyle name="Explanatory Text 56" xfId="6646" xr:uid="{00000000-0005-0000-0000-000089190000}"/>
    <cellStyle name="Explanatory Text 560" xfId="6647" xr:uid="{00000000-0005-0000-0000-00008A190000}"/>
    <cellStyle name="Explanatory Text 561" xfId="6648" xr:uid="{00000000-0005-0000-0000-00008B190000}"/>
    <cellStyle name="Explanatory Text 562" xfId="6649" xr:uid="{00000000-0005-0000-0000-00008C190000}"/>
    <cellStyle name="Explanatory Text 563" xfId="6650" xr:uid="{00000000-0005-0000-0000-00008D190000}"/>
    <cellStyle name="Explanatory Text 564" xfId="6651" xr:uid="{00000000-0005-0000-0000-00008E190000}"/>
    <cellStyle name="Explanatory Text 565" xfId="6652" xr:uid="{00000000-0005-0000-0000-00008F190000}"/>
    <cellStyle name="Explanatory Text 566" xfId="6653" xr:uid="{00000000-0005-0000-0000-000090190000}"/>
    <cellStyle name="Explanatory Text 567" xfId="6654" xr:uid="{00000000-0005-0000-0000-000091190000}"/>
    <cellStyle name="Explanatory Text 568" xfId="6655" xr:uid="{00000000-0005-0000-0000-000092190000}"/>
    <cellStyle name="Explanatory Text 569" xfId="6656" xr:uid="{00000000-0005-0000-0000-000093190000}"/>
    <cellStyle name="Explanatory Text 57" xfId="6657" xr:uid="{00000000-0005-0000-0000-000094190000}"/>
    <cellStyle name="Explanatory Text 570" xfId="6658" xr:uid="{00000000-0005-0000-0000-000095190000}"/>
    <cellStyle name="Explanatory Text 571" xfId="6659" xr:uid="{00000000-0005-0000-0000-000096190000}"/>
    <cellStyle name="Explanatory Text 572" xfId="6660" xr:uid="{00000000-0005-0000-0000-000097190000}"/>
    <cellStyle name="Explanatory Text 573" xfId="6661" xr:uid="{00000000-0005-0000-0000-000098190000}"/>
    <cellStyle name="Explanatory Text 574" xfId="6662" xr:uid="{00000000-0005-0000-0000-000099190000}"/>
    <cellStyle name="Explanatory Text 575" xfId="6663" xr:uid="{00000000-0005-0000-0000-00009A190000}"/>
    <cellStyle name="Explanatory Text 576" xfId="6664" xr:uid="{00000000-0005-0000-0000-00009B190000}"/>
    <cellStyle name="Explanatory Text 577" xfId="6665" xr:uid="{00000000-0005-0000-0000-00009C190000}"/>
    <cellStyle name="Explanatory Text 578" xfId="6666" xr:uid="{00000000-0005-0000-0000-00009D190000}"/>
    <cellStyle name="Explanatory Text 579" xfId="6667" xr:uid="{00000000-0005-0000-0000-00009E190000}"/>
    <cellStyle name="Explanatory Text 58" xfId="6668" xr:uid="{00000000-0005-0000-0000-00009F190000}"/>
    <cellStyle name="Explanatory Text 580" xfId="6669" xr:uid="{00000000-0005-0000-0000-0000A0190000}"/>
    <cellStyle name="Explanatory Text 581" xfId="6670" xr:uid="{00000000-0005-0000-0000-0000A1190000}"/>
    <cellStyle name="Explanatory Text 582" xfId="6671" xr:uid="{00000000-0005-0000-0000-0000A2190000}"/>
    <cellStyle name="Explanatory Text 583" xfId="6672" xr:uid="{00000000-0005-0000-0000-0000A3190000}"/>
    <cellStyle name="Explanatory Text 584" xfId="6673" xr:uid="{00000000-0005-0000-0000-0000A4190000}"/>
    <cellStyle name="Explanatory Text 585" xfId="6674" xr:uid="{00000000-0005-0000-0000-0000A5190000}"/>
    <cellStyle name="Explanatory Text 586" xfId="6675" xr:uid="{00000000-0005-0000-0000-0000A6190000}"/>
    <cellStyle name="Explanatory Text 587" xfId="6676" xr:uid="{00000000-0005-0000-0000-0000A7190000}"/>
    <cellStyle name="Explanatory Text 588" xfId="6677" xr:uid="{00000000-0005-0000-0000-0000A8190000}"/>
    <cellStyle name="Explanatory Text 589" xfId="6678" xr:uid="{00000000-0005-0000-0000-0000A9190000}"/>
    <cellStyle name="Explanatory Text 59" xfId="6679" xr:uid="{00000000-0005-0000-0000-0000AA190000}"/>
    <cellStyle name="Explanatory Text 590" xfId="6680" xr:uid="{00000000-0005-0000-0000-0000AB190000}"/>
    <cellStyle name="Explanatory Text 591" xfId="6681" xr:uid="{00000000-0005-0000-0000-0000AC190000}"/>
    <cellStyle name="Explanatory Text 592" xfId="6682" xr:uid="{00000000-0005-0000-0000-0000AD190000}"/>
    <cellStyle name="Explanatory Text 593" xfId="6683" xr:uid="{00000000-0005-0000-0000-0000AE190000}"/>
    <cellStyle name="Explanatory Text 594" xfId="6684" xr:uid="{00000000-0005-0000-0000-0000AF190000}"/>
    <cellStyle name="Explanatory Text 595" xfId="6685" xr:uid="{00000000-0005-0000-0000-0000B0190000}"/>
    <cellStyle name="Explanatory Text 596" xfId="6686" xr:uid="{00000000-0005-0000-0000-0000B1190000}"/>
    <cellStyle name="Explanatory Text 597" xfId="6687" xr:uid="{00000000-0005-0000-0000-0000B2190000}"/>
    <cellStyle name="Explanatory Text 598" xfId="6688" xr:uid="{00000000-0005-0000-0000-0000B3190000}"/>
    <cellStyle name="Explanatory Text 599" xfId="6689" xr:uid="{00000000-0005-0000-0000-0000B4190000}"/>
    <cellStyle name="Explanatory Text 6" xfId="6690" xr:uid="{00000000-0005-0000-0000-0000B5190000}"/>
    <cellStyle name="Explanatory Text 60" xfId="6691" xr:uid="{00000000-0005-0000-0000-0000B6190000}"/>
    <cellStyle name="Explanatory Text 600" xfId="6692" xr:uid="{00000000-0005-0000-0000-0000B7190000}"/>
    <cellStyle name="Explanatory Text 601" xfId="6693" xr:uid="{00000000-0005-0000-0000-0000B8190000}"/>
    <cellStyle name="Explanatory Text 602" xfId="6694" xr:uid="{00000000-0005-0000-0000-0000B9190000}"/>
    <cellStyle name="Explanatory Text 603" xfId="6695" xr:uid="{00000000-0005-0000-0000-0000BA190000}"/>
    <cellStyle name="Explanatory Text 604" xfId="6696" xr:uid="{00000000-0005-0000-0000-0000BB190000}"/>
    <cellStyle name="Explanatory Text 605" xfId="6697" xr:uid="{00000000-0005-0000-0000-0000BC190000}"/>
    <cellStyle name="Explanatory Text 606" xfId="6698" xr:uid="{00000000-0005-0000-0000-0000BD190000}"/>
    <cellStyle name="Explanatory Text 607" xfId="6699" xr:uid="{00000000-0005-0000-0000-0000BE190000}"/>
    <cellStyle name="Explanatory Text 608" xfId="6700" xr:uid="{00000000-0005-0000-0000-0000BF190000}"/>
    <cellStyle name="Explanatory Text 609" xfId="6701" xr:uid="{00000000-0005-0000-0000-0000C0190000}"/>
    <cellStyle name="Explanatory Text 61" xfId="6702" xr:uid="{00000000-0005-0000-0000-0000C1190000}"/>
    <cellStyle name="Explanatory Text 610" xfId="6703" xr:uid="{00000000-0005-0000-0000-0000C2190000}"/>
    <cellStyle name="Explanatory Text 611" xfId="6704" xr:uid="{00000000-0005-0000-0000-0000C3190000}"/>
    <cellStyle name="Explanatory Text 612" xfId="6705" xr:uid="{00000000-0005-0000-0000-0000C4190000}"/>
    <cellStyle name="Explanatory Text 613" xfId="6706" xr:uid="{00000000-0005-0000-0000-0000C5190000}"/>
    <cellStyle name="Explanatory Text 614" xfId="6707" xr:uid="{00000000-0005-0000-0000-0000C6190000}"/>
    <cellStyle name="Explanatory Text 615" xfId="6708" xr:uid="{00000000-0005-0000-0000-0000C7190000}"/>
    <cellStyle name="Explanatory Text 616" xfId="6709" xr:uid="{00000000-0005-0000-0000-0000C8190000}"/>
    <cellStyle name="Explanatory Text 617" xfId="6710" xr:uid="{00000000-0005-0000-0000-0000C9190000}"/>
    <cellStyle name="Explanatory Text 618" xfId="6711" xr:uid="{00000000-0005-0000-0000-0000CA190000}"/>
    <cellStyle name="Explanatory Text 619" xfId="6712" xr:uid="{00000000-0005-0000-0000-0000CB190000}"/>
    <cellStyle name="Explanatory Text 62" xfId="6713" xr:uid="{00000000-0005-0000-0000-0000CC190000}"/>
    <cellStyle name="Explanatory Text 620" xfId="6714" xr:uid="{00000000-0005-0000-0000-0000CD190000}"/>
    <cellStyle name="Explanatory Text 621" xfId="6715" xr:uid="{00000000-0005-0000-0000-0000CE190000}"/>
    <cellStyle name="Explanatory Text 622" xfId="6716" xr:uid="{00000000-0005-0000-0000-0000CF190000}"/>
    <cellStyle name="Explanatory Text 623" xfId="6717" xr:uid="{00000000-0005-0000-0000-0000D0190000}"/>
    <cellStyle name="Explanatory Text 624" xfId="6718" xr:uid="{00000000-0005-0000-0000-0000D1190000}"/>
    <cellStyle name="Explanatory Text 625" xfId="6719" xr:uid="{00000000-0005-0000-0000-0000D2190000}"/>
    <cellStyle name="Explanatory Text 626" xfId="6720" xr:uid="{00000000-0005-0000-0000-0000D3190000}"/>
    <cellStyle name="Explanatory Text 627" xfId="6721" xr:uid="{00000000-0005-0000-0000-0000D4190000}"/>
    <cellStyle name="Explanatory Text 628" xfId="6722" xr:uid="{00000000-0005-0000-0000-0000D5190000}"/>
    <cellStyle name="Explanatory Text 629" xfId="6723" xr:uid="{00000000-0005-0000-0000-0000D6190000}"/>
    <cellStyle name="Explanatory Text 63" xfId="6724" xr:uid="{00000000-0005-0000-0000-0000D7190000}"/>
    <cellStyle name="Explanatory Text 630" xfId="6725" xr:uid="{00000000-0005-0000-0000-0000D8190000}"/>
    <cellStyle name="Explanatory Text 631" xfId="6726" xr:uid="{00000000-0005-0000-0000-0000D9190000}"/>
    <cellStyle name="Explanatory Text 632" xfId="6727" xr:uid="{00000000-0005-0000-0000-0000DA190000}"/>
    <cellStyle name="Explanatory Text 633" xfId="6728" xr:uid="{00000000-0005-0000-0000-0000DB190000}"/>
    <cellStyle name="Explanatory Text 634" xfId="6729" xr:uid="{00000000-0005-0000-0000-0000DC190000}"/>
    <cellStyle name="Explanatory Text 635" xfId="6730" xr:uid="{00000000-0005-0000-0000-0000DD190000}"/>
    <cellStyle name="Explanatory Text 636" xfId="6731" xr:uid="{00000000-0005-0000-0000-0000DE190000}"/>
    <cellStyle name="Explanatory Text 637" xfId="6732" xr:uid="{00000000-0005-0000-0000-0000DF190000}"/>
    <cellStyle name="Explanatory Text 638" xfId="6733" xr:uid="{00000000-0005-0000-0000-0000E0190000}"/>
    <cellStyle name="Explanatory Text 639" xfId="6734" xr:uid="{00000000-0005-0000-0000-0000E1190000}"/>
    <cellStyle name="Explanatory Text 64" xfId="6735" xr:uid="{00000000-0005-0000-0000-0000E2190000}"/>
    <cellStyle name="Explanatory Text 640" xfId="6736" xr:uid="{00000000-0005-0000-0000-0000E3190000}"/>
    <cellStyle name="Explanatory Text 641" xfId="6737" xr:uid="{00000000-0005-0000-0000-0000E4190000}"/>
    <cellStyle name="Explanatory Text 642" xfId="6738" xr:uid="{00000000-0005-0000-0000-0000E5190000}"/>
    <cellStyle name="Explanatory Text 643" xfId="6739" xr:uid="{00000000-0005-0000-0000-0000E6190000}"/>
    <cellStyle name="Explanatory Text 644" xfId="6740" xr:uid="{00000000-0005-0000-0000-0000E7190000}"/>
    <cellStyle name="Explanatory Text 645" xfId="6741" xr:uid="{00000000-0005-0000-0000-0000E8190000}"/>
    <cellStyle name="Explanatory Text 646" xfId="6742" xr:uid="{00000000-0005-0000-0000-0000E9190000}"/>
    <cellStyle name="Explanatory Text 647" xfId="6743" xr:uid="{00000000-0005-0000-0000-0000EA190000}"/>
    <cellStyle name="Explanatory Text 648" xfId="6744" xr:uid="{00000000-0005-0000-0000-0000EB190000}"/>
    <cellStyle name="Explanatory Text 649" xfId="6745" xr:uid="{00000000-0005-0000-0000-0000EC190000}"/>
    <cellStyle name="Explanatory Text 65" xfId="6746" xr:uid="{00000000-0005-0000-0000-0000ED190000}"/>
    <cellStyle name="Explanatory Text 650" xfId="6747" xr:uid="{00000000-0005-0000-0000-0000EE190000}"/>
    <cellStyle name="Explanatory Text 651" xfId="6748" xr:uid="{00000000-0005-0000-0000-0000EF190000}"/>
    <cellStyle name="Explanatory Text 652" xfId="6749" xr:uid="{00000000-0005-0000-0000-0000F0190000}"/>
    <cellStyle name="Explanatory Text 653" xfId="6750" xr:uid="{00000000-0005-0000-0000-0000F1190000}"/>
    <cellStyle name="Explanatory Text 654" xfId="6751" xr:uid="{00000000-0005-0000-0000-0000F2190000}"/>
    <cellStyle name="Explanatory Text 655" xfId="6752" xr:uid="{00000000-0005-0000-0000-0000F3190000}"/>
    <cellStyle name="Explanatory Text 656" xfId="6753" xr:uid="{00000000-0005-0000-0000-0000F4190000}"/>
    <cellStyle name="Explanatory Text 657" xfId="6754" xr:uid="{00000000-0005-0000-0000-0000F5190000}"/>
    <cellStyle name="Explanatory Text 658" xfId="6755" xr:uid="{00000000-0005-0000-0000-0000F6190000}"/>
    <cellStyle name="Explanatory Text 659" xfId="6756" xr:uid="{00000000-0005-0000-0000-0000F7190000}"/>
    <cellStyle name="Explanatory Text 66" xfId="6757" xr:uid="{00000000-0005-0000-0000-0000F8190000}"/>
    <cellStyle name="Explanatory Text 660" xfId="6758" xr:uid="{00000000-0005-0000-0000-0000F9190000}"/>
    <cellStyle name="Explanatory Text 661" xfId="6759" xr:uid="{00000000-0005-0000-0000-0000FA190000}"/>
    <cellStyle name="Explanatory Text 662" xfId="6760" xr:uid="{00000000-0005-0000-0000-0000FB190000}"/>
    <cellStyle name="Explanatory Text 663" xfId="6761" xr:uid="{00000000-0005-0000-0000-0000FC190000}"/>
    <cellStyle name="Explanatory Text 664" xfId="6762" xr:uid="{00000000-0005-0000-0000-0000FD190000}"/>
    <cellStyle name="Explanatory Text 665" xfId="6763" xr:uid="{00000000-0005-0000-0000-0000FE190000}"/>
    <cellStyle name="Explanatory Text 666" xfId="6764" xr:uid="{00000000-0005-0000-0000-0000FF190000}"/>
    <cellStyle name="Explanatory Text 667" xfId="6765" xr:uid="{00000000-0005-0000-0000-0000001A0000}"/>
    <cellStyle name="Explanatory Text 668" xfId="6766" xr:uid="{00000000-0005-0000-0000-0000011A0000}"/>
    <cellStyle name="Explanatory Text 669" xfId="6767" xr:uid="{00000000-0005-0000-0000-0000021A0000}"/>
    <cellStyle name="Explanatory Text 67" xfId="6768" xr:uid="{00000000-0005-0000-0000-0000031A0000}"/>
    <cellStyle name="Explanatory Text 670" xfId="6769" xr:uid="{00000000-0005-0000-0000-0000041A0000}"/>
    <cellStyle name="Explanatory Text 671" xfId="6770" xr:uid="{00000000-0005-0000-0000-0000051A0000}"/>
    <cellStyle name="Explanatory Text 672" xfId="6771" xr:uid="{00000000-0005-0000-0000-0000061A0000}"/>
    <cellStyle name="Explanatory Text 673" xfId="6772" xr:uid="{00000000-0005-0000-0000-0000071A0000}"/>
    <cellStyle name="Explanatory Text 674" xfId="6773" xr:uid="{00000000-0005-0000-0000-0000081A0000}"/>
    <cellStyle name="Explanatory Text 675" xfId="6774" xr:uid="{00000000-0005-0000-0000-0000091A0000}"/>
    <cellStyle name="Explanatory Text 676" xfId="6775" xr:uid="{00000000-0005-0000-0000-00000A1A0000}"/>
    <cellStyle name="Explanatory Text 677" xfId="6776" xr:uid="{00000000-0005-0000-0000-00000B1A0000}"/>
    <cellStyle name="Explanatory Text 678" xfId="6777" xr:uid="{00000000-0005-0000-0000-00000C1A0000}"/>
    <cellStyle name="Explanatory Text 679" xfId="6778" xr:uid="{00000000-0005-0000-0000-00000D1A0000}"/>
    <cellStyle name="Explanatory Text 68" xfId="6779" xr:uid="{00000000-0005-0000-0000-00000E1A0000}"/>
    <cellStyle name="Explanatory Text 680" xfId="6780" xr:uid="{00000000-0005-0000-0000-00000F1A0000}"/>
    <cellStyle name="Explanatory Text 681" xfId="6781" xr:uid="{00000000-0005-0000-0000-0000101A0000}"/>
    <cellStyle name="Explanatory Text 682" xfId="6782" xr:uid="{00000000-0005-0000-0000-0000111A0000}"/>
    <cellStyle name="Explanatory Text 683" xfId="6783" xr:uid="{00000000-0005-0000-0000-0000121A0000}"/>
    <cellStyle name="Explanatory Text 684" xfId="6784" xr:uid="{00000000-0005-0000-0000-0000131A0000}"/>
    <cellStyle name="Explanatory Text 685" xfId="6785" xr:uid="{00000000-0005-0000-0000-0000141A0000}"/>
    <cellStyle name="Explanatory Text 686" xfId="6786" xr:uid="{00000000-0005-0000-0000-0000151A0000}"/>
    <cellStyle name="Explanatory Text 687" xfId="6787" xr:uid="{00000000-0005-0000-0000-0000161A0000}"/>
    <cellStyle name="Explanatory Text 688" xfId="6788" xr:uid="{00000000-0005-0000-0000-0000171A0000}"/>
    <cellStyle name="Explanatory Text 689" xfId="6789" xr:uid="{00000000-0005-0000-0000-0000181A0000}"/>
    <cellStyle name="Explanatory Text 69" xfId="6790" xr:uid="{00000000-0005-0000-0000-0000191A0000}"/>
    <cellStyle name="Explanatory Text 690" xfId="6791" xr:uid="{00000000-0005-0000-0000-00001A1A0000}"/>
    <cellStyle name="Explanatory Text 691" xfId="6792" xr:uid="{00000000-0005-0000-0000-00001B1A0000}"/>
    <cellStyle name="Explanatory Text 692" xfId="6793" xr:uid="{00000000-0005-0000-0000-00001C1A0000}"/>
    <cellStyle name="Explanatory Text 693" xfId="6794" xr:uid="{00000000-0005-0000-0000-00001D1A0000}"/>
    <cellStyle name="Explanatory Text 694" xfId="6795" xr:uid="{00000000-0005-0000-0000-00001E1A0000}"/>
    <cellStyle name="Explanatory Text 695" xfId="6796" xr:uid="{00000000-0005-0000-0000-00001F1A0000}"/>
    <cellStyle name="Explanatory Text 696" xfId="6797" xr:uid="{00000000-0005-0000-0000-0000201A0000}"/>
    <cellStyle name="Explanatory Text 697" xfId="6798" xr:uid="{00000000-0005-0000-0000-0000211A0000}"/>
    <cellStyle name="Explanatory Text 698" xfId="6799" xr:uid="{00000000-0005-0000-0000-0000221A0000}"/>
    <cellStyle name="Explanatory Text 699" xfId="6800" xr:uid="{00000000-0005-0000-0000-0000231A0000}"/>
    <cellStyle name="Explanatory Text 7" xfId="6801" xr:uid="{00000000-0005-0000-0000-0000241A0000}"/>
    <cellStyle name="Explanatory Text 70" xfId="6802" xr:uid="{00000000-0005-0000-0000-0000251A0000}"/>
    <cellStyle name="Explanatory Text 700" xfId="6803" xr:uid="{00000000-0005-0000-0000-0000261A0000}"/>
    <cellStyle name="Explanatory Text 701" xfId="6804" xr:uid="{00000000-0005-0000-0000-0000271A0000}"/>
    <cellStyle name="Explanatory Text 702" xfId="6805" xr:uid="{00000000-0005-0000-0000-0000281A0000}"/>
    <cellStyle name="Explanatory Text 703" xfId="6806" xr:uid="{00000000-0005-0000-0000-0000291A0000}"/>
    <cellStyle name="Explanatory Text 704" xfId="6807" xr:uid="{00000000-0005-0000-0000-00002A1A0000}"/>
    <cellStyle name="Explanatory Text 705" xfId="6808" xr:uid="{00000000-0005-0000-0000-00002B1A0000}"/>
    <cellStyle name="Explanatory Text 706" xfId="6809" xr:uid="{00000000-0005-0000-0000-00002C1A0000}"/>
    <cellStyle name="Explanatory Text 707" xfId="6810" xr:uid="{00000000-0005-0000-0000-00002D1A0000}"/>
    <cellStyle name="Explanatory Text 708" xfId="6811" xr:uid="{00000000-0005-0000-0000-00002E1A0000}"/>
    <cellStyle name="Explanatory Text 709" xfId="6812" xr:uid="{00000000-0005-0000-0000-00002F1A0000}"/>
    <cellStyle name="Explanatory Text 71" xfId="6813" xr:uid="{00000000-0005-0000-0000-0000301A0000}"/>
    <cellStyle name="Explanatory Text 710" xfId="6814" xr:uid="{00000000-0005-0000-0000-0000311A0000}"/>
    <cellStyle name="Explanatory Text 711" xfId="6815" xr:uid="{00000000-0005-0000-0000-0000321A0000}"/>
    <cellStyle name="Explanatory Text 712" xfId="6816" xr:uid="{00000000-0005-0000-0000-0000331A0000}"/>
    <cellStyle name="Explanatory Text 713" xfId="6817" xr:uid="{00000000-0005-0000-0000-0000341A0000}"/>
    <cellStyle name="Explanatory Text 714" xfId="6818" xr:uid="{00000000-0005-0000-0000-0000351A0000}"/>
    <cellStyle name="Explanatory Text 715" xfId="6819" xr:uid="{00000000-0005-0000-0000-0000361A0000}"/>
    <cellStyle name="Explanatory Text 716" xfId="6820" xr:uid="{00000000-0005-0000-0000-0000371A0000}"/>
    <cellStyle name="Explanatory Text 717" xfId="6821" xr:uid="{00000000-0005-0000-0000-0000381A0000}"/>
    <cellStyle name="Explanatory Text 718" xfId="6822" xr:uid="{00000000-0005-0000-0000-0000391A0000}"/>
    <cellStyle name="Explanatory Text 719" xfId="6823" xr:uid="{00000000-0005-0000-0000-00003A1A0000}"/>
    <cellStyle name="Explanatory Text 72" xfId="6824" xr:uid="{00000000-0005-0000-0000-00003B1A0000}"/>
    <cellStyle name="Explanatory Text 720" xfId="6825" xr:uid="{00000000-0005-0000-0000-00003C1A0000}"/>
    <cellStyle name="Explanatory Text 721" xfId="6826" xr:uid="{00000000-0005-0000-0000-00003D1A0000}"/>
    <cellStyle name="Explanatory Text 722" xfId="6827" xr:uid="{00000000-0005-0000-0000-00003E1A0000}"/>
    <cellStyle name="Explanatory Text 723" xfId="6828" xr:uid="{00000000-0005-0000-0000-00003F1A0000}"/>
    <cellStyle name="Explanatory Text 724" xfId="6829" xr:uid="{00000000-0005-0000-0000-0000401A0000}"/>
    <cellStyle name="Explanatory Text 725" xfId="6830" xr:uid="{00000000-0005-0000-0000-0000411A0000}"/>
    <cellStyle name="Explanatory Text 726" xfId="6831" xr:uid="{00000000-0005-0000-0000-0000421A0000}"/>
    <cellStyle name="Explanatory Text 727" xfId="6832" xr:uid="{00000000-0005-0000-0000-0000431A0000}"/>
    <cellStyle name="Explanatory Text 728" xfId="6833" xr:uid="{00000000-0005-0000-0000-0000441A0000}"/>
    <cellStyle name="Explanatory Text 729" xfId="6834" xr:uid="{00000000-0005-0000-0000-0000451A0000}"/>
    <cellStyle name="Explanatory Text 73" xfId="6835" xr:uid="{00000000-0005-0000-0000-0000461A0000}"/>
    <cellStyle name="Explanatory Text 730" xfId="6836" xr:uid="{00000000-0005-0000-0000-0000471A0000}"/>
    <cellStyle name="Explanatory Text 731" xfId="6837" xr:uid="{00000000-0005-0000-0000-0000481A0000}"/>
    <cellStyle name="Explanatory Text 732" xfId="6838" xr:uid="{00000000-0005-0000-0000-0000491A0000}"/>
    <cellStyle name="Explanatory Text 733" xfId="6839" xr:uid="{00000000-0005-0000-0000-00004A1A0000}"/>
    <cellStyle name="Explanatory Text 734" xfId="6840" xr:uid="{00000000-0005-0000-0000-00004B1A0000}"/>
    <cellStyle name="Explanatory Text 735" xfId="6841" xr:uid="{00000000-0005-0000-0000-00004C1A0000}"/>
    <cellStyle name="Explanatory Text 736" xfId="6842" xr:uid="{00000000-0005-0000-0000-00004D1A0000}"/>
    <cellStyle name="Explanatory Text 737" xfId="6843" xr:uid="{00000000-0005-0000-0000-00004E1A0000}"/>
    <cellStyle name="Explanatory Text 738" xfId="6844" xr:uid="{00000000-0005-0000-0000-00004F1A0000}"/>
    <cellStyle name="Explanatory Text 739" xfId="6845" xr:uid="{00000000-0005-0000-0000-0000501A0000}"/>
    <cellStyle name="Explanatory Text 74" xfId="6846" xr:uid="{00000000-0005-0000-0000-0000511A0000}"/>
    <cellStyle name="Explanatory Text 740" xfId="6847" xr:uid="{00000000-0005-0000-0000-0000521A0000}"/>
    <cellStyle name="Explanatory Text 741" xfId="6848" xr:uid="{00000000-0005-0000-0000-0000531A0000}"/>
    <cellStyle name="Explanatory Text 742" xfId="6849" xr:uid="{00000000-0005-0000-0000-0000541A0000}"/>
    <cellStyle name="Explanatory Text 743" xfId="6850" xr:uid="{00000000-0005-0000-0000-0000551A0000}"/>
    <cellStyle name="Explanatory Text 744" xfId="6851" xr:uid="{00000000-0005-0000-0000-0000561A0000}"/>
    <cellStyle name="Explanatory Text 745" xfId="6852" xr:uid="{00000000-0005-0000-0000-0000571A0000}"/>
    <cellStyle name="Explanatory Text 746" xfId="6853" xr:uid="{00000000-0005-0000-0000-0000581A0000}"/>
    <cellStyle name="Explanatory Text 747" xfId="6854" xr:uid="{00000000-0005-0000-0000-0000591A0000}"/>
    <cellStyle name="Explanatory Text 748" xfId="6855" xr:uid="{00000000-0005-0000-0000-00005A1A0000}"/>
    <cellStyle name="Explanatory Text 749" xfId="6856" xr:uid="{00000000-0005-0000-0000-00005B1A0000}"/>
    <cellStyle name="Explanatory Text 75" xfId="6857" xr:uid="{00000000-0005-0000-0000-00005C1A0000}"/>
    <cellStyle name="Explanatory Text 750" xfId="6858" xr:uid="{00000000-0005-0000-0000-00005D1A0000}"/>
    <cellStyle name="Explanatory Text 751" xfId="6859" xr:uid="{00000000-0005-0000-0000-00005E1A0000}"/>
    <cellStyle name="Explanatory Text 752" xfId="6860" xr:uid="{00000000-0005-0000-0000-00005F1A0000}"/>
    <cellStyle name="Explanatory Text 753" xfId="6861" xr:uid="{00000000-0005-0000-0000-0000601A0000}"/>
    <cellStyle name="Explanatory Text 754" xfId="6862" xr:uid="{00000000-0005-0000-0000-0000611A0000}"/>
    <cellStyle name="Explanatory Text 755" xfId="6863" xr:uid="{00000000-0005-0000-0000-0000621A0000}"/>
    <cellStyle name="Explanatory Text 756" xfId="6864" xr:uid="{00000000-0005-0000-0000-0000631A0000}"/>
    <cellStyle name="Explanatory Text 757" xfId="6865" xr:uid="{00000000-0005-0000-0000-0000641A0000}"/>
    <cellStyle name="Explanatory Text 758" xfId="6866" xr:uid="{00000000-0005-0000-0000-0000651A0000}"/>
    <cellStyle name="Explanatory Text 759" xfId="6867" xr:uid="{00000000-0005-0000-0000-0000661A0000}"/>
    <cellStyle name="Explanatory Text 76" xfId="6868" xr:uid="{00000000-0005-0000-0000-0000671A0000}"/>
    <cellStyle name="Explanatory Text 760" xfId="6869" xr:uid="{00000000-0005-0000-0000-0000681A0000}"/>
    <cellStyle name="Explanatory Text 761" xfId="6870" xr:uid="{00000000-0005-0000-0000-0000691A0000}"/>
    <cellStyle name="Explanatory Text 762" xfId="6871" xr:uid="{00000000-0005-0000-0000-00006A1A0000}"/>
    <cellStyle name="Explanatory Text 763" xfId="6872" xr:uid="{00000000-0005-0000-0000-00006B1A0000}"/>
    <cellStyle name="Explanatory Text 764" xfId="6873" xr:uid="{00000000-0005-0000-0000-00006C1A0000}"/>
    <cellStyle name="Explanatory Text 765" xfId="6874" xr:uid="{00000000-0005-0000-0000-00006D1A0000}"/>
    <cellStyle name="Explanatory Text 766" xfId="6875" xr:uid="{00000000-0005-0000-0000-00006E1A0000}"/>
    <cellStyle name="Explanatory Text 767" xfId="6876" xr:uid="{00000000-0005-0000-0000-00006F1A0000}"/>
    <cellStyle name="Explanatory Text 768" xfId="6877" xr:uid="{00000000-0005-0000-0000-0000701A0000}"/>
    <cellStyle name="Explanatory Text 769" xfId="6878" xr:uid="{00000000-0005-0000-0000-0000711A0000}"/>
    <cellStyle name="Explanatory Text 77" xfId="6879" xr:uid="{00000000-0005-0000-0000-0000721A0000}"/>
    <cellStyle name="Explanatory Text 770" xfId="6880" xr:uid="{00000000-0005-0000-0000-0000731A0000}"/>
    <cellStyle name="Explanatory Text 771" xfId="6881" xr:uid="{00000000-0005-0000-0000-0000741A0000}"/>
    <cellStyle name="Explanatory Text 772" xfId="6882" xr:uid="{00000000-0005-0000-0000-0000751A0000}"/>
    <cellStyle name="Explanatory Text 773" xfId="6883" xr:uid="{00000000-0005-0000-0000-0000761A0000}"/>
    <cellStyle name="Explanatory Text 774" xfId="6884" xr:uid="{00000000-0005-0000-0000-0000771A0000}"/>
    <cellStyle name="Explanatory Text 775" xfId="6885" xr:uid="{00000000-0005-0000-0000-0000781A0000}"/>
    <cellStyle name="Explanatory Text 776" xfId="6886" xr:uid="{00000000-0005-0000-0000-0000791A0000}"/>
    <cellStyle name="Explanatory Text 777" xfId="6887" xr:uid="{00000000-0005-0000-0000-00007A1A0000}"/>
    <cellStyle name="Explanatory Text 778" xfId="6888" xr:uid="{00000000-0005-0000-0000-00007B1A0000}"/>
    <cellStyle name="Explanatory Text 779" xfId="6889" xr:uid="{00000000-0005-0000-0000-00007C1A0000}"/>
    <cellStyle name="Explanatory Text 78" xfId="6890" xr:uid="{00000000-0005-0000-0000-00007D1A0000}"/>
    <cellStyle name="Explanatory Text 780" xfId="6891" xr:uid="{00000000-0005-0000-0000-00007E1A0000}"/>
    <cellStyle name="Explanatory Text 781" xfId="6892" xr:uid="{00000000-0005-0000-0000-00007F1A0000}"/>
    <cellStyle name="Explanatory Text 782" xfId="6893" xr:uid="{00000000-0005-0000-0000-0000801A0000}"/>
    <cellStyle name="Explanatory Text 783" xfId="6894" xr:uid="{00000000-0005-0000-0000-0000811A0000}"/>
    <cellStyle name="Explanatory Text 784" xfId="6895" xr:uid="{00000000-0005-0000-0000-0000821A0000}"/>
    <cellStyle name="Explanatory Text 785" xfId="6896" xr:uid="{00000000-0005-0000-0000-0000831A0000}"/>
    <cellStyle name="Explanatory Text 786" xfId="6897" xr:uid="{00000000-0005-0000-0000-0000841A0000}"/>
    <cellStyle name="Explanatory Text 787" xfId="6898" xr:uid="{00000000-0005-0000-0000-0000851A0000}"/>
    <cellStyle name="Explanatory Text 788" xfId="6899" xr:uid="{00000000-0005-0000-0000-0000861A0000}"/>
    <cellStyle name="Explanatory Text 789" xfId="6900" xr:uid="{00000000-0005-0000-0000-0000871A0000}"/>
    <cellStyle name="Explanatory Text 79" xfId="6901" xr:uid="{00000000-0005-0000-0000-0000881A0000}"/>
    <cellStyle name="Explanatory Text 790" xfId="6902" xr:uid="{00000000-0005-0000-0000-0000891A0000}"/>
    <cellStyle name="Explanatory Text 791" xfId="6903" xr:uid="{00000000-0005-0000-0000-00008A1A0000}"/>
    <cellStyle name="Explanatory Text 792" xfId="6904" xr:uid="{00000000-0005-0000-0000-00008B1A0000}"/>
    <cellStyle name="Explanatory Text 793" xfId="6905" xr:uid="{00000000-0005-0000-0000-00008C1A0000}"/>
    <cellStyle name="Explanatory Text 794" xfId="6906" xr:uid="{00000000-0005-0000-0000-00008D1A0000}"/>
    <cellStyle name="Explanatory Text 795" xfId="6907" xr:uid="{00000000-0005-0000-0000-00008E1A0000}"/>
    <cellStyle name="Explanatory Text 796" xfId="6908" xr:uid="{00000000-0005-0000-0000-00008F1A0000}"/>
    <cellStyle name="Explanatory Text 797" xfId="6909" xr:uid="{00000000-0005-0000-0000-0000901A0000}"/>
    <cellStyle name="Explanatory Text 798" xfId="6910" xr:uid="{00000000-0005-0000-0000-0000911A0000}"/>
    <cellStyle name="Explanatory Text 799" xfId="6911" xr:uid="{00000000-0005-0000-0000-0000921A0000}"/>
    <cellStyle name="Explanatory Text 8" xfId="6912" xr:uid="{00000000-0005-0000-0000-0000931A0000}"/>
    <cellStyle name="Explanatory Text 80" xfId="6913" xr:uid="{00000000-0005-0000-0000-0000941A0000}"/>
    <cellStyle name="Explanatory Text 800" xfId="6914" xr:uid="{00000000-0005-0000-0000-0000951A0000}"/>
    <cellStyle name="Explanatory Text 801" xfId="6915" xr:uid="{00000000-0005-0000-0000-0000961A0000}"/>
    <cellStyle name="Explanatory Text 802" xfId="6916" xr:uid="{00000000-0005-0000-0000-0000971A0000}"/>
    <cellStyle name="Explanatory Text 803" xfId="6917" xr:uid="{00000000-0005-0000-0000-0000981A0000}"/>
    <cellStyle name="Explanatory Text 804" xfId="6918" xr:uid="{00000000-0005-0000-0000-0000991A0000}"/>
    <cellStyle name="Explanatory Text 805" xfId="6919" xr:uid="{00000000-0005-0000-0000-00009A1A0000}"/>
    <cellStyle name="Explanatory Text 806" xfId="6920" xr:uid="{00000000-0005-0000-0000-00009B1A0000}"/>
    <cellStyle name="Explanatory Text 807" xfId="6921" xr:uid="{00000000-0005-0000-0000-00009C1A0000}"/>
    <cellStyle name="Explanatory Text 808" xfId="6922" xr:uid="{00000000-0005-0000-0000-00009D1A0000}"/>
    <cellStyle name="Explanatory Text 809" xfId="6923" xr:uid="{00000000-0005-0000-0000-00009E1A0000}"/>
    <cellStyle name="Explanatory Text 81" xfId="6924" xr:uid="{00000000-0005-0000-0000-00009F1A0000}"/>
    <cellStyle name="Explanatory Text 810" xfId="6925" xr:uid="{00000000-0005-0000-0000-0000A01A0000}"/>
    <cellStyle name="Explanatory Text 811" xfId="6926" xr:uid="{00000000-0005-0000-0000-0000A11A0000}"/>
    <cellStyle name="Explanatory Text 812" xfId="6927" xr:uid="{00000000-0005-0000-0000-0000A21A0000}"/>
    <cellStyle name="Explanatory Text 813" xfId="6928" xr:uid="{00000000-0005-0000-0000-0000A31A0000}"/>
    <cellStyle name="Explanatory Text 814" xfId="6929" xr:uid="{00000000-0005-0000-0000-0000A41A0000}"/>
    <cellStyle name="Explanatory Text 815" xfId="6930" xr:uid="{00000000-0005-0000-0000-0000A51A0000}"/>
    <cellStyle name="Explanatory Text 816" xfId="6931" xr:uid="{00000000-0005-0000-0000-0000A61A0000}"/>
    <cellStyle name="Explanatory Text 817" xfId="6932" xr:uid="{00000000-0005-0000-0000-0000A71A0000}"/>
    <cellStyle name="Explanatory Text 818" xfId="6933" xr:uid="{00000000-0005-0000-0000-0000A81A0000}"/>
    <cellStyle name="Explanatory Text 819" xfId="6934" xr:uid="{00000000-0005-0000-0000-0000A91A0000}"/>
    <cellStyle name="Explanatory Text 82" xfId="6935" xr:uid="{00000000-0005-0000-0000-0000AA1A0000}"/>
    <cellStyle name="Explanatory Text 820" xfId="6936" xr:uid="{00000000-0005-0000-0000-0000AB1A0000}"/>
    <cellStyle name="Explanatory Text 821" xfId="6937" xr:uid="{00000000-0005-0000-0000-0000AC1A0000}"/>
    <cellStyle name="Explanatory Text 822" xfId="6938" xr:uid="{00000000-0005-0000-0000-0000AD1A0000}"/>
    <cellStyle name="Explanatory Text 823" xfId="6939" xr:uid="{00000000-0005-0000-0000-0000AE1A0000}"/>
    <cellStyle name="Explanatory Text 824" xfId="6940" xr:uid="{00000000-0005-0000-0000-0000AF1A0000}"/>
    <cellStyle name="Explanatory Text 825" xfId="6941" xr:uid="{00000000-0005-0000-0000-0000B01A0000}"/>
    <cellStyle name="Explanatory Text 826" xfId="6942" xr:uid="{00000000-0005-0000-0000-0000B11A0000}"/>
    <cellStyle name="Explanatory Text 827" xfId="6943" xr:uid="{00000000-0005-0000-0000-0000B21A0000}"/>
    <cellStyle name="Explanatory Text 828" xfId="6944" xr:uid="{00000000-0005-0000-0000-0000B31A0000}"/>
    <cellStyle name="Explanatory Text 829" xfId="6945" xr:uid="{00000000-0005-0000-0000-0000B41A0000}"/>
    <cellStyle name="Explanatory Text 83" xfId="6946" xr:uid="{00000000-0005-0000-0000-0000B51A0000}"/>
    <cellStyle name="Explanatory Text 830" xfId="6947" xr:uid="{00000000-0005-0000-0000-0000B61A0000}"/>
    <cellStyle name="Explanatory Text 831" xfId="6948" xr:uid="{00000000-0005-0000-0000-0000B71A0000}"/>
    <cellStyle name="Explanatory Text 832" xfId="6949" xr:uid="{00000000-0005-0000-0000-0000B81A0000}"/>
    <cellStyle name="Explanatory Text 833" xfId="6950" xr:uid="{00000000-0005-0000-0000-0000B91A0000}"/>
    <cellStyle name="Explanatory Text 834" xfId="6951" xr:uid="{00000000-0005-0000-0000-0000BA1A0000}"/>
    <cellStyle name="Explanatory Text 835" xfId="6952" xr:uid="{00000000-0005-0000-0000-0000BB1A0000}"/>
    <cellStyle name="Explanatory Text 836" xfId="6953" xr:uid="{00000000-0005-0000-0000-0000BC1A0000}"/>
    <cellStyle name="Explanatory Text 837" xfId="6954" xr:uid="{00000000-0005-0000-0000-0000BD1A0000}"/>
    <cellStyle name="Explanatory Text 838" xfId="6955" xr:uid="{00000000-0005-0000-0000-0000BE1A0000}"/>
    <cellStyle name="Explanatory Text 839" xfId="6956" xr:uid="{00000000-0005-0000-0000-0000BF1A0000}"/>
    <cellStyle name="Explanatory Text 84" xfId="6957" xr:uid="{00000000-0005-0000-0000-0000C01A0000}"/>
    <cellStyle name="Explanatory Text 840" xfId="6958" xr:uid="{00000000-0005-0000-0000-0000C11A0000}"/>
    <cellStyle name="Explanatory Text 841" xfId="6959" xr:uid="{00000000-0005-0000-0000-0000C21A0000}"/>
    <cellStyle name="Explanatory Text 842" xfId="6960" xr:uid="{00000000-0005-0000-0000-0000C31A0000}"/>
    <cellStyle name="Explanatory Text 843" xfId="6961" xr:uid="{00000000-0005-0000-0000-0000C41A0000}"/>
    <cellStyle name="Explanatory Text 844" xfId="6962" xr:uid="{00000000-0005-0000-0000-0000C51A0000}"/>
    <cellStyle name="Explanatory Text 845" xfId="6963" xr:uid="{00000000-0005-0000-0000-0000C61A0000}"/>
    <cellStyle name="Explanatory Text 846" xfId="6964" xr:uid="{00000000-0005-0000-0000-0000C71A0000}"/>
    <cellStyle name="Explanatory Text 847" xfId="6965" xr:uid="{00000000-0005-0000-0000-0000C81A0000}"/>
    <cellStyle name="Explanatory Text 848" xfId="6966" xr:uid="{00000000-0005-0000-0000-0000C91A0000}"/>
    <cellStyle name="Explanatory Text 849" xfId="6967" xr:uid="{00000000-0005-0000-0000-0000CA1A0000}"/>
    <cellStyle name="Explanatory Text 85" xfId="6968" xr:uid="{00000000-0005-0000-0000-0000CB1A0000}"/>
    <cellStyle name="Explanatory Text 850" xfId="6969" xr:uid="{00000000-0005-0000-0000-0000CC1A0000}"/>
    <cellStyle name="Explanatory Text 851" xfId="6970" xr:uid="{00000000-0005-0000-0000-0000CD1A0000}"/>
    <cellStyle name="Explanatory Text 852" xfId="6971" xr:uid="{00000000-0005-0000-0000-0000CE1A0000}"/>
    <cellStyle name="Explanatory Text 853" xfId="6972" xr:uid="{00000000-0005-0000-0000-0000CF1A0000}"/>
    <cellStyle name="Explanatory Text 854" xfId="6973" xr:uid="{00000000-0005-0000-0000-0000D01A0000}"/>
    <cellStyle name="Explanatory Text 855" xfId="6974" xr:uid="{00000000-0005-0000-0000-0000D11A0000}"/>
    <cellStyle name="Explanatory Text 856" xfId="6975" xr:uid="{00000000-0005-0000-0000-0000D21A0000}"/>
    <cellStyle name="Explanatory Text 857" xfId="6976" xr:uid="{00000000-0005-0000-0000-0000D31A0000}"/>
    <cellStyle name="Explanatory Text 858" xfId="6977" xr:uid="{00000000-0005-0000-0000-0000D41A0000}"/>
    <cellStyle name="Explanatory Text 859" xfId="6978" xr:uid="{00000000-0005-0000-0000-0000D51A0000}"/>
    <cellStyle name="Explanatory Text 86" xfId="6979" xr:uid="{00000000-0005-0000-0000-0000D61A0000}"/>
    <cellStyle name="Explanatory Text 860" xfId="6980" xr:uid="{00000000-0005-0000-0000-0000D71A0000}"/>
    <cellStyle name="Explanatory Text 861" xfId="6981" xr:uid="{00000000-0005-0000-0000-0000D81A0000}"/>
    <cellStyle name="Explanatory Text 862" xfId="6982" xr:uid="{00000000-0005-0000-0000-0000D91A0000}"/>
    <cellStyle name="Explanatory Text 863" xfId="6983" xr:uid="{00000000-0005-0000-0000-0000DA1A0000}"/>
    <cellStyle name="Explanatory Text 864" xfId="6984" xr:uid="{00000000-0005-0000-0000-0000DB1A0000}"/>
    <cellStyle name="Explanatory Text 865" xfId="6985" xr:uid="{00000000-0005-0000-0000-0000DC1A0000}"/>
    <cellStyle name="Explanatory Text 866" xfId="6986" xr:uid="{00000000-0005-0000-0000-0000DD1A0000}"/>
    <cellStyle name="Explanatory Text 867" xfId="6987" xr:uid="{00000000-0005-0000-0000-0000DE1A0000}"/>
    <cellStyle name="Explanatory Text 868" xfId="6988" xr:uid="{00000000-0005-0000-0000-0000DF1A0000}"/>
    <cellStyle name="Explanatory Text 869" xfId="6989" xr:uid="{00000000-0005-0000-0000-0000E01A0000}"/>
    <cellStyle name="Explanatory Text 87" xfId="6990" xr:uid="{00000000-0005-0000-0000-0000E11A0000}"/>
    <cellStyle name="Explanatory Text 870" xfId="6991" xr:uid="{00000000-0005-0000-0000-0000E21A0000}"/>
    <cellStyle name="Explanatory Text 871" xfId="6992" xr:uid="{00000000-0005-0000-0000-0000E31A0000}"/>
    <cellStyle name="Explanatory Text 872" xfId="6993" xr:uid="{00000000-0005-0000-0000-0000E41A0000}"/>
    <cellStyle name="Explanatory Text 873" xfId="6994" xr:uid="{00000000-0005-0000-0000-0000E51A0000}"/>
    <cellStyle name="Explanatory Text 874" xfId="6995" xr:uid="{00000000-0005-0000-0000-0000E61A0000}"/>
    <cellStyle name="Explanatory Text 875" xfId="6996" xr:uid="{00000000-0005-0000-0000-0000E71A0000}"/>
    <cellStyle name="Explanatory Text 876" xfId="6997" xr:uid="{00000000-0005-0000-0000-0000E81A0000}"/>
    <cellStyle name="Explanatory Text 877" xfId="6998" xr:uid="{00000000-0005-0000-0000-0000E91A0000}"/>
    <cellStyle name="Explanatory Text 878" xfId="6999" xr:uid="{00000000-0005-0000-0000-0000EA1A0000}"/>
    <cellStyle name="Explanatory Text 879" xfId="7000" xr:uid="{00000000-0005-0000-0000-0000EB1A0000}"/>
    <cellStyle name="Explanatory Text 88" xfId="7001" xr:uid="{00000000-0005-0000-0000-0000EC1A0000}"/>
    <cellStyle name="Explanatory Text 880" xfId="7002" xr:uid="{00000000-0005-0000-0000-0000ED1A0000}"/>
    <cellStyle name="Explanatory Text 881" xfId="7003" xr:uid="{00000000-0005-0000-0000-0000EE1A0000}"/>
    <cellStyle name="Explanatory Text 882" xfId="7004" xr:uid="{00000000-0005-0000-0000-0000EF1A0000}"/>
    <cellStyle name="Explanatory Text 883" xfId="7005" xr:uid="{00000000-0005-0000-0000-0000F01A0000}"/>
    <cellStyle name="Explanatory Text 884" xfId="7006" xr:uid="{00000000-0005-0000-0000-0000F11A0000}"/>
    <cellStyle name="Explanatory Text 885" xfId="7007" xr:uid="{00000000-0005-0000-0000-0000F21A0000}"/>
    <cellStyle name="Explanatory Text 886" xfId="7008" xr:uid="{00000000-0005-0000-0000-0000F31A0000}"/>
    <cellStyle name="Explanatory Text 887" xfId="7009" xr:uid="{00000000-0005-0000-0000-0000F41A0000}"/>
    <cellStyle name="Explanatory Text 888" xfId="7010" xr:uid="{00000000-0005-0000-0000-0000F51A0000}"/>
    <cellStyle name="Explanatory Text 889" xfId="7011" xr:uid="{00000000-0005-0000-0000-0000F61A0000}"/>
    <cellStyle name="Explanatory Text 89" xfId="7012" xr:uid="{00000000-0005-0000-0000-0000F71A0000}"/>
    <cellStyle name="Explanatory Text 890" xfId="7013" xr:uid="{00000000-0005-0000-0000-0000F81A0000}"/>
    <cellStyle name="Explanatory Text 891" xfId="7014" xr:uid="{00000000-0005-0000-0000-0000F91A0000}"/>
    <cellStyle name="Explanatory Text 892" xfId="7015" xr:uid="{00000000-0005-0000-0000-0000FA1A0000}"/>
    <cellStyle name="Explanatory Text 893" xfId="7016" xr:uid="{00000000-0005-0000-0000-0000FB1A0000}"/>
    <cellStyle name="Explanatory Text 894" xfId="7017" xr:uid="{00000000-0005-0000-0000-0000FC1A0000}"/>
    <cellStyle name="Explanatory Text 895" xfId="7018" xr:uid="{00000000-0005-0000-0000-0000FD1A0000}"/>
    <cellStyle name="Explanatory Text 896" xfId="7019" xr:uid="{00000000-0005-0000-0000-0000FE1A0000}"/>
    <cellStyle name="Explanatory Text 897" xfId="7020" xr:uid="{00000000-0005-0000-0000-0000FF1A0000}"/>
    <cellStyle name="Explanatory Text 898" xfId="7021" xr:uid="{00000000-0005-0000-0000-0000001B0000}"/>
    <cellStyle name="Explanatory Text 899" xfId="7022" xr:uid="{00000000-0005-0000-0000-0000011B0000}"/>
    <cellStyle name="Explanatory Text 9" xfId="7023" xr:uid="{00000000-0005-0000-0000-0000021B0000}"/>
    <cellStyle name="Explanatory Text 90" xfId="7024" xr:uid="{00000000-0005-0000-0000-0000031B0000}"/>
    <cellStyle name="Explanatory Text 900" xfId="7025" xr:uid="{00000000-0005-0000-0000-0000041B0000}"/>
    <cellStyle name="Explanatory Text 901" xfId="7026" xr:uid="{00000000-0005-0000-0000-0000051B0000}"/>
    <cellStyle name="Explanatory Text 902" xfId="7027" xr:uid="{00000000-0005-0000-0000-0000061B0000}"/>
    <cellStyle name="Explanatory Text 903" xfId="7028" xr:uid="{00000000-0005-0000-0000-0000071B0000}"/>
    <cellStyle name="Explanatory Text 904" xfId="7029" xr:uid="{00000000-0005-0000-0000-0000081B0000}"/>
    <cellStyle name="Explanatory Text 905" xfId="7030" xr:uid="{00000000-0005-0000-0000-0000091B0000}"/>
    <cellStyle name="Explanatory Text 906" xfId="7031" xr:uid="{00000000-0005-0000-0000-00000A1B0000}"/>
    <cellStyle name="Explanatory Text 907" xfId="7032" xr:uid="{00000000-0005-0000-0000-00000B1B0000}"/>
    <cellStyle name="Explanatory Text 908" xfId="7033" xr:uid="{00000000-0005-0000-0000-00000C1B0000}"/>
    <cellStyle name="Explanatory Text 909" xfId="7034" xr:uid="{00000000-0005-0000-0000-00000D1B0000}"/>
    <cellStyle name="Explanatory Text 91" xfId="7035" xr:uid="{00000000-0005-0000-0000-00000E1B0000}"/>
    <cellStyle name="Explanatory Text 910" xfId="7036" xr:uid="{00000000-0005-0000-0000-00000F1B0000}"/>
    <cellStyle name="Explanatory Text 911" xfId="7037" xr:uid="{00000000-0005-0000-0000-0000101B0000}"/>
    <cellStyle name="Explanatory Text 912" xfId="7038" xr:uid="{00000000-0005-0000-0000-0000111B0000}"/>
    <cellStyle name="Explanatory Text 913" xfId="7039" xr:uid="{00000000-0005-0000-0000-0000121B0000}"/>
    <cellStyle name="Explanatory Text 914" xfId="7040" xr:uid="{00000000-0005-0000-0000-0000131B0000}"/>
    <cellStyle name="Explanatory Text 915" xfId="7041" xr:uid="{00000000-0005-0000-0000-0000141B0000}"/>
    <cellStyle name="Explanatory Text 916" xfId="7042" xr:uid="{00000000-0005-0000-0000-0000151B0000}"/>
    <cellStyle name="Explanatory Text 917" xfId="7043" xr:uid="{00000000-0005-0000-0000-0000161B0000}"/>
    <cellStyle name="Explanatory Text 918" xfId="7044" xr:uid="{00000000-0005-0000-0000-0000171B0000}"/>
    <cellStyle name="Explanatory Text 919" xfId="7045" xr:uid="{00000000-0005-0000-0000-0000181B0000}"/>
    <cellStyle name="Explanatory Text 92" xfId="7046" xr:uid="{00000000-0005-0000-0000-0000191B0000}"/>
    <cellStyle name="Explanatory Text 920" xfId="7047" xr:uid="{00000000-0005-0000-0000-00001A1B0000}"/>
    <cellStyle name="Explanatory Text 921" xfId="7048" xr:uid="{00000000-0005-0000-0000-00001B1B0000}"/>
    <cellStyle name="Explanatory Text 922" xfId="7049" xr:uid="{00000000-0005-0000-0000-00001C1B0000}"/>
    <cellStyle name="Explanatory Text 923" xfId="7050" xr:uid="{00000000-0005-0000-0000-00001D1B0000}"/>
    <cellStyle name="Explanatory Text 924" xfId="7051" xr:uid="{00000000-0005-0000-0000-00001E1B0000}"/>
    <cellStyle name="Explanatory Text 925" xfId="7052" xr:uid="{00000000-0005-0000-0000-00001F1B0000}"/>
    <cellStyle name="Explanatory Text 926" xfId="7053" xr:uid="{00000000-0005-0000-0000-0000201B0000}"/>
    <cellStyle name="Explanatory Text 927" xfId="7054" xr:uid="{00000000-0005-0000-0000-0000211B0000}"/>
    <cellStyle name="Explanatory Text 928" xfId="7055" xr:uid="{00000000-0005-0000-0000-0000221B0000}"/>
    <cellStyle name="Explanatory Text 929" xfId="7056" xr:uid="{00000000-0005-0000-0000-0000231B0000}"/>
    <cellStyle name="Explanatory Text 93" xfId="7057" xr:uid="{00000000-0005-0000-0000-0000241B0000}"/>
    <cellStyle name="Explanatory Text 930" xfId="7058" xr:uid="{00000000-0005-0000-0000-0000251B0000}"/>
    <cellStyle name="Explanatory Text 931" xfId="7059" xr:uid="{00000000-0005-0000-0000-0000261B0000}"/>
    <cellStyle name="Explanatory Text 932" xfId="7060" xr:uid="{00000000-0005-0000-0000-0000271B0000}"/>
    <cellStyle name="Explanatory Text 933" xfId="7061" xr:uid="{00000000-0005-0000-0000-0000281B0000}"/>
    <cellStyle name="Explanatory Text 934" xfId="7062" xr:uid="{00000000-0005-0000-0000-0000291B0000}"/>
    <cellStyle name="Explanatory Text 935" xfId="7063" xr:uid="{00000000-0005-0000-0000-00002A1B0000}"/>
    <cellStyle name="Explanatory Text 936" xfId="7064" xr:uid="{00000000-0005-0000-0000-00002B1B0000}"/>
    <cellStyle name="Explanatory Text 937" xfId="7065" xr:uid="{00000000-0005-0000-0000-00002C1B0000}"/>
    <cellStyle name="Explanatory Text 938" xfId="7066" xr:uid="{00000000-0005-0000-0000-00002D1B0000}"/>
    <cellStyle name="Explanatory Text 939" xfId="7067" xr:uid="{00000000-0005-0000-0000-00002E1B0000}"/>
    <cellStyle name="Explanatory Text 94" xfId="7068" xr:uid="{00000000-0005-0000-0000-00002F1B0000}"/>
    <cellStyle name="Explanatory Text 940" xfId="7069" xr:uid="{00000000-0005-0000-0000-0000301B0000}"/>
    <cellStyle name="Explanatory Text 941" xfId="7070" xr:uid="{00000000-0005-0000-0000-0000311B0000}"/>
    <cellStyle name="Explanatory Text 942" xfId="7071" xr:uid="{00000000-0005-0000-0000-0000321B0000}"/>
    <cellStyle name="Explanatory Text 943" xfId="7072" xr:uid="{00000000-0005-0000-0000-0000331B0000}"/>
    <cellStyle name="Explanatory Text 944" xfId="7073" xr:uid="{00000000-0005-0000-0000-0000341B0000}"/>
    <cellStyle name="Explanatory Text 945" xfId="7074" xr:uid="{00000000-0005-0000-0000-0000351B0000}"/>
    <cellStyle name="Explanatory Text 946" xfId="7075" xr:uid="{00000000-0005-0000-0000-0000361B0000}"/>
    <cellStyle name="Explanatory Text 947" xfId="7076" xr:uid="{00000000-0005-0000-0000-0000371B0000}"/>
    <cellStyle name="Explanatory Text 948" xfId="7077" xr:uid="{00000000-0005-0000-0000-0000381B0000}"/>
    <cellStyle name="Explanatory Text 949" xfId="7078" xr:uid="{00000000-0005-0000-0000-0000391B0000}"/>
    <cellStyle name="Explanatory Text 95" xfId="7079" xr:uid="{00000000-0005-0000-0000-00003A1B0000}"/>
    <cellStyle name="Explanatory Text 950" xfId="7080" xr:uid="{00000000-0005-0000-0000-00003B1B0000}"/>
    <cellStyle name="Explanatory Text 951" xfId="7081" xr:uid="{00000000-0005-0000-0000-00003C1B0000}"/>
    <cellStyle name="Explanatory Text 952" xfId="7082" xr:uid="{00000000-0005-0000-0000-00003D1B0000}"/>
    <cellStyle name="Explanatory Text 953" xfId="7083" xr:uid="{00000000-0005-0000-0000-00003E1B0000}"/>
    <cellStyle name="Explanatory Text 954" xfId="7084" xr:uid="{00000000-0005-0000-0000-00003F1B0000}"/>
    <cellStyle name="Explanatory Text 955" xfId="7085" xr:uid="{00000000-0005-0000-0000-0000401B0000}"/>
    <cellStyle name="Explanatory Text 956" xfId="7086" xr:uid="{00000000-0005-0000-0000-0000411B0000}"/>
    <cellStyle name="Explanatory Text 957" xfId="7087" xr:uid="{00000000-0005-0000-0000-0000421B0000}"/>
    <cellStyle name="Explanatory Text 958" xfId="7088" xr:uid="{00000000-0005-0000-0000-0000431B0000}"/>
    <cellStyle name="Explanatory Text 959" xfId="7089" xr:uid="{00000000-0005-0000-0000-0000441B0000}"/>
    <cellStyle name="Explanatory Text 96" xfId="7090" xr:uid="{00000000-0005-0000-0000-0000451B0000}"/>
    <cellStyle name="Explanatory Text 960" xfId="7091" xr:uid="{00000000-0005-0000-0000-0000461B0000}"/>
    <cellStyle name="Explanatory Text 961" xfId="7092" xr:uid="{00000000-0005-0000-0000-0000471B0000}"/>
    <cellStyle name="Explanatory Text 962" xfId="7093" xr:uid="{00000000-0005-0000-0000-0000481B0000}"/>
    <cellStyle name="Explanatory Text 963" xfId="7094" xr:uid="{00000000-0005-0000-0000-0000491B0000}"/>
    <cellStyle name="Explanatory Text 964" xfId="7095" xr:uid="{00000000-0005-0000-0000-00004A1B0000}"/>
    <cellStyle name="Explanatory Text 965" xfId="7096" xr:uid="{00000000-0005-0000-0000-00004B1B0000}"/>
    <cellStyle name="Explanatory Text 966" xfId="7097" xr:uid="{00000000-0005-0000-0000-00004C1B0000}"/>
    <cellStyle name="Explanatory Text 967" xfId="7098" xr:uid="{00000000-0005-0000-0000-00004D1B0000}"/>
    <cellStyle name="Explanatory Text 968" xfId="7099" xr:uid="{00000000-0005-0000-0000-00004E1B0000}"/>
    <cellStyle name="Explanatory Text 969" xfId="7100" xr:uid="{00000000-0005-0000-0000-00004F1B0000}"/>
    <cellStyle name="Explanatory Text 97" xfId="7101" xr:uid="{00000000-0005-0000-0000-0000501B0000}"/>
    <cellStyle name="Explanatory Text 970" xfId="7102" xr:uid="{00000000-0005-0000-0000-0000511B0000}"/>
    <cellStyle name="Explanatory Text 971" xfId="7103" xr:uid="{00000000-0005-0000-0000-0000521B0000}"/>
    <cellStyle name="Explanatory Text 972" xfId="7104" xr:uid="{00000000-0005-0000-0000-0000531B0000}"/>
    <cellStyle name="Explanatory Text 973" xfId="7105" xr:uid="{00000000-0005-0000-0000-0000541B0000}"/>
    <cellStyle name="Explanatory Text 974" xfId="7106" xr:uid="{00000000-0005-0000-0000-0000551B0000}"/>
    <cellStyle name="Explanatory Text 975" xfId="7107" xr:uid="{00000000-0005-0000-0000-0000561B0000}"/>
    <cellStyle name="Explanatory Text 976" xfId="7108" xr:uid="{00000000-0005-0000-0000-0000571B0000}"/>
    <cellStyle name="Explanatory Text 977" xfId="7109" xr:uid="{00000000-0005-0000-0000-0000581B0000}"/>
    <cellStyle name="Explanatory Text 978" xfId="7110" xr:uid="{00000000-0005-0000-0000-0000591B0000}"/>
    <cellStyle name="Explanatory Text 979" xfId="7111" xr:uid="{00000000-0005-0000-0000-00005A1B0000}"/>
    <cellStyle name="Explanatory Text 98" xfId="7112" xr:uid="{00000000-0005-0000-0000-00005B1B0000}"/>
    <cellStyle name="Explanatory Text 980" xfId="7113" xr:uid="{00000000-0005-0000-0000-00005C1B0000}"/>
    <cellStyle name="Explanatory Text 981" xfId="7114" xr:uid="{00000000-0005-0000-0000-00005D1B0000}"/>
    <cellStyle name="Explanatory Text 982" xfId="7115" xr:uid="{00000000-0005-0000-0000-00005E1B0000}"/>
    <cellStyle name="Explanatory Text 983" xfId="7116" xr:uid="{00000000-0005-0000-0000-00005F1B0000}"/>
    <cellStyle name="Explanatory Text 984" xfId="7117" xr:uid="{00000000-0005-0000-0000-0000601B0000}"/>
    <cellStyle name="Explanatory Text 985" xfId="7118" xr:uid="{00000000-0005-0000-0000-0000611B0000}"/>
    <cellStyle name="Explanatory Text 986" xfId="7119" xr:uid="{00000000-0005-0000-0000-0000621B0000}"/>
    <cellStyle name="Explanatory Text 987" xfId="7120" xr:uid="{00000000-0005-0000-0000-0000631B0000}"/>
    <cellStyle name="Explanatory Text 988" xfId="7121" xr:uid="{00000000-0005-0000-0000-0000641B0000}"/>
    <cellStyle name="Explanatory Text 989" xfId="7122" xr:uid="{00000000-0005-0000-0000-0000651B0000}"/>
    <cellStyle name="Explanatory Text 99" xfId="7123" xr:uid="{00000000-0005-0000-0000-0000661B0000}"/>
    <cellStyle name="Explanatory Text 990" xfId="7124" xr:uid="{00000000-0005-0000-0000-0000671B0000}"/>
    <cellStyle name="Explanatory Text 991" xfId="7125" xr:uid="{00000000-0005-0000-0000-0000681B0000}"/>
    <cellStyle name="Explanatory Text 992" xfId="7126" xr:uid="{00000000-0005-0000-0000-0000691B0000}"/>
    <cellStyle name="Explanatory Text 993" xfId="7127" xr:uid="{00000000-0005-0000-0000-00006A1B0000}"/>
    <cellStyle name="Explanatory Text 994" xfId="7128" xr:uid="{00000000-0005-0000-0000-00006B1B0000}"/>
    <cellStyle name="Explanatory Text 995" xfId="7129" xr:uid="{00000000-0005-0000-0000-00006C1B0000}"/>
    <cellStyle name="Explanatory Text 996" xfId="7130" xr:uid="{00000000-0005-0000-0000-00006D1B0000}"/>
    <cellStyle name="Explanatory Text 997" xfId="7131" xr:uid="{00000000-0005-0000-0000-00006E1B0000}"/>
    <cellStyle name="Explanatory Text 998" xfId="7132" xr:uid="{00000000-0005-0000-0000-00006F1B0000}"/>
    <cellStyle name="Explanatory Text 999" xfId="7133" xr:uid="{00000000-0005-0000-0000-0000701B0000}"/>
    <cellStyle name="Explanatory Text_Concept Analyse verschillen TS  LTGA en QIS5 v1" xfId="7134" xr:uid="{00000000-0005-0000-0000-0000711B0000}"/>
    <cellStyle name="Figyelmeztetés" xfId="7135" xr:uid="{00000000-0005-0000-0000-0000721B0000}"/>
    <cellStyle name="Figyelmeztetés 2" xfId="7136" xr:uid="{00000000-0005-0000-0000-0000731B0000}"/>
    <cellStyle name="Figyelmeztetés 3" xfId="7137" xr:uid="{00000000-0005-0000-0000-0000741B0000}"/>
    <cellStyle name="Figyelmeztetés 4" xfId="7138" xr:uid="{00000000-0005-0000-0000-0000751B0000}"/>
    <cellStyle name="Gekoppelde cel" xfId="14239" builtinId="24" customBuiltin="1"/>
    <cellStyle name="Goed" xfId="7139" builtinId="26" customBuiltin="1"/>
    <cellStyle name="Good 10" xfId="7140" xr:uid="{00000000-0005-0000-0000-0000771B0000}"/>
    <cellStyle name="Good 100" xfId="7141" xr:uid="{00000000-0005-0000-0000-0000781B0000}"/>
    <cellStyle name="Good 1000" xfId="7142" xr:uid="{00000000-0005-0000-0000-0000791B0000}"/>
    <cellStyle name="Good 1001" xfId="7143" xr:uid="{00000000-0005-0000-0000-00007A1B0000}"/>
    <cellStyle name="Good 1002" xfId="7144" xr:uid="{00000000-0005-0000-0000-00007B1B0000}"/>
    <cellStyle name="Good 1003" xfId="7145" xr:uid="{00000000-0005-0000-0000-00007C1B0000}"/>
    <cellStyle name="Good 1004" xfId="7146" xr:uid="{00000000-0005-0000-0000-00007D1B0000}"/>
    <cellStyle name="Good 1005" xfId="7147" xr:uid="{00000000-0005-0000-0000-00007E1B0000}"/>
    <cellStyle name="Good 1006" xfId="7148" xr:uid="{00000000-0005-0000-0000-00007F1B0000}"/>
    <cellStyle name="Good 1007" xfId="7149" xr:uid="{00000000-0005-0000-0000-0000801B0000}"/>
    <cellStyle name="Good 1008" xfId="7150" xr:uid="{00000000-0005-0000-0000-0000811B0000}"/>
    <cellStyle name="Good 1009" xfId="7151" xr:uid="{00000000-0005-0000-0000-0000821B0000}"/>
    <cellStyle name="Good 101" xfId="7152" xr:uid="{00000000-0005-0000-0000-0000831B0000}"/>
    <cellStyle name="Good 1010" xfId="7153" xr:uid="{00000000-0005-0000-0000-0000841B0000}"/>
    <cellStyle name="Good 1011" xfId="7154" xr:uid="{00000000-0005-0000-0000-0000851B0000}"/>
    <cellStyle name="Good 1012" xfId="7155" xr:uid="{00000000-0005-0000-0000-0000861B0000}"/>
    <cellStyle name="Good 1013" xfId="7156" xr:uid="{00000000-0005-0000-0000-0000871B0000}"/>
    <cellStyle name="Good 1014" xfId="7157" xr:uid="{00000000-0005-0000-0000-0000881B0000}"/>
    <cellStyle name="Good 1015" xfId="7158" xr:uid="{00000000-0005-0000-0000-0000891B0000}"/>
    <cellStyle name="Good 1016" xfId="7159" xr:uid="{00000000-0005-0000-0000-00008A1B0000}"/>
    <cellStyle name="Good 1017" xfId="7160" xr:uid="{00000000-0005-0000-0000-00008B1B0000}"/>
    <cellStyle name="Good 1018" xfId="7161" xr:uid="{00000000-0005-0000-0000-00008C1B0000}"/>
    <cellStyle name="Good 1019" xfId="7162" xr:uid="{00000000-0005-0000-0000-00008D1B0000}"/>
    <cellStyle name="Good 102" xfId="7163" xr:uid="{00000000-0005-0000-0000-00008E1B0000}"/>
    <cellStyle name="Good 1020" xfId="7164" xr:uid="{00000000-0005-0000-0000-00008F1B0000}"/>
    <cellStyle name="Good 1021" xfId="7165" xr:uid="{00000000-0005-0000-0000-0000901B0000}"/>
    <cellStyle name="Good 1022" xfId="7166" xr:uid="{00000000-0005-0000-0000-0000911B0000}"/>
    <cellStyle name="Good 1023" xfId="7167" xr:uid="{00000000-0005-0000-0000-0000921B0000}"/>
    <cellStyle name="Good 1024" xfId="7168" xr:uid="{00000000-0005-0000-0000-0000931B0000}"/>
    <cellStyle name="Good 1025" xfId="7169" xr:uid="{00000000-0005-0000-0000-0000941B0000}"/>
    <cellStyle name="Good 1026" xfId="7170" xr:uid="{00000000-0005-0000-0000-0000951B0000}"/>
    <cellStyle name="Good 1027" xfId="7171" xr:uid="{00000000-0005-0000-0000-0000961B0000}"/>
    <cellStyle name="Good 1028" xfId="7172" xr:uid="{00000000-0005-0000-0000-0000971B0000}"/>
    <cellStyle name="Good 1029" xfId="7173" xr:uid="{00000000-0005-0000-0000-0000981B0000}"/>
    <cellStyle name="Good 103" xfId="7174" xr:uid="{00000000-0005-0000-0000-0000991B0000}"/>
    <cellStyle name="Good 1030" xfId="7175" xr:uid="{00000000-0005-0000-0000-00009A1B0000}"/>
    <cellStyle name="Good 1031" xfId="7176" xr:uid="{00000000-0005-0000-0000-00009B1B0000}"/>
    <cellStyle name="Good 1032" xfId="7177" xr:uid="{00000000-0005-0000-0000-00009C1B0000}"/>
    <cellStyle name="Good 1033" xfId="7178" xr:uid="{00000000-0005-0000-0000-00009D1B0000}"/>
    <cellStyle name="Good 1034" xfId="7179" xr:uid="{00000000-0005-0000-0000-00009E1B0000}"/>
    <cellStyle name="Good 1035" xfId="7180" xr:uid="{00000000-0005-0000-0000-00009F1B0000}"/>
    <cellStyle name="Good 1036" xfId="7181" xr:uid="{00000000-0005-0000-0000-0000A01B0000}"/>
    <cellStyle name="Good 1037" xfId="7182" xr:uid="{00000000-0005-0000-0000-0000A11B0000}"/>
    <cellStyle name="Good 1038" xfId="7183" xr:uid="{00000000-0005-0000-0000-0000A21B0000}"/>
    <cellStyle name="Good 1039" xfId="7184" xr:uid="{00000000-0005-0000-0000-0000A31B0000}"/>
    <cellStyle name="Good 104" xfId="7185" xr:uid="{00000000-0005-0000-0000-0000A41B0000}"/>
    <cellStyle name="Good 1040" xfId="7186" xr:uid="{00000000-0005-0000-0000-0000A51B0000}"/>
    <cellStyle name="Good 1041" xfId="7187" xr:uid="{00000000-0005-0000-0000-0000A61B0000}"/>
    <cellStyle name="Good 1042" xfId="7188" xr:uid="{00000000-0005-0000-0000-0000A71B0000}"/>
    <cellStyle name="Good 1043" xfId="7189" xr:uid="{00000000-0005-0000-0000-0000A81B0000}"/>
    <cellStyle name="Good 1044" xfId="7190" xr:uid="{00000000-0005-0000-0000-0000A91B0000}"/>
    <cellStyle name="Good 1045" xfId="7191" xr:uid="{00000000-0005-0000-0000-0000AA1B0000}"/>
    <cellStyle name="Good 1046" xfId="7192" xr:uid="{00000000-0005-0000-0000-0000AB1B0000}"/>
    <cellStyle name="Good 1047" xfId="7193" xr:uid="{00000000-0005-0000-0000-0000AC1B0000}"/>
    <cellStyle name="Good 1048" xfId="7194" xr:uid="{00000000-0005-0000-0000-0000AD1B0000}"/>
    <cellStyle name="Good 1049" xfId="7195" xr:uid="{00000000-0005-0000-0000-0000AE1B0000}"/>
    <cellStyle name="Good 105" xfId="7196" xr:uid="{00000000-0005-0000-0000-0000AF1B0000}"/>
    <cellStyle name="Good 1050" xfId="7197" xr:uid="{00000000-0005-0000-0000-0000B01B0000}"/>
    <cellStyle name="Good 1051" xfId="7198" xr:uid="{00000000-0005-0000-0000-0000B11B0000}"/>
    <cellStyle name="Good 1052" xfId="7199" xr:uid="{00000000-0005-0000-0000-0000B21B0000}"/>
    <cellStyle name="Good 1053" xfId="7200" xr:uid="{00000000-0005-0000-0000-0000B31B0000}"/>
    <cellStyle name="Good 1054" xfId="7201" xr:uid="{00000000-0005-0000-0000-0000B41B0000}"/>
    <cellStyle name="Good 1055" xfId="7202" xr:uid="{00000000-0005-0000-0000-0000B51B0000}"/>
    <cellStyle name="Good 1056" xfId="7203" xr:uid="{00000000-0005-0000-0000-0000B61B0000}"/>
    <cellStyle name="Good 1057" xfId="7204" xr:uid="{00000000-0005-0000-0000-0000B71B0000}"/>
    <cellStyle name="Good 1058" xfId="7205" xr:uid="{00000000-0005-0000-0000-0000B81B0000}"/>
    <cellStyle name="Good 1059" xfId="7206" xr:uid="{00000000-0005-0000-0000-0000B91B0000}"/>
    <cellStyle name="Good 106" xfId="7207" xr:uid="{00000000-0005-0000-0000-0000BA1B0000}"/>
    <cellStyle name="Good 1060" xfId="7208" xr:uid="{00000000-0005-0000-0000-0000BB1B0000}"/>
    <cellStyle name="Good 1061" xfId="7209" xr:uid="{00000000-0005-0000-0000-0000BC1B0000}"/>
    <cellStyle name="Good 1062" xfId="7210" xr:uid="{00000000-0005-0000-0000-0000BD1B0000}"/>
    <cellStyle name="Good 1063" xfId="7211" xr:uid="{00000000-0005-0000-0000-0000BE1B0000}"/>
    <cellStyle name="Good 1064" xfId="7212" xr:uid="{00000000-0005-0000-0000-0000BF1B0000}"/>
    <cellStyle name="Good 1065" xfId="7213" xr:uid="{00000000-0005-0000-0000-0000C01B0000}"/>
    <cellStyle name="Good 1066" xfId="7214" xr:uid="{00000000-0005-0000-0000-0000C11B0000}"/>
    <cellStyle name="Good 1067" xfId="7215" xr:uid="{00000000-0005-0000-0000-0000C21B0000}"/>
    <cellStyle name="Good 1068" xfId="7216" xr:uid="{00000000-0005-0000-0000-0000C31B0000}"/>
    <cellStyle name="Good 1069" xfId="7217" xr:uid="{00000000-0005-0000-0000-0000C41B0000}"/>
    <cellStyle name="Good 107" xfId="7218" xr:uid="{00000000-0005-0000-0000-0000C51B0000}"/>
    <cellStyle name="Good 1070" xfId="7219" xr:uid="{00000000-0005-0000-0000-0000C61B0000}"/>
    <cellStyle name="Good 1071" xfId="7220" xr:uid="{00000000-0005-0000-0000-0000C71B0000}"/>
    <cellStyle name="Good 1072" xfId="7221" xr:uid="{00000000-0005-0000-0000-0000C81B0000}"/>
    <cellStyle name="Good 1073" xfId="7222" xr:uid="{00000000-0005-0000-0000-0000C91B0000}"/>
    <cellStyle name="Good 1074" xfId="7223" xr:uid="{00000000-0005-0000-0000-0000CA1B0000}"/>
    <cellStyle name="Good 1075" xfId="7224" xr:uid="{00000000-0005-0000-0000-0000CB1B0000}"/>
    <cellStyle name="Good 1076" xfId="7225" xr:uid="{00000000-0005-0000-0000-0000CC1B0000}"/>
    <cellStyle name="Good 1077" xfId="7226" xr:uid="{00000000-0005-0000-0000-0000CD1B0000}"/>
    <cellStyle name="Good 1078" xfId="7227" xr:uid="{00000000-0005-0000-0000-0000CE1B0000}"/>
    <cellStyle name="Good 1079" xfId="7228" xr:uid="{00000000-0005-0000-0000-0000CF1B0000}"/>
    <cellStyle name="Good 108" xfId="7229" xr:uid="{00000000-0005-0000-0000-0000D01B0000}"/>
    <cellStyle name="Good 1080" xfId="7230" xr:uid="{00000000-0005-0000-0000-0000D11B0000}"/>
    <cellStyle name="Good 1081" xfId="7231" xr:uid="{00000000-0005-0000-0000-0000D21B0000}"/>
    <cellStyle name="Good 1082" xfId="7232" xr:uid="{00000000-0005-0000-0000-0000D31B0000}"/>
    <cellStyle name="Good 1083" xfId="7233" xr:uid="{00000000-0005-0000-0000-0000D41B0000}"/>
    <cellStyle name="Good 1084" xfId="7234" xr:uid="{00000000-0005-0000-0000-0000D51B0000}"/>
    <cellStyle name="Good 1085" xfId="7235" xr:uid="{00000000-0005-0000-0000-0000D61B0000}"/>
    <cellStyle name="Good 1086" xfId="7236" xr:uid="{00000000-0005-0000-0000-0000D71B0000}"/>
    <cellStyle name="Good 1087" xfId="7237" xr:uid="{00000000-0005-0000-0000-0000D81B0000}"/>
    <cellStyle name="Good 1088" xfId="7238" xr:uid="{00000000-0005-0000-0000-0000D91B0000}"/>
    <cellStyle name="Good 1089" xfId="7239" xr:uid="{00000000-0005-0000-0000-0000DA1B0000}"/>
    <cellStyle name="Good 109" xfId="7240" xr:uid="{00000000-0005-0000-0000-0000DB1B0000}"/>
    <cellStyle name="Good 1090" xfId="7241" xr:uid="{00000000-0005-0000-0000-0000DC1B0000}"/>
    <cellStyle name="Good 1091" xfId="7242" xr:uid="{00000000-0005-0000-0000-0000DD1B0000}"/>
    <cellStyle name="Good 1092" xfId="7243" xr:uid="{00000000-0005-0000-0000-0000DE1B0000}"/>
    <cellStyle name="Good 1093" xfId="7244" xr:uid="{00000000-0005-0000-0000-0000DF1B0000}"/>
    <cellStyle name="Good 1094" xfId="7245" xr:uid="{00000000-0005-0000-0000-0000E01B0000}"/>
    <cellStyle name="Good 1095" xfId="7246" xr:uid="{00000000-0005-0000-0000-0000E11B0000}"/>
    <cellStyle name="Good 1096" xfId="7247" xr:uid="{00000000-0005-0000-0000-0000E21B0000}"/>
    <cellStyle name="Good 1097" xfId="7248" xr:uid="{00000000-0005-0000-0000-0000E31B0000}"/>
    <cellStyle name="Good 1098" xfId="7249" xr:uid="{00000000-0005-0000-0000-0000E41B0000}"/>
    <cellStyle name="Good 1099" xfId="7250" xr:uid="{00000000-0005-0000-0000-0000E51B0000}"/>
    <cellStyle name="Good 11" xfId="7251" xr:uid="{00000000-0005-0000-0000-0000E61B0000}"/>
    <cellStyle name="Good 110" xfId="7252" xr:uid="{00000000-0005-0000-0000-0000E71B0000}"/>
    <cellStyle name="Good 1100" xfId="7253" xr:uid="{00000000-0005-0000-0000-0000E81B0000}"/>
    <cellStyle name="Good 1101" xfId="7254" xr:uid="{00000000-0005-0000-0000-0000E91B0000}"/>
    <cellStyle name="Good 1102" xfId="7255" xr:uid="{00000000-0005-0000-0000-0000EA1B0000}"/>
    <cellStyle name="Good 1103" xfId="7256" xr:uid="{00000000-0005-0000-0000-0000EB1B0000}"/>
    <cellStyle name="Good 1104" xfId="7257" xr:uid="{00000000-0005-0000-0000-0000EC1B0000}"/>
    <cellStyle name="Good 1105" xfId="7258" xr:uid="{00000000-0005-0000-0000-0000ED1B0000}"/>
    <cellStyle name="Good 1106" xfId="7259" xr:uid="{00000000-0005-0000-0000-0000EE1B0000}"/>
    <cellStyle name="Good 1107" xfId="7260" xr:uid="{00000000-0005-0000-0000-0000EF1B0000}"/>
    <cellStyle name="Good 1108" xfId="7261" xr:uid="{00000000-0005-0000-0000-0000F01B0000}"/>
    <cellStyle name="Good 1109" xfId="7262" xr:uid="{00000000-0005-0000-0000-0000F11B0000}"/>
    <cellStyle name="Good 111" xfId="7263" xr:uid="{00000000-0005-0000-0000-0000F21B0000}"/>
    <cellStyle name="Good 1110" xfId="7264" xr:uid="{00000000-0005-0000-0000-0000F31B0000}"/>
    <cellStyle name="Good 1111" xfId="7265" xr:uid="{00000000-0005-0000-0000-0000F41B0000}"/>
    <cellStyle name="Good 1112" xfId="7266" xr:uid="{00000000-0005-0000-0000-0000F51B0000}"/>
    <cellStyle name="Good 1113" xfId="7267" xr:uid="{00000000-0005-0000-0000-0000F61B0000}"/>
    <cellStyle name="Good 1114" xfId="7268" xr:uid="{00000000-0005-0000-0000-0000F71B0000}"/>
    <cellStyle name="Good 1115" xfId="7269" xr:uid="{00000000-0005-0000-0000-0000F81B0000}"/>
    <cellStyle name="Good 1116" xfId="7270" xr:uid="{00000000-0005-0000-0000-0000F91B0000}"/>
    <cellStyle name="Good 1117" xfId="7271" xr:uid="{00000000-0005-0000-0000-0000FA1B0000}"/>
    <cellStyle name="Good 1118" xfId="7272" xr:uid="{00000000-0005-0000-0000-0000FB1B0000}"/>
    <cellStyle name="Good 1119" xfId="7273" xr:uid="{00000000-0005-0000-0000-0000FC1B0000}"/>
    <cellStyle name="Good 112" xfId="7274" xr:uid="{00000000-0005-0000-0000-0000FD1B0000}"/>
    <cellStyle name="Good 1120" xfId="7275" xr:uid="{00000000-0005-0000-0000-0000FE1B0000}"/>
    <cellStyle name="Good 1121" xfId="7276" xr:uid="{00000000-0005-0000-0000-0000FF1B0000}"/>
    <cellStyle name="Good 1122" xfId="7277" xr:uid="{00000000-0005-0000-0000-0000001C0000}"/>
    <cellStyle name="Good 1123" xfId="7278" xr:uid="{00000000-0005-0000-0000-0000011C0000}"/>
    <cellStyle name="Good 1124" xfId="7279" xr:uid="{00000000-0005-0000-0000-0000021C0000}"/>
    <cellStyle name="Good 1125" xfId="7280" xr:uid="{00000000-0005-0000-0000-0000031C0000}"/>
    <cellStyle name="Good 1126" xfId="7281" xr:uid="{00000000-0005-0000-0000-0000041C0000}"/>
    <cellStyle name="Good 1127" xfId="7282" xr:uid="{00000000-0005-0000-0000-0000051C0000}"/>
    <cellStyle name="Good 1128" xfId="7283" xr:uid="{00000000-0005-0000-0000-0000061C0000}"/>
    <cellStyle name="Good 1129" xfId="7284" xr:uid="{00000000-0005-0000-0000-0000071C0000}"/>
    <cellStyle name="Good 113" xfId="7285" xr:uid="{00000000-0005-0000-0000-0000081C0000}"/>
    <cellStyle name="Good 1130" xfId="7286" xr:uid="{00000000-0005-0000-0000-0000091C0000}"/>
    <cellStyle name="Good 1131" xfId="7287" xr:uid="{00000000-0005-0000-0000-00000A1C0000}"/>
    <cellStyle name="Good 1132" xfId="7288" xr:uid="{00000000-0005-0000-0000-00000B1C0000}"/>
    <cellStyle name="Good 1133" xfId="7289" xr:uid="{00000000-0005-0000-0000-00000C1C0000}"/>
    <cellStyle name="Good 1134" xfId="7290" xr:uid="{00000000-0005-0000-0000-00000D1C0000}"/>
    <cellStyle name="Good 1135" xfId="7291" xr:uid="{00000000-0005-0000-0000-00000E1C0000}"/>
    <cellStyle name="Good 1136" xfId="7292" xr:uid="{00000000-0005-0000-0000-00000F1C0000}"/>
    <cellStyle name="Good 1137" xfId="7293" xr:uid="{00000000-0005-0000-0000-0000101C0000}"/>
    <cellStyle name="Good 1138" xfId="7294" xr:uid="{00000000-0005-0000-0000-0000111C0000}"/>
    <cellStyle name="Good 1139" xfId="7295" xr:uid="{00000000-0005-0000-0000-0000121C0000}"/>
    <cellStyle name="Good 114" xfId="7296" xr:uid="{00000000-0005-0000-0000-0000131C0000}"/>
    <cellStyle name="Good 1140" xfId="7297" xr:uid="{00000000-0005-0000-0000-0000141C0000}"/>
    <cellStyle name="Good 1141" xfId="7298" xr:uid="{00000000-0005-0000-0000-0000151C0000}"/>
    <cellStyle name="Good 1142" xfId="7299" xr:uid="{00000000-0005-0000-0000-0000161C0000}"/>
    <cellStyle name="Good 1143" xfId="7300" xr:uid="{00000000-0005-0000-0000-0000171C0000}"/>
    <cellStyle name="Good 1144" xfId="7301" xr:uid="{00000000-0005-0000-0000-0000181C0000}"/>
    <cellStyle name="Good 1145" xfId="7302" xr:uid="{00000000-0005-0000-0000-0000191C0000}"/>
    <cellStyle name="Good 1146" xfId="7303" xr:uid="{00000000-0005-0000-0000-00001A1C0000}"/>
    <cellStyle name="Good 1147" xfId="7304" xr:uid="{00000000-0005-0000-0000-00001B1C0000}"/>
    <cellStyle name="Good 1148" xfId="7305" xr:uid="{00000000-0005-0000-0000-00001C1C0000}"/>
    <cellStyle name="Good 1149" xfId="7306" xr:uid="{00000000-0005-0000-0000-00001D1C0000}"/>
    <cellStyle name="Good 115" xfId="7307" xr:uid="{00000000-0005-0000-0000-00001E1C0000}"/>
    <cellStyle name="Good 1150" xfId="7308" xr:uid="{00000000-0005-0000-0000-00001F1C0000}"/>
    <cellStyle name="Good 1151" xfId="7309" xr:uid="{00000000-0005-0000-0000-0000201C0000}"/>
    <cellStyle name="Good 1152" xfId="7310" xr:uid="{00000000-0005-0000-0000-0000211C0000}"/>
    <cellStyle name="Good 1153" xfId="7311" xr:uid="{00000000-0005-0000-0000-0000221C0000}"/>
    <cellStyle name="Good 1154" xfId="7312" xr:uid="{00000000-0005-0000-0000-0000231C0000}"/>
    <cellStyle name="Good 1155" xfId="7313" xr:uid="{00000000-0005-0000-0000-0000241C0000}"/>
    <cellStyle name="Good 1156" xfId="7314" xr:uid="{00000000-0005-0000-0000-0000251C0000}"/>
    <cellStyle name="Good 1157" xfId="7315" xr:uid="{00000000-0005-0000-0000-0000261C0000}"/>
    <cellStyle name="Good 1158" xfId="7316" xr:uid="{00000000-0005-0000-0000-0000271C0000}"/>
    <cellStyle name="Good 1159" xfId="7317" xr:uid="{00000000-0005-0000-0000-0000281C0000}"/>
    <cellStyle name="Good 116" xfId="7318" xr:uid="{00000000-0005-0000-0000-0000291C0000}"/>
    <cellStyle name="Good 1160" xfId="7319" xr:uid="{00000000-0005-0000-0000-00002A1C0000}"/>
    <cellStyle name="Good 1161" xfId="7320" xr:uid="{00000000-0005-0000-0000-00002B1C0000}"/>
    <cellStyle name="Good 1162" xfId="7321" xr:uid="{00000000-0005-0000-0000-00002C1C0000}"/>
    <cellStyle name="Good 1163" xfId="7322" xr:uid="{00000000-0005-0000-0000-00002D1C0000}"/>
    <cellStyle name="Good 117" xfId="7323" xr:uid="{00000000-0005-0000-0000-00002E1C0000}"/>
    <cellStyle name="Good 118" xfId="7324" xr:uid="{00000000-0005-0000-0000-00002F1C0000}"/>
    <cellStyle name="Good 119" xfId="7325" xr:uid="{00000000-0005-0000-0000-0000301C0000}"/>
    <cellStyle name="Good 12" xfId="7326" xr:uid="{00000000-0005-0000-0000-0000311C0000}"/>
    <cellStyle name="Good 120" xfId="7327" xr:uid="{00000000-0005-0000-0000-0000321C0000}"/>
    <cellStyle name="Good 121" xfId="7328" xr:uid="{00000000-0005-0000-0000-0000331C0000}"/>
    <cellStyle name="Good 122" xfId="7329" xr:uid="{00000000-0005-0000-0000-0000341C0000}"/>
    <cellStyle name="Good 123" xfId="7330" xr:uid="{00000000-0005-0000-0000-0000351C0000}"/>
    <cellStyle name="Good 124" xfId="7331" xr:uid="{00000000-0005-0000-0000-0000361C0000}"/>
    <cellStyle name="Good 125" xfId="7332" xr:uid="{00000000-0005-0000-0000-0000371C0000}"/>
    <cellStyle name="Good 126" xfId="7333" xr:uid="{00000000-0005-0000-0000-0000381C0000}"/>
    <cellStyle name="Good 127" xfId="7334" xr:uid="{00000000-0005-0000-0000-0000391C0000}"/>
    <cellStyle name="Good 128" xfId="7335" xr:uid="{00000000-0005-0000-0000-00003A1C0000}"/>
    <cellStyle name="Good 129" xfId="7336" xr:uid="{00000000-0005-0000-0000-00003B1C0000}"/>
    <cellStyle name="Good 13" xfId="7337" xr:uid="{00000000-0005-0000-0000-00003C1C0000}"/>
    <cellStyle name="Good 130" xfId="7338" xr:uid="{00000000-0005-0000-0000-00003D1C0000}"/>
    <cellStyle name="Good 131" xfId="7339" xr:uid="{00000000-0005-0000-0000-00003E1C0000}"/>
    <cellStyle name="Good 132" xfId="7340" xr:uid="{00000000-0005-0000-0000-00003F1C0000}"/>
    <cellStyle name="Good 133" xfId="7341" xr:uid="{00000000-0005-0000-0000-0000401C0000}"/>
    <cellStyle name="Good 134" xfId="7342" xr:uid="{00000000-0005-0000-0000-0000411C0000}"/>
    <cellStyle name="Good 135" xfId="7343" xr:uid="{00000000-0005-0000-0000-0000421C0000}"/>
    <cellStyle name="Good 136" xfId="7344" xr:uid="{00000000-0005-0000-0000-0000431C0000}"/>
    <cellStyle name="Good 137" xfId="7345" xr:uid="{00000000-0005-0000-0000-0000441C0000}"/>
    <cellStyle name="Good 138" xfId="7346" xr:uid="{00000000-0005-0000-0000-0000451C0000}"/>
    <cellStyle name="Good 139" xfId="7347" xr:uid="{00000000-0005-0000-0000-0000461C0000}"/>
    <cellStyle name="Good 14" xfId="7348" xr:uid="{00000000-0005-0000-0000-0000471C0000}"/>
    <cellStyle name="Good 140" xfId="7349" xr:uid="{00000000-0005-0000-0000-0000481C0000}"/>
    <cellStyle name="Good 141" xfId="7350" xr:uid="{00000000-0005-0000-0000-0000491C0000}"/>
    <cellStyle name="Good 142" xfId="7351" xr:uid="{00000000-0005-0000-0000-00004A1C0000}"/>
    <cellStyle name="Good 143" xfId="7352" xr:uid="{00000000-0005-0000-0000-00004B1C0000}"/>
    <cellStyle name="Good 144" xfId="7353" xr:uid="{00000000-0005-0000-0000-00004C1C0000}"/>
    <cellStyle name="Good 145" xfId="7354" xr:uid="{00000000-0005-0000-0000-00004D1C0000}"/>
    <cellStyle name="Good 146" xfId="7355" xr:uid="{00000000-0005-0000-0000-00004E1C0000}"/>
    <cellStyle name="Good 147" xfId="7356" xr:uid="{00000000-0005-0000-0000-00004F1C0000}"/>
    <cellStyle name="Good 148" xfId="7357" xr:uid="{00000000-0005-0000-0000-0000501C0000}"/>
    <cellStyle name="Good 149" xfId="7358" xr:uid="{00000000-0005-0000-0000-0000511C0000}"/>
    <cellStyle name="Good 15" xfId="7359" xr:uid="{00000000-0005-0000-0000-0000521C0000}"/>
    <cellStyle name="Good 150" xfId="7360" xr:uid="{00000000-0005-0000-0000-0000531C0000}"/>
    <cellStyle name="Good 151" xfId="7361" xr:uid="{00000000-0005-0000-0000-0000541C0000}"/>
    <cellStyle name="Good 152" xfId="7362" xr:uid="{00000000-0005-0000-0000-0000551C0000}"/>
    <cellStyle name="Good 153" xfId="7363" xr:uid="{00000000-0005-0000-0000-0000561C0000}"/>
    <cellStyle name="Good 154" xfId="7364" xr:uid="{00000000-0005-0000-0000-0000571C0000}"/>
    <cellStyle name="Good 155" xfId="7365" xr:uid="{00000000-0005-0000-0000-0000581C0000}"/>
    <cellStyle name="Good 156" xfId="7366" xr:uid="{00000000-0005-0000-0000-0000591C0000}"/>
    <cellStyle name="Good 157" xfId="7367" xr:uid="{00000000-0005-0000-0000-00005A1C0000}"/>
    <cellStyle name="Good 158" xfId="7368" xr:uid="{00000000-0005-0000-0000-00005B1C0000}"/>
    <cellStyle name="Good 159" xfId="7369" xr:uid="{00000000-0005-0000-0000-00005C1C0000}"/>
    <cellStyle name="Good 16" xfId="7370" xr:uid="{00000000-0005-0000-0000-00005D1C0000}"/>
    <cellStyle name="Good 160" xfId="7371" xr:uid="{00000000-0005-0000-0000-00005E1C0000}"/>
    <cellStyle name="Good 161" xfId="7372" xr:uid="{00000000-0005-0000-0000-00005F1C0000}"/>
    <cellStyle name="Good 162" xfId="7373" xr:uid="{00000000-0005-0000-0000-0000601C0000}"/>
    <cellStyle name="Good 163" xfId="7374" xr:uid="{00000000-0005-0000-0000-0000611C0000}"/>
    <cellStyle name="Good 164" xfId="7375" xr:uid="{00000000-0005-0000-0000-0000621C0000}"/>
    <cellStyle name="Good 165" xfId="7376" xr:uid="{00000000-0005-0000-0000-0000631C0000}"/>
    <cellStyle name="Good 166" xfId="7377" xr:uid="{00000000-0005-0000-0000-0000641C0000}"/>
    <cellStyle name="Good 167" xfId="7378" xr:uid="{00000000-0005-0000-0000-0000651C0000}"/>
    <cellStyle name="Good 168" xfId="7379" xr:uid="{00000000-0005-0000-0000-0000661C0000}"/>
    <cellStyle name="Good 169" xfId="7380" xr:uid="{00000000-0005-0000-0000-0000671C0000}"/>
    <cellStyle name="Good 17" xfId="7381" xr:uid="{00000000-0005-0000-0000-0000681C0000}"/>
    <cellStyle name="Good 170" xfId="7382" xr:uid="{00000000-0005-0000-0000-0000691C0000}"/>
    <cellStyle name="Good 171" xfId="7383" xr:uid="{00000000-0005-0000-0000-00006A1C0000}"/>
    <cellStyle name="Good 172" xfId="7384" xr:uid="{00000000-0005-0000-0000-00006B1C0000}"/>
    <cellStyle name="Good 173" xfId="7385" xr:uid="{00000000-0005-0000-0000-00006C1C0000}"/>
    <cellStyle name="Good 174" xfId="7386" xr:uid="{00000000-0005-0000-0000-00006D1C0000}"/>
    <cellStyle name="Good 175" xfId="7387" xr:uid="{00000000-0005-0000-0000-00006E1C0000}"/>
    <cellStyle name="Good 176" xfId="7388" xr:uid="{00000000-0005-0000-0000-00006F1C0000}"/>
    <cellStyle name="Good 177" xfId="7389" xr:uid="{00000000-0005-0000-0000-0000701C0000}"/>
    <cellStyle name="Good 178" xfId="7390" xr:uid="{00000000-0005-0000-0000-0000711C0000}"/>
    <cellStyle name="Good 179" xfId="7391" xr:uid="{00000000-0005-0000-0000-0000721C0000}"/>
    <cellStyle name="Good 18" xfId="7392" xr:uid="{00000000-0005-0000-0000-0000731C0000}"/>
    <cellStyle name="Good 180" xfId="7393" xr:uid="{00000000-0005-0000-0000-0000741C0000}"/>
    <cellStyle name="Good 181" xfId="7394" xr:uid="{00000000-0005-0000-0000-0000751C0000}"/>
    <cellStyle name="Good 182" xfId="7395" xr:uid="{00000000-0005-0000-0000-0000761C0000}"/>
    <cellStyle name="Good 183" xfId="7396" xr:uid="{00000000-0005-0000-0000-0000771C0000}"/>
    <cellStyle name="Good 184" xfId="7397" xr:uid="{00000000-0005-0000-0000-0000781C0000}"/>
    <cellStyle name="Good 185" xfId="7398" xr:uid="{00000000-0005-0000-0000-0000791C0000}"/>
    <cellStyle name="Good 186" xfId="7399" xr:uid="{00000000-0005-0000-0000-00007A1C0000}"/>
    <cellStyle name="Good 187" xfId="7400" xr:uid="{00000000-0005-0000-0000-00007B1C0000}"/>
    <cellStyle name="Good 188" xfId="7401" xr:uid="{00000000-0005-0000-0000-00007C1C0000}"/>
    <cellStyle name="Good 189" xfId="7402" xr:uid="{00000000-0005-0000-0000-00007D1C0000}"/>
    <cellStyle name="Good 19" xfId="7403" xr:uid="{00000000-0005-0000-0000-00007E1C0000}"/>
    <cellStyle name="Good 190" xfId="7404" xr:uid="{00000000-0005-0000-0000-00007F1C0000}"/>
    <cellStyle name="Good 191" xfId="7405" xr:uid="{00000000-0005-0000-0000-0000801C0000}"/>
    <cellStyle name="Good 192" xfId="7406" xr:uid="{00000000-0005-0000-0000-0000811C0000}"/>
    <cellStyle name="Good 193" xfId="7407" xr:uid="{00000000-0005-0000-0000-0000821C0000}"/>
    <cellStyle name="Good 194" xfId="7408" xr:uid="{00000000-0005-0000-0000-0000831C0000}"/>
    <cellStyle name="Good 195" xfId="7409" xr:uid="{00000000-0005-0000-0000-0000841C0000}"/>
    <cellStyle name="Good 196" xfId="7410" xr:uid="{00000000-0005-0000-0000-0000851C0000}"/>
    <cellStyle name="Good 197" xfId="7411" xr:uid="{00000000-0005-0000-0000-0000861C0000}"/>
    <cellStyle name="Good 198" xfId="7412" xr:uid="{00000000-0005-0000-0000-0000871C0000}"/>
    <cellStyle name="Good 199" xfId="7413" xr:uid="{00000000-0005-0000-0000-0000881C0000}"/>
    <cellStyle name="Good 2" xfId="217" xr:uid="{00000000-0005-0000-0000-0000891C0000}"/>
    <cellStyle name="Good 2 2" xfId="7414" xr:uid="{00000000-0005-0000-0000-00008A1C0000}"/>
    <cellStyle name="Good 2 3" xfId="7415" xr:uid="{00000000-0005-0000-0000-00008B1C0000}"/>
    <cellStyle name="Good 2 4" xfId="7416" xr:uid="{00000000-0005-0000-0000-00008C1C0000}"/>
    <cellStyle name="Good 20" xfId="7417" xr:uid="{00000000-0005-0000-0000-00008D1C0000}"/>
    <cellStyle name="Good 200" xfId="7418" xr:uid="{00000000-0005-0000-0000-00008E1C0000}"/>
    <cellStyle name="Good 201" xfId="7419" xr:uid="{00000000-0005-0000-0000-00008F1C0000}"/>
    <cellStyle name="Good 202" xfId="7420" xr:uid="{00000000-0005-0000-0000-0000901C0000}"/>
    <cellStyle name="Good 203" xfId="7421" xr:uid="{00000000-0005-0000-0000-0000911C0000}"/>
    <cellStyle name="Good 204" xfId="7422" xr:uid="{00000000-0005-0000-0000-0000921C0000}"/>
    <cellStyle name="Good 205" xfId="7423" xr:uid="{00000000-0005-0000-0000-0000931C0000}"/>
    <cellStyle name="Good 206" xfId="7424" xr:uid="{00000000-0005-0000-0000-0000941C0000}"/>
    <cellStyle name="Good 207" xfId="7425" xr:uid="{00000000-0005-0000-0000-0000951C0000}"/>
    <cellStyle name="Good 208" xfId="7426" xr:uid="{00000000-0005-0000-0000-0000961C0000}"/>
    <cellStyle name="Good 209" xfId="7427" xr:uid="{00000000-0005-0000-0000-0000971C0000}"/>
    <cellStyle name="Good 21" xfId="7428" xr:uid="{00000000-0005-0000-0000-0000981C0000}"/>
    <cellStyle name="Good 210" xfId="7429" xr:uid="{00000000-0005-0000-0000-0000991C0000}"/>
    <cellStyle name="Good 211" xfId="7430" xr:uid="{00000000-0005-0000-0000-00009A1C0000}"/>
    <cellStyle name="Good 212" xfId="7431" xr:uid="{00000000-0005-0000-0000-00009B1C0000}"/>
    <cellStyle name="Good 213" xfId="7432" xr:uid="{00000000-0005-0000-0000-00009C1C0000}"/>
    <cellStyle name="Good 214" xfId="7433" xr:uid="{00000000-0005-0000-0000-00009D1C0000}"/>
    <cellStyle name="Good 215" xfId="7434" xr:uid="{00000000-0005-0000-0000-00009E1C0000}"/>
    <cellStyle name="Good 216" xfId="7435" xr:uid="{00000000-0005-0000-0000-00009F1C0000}"/>
    <cellStyle name="Good 217" xfId="7436" xr:uid="{00000000-0005-0000-0000-0000A01C0000}"/>
    <cellStyle name="Good 218" xfId="7437" xr:uid="{00000000-0005-0000-0000-0000A11C0000}"/>
    <cellStyle name="Good 219" xfId="7438" xr:uid="{00000000-0005-0000-0000-0000A21C0000}"/>
    <cellStyle name="Good 22" xfId="7439" xr:uid="{00000000-0005-0000-0000-0000A31C0000}"/>
    <cellStyle name="Good 220" xfId="7440" xr:uid="{00000000-0005-0000-0000-0000A41C0000}"/>
    <cellStyle name="Good 221" xfId="7441" xr:uid="{00000000-0005-0000-0000-0000A51C0000}"/>
    <cellStyle name="Good 222" xfId="7442" xr:uid="{00000000-0005-0000-0000-0000A61C0000}"/>
    <cellStyle name="Good 223" xfId="7443" xr:uid="{00000000-0005-0000-0000-0000A71C0000}"/>
    <cellStyle name="Good 224" xfId="7444" xr:uid="{00000000-0005-0000-0000-0000A81C0000}"/>
    <cellStyle name="Good 225" xfId="7445" xr:uid="{00000000-0005-0000-0000-0000A91C0000}"/>
    <cellStyle name="Good 226" xfId="7446" xr:uid="{00000000-0005-0000-0000-0000AA1C0000}"/>
    <cellStyle name="Good 227" xfId="7447" xr:uid="{00000000-0005-0000-0000-0000AB1C0000}"/>
    <cellStyle name="Good 228" xfId="7448" xr:uid="{00000000-0005-0000-0000-0000AC1C0000}"/>
    <cellStyle name="Good 229" xfId="7449" xr:uid="{00000000-0005-0000-0000-0000AD1C0000}"/>
    <cellStyle name="Good 23" xfId="7450" xr:uid="{00000000-0005-0000-0000-0000AE1C0000}"/>
    <cellStyle name="Good 230" xfId="7451" xr:uid="{00000000-0005-0000-0000-0000AF1C0000}"/>
    <cellStyle name="Good 231" xfId="7452" xr:uid="{00000000-0005-0000-0000-0000B01C0000}"/>
    <cellStyle name="Good 232" xfId="7453" xr:uid="{00000000-0005-0000-0000-0000B11C0000}"/>
    <cellStyle name="Good 233" xfId="7454" xr:uid="{00000000-0005-0000-0000-0000B21C0000}"/>
    <cellStyle name="Good 234" xfId="7455" xr:uid="{00000000-0005-0000-0000-0000B31C0000}"/>
    <cellStyle name="Good 235" xfId="7456" xr:uid="{00000000-0005-0000-0000-0000B41C0000}"/>
    <cellStyle name="Good 236" xfId="7457" xr:uid="{00000000-0005-0000-0000-0000B51C0000}"/>
    <cellStyle name="Good 237" xfId="7458" xr:uid="{00000000-0005-0000-0000-0000B61C0000}"/>
    <cellStyle name="Good 238" xfId="7459" xr:uid="{00000000-0005-0000-0000-0000B71C0000}"/>
    <cellStyle name="Good 239" xfId="7460" xr:uid="{00000000-0005-0000-0000-0000B81C0000}"/>
    <cellStyle name="Good 24" xfId="7461" xr:uid="{00000000-0005-0000-0000-0000B91C0000}"/>
    <cellStyle name="Good 240" xfId="7462" xr:uid="{00000000-0005-0000-0000-0000BA1C0000}"/>
    <cellStyle name="Good 241" xfId="7463" xr:uid="{00000000-0005-0000-0000-0000BB1C0000}"/>
    <cellStyle name="Good 242" xfId="7464" xr:uid="{00000000-0005-0000-0000-0000BC1C0000}"/>
    <cellStyle name="Good 243" xfId="7465" xr:uid="{00000000-0005-0000-0000-0000BD1C0000}"/>
    <cellStyle name="Good 244" xfId="7466" xr:uid="{00000000-0005-0000-0000-0000BE1C0000}"/>
    <cellStyle name="Good 245" xfId="7467" xr:uid="{00000000-0005-0000-0000-0000BF1C0000}"/>
    <cellStyle name="Good 246" xfId="7468" xr:uid="{00000000-0005-0000-0000-0000C01C0000}"/>
    <cellStyle name="Good 247" xfId="7469" xr:uid="{00000000-0005-0000-0000-0000C11C0000}"/>
    <cellStyle name="Good 248" xfId="7470" xr:uid="{00000000-0005-0000-0000-0000C21C0000}"/>
    <cellStyle name="Good 249" xfId="7471" xr:uid="{00000000-0005-0000-0000-0000C31C0000}"/>
    <cellStyle name="Good 25" xfId="7472" xr:uid="{00000000-0005-0000-0000-0000C41C0000}"/>
    <cellStyle name="Good 250" xfId="7473" xr:uid="{00000000-0005-0000-0000-0000C51C0000}"/>
    <cellStyle name="Good 251" xfId="7474" xr:uid="{00000000-0005-0000-0000-0000C61C0000}"/>
    <cellStyle name="Good 252" xfId="7475" xr:uid="{00000000-0005-0000-0000-0000C71C0000}"/>
    <cellStyle name="Good 253" xfId="7476" xr:uid="{00000000-0005-0000-0000-0000C81C0000}"/>
    <cellStyle name="Good 254" xfId="7477" xr:uid="{00000000-0005-0000-0000-0000C91C0000}"/>
    <cellStyle name="Good 255" xfId="7478" xr:uid="{00000000-0005-0000-0000-0000CA1C0000}"/>
    <cellStyle name="Good 256" xfId="7479" xr:uid="{00000000-0005-0000-0000-0000CB1C0000}"/>
    <cellStyle name="Good 257" xfId="7480" xr:uid="{00000000-0005-0000-0000-0000CC1C0000}"/>
    <cellStyle name="Good 258" xfId="7481" xr:uid="{00000000-0005-0000-0000-0000CD1C0000}"/>
    <cellStyle name="Good 259" xfId="7482" xr:uid="{00000000-0005-0000-0000-0000CE1C0000}"/>
    <cellStyle name="Good 26" xfId="7483" xr:uid="{00000000-0005-0000-0000-0000CF1C0000}"/>
    <cellStyle name="Good 260" xfId="7484" xr:uid="{00000000-0005-0000-0000-0000D01C0000}"/>
    <cellStyle name="Good 261" xfId="7485" xr:uid="{00000000-0005-0000-0000-0000D11C0000}"/>
    <cellStyle name="Good 262" xfId="7486" xr:uid="{00000000-0005-0000-0000-0000D21C0000}"/>
    <cellStyle name="Good 263" xfId="7487" xr:uid="{00000000-0005-0000-0000-0000D31C0000}"/>
    <cellStyle name="Good 264" xfId="7488" xr:uid="{00000000-0005-0000-0000-0000D41C0000}"/>
    <cellStyle name="Good 265" xfId="7489" xr:uid="{00000000-0005-0000-0000-0000D51C0000}"/>
    <cellStyle name="Good 266" xfId="7490" xr:uid="{00000000-0005-0000-0000-0000D61C0000}"/>
    <cellStyle name="Good 267" xfId="7491" xr:uid="{00000000-0005-0000-0000-0000D71C0000}"/>
    <cellStyle name="Good 268" xfId="7492" xr:uid="{00000000-0005-0000-0000-0000D81C0000}"/>
    <cellStyle name="Good 269" xfId="7493" xr:uid="{00000000-0005-0000-0000-0000D91C0000}"/>
    <cellStyle name="Good 27" xfId="7494" xr:uid="{00000000-0005-0000-0000-0000DA1C0000}"/>
    <cellStyle name="Good 270" xfId="7495" xr:uid="{00000000-0005-0000-0000-0000DB1C0000}"/>
    <cellStyle name="Good 271" xfId="7496" xr:uid="{00000000-0005-0000-0000-0000DC1C0000}"/>
    <cellStyle name="Good 272" xfId="7497" xr:uid="{00000000-0005-0000-0000-0000DD1C0000}"/>
    <cellStyle name="Good 273" xfId="7498" xr:uid="{00000000-0005-0000-0000-0000DE1C0000}"/>
    <cellStyle name="Good 274" xfId="7499" xr:uid="{00000000-0005-0000-0000-0000DF1C0000}"/>
    <cellStyle name="Good 275" xfId="7500" xr:uid="{00000000-0005-0000-0000-0000E01C0000}"/>
    <cellStyle name="Good 276" xfId="7501" xr:uid="{00000000-0005-0000-0000-0000E11C0000}"/>
    <cellStyle name="Good 277" xfId="7502" xr:uid="{00000000-0005-0000-0000-0000E21C0000}"/>
    <cellStyle name="Good 278" xfId="7503" xr:uid="{00000000-0005-0000-0000-0000E31C0000}"/>
    <cellStyle name="Good 279" xfId="7504" xr:uid="{00000000-0005-0000-0000-0000E41C0000}"/>
    <cellStyle name="Good 28" xfId="7505" xr:uid="{00000000-0005-0000-0000-0000E51C0000}"/>
    <cellStyle name="Good 280" xfId="7506" xr:uid="{00000000-0005-0000-0000-0000E61C0000}"/>
    <cellStyle name="Good 281" xfId="7507" xr:uid="{00000000-0005-0000-0000-0000E71C0000}"/>
    <cellStyle name="Good 282" xfId="7508" xr:uid="{00000000-0005-0000-0000-0000E81C0000}"/>
    <cellStyle name="Good 283" xfId="7509" xr:uid="{00000000-0005-0000-0000-0000E91C0000}"/>
    <cellStyle name="Good 284" xfId="7510" xr:uid="{00000000-0005-0000-0000-0000EA1C0000}"/>
    <cellStyle name="Good 285" xfId="7511" xr:uid="{00000000-0005-0000-0000-0000EB1C0000}"/>
    <cellStyle name="Good 286" xfId="7512" xr:uid="{00000000-0005-0000-0000-0000EC1C0000}"/>
    <cellStyle name="Good 287" xfId="7513" xr:uid="{00000000-0005-0000-0000-0000ED1C0000}"/>
    <cellStyle name="Good 288" xfId="7514" xr:uid="{00000000-0005-0000-0000-0000EE1C0000}"/>
    <cellStyle name="Good 289" xfId="7515" xr:uid="{00000000-0005-0000-0000-0000EF1C0000}"/>
    <cellStyle name="Good 29" xfId="7516" xr:uid="{00000000-0005-0000-0000-0000F01C0000}"/>
    <cellStyle name="Good 290" xfId="7517" xr:uid="{00000000-0005-0000-0000-0000F11C0000}"/>
    <cellStyle name="Good 291" xfId="7518" xr:uid="{00000000-0005-0000-0000-0000F21C0000}"/>
    <cellStyle name="Good 292" xfId="7519" xr:uid="{00000000-0005-0000-0000-0000F31C0000}"/>
    <cellStyle name="Good 293" xfId="7520" xr:uid="{00000000-0005-0000-0000-0000F41C0000}"/>
    <cellStyle name="Good 294" xfId="7521" xr:uid="{00000000-0005-0000-0000-0000F51C0000}"/>
    <cellStyle name="Good 295" xfId="7522" xr:uid="{00000000-0005-0000-0000-0000F61C0000}"/>
    <cellStyle name="Good 296" xfId="7523" xr:uid="{00000000-0005-0000-0000-0000F71C0000}"/>
    <cellStyle name="Good 297" xfId="7524" xr:uid="{00000000-0005-0000-0000-0000F81C0000}"/>
    <cellStyle name="Good 298" xfId="7525" xr:uid="{00000000-0005-0000-0000-0000F91C0000}"/>
    <cellStyle name="Good 299" xfId="7526" xr:uid="{00000000-0005-0000-0000-0000FA1C0000}"/>
    <cellStyle name="Good 3" xfId="7527" xr:uid="{00000000-0005-0000-0000-0000FB1C0000}"/>
    <cellStyle name="Good 3 2" xfId="7528" xr:uid="{00000000-0005-0000-0000-0000FC1C0000}"/>
    <cellStyle name="Good 3 3" xfId="7529" xr:uid="{00000000-0005-0000-0000-0000FD1C0000}"/>
    <cellStyle name="Good 30" xfId="7530" xr:uid="{00000000-0005-0000-0000-0000FE1C0000}"/>
    <cellStyle name="Good 300" xfId="7531" xr:uid="{00000000-0005-0000-0000-0000FF1C0000}"/>
    <cellStyle name="Good 301" xfId="7532" xr:uid="{00000000-0005-0000-0000-0000001D0000}"/>
    <cellStyle name="Good 302" xfId="7533" xr:uid="{00000000-0005-0000-0000-0000011D0000}"/>
    <cellStyle name="Good 303" xfId="7534" xr:uid="{00000000-0005-0000-0000-0000021D0000}"/>
    <cellStyle name="Good 304" xfId="7535" xr:uid="{00000000-0005-0000-0000-0000031D0000}"/>
    <cellStyle name="Good 305" xfId="7536" xr:uid="{00000000-0005-0000-0000-0000041D0000}"/>
    <cellStyle name="Good 306" xfId="7537" xr:uid="{00000000-0005-0000-0000-0000051D0000}"/>
    <cellStyle name="Good 307" xfId="7538" xr:uid="{00000000-0005-0000-0000-0000061D0000}"/>
    <cellStyle name="Good 308" xfId="7539" xr:uid="{00000000-0005-0000-0000-0000071D0000}"/>
    <cellStyle name="Good 309" xfId="7540" xr:uid="{00000000-0005-0000-0000-0000081D0000}"/>
    <cellStyle name="Good 31" xfId="7541" xr:uid="{00000000-0005-0000-0000-0000091D0000}"/>
    <cellStyle name="Good 310" xfId="7542" xr:uid="{00000000-0005-0000-0000-00000A1D0000}"/>
    <cellStyle name="Good 311" xfId="7543" xr:uid="{00000000-0005-0000-0000-00000B1D0000}"/>
    <cellStyle name="Good 312" xfId="7544" xr:uid="{00000000-0005-0000-0000-00000C1D0000}"/>
    <cellStyle name="Good 313" xfId="7545" xr:uid="{00000000-0005-0000-0000-00000D1D0000}"/>
    <cellStyle name="Good 314" xfId="7546" xr:uid="{00000000-0005-0000-0000-00000E1D0000}"/>
    <cellStyle name="Good 315" xfId="7547" xr:uid="{00000000-0005-0000-0000-00000F1D0000}"/>
    <cellStyle name="Good 316" xfId="7548" xr:uid="{00000000-0005-0000-0000-0000101D0000}"/>
    <cellStyle name="Good 317" xfId="7549" xr:uid="{00000000-0005-0000-0000-0000111D0000}"/>
    <cellStyle name="Good 318" xfId="7550" xr:uid="{00000000-0005-0000-0000-0000121D0000}"/>
    <cellStyle name="Good 319" xfId="7551" xr:uid="{00000000-0005-0000-0000-0000131D0000}"/>
    <cellStyle name="Good 32" xfId="7552" xr:uid="{00000000-0005-0000-0000-0000141D0000}"/>
    <cellStyle name="Good 320" xfId="7553" xr:uid="{00000000-0005-0000-0000-0000151D0000}"/>
    <cellStyle name="Good 321" xfId="7554" xr:uid="{00000000-0005-0000-0000-0000161D0000}"/>
    <cellStyle name="Good 322" xfId="7555" xr:uid="{00000000-0005-0000-0000-0000171D0000}"/>
    <cellStyle name="Good 323" xfId="7556" xr:uid="{00000000-0005-0000-0000-0000181D0000}"/>
    <cellStyle name="Good 324" xfId="7557" xr:uid="{00000000-0005-0000-0000-0000191D0000}"/>
    <cellStyle name="Good 325" xfId="7558" xr:uid="{00000000-0005-0000-0000-00001A1D0000}"/>
    <cellStyle name="Good 326" xfId="7559" xr:uid="{00000000-0005-0000-0000-00001B1D0000}"/>
    <cellStyle name="Good 327" xfId="7560" xr:uid="{00000000-0005-0000-0000-00001C1D0000}"/>
    <cellStyle name="Good 328" xfId="7561" xr:uid="{00000000-0005-0000-0000-00001D1D0000}"/>
    <cellStyle name="Good 329" xfId="7562" xr:uid="{00000000-0005-0000-0000-00001E1D0000}"/>
    <cellStyle name="Good 33" xfId="7563" xr:uid="{00000000-0005-0000-0000-00001F1D0000}"/>
    <cellStyle name="Good 330" xfId="7564" xr:uid="{00000000-0005-0000-0000-0000201D0000}"/>
    <cellStyle name="Good 331" xfId="7565" xr:uid="{00000000-0005-0000-0000-0000211D0000}"/>
    <cellStyle name="Good 332" xfId="7566" xr:uid="{00000000-0005-0000-0000-0000221D0000}"/>
    <cellStyle name="Good 333" xfId="7567" xr:uid="{00000000-0005-0000-0000-0000231D0000}"/>
    <cellStyle name="Good 334" xfId="7568" xr:uid="{00000000-0005-0000-0000-0000241D0000}"/>
    <cellStyle name="Good 335" xfId="7569" xr:uid="{00000000-0005-0000-0000-0000251D0000}"/>
    <cellStyle name="Good 336" xfId="7570" xr:uid="{00000000-0005-0000-0000-0000261D0000}"/>
    <cellStyle name="Good 337" xfId="7571" xr:uid="{00000000-0005-0000-0000-0000271D0000}"/>
    <cellStyle name="Good 338" xfId="7572" xr:uid="{00000000-0005-0000-0000-0000281D0000}"/>
    <cellStyle name="Good 339" xfId="7573" xr:uid="{00000000-0005-0000-0000-0000291D0000}"/>
    <cellStyle name="Good 34" xfId="7574" xr:uid="{00000000-0005-0000-0000-00002A1D0000}"/>
    <cellStyle name="Good 340" xfId="7575" xr:uid="{00000000-0005-0000-0000-00002B1D0000}"/>
    <cellStyle name="Good 341" xfId="7576" xr:uid="{00000000-0005-0000-0000-00002C1D0000}"/>
    <cellStyle name="Good 342" xfId="7577" xr:uid="{00000000-0005-0000-0000-00002D1D0000}"/>
    <cellStyle name="Good 343" xfId="7578" xr:uid="{00000000-0005-0000-0000-00002E1D0000}"/>
    <cellStyle name="Good 344" xfId="7579" xr:uid="{00000000-0005-0000-0000-00002F1D0000}"/>
    <cellStyle name="Good 345" xfId="7580" xr:uid="{00000000-0005-0000-0000-0000301D0000}"/>
    <cellStyle name="Good 346" xfId="7581" xr:uid="{00000000-0005-0000-0000-0000311D0000}"/>
    <cellStyle name="Good 347" xfId="7582" xr:uid="{00000000-0005-0000-0000-0000321D0000}"/>
    <cellStyle name="Good 348" xfId="7583" xr:uid="{00000000-0005-0000-0000-0000331D0000}"/>
    <cellStyle name="Good 349" xfId="7584" xr:uid="{00000000-0005-0000-0000-0000341D0000}"/>
    <cellStyle name="Good 35" xfId="7585" xr:uid="{00000000-0005-0000-0000-0000351D0000}"/>
    <cellStyle name="Good 350" xfId="7586" xr:uid="{00000000-0005-0000-0000-0000361D0000}"/>
    <cellStyle name="Good 351" xfId="7587" xr:uid="{00000000-0005-0000-0000-0000371D0000}"/>
    <cellStyle name="Good 352" xfId="7588" xr:uid="{00000000-0005-0000-0000-0000381D0000}"/>
    <cellStyle name="Good 353" xfId="7589" xr:uid="{00000000-0005-0000-0000-0000391D0000}"/>
    <cellStyle name="Good 354" xfId="7590" xr:uid="{00000000-0005-0000-0000-00003A1D0000}"/>
    <cellStyle name="Good 355" xfId="7591" xr:uid="{00000000-0005-0000-0000-00003B1D0000}"/>
    <cellStyle name="Good 356" xfId="7592" xr:uid="{00000000-0005-0000-0000-00003C1D0000}"/>
    <cellStyle name="Good 357" xfId="7593" xr:uid="{00000000-0005-0000-0000-00003D1D0000}"/>
    <cellStyle name="Good 358" xfId="7594" xr:uid="{00000000-0005-0000-0000-00003E1D0000}"/>
    <cellStyle name="Good 359" xfId="7595" xr:uid="{00000000-0005-0000-0000-00003F1D0000}"/>
    <cellStyle name="Good 36" xfId="7596" xr:uid="{00000000-0005-0000-0000-0000401D0000}"/>
    <cellStyle name="Good 360" xfId="7597" xr:uid="{00000000-0005-0000-0000-0000411D0000}"/>
    <cellStyle name="Good 361" xfId="7598" xr:uid="{00000000-0005-0000-0000-0000421D0000}"/>
    <cellStyle name="Good 362" xfId="7599" xr:uid="{00000000-0005-0000-0000-0000431D0000}"/>
    <cellStyle name="Good 363" xfId="7600" xr:uid="{00000000-0005-0000-0000-0000441D0000}"/>
    <cellStyle name="Good 364" xfId="7601" xr:uid="{00000000-0005-0000-0000-0000451D0000}"/>
    <cellStyle name="Good 365" xfId="7602" xr:uid="{00000000-0005-0000-0000-0000461D0000}"/>
    <cellStyle name="Good 366" xfId="7603" xr:uid="{00000000-0005-0000-0000-0000471D0000}"/>
    <cellStyle name="Good 367" xfId="7604" xr:uid="{00000000-0005-0000-0000-0000481D0000}"/>
    <cellStyle name="Good 368" xfId="7605" xr:uid="{00000000-0005-0000-0000-0000491D0000}"/>
    <cellStyle name="Good 369" xfId="7606" xr:uid="{00000000-0005-0000-0000-00004A1D0000}"/>
    <cellStyle name="Good 37" xfId="7607" xr:uid="{00000000-0005-0000-0000-00004B1D0000}"/>
    <cellStyle name="Good 370" xfId="7608" xr:uid="{00000000-0005-0000-0000-00004C1D0000}"/>
    <cellStyle name="Good 371" xfId="7609" xr:uid="{00000000-0005-0000-0000-00004D1D0000}"/>
    <cellStyle name="Good 372" xfId="7610" xr:uid="{00000000-0005-0000-0000-00004E1D0000}"/>
    <cellStyle name="Good 373" xfId="7611" xr:uid="{00000000-0005-0000-0000-00004F1D0000}"/>
    <cellStyle name="Good 374" xfId="7612" xr:uid="{00000000-0005-0000-0000-0000501D0000}"/>
    <cellStyle name="Good 375" xfId="7613" xr:uid="{00000000-0005-0000-0000-0000511D0000}"/>
    <cellStyle name="Good 376" xfId="7614" xr:uid="{00000000-0005-0000-0000-0000521D0000}"/>
    <cellStyle name="Good 377" xfId="7615" xr:uid="{00000000-0005-0000-0000-0000531D0000}"/>
    <cellStyle name="Good 378" xfId="7616" xr:uid="{00000000-0005-0000-0000-0000541D0000}"/>
    <cellStyle name="Good 379" xfId="7617" xr:uid="{00000000-0005-0000-0000-0000551D0000}"/>
    <cellStyle name="Good 38" xfId="7618" xr:uid="{00000000-0005-0000-0000-0000561D0000}"/>
    <cellStyle name="Good 380" xfId="7619" xr:uid="{00000000-0005-0000-0000-0000571D0000}"/>
    <cellStyle name="Good 381" xfId="7620" xr:uid="{00000000-0005-0000-0000-0000581D0000}"/>
    <cellStyle name="Good 382" xfId="7621" xr:uid="{00000000-0005-0000-0000-0000591D0000}"/>
    <cellStyle name="Good 383" xfId="7622" xr:uid="{00000000-0005-0000-0000-00005A1D0000}"/>
    <cellStyle name="Good 384" xfId="7623" xr:uid="{00000000-0005-0000-0000-00005B1D0000}"/>
    <cellStyle name="Good 385" xfId="7624" xr:uid="{00000000-0005-0000-0000-00005C1D0000}"/>
    <cellStyle name="Good 386" xfId="7625" xr:uid="{00000000-0005-0000-0000-00005D1D0000}"/>
    <cellStyle name="Good 387" xfId="7626" xr:uid="{00000000-0005-0000-0000-00005E1D0000}"/>
    <cellStyle name="Good 388" xfId="7627" xr:uid="{00000000-0005-0000-0000-00005F1D0000}"/>
    <cellStyle name="Good 389" xfId="7628" xr:uid="{00000000-0005-0000-0000-0000601D0000}"/>
    <cellStyle name="Good 39" xfId="7629" xr:uid="{00000000-0005-0000-0000-0000611D0000}"/>
    <cellStyle name="Good 390" xfId="7630" xr:uid="{00000000-0005-0000-0000-0000621D0000}"/>
    <cellStyle name="Good 391" xfId="7631" xr:uid="{00000000-0005-0000-0000-0000631D0000}"/>
    <cellStyle name="Good 392" xfId="7632" xr:uid="{00000000-0005-0000-0000-0000641D0000}"/>
    <cellStyle name="Good 393" xfId="7633" xr:uid="{00000000-0005-0000-0000-0000651D0000}"/>
    <cellStyle name="Good 394" xfId="7634" xr:uid="{00000000-0005-0000-0000-0000661D0000}"/>
    <cellStyle name="Good 395" xfId="7635" xr:uid="{00000000-0005-0000-0000-0000671D0000}"/>
    <cellStyle name="Good 396" xfId="7636" xr:uid="{00000000-0005-0000-0000-0000681D0000}"/>
    <cellStyle name="Good 397" xfId="7637" xr:uid="{00000000-0005-0000-0000-0000691D0000}"/>
    <cellStyle name="Good 398" xfId="7638" xr:uid="{00000000-0005-0000-0000-00006A1D0000}"/>
    <cellStyle name="Good 399" xfId="7639" xr:uid="{00000000-0005-0000-0000-00006B1D0000}"/>
    <cellStyle name="Good 4" xfId="7640" xr:uid="{00000000-0005-0000-0000-00006C1D0000}"/>
    <cellStyle name="Good 40" xfId="7641" xr:uid="{00000000-0005-0000-0000-00006D1D0000}"/>
    <cellStyle name="Good 400" xfId="7642" xr:uid="{00000000-0005-0000-0000-00006E1D0000}"/>
    <cellStyle name="Good 401" xfId="7643" xr:uid="{00000000-0005-0000-0000-00006F1D0000}"/>
    <cellStyle name="Good 402" xfId="7644" xr:uid="{00000000-0005-0000-0000-0000701D0000}"/>
    <cellStyle name="Good 403" xfId="7645" xr:uid="{00000000-0005-0000-0000-0000711D0000}"/>
    <cellStyle name="Good 404" xfId="7646" xr:uid="{00000000-0005-0000-0000-0000721D0000}"/>
    <cellStyle name="Good 405" xfId="7647" xr:uid="{00000000-0005-0000-0000-0000731D0000}"/>
    <cellStyle name="Good 406" xfId="7648" xr:uid="{00000000-0005-0000-0000-0000741D0000}"/>
    <cellStyle name="Good 407" xfId="7649" xr:uid="{00000000-0005-0000-0000-0000751D0000}"/>
    <cellStyle name="Good 408" xfId="7650" xr:uid="{00000000-0005-0000-0000-0000761D0000}"/>
    <cellStyle name="Good 409" xfId="7651" xr:uid="{00000000-0005-0000-0000-0000771D0000}"/>
    <cellStyle name="Good 41" xfId="7652" xr:uid="{00000000-0005-0000-0000-0000781D0000}"/>
    <cellStyle name="Good 410" xfId="7653" xr:uid="{00000000-0005-0000-0000-0000791D0000}"/>
    <cellStyle name="Good 411" xfId="7654" xr:uid="{00000000-0005-0000-0000-00007A1D0000}"/>
    <cellStyle name="Good 412" xfId="7655" xr:uid="{00000000-0005-0000-0000-00007B1D0000}"/>
    <cellStyle name="Good 413" xfId="7656" xr:uid="{00000000-0005-0000-0000-00007C1D0000}"/>
    <cellStyle name="Good 414" xfId="7657" xr:uid="{00000000-0005-0000-0000-00007D1D0000}"/>
    <cellStyle name="Good 415" xfId="7658" xr:uid="{00000000-0005-0000-0000-00007E1D0000}"/>
    <cellStyle name="Good 416" xfId="7659" xr:uid="{00000000-0005-0000-0000-00007F1D0000}"/>
    <cellStyle name="Good 417" xfId="7660" xr:uid="{00000000-0005-0000-0000-0000801D0000}"/>
    <cellStyle name="Good 418" xfId="7661" xr:uid="{00000000-0005-0000-0000-0000811D0000}"/>
    <cellStyle name="Good 419" xfId="7662" xr:uid="{00000000-0005-0000-0000-0000821D0000}"/>
    <cellStyle name="Good 42" xfId="7663" xr:uid="{00000000-0005-0000-0000-0000831D0000}"/>
    <cellStyle name="Good 420" xfId="7664" xr:uid="{00000000-0005-0000-0000-0000841D0000}"/>
    <cellStyle name="Good 421" xfId="7665" xr:uid="{00000000-0005-0000-0000-0000851D0000}"/>
    <cellStyle name="Good 422" xfId="7666" xr:uid="{00000000-0005-0000-0000-0000861D0000}"/>
    <cellStyle name="Good 423" xfId="7667" xr:uid="{00000000-0005-0000-0000-0000871D0000}"/>
    <cellStyle name="Good 424" xfId="7668" xr:uid="{00000000-0005-0000-0000-0000881D0000}"/>
    <cellStyle name="Good 425" xfId="7669" xr:uid="{00000000-0005-0000-0000-0000891D0000}"/>
    <cellStyle name="Good 426" xfId="7670" xr:uid="{00000000-0005-0000-0000-00008A1D0000}"/>
    <cellStyle name="Good 427" xfId="7671" xr:uid="{00000000-0005-0000-0000-00008B1D0000}"/>
    <cellStyle name="Good 428" xfId="7672" xr:uid="{00000000-0005-0000-0000-00008C1D0000}"/>
    <cellStyle name="Good 429" xfId="7673" xr:uid="{00000000-0005-0000-0000-00008D1D0000}"/>
    <cellStyle name="Good 43" xfId="7674" xr:uid="{00000000-0005-0000-0000-00008E1D0000}"/>
    <cellStyle name="Good 430" xfId="7675" xr:uid="{00000000-0005-0000-0000-00008F1D0000}"/>
    <cellStyle name="Good 431" xfId="7676" xr:uid="{00000000-0005-0000-0000-0000901D0000}"/>
    <cellStyle name="Good 432" xfId="7677" xr:uid="{00000000-0005-0000-0000-0000911D0000}"/>
    <cellStyle name="Good 433" xfId="7678" xr:uid="{00000000-0005-0000-0000-0000921D0000}"/>
    <cellStyle name="Good 434" xfId="7679" xr:uid="{00000000-0005-0000-0000-0000931D0000}"/>
    <cellStyle name="Good 435" xfId="7680" xr:uid="{00000000-0005-0000-0000-0000941D0000}"/>
    <cellStyle name="Good 436" xfId="7681" xr:uid="{00000000-0005-0000-0000-0000951D0000}"/>
    <cellStyle name="Good 437" xfId="7682" xr:uid="{00000000-0005-0000-0000-0000961D0000}"/>
    <cellStyle name="Good 438" xfId="7683" xr:uid="{00000000-0005-0000-0000-0000971D0000}"/>
    <cellStyle name="Good 439" xfId="7684" xr:uid="{00000000-0005-0000-0000-0000981D0000}"/>
    <cellStyle name="Good 44" xfId="7685" xr:uid="{00000000-0005-0000-0000-0000991D0000}"/>
    <cellStyle name="Good 440" xfId="7686" xr:uid="{00000000-0005-0000-0000-00009A1D0000}"/>
    <cellStyle name="Good 441" xfId="7687" xr:uid="{00000000-0005-0000-0000-00009B1D0000}"/>
    <cellStyle name="Good 442" xfId="7688" xr:uid="{00000000-0005-0000-0000-00009C1D0000}"/>
    <cellStyle name="Good 443" xfId="7689" xr:uid="{00000000-0005-0000-0000-00009D1D0000}"/>
    <cellStyle name="Good 444" xfId="7690" xr:uid="{00000000-0005-0000-0000-00009E1D0000}"/>
    <cellStyle name="Good 445" xfId="7691" xr:uid="{00000000-0005-0000-0000-00009F1D0000}"/>
    <cellStyle name="Good 446" xfId="7692" xr:uid="{00000000-0005-0000-0000-0000A01D0000}"/>
    <cellStyle name="Good 447" xfId="7693" xr:uid="{00000000-0005-0000-0000-0000A11D0000}"/>
    <cellStyle name="Good 448" xfId="7694" xr:uid="{00000000-0005-0000-0000-0000A21D0000}"/>
    <cellStyle name="Good 449" xfId="7695" xr:uid="{00000000-0005-0000-0000-0000A31D0000}"/>
    <cellStyle name="Good 45" xfId="7696" xr:uid="{00000000-0005-0000-0000-0000A41D0000}"/>
    <cellStyle name="Good 450" xfId="7697" xr:uid="{00000000-0005-0000-0000-0000A51D0000}"/>
    <cellStyle name="Good 451" xfId="7698" xr:uid="{00000000-0005-0000-0000-0000A61D0000}"/>
    <cellStyle name="Good 452" xfId="7699" xr:uid="{00000000-0005-0000-0000-0000A71D0000}"/>
    <cellStyle name="Good 453" xfId="7700" xr:uid="{00000000-0005-0000-0000-0000A81D0000}"/>
    <cellStyle name="Good 454" xfId="7701" xr:uid="{00000000-0005-0000-0000-0000A91D0000}"/>
    <cellStyle name="Good 455" xfId="7702" xr:uid="{00000000-0005-0000-0000-0000AA1D0000}"/>
    <cellStyle name="Good 456" xfId="7703" xr:uid="{00000000-0005-0000-0000-0000AB1D0000}"/>
    <cellStyle name="Good 457" xfId="7704" xr:uid="{00000000-0005-0000-0000-0000AC1D0000}"/>
    <cellStyle name="Good 458" xfId="7705" xr:uid="{00000000-0005-0000-0000-0000AD1D0000}"/>
    <cellStyle name="Good 459" xfId="7706" xr:uid="{00000000-0005-0000-0000-0000AE1D0000}"/>
    <cellStyle name="Good 46" xfId="7707" xr:uid="{00000000-0005-0000-0000-0000AF1D0000}"/>
    <cellStyle name="Good 460" xfId="7708" xr:uid="{00000000-0005-0000-0000-0000B01D0000}"/>
    <cellStyle name="Good 461" xfId="7709" xr:uid="{00000000-0005-0000-0000-0000B11D0000}"/>
    <cellStyle name="Good 462" xfId="7710" xr:uid="{00000000-0005-0000-0000-0000B21D0000}"/>
    <cellStyle name="Good 463" xfId="7711" xr:uid="{00000000-0005-0000-0000-0000B31D0000}"/>
    <cellStyle name="Good 464" xfId="7712" xr:uid="{00000000-0005-0000-0000-0000B41D0000}"/>
    <cellStyle name="Good 465" xfId="7713" xr:uid="{00000000-0005-0000-0000-0000B51D0000}"/>
    <cellStyle name="Good 466" xfId="7714" xr:uid="{00000000-0005-0000-0000-0000B61D0000}"/>
    <cellStyle name="Good 467" xfId="7715" xr:uid="{00000000-0005-0000-0000-0000B71D0000}"/>
    <cellStyle name="Good 468" xfId="7716" xr:uid="{00000000-0005-0000-0000-0000B81D0000}"/>
    <cellStyle name="Good 469" xfId="7717" xr:uid="{00000000-0005-0000-0000-0000B91D0000}"/>
    <cellStyle name="Good 47" xfId="7718" xr:uid="{00000000-0005-0000-0000-0000BA1D0000}"/>
    <cellStyle name="Good 470" xfId="7719" xr:uid="{00000000-0005-0000-0000-0000BB1D0000}"/>
    <cellStyle name="Good 471" xfId="7720" xr:uid="{00000000-0005-0000-0000-0000BC1D0000}"/>
    <cellStyle name="Good 472" xfId="7721" xr:uid="{00000000-0005-0000-0000-0000BD1D0000}"/>
    <cellStyle name="Good 473" xfId="7722" xr:uid="{00000000-0005-0000-0000-0000BE1D0000}"/>
    <cellStyle name="Good 474" xfId="7723" xr:uid="{00000000-0005-0000-0000-0000BF1D0000}"/>
    <cellStyle name="Good 475" xfId="7724" xr:uid="{00000000-0005-0000-0000-0000C01D0000}"/>
    <cellStyle name="Good 476" xfId="7725" xr:uid="{00000000-0005-0000-0000-0000C11D0000}"/>
    <cellStyle name="Good 477" xfId="7726" xr:uid="{00000000-0005-0000-0000-0000C21D0000}"/>
    <cellStyle name="Good 478" xfId="7727" xr:uid="{00000000-0005-0000-0000-0000C31D0000}"/>
    <cellStyle name="Good 479" xfId="7728" xr:uid="{00000000-0005-0000-0000-0000C41D0000}"/>
    <cellStyle name="Good 48" xfId="7729" xr:uid="{00000000-0005-0000-0000-0000C51D0000}"/>
    <cellStyle name="Good 480" xfId="7730" xr:uid="{00000000-0005-0000-0000-0000C61D0000}"/>
    <cellStyle name="Good 481" xfId="7731" xr:uid="{00000000-0005-0000-0000-0000C71D0000}"/>
    <cellStyle name="Good 482" xfId="7732" xr:uid="{00000000-0005-0000-0000-0000C81D0000}"/>
    <cellStyle name="Good 483" xfId="7733" xr:uid="{00000000-0005-0000-0000-0000C91D0000}"/>
    <cellStyle name="Good 484" xfId="7734" xr:uid="{00000000-0005-0000-0000-0000CA1D0000}"/>
    <cellStyle name="Good 485" xfId="7735" xr:uid="{00000000-0005-0000-0000-0000CB1D0000}"/>
    <cellStyle name="Good 486" xfId="7736" xr:uid="{00000000-0005-0000-0000-0000CC1D0000}"/>
    <cellStyle name="Good 487" xfId="7737" xr:uid="{00000000-0005-0000-0000-0000CD1D0000}"/>
    <cellStyle name="Good 488" xfId="7738" xr:uid="{00000000-0005-0000-0000-0000CE1D0000}"/>
    <cellStyle name="Good 489" xfId="7739" xr:uid="{00000000-0005-0000-0000-0000CF1D0000}"/>
    <cellStyle name="Good 49" xfId="7740" xr:uid="{00000000-0005-0000-0000-0000D01D0000}"/>
    <cellStyle name="Good 490" xfId="7741" xr:uid="{00000000-0005-0000-0000-0000D11D0000}"/>
    <cellStyle name="Good 491" xfId="7742" xr:uid="{00000000-0005-0000-0000-0000D21D0000}"/>
    <cellStyle name="Good 492" xfId="7743" xr:uid="{00000000-0005-0000-0000-0000D31D0000}"/>
    <cellStyle name="Good 493" xfId="7744" xr:uid="{00000000-0005-0000-0000-0000D41D0000}"/>
    <cellStyle name="Good 494" xfId="7745" xr:uid="{00000000-0005-0000-0000-0000D51D0000}"/>
    <cellStyle name="Good 495" xfId="7746" xr:uid="{00000000-0005-0000-0000-0000D61D0000}"/>
    <cellStyle name="Good 496" xfId="7747" xr:uid="{00000000-0005-0000-0000-0000D71D0000}"/>
    <cellStyle name="Good 497" xfId="7748" xr:uid="{00000000-0005-0000-0000-0000D81D0000}"/>
    <cellStyle name="Good 498" xfId="7749" xr:uid="{00000000-0005-0000-0000-0000D91D0000}"/>
    <cellStyle name="Good 499" xfId="7750" xr:uid="{00000000-0005-0000-0000-0000DA1D0000}"/>
    <cellStyle name="Good 5" xfId="7751" xr:uid="{00000000-0005-0000-0000-0000DB1D0000}"/>
    <cellStyle name="Good 50" xfId="7752" xr:uid="{00000000-0005-0000-0000-0000DC1D0000}"/>
    <cellStyle name="Good 500" xfId="7753" xr:uid="{00000000-0005-0000-0000-0000DD1D0000}"/>
    <cellStyle name="Good 501" xfId="7754" xr:uid="{00000000-0005-0000-0000-0000DE1D0000}"/>
    <cellStyle name="Good 502" xfId="7755" xr:uid="{00000000-0005-0000-0000-0000DF1D0000}"/>
    <cellStyle name="Good 503" xfId="7756" xr:uid="{00000000-0005-0000-0000-0000E01D0000}"/>
    <cellStyle name="Good 504" xfId="7757" xr:uid="{00000000-0005-0000-0000-0000E11D0000}"/>
    <cellStyle name="Good 505" xfId="7758" xr:uid="{00000000-0005-0000-0000-0000E21D0000}"/>
    <cellStyle name="Good 506" xfId="7759" xr:uid="{00000000-0005-0000-0000-0000E31D0000}"/>
    <cellStyle name="Good 507" xfId="7760" xr:uid="{00000000-0005-0000-0000-0000E41D0000}"/>
    <cellStyle name="Good 508" xfId="7761" xr:uid="{00000000-0005-0000-0000-0000E51D0000}"/>
    <cellStyle name="Good 509" xfId="7762" xr:uid="{00000000-0005-0000-0000-0000E61D0000}"/>
    <cellStyle name="Good 51" xfId="7763" xr:uid="{00000000-0005-0000-0000-0000E71D0000}"/>
    <cellStyle name="Good 510" xfId="7764" xr:uid="{00000000-0005-0000-0000-0000E81D0000}"/>
    <cellStyle name="Good 511" xfId="7765" xr:uid="{00000000-0005-0000-0000-0000E91D0000}"/>
    <cellStyle name="Good 512" xfId="7766" xr:uid="{00000000-0005-0000-0000-0000EA1D0000}"/>
    <cellStyle name="Good 513" xfId="7767" xr:uid="{00000000-0005-0000-0000-0000EB1D0000}"/>
    <cellStyle name="Good 514" xfId="7768" xr:uid="{00000000-0005-0000-0000-0000EC1D0000}"/>
    <cellStyle name="Good 515" xfId="7769" xr:uid="{00000000-0005-0000-0000-0000ED1D0000}"/>
    <cellStyle name="Good 516" xfId="7770" xr:uid="{00000000-0005-0000-0000-0000EE1D0000}"/>
    <cellStyle name="Good 517" xfId="7771" xr:uid="{00000000-0005-0000-0000-0000EF1D0000}"/>
    <cellStyle name="Good 518" xfId="7772" xr:uid="{00000000-0005-0000-0000-0000F01D0000}"/>
    <cellStyle name="Good 519" xfId="7773" xr:uid="{00000000-0005-0000-0000-0000F11D0000}"/>
    <cellStyle name="Good 52" xfId="7774" xr:uid="{00000000-0005-0000-0000-0000F21D0000}"/>
    <cellStyle name="Good 520" xfId="7775" xr:uid="{00000000-0005-0000-0000-0000F31D0000}"/>
    <cellStyle name="Good 521" xfId="7776" xr:uid="{00000000-0005-0000-0000-0000F41D0000}"/>
    <cellStyle name="Good 522" xfId="7777" xr:uid="{00000000-0005-0000-0000-0000F51D0000}"/>
    <cellStyle name="Good 523" xfId="7778" xr:uid="{00000000-0005-0000-0000-0000F61D0000}"/>
    <cellStyle name="Good 524" xfId="7779" xr:uid="{00000000-0005-0000-0000-0000F71D0000}"/>
    <cellStyle name="Good 525" xfId="7780" xr:uid="{00000000-0005-0000-0000-0000F81D0000}"/>
    <cellStyle name="Good 526" xfId="7781" xr:uid="{00000000-0005-0000-0000-0000F91D0000}"/>
    <cellStyle name="Good 527" xfId="7782" xr:uid="{00000000-0005-0000-0000-0000FA1D0000}"/>
    <cellStyle name="Good 528" xfId="7783" xr:uid="{00000000-0005-0000-0000-0000FB1D0000}"/>
    <cellStyle name="Good 529" xfId="7784" xr:uid="{00000000-0005-0000-0000-0000FC1D0000}"/>
    <cellStyle name="Good 53" xfId="7785" xr:uid="{00000000-0005-0000-0000-0000FD1D0000}"/>
    <cellStyle name="Good 530" xfId="7786" xr:uid="{00000000-0005-0000-0000-0000FE1D0000}"/>
    <cellStyle name="Good 531" xfId="7787" xr:uid="{00000000-0005-0000-0000-0000FF1D0000}"/>
    <cellStyle name="Good 532" xfId="7788" xr:uid="{00000000-0005-0000-0000-0000001E0000}"/>
    <cellStyle name="Good 533" xfId="7789" xr:uid="{00000000-0005-0000-0000-0000011E0000}"/>
    <cellStyle name="Good 534" xfId="7790" xr:uid="{00000000-0005-0000-0000-0000021E0000}"/>
    <cellStyle name="Good 535" xfId="7791" xr:uid="{00000000-0005-0000-0000-0000031E0000}"/>
    <cellStyle name="Good 536" xfId="7792" xr:uid="{00000000-0005-0000-0000-0000041E0000}"/>
    <cellStyle name="Good 537" xfId="7793" xr:uid="{00000000-0005-0000-0000-0000051E0000}"/>
    <cellStyle name="Good 538" xfId="7794" xr:uid="{00000000-0005-0000-0000-0000061E0000}"/>
    <cellStyle name="Good 539" xfId="7795" xr:uid="{00000000-0005-0000-0000-0000071E0000}"/>
    <cellStyle name="Good 54" xfId="7796" xr:uid="{00000000-0005-0000-0000-0000081E0000}"/>
    <cellStyle name="Good 540" xfId="7797" xr:uid="{00000000-0005-0000-0000-0000091E0000}"/>
    <cellStyle name="Good 541" xfId="7798" xr:uid="{00000000-0005-0000-0000-00000A1E0000}"/>
    <cellStyle name="Good 542" xfId="7799" xr:uid="{00000000-0005-0000-0000-00000B1E0000}"/>
    <cellStyle name="Good 543" xfId="7800" xr:uid="{00000000-0005-0000-0000-00000C1E0000}"/>
    <cellStyle name="Good 544" xfId="7801" xr:uid="{00000000-0005-0000-0000-00000D1E0000}"/>
    <cellStyle name="Good 545" xfId="7802" xr:uid="{00000000-0005-0000-0000-00000E1E0000}"/>
    <cellStyle name="Good 546" xfId="7803" xr:uid="{00000000-0005-0000-0000-00000F1E0000}"/>
    <cellStyle name="Good 547" xfId="7804" xr:uid="{00000000-0005-0000-0000-0000101E0000}"/>
    <cellStyle name="Good 548" xfId="7805" xr:uid="{00000000-0005-0000-0000-0000111E0000}"/>
    <cellStyle name="Good 549" xfId="7806" xr:uid="{00000000-0005-0000-0000-0000121E0000}"/>
    <cellStyle name="Good 55" xfId="7807" xr:uid="{00000000-0005-0000-0000-0000131E0000}"/>
    <cellStyle name="Good 550" xfId="7808" xr:uid="{00000000-0005-0000-0000-0000141E0000}"/>
    <cellStyle name="Good 551" xfId="7809" xr:uid="{00000000-0005-0000-0000-0000151E0000}"/>
    <cellStyle name="Good 552" xfId="7810" xr:uid="{00000000-0005-0000-0000-0000161E0000}"/>
    <cellStyle name="Good 553" xfId="7811" xr:uid="{00000000-0005-0000-0000-0000171E0000}"/>
    <cellStyle name="Good 554" xfId="7812" xr:uid="{00000000-0005-0000-0000-0000181E0000}"/>
    <cellStyle name="Good 555" xfId="7813" xr:uid="{00000000-0005-0000-0000-0000191E0000}"/>
    <cellStyle name="Good 556" xfId="7814" xr:uid="{00000000-0005-0000-0000-00001A1E0000}"/>
    <cellStyle name="Good 557" xfId="7815" xr:uid="{00000000-0005-0000-0000-00001B1E0000}"/>
    <cellStyle name="Good 558" xfId="7816" xr:uid="{00000000-0005-0000-0000-00001C1E0000}"/>
    <cellStyle name="Good 559" xfId="7817" xr:uid="{00000000-0005-0000-0000-00001D1E0000}"/>
    <cellStyle name="Good 56" xfId="7818" xr:uid="{00000000-0005-0000-0000-00001E1E0000}"/>
    <cellStyle name="Good 560" xfId="7819" xr:uid="{00000000-0005-0000-0000-00001F1E0000}"/>
    <cellStyle name="Good 561" xfId="7820" xr:uid="{00000000-0005-0000-0000-0000201E0000}"/>
    <cellStyle name="Good 562" xfId="7821" xr:uid="{00000000-0005-0000-0000-0000211E0000}"/>
    <cellStyle name="Good 563" xfId="7822" xr:uid="{00000000-0005-0000-0000-0000221E0000}"/>
    <cellStyle name="Good 564" xfId="7823" xr:uid="{00000000-0005-0000-0000-0000231E0000}"/>
    <cellStyle name="Good 565" xfId="7824" xr:uid="{00000000-0005-0000-0000-0000241E0000}"/>
    <cellStyle name="Good 566" xfId="7825" xr:uid="{00000000-0005-0000-0000-0000251E0000}"/>
    <cellStyle name="Good 567" xfId="7826" xr:uid="{00000000-0005-0000-0000-0000261E0000}"/>
    <cellStyle name="Good 568" xfId="7827" xr:uid="{00000000-0005-0000-0000-0000271E0000}"/>
    <cellStyle name="Good 569" xfId="7828" xr:uid="{00000000-0005-0000-0000-0000281E0000}"/>
    <cellStyle name="Good 57" xfId="7829" xr:uid="{00000000-0005-0000-0000-0000291E0000}"/>
    <cellStyle name="Good 570" xfId="7830" xr:uid="{00000000-0005-0000-0000-00002A1E0000}"/>
    <cellStyle name="Good 571" xfId="7831" xr:uid="{00000000-0005-0000-0000-00002B1E0000}"/>
    <cellStyle name="Good 572" xfId="7832" xr:uid="{00000000-0005-0000-0000-00002C1E0000}"/>
    <cellStyle name="Good 573" xfId="7833" xr:uid="{00000000-0005-0000-0000-00002D1E0000}"/>
    <cellStyle name="Good 574" xfId="7834" xr:uid="{00000000-0005-0000-0000-00002E1E0000}"/>
    <cellStyle name="Good 575" xfId="7835" xr:uid="{00000000-0005-0000-0000-00002F1E0000}"/>
    <cellStyle name="Good 576" xfId="7836" xr:uid="{00000000-0005-0000-0000-0000301E0000}"/>
    <cellStyle name="Good 577" xfId="7837" xr:uid="{00000000-0005-0000-0000-0000311E0000}"/>
    <cellStyle name="Good 578" xfId="7838" xr:uid="{00000000-0005-0000-0000-0000321E0000}"/>
    <cellStyle name="Good 579" xfId="7839" xr:uid="{00000000-0005-0000-0000-0000331E0000}"/>
    <cellStyle name="Good 58" xfId="7840" xr:uid="{00000000-0005-0000-0000-0000341E0000}"/>
    <cellStyle name="Good 580" xfId="7841" xr:uid="{00000000-0005-0000-0000-0000351E0000}"/>
    <cellStyle name="Good 581" xfId="7842" xr:uid="{00000000-0005-0000-0000-0000361E0000}"/>
    <cellStyle name="Good 582" xfId="7843" xr:uid="{00000000-0005-0000-0000-0000371E0000}"/>
    <cellStyle name="Good 583" xfId="7844" xr:uid="{00000000-0005-0000-0000-0000381E0000}"/>
    <cellStyle name="Good 584" xfId="7845" xr:uid="{00000000-0005-0000-0000-0000391E0000}"/>
    <cellStyle name="Good 585" xfId="7846" xr:uid="{00000000-0005-0000-0000-00003A1E0000}"/>
    <cellStyle name="Good 586" xfId="7847" xr:uid="{00000000-0005-0000-0000-00003B1E0000}"/>
    <cellStyle name="Good 587" xfId="7848" xr:uid="{00000000-0005-0000-0000-00003C1E0000}"/>
    <cellStyle name="Good 588" xfId="7849" xr:uid="{00000000-0005-0000-0000-00003D1E0000}"/>
    <cellStyle name="Good 589" xfId="7850" xr:uid="{00000000-0005-0000-0000-00003E1E0000}"/>
    <cellStyle name="Good 59" xfId="7851" xr:uid="{00000000-0005-0000-0000-00003F1E0000}"/>
    <cellStyle name="Good 590" xfId="7852" xr:uid="{00000000-0005-0000-0000-0000401E0000}"/>
    <cellStyle name="Good 591" xfId="7853" xr:uid="{00000000-0005-0000-0000-0000411E0000}"/>
    <cellStyle name="Good 592" xfId="7854" xr:uid="{00000000-0005-0000-0000-0000421E0000}"/>
    <cellStyle name="Good 593" xfId="7855" xr:uid="{00000000-0005-0000-0000-0000431E0000}"/>
    <cellStyle name="Good 594" xfId="7856" xr:uid="{00000000-0005-0000-0000-0000441E0000}"/>
    <cellStyle name="Good 595" xfId="7857" xr:uid="{00000000-0005-0000-0000-0000451E0000}"/>
    <cellStyle name="Good 596" xfId="7858" xr:uid="{00000000-0005-0000-0000-0000461E0000}"/>
    <cellStyle name="Good 597" xfId="7859" xr:uid="{00000000-0005-0000-0000-0000471E0000}"/>
    <cellStyle name="Good 598" xfId="7860" xr:uid="{00000000-0005-0000-0000-0000481E0000}"/>
    <cellStyle name="Good 599" xfId="7861" xr:uid="{00000000-0005-0000-0000-0000491E0000}"/>
    <cellStyle name="Good 6" xfId="7862" xr:uid="{00000000-0005-0000-0000-00004A1E0000}"/>
    <cellStyle name="Good 60" xfId="7863" xr:uid="{00000000-0005-0000-0000-00004B1E0000}"/>
    <cellStyle name="Good 600" xfId="7864" xr:uid="{00000000-0005-0000-0000-00004C1E0000}"/>
    <cellStyle name="Good 601" xfId="7865" xr:uid="{00000000-0005-0000-0000-00004D1E0000}"/>
    <cellStyle name="Good 602" xfId="7866" xr:uid="{00000000-0005-0000-0000-00004E1E0000}"/>
    <cellStyle name="Good 603" xfId="7867" xr:uid="{00000000-0005-0000-0000-00004F1E0000}"/>
    <cellStyle name="Good 604" xfId="7868" xr:uid="{00000000-0005-0000-0000-0000501E0000}"/>
    <cellStyle name="Good 605" xfId="7869" xr:uid="{00000000-0005-0000-0000-0000511E0000}"/>
    <cellStyle name="Good 606" xfId="7870" xr:uid="{00000000-0005-0000-0000-0000521E0000}"/>
    <cellStyle name="Good 607" xfId="7871" xr:uid="{00000000-0005-0000-0000-0000531E0000}"/>
    <cellStyle name="Good 608" xfId="7872" xr:uid="{00000000-0005-0000-0000-0000541E0000}"/>
    <cellStyle name="Good 609" xfId="7873" xr:uid="{00000000-0005-0000-0000-0000551E0000}"/>
    <cellStyle name="Good 61" xfId="7874" xr:uid="{00000000-0005-0000-0000-0000561E0000}"/>
    <cellStyle name="Good 610" xfId="7875" xr:uid="{00000000-0005-0000-0000-0000571E0000}"/>
    <cellStyle name="Good 611" xfId="7876" xr:uid="{00000000-0005-0000-0000-0000581E0000}"/>
    <cellStyle name="Good 612" xfId="7877" xr:uid="{00000000-0005-0000-0000-0000591E0000}"/>
    <cellStyle name="Good 613" xfId="7878" xr:uid="{00000000-0005-0000-0000-00005A1E0000}"/>
    <cellStyle name="Good 614" xfId="7879" xr:uid="{00000000-0005-0000-0000-00005B1E0000}"/>
    <cellStyle name="Good 615" xfId="7880" xr:uid="{00000000-0005-0000-0000-00005C1E0000}"/>
    <cellStyle name="Good 616" xfId="7881" xr:uid="{00000000-0005-0000-0000-00005D1E0000}"/>
    <cellStyle name="Good 617" xfId="7882" xr:uid="{00000000-0005-0000-0000-00005E1E0000}"/>
    <cellStyle name="Good 618" xfId="7883" xr:uid="{00000000-0005-0000-0000-00005F1E0000}"/>
    <cellStyle name="Good 619" xfId="7884" xr:uid="{00000000-0005-0000-0000-0000601E0000}"/>
    <cellStyle name="Good 62" xfId="7885" xr:uid="{00000000-0005-0000-0000-0000611E0000}"/>
    <cellStyle name="Good 620" xfId="7886" xr:uid="{00000000-0005-0000-0000-0000621E0000}"/>
    <cellStyle name="Good 621" xfId="7887" xr:uid="{00000000-0005-0000-0000-0000631E0000}"/>
    <cellStyle name="Good 622" xfId="7888" xr:uid="{00000000-0005-0000-0000-0000641E0000}"/>
    <cellStyle name="Good 623" xfId="7889" xr:uid="{00000000-0005-0000-0000-0000651E0000}"/>
    <cellStyle name="Good 624" xfId="7890" xr:uid="{00000000-0005-0000-0000-0000661E0000}"/>
    <cellStyle name="Good 625" xfId="7891" xr:uid="{00000000-0005-0000-0000-0000671E0000}"/>
    <cellStyle name="Good 626" xfId="7892" xr:uid="{00000000-0005-0000-0000-0000681E0000}"/>
    <cellStyle name="Good 627" xfId="7893" xr:uid="{00000000-0005-0000-0000-0000691E0000}"/>
    <cellStyle name="Good 628" xfId="7894" xr:uid="{00000000-0005-0000-0000-00006A1E0000}"/>
    <cellStyle name="Good 629" xfId="7895" xr:uid="{00000000-0005-0000-0000-00006B1E0000}"/>
    <cellStyle name="Good 63" xfId="7896" xr:uid="{00000000-0005-0000-0000-00006C1E0000}"/>
    <cellStyle name="Good 630" xfId="7897" xr:uid="{00000000-0005-0000-0000-00006D1E0000}"/>
    <cellStyle name="Good 631" xfId="7898" xr:uid="{00000000-0005-0000-0000-00006E1E0000}"/>
    <cellStyle name="Good 632" xfId="7899" xr:uid="{00000000-0005-0000-0000-00006F1E0000}"/>
    <cellStyle name="Good 633" xfId="7900" xr:uid="{00000000-0005-0000-0000-0000701E0000}"/>
    <cellStyle name="Good 634" xfId="7901" xr:uid="{00000000-0005-0000-0000-0000711E0000}"/>
    <cellStyle name="Good 635" xfId="7902" xr:uid="{00000000-0005-0000-0000-0000721E0000}"/>
    <cellStyle name="Good 636" xfId="7903" xr:uid="{00000000-0005-0000-0000-0000731E0000}"/>
    <cellStyle name="Good 637" xfId="7904" xr:uid="{00000000-0005-0000-0000-0000741E0000}"/>
    <cellStyle name="Good 638" xfId="7905" xr:uid="{00000000-0005-0000-0000-0000751E0000}"/>
    <cellStyle name="Good 639" xfId="7906" xr:uid="{00000000-0005-0000-0000-0000761E0000}"/>
    <cellStyle name="Good 64" xfId="7907" xr:uid="{00000000-0005-0000-0000-0000771E0000}"/>
    <cellStyle name="Good 640" xfId="7908" xr:uid="{00000000-0005-0000-0000-0000781E0000}"/>
    <cellStyle name="Good 641" xfId="7909" xr:uid="{00000000-0005-0000-0000-0000791E0000}"/>
    <cellStyle name="Good 642" xfId="7910" xr:uid="{00000000-0005-0000-0000-00007A1E0000}"/>
    <cellStyle name="Good 643" xfId="7911" xr:uid="{00000000-0005-0000-0000-00007B1E0000}"/>
    <cellStyle name="Good 644" xfId="7912" xr:uid="{00000000-0005-0000-0000-00007C1E0000}"/>
    <cellStyle name="Good 645" xfId="7913" xr:uid="{00000000-0005-0000-0000-00007D1E0000}"/>
    <cellStyle name="Good 646" xfId="7914" xr:uid="{00000000-0005-0000-0000-00007E1E0000}"/>
    <cellStyle name="Good 647" xfId="7915" xr:uid="{00000000-0005-0000-0000-00007F1E0000}"/>
    <cellStyle name="Good 648" xfId="7916" xr:uid="{00000000-0005-0000-0000-0000801E0000}"/>
    <cellStyle name="Good 649" xfId="7917" xr:uid="{00000000-0005-0000-0000-0000811E0000}"/>
    <cellStyle name="Good 65" xfId="7918" xr:uid="{00000000-0005-0000-0000-0000821E0000}"/>
    <cellStyle name="Good 650" xfId="7919" xr:uid="{00000000-0005-0000-0000-0000831E0000}"/>
    <cellStyle name="Good 651" xfId="7920" xr:uid="{00000000-0005-0000-0000-0000841E0000}"/>
    <cellStyle name="Good 652" xfId="7921" xr:uid="{00000000-0005-0000-0000-0000851E0000}"/>
    <cellStyle name="Good 653" xfId="7922" xr:uid="{00000000-0005-0000-0000-0000861E0000}"/>
    <cellStyle name="Good 654" xfId="7923" xr:uid="{00000000-0005-0000-0000-0000871E0000}"/>
    <cellStyle name="Good 655" xfId="7924" xr:uid="{00000000-0005-0000-0000-0000881E0000}"/>
    <cellStyle name="Good 656" xfId="7925" xr:uid="{00000000-0005-0000-0000-0000891E0000}"/>
    <cellStyle name="Good 657" xfId="7926" xr:uid="{00000000-0005-0000-0000-00008A1E0000}"/>
    <cellStyle name="Good 658" xfId="7927" xr:uid="{00000000-0005-0000-0000-00008B1E0000}"/>
    <cellStyle name="Good 659" xfId="7928" xr:uid="{00000000-0005-0000-0000-00008C1E0000}"/>
    <cellStyle name="Good 66" xfId="7929" xr:uid="{00000000-0005-0000-0000-00008D1E0000}"/>
    <cellStyle name="Good 660" xfId="7930" xr:uid="{00000000-0005-0000-0000-00008E1E0000}"/>
    <cellStyle name="Good 661" xfId="7931" xr:uid="{00000000-0005-0000-0000-00008F1E0000}"/>
    <cellStyle name="Good 662" xfId="7932" xr:uid="{00000000-0005-0000-0000-0000901E0000}"/>
    <cellStyle name="Good 663" xfId="7933" xr:uid="{00000000-0005-0000-0000-0000911E0000}"/>
    <cellStyle name="Good 664" xfId="7934" xr:uid="{00000000-0005-0000-0000-0000921E0000}"/>
    <cellStyle name="Good 665" xfId="7935" xr:uid="{00000000-0005-0000-0000-0000931E0000}"/>
    <cellStyle name="Good 666" xfId="7936" xr:uid="{00000000-0005-0000-0000-0000941E0000}"/>
    <cellStyle name="Good 667" xfId="7937" xr:uid="{00000000-0005-0000-0000-0000951E0000}"/>
    <cellStyle name="Good 668" xfId="7938" xr:uid="{00000000-0005-0000-0000-0000961E0000}"/>
    <cellStyle name="Good 669" xfId="7939" xr:uid="{00000000-0005-0000-0000-0000971E0000}"/>
    <cellStyle name="Good 67" xfId="7940" xr:uid="{00000000-0005-0000-0000-0000981E0000}"/>
    <cellStyle name="Good 670" xfId="7941" xr:uid="{00000000-0005-0000-0000-0000991E0000}"/>
    <cellStyle name="Good 671" xfId="7942" xr:uid="{00000000-0005-0000-0000-00009A1E0000}"/>
    <cellStyle name="Good 672" xfId="7943" xr:uid="{00000000-0005-0000-0000-00009B1E0000}"/>
    <cellStyle name="Good 673" xfId="7944" xr:uid="{00000000-0005-0000-0000-00009C1E0000}"/>
    <cellStyle name="Good 674" xfId="7945" xr:uid="{00000000-0005-0000-0000-00009D1E0000}"/>
    <cellStyle name="Good 675" xfId="7946" xr:uid="{00000000-0005-0000-0000-00009E1E0000}"/>
    <cellStyle name="Good 676" xfId="7947" xr:uid="{00000000-0005-0000-0000-00009F1E0000}"/>
    <cellStyle name="Good 677" xfId="7948" xr:uid="{00000000-0005-0000-0000-0000A01E0000}"/>
    <cellStyle name="Good 678" xfId="7949" xr:uid="{00000000-0005-0000-0000-0000A11E0000}"/>
    <cellStyle name="Good 679" xfId="7950" xr:uid="{00000000-0005-0000-0000-0000A21E0000}"/>
    <cellStyle name="Good 68" xfId="7951" xr:uid="{00000000-0005-0000-0000-0000A31E0000}"/>
    <cellStyle name="Good 680" xfId="7952" xr:uid="{00000000-0005-0000-0000-0000A41E0000}"/>
    <cellStyle name="Good 681" xfId="7953" xr:uid="{00000000-0005-0000-0000-0000A51E0000}"/>
    <cellStyle name="Good 682" xfId="7954" xr:uid="{00000000-0005-0000-0000-0000A61E0000}"/>
    <cellStyle name="Good 683" xfId="7955" xr:uid="{00000000-0005-0000-0000-0000A71E0000}"/>
    <cellStyle name="Good 684" xfId="7956" xr:uid="{00000000-0005-0000-0000-0000A81E0000}"/>
    <cellStyle name="Good 685" xfId="7957" xr:uid="{00000000-0005-0000-0000-0000A91E0000}"/>
    <cellStyle name="Good 686" xfId="7958" xr:uid="{00000000-0005-0000-0000-0000AA1E0000}"/>
    <cellStyle name="Good 687" xfId="7959" xr:uid="{00000000-0005-0000-0000-0000AB1E0000}"/>
    <cellStyle name="Good 688" xfId="7960" xr:uid="{00000000-0005-0000-0000-0000AC1E0000}"/>
    <cellStyle name="Good 689" xfId="7961" xr:uid="{00000000-0005-0000-0000-0000AD1E0000}"/>
    <cellStyle name="Good 69" xfId="7962" xr:uid="{00000000-0005-0000-0000-0000AE1E0000}"/>
    <cellStyle name="Good 690" xfId="7963" xr:uid="{00000000-0005-0000-0000-0000AF1E0000}"/>
    <cellStyle name="Good 691" xfId="7964" xr:uid="{00000000-0005-0000-0000-0000B01E0000}"/>
    <cellStyle name="Good 692" xfId="7965" xr:uid="{00000000-0005-0000-0000-0000B11E0000}"/>
    <cellStyle name="Good 693" xfId="7966" xr:uid="{00000000-0005-0000-0000-0000B21E0000}"/>
    <cellStyle name="Good 694" xfId="7967" xr:uid="{00000000-0005-0000-0000-0000B31E0000}"/>
    <cellStyle name="Good 695" xfId="7968" xr:uid="{00000000-0005-0000-0000-0000B41E0000}"/>
    <cellStyle name="Good 696" xfId="7969" xr:uid="{00000000-0005-0000-0000-0000B51E0000}"/>
    <cellStyle name="Good 697" xfId="7970" xr:uid="{00000000-0005-0000-0000-0000B61E0000}"/>
    <cellStyle name="Good 698" xfId="7971" xr:uid="{00000000-0005-0000-0000-0000B71E0000}"/>
    <cellStyle name="Good 699" xfId="7972" xr:uid="{00000000-0005-0000-0000-0000B81E0000}"/>
    <cellStyle name="Good 7" xfId="7973" xr:uid="{00000000-0005-0000-0000-0000B91E0000}"/>
    <cellStyle name="Good 70" xfId="7974" xr:uid="{00000000-0005-0000-0000-0000BA1E0000}"/>
    <cellStyle name="Good 700" xfId="7975" xr:uid="{00000000-0005-0000-0000-0000BB1E0000}"/>
    <cellStyle name="Good 701" xfId="7976" xr:uid="{00000000-0005-0000-0000-0000BC1E0000}"/>
    <cellStyle name="Good 702" xfId="7977" xr:uid="{00000000-0005-0000-0000-0000BD1E0000}"/>
    <cellStyle name="Good 703" xfId="7978" xr:uid="{00000000-0005-0000-0000-0000BE1E0000}"/>
    <cellStyle name="Good 704" xfId="7979" xr:uid="{00000000-0005-0000-0000-0000BF1E0000}"/>
    <cellStyle name="Good 705" xfId="7980" xr:uid="{00000000-0005-0000-0000-0000C01E0000}"/>
    <cellStyle name="Good 706" xfId="7981" xr:uid="{00000000-0005-0000-0000-0000C11E0000}"/>
    <cellStyle name="Good 707" xfId="7982" xr:uid="{00000000-0005-0000-0000-0000C21E0000}"/>
    <cellStyle name="Good 708" xfId="7983" xr:uid="{00000000-0005-0000-0000-0000C31E0000}"/>
    <cellStyle name="Good 709" xfId="7984" xr:uid="{00000000-0005-0000-0000-0000C41E0000}"/>
    <cellStyle name="Good 71" xfId="7985" xr:uid="{00000000-0005-0000-0000-0000C51E0000}"/>
    <cellStyle name="Good 710" xfId="7986" xr:uid="{00000000-0005-0000-0000-0000C61E0000}"/>
    <cellStyle name="Good 711" xfId="7987" xr:uid="{00000000-0005-0000-0000-0000C71E0000}"/>
    <cellStyle name="Good 712" xfId="7988" xr:uid="{00000000-0005-0000-0000-0000C81E0000}"/>
    <cellStyle name="Good 713" xfId="7989" xr:uid="{00000000-0005-0000-0000-0000C91E0000}"/>
    <cellStyle name="Good 714" xfId="7990" xr:uid="{00000000-0005-0000-0000-0000CA1E0000}"/>
    <cellStyle name="Good 715" xfId="7991" xr:uid="{00000000-0005-0000-0000-0000CB1E0000}"/>
    <cellStyle name="Good 716" xfId="7992" xr:uid="{00000000-0005-0000-0000-0000CC1E0000}"/>
    <cellStyle name="Good 717" xfId="7993" xr:uid="{00000000-0005-0000-0000-0000CD1E0000}"/>
    <cellStyle name="Good 718" xfId="7994" xr:uid="{00000000-0005-0000-0000-0000CE1E0000}"/>
    <cellStyle name="Good 719" xfId="7995" xr:uid="{00000000-0005-0000-0000-0000CF1E0000}"/>
    <cellStyle name="Good 72" xfId="7996" xr:uid="{00000000-0005-0000-0000-0000D01E0000}"/>
    <cellStyle name="Good 720" xfId="7997" xr:uid="{00000000-0005-0000-0000-0000D11E0000}"/>
    <cellStyle name="Good 721" xfId="7998" xr:uid="{00000000-0005-0000-0000-0000D21E0000}"/>
    <cellStyle name="Good 722" xfId="7999" xr:uid="{00000000-0005-0000-0000-0000D31E0000}"/>
    <cellStyle name="Good 723" xfId="8000" xr:uid="{00000000-0005-0000-0000-0000D41E0000}"/>
    <cellStyle name="Good 724" xfId="8001" xr:uid="{00000000-0005-0000-0000-0000D51E0000}"/>
    <cellStyle name="Good 725" xfId="8002" xr:uid="{00000000-0005-0000-0000-0000D61E0000}"/>
    <cellStyle name="Good 726" xfId="8003" xr:uid="{00000000-0005-0000-0000-0000D71E0000}"/>
    <cellStyle name="Good 727" xfId="8004" xr:uid="{00000000-0005-0000-0000-0000D81E0000}"/>
    <cellStyle name="Good 728" xfId="8005" xr:uid="{00000000-0005-0000-0000-0000D91E0000}"/>
    <cellStyle name="Good 729" xfId="8006" xr:uid="{00000000-0005-0000-0000-0000DA1E0000}"/>
    <cellStyle name="Good 73" xfId="8007" xr:uid="{00000000-0005-0000-0000-0000DB1E0000}"/>
    <cellStyle name="Good 730" xfId="8008" xr:uid="{00000000-0005-0000-0000-0000DC1E0000}"/>
    <cellStyle name="Good 731" xfId="8009" xr:uid="{00000000-0005-0000-0000-0000DD1E0000}"/>
    <cellStyle name="Good 732" xfId="8010" xr:uid="{00000000-0005-0000-0000-0000DE1E0000}"/>
    <cellStyle name="Good 733" xfId="8011" xr:uid="{00000000-0005-0000-0000-0000DF1E0000}"/>
    <cellStyle name="Good 734" xfId="8012" xr:uid="{00000000-0005-0000-0000-0000E01E0000}"/>
    <cellStyle name="Good 735" xfId="8013" xr:uid="{00000000-0005-0000-0000-0000E11E0000}"/>
    <cellStyle name="Good 736" xfId="8014" xr:uid="{00000000-0005-0000-0000-0000E21E0000}"/>
    <cellStyle name="Good 737" xfId="8015" xr:uid="{00000000-0005-0000-0000-0000E31E0000}"/>
    <cellStyle name="Good 738" xfId="8016" xr:uid="{00000000-0005-0000-0000-0000E41E0000}"/>
    <cellStyle name="Good 739" xfId="8017" xr:uid="{00000000-0005-0000-0000-0000E51E0000}"/>
    <cellStyle name="Good 74" xfId="8018" xr:uid="{00000000-0005-0000-0000-0000E61E0000}"/>
    <cellStyle name="Good 740" xfId="8019" xr:uid="{00000000-0005-0000-0000-0000E71E0000}"/>
    <cellStyle name="Good 741" xfId="8020" xr:uid="{00000000-0005-0000-0000-0000E81E0000}"/>
    <cellStyle name="Good 742" xfId="8021" xr:uid="{00000000-0005-0000-0000-0000E91E0000}"/>
    <cellStyle name="Good 743" xfId="8022" xr:uid="{00000000-0005-0000-0000-0000EA1E0000}"/>
    <cellStyle name="Good 744" xfId="8023" xr:uid="{00000000-0005-0000-0000-0000EB1E0000}"/>
    <cellStyle name="Good 745" xfId="8024" xr:uid="{00000000-0005-0000-0000-0000EC1E0000}"/>
    <cellStyle name="Good 746" xfId="8025" xr:uid="{00000000-0005-0000-0000-0000ED1E0000}"/>
    <cellStyle name="Good 747" xfId="8026" xr:uid="{00000000-0005-0000-0000-0000EE1E0000}"/>
    <cellStyle name="Good 748" xfId="8027" xr:uid="{00000000-0005-0000-0000-0000EF1E0000}"/>
    <cellStyle name="Good 749" xfId="8028" xr:uid="{00000000-0005-0000-0000-0000F01E0000}"/>
    <cellStyle name="Good 75" xfId="8029" xr:uid="{00000000-0005-0000-0000-0000F11E0000}"/>
    <cellStyle name="Good 750" xfId="8030" xr:uid="{00000000-0005-0000-0000-0000F21E0000}"/>
    <cellStyle name="Good 751" xfId="8031" xr:uid="{00000000-0005-0000-0000-0000F31E0000}"/>
    <cellStyle name="Good 752" xfId="8032" xr:uid="{00000000-0005-0000-0000-0000F41E0000}"/>
    <cellStyle name="Good 753" xfId="8033" xr:uid="{00000000-0005-0000-0000-0000F51E0000}"/>
    <cellStyle name="Good 754" xfId="8034" xr:uid="{00000000-0005-0000-0000-0000F61E0000}"/>
    <cellStyle name="Good 755" xfId="8035" xr:uid="{00000000-0005-0000-0000-0000F71E0000}"/>
    <cellStyle name="Good 756" xfId="8036" xr:uid="{00000000-0005-0000-0000-0000F81E0000}"/>
    <cellStyle name="Good 757" xfId="8037" xr:uid="{00000000-0005-0000-0000-0000F91E0000}"/>
    <cellStyle name="Good 758" xfId="8038" xr:uid="{00000000-0005-0000-0000-0000FA1E0000}"/>
    <cellStyle name="Good 759" xfId="8039" xr:uid="{00000000-0005-0000-0000-0000FB1E0000}"/>
    <cellStyle name="Good 76" xfId="8040" xr:uid="{00000000-0005-0000-0000-0000FC1E0000}"/>
    <cellStyle name="Good 760" xfId="8041" xr:uid="{00000000-0005-0000-0000-0000FD1E0000}"/>
    <cellStyle name="Good 761" xfId="8042" xr:uid="{00000000-0005-0000-0000-0000FE1E0000}"/>
    <cellStyle name="Good 762" xfId="8043" xr:uid="{00000000-0005-0000-0000-0000FF1E0000}"/>
    <cellStyle name="Good 763" xfId="8044" xr:uid="{00000000-0005-0000-0000-0000001F0000}"/>
    <cellStyle name="Good 764" xfId="8045" xr:uid="{00000000-0005-0000-0000-0000011F0000}"/>
    <cellStyle name="Good 765" xfId="8046" xr:uid="{00000000-0005-0000-0000-0000021F0000}"/>
    <cellStyle name="Good 766" xfId="8047" xr:uid="{00000000-0005-0000-0000-0000031F0000}"/>
    <cellStyle name="Good 767" xfId="8048" xr:uid="{00000000-0005-0000-0000-0000041F0000}"/>
    <cellStyle name="Good 768" xfId="8049" xr:uid="{00000000-0005-0000-0000-0000051F0000}"/>
    <cellStyle name="Good 769" xfId="8050" xr:uid="{00000000-0005-0000-0000-0000061F0000}"/>
    <cellStyle name="Good 77" xfId="8051" xr:uid="{00000000-0005-0000-0000-0000071F0000}"/>
    <cellStyle name="Good 770" xfId="8052" xr:uid="{00000000-0005-0000-0000-0000081F0000}"/>
    <cellStyle name="Good 771" xfId="8053" xr:uid="{00000000-0005-0000-0000-0000091F0000}"/>
    <cellStyle name="Good 772" xfId="8054" xr:uid="{00000000-0005-0000-0000-00000A1F0000}"/>
    <cellStyle name="Good 773" xfId="8055" xr:uid="{00000000-0005-0000-0000-00000B1F0000}"/>
    <cellStyle name="Good 774" xfId="8056" xr:uid="{00000000-0005-0000-0000-00000C1F0000}"/>
    <cellStyle name="Good 775" xfId="8057" xr:uid="{00000000-0005-0000-0000-00000D1F0000}"/>
    <cellStyle name="Good 776" xfId="8058" xr:uid="{00000000-0005-0000-0000-00000E1F0000}"/>
    <cellStyle name="Good 777" xfId="8059" xr:uid="{00000000-0005-0000-0000-00000F1F0000}"/>
    <cellStyle name="Good 778" xfId="8060" xr:uid="{00000000-0005-0000-0000-0000101F0000}"/>
    <cellStyle name="Good 779" xfId="8061" xr:uid="{00000000-0005-0000-0000-0000111F0000}"/>
    <cellStyle name="Good 78" xfId="8062" xr:uid="{00000000-0005-0000-0000-0000121F0000}"/>
    <cellStyle name="Good 780" xfId="8063" xr:uid="{00000000-0005-0000-0000-0000131F0000}"/>
    <cellStyle name="Good 781" xfId="8064" xr:uid="{00000000-0005-0000-0000-0000141F0000}"/>
    <cellStyle name="Good 782" xfId="8065" xr:uid="{00000000-0005-0000-0000-0000151F0000}"/>
    <cellStyle name="Good 783" xfId="8066" xr:uid="{00000000-0005-0000-0000-0000161F0000}"/>
    <cellStyle name="Good 784" xfId="8067" xr:uid="{00000000-0005-0000-0000-0000171F0000}"/>
    <cellStyle name="Good 785" xfId="8068" xr:uid="{00000000-0005-0000-0000-0000181F0000}"/>
    <cellStyle name="Good 786" xfId="8069" xr:uid="{00000000-0005-0000-0000-0000191F0000}"/>
    <cellStyle name="Good 787" xfId="8070" xr:uid="{00000000-0005-0000-0000-00001A1F0000}"/>
    <cellStyle name="Good 788" xfId="8071" xr:uid="{00000000-0005-0000-0000-00001B1F0000}"/>
    <cellStyle name="Good 789" xfId="8072" xr:uid="{00000000-0005-0000-0000-00001C1F0000}"/>
    <cellStyle name="Good 79" xfId="8073" xr:uid="{00000000-0005-0000-0000-00001D1F0000}"/>
    <cellStyle name="Good 790" xfId="8074" xr:uid="{00000000-0005-0000-0000-00001E1F0000}"/>
    <cellStyle name="Good 791" xfId="8075" xr:uid="{00000000-0005-0000-0000-00001F1F0000}"/>
    <cellStyle name="Good 792" xfId="8076" xr:uid="{00000000-0005-0000-0000-0000201F0000}"/>
    <cellStyle name="Good 793" xfId="8077" xr:uid="{00000000-0005-0000-0000-0000211F0000}"/>
    <cellStyle name="Good 794" xfId="8078" xr:uid="{00000000-0005-0000-0000-0000221F0000}"/>
    <cellStyle name="Good 795" xfId="8079" xr:uid="{00000000-0005-0000-0000-0000231F0000}"/>
    <cellStyle name="Good 796" xfId="8080" xr:uid="{00000000-0005-0000-0000-0000241F0000}"/>
    <cellStyle name="Good 797" xfId="8081" xr:uid="{00000000-0005-0000-0000-0000251F0000}"/>
    <cellStyle name="Good 798" xfId="8082" xr:uid="{00000000-0005-0000-0000-0000261F0000}"/>
    <cellStyle name="Good 799" xfId="8083" xr:uid="{00000000-0005-0000-0000-0000271F0000}"/>
    <cellStyle name="Good 8" xfId="8084" xr:uid="{00000000-0005-0000-0000-0000281F0000}"/>
    <cellStyle name="Good 80" xfId="8085" xr:uid="{00000000-0005-0000-0000-0000291F0000}"/>
    <cellStyle name="Good 800" xfId="8086" xr:uid="{00000000-0005-0000-0000-00002A1F0000}"/>
    <cellStyle name="Good 801" xfId="8087" xr:uid="{00000000-0005-0000-0000-00002B1F0000}"/>
    <cellStyle name="Good 802" xfId="8088" xr:uid="{00000000-0005-0000-0000-00002C1F0000}"/>
    <cellStyle name="Good 803" xfId="8089" xr:uid="{00000000-0005-0000-0000-00002D1F0000}"/>
    <cellStyle name="Good 804" xfId="8090" xr:uid="{00000000-0005-0000-0000-00002E1F0000}"/>
    <cellStyle name="Good 805" xfId="8091" xr:uid="{00000000-0005-0000-0000-00002F1F0000}"/>
    <cellStyle name="Good 806" xfId="8092" xr:uid="{00000000-0005-0000-0000-0000301F0000}"/>
    <cellStyle name="Good 807" xfId="8093" xr:uid="{00000000-0005-0000-0000-0000311F0000}"/>
    <cellStyle name="Good 808" xfId="8094" xr:uid="{00000000-0005-0000-0000-0000321F0000}"/>
    <cellStyle name="Good 809" xfId="8095" xr:uid="{00000000-0005-0000-0000-0000331F0000}"/>
    <cellStyle name="Good 81" xfId="8096" xr:uid="{00000000-0005-0000-0000-0000341F0000}"/>
    <cellStyle name="Good 810" xfId="8097" xr:uid="{00000000-0005-0000-0000-0000351F0000}"/>
    <cellStyle name="Good 811" xfId="8098" xr:uid="{00000000-0005-0000-0000-0000361F0000}"/>
    <cellStyle name="Good 812" xfId="8099" xr:uid="{00000000-0005-0000-0000-0000371F0000}"/>
    <cellStyle name="Good 813" xfId="8100" xr:uid="{00000000-0005-0000-0000-0000381F0000}"/>
    <cellStyle name="Good 814" xfId="8101" xr:uid="{00000000-0005-0000-0000-0000391F0000}"/>
    <cellStyle name="Good 815" xfId="8102" xr:uid="{00000000-0005-0000-0000-00003A1F0000}"/>
    <cellStyle name="Good 816" xfId="8103" xr:uid="{00000000-0005-0000-0000-00003B1F0000}"/>
    <cellStyle name="Good 817" xfId="8104" xr:uid="{00000000-0005-0000-0000-00003C1F0000}"/>
    <cellStyle name="Good 818" xfId="8105" xr:uid="{00000000-0005-0000-0000-00003D1F0000}"/>
    <cellStyle name="Good 819" xfId="8106" xr:uid="{00000000-0005-0000-0000-00003E1F0000}"/>
    <cellStyle name="Good 82" xfId="8107" xr:uid="{00000000-0005-0000-0000-00003F1F0000}"/>
    <cellStyle name="Good 820" xfId="8108" xr:uid="{00000000-0005-0000-0000-0000401F0000}"/>
    <cellStyle name="Good 821" xfId="8109" xr:uid="{00000000-0005-0000-0000-0000411F0000}"/>
    <cellStyle name="Good 822" xfId="8110" xr:uid="{00000000-0005-0000-0000-0000421F0000}"/>
    <cellStyle name="Good 823" xfId="8111" xr:uid="{00000000-0005-0000-0000-0000431F0000}"/>
    <cellStyle name="Good 824" xfId="8112" xr:uid="{00000000-0005-0000-0000-0000441F0000}"/>
    <cellStyle name="Good 825" xfId="8113" xr:uid="{00000000-0005-0000-0000-0000451F0000}"/>
    <cellStyle name="Good 826" xfId="8114" xr:uid="{00000000-0005-0000-0000-0000461F0000}"/>
    <cellStyle name="Good 827" xfId="8115" xr:uid="{00000000-0005-0000-0000-0000471F0000}"/>
    <cellStyle name="Good 828" xfId="8116" xr:uid="{00000000-0005-0000-0000-0000481F0000}"/>
    <cellStyle name="Good 829" xfId="8117" xr:uid="{00000000-0005-0000-0000-0000491F0000}"/>
    <cellStyle name="Good 83" xfId="8118" xr:uid="{00000000-0005-0000-0000-00004A1F0000}"/>
    <cellStyle name="Good 830" xfId="8119" xr:uid="{00000000-0005-0000-0000-00004B1F0000}"/>
    <cellStyle name="Good 831" xfId="8120" xr:uid="{00000000-0005-0000-0000-00004C1F0000}"/>
    <cellStyle name="Good 832" xfId="8121" xr:uid="{00000000-0005-0000-0000-00004D1F0000}"/>
    <cellStyle name="Good 833" xfId="8122" xr:uid="{00000000-0005-0000-0000-00004E1F0000}"/>
    <cellStyle name="Good 834" xfId="8123" xr:uid="{00000000-0005-0000-0000-00004F1F0000}"/>
    <cellStyle name="Good 835" xfId="8124" xr:uid="{00000000-0005-0000-0000-0000501F0000}"/>
    <cellStyle name="Good 836" xfId="8125" xr:uid="{00000000-0005-0000-0000-0000511F0000}"/>
    <cellStyle name="Good 837" xfId="8126" xr:uid="{00000000-0005-0000-0000-0000521F0000}"/>
    <cellStyle name="Good 838" xfId="8127" xr:uid="{00000000-0005-0000-0000-0000531F0000}"/>
    <cellStyle name="Good 839" xfId="8128" xr:uid="{00000000-0005-0000-0000-0000541F0000}"/>
    <cellStyle name="Good 84" xfId="8129" xr:uid="{00000000-0005-0000-0000-0000551F0000}"/>
    <cellStyle name="Good 840" xfId="8130" xr:uid="{00000000-0005-0000-0000-0000561F0000}"/>
    <cellStyle name="Good 841" xfId="8131" xr:uid="{00000000-0005-0000-0000-0000571F0000}"/>
    <cellStyle name="Good 842" xfId="8132" xr:uid="{00000000-0005-0000-0000-0000581F0000}"/>
    <cellStyle name="Good 843" xfId="8133" xr:uid="{00000000-0005-0000-0000-0000591F0000}"/>
    <cellStyle name="Good 844" xfId="8134" xr:uid="{00000000-0005-0000-0000-00005A1F0000}"/>
    <cellStyle name="Good 845" xfId="8135" xr:uid="{00000000-0005-0000-0000-00005B1F0000}"/>
    <cellStyle name="Good 846" xfId="8136" xr:uid="{00000000-0005-0000-0000-00005C1F0000}"/>
    <cellStyle name="Good 847" xfId="8137" xr:uid="{00000000-0005-0000-0000-00005D1F0000}"/>
    <cellStyle name="Good 848" xfId="8138" xr:uid="{00000000-0005-0000-0000-00005E1F0000}"/>
    <cellStyle name="Good 849" xfId="8139" xr:uid="{00000000-0005-0000-0000-00005F1F0000}"/>
    <cellStyle name="Good 85" xfId="8140" xr:uid="{00000000-0005-0000-0000-0000601F0000}"/>
    <cellStyle name="Good 850" xfId="8141" xr:uid="{00000000-0005-0000-0000-0000611F0000}"/>
    <cellStyle name="Good 851" xfId="8142" xr:uid="{00000000-0005-0000-0000-0000621F0000}"/>
    <cellStyle name="Good 852" xfId="8143" xr:uid="{00000000-0005-0000-0000-0000631F0000}"/>
    <cellStyle name="Good 853" xfId="8144" xr:uid="{00000000-0005-0000-0000-0000641F0000}"/>
    <cellStyle name="Good 854" xfId="8145" xr:uid="{00000000-0005-0000-0000-0000651F0000}"/>
    <cellStyle name="Good 855" xfId="8146" xr:uid="{00000000-0005-0000-0000-0000661F0000}"/>
    <cellStyle name="Good 856" xfId="8147" xr:uid="{00000000-0005-0000-0000-0000671F0000}"/>
    <cellStyle name="Good 857" xfId="8148" xr:uid="{00000000-0005-0000-0000-0000681F0000}"/>
    <cellStyle name="Good 858" xfId="8149" xr:uid="{00000000-0005-0000-0000-0000691F0000}"/>
    <cellStyle name="Good 859" xfId="8150" xr:uid="{00000000-0005-0000-0000-00006A1F0000}"/>
    <cellStyle name="Good 86" xfId="8151" xr:uid="{00000000-0005-0000-0000-00006B1F0000}"/>
    <cellStyle name="Good 860" xfId="8152" xr:uid="{00000000-0005-0000-0000-00006C1F0000}"/>
    <cellStyle name="Good 861" xfId="8153" xr:uid="{00000000-0005-0000-0000-00006D1F0000}"/>
    <cellStyle name="Good 862" xfId="8154" xr:uid="{00000000-0005-0000-0000-00006E1F0000}"/>
    <cellStyle name="Good 863" xfId="8155" xr:uid="{00000000-0005-0000-0000-00006F1F0000}"/>
    <cellStyle name="Good 864" xfId="8156" xr:uid="{00000000-0005-0000-0000-0000701F0000}"/>
    <cellStyle name="Good 865" xfId="8157" xr:uid="{00000000-0005-0000-0000-0000711F0000}"/>
    <cellStyle name="Good 866" xfId="8158" xr:uid="{00000000-0005-0000-0000-0000721F0000}"/>
    <cellStyle name="Good 867" xfId="8159" xr:uid="{00000000-0005-0000-0000-0000731F0000}"/>
    <cellStyle name="Good 868" xfId="8160" xr:uid="{00000000-0005-0000-0000-0000741F0000}"/>
    <cellStyle name="Good 869" xfId="8161" xr:uid="{00000000-0005-0000-0000-0000751F0000}"/>
    <cellStyle name="Good 87" xfId="8162" xr:uid="{00000000-0005-0000-0000-0000761F0000}"/>
    <cellStyle name="Good 870" xfId="8163" xr:uid="{00000000-0005-0000-0000-0000771F0000}"/>
    <cellStyle name="Good 871" xfId="8164" xr:uid="{00000000-0005-0000-0000-0000781F0000}"/>
    <cellStyle name="Good 872" xfId="8165" xr:uid="{00000000-0005-0000-0000-0000791F0000}"/>
    <cellStyle name="Good 873" xfId="8166" xr:uid="{00000000-0005-0000-0000-00007A1F0000}"/>
    <cellStyle name="Good 874" xfId="8167" xr:uid="{00000000-0005-0000-0000-00007B1F0000}"/>
    <cellStyle name="Good 875" xfId="8168" xr:uid="{00000000-0005-0000-0000-00007C1F0000}"/>
    <cellStyle name="Good 876" xfId="8169" xr:uid="{00000000-0005-0000-0000-00007D1F0000}"/>
    <cellStyle name="Good 877" xfId="8170" xr:uid="{00000000-0005-0000-0000-00007E1F0000}"/>
    <cellStyle name="Good 878" xfId="8171" xr:uid="{00000000-0005-0000-0000-00007F1F0000}"/>
    <cellStyle name="Good 879" xfId="8172" xr:uid="{00000000-0005-0000-0000-0000801F0000}"/>
    <cellStyle name="Good 88" xfId="8173" xr:uid="{00000000-0005-0000-0000-0000811F0000}"/>
    <cellStyle name="Good 880" xfId="8174" xr:uid="{00000000-0005-0000-0000-0000821F0000}"/>
    <cellStyle name="Good 881" xfId="8175" xr:uid="{00000000-0005-0000-0000-0000831F0000}"/>
    <cellStyle name="Good 882" xfId="8176" xr:uid="{00000000-0005-0000-0000-0000841F0000}"/>
    <cellStyle name="Good 883" xfId="8177" xr:uid="{00000000-0005-0000-0000-0000851F0000}"/>
    <cellStyle name="Good 884" xfId="8178" xr:uid="{00000000-0005-0000-0000-0000861F0000}"/>
    <cellStyle name="Good 885" xfId="8179" xr:uid="{00000000-0005-0000-0000-0000871F0000}"/>
    <cellStyle name="Good 886" xfId="8180" xr:uid="{00000000-0005-0000-0000-0000881F0000}"/>
    <cellStyle name="Good 887" xfId="8181" xr:uid="{00000000-0005-0000-0000-0000891F0000}"/>
    <cellStyle name="Good 888" xfId="8182" xr:uid="{00000000-0005-0000-0000-00008A1F0000}"/>
    <cellStyle name="Good 889" xfId="8183" xr:uid="{00000000-0005-0000-0000-00008B1F0000}"/>
    <cellStyle name="Good 89" xfId="8184" xr:uid="{00000000-0005-0000-0000-00008C1F0000}"/>
    <cellStyle name="Good 890" xfId="8185" xr:uid="{00000000-0005-0000-0000-00008D1F0000}"/>
    <cellStyle name="Good 891" xfId="8186" xr:uid="{00000000-0005-0000-0000-00008E1F0000}"/>
    <cellStyle name="Good 892" xfId="8187" xr:uid="{00000000-0005-0000-0000-00008F1F0000}"/>
    <cellStyle name="Good 893" xfId="8188" xr:uid="{00000000-0005-0000-0000-0000901F0000}"/>
    <cellStyle name="Good 894" xfId="8189" xr:uid="{00000000-0005-0000-0000-0000911F0000}"/>
    <cellStyle name="Good 895" xfId="8190" xr:uid="{00000000-0005-0000-0000-0000921F0000}"/>
    <cellStyle name="Good 896" xfId="8191" xr:uid="{00000000-0005-0000-0000-0000931F0000}"/>
    <cellStyle name="Good 897" xfId="8192" xr:uid="{00000000-0005-0000-0000-0000941F0000}"/>
    <cellStyle name="Good 898" xfId="8193" xr:uid="{00000000-0005-0000-0000-0000951F0000}"/>
    <cellStyle name="Good 899" xfId="8194" xr:uid="{00000000-0005-0000-0000-0000961F0000}"/>
    <cellStyle name="Good 9" xfId="8195" xr:uid="{00000000-0005-0000-0000-0000971F0000}"/>
    <cellStyle name="Good 90" xfId="8196" xr:uid="{00000000-0005-0000-0000-0000981F0000}"/>
    <cellStyle name="Good 900" xfId="8197" xr:uid="{00000000-0005-0000-0000-0000991F0000}"/>
    <cellStyle name="Good 901" xfId="8198" xr:uid="{00000000-0005-0000-0000-00009A1F0000}"/>
    <cellStyle name="Good 902" xfId="8199" xr:uid="{00000000-0005-0000-0000-00009B1F0000}"/>
    <cellStyle name="Good 903" xfId="8200" xr:uid="{00000000-0005-0000-0000-00009C1F0000}"/>
    <cellStyle name="Good 904" xfId="8201" xr:uid="{00000000-0005-0000-0000-00009D1F0000}"/>
    <cellStyle name="Good 905" xfId="8202" xr:uid="{00000000-0005-0000-0000-00009E1F0000}"/>
    <cellStyle name="Good 906" xfId="8203" xr:uid="{00000000-0005-0000-0000-00009F1F0000}"/>
    <cellStyle name="Good 907" xfId="8204" xr:uid="{00000000-0005-0000-0000-0000A01F0000}"/>
    <cellStyle name="Good 908" xfId="8205" xr:uid="{00000000-0005-0000-0000-0000A11F0000}"/>
    <cellStyle name="Good 909" xfId="8206" xr:uid="{00000000-0005-0000-0000-0000A21F0000}"/>
    <cellStyle name="Good 91" xfId="8207" xr:uid="{00000000-0005-0000-0000-0000A31F0000}"/>
    <cellStyle name="Good 910" xfId="8208" xr:uid="{00000000-0005-0000-0000-0000A41F0000}"/>
    <cellStyle name="Good 911" xfId="8209" xr:uid="{00000000-0005-0000-0000-0000A51F0000}"/>
    <cellStyle name="Good 912" xfId="8210" xr:uid="{00000000-0005-0000-0000-0000A61F0000}"/>
    <cellStyle name="Good 913" xfId="8211" xr:uid="{00000000-0005-0000-0000-0000A71F0000}"/>
    <cellStyle name="Good 914" xfId="8212" xr:uid="{00000000-0005-0000-0000-0000A81F0000}"/>
    <cellStyle name="Good 915" xfId="8213" xr:uid="{00000000-0005-0000-0000-0000A91F0000}"/>
    <cellStyle name="Good 916" xfId="8214" xr:uid="{00000000-0005-0000-0000-0000AA1F0000}"/>
    <cellStyle name="Good 917" xfId="8215" xr:uid="{00000000-0005-0000-0000-0000AB1F0000}"/>
    <cellStyle name="Good 918" xfId="8216" xr:uid="{00000000-0005-0000-0000-0000AC1F0000}"/>
    <cellStyle name="Good 919" xfId="8217" xr:uid="{00000000-0005-0000-0000-0000AD1F0000}"/>
    <cellStyle name="Good 92" xfId="8218" xr:uid="{00000000-0005-0000-0000-0000AE1F0000}"/>
    <cellStyle name="Good 920" xfId="8219" xr:uid="{00000000-0005-0000-0000-0000AF1F0000}"/>
    <cellStyle name="Good 921" xfId="8220" xr:uid="{00000000-0005-0000-0000-0000B01F0000}"/>
    <cellStyle name="Good 922" xfId="8221" xr:uid="{00000000-0005-0000-0000-0000B11F0000}"/>
    <cellStyle name="Good 923" xfId="8222" xr:uid="{00000000-0005-0000-0000-0000B21F0000}"/>
    <cellStyle name="Good 924" xfId="8223" xr:uid="{00000000-0005-0000-0000-0000B31F0000}"/>
    <cellStyle name="Good 925" xfId="8224" xr:uid="{00000000-0005-0000-0000-0000B41F0000}"/>
    <cellStyle name="Good 926" xfId="8225" xr:uid="{00000000-0005-0000-0000-0000B51F0000}"/>
    <cellStyle name="Good 927" xfId="8226" xr:uid="{00000000-0005-0000-0000-0000B61F0000}"/>
    <cellStyle name="Good 928" xfId="8227" xr:uid="{00000000-0005-0000-0000-0000B71F0000}"/>
    <cellStyle name="Good 929" xfId="8228" xr:uid="{00000000-0005-0000-0000-0000B81F0000}"/>
    <cellStyle name="Good 93" xfId="8229" xr:uid="{00000000-0005-0000-0000-0000B91F0000}"/>
    <cellStyle name="Good 930" xfId="8230" xr:uid="{00000000-0005-0000-0000-0000BA1F0000}"/>
    <cellStyle name="Good 931" xfId="8231" xr:uid="{00000000-0005-0000-0000-0000BB1F0000}"/>
    <cellStyle name="Good 932" xfId="8232" xr:uid="{00000000-0005-0000-0000-0000BC1F0000}"/>
    <cellStyle name="Good 933" xfId="8233" xr:uid="{00000000-0005-0000-0000-0000BD1F0000}"/>
    <cellStyle name="Good 934" xfId="8234" xr:uid="{00000000-0005-0000-0000-0000BE1F0000}"/>
    <cellStyle name="Good 935" xfId="8235" xr:uid="{00000000-0005-0000-0000-0000BF1F0000}"/>
    <cellStyle name="Good 936" xfId="8236" xr:uid="{00000000-0005-0000-0000-0000C01F0000}"/>
    <cellStyle name="Good 937" xfId="8237" xr:uid="{00000000-0005-0000-0000-0000C11F0000}"/>
    <cellStyle name="Good 938" xfId="8238" xr:uid="{00000000-0005-0000-0000-0000C21F0000}"/>
    <cellStyle name="Good 939" xfId="8239" xr:uid="{00000000-0005-0000-0000-0000C31F0000}"/>
    <cellStyle name="Good 94" xfId="8240" xr:uid="{00000000-0005-0000-0000-0000C41F0000}"/>
    <cellStyle name="Good 940" xfId="8241" xr:uid="{00000000-0005-0000-0000-0000C51F0000}"/>
    <cellStyle name="Good 941" xfId="8242" xr:uid="{00000000-0005-0000-0000-0000C61F0000}"/>
    <cellStyle name="Good 942" xfId="8243" xr:uid="{00000000-0005-0000-0000-0000C71F0000}"/>
    <cellStyle name="Good 943" xfId="8244" xr:uid="{00000000-0005-0000-0000-0000C81F0000}"/>
    <cellStyle name="Good 944" xfId="8245" xr:uid="{00000000-0005-0000-0000-0000C91F0000}"/>
    <cellStyle name="Good 945" xfId="8246" xr:uid="{00000000-0005-0000-0000-0000CA1F0000}"/>
    <cellStyle name="Good 946" xfId="8247" xr:uid="{00000000-0005-0000-0000-0000CB1F0000}"/>
    <cellStyle name="Good 947" xfId="8248" xr:uid="{00000000-0005-0000-0000-0000CC1F0000}"/>
    <cellStyle name="Good 948" xfId="8249" xr:uid="{00000000-0005-0000-0000-0000CD1F0000}"/>
    <cellStyle name="Good 949" xfId="8250" xr:uid="{00000000-0005-0000-0000-0000CE1F0000}"/>
    <cellStyle name="Good 95" xfId="8251" xr:uid="{00000000-0005-0000-0000-0000CF1F0000}"/>
    <cellStyle name="Good 950" xfId="8252" xr:uid="{00000000-0005-0000-0000-0000D01F0000}"/>
    <cellStyle name="Good 951" xfId="8253" xr:uid="{00000000-0005-0000-0000-0000D11F0000}"/>
    <cellStyle name="Good 952" xfId="8254" xr:uid="{00000000-0005-0000-0000-0000D21F0000}"/>
    <cellStyle name="Good 953" xfId="8255" xr:uid="{00000000-0005-0000-0000-0000D31F0000}"/>
    <cellStyle name="Good 954" xfId="8256" xr:uid="{00000000-0005-0000-0000-0000D41F0000}"/>
    <cellStyle name="Good 955" xfId="8257" xr:uid="{00000000-0005-0000-0000-0000D51F0000}"/>
    <cellStyle name="Good 956" xfId="8258" xr:uid="{00000000-0005-0000-0000-0000D61F0000}"/>
    <cellStyle name="Good 957" xfId="8259" xr:uid="{00000000-0005-0000-0000-0000D71F0000}"/>
    <cellStyle name="Good 958" xfId="8260" xr:uid="{00000000-0005-0000-0000-0000D81F0000}"/>
    <cellStyle name="Good 959" xfId="8261" xr:uid="{00000000-0005-0000-0000-0000D91F0000}"/>
    <cellStyle name="Good 96" xfId="8262" xr:uid="{00000000-0005-0000-0000-0000DA1F0000}"/>
    <cellStyle name="Good 960" xfId="8263" xr:uid="{00000000-0005-0000-0000-0000DB1F0000}"/>
    <cellStyle name="Good 961" xfId="8264" xr:uid="{00000000-0005-0000-0000-0000DC1F0000}"/>
    <cellStyle name="Good 962" xfId="8265" xr:uid="{00000000-0005-0000-0000-0000DD1F0000}"/>
    <cellStyle name="Good 963" xfId="8266" xr:uid="{00000000-0005-0000-0000-0000DE1F0000}"/>
    <cellStyle name="Good 964" xfId="8267" xr:uid="{00000000-0005-0000-0000-0000DF1F0000}"/>
    <cellStyle name="Good 965" xfId="8268" xr:uid="{00000000-0005-0000-0000-0000E01F0000}"/>
    <cellStyle name="Good 966" xfId="8269" xr:uid="{00000000-0005-0000-0000-0000E11F0000}"/>
    <cellStyle name="Good 967" xfId="8270" xr:uid="{00000000-0005-0000-0000-0000E21F0000}"/>
    <cellStyle name="Good 968" xfId="8271" xr:uid="{00000000-0005-0000-0000-0000E31F0000}"/>
    <cellStyle name="Good 969" xfId="8272" xr:uid="{00000000-0005-0000-0000-0000E41F0000}"/>
    <cellStyle name="Good 97" xfId="8273" xr:uid="{00000000-0005-0000-0000-0000E51F0000}"/>
    <cellStyle name="Good 970" xfId="8274" xr:uid="{00000000-0005-0000-0000-0000E61F0000}"/>
    <cellStyle name="Good 971" xfId="8275" xr:uid="{00000000-0005-0000-0000-0000E71F0000}"/>
    <cellStyle name="Good 972" xfId="8276" xr:uid="{00000000-0005-0000-0000-0000E81F0000}"/>
    <cellStyle name="Good 973" xfId="8277" xr:uid="{00000000-0005-0000-0000-0000E91F0000}"/>
    <cellStyle name="Good 974" xfId="8278" xr:uid="{00000000-0005-0000-0000-0000EA1F0000}"/>
    <cellStyle name="Good 975" xfId="8279" xr:uid="{00000000-0005-0000-0000-0000EB1F0000}"/>
    <cellStyle name="Good 976" xfId="8280" xr:uid="{00000000-0005-0000-0000-0000EC1F0000}"/>
    <cellStyle name="Good 977" xfId="8281" xr:uid="{00000000-0005-0000-0000-0000ED1F0000}"/>
    <cellStyle name="Good 978" xfId="8282" xr:uid="{00000000-0005-0000-0000-0000EE1F0000}"/>
    <cellStyle name="Good 979" xfId="8283" xr:uid="{00000000-0005-0000-0000-0000EF1F0000}"/>
    <cellStyle name="Good 98" xfId="8284" xr:uid="{00000000-0005-0000-0000-0000F01F0000}"/>
    <cellStyle name="Good 980" xfId="8285" xr:uid="{00000000-0005-0000-0000-0000F11F0000}"/>
    <cellStyle name="Good 981" xfId="8286" xr:uid="{00000000-0005-0000-0000-0000F21F0000}"/>
    <cellStyle name="Good 982" xfId="8287" xr:uid="{00000000-0005-0000-0000-0000F31F0000}"/>
    <cellStyle name="Good 983" xfId="8288" xr:uid="{00000000-0005-0000-0000-0000F41F0000}"/>
    <cellStyle name="Good 984" xfId="8289" xr:uid="{00000000-0005-0000-0000-0000F51F0000}"/>
    <cellStyle name="Good 985" xfId="8290" xr:uid="{00000000-0005-0000-0000-0000F61F0000}"/>
    <cellStyle name="Good 986" xfId="8291" xr:uid="{00000000-0005-0000-0000-0000F71F0000}"/>
    <cellStyle name="Good 987" xfId="8292" xr:uid="{00000000-0005-0000-0000-0000F81F0000}"/>
    <cellStyle name="Good 988" xfId="8293" xr:uid="{00000000-0005-0000-0000-0000F91F0000}"/>
    <cellStyle name="Good 989" xfId="8294" xr:uid="{00000000-0005-0000-0000-0000FA1F0000}"/>
    <cellStyle name="Good 99" xfId="8295" xr:uid="{00000000-0005-0000-0000-0000FB1F0000}"/>
    <cellStyle name="Good 990" xfId="8296" xr:uid="{00000000-0005-0000-0000-0000FC1F0000}"/>
    <cellStyle name="Good 991" xfId="8297" xr:uid="{00000000-0005-0000-0000-0000FD1F0000}"/>
    <cellStyle name="Good 992" xfId="8298" xr:uid="{00000000-0005-0000-0000-0000FE1F0000}"/>
    <cellStyle name="Good 993" xfId="8299" xr:uid="{00000000-0005-0000-0000-0000FF1F0000}"/>
    <cellStyle name="Good 994" xfId="8300" xr:uid="{00000000-0005-0000-0000-000000200000}"/>
    <cellStyle name="Good 995" xfId="8301" xr:uid="{00000000-0005-0000-0000-000001200000}"/>
    <cellStyle name="Good 996" xfId="8302" xr:uid="{00000000-0005-0000-0000-000002200000}"/>
    <cellStyle name="Good 997" xfId="8303" xr:uid="{00000000-0005-0000-0000-000003200000}"/>
    <cellStyle name="Good 998" xfId="8304" xr:uid="{00000000-0005-0000-0000-000004200000}"/>
    <cellStyle name="Good 999" xfId="8305" xr:uid="{00000000-0005-0000-0000-000005200000}"/>
    <cellStyle name="Heading 1" xfId="112" xr:uid="{00000000-0005-0000-0000-000006200000}"/>
    <cellStyle name="Heading 1 10" xfId="8306" xr:uid="{00000000-0005-0000-0000-000007200000}"/>
    <cellStyle name="Heading 1 100" xfId="8307" xr:uid="{00000000-0005-0000-0000-000008200000}"/>
    <cellStyle name="Heading 1 1000" xfId="8308" xr:uid="{00000000-0005-0000-0000-000009200000}"/>
    <cellStyle name="Heading 1 1001" xfId="8309" xr:uid="{00000000-0005-0000-0000-00000A200000}"/>
    <cellStyle name="Heading 1 1002" xfId="8310" xr:uid="{00000000-0005-0000-0000-00000B200000}"/>
    <cellStyle name="Heading 1 1003" xfId="8311" xr:uid="{00000000-0005-0000-0000-00000C200000}"/>
    <cellStyle name="Heading 1 1004" xfId="8312" xr:uid="{00000000-0005-0000-0000-00000D200000}"/>
    <cellStyle name="Heading 1 1005" xfId="8313" xr:uid="{00000000-0005-0000-0000-00000E200000}"/>
    <cellStyle name="Heading 1 1006" xfId="8314" xr:uid="{00000000-0005-0000-0000-00000F200000}"/>
    <cellStyle name="Heading 1 1007" xfId="8315" xr:uid="{00000000-0005-0000-0000-000010200000}"/>
    <cellStyle name="Heading 1 1008" xfId="8316" xr:uid="{00000000-0005-0000-0000-000011200000}"/>
    <cellStyle name="Heading 1 1009" xfId="8317" xr:uid="{00000000-0005-0000-0000-000012200000}"/>
    <cellStyle name="Heading 1 101" xfId="8318" xr:uid="{00000000-0005-0000-0000-000013200000}"/>
    <cellStyle name="Heading 1 1010" xfId="8319" xr:uid="{00000000-0005-0000-0000-000014200000}"/>
    <cellStyle name="Heading 1 1011" xfId="8320" xr:uid="{00000000-0005-0000-0000-000015200000}"/>
    <cellStyle name="Heading 1 1012" xfId="8321" xr:uid="{00000000-0005-0000-0000-000016200000}"/>
    <cellStyle name="Heading 1 1013" xfId="8322" xr:uid="{00000000-0005-0000-0000-000017200000}"/>
    <cellStyle name="Heading 1 1014" xfId="8323" xr:uid="{00000000-0005-0000-0000-000018200000}"/>
    <cellStyle name="Heading 1 1015" xfId="8324" xr:uid="{00000000-0005-0000-0000-000019200000}"/>
    <cellStyle name="Heading 1 1016" xfId="8325" xr:uid="{00000000-0005-0000-0000-00001A200000}"/>
    <cellStyle name="Heading 1 1017" xfId="8326" xr:uid="{00000000-0005-0000-0000-00001B200000}"/>
    <cellStyle name="Heading 1 1018" xfId="8327" xr:uid="{00000000-0005-0000-0000-00001C200000}"/>
    <cellStyle name="Heading 1 1019" xfId="8328" xr:uid="{00000000-0005-0000-0000-00001D200000}"/>
    <cellStyle name="Heading 1 102" xfId="8329" xr:uid="{00000000-0005-0000-0000-00001E200000}"/>
    <cellStyle name="Heading 1 1020" xfId="8330" xr:uid="{00000000-0005-0000-0000-00001F200000}"/>
    <cellStyle name="Heading 1 1021" xfId="8331" xr:uid="{00000000-0005-0000-0000-000020200000}"/>
    <cellStyle name="Heading 1 1022" xfId="8332" xr:uid="{00000000-0005-0000-0000-000021200000}"/>
    <cellStyle name="Heading 1 1023" xfId="8333" xr:uid="{00000000-0005-0000-0000-000022200000}"/>
    <cellStyle name="Heading 1 1024" xfId="8334" xr:uid="{00000000-0005-0000-0000-000023200000}"/>
    <cellStyle name="Heading 1 1025" xfId="8335" xr:uid="{00000000-0005-0000-0000-000024200000}"/>
    <cellStyle name="Heading 1 1026" xfId="8336" xr:uid="{00000000-0005-0000-0000-000025200000}"/>
    <cellStyle name="Heading 1 1027" xfId="8337" xr:uid="{00000000-0005-0000-0000-000026200000}"/>
    <cellStyle name="Heading 1 1028" xfId="8338" xr:uid="{00000000-0005-0000-0000-000027200000}"/>
    <cellStyle name="Heading 1 1029" xfId="8339" xr:uid="{00000000-0005-0000-0000-000028200000}"/>
    <cellStyle name="Heading 1 103" xfId="8340" xr:uid="{00000000-0005-0000-0000-000029200000}"/>
    <cellStyle name="Heading 1 1030" xfId="8341" xr:uid="{00000000-0005-0000-0000-00002A200000}"/>
    <cellStyle name="Heading 1 1031" xfId="8342" xr:uid="{00000000-0005-0000-0000-00002B200000}"/>
    <cellStyle name="Heading 1 1032" xfId="8343" xr:uid="{00000000-0005-0000-0000-00002C200000}"/>
    <cellStyle name="Heading 1 1033" xfId="8344" xr:uid="{00000000-0005-0000-0000-00002D200000}"/>
    <cellStyle name="Heading 1 1034" xfId="8345" xr:uid="{00000000-0005-0000-0000-00002E200000}"/>
    <cellStyle name="Heading 1 1035" xfId="8346" xr:uid="{00000000-0005-0000-0000-00002F200000}"/>
    <cellStyle name="Heading 1 1036" xfId="8347" xr:uid="{00000000-0005-0000-0000-000030200000}"/>
    <cellStyle name="Heading 1 1037" xfId="8348" xr:uid="{00000000-0005-0000-0000-000031200000}"/>
    <cellStyle name="Heading 1 1038" xfId="8349" xr:uid="{00000000-0005-0000-0000-000032200000}"/>
    <cellStyle name="Heading 1 1039" xfId="8350" xr:uid="{00000000-0005-0000-0000-000033200000}"/>
    <cellStyle name="Heading 1 104" xfId="8351" xr:uid="{00000000-0005-0000-0000-000034200000}"/>
    <cellStyle name="Heading 1 1040" xfId="8352" xr:uid="{00000000-0005-0000-0000-000035200000}"/>
    <cellStyle name="Heading 1 1041" xfId="8353" xr:uid="{00000000-0005-0000-0000-000036200000}"/>
    <cellStyle name="Heading 1 1042" xfId="8354" xr:uid="{00000000-0005-0000-0000-000037200000}"/>
    <cellStyle name="Heading 1 1043" xfId="8355" xr:uid="{00000000-0005-0000-0000-000038200000}"/>
    <cellStyle name="Heading 1 1044" xfId="8356" xr:uid="{00000000-0005-0000-0000-000039200000}"/>
    <cellStyle name="Heading 1 1045" xfId="8357" xr:uid="{00000000-0005-0000-0000-00003A200000}"/>
    <cellStyle name="Heading 1 1046" xfId="8358" xr:uid="{00000000-0005-0000-0000-00003B200000}"/>
    <cellStyle name="Heading 1 1047" xfId="8359" xr:uid="{00000000-0005-0000-0000-00003C200000}"/>
    <cellStyle name="Heading 1 1048" xfId="8360" xr:uid="{00000000-0005-0000-0000-00003D200000}"/>
    <cellStyle name="Heading 1 1049" xfId="8361" xr:uid="{00000000-0005-0000-0000-00003E200000}"/>
    <cellStyle name="Heading 1 105" xfId="8362" xr:uid="{00000000-0005-0000-0000-00003F200000}"/>
    <cellStyle name="Heading 1 1050" xfId="8363" xr:uid="{00000000-0005-0000-0000-000040200000}"/>
    <cellStyle name="Heading 1 1051" xfId="8364" xr:uid="{00000000-0005-0000-0000-000041200000}"/>
    <cellStyle name="Heading 1 1052" xfId="8365" xr:uid="{00000000-0005-0000-0000-000042200000}"/>
    <cellStyle name="Heading 1 1053" xfId="8366" xr:uid="{00000000-0005-0000-0000-000043200000}"/>
    <cellStyle name="Heading 1 1054" xfId="8367" xr:uid="{00000000-0005-0000-0000-000044200000}"/>
    <cellStyle name="Heading 1 1055" xfId="8368" xr:uid="{00000000-0005-0000-0000-000045200000}"/>
    <cellStyle name="Heading 1 1056" xfId="8369" xr:uid="{00000000-0005-0000-0000-000046200000}"/>
    <cellStyle name="Heading 1 1057" xfId="8370" xr:uid="{00000000-0005-0000-0000-000047200000}"/>
    <cellStyle name="Heading 1 1058" xfId="8371" xr:uid="{00000000-0005-0000-0000-000048200000}"/>
    <cellStyle name="Heading 1 1059" xfId="8372" xr:uid="{00000000-0005-0000-0000-000049200000}"/>
    <cellStyle name="Heading 1 106" xfId="8373" xr:uid="{00000000-0005-0000-0000-00004A200000}"/>
    <cellStyle name="Heading 1 1060" xfId="8374" xr:uid="{00000000-0005-0000-0000-00004B200000}"/>
    <cellStyle name="Heading 1 1061" xfId="8375" xr:uid="{00000000-0005-0000-0000-00004C200000}"/>
    <cellStyle name="Heading 1 1062" xfId="8376" xr:uid="{00000000-0005-0000-0000-00004D200000}"/>
    <cellStyle name="Heading 1 1063" xfId="8377" xr:uid="{00000000-0005-0000-0000-00004E200000}"/>
    <cellStyle name="Heading 1 1064" xfId="8378" xr:uid="{00000000-0005-0000-0000-00004F200000}"/>
    <cellStyle name="Heading 1 1065" xfId="8379" xr:uid="{00000000-0005-0000-0000-000050200000}"/>
    <cellStyle name="Heading 1 1066" xfId="8380" xr:uid="{00000000-0005-0000-0000-000051200000}"/>
    <cellStyle name="Heading 1 1067" xfId="8381" xr:uid="{00000000-0005-0000-0000-000052200000}"/>
    <cellStyle name="Heading 1 1068" xfId="8382" xr:uid="{00000000-0005-0000-0000-000053200000}"/>
    <cellStyle name="Heading 1 1069" xfId="8383" xr:uid="{00000000-0005-0000-0000-000054200000}"/>
    <cellStyle name="Heading 1 107" xfId="8384" xr:uid="{00000000-0005-0000-0000-000055200000}"/>
    <cellStyle name="Heading 1 1070" xfId="8385" xr:uid="{00000000-0005-0000-0000-000056200000}"/>
    <cellStyle name="Heading 1 1071" xfId="8386" xr:uid="{00000000-0005-0000-0000-000057200000}"/>
    <cellStyle name="Heading 1 1072" xfId="8387" xr:uid="{00000000-0005-0000-0000-000058200000}"/>
    <cellStyle name="Heading 1 1073" xfId="8388" xr:uid="{00000000-0005-0000-0000-000059200000}"/>
    <cellStyle name="Heading 1 1074" xfId="8389" xr:uid="{00000000-0005-0000-0000-00005A200000}"/>
    <cellStyle name="Heading 1 1075" xfId="8390" xr:uid="{00000000-0005-0000-0000-00005B200000}"/>
    <cellStyle name="Heading 1 1076" xfId="8391" xr:uid="{00000000-0005-0000-0000-00005C200000}"/>
    <cellStyle name="Heading 1 1077" xfId="8392" xr:uid="{00000000-0005-0000-0000-00005D200000}"/>
    <cellStyle name="Heading 1 1078" xfId="8393" xr:uid="{00000000-0005-0000-0000-00005E200000}"/>
    <cellStyle name="Heading 1 1079" xfId="8394" xr:uid="{00000000-0005-0000-0000-00005F200000}"/>
    <cellStyle name="Heading 1 108" xfId="8395" xr:uid="{00000000-0005-0000-0000-000060200000}"/>
    <cellStyle name="Heading 1 1080" xfId="8396" xr:uid="{00000000-0005-0000-0000-000061200000}"/>
    <cellStyle name="Heading 1 1081" xfId="8397" xr:uid="{00000000-0005-0000-0000-000062200000}"/>
    <cellStyle name="Heading 1 1082" xfId="8398" xr:uid="{00000000-0005-0000-0000-000063200000}"/>
    <cellStyle name="Heading 1 1083" xfId="8399" xr:uid="{00000000-0005-0000-0000-000064200000}"/>
    <cellStyle name="Heading 1 1084" xfId="8400" xr:uid="{00000000-0005-0000-0000-000065200000}"/>
    <cellStyle name="Heading 1 1085" xfId="8401" xr:uid="{00000000-0005-0000-0000-000066200000}"/>
    <cellStyle name="Heading 1 1086" xfId="8402" xr:uid="{00000000-0005-0000-0000-000067200000}"/>
    <cellStyle name="Heading 1 1087" xfId="8403" xr:uid="{00000000-0005-0000-0000-000068200000}"/>
    <cellStyle name="Heading 1 1088" xfId="8404" xr:uid="{00000000-0005-0000-0000-000069200000}"/>
    <cellStyle name="Heading 1 1089" xfId="8405" xr:uid="{00000000-0005-0000-0000-00006A200000}"/>
    <cellStyle name="Heading 1 109" xfId="8406" xr:uid="{00000000-0005-0000-0000-00006B200000}"/>
    <cellStyle name="Heading 1 1090" xfId="8407" xr:uid="{00000000-0005-0000-0000-00006C200000}"/>
    <cellStyle name="Heading 1 1091" xfId="8408" xr:uid="{00000000-0005-0000-0000-00006D200000}"/>
    <cellStyle name="Heading 1 1092" xfId="8409" xr:uid="{00000000-0005-0000-0000-00006E200000}"/>
    <cellStyle name="Heading 1 1093" xfId="8410" xr:uid="{00000000-0005-0000-0000-00006F200000}"/>
    <cellStyle name="Heading 1 1094" xfId="8411" xr:uid="{00000000-0005-0000-0000-000070200000}"/>
    <cellStyle name="Heading 1 1095" xfId="8412" xr:uid="{00000000-0005-0000-0000-000071200000}"/>
    <cellStyle name="Heading 1 1096" xfId="8413" xr:uid="{00000000-0005-0000-0000-000072200000}"/>
    <cellStyle name="Heading 1 1097" xfId="8414" xr:uid="{00000000-0005-0000-0000-000073200000}"/>
    <cellStyle name="Heading 1 1098" xfId="8415" xr:uid="{00000000-0005-0000-0000-000074200000}"/>
    <cellStyle name="Heading 1 1099" xfId="8416" xr:uid="{00000000-0005-0000-0000-000075200000}"/>
    <cellStyle name="Heading 1 11" xfId="8417" xr:uid="{00000000-0005-0000-0000-000076200000}"/>
    <cellStyle name="Heading 1 110" xfId="8418" xr:uid="{00000000-0005-0000-0000-000077200000}"/>
    <cellStyle name="Heading 1 1100" xfId="8419" xr:uid="{00000000-0005-0000-0000-000078200000}"/>
    <cellStyle name="Heading 1 1101" xfId="8420" xr:uid="{00000000-0005-0000-0000-000079200000}"/>
    <cellStyle name="Heading 1 1102" xfId="8421" xr:uid="{00000000-0005-0000-0000-00007A200000}"/>
    <cellStyle name="Heading 1 1103" xfId="8422" xr:uid="{00000000-0005-0000-0000-00007B200000}"/>
    <cellStyle name="Heading 1 1104" xfId="8423" xr:uid="{00000000-0005-0000-0000-00007C200000}"/>
    <cellStyle name="Heading 1 1105" xfId="8424" xr:uid="{00000000-0005-0000-0000-00007D200000}"/>
    <cellStyle name="Heading 1 1106" xfId="8425" xr:uid="{00000000-0005-0000-0000-00007E200000}"/>
    <cellStyle name="Heading 1 1107" xfId="8426" xr:uid="{00000000-0005-0000-0000-00007F200000}"/>
    <cellStyle name="Heading 1 1108" xfId="8427" xr:uid="{00000000-0005-0000-0000-000080200000}"/>
    <cellStyle name="Heading 1 1109" xfId="8428" xr:uid="{00000000-0005-0000-0000-000081200000}"/>
    <cellStyle name="Heading 1 111" xfId="8429" xr:uid="{00000000-0005-0000-0000-000082200000}"/>
    <cellStyle name="Heading 1 1110" xfId="8430" xr:uid="{00000000-0005-0000-0000-000083200000}"/>
    <cellStyle name="Heading 1 1111" xfId="8431" xr:uid="{00000000-0005-0000-0000-000084200000}"/>
    <cellStyle name="Heading 1 1112" xfId="8432" xr:uid="{00000000-0005-0000-0000-000085200000}"/>
    <cellStyle name="Heading 1 1113" xfId="8433" xr:uid="{00000000-0005-0000-0000-000086200000}"/>
    <cellStyle name="Heading 1 1114" xfId="8434" xr:uid="{00000000-0005-0000-0000-000087200000}"/>
    <cellStyle name="Heading 1 1115" xfId="8435" xr:uid="{00000000-0005-0000-0000-000088200000}"/>
    <cellStyle name="Heading 1 1116" xfId="8436" xr:uid="{00000000-0005-0000-0000-000089200000}"/>
    <cellStyle name="Heading 1 1117" xfId="8437" xr:uid="{00000000-0005-0000-0000-00008A200000}"/>
    <cellStyle name="Heading 1 1118" xfId="8438" xr:uid="{00000000-0005-0000-0000-00008B200000}"/>
    <cellStyle name="Heading 1 1119" xfId="8439" xr:uid="{00000000-0005-0000-0000-00008C200000}"/>
    <cellStyle name="Heading 1 112" xfId="8440" xr:uid="{00000000-0005-0000-0000-00008D200000}"/>
    <cellStyle name="Heading 1 1120" xfId="8441" xr:uid="{00000000-0005-0000-0000-00008E200000}"/>
    <cellStyle name="Heading 1 1121" xfId="8442" xr:uid="{00000000-0005-0000-0000-00008F200000}"/>
    <cellStyle name="Heading 1 1122" xfId="8443" xr:uid="{00000000-0005-0000-0000-000090200000}"/>
    <cellStyle name="Heading 1 1123" xfId="8444" xr:uid="{00000000-0005-0000-0000-000091200000}"/>
    <cellStyle name="Heading 1 1124" xfId="8445" xr:uid="{00000000-0005-0000-0000-000092200000}"/>
    <cellStyle name="Heading 1 1125" xfId="8446" xr:uid="{00000000-0005-0000-0000-000093200000}"/>
    <cellStyle name="Heading 1 1126" xfId="8447" xr:uid="{00000000-0005-0000-0000-000094200000}"/>
    <cellStyle name="Heading 1 1127" xfId="8448" xr:uid="{00000000-0005-0000-0000-000095200000}"/>
    <cellStyle name="Heading 1 1128" xfId="8449" xr:uid="{00000000-0005-0000-0000-000096200000}"/>
    <cellStyle name="Heading 1 1129" xfId="8450" xr:uid="{00000000-0005-0000-0000-000097200000}"/>
    <cellStyle name="Heading 1 113" xfId="8451" xr:uid="{00000000-0005-0000-0000-000098200000}"/>
    <cellStyle name="Heading 1 1130" xfId="8452" xr:uid="{00000000-0005-0000-0000-000099200000}"/>
    <cellStyle name="Heading 1 1131" xfId="8453" xr:uid="{00000000-0005-0000-0000-00009A200000}"/>
    <cellStyle name="Heading 1 1132" xfId="8454" xr:uid="{00000000-0005-0000-0000-00009B200000}"/>
    <cellStyle name="Heading 1 1133" xfId="8455" xr:uid="{00000000-0005-0000-0000-00009C200000}"/>
    <cellStyle name="Heading 1 1134" xfId="8456" xr:uid="{00000000-0005-0000-0000-00009D200000}"/>
    <cellStyle name="Heading 1 1135" xfId="8457" xr:uid="{00000000-0005-0000-0000-00009E200000}"/>
    <cellStyle name="Heading 1 1136" xfId="8458" xr:uid="{00000000-0005-0000-0000-00009F200000}"/>
    <cellStyle name="Heading 1 1137" xfId="8459" xr:uid="{00000000-0005-0000-0000-0000A0200000}"/>
    <cellStyle name="Heading 1 1138" xfId="8460" xr:uid="{00000000-0005-0000-0000-0000A1200000}"/>
    <cellStyle name="Heading 1 1139" xfId="8461" xr:uid="{00000000-0005-0000-0000-0000A2200000}"/>
    <cellStyle name="Heading 1 114" xfId="8462" xr:uid="{00000000-0005-0000-0000-0000A3200000}"/>
    <cellStyle name="Heading 1 1140" xfId="8463" xr:uid="{00000000-0005-0000-0000-0000A4200000}"/>
    <cellStyle name="Heading 1 1141" xfId="8464" xr:uid="{00000000-0005-0000-0000-0000A5200000}"/>
    <cellStyle name="Heading 1 1142" xfId="8465" xr:uid="{00000000-0005-0000-0000-0000A6200000}"/>
    <cellStyle name="Heading 1 1143" xfId="8466" xr:uid="{00000000-0005-0000-0000-0000A7200000}"/>
    <cellStyle name="Heading 1 1144" xfId="8467" xr:uid="{00000000-0005-0000-0000-0000A8200000}"/>
    <cellStyle name="Heading 1 1145" xfId="8468" xr:uid="{00000000-0005-0000-0000-0000A9200000}"/>
    <cellStyle name="Heading 1 1146" xfId="8469" xr:uid="{00000000-0005-0000-0000-0000AA200000}"/>
    <cellStyle name="Heading 1 1147" xfId="8470" xr:uid="{00000000-0005-0000-0000-0000AB200000}"/>
    <cellStyle name="Heading 1 1148" xfId="8471" xr:uid="{00000000-0005-0000-0000-0000AC200000}"/>
    <cellStyle name="Heading 1 1149" xfId="8472" xr:uid="{00000000-0005-0000-0000-0000AD200000}"/>
    <cellStyle name="Heading 1 115" xfId="8473" xr:uid="{00000000-0005-0000-0000-0000AE200000}"/>
    <cellStyle name="Heading 1 1150" xfId="8474" xr:uid="{00000000-0005-0000-0000-0000AF200000}"/>
    <cellStyle name="Heading 1 1151" xfId="8475" xr:uid="{00000000-0005-0000-0000-0000B0200000}"/>
    <cellStyle name="Heading 1 1152" xfId="8476" xr:uid="{00000000-0005-0000-0000-0000B1200000}"/>
    <cellStyle name="Heading 1 1153" xfId="8477" xr:uid="{00000000-0005-0000-0000-0000B2200000}"/>
    <cellStyle name="Heading 1 1154" xfId="8478" xr:uid="{00000000-0005-0000-0000-0000B3200000}"/>
    <cellStyle name="Heading 1 1155" xfId="8479" xr:uid="{00000000-0005-0000-0000-0000B4200000}"/>
    <cellStyle name="Heading 1 1156" xfId="8480" xr:uid="{00000000-0005-0000-0000-0000B5200000}"/>
    <cellStyle name="Heading 1 1157" xfId="8481" xr:uid="{00000000-0005-0000-0000-0000B6200000}"/>
    <cellStyle name="Heading 1 1158" xfId="8482" xr:uid="{00000000-0005-0000-0000-0000B7200000}"/>
    <cellStyle name="Heading 1 1159" xfId="8483" xr:uid="{00000000-0005-0000-0000-0000B8200000}"/>
    <cellStyle name="Heading 1 116" xfId="8484" xr:uid="{00000000-0005-0000-0000-0000B9200000}"/>
    <cellStyle name="Heading 1 1160" xfId="8485" xr:uid="{00000000-0005-0000-0000-0000BA200000}"/>
    <cellStyle name="Heading 1 1161" xfId="8486" xr:uid="{00000000-0005-0000-0000-0000BB200000}"/>
    <cellStyle name="Heading 1 1162" xfId="8487" xr:uid="{00000000-0005-0000-0000-0000BC200000}"/>
    <cellStyle name="Heading 1 117" xfId="8488" xr:uid="{00000000-0005-0000-0000-0000BD200000}"/>
    <cellStyle name="Heading 1 118" xfId="8489" xr:uid="{00000000-0005-0000-0000-0000BE200000}"/>
    <cellStyle name="Heading 1 119" xfId="8490" xr:uid="{00000000-0005-0000-0000-0000BF200000}"/>
    <cellStyle name="Heading 1 12" xfId="8491" xr:uid="{00000000-0005-0000-0000-0000C0200000}"/>
    <cellStyle name="Heading 1 120" xfId="8492" xr:uid="{00000000-0005-0000-0000-0000C1200000}"/>
    <cellStyle name="Heading 1 121" xfId="8493" xr:uid="{00000000-0005-0000-0000-0000C2200000}"/>
    <cellStyle name="Heading 1 122" xfId="8494" xr:uid="{00000000-0005-0000-0000-0000C3200000}"/>
    <cellStyle name="Heading 1 123" xfId="8495" xr:uid="{00000000-0005-0000-0000-0000C4200000}"/>
    <cellStyle name="Heading 1 124" xfId="8496" xr:uid="{00000000-0005-0000-0000-0000C5200000}"/>
    <cellStyle name="Heading 1 125" xfId="8497" xr:uid="{00000000-0005-0000-0000-0000C6200000}"/>
    <cellStyle name="Heading 1 126" xfId="8498" xr:uid="{00000000-0005-0000-0000-0000C7200000}"/>
    <cellStyle name="Heading 1 127" xfId="8499" xr:uid="{00000000-0005-0000-0000-0000C8200000}"/>
    <cellStyle name="Heading 1 128" xfId="8500" xr:uid="{00000000-0005-0000-0000-0000C9200000}"/>
    <cellStyle name="Heading 1 129" xfId="8501" xr:uid="{00000000-0005-0000-0000-0000CA200000}"/>
    <cellStyle name="Heading 1 13" xfId="8502" xr:uid="{00000000-0005-0000-0000-0000CB200000}"/>
    <cellStyle name="Heading 1 130" xfId="8503" xr:uid="{00000000-0005-0000-0000-0000CC200000}"/>
    <cellStyle name="Heading 1 131" xfId="8504" xr:uid="{00000000-0005-0000-0000-0000CD200000}"/>
    <cellStyle name="Heading 1 132" xfId="8505" xr:uid="{00000000-0005-0000-0000-0000CE200000}"/>
    <cellStyle name="Heading 1 133" xfId="8506" xr:uid="{00000000-0005-0000-0000-0000CF200000}"/>
    <cellStyle name="Heading 1 134" xfId="8507" xr:uid="{00000000-0005-0000-0000-0000D0200000}"/>
    <cellStyle name="Heading 1 135" xfId="8508" xr:uid="{00000000-0005-0000-0000-0000D1200000}"/>
    <cellStyle name="Heading 1 136" xfId="8509" xr:uid="{00000000-0005-0000-0000-0000D2200000}"/>
    <cellStyle name="Heading 1 137" xfId="8510" xr:uid="{00000000-0005-0000-0000-0000D3200000}"/>
    <cellStyle name="Heading 1 138" xfId="8511" xr:uid="{00000000-0005-0000-0000-0000D4200000}"/>
    <cellStyle name="Heading 1 139" xfId="8512" xr:uid="{00000000-0005-0000-0000-0000D5200000}"/>
    <cellStyle name="Heading 1 14" xfId="8513" xr:uid="{00000000-0005-0000-0000-0000D6200000}"/>
    <cellStyle name="Heading 1 140" xfId="8514" xr:uid="{00000000-0005-0000-0000-0000D7200000}"/>
    <cellStyle name="Heading 1 141" xfId="8515" xr:uid="{00000000-0005-0000-0000-0000D8200000}"/>
    <cellStyle name="Heading 1 142" xfId="8516" xr:uid="{00000000-0005-0000-0000-0000D9200000}"/>
    <cellStyle name="Heading 1 143" xfId="8517" xr:uid="{00000000-0005-0000-0000-0000DA200000}"/>
    <cellStyle name="Heading 1 144" xfId="8518" xr:uid="{00000000-0005-0000-0000-0000DB200000}"/>
    <cellStyle name="Heading 1 145" xfId="8519" xr:uid="{00000000-0005-0000-0000-0000DC200000}"/>
    <cellStyle name="Heading 1 146" xfId="8520" xr:uid="{00000000-0005-0000-0000-0000DD200000}"/>
    <cellStyle name="Heading 1 147" xfId="8521" xr:uid="{00000000-0005-0000-0000-0000DE200000}"/>
    <cellStyle name="Heading 1 148" xfId="8522" xr:uid="{00000000-0005-0000-0000-0000DF200000}"/>
    <cellStyle name="Heading 1 149" xfId="8523" xr:uid="{00000000-0005-0000-0000-0000E0200000}"/>
    <cellStyle name="Heading 1 15" xfId="8524" xr:uid="{00000000-0005-0000-0000-0000E1200000}"/>
    <cellStyle name="Heading 1 150" xfId="8525" xr:uid="{00000000-0005-0000-0000-0000E2200000}"/>
    <cellStyle name="Heading 1 151" xfId="8526" xr:uid="{00000000-0005-0000-0000-0000E3200000}"/>
    <cellStyle name="Heading 1 152" xfId="8527" xr:uid="{00000000-0005-0000-0000-0000E4200000}"/>
    <cellStyle name="Heading 1 153" xfId="8528" xr:uid="{00000000-0005-0000-0000-0000E5200000}"/>
    <cellStyle name="Heading 1 154" xfId="8529" xr:uid="{00000000-0005-0000-0000-0000E6200000}"/>
    <cellStyle name="Heading 1 155" xfId="8530" xr:uid="{00000000-0005-0000-0000-0000E7200000}"/>
    <cellStyle name="Heading 1 156" xfId="8531" xr:uid="{00000000-0005-0000-0000-0000E8200000}"/>
    <cellStyle name="Heading 1 157" xfId="8532" xr:uid="{00000000-0005-0000-0000-0000E9200000}"/>
    <cellStyle name="Heading 1 158" xfId="8533" xr:uid="{00000000-0005-0000-0000-0000EA200000}"/>
    <cellStyle name="Heading 1 159" xfId="8534" xr:uid="{00000000-0005-0000-0000-0000EB200000}"/>
    <cellStyle name="Heading 1 16" xfId="8535" xr:uid="{00000000-0005-0000-0000-0000EC200000}"/>
    <cellStyle name="Heading 1 160" xfId="8536" xr:uid="{00000000-0005-0000-0000-0000ED200000}"/>
    <cellStyle name="Heading 1 161" xfId="8537" xr:uid="{00000000-0005-0000-0000-0000EE200000}"/>
    <cellStyle name="Heading 1 162" xfId="8538" xr:uid="{00000000-0005-0000-0000-0000EF200000}"/>
    <cellStyle name="Heading 1 163" xfId="8539" xr:uid="{00000000-0005-0000-0000-0000F0200000}"/>
    <cellStyle name="Heading 1 164" xfId="8540" xr:uid="{00000000-0005-0000-0000-0000F1200000}"/>
    <cellStyle name="Heading 1 165" xfId="8541" xr:uid="{00000000-0005-0000-0000-0000F2200000}"/>
    <cellStyle name="Heading 1 166" xfId="8542" xr:uid="{00000000-0005-0000-0000-0000F3200000}"/>
    <cellStyle name="Heading 1 167" xfId="8543" xr:uid="{00000000-0005-0000-0000-0000F4200000}"/>
    <cellStyle name="Heading 1 168" xfId="8544" xr:uid="{00000000-0005-0000-0000-0000F5200000}"/>
    <cellStyle name="Heading 1 169" xfId="8545" xr:uid="{00000000-0005-0000-0000-0000F6200000}"/>
    <cellStyle name="Heading 1 17" xfId="8546" xr:uid="{00000000-0005-0000-0000-0000F7200000}"/>
    <cellStyle name="Heading 1 170" xfId="8547" xr:uid="{00000000-0005-0000-0000-0000F8200000}"/>
    <cellStyle name="Heading 1 171" xfId="8548" xr:uid="{00000000-0005-0000-0000-0000F9200000}"/>
    <cellStyle name="Heading 1 172" xfId="8549" xr:uid="{00000000-0005-0000-0000-0000FA200000}"/>
    <cellStyle name="Heading 1 173" xfId="8550" xr:uid="{00000000-0005-0000-0000-0000FB200000}"/>
    <cellStyle name="Heading 1 174" xfId="8551" xr:uid="{00000000-0005-0000-0000-0000FC200000}"/>
    <cellStyle name="Heading 1 175" xfId="8552" xr:uid="{00000000-0005-0000-0000-0000FD200000}"/>
    <cellStyle name="Heading 1 176" xfId="8553" xr:uid="{00000000-0005-0000-0000-0000FE200000}"/>
    <cellStyle name="Heading 1 177" xfId="8554" xr:uid="{00000000-0005-0000-0000-0000FF200000}"/>
    <cellStyle name="Heading 1 178" xfId="8555" xr:uid="{00000000-0005-0000-0000-000000210000}"/>
    <cellStyle name="Heading 1 179" xfId="8556" xr:uid="{00000000-0005-0000-0000-000001210000}"/>
    <cellStyle name="Heading 1 18" xfId="8557" xr:uid="{00000000-0005-0000-0000-000002210000}"/>
    <cellStyle name="Heading 1 180" xfId="8558" xr:uid="{00000000-0005-0000-0000-000003210000}"/>
    <cellStyle name="Heading 1 181" xfId="8559" xr:uid="{00000000-0005-0000-0000-000004210000}"/>
    <cellStyle name="Heading 1 182" xfId="8560" xr:uid="{00000000-0005-0000-0000-000005210000}"/>
    <cellStyle name="Heading 1 183" xfId="8561" xr:uid="{00000000-0005-0000-0000-000006210000}"/>
    <cellStyle name="Heading 1 184" xfId="8562" xr:uid="{00000000-0005-0000-0000-000007210000}"/>
    <cellStyle name="Heading 1 185" xfId="8563" xr:uid="{00000000-0005-0000-0000-000008210000}"/>
    <cellStyle name="Heading 1 186" xfId="8564" xr:uid="{00000000-0005-0000-0000-000009210000}"/>
    <cellStyle name="Heading 1 187" xfId="8565" xr:uid="{00000000-0005-0000-0000-00000A210000}"/>
    <cellStyle name="Heading 1 188" xfId="8566" xr:uid="{00000000-0005-0000-0000-00000B210000}"/>
    <cellStyle name="Heading 1 189" xfId="8567" xr:uid="{00000000-0005-0000-0000-00000C210000}"/>
    <cellStyle name="Heading 1 19" xfId="8568" xr:uid="{00000000-0005-0000-0000-00000D210000}"/>
    <cellStyle name="Heading 1 190" xfId="8569" xr:uid="{00000000-0005-0000-0000-00000E210000}"/>
    <cellStyle name="Heading 1 191" xfId="8570" xr:uid="{00000000-0005-0000-0000-00000F210000}"/>
    <cellStyle name="Heading 1 192" xfId="8571" xr:uid="{00000000-0005-0000-0000-000010210000}"/>
    <cellStyle name="Heading 1 193" xfId="8572" xr:uid="{00000000-0005-0000-0000-000011210000}"/>
    <cellStyle name="Heading 1 194" xfId="8573" xr:uid="{00000000-0005-0000-0000-000012210000}"/>
    <cellStyle name="Heading 1 195" xfId="8574" xr:uid="{00000000-0005-0000-0000-000013210000}"/>
    <cellStyle name="Heading 1 196" xfId="8575" xr:uid="{00000000-0005-0000-0000-000014210000}"/>
    <cellStyle name="Heading 1 197" xfId="8576" xr:uid="{00000000-0005-0000-0000-000015210000}"/>
    <cellStyle name="Heading 1 198" xfId="8577" xr:uid="{00000000-0005-0000-0000-000016210000}"/>
    <cellStyle name="Heading 1 199" xfId="8578" xr:uid="{00000000-0005-0000-0000-000017210000}"/>
    <cellStyle name="Heading 1 2" xfId="220" xr:uid="{00000000-0005-0000-0000-000018210000}"/>
    <cellStyle name="Heading 1 2 2" xfId="8579" xr:uid="{00000000-0005-0000-0000-000019210000}"/>
    <cellStyle name="Heading 1 2 3" xfId="8580" xr:uid="{00000000-0005-0000-0000-00001A210000}"/>
    <cellStyle name="Heading 1 20" xfId="8581" xr:uid="{00000000-0005-0000-0000-00001B210000}"/>
    <cellStyle name="Heading 1 200" xfId="8582" xr:uid="{00000000-0005-0000-0000-00001C210000}"/>
    <cellStyle name="Heading 1 201" xfId="8583" xr:uid="{00000000-0005-0000-0000-00001D210000}"/>
    <cellStyle name="Heading 1 202" xfId="8584" xr:uid="{00000000-0005-0000-0000-00001E210000}"/>
    <cellStyle name="Heading 1 203" xfId="8585" xr:uid="{00000000-0005-0000-0000-00001F210000}"/>
    <cellStyle name="Heading 1 204" xfId="8586" xr:uid="{00000000-0005-0000-0000-000020210000}"/>
    <cellStyle name="Heading 1 205" xfId="8587" xr:uid="{00000000-0005-0000-0000-000021210000}"/>
    <cellStyle name="Heading 1 206" xfId="8588" xr:uid="{00000000-0005-0000-0000-000022210000}"/>
    <cellStyle name="Heading 1 207" xfId="8589" xr:uid="{00000000-0005-0000-0000-000023210000}"/>
    <cellStyle name="Heading 1 208" xfId="8590" xr:uid="{00000000-0005-0000-0000-000024210000}"/>
    <cellStyle name="Heading 1 209" xfId="8591" xr:uid="{00000000-0005-0000-0000-000025210000}"/>
    <cellStyle name="Heading 1 21" xfId="8592" xr:uid="{00000000-0005-0000-0000-000026210000}"/>
    <cellStyle name="Heading 1 210" xfId="8593" xr:uid="{00000000-0005-0000-0000-000027210000}"/>
    <cellStyle name="Heading 1 211" xfId="8594" xr:uid="{00000000-0005-0000-0000-000028210000}"/>
    <cellStyle name="Heading 1 212" xfId="8595" xr:uid="{00000000-0005-0000-0000-000029210000}"/>
    <cellStyle name="Heading 1 213" xfId="8596" xr:uid="{00000000-0005-0000-0000-00002A210000}"/>
    <cellStyle name="Heading 1 214" xfId="8597" xr:uid="{00000000-0005-0000-0000-00002B210000}"/>
    <cellStyle name="Heading 1 215" xfId="8598" xr:uid="{00000000-0005-0000-0000-00002C210000}"/>
    <cellStyle name="Heading 1 216" xfId="8599" xr:uid="{00000000-0005-0000-0000-00002D210000}"/>
    <cellStyle name="Heading 1 217" xfId="8600" xr:uid="{00000000-0005-0000-0000-00002E210000}"/>
    <cellStyle name="Heading 1 218" xfId="8601" xr:uid="{00000000-0005-0000-0000-00002F210000}"/>
    <cellStyle name="Heading 1 219" xfId="8602" xr:uid="{00000000-0005-0000-0000-000030210000}"/>
    <cellStyle name="Heading 1 22" xfId="8603" xr:uid="{00000000-0005-0000-0000-000031210000}"/>
    <cellStyle name="Heading 1 220" xfId="8604" xr:uid="{00000000-0005-0000-0000-000032210000}"/>
    <cellStyle name="Heading 1 221" xfId="8605" xr:uid="{00000000-0005-0000-0000-000033210000}"/>
    <cellStyle name="Heading 1 222" xfId="8606" xr:uid="{00000000-0005-0000-0000-000034210000}"/>
    <cellStyle name="Heading 1 223" xfId="8607" xr:uid="{00000000-0005-0000-0000-000035210000}"/>
    <cellStyle name="Heading 1 224" xfId="8608" xr:uid="{00000000-0005-0000-0000-000036210000}"/>
    <cellStyle name="Heading 1 225" xfId="8609" xr:uid="{00000000-0005-0000-0000-000037210000}"/>
    <cellStyle name="Heading 1 226" xfId="8610" xr:uid="{00000000-0005-0000-0000-000038210000}"/>
    <cellStyle name="Heading 1 227" xfId="8611" xr:uid="{00000000-0005-0000-0000-000039210000}"/>
    <cellStyle name="Heading 1 228" xfId="8612" xr:uid="{00000000-0005-0000-0000-00003A210000}"/>
    <cellStyle name="Heading 1 229" xfId="8613" xr:uid="{00000000-0005-0000-0000-00003B210000}"/>
    <cellStyle name="Heading 1 23" xfId="8614" xr:uid="{00000000-0005-0000-0000-00003C210000}"/>
    <cellStyle name="Heading 1 230" xfId="8615" xr:uid="{00000000-0005-0000-0000-00003D210000}"/>
    <cellStyle name="Heading 1 231" xfId="8616" xr:uid="{00000000-0005-0000-0000-00003E210000}"/>
    <cellStyle name="Heading 1 232" xfId="8617" xr:uid="{00000000-0005-0000-0000-00003F210000}"/>
    <cellStyle name="Heading 1 233" xfId="8618" xr:uid="{00000000-0005-0000-0000-000040210000}"/>
    <cellStyle name="Heading 1 234" xfId="8619" xr:uid="{00000000-0005-0000-0000-000041210000}"/>
    <cellStyle name="Heading 1 235" xfId="8620" xr:uid="{00000000-0005-0000-0000-000042210000}"/>
    <cellStyle name="Heading 1 236" xfId="8621" xr:uid="{00000000-0005-0000-0000-000043210000}"/>
    <cellStyle name="Heading 1 237" xfId="8622" xr:uid="{00000000-0005-0000-0000-000044210000}"/>
    <cellStyle name="Heading 1 238" xfId="8623" xr:uid="{00000000-0005-0000-0000-000045210000}"/>
    <cellStyle name="Heading 1 239" xfId="8624" xr:uid="{00000000-0005-0000-0000-000046210000}"/>
    <cellStyle name="Heading 1 24" xfId="8625" xr:uid="{00000000-0005-0000-0000-000047210000}"/>
    <cellStyle name="Heading 1 240" xfId="8626" xr:uid="{00000000-0005-0000-0000-000048210000}"/>
    <cellStyle name="Heading 1 241" xfId="8627" xr:uid="{00000000-0005-0000-0000-000049210000}"/>
    <cellStyle name="Heading 1 242" xfId="8628" xr:uid="{00000000-0005-0000-0000-00004A210000}"/>
    <cellStyle name="Heading 1 243" xfId="8629" xr:uid="{00000000-0005-0000-0000-00004B210000}"/>
    <cellStyle name="Heading 1 244" xfId="8630" xr:uid="{00000000-0005-0000-0000-00004C210000}"/>
    <cellStyle name="Heading 1 245" xfId="8631" xr:uid="{00000000-0005-0000-0000-00004D210000}"/>
    <cellStyle name="Heading 1 246" xfId="8632" xr:uid="{00000000-0005-0000-0000-00004E210000}"/>
    <cellStyle name="Heading 1 247" xfId="8633" xr:uid="{00000000-0005-0000-0000-00004F210000}"/>
    <cellStyle name="Heading 1 248" xfId="8634" xr:uid="{00000000-0005-0000-0000-000050210000}"/>
    <cellStyle name="Heading 1 249" xfId="8635" xr:uid="{00000000-0005-0000-0000-000051210000}"/>
    <cellStyle name="Heading 1 25" xfId="8636" xr:uid="{00000000-0005-0000-0000-000052210000}"/>
    <cellStyle name="Heading 1 250" xfId="8637" xr:uid="{00000000-0005-0000-0000-000053210000}"/>
    <cellStyle name="Heading 1 251" xfId="8638" xr:uid="{00000000-0005-0000-0000-000054210000}"/>
    <cellStyle name="Heading 1 252" xfId="8639" xr:uid="{00000000-0005-0000-0000-000055210000}"/>
    <cellStyle name="Heading 1 253" xfId="8640" xr:uid="{00000000-0005-0000-0000-000056210000}"/>
    <cellStyle name="Heading 1 254" xfId="8641" xr:uid="{00000000-0005-0000-0000-000057210000}"/>
    <cellStyle name="Heading 1 255" xfId="8642" xr:uid="{00000000-0005-0000-0000-000058210000}"/>
    <cellStyle name="Heading 1 256" xfId="8643" xr:uid="{00000000-0005-0000-0000-000059210000}"/>
    <cellStyle name="Heading 1 257" xfId="8644" xr:uid="{00000000-0005-0000-0000-00005A210000}"/>
    <cellStyle name="Heading 1 258" xfId="8645" xr:uid="{00000000-0005-0000-0000-00005B210000}"/>
    <cellStyle name="Heading 1 259" xfId="8646" xr:uid="{00000000-0005-0000-0000-00005C210000}"/>
    <cellStyle name="Heading 1 26" xfId="8647" xr:uid="{00000000-0005-0000-0000-00005D210000}"/>
    <cellStyle name="Heading 1 260" xfId="8648" xr:uid="{00000000-0005-0000-0000-00005E210000}"/>
    <cellStyle name="Heading 1 261" xfId="8649" xr:uid="{00000000-0005-0000-0000-00005F210000}"/>
    <cellStyle name="Heading 1 262" xfId="8650" xr:uid="{00000000-0005-0000-0000-000060210000}"/>
    <cellStyle name="Heading 1 263" xfId="8651" xr:uid="{00000000-0005-0000-0000-000061210000}"/>
    <cellStyle name="Heading 1 264" xfId="8652" xr:uid="{00000000-0005-0000-0000-000062210000}"/>
    <cellStyle name="Heading 1 265" xfId="8653" xr:uid="{00000000-0005-0000-0000-000063210000}"/>
    <cellStyle name="Heading 1 266" xfId="8654" xr:uid="{00000000-0005-0000-0000-000064210000}"/>
    <cellStyle name="Heading 1 267" xfId="8655" xr:uid="{00000000-0005-0000-0000-000065210000}"/>
    <cellStyle name="Heading 1 268" xfId="8656" xr:uid="{00000000-0005-0000-0000-000066210000}"/>
    <cellStyle name="Heading 1 269" xfId="8657" xr:uid="{00000000-0005-0000-0000-000067210000}"/>
    <cellStyle name="Heading 1 27" xfId="8658" xr:uid="{00000000-0005-0000-0000-000068210000}"/>
    <cellStyle name="Heading 1 270" xfId="8659" xr:uid="{00000000-0005-0000-0000-000069210000}"/>
    <cellStyle name="Heading 1 271" xfId="8660" xr:uid="{00000000-0005-0000-0000-00006A210000}"/>
    <cellStyle name="Heading 1 272" xfId="8661" xr:uid="{00000000-0005-0000-0000-00006B210000}"/>
    <cellStyle name="Heading 1 273" xfId="8662" xr:uid="{00000000-0005-0000-0000-00006C210000}"/>
    <cellStyle name="Heading 1 274" xfId="8663" xr:uid="{00000000-0005-0000-0000-00006D210000}"/>
    <cellStyle name="Heading 1 275" xfId="8664" xr:uid="{00000000-0005-0000-0000-00006E210000}"/>
    <cellStyle name="Heading 1 276" xfId="8665" xr:uid="{00000000-0005-0000-0000-00006F210000}"/>
    <cellStyle name="Heading 1 277" xfId="8666" xr:uid="{00000000-0005-0000-0000-000070210000}"/>
    <cellStyle name="Heading 1 278" xfId="8667" xr:uid="{00000000-0005-0000-0000-000071210000}"/>
    <cellStyle name="Heading 1 279" xfId="8668" xr:uid="{00000000-0005-0000-0000-000072210000}"/>
    <cellStyle name="Heading 1 28" xfId="8669" xr:uid="{00000000-0005-0000-0000-000073210000}"/>
    <cellStyle name="Heading 1 280" xfId="8670" xr:uid="{00000000-0005-0000-0000-000074210000}"/>
    <cellStyle name="Heading 1 281" xfId="8671" xr:uid="{00000000-0005-0000-0000-000075210000}"/>
    <cellStyle name="Heading 1 282" xfId="8672" xr:uid="{00000000-0005-0000-0000-000076210000}"/>
    <cellStyle name="Heading 1 283" xfId="8673" xr:uid="{00000000-0005-0000-0000-000077210000}"/>
    <cellStyle name="Heading 1 284" xfId="8674" xr:uid="{00000000-0005-0000-0000-000078210000}"/>
    <cellStyle name="Heading 1 285" xfId="8675" xr:uid="{00000000-0005-0000-0000-000079210000}"/>
    <cellStyle name="Heading 1 286" xfId="8676" xr:uid="{00000000-0005-0000-0000-00007A210000}"/>
    <cellStyle name="Heading 1 287" xfId="8677" xr:uid="{00000000-0005-0000-0000-00007B210000}"/>
    <cellStyle name="Heading 1 288" xfId="8678" xr:uid="{00000000-0005-0000-0000-00007C210000}"/>
    <cellStyle name="Heading 1 289" xfId="8679" xr:uid="{00000000-0005-0000-0000-00007D210000}"/>
    <cellStyle name="Heading 1 29" xfId="8680" xr:uid="{00000000-0005-0000-0000-00007E210000}"/>
    <cellStyle name="Heading 1 290" xfId="8681" xr:uid="{00000000-0005-0000-0000-00007F210000}"/>
    <cellStyle name="Heading 1 291" xfId="8682" xr:uid="{00000000-0005-0000-0000-000080210000}"/>
    <cellStyle name="Heading 1 292" xfId="8683" xr:uid="{00000000-0005-0000-0000-000081210000}"/>
    <cellStyle name="Heading 1 293" xfId="8684" xr:uid="{00000000-0005-0000-0000-000082210000}"/>
    <cellStyle name="Heading 1 294" xfId="8685" xr:uid="{00000000-0005-0000-0000-000083210000}"/>
    <cellStyle name="Heading 1 295" xfId="8686" xr:uid="{00000000-0005-0000-0000-000084210000}"/>
    <cellStyle name="Heading 1 296" xfId="8687" xr:uid="{00000000-0005-0000-0000-000085210000}"/>
    <cellStyle name="Heading 1 297" xfId="8688" xr:uid="{00000000-0005-0000-0000-000086210000}"/>
    <cellStyle name="Heading 1 298" xfId="8689" xr:uid="{00000000-0005-0000-0000-000087210000}"/>
    <cellStyle name="Heading 1 299" xfId="8690" xr:uid="{00000000-0005-0000-0000-000088210000}"/>
    <cellStyle name="Heading 1 3" xfId="8691" xr:uid="{00000000-0005-0000-0000-000089210000}"/>
    <cellStyle name="Heading 1 30" xfId="8692" xr:uid="{00000000-0005-0000-0000-00008A210000}"/>
    <cellStyle name="Heading 1 300" xfId="8693" xr:uid="{00000000-0005-0000-0000-00008B210000}"/>
    <cellStyle name="Heading 1 301" xfId="8694" xr:uid="{00000000-0005-0000-0000-00008C210000}"/>
    <cellStyle name="Heading 1 302" xfId="8695" xr:uid="{00000000-0005-0000-0000-00008D210000}"/>
    <cellStyle name="Heading 1 303" xfId="8696" xr:uid="{00000000-0005-0000-0000-00008E210000}"/>
    <cellStyle name="Heading 1 304" xfId="8697" xr:uid="{00000000-0005-0000-0000-00008F210000}"/>
    <cellStyle name="Heading 1 305" xfId="8698" xr:uid="{00000000-0005-0000-0000-000090210000}"/>
    <cellStyle name="Heading 1 306" xfId="8699" xr:uid="{00000000-0005-0000-0000-000091210000}"/>
    <cellStyle name="Heading 1 307" xfId="8700" xr:uid="{00000000-0005-0000-0000-000092210000}"/>
    <cellStyle name="Heading 1 308" xfId="8701" xr:uid="{00000000-0005-0000-0000-000093210000}"/>
    <cellStyle name="Heading 1 309" xfId="8702" xr:uid="{00000000-0005-0000-0000-000094210000}"/>
    <cellStyle name="Heading 1 31" xfId="8703" xr:uid="{00000000-0005-0000-0000-000095210000}"/>
    <cellStyle name="Heading 1 310" xfId="8704" xr:uid="{00000000-0005-0000-0000-000096210000}"/>
    <cellStyle name="Heading 1 311" xfId="8705" xr:uid="{00000000-0005-0000-0000-000097210000}"/>
    <cellStyle name="Heading 1 312" xfId="8706" xr:uid="{00000000-0005-0000-0000-000098210000}"/>
    <cellStyle name="Heading 1 313" xfId="8707" xr:uid="{00000000-0005-0000-0000-000099210000}"/>
    <cellStyle name="Heading 1 314" xfId="8708" xr:uid="{00000000-0005-0000-0000-00009A210000}"/>
    <cellStyle name="Heading 1 315" xfId="8709" xr:uid="{00000000-0005-0000-0000-00009B210000}"/>
    <cellStyle name="Heading 1 316" xfId="8710" xr:uid="{00000000-0005-0000-0000-00009C210000}"/>
    <cellStyle name="Heading 1 317" xfId="8711" xr:uid="{00000000-0005-0000-0000-00009D210000}"/>
    <cellStyle name="Heading 1 318" xfId="8712" xr:uid="{00000000-0005-0000-0000-00009E210000}"/>
    <cellStyle name="Heading 1 319" xfId="8713" xr:uid="{00000000-0005-0000-0000-00009F210000}"/>
    <cellStyle name="Heading 1 32" xfId="8714" xr:uid="{00000000-0005-0000-0000-0000A0210000}"/>
    <cellStyle name="Heading 1 320" xfId="8715" xr:uid="{00000000-0005-0000-0000-0000A1210000}"/>
    <cellStyle name="Heading 1 321" xfId="8716" xr:uid="{00000000-0005-0000-0000-0000A2210000}"/>
    <cellStyle name="Heading 1 322" xfId="8717" xr:uid="{00000000-0005-0000-0000-0000A3210000}"/>
    <cellStyle name="Heading 1 323" xfId="8718" xr:uid="{00000000-0005-0000-0000-0000A4210000}"/>
    <cellStyle name="Heading 1 324" xfId="8719" xr:uid="{00000000-0005-0000-0000-0000A5210000}"/>
    <cellStyle name="Heading 1 325" xfId="8720" xr:uid="{00000000-0005-0000-0000-0000A6210000}"/>
    <cellStyle name="Heading 1 326" xfId="8721" xr:uid="{00000000-0005-0000-0000-0000A7210000}"/>
    <cellStyle name="Heading 1 327" xfId="8722" xr:uid="{00000000-0005-0000-0000-0000A8210000}"/>
    <cellStyle name="Heading 1 328" xfId="8723" xr:uid="{00000000-0005-0000-0000-0000A9210000}"/>
    <cellStyle name="Heading 1 329" xfId="8724" xr:uid="{00000000-0005-0000-0000-0000AA210000}"/>
    <cellStyle name="Heading 1 33" xfId="8725" xr:uid="{00000000-0005-0000-0000-0000AB210000}"/>
    <cellStyle name="Heading 1 330" xfId="8726" xr:uid="{00000000-0005-0000-0000-0000AC210000}"/>
    <cellStyle name="Heading 1 331" xfId="8727" xr:uid="{00000000-0005-0000-0000-0000AD210000}"/>
    <cellStyle name="Heading 1 332" xfId="8728" xr:uid="{00000000-0005-0000-0000-0000AE210000}"/>
    <cellStyle name="Heading 1 333" xfId="8729" xr:uid="{00000000-0005-0000-0000-0000AF210000}"/>
    <cellStyle name="Heading 1 334" xfId="8730" xr:uid="{00000000-0005-0000-0000-0000B0210000}"/>
    <cellStyle name="Heading 1 335" xfId="8731" xr:uid="{00000000-0005-0000-0000-0000B1210000}"/>
    <cellStyle name="Heading 1 336" xfId="8732" xr:uid="{00000000-0005-0000-0000-0000B2210000}"/>
    <cellStyle name="Heading 1 337" xfId="8733" xr:uid="{00000000-0005-0000-0000-0000B3210000}"/>
    <cellStyle name="Heading 1 338" xfId="8734" xr:uid="{00000000-0005-0000-0000-0000B4210000}"/>
    <cellStyle name="Heading 1 339" xfId="8735" xr:uid="{00000000-0005-0000-0000-0000B5210000}"/>
    <cellStyle name="Heading 1 34" xfId="8736" xr:uid="{00000000-0005-0000-0000-0000B6210000}"/>
    <cellStyle name="Heading 1 340" xfId="8737" xr:uid="{00000000-0005-0000-0000-0000B7210000}"/>
    <cellStyle name="Heading 1 341" xfId="8738" xr:uid="{00000000-0005-0000-0000-0000B8210000}"/>
    <cellStyle name="Heading 1 342" xfId="8739" xr:uid="{00000000-0005-0000-0000-0000B9210000}"/>
    <cellStyle name="Heading 1 343" xfId="8740" xr:uid="{00000000-0005-0000-0000-0000BA210000}"/>
    <cellStyle name="Heading 1 344" xfId="8741" xr:uid="{00000000-0005-0000-0000-0000BB210000}"/>
    <cellStyle name="Heading 1 345" xfId="8742" xr:uid="{00000000-0005-0000-0000-0000BC210000}"/>
    <cellStyle name="Heading 1 346" xfId="8743" xr:uid="{00000000-0005-0000-0000-0000BD210000}"/>
    <cellStyle name="Heading 1 347" xfId="8744" xr:uid="{00000000-0005-0000-0000-0000BE210000}"/>
    <cellStyle name="Heading 1 348" xfId="8745" xr:uid="{00000000-0005-0000-0000-0000BF210000}"/>
    <cellStyle name="Heading 1 349" xfId="8746" xr:uid="{00000000-0005-0000-0000-0000C0210000}"/>
    <cellStyle name="Heading 1 35" xfId="8747" xr:uid="{00000000-0005-0000-0000-0000C1210000}"/>
    <cellStyle name="Heading 1 350" xfId="8748" xr:uid="{00000000-0005-0000-0000-0000C2210000}"/>
    <cellStyle name="Heading 1 351" xfId="8749" xr:uid="{00000000-0005-0000-0000-0000C3210000}"/>
    <cellStyle name="Heading 1 352" xfId="8750" xr:uid="{00000000-0005-0000-0000-0000C4210000}"/>
    <cellStyle name="Heading 1 353" xfId="8751" xr:uid="{00000000-0005-0000-0000-0000C5210000}"/>
    <cellStyle name="Heading 1 354" xfId="8752" xr:uid="{00000000-0005-0000-0000-0000C6210000}"/>
    <cellStyle name="Heading 1 355" xfId="8753" xr:uid="{00000000-0005-0000-0000-0000C7210000}"/>
    <cellStyle name="Heading 1 356" xfId="8754" xr:uid="{00000000-0005-0000-0000-0000C8210000}"/>
    <cellStyle name="Heading 1 357" xfId="8755" xr:uid="{00000000-0005-0000-0000-0000C9210000}"/>
    <cellStyle name="Heading 1 358" xfId="8756" xr:uid="{00000000-0005-0000-0000-0000CA210000}"/>
    <cellStyle name="Heading 1 359" xfId="8757" xr:uid="{00000000-0005-0000-0000-0000CB210000}"/>
    <cellStyle name="Heading 1 36" xfId="8758" xr:uid="{00000000-0005-0000-0000-0000CC210000}"/>
    <cellStyle name="Heading 1 360" xfId="8759" xr:uid="{00000000-0005-0000-0000-0000CD210000}"/>
    <cellStyle name="Heading 1 361" xfId="8760" xr:uid="{00000000-0005-0000-0000-0000CE210000}"/>
    <cellStyle name="Heading 1 362" xfId="8761" xr:uid="{00000000-0005-0000-0000-0000CF210000}"/>
    <cellStyle name="Heading 1 363" xfId="8762" xr:uid="{00000000-0005-0000-0000-0000D0210000}"/>
    <cellStyle name="Heading 1 364" xfId="8763" xr:uid="{00000000-0005-0000-0000-0000D1210000}"/>
    <cellStyle name="Heading 1 365" xfId="8764" xr:uid="{00000000-0005-0000-0000-0000D2210000}"/>
    <cellStyle name="Heading 1 366" xfId="8765" xr:uid="{00000000-0005-0000-0000-0000D3210000}"/>
    <cellStyle name="Heading 1 367" xfId="8766" xr:uid="{00000000-0005-0000-0000-0000D4210000}"/>
    <cellStyle name="Heading 1 368" xfId="8767" xr:uid="{00000000-0005-0000-0000-0000D5210000}"/>
    <cellStyle name="Heading 1 369" xfId="8768" xr:uid="{00000000-0005-0000-0000-0000D6210000}"/>
    <cellStyle name="Heading 1 37" xfId="8769" xr:uid="{00000000-0005-0000-0000-0000D7210000}"/>
    <cellStyle name="Heading 1 370" xfId="8770" xr:uid="{00000000-0005-0000-0000-0000D8210000}"/>
    <cellStyle name="Heading 1 371" xfId="8771" xr:uid="{00000000-0005-0000-0000-0000D9210000}"/>
    <cellStyle name="Heading 1 372" xfId="8772" xr:uid="{00000000-0005-0000-0000-0000DA210000}"/>
    <cellStyle name="Heading 1 373" xfId="8773" xr:uid="{00000000-0005-0000-0000-0000DB210000}"/>
    <cellStyle name="Heading 1 374" xfId="8774" xr:uid="{00000000-0005-0000-0000-0000DC210000}"/>
    <cellStyle name="Heading 1 375" xfId="8775" xr:uid="{00000000-0005-0000-0000-0000DD210000}"/>
    <cellStyle name="Heading 1 376" xfId="8776" xr:uid="{00000000-0005-0000-0000-0000DE210000}"/>
    <cellStyle name="Heading 1 377" xfId="8777" xr:uid="{00000000-0005-0000-0000-0000DF210000}"/>
    <cellStyle name="Heading 1 378" xfId="8778" xr:uid="{00000000-0005-0000-0000-0000E0210000}"/>
    <cellStyle name="Heading 1 379" xfId="8779" xr:uid="{00000000-0005-0000-0000-0000E1210000}"/>
    <cellStyle name="Heading 1 38" xfId="8780" xr:uid="{00000000-0005-0000-0000-0000E2210000}"/>
    <cellStyle name="Heading 1 380" xfId="8781" xr:uid="{00000000-0005-0000-0000-0000E3210000}"/>
    <cellStyle name="Heading 1 381" xfId="8782" xr:uid="{00000000-0005-0000-0000-0000E4210000}"/>
    <cellStyle name="Heading 1 382" xfId="8783" xr:uid="{00000000-0005-0000-0000-0000E5210000}"/>
    <cellStyle name="Heading 1 383" xfId="8784" xr:uid="{00000000-0005-0000-0000-0000E6210000}"/>
    <cellStyle name="Heading 1 384" xfId="8785" xr:uid="{00000000-0005-0000-0000-0000E7210000}"/>
    <cellStyle name="Heading 1 385" xfId="8786" xr:uid="{00000000-0005-0000-0000-0000E8210000}"/>
    <cellStyle name="Heading 1 386" xfId="8787" xr:uid="{00000000-0005-0000-0000-0000E9210000}"/>
    <cellStyle name="Heading 1 387" xfId="8788" xr:uid="{00000000-0005-0000-0000-0000EA210000}"/>
    <cellStyle name="Heading 1 388" xfId="8789" xr:uid="{00000000-0005-0000-0000-0000EB210000}"/>
    <cellStyle name="Heading 1 389" xfId="8790" xr:uid="{00000000-0005-0000-0000-0000EC210000}"/>
    <cellStyle name="Heading 1 39" xfId="8791" xr:uid="{00000000-0005-0000-0000-0000ED210000}"/>
    <cellStyle name="Heading 1 390" xfId="8792" xr:uid="{00000000-0005-0000-0000-0000EE210000}"/>
    <cellStyle name="Heading 1 391" xfId="8793" xr:uid="{00000000-0005-0000-0000-0000EF210000}"/>
    <cellStyle name="Heading 1 392" xfId="8794" xr:uid="{00000000-0005-0000-0000-0000F0210000}"/>
    <cellStyle name="Heading 1 393" xfId="8795" xr:uid="{00000000-0005-0000-0000-0000F1210000}"/>
    <cellStyle name="Heading 1 394" xfId="8796" xr:uid="{00000000-0005-0000-0000-0000F2210000}"/>
    <cellStyle name="Heading 1 395" xfId="8797" xr:uid="{00000000-0005-0000-0000-0000F3210000}"/>
    <cellStyle name="Heading 1 396" xfId="8798" xr:uid="{00000000-0005-0000-0000-0000F4210000}"/>
    <cellStyle name="Heading 1 397" xfId="8799" xr:uid="{00000000-0005-0000-0000-0000F5210000}"/>
    <cellStyle name="Heading 1 398" xfId="8800" xr:uid="{00000000-0005-0000-0000-0000F6210000}"/>
    <cellStyle name="Heading 1 399" xfId="8801" xr:uid="{00000000-0005-0000-0000-0000F7210000}"/>
    <cellStyle name="Heading 1 4" xfId="8802" xr:uid="{00000000-0005-0000-0000-0000F8210000}"/>
    <cellStyle name="Heading 1 40" xfId="8803" xr:uid="{00000000-0005-0000-0000-0000F9210000}"/>
    <cellStyle name="Heading 1 400" xfId="8804" xr:uid="{00000000-0005-0000-0000-0000FA210000}"/>
    <cellStyle name="Heading 1 401" xfId="8805" xr:uid="{00000000-0005-0000-0000-0000FB210000}"/>
    <cellStyle name="Heading 1 402" xfId="8806" xr:uid="{00000000-0005-0000-0000-0000FC210000}"/>
    <cellStyle name="Heading 1 403" xfId="8807" xr:uid="{00000000-0005-0000-0000-0000FD210000}"/>
    <cellStyle name="Heading 1 404" xfId="8808" xr:uid="{00000000-0005-0000-0000-0000FE210000}"/>
    <cellStyle name="Heading 1 405" xfId="8809" xr:uid="{00000000-0005-0000-0000-0000FF210000}"/>
    <cellStyle name="Heading 1 406" xfId="8810" xr:uid="{00000000-0005-0000-0000-000000220000}"/>
    <cellStyle name="Heading 1 407" xfId="8811" xr:uid="{00000000-0005-0000-0000-000001220000}"/>
    <cellStyle name="Heading 1 408" xfId="8812" xr:uid="{00000000-0005-0000-0000-000002220000}"/>
    <cellStyle name="Heading 1 409" xfId="8813" xr:uid="{00000000-0005-0000-0000-000003220000}"/>
    <cellStyle name="Heading 1 41" xfId="8814" xr:uid="{00000000-0005-0000-0000-000004220000}"/>
    <cellStyle name="Heading 1 410" xfId="8815" xr:uid="{00000000-0005-0000-0000-000005220000}"/>
    <cellStyle name="Heading 1 411" xfId="8816" xr:uid="{00000000-0005-0000-0000-000006220000}"/>
    <cellStyle name="Heading 1 412" xfId="8817" xr:uid="{00000000-0005-0000-0000-000007220000}"/>
    <cellStyle name="Heading 1 413" xfId="8818" xr:uid="{00000000-0005-0000-0000-000008220000}"/>
    <cellStyle name="Heading 1 414" xfId="8819" xr:uid="{00000000-0005-0000-0000-000009220000}"/>
    <cellStyle name="Heading 1 415" xfId="8820" xr:uid="{00000000-0005-0000-0000-00000A220000}"/>
    <cellStyle name="Heading 1 416" xfId="8821" xr:uid="{00000000-0005-0000-0000-00000B220000}"/>
    <cellStyle name="Heading 1 417" xfId="8822" xr:uid="{00000000-0005-0000-0000-00000C220000}"/>
    <cellStyle name="Heading 1 418" xfId="8823" xr:uid="{00000000-0005-0000-0000-00000D220000}"/>
    <cellStyle name="Heading 1 419" xfId="8824" xr:uid="{00000000-0005-0000-0000-00000E220000}"/>
    <cellStyle name="Heading 1 42" xfId="8825" xr:uid="{00000000-0005-0000-0000-00000F220000}"/>
    <cellStyle name="Heading 1 420" xfId="8826" xr:uid="{00000000-0005-0000-0000-000010220000}"/>
    <cellStyle name="Heading 1 421" xfId="8827" xr:uid="{00000000-0005-0000-0000-000011220000}"/>
    <cellStyle name="Heading 1 422" xfId="8828" xr:uid="{00000000-0005-0000-0000-000012220000}"/>
    <cellStyle name="Heading 1 423" xfId="8829" xr:uid="{00000000-0005-0000-0000-000013220000}"/>
    <cellStyle name="Heading 1 424" xfId="8830" xr:uid="{00000000-0005-0000-0000-000014220000}"/>
    <cellStyle name="Heading 1 425" xfId="8831" xr:uid="{00000000-0005-0000-0000-000015220000}"/>
    <cellStyle name="Heading 1 426" xfId="8832" xr:uid="{00000000-0005-0000-0000-000016220000}"/>
    <cellStyle name="Heading 1 427" xfId="8833" xr:uid="{00000000-0005-0000-0000-000017220000}"/>
    <cellStyle name="Heading 1 428" xfId="8834" xr:uid="{00000000-0005-0000-0000-000018220000}"/>
    <cellStyle name="Heading 1 429" xfId="8835" xr:uid="{00000000-0005-0000-0000-000019220000}"/>
    <cellStyle name="Heading 1 43" xfId="8836" xr:uid="{00000000-0005-0000-0000-00001A220000}"/>
    <cellStyle name="Heading 1 430" xfId="8837" xr:uid="{00000000-0005-0000-0000-00001B220000}"/>
    <cellStyle name="Heading 1 431" xfId="8838" xr:uid="{00000000-0005-0000-0000-00001C220000}"/>
    <cellStyle name="Heading 1 432" xfId="8839" xr:uid="{00000000-0005-0000-0000-00001D220000}"/>
    <cellStyle name="Heading 1 433" xfId="8840" xr:uid="{00000000-0005-0000-0000-00001E220000}"/>
    <cellStyle name="Heading 1 434" xfId="8841" xr:uid="{00000000-0005-0000-0000-00001F220000}"/>
    <cellStyle name="Heading 1 435" xfId="8842" xr:uid="{00000000-0005-0000-0000-000020220000}"/>
    <cellStyle name="Heading 1 436" xfId="8843" xr:uid="{00000000-0005-0000-0000-000021220000}"/>
    <cellStyle name="Heading 1 437" xfId="8844" xr:uid="{00000000-0005-0000-0000-000022220000}"/>
    <cellStyle name="Heading 1 438" xfId="8845" xr:uid="{00000000-0005-0000-0000-000023220000}"/>
    <cellStyle name="Heading 1 439" xfId="8846" xr:uid="{00000000-0005-0000-0000-000024220000}"/>
    <cellStyle name="Heading 1 44" xfId="8847" xr:uid="{00000000-0005-0000-0000-000025220000}"/>
    <cellStyle name="Heading 1 440" xfId="8848" xr:uid="{00000000-0005-0000-0000-000026220000}"/>
    <cellStyle name="Heading 1 441" xfId="8849" xr:uid="{00000000-0005-0000-0000-000027220000}"/>
    <cellStyle name="Heading 1 442" xfId="8850" xr:uid="{00000000-0005-0000-0000-000028220000}"/>
    <cellStyle name="Heading 1 443" xfId="8851" xr:uid="{00000000-0005-0000-0000-000029220000}"/>
    <cellStyle name="Heading 1 444" xfId="8852" xr:uid="{00000000-0005-0000-0000-00002A220000}"/>
    <cellStyle name="Heading 1 445" xfId="8853" xr:uid="{00000000-0005-0000-0000-00002B220000}"/>
    <cellStyle name="Heading 1 446" xfId="8854" xr:uid="{00000000-0005-0000-0000-00002C220000}"/>
    <cellStyle name="Heading 1 447" xfId="8855" xr:uid="{00000000-0005-0000-0000-00002D220000}"/>
    <cellStyle name="Heading 1 448" xfId="8856" xr:uid="{00000000-0005-0000-0000-00002E220000}"/>
    <cellStyle name="Heading 1 449" xfId="8857" xr:uid="{00000000-0005-0000-0000-00002F220000}"/>
    <cellStyle name="Heading 1 45" xfId="8858" xr:uid="{00000000-0005-0000-0000-000030220000}"/>
    <cellStyle name="Heading 1 450" xfId="8859" xr:uid="{00000000-0005-0000-0000-000031220000}"/>
    <cellStyle name="Heading 1 451" xfId="8860" xr:uid="{00000000-0005-0000-0000-000032220000}"/>
    <cellStyle name="Heading 1 452" xfId="8861" xr:uid="{00000000-0005-0000-0000-000033220000}"/>
    <cellStyle name="Heading 1 453" xfId="8862" xr:uid="{00000000-0005-0000-0000-000034220000}"/>
    <cellStyle name="Heading 1 454" xfId="8863" xr:uid="{00000000-0005-0000-0000-000035220000}"/>
    <cellStyle name="Heading 1 455" xfId="8864" xr:uid="{00000000-0005-0000-0000-000036220000}"/>
    <cellStyle name="Heading 1 456" xfId="8865" xr:uid="{00000000-0005-0000-0000-000037220000}"/>
    <cellStyle name="Heading 1 457" xfId="8866" xr:uid="{00000000-0005-0000-0000-000038220000}"/>
    <cellStyle name="Heading 1 458" xfId="8867" xr:uid="{00000000-0005-0000-0000-000039220000}"/>
    <cellStyle name="Heading 1 459" xfId="8868" xr:uid="{00000000-0005-0000-0000-00003A220000}"/>
    <cellStyle name="Heading 1 46" xfId="8869" xr:uid="{00000000-0005-0000-0000-00003B220000}"/>
    <cellStyle name="Heading 1 460" xfId="8870" xr:uid="{00000000-0005-0000-0000-00003C220000}"/>
    <cellStyle name="Heading 1 461" xfId="8871" xr:uid="{00000000-0005-0000-0000-00003D220000}"/>
    <cellStyle name="Heading 1 462" xfId="8872" xr:uid="{00000000-0005-0000-0000-00003E220000}"/>
    <cellStyle name="Heading 1 463" xfId="8873" xr:uid="{00000000-0005-0000-0000-00003F220000}"/>
    <cellStyle name="Heading 1 464" xfId="8874" xr:uid="{00000000-0005-0000-0000-000040220000}"/>
    <cellStyle name="Heading 1 465" xfId="8875" xr:uid="{00000000-0005-0000-0000-000041220000}"/>
    <cellStyle name="Heading 1 466" xfId="8876" xr:uid="{00000000-0005-0000-0000-000042220000}"/>
    <cellStyle name="Heading 1 467" xfId="8877" xr:uid="{00000000-0005-0000-0000-000043220000}"/>
    <cellStyle name="Heading 1 468" xfId="8878" xr:uid="{00000000-0005-0000-0000-000044220000}"/>
    <cellStyle name="Heading 1 469" xfId="8879" xr:uid="{00000000-0005-0000-0000-000045220000}"/>
    <cellStyle name="Heading 1 47" xfId="8880" xr:uid="{00000000-0005-0000-0000-000046220000}"/>
    <cellStyle name="Heading 1 470" xfId="8881" xr:uid="{00000000-0005-0000-0000-000047220000}"/>
    <cellStyle name="Heading 1 471" xfId="8882" xr:uid="{00000000-0005-0000-0000-000048220000}"/>
    <cellStyle name="Heading 1 472" xfId="8883" xr:uid="{00000000-0005-0000-0000-000049220000}"/>
    <cellStyle name="Heading 1 473" xfId="8884" xr:uid="{00000000-0005-0000-0000-00004A220000}"/>
    <cellStyle name="Heading 1 474" xfId="8885" xr:uid="{00000000-0005-0000-0000-00004B220000}"/>
    <cellStyle name="Heading 1 475" xfId="8886" xr:uid="{00000000-0005-0000-0000-00004C220000}"/>
    <cellStyle name="Heading 1 476" xfId="8887" xr:uid="{00000000-0005-0000-0000-00004D220000}"/>
    <cellStyle name="Heading 1 477" xfId="8888" xr:uid="{00000000-0005-0000-0000-00004E220000}"/>
    <cellStyle name="Heading 1 478" xfId="8889" xr:uid="{00000000-0005-0000-0000-00004F220000}"/>
    <cellStyle name="Heading 1 479" xfId="8890" xr:uid="{00000000-0005-0000-0000-000050220000}"/>
    <cellStyle name="Heading 1 48" xfId="8891" xr:uid="{00000000-0005-0000-0000-000051220000}"/>
    <cellStyle name="Heading 1 480" xfId="8892" xr:uid="{00000000-0005-0000-0000-000052220000}"/>
    <cellStyle name="Heading 1 481" xfId="8893" xr:uid="{00000000-0005-0000-0000-000053220000}"/>
    <cellStyle name="Heading 1 482" xfId="8894" xr:uid="{00000000-0005-0000-0000-000054220000}"/>
    <cellStyle name="Heading 1 483" xfId="8895" xr:uid="{00000000-0005-0000-0000-000055220000}"/>
    <cellStyle name="Heading 1 484" xfId="8896" xr:uid="{00000000-0005-0000-0000-000056220000}"/>
    <cellStyle name="Heading 1 485" xfId="8897" xr:uid="{00000000-0005-0000-0000-000057220000}"/>
    <cellStyle name="Heading 1 486" xfId="8898" xr:uid="{00000000-0005-0000-0000-000058220000}"/>
    <cellStyle name="Heading 1 487" xfId="8899" xr:uid="{00000000-0005-0000-0000-000059220000}"/>
    <cellStyle name="Heading 1 488" xfId="8900" xr:uid="{00000000-0005-0000-0000-00005A220000}"/>
    <cellStyle name="Heading 1 489" xfId="8901" xr:uid="{00000000-0005-0000-0000-00005B220000}"/>
    <cellStyle name="Heading 1 49" xfId="8902" xr:uid="{00000000-0005-0000-0000-00005C220000}"/>
    <cellStyle name="Heading 1 490" xfId="8903" xr:uid="{00000000-0005-0000-0000-00005D220000}"/>
    <cellStyle name="Heading 1 491" xfId="8904" xr:uid="{00000000-0005-0000-0000-00005E220000}"/>
    <cellStyle name="Heading 1 492" xfId="8905" xr:uid="{00000000-0005-0000-0000-00005F220000}"/>
    <cellStyle name="Heading 1 493" xfId="8906" xr:uid="{00000000-0005-0000-0000-000060220000}"/>
    <cellStyle name="Heading 1 494" xfId="8907" xr:uid="{00000000-0005-0000-0000-000061220000}"/>
    <cellStyle name="Heading 1 495" xfId="8908" xr:uid="{00000000-0005-0000-0000-000062220000}"/>
    <cellStyle name="Heading 1 496" xfId="8909" xr:uid="{00000000-0005-0000-0000-000063220000}"/>
    <cellStyle name="Heading 1 497" xfId="8910" xr:uid="{00000000-0005-0000-0000-000064220000}"/>
    <cellStyle name="Heading 1 498" xfId="8911" xr:uid="{00000000-0005-0000-0000-000065220000}"/>
    <cellStyle name="Heading 1 499" xfId="8912" xr:uid="{00000000-0005-0000-0000-000066220000}"/>
    <cellStyle name="Heading 1 5" xfId="8913" xr:uid="{00000000-0005-0000-0000-000067220000}"/>
    <cellStyle name="Heading 1 50" xfId="8914" xr:uid="{00000000-0005-0000-0000-000068220000}"/>
    <cellStyle name="Heading 1 500" xfId="8915" xr:uid="{00000000-0005-0000-0000-000069220000}"/>
    <cellStyle name="Heading 1 501" xfId="8916" xr:uid="{00000000-0005-0000-0000-00006A220000}"/>
    <cellStyle name="Heading 1 502" xfId="8917" xr:uid="{00000000-0005-0000-0000-00006B220000}"/>
    <cellStyle name="Heading 1 503" xfId="8918" xr:uid="{00000000-0005-0000-0000-00006C220000}"/>
    <cellStyle name="Heading 1 504" xfId="8919" xr:uid="{00000000-0005-0000-0000-00006D220000}"/>
    <cellStyle name="Heading 1 505" xfId="8920" xr:uid="{00000000-0005-0000-0000-00006E220000}"/>
    <cellStyle name="Heading 1 506" xfId="8921" xr:uid="{00000000-0005-0000-0000-00006F220000}"/>
    <cellStyle name="Heading 1 507" xfId="8922" xr:uid="{00000000-0005-0000-0000-000070220000}"/>
    <cellStyle name="Heading 1 508" xfId="8923" xr:uid="{00000000-0005-0000-0000-000071220000}"/>
    <cellStyle name="Heading 1 509" xfId="8924" xr:uid="{00000000-0005-0000-0000-000072220000}"/>
    <cellStyle name="Heading 1 51" xfId="8925" xr:uid="{00000000-0005-0000-0000-000073220000}"/>
    <cellStyle name="Heading 1 510" xfId="8926" xr:uid="{00000000-0005-0000-0000-000074220000}"/>
    <cellStyle name="Heading 1 511" xfId="8927" xr:uid="{00000000-0005-0000-0000-000075220000}"/>
    <cellStyle name="Heading 1 512" xfId="8928" xr:uid="{00000000-0005-0000-0000-000076220000}"/>
    <cellStyle name="Heading 1 513" xfId="8929" xr:uid="{00000000-0005-0000-0000-000077220000}"/>
    <cellStyle name="Heading 1 514" xfId="8930" xr:uid="{00000000-0005-0000-0000-000078220000}"/>
    <cellStyle name="Heading 1 515" xfId="8931" xr:uid="{00000000-0005-0000-0000-000079220000}"/>
    <cellStyle name="Heading 1 516" xfId="8932" xr:uid="{00000000-0005-0000-0000-00007A220000}"/>
    <cellStyle name="Heading 1 517" xfId="8933" xr:uid="{00000000-0005-0000-0000-00007B220000}"/>
    <cellStyle name="Heading 1 518" xfId="8934" xr:uid="{00000000-0005-0000-0000-00007C220000}"/>
    <cellStyle name="Heading 1 519" xfId="8935" xr:uid="{00000000-0005-0000-0000-00007D220000}"/>
    <cellStyle name="Heading 1 52" xfId="8936" xr:uid="{00000000-0005-0000-0000-00007E220000}"/>
    <cellStyle name="Heading 1 520" xfId="8937" xr:uid="{00000000-0005-0000-0000-00007F220000}"/>
    <cellStyle name="Heading 1 521" xfId="8938" xr:uid="{00000000-0005-0000-0000-000080220000}"/>
    <cellStyle name="Heading 1 522" xfId="8939" xr:uid="{00000000-0005-0000-0000-000081220000}"/>
    <cellStyle name="Heading 1 523" xfId="8940" xr:uid="{00000000-0005-0000-0000-000082220000}"/>
    <cellStyle name="Heading 1 524" xfId="8941" xr:uid="{00000000-0005-0000-0000-000083220000}"/>
    <cellStyle name="Heading 1 525" xfId="8942" xr:uid="{00000000-0005-0000-0000-000084220000}"/>
    <cellStyle name="Heading 1 526" xfId="8943" xr:uid="{00000000-0005-0000-0000-000085220000}"/>
    <cellStyle name="Heading 1 527" xfId="8944" xr:uid="{00000000-0005-0000-0000-000086220000}"/>
    <cellStyle name="Heading 1 528" xfId="8945" xr:uid="{00000000-0005-0000-0000-000087220000}"/>
    <cellStyle name="Heading 1 529" xfId="8946" xr:uid="{00000000-0005-0000-0000-000088220000}"/>
    <cellStyle name="Heading 1 53" xfId="8947" xr:uid="{00000000-0005-0000-0000-000089220000}"/>
    <cellStyle name="Heading 1 530" xfId="8948" xr:uid="{00000000-0005-0000-0000-00008A220000}"/>
    <cellStyle name="Heading 1 531" xfId="8949" xr:uid="{00000000-0005-0000-0000-00008B220000}"/>
    <cellStyle name="Heading 1 532" xfId="8950" xr:uid="{00000000-0005-0000-0000-00008C220000}"/>
    <cellStyle name="Heading 1 533" xfId="8951" xr:uid="{00000000-0005-0000-0000-00008D220000}"/>
    <cellStyle name="Heading 1 534" xfId="8952" xr:uid="{00000000-0005-0000-0000-00008E220000}"/>
    <cellStyle name="Heading 1 535" xfId="8953" xr:uid="{00000000-0005-0000-0000-00008F220000}"/>
    <cellStyle name="Heading 1 536" xfId="8954" xr:uid="{00000000-0005-0000-0000-000090220000}"/>
    <cellStyle name="Heading 1 537" xfId="8955" xr:uid="{00000000-0005-0000-0000-000091220000}"/>
    <cellStyle name="Heading 1 538" xfId="8956" xr:uid="{00000000-0005-0000-0000-000092220000}"/>
    <cellStyle name="Heading 1 539" xfId="8957" xr:uid="{00000000-0005-0000-0000-000093220000}"/>
    <cellStyle name="Heading 1 54" xfId="8958" xr:uid="{00000000-0005-0000-0000-000094220000}"/>
    <cellStyle name="Heading 1 540" xfId="8959" xr:uid="{00000000-0005-0000-0000-000095220000}"/>
    <cellStyle name="Heading 1 541" xfId="8960" xr:uid="{00000000-0005-0000-0000-000096220000}"/>
    <cellStyle name="Heading 1 542" xfId="8961" xr:uid="{00000000-0005-0000-0000-000097220000}"/>
    <cellStyle name="Heading 1 543" xfId="8962" xr:uid="{00000000-0005-0000-0000-000098220000}"/>
    <cellStyle name="Heading 1 544" xfId="8963" xr:uid="{00000000-0005-0000-0000-000099220000}"/>
    <cellStyle name="Heading 1 545" xfId="8964" xr:uid="{00000000-0005-0000-0000-00009A220000}"/>
    <cellStyle name="Heading 1 546" xfId="8965" xr:uid="{00000000-0005-0000-0000-00009B220000}"/>
    <cellStyle name="Heading 1 547" xfId="8966" xr:uid="{00000000-0005-0000-0000-00009C220000}"/>
    <cellStyle name="Heading 1 548" xfId="8967" xr:uid="{00000000-0005-0000-0000-00009D220000}"/>
    <cellStyle name="Heading 1 549" xfId="8968" xr:uid="{00000000-0005-0000-0000-00009E220000}"/>
    <cellStyle name="Heading 1 55" xfId="8969" xr:uid="{00000000-0005-0000-0000-00009F220000}"/>
    <cellStyle name="Heading 1 550" xfId="8970" xr:uid="{00000000-0005-0000-0000-0000A0220000}"/>
    <cellStyle name="Heading 1 551" xfId="8971" xr:uid="{00000000-0005-0000-0000-0000A1220000}"/>
    <cellStyle name="Heading 1 552" xfId="8972" xr:uid="{00000000-0005-0000-0000-0000A2220000}"/>
    <cellStyle name="Heading 1 553" xfId="8973" xr:uid="{00000000-0005-0000-0000-0000A3220000}"/>
    <cellStyle name="Heading 1 554" xfId="8974" xr:uid="{00000000-0005-0000-0000-0000A4220000}"/>
    <cellStyle name="Heading 1 555" xfId="8975" xr:uid="{00000000-0005-0000-0000-0000A5220000}"/>
    <cellStyle name="Heading 1 556" xfId="8976" xr:uid="{00000000-0005-0000-0000-0000A6220000}"/>
    <cellStyle name="Heading 1 557" xfId="8977" xr:uid="{00000000-0005-0000-0000-0000A7220000}"/>
    <cellStyle name="Heading 1 558" xfId="8978" xr:uid="{00000000-0005-0000-0000-0000A8220000}"/>
    <cellStyle name="Heading 1 559" xfId="8979" xr:uid="{00000000-0005-0000-0000-0000A9220000}"/>
    <cellStyle name="Heading 1 56" xfId="8980" xr:uid="{00000000-0005-0000-0000-0000AA220000}"/>
    <cellStyle name="Heading 1 560" xfId="8981" xr:uid="{00000000-0005-0000-0000-0000AB220000}"/>
    <cellStyle name="Heading 1 561" xfId="8982" xr:uid="{00000000-0005-0000-0000-0000AC220000}"/>
    <cellStyle name="Heading 1 562" xfId="8983" xr:uid="{00000000-0005-0000-0000-0000AD220000}"/>
    <cellStyle name="Heading 1 563" xfId="8984" xr:uid="{00000000-0005-0000-0000-0000AE220000}"/>
    <cellStyle name="Heading 1 564" xfId="8985" xr:uid="{00000000-0005-0000-0000-0000AF220000}"/>
    <cellStyle name="Heading 1 565" xfId="8986" xr:uid="{00000000-0005-0000-0000-0000B0220000}"/>
    <cellStyle name="Heading 1 566" xfId="8987" xr:uid="{00000000-0005-0000-0000-0000B1220000}"/>
    <cellStyle name="Heading 1 567" xfId="8988" xr:uid="{00000000-0005-0000-0000-0000B2220000}"/>
    <cellStyle name="Heading 1 568" xfId="8989" xr:uid="{00000000-0005-0000-0000-0000B3220000}"/>
    <cellStyle name="Heading 1 569" xfId="8990" xr:uid="{00000000-0005-0000-0000-0000B4220000}"/>
    <cellStyle name="Heading 1 57" xfId="8991" xr:uid="{00000000-0005-0000-0000-0000B5220000}"/>
    <cellStyle name="Heading 1 570" xfId="8992" xr:uid="{00000000-0005-0000-0000-0000B6220000}"/>
    <cellStyle name="Heading 1 571" xfId="8993" xr:uid="{00000000-0005-0000-0000-0000B7220000}"/>
    <cellStyle name="Heading 1 572" xfId="8994" xr:uid="{00000000-0005-0000-0000-0000B8220000}"/>
    <cellStyle name="Heading 1 573" xfId="8995" xr:uid="{00000000-0005-0000-0000-0000B9220000}"/>
    <cellStyle name="Heading 1 574" xfId="8996" xr:uid="{00000000-0005-0000-0000-0000BA220000}"/>
    <cellStyle name="Heading 1 575" xfId="8997" xr:uid="{00000000-0005-0000-0000-0000BB220000}"/>
    <cellStyle name="Heading 1 576" xfId="8998" xr:uid="{00000000-0005-0000-0000-0000BC220000}"/>
    <cellStyle name="Heading 1 577" xfId="8999" xr:uid="{00000000-0005-0000-0000-0000BD220000}"/>
    <cellStyle name="Heading 1 578" xfId="9000" xr:uid="{00000000-0005-0000-0000-0000BE220000}"/>
    <cellStyle name="Heading 1 579" xfId="9001" xr:uid="{00000000-0005-0000-0000-0000BF220000}"/>
    <cellStyle name="Heading 1 58" xfId="9002" xr:uid="{00000000-0005-0000-0000-0000C0220000}"/>
    <cellStyle name="Heading 1 580" xfId="9003" xr:uid="{00000000-0005-0000-0000-0000C1220000}"/>
    <cellStyle name="Heading 1 581" xfId="9004" xr:uid="{00000000-0005-0000-0000-0000C2220000}"/>
    <cellStyle name="Heading 1 582" xfId="9005" xr:uid="{00000000-0005-0000-0000-0000C3220000}"/>
    <cellStyle name="Heading 1 583" xfId="9006" xr:uid="{00000000-0005-0000-0000-0000C4220000}"/>
    <cellStyle name="Heading 1 584" xfId="9007" xr:uid="{00000000-0005-0000-0000-0000C5220000}"/>
    <cellStyle name="Heading 1 585" xfId="9008" xr:uid="{00000000-0005-0000-0000-0000C6220000}"/>
    <cellStyle name="Heading 1 586" xfId="9009" xr:uid="{00000000-0005-0000-0000-0000C7220000}"/>
    <cellStyle name="Heading 1 587" xfId="9010" xr:uid="{00000000-0005-0000-0000-0000C8220000}"/>
    <cellStyle name="Heading 1 588" xfId="9011" xr:uid="{00000000-0005-0000-0000-0000C9220000}"/>
    <cellStyle name="Heading 1 589" xfId="9012" xr:uid="{00000000-0005-0000-0000-0000CA220000}"/>
    <cellStyle name="Heading 1 59" xfId="9013" xr:uid="{00000000-0005-0000-0000-0000CB220000}"/>
    <cellStyle name="Heading 1 590" xfId="9014" xr:uid="{00000000-0005-0000-0000-0000CC220000}"/>
    <cellStyle name="Heading 1 591" xfId="9015" xr:uid="{00000000-0005-0000-0000-0000CD220000}"/>
    <cellStyle name="Heading 1 592" xfId="9016" xr:uid="{00000000-0005-0000-0000-0000CE220000}"/>
    <cellStyle name="Heading 1 593" xfId="9017" xr:uid="{00000000-0005-0000-0000-0000CF220000}"/>
    <cellStyle name="Heading 1 594" xfId="9018" xr:uid="{00000000-0005-0000-0000-0000D0220000}"/>
    <cellStyle name="Heading 1 595" xfId="9019" xr:uid="{00000000-0005-0000-0000-0000D1220000}"/>
    <cellStyle name="Heading 1 596" xfId="9020" xr:uid="{00000000-0005-0000-0000-0000D2220000}"/>
    <cellStyle name="Heading 1 597" xfId="9021" xr:uid="{00000000-0005-0000-0000-0000D3220000}"/>
    <cellStyle name="Heading 1 598" xfId="9022" xr:uid="{00000000-0005-0000-0000-0000D4220000}"/>
    <cellStyle name="Heading 1 599" xfId="9023" xr:uid="{00000000-0005-0000-0000-0000D5220000}"/>
    <cellStyle name="Heading 1 6" xfId="9024" xr:uid="{00000000-0005-0000-0000-0000D6220000}"/>
    <cellStyle name="Heading 1 60" xfId="9025" xr:uid="{00000000-0005-0000-0000-0000D7220000}"/>
    <cellStyle name="Heading 1 600" xfId="9026" xr:uid="{00000000-0005-0000-0000-0000D8220000}"/>
    <cellStyle name="Heading 1 601" xfId="9027" xr:uid="{00000000-0005-0000-0000-0000D9220000}"/>
    <cellStyle name="Heading 1 602" xfId="9028" xr:uid="{00000000-0005-0000-0000-0000DA220000}"/>
    <cellStyle name="Heading 1 603" xfId="9029" xr:uid="{00000000-0005-0000-0000-0000DB220000}"/>
    <cellStyle name="Heading 1 604" xfId="9030" xr:uid="{00000000-0005-0000-0000-0000DC220000}"/>
    <cellStyle name="Heading 1 605" xfId="9031" xr:uid="{00000000-0005-0000-0000-0000DD220000}"/>
    <cellStyle name="Heading 1 606" xfId="9032" xr:uid="{00000000-0005-0000-0000-0000DE220000}"/>
    <cellStyle name="Heading 1 607" xfId="9033" xr:uid="{00000000-0005-0000-0000-0000DF220000}"/>
    <cellStyle name="Heading 1 608" xfId="9034" xr:uid="{00000000-0005-0000-0000-0000E0220000}"/>
    <cellStyle name="Heading 1 609" xfId="9035" xr:uid="{00000000-0005-0000-0000-0000E1220000}"/>
    <cellStyle name="Heading 1 61" xfId="9036" xr:uid="{00000000-0005-0000-0000-0000E2220000}"/>
    <cellStyle name="Heading 1 610" xfId="9037" xr:uid="{00000000-0005-0000-0000-0000E3220000}"/>
    <cellStyle name="Heading 1 611" xfId="9038" xr:uid="{00000000-0005-0000-0000-0000E4220000}"/>
    <cellStyle name="Heading 1 612" xfId="9039" xr:uid="{00000000-0005-0000-0000-0000E5220000}"/>
    <cellStyle name="Heading 1 613" xfId="9040" xr:uid="{00000000-0005-0000-0000-0000E6220000}"/>
    <cellStyle name="Heading 1 614" xfId="9041" xr:uid="{00000000-0005-0000-0000-0000E7220000}"/>
    <cellStyle name="Heading 1 615" xfId="9042" xr:uid="{00000000-0005-0000-0000-0000E8220000}"/>
    <cellStyle name="Heading 1 616" xfId="9043" xr:uid="{00000000-0005-0000-0000-0000E9220000}"/>
    <cellStyle name="Heading 1 617" xfId="9044" xr:uid="{00000000-0005-0000-0000-0000EA220000}"/>
    <cellStyle name="Heading 1 618" xfId="9045" xr:uid="{00000000-0005-0000-0000-0000EB220000}"/>
    <cellStyle name="Heading 1 619" xfId="9046" xr:uid="{00000000-0005-0000-0000-0000EC220000}"/>
    <cellStyle name="Heading 1 62" xfId="9047" xr:uid="{00000000-0005-0000-0000-0000ED220000}"/>
    <cellStyle name="Heading 1 620" xfId="9048" xr:uid="{00000000-0005-0000-0000-0000EE220000}"/>
    <cellStyle name="Heading 1 621" xfId="9049" xr:uid="{00000000-0005-0000-0000-0000EF220000}"/>
    <cellStyle name="Heading 1 622" xfId="9050" xr:uid="{00000000-0005-0000-0000-0000F0220000}"/>
    <cellStyle name="Heading 1 623" xfId="9051" xr:uid="{00000000-0005-0000-0000-0000F1220000}"/>
    <cellStyle name="Heading 1 624" xfId="9052" xr:uid="{00000000-0005-0000-0000-0000F2220000}"/>
    <cellStyle name="Heading 1 625" xfId="9053" xr:uid="{00000000-0005-0000-0000-0000F3220000}"/>
    <cellStyle name="Heading 1 626" xfId="9054" xr:uid="{00000000-0005-0000-0000-0000F4220000}"/>
    <cellStyle name="Heading 1 627" xfId="9055" xr:uid="{00000000-0005-0000-0000-0000F5220000}"/>
    <cellStyle name="Heading 1 628" xfId="9056" xr:uid="{00000000-0005-0000-0000-0000F6220000}"/>
    <cellStyle name="Heading 1 629" xfId="9057" xr:uid="{00000000-0005-0000-0000-0000F7220000}"/>
    <cellStyle name="Heading 1 63" xfId="9058" xr:uid="{00000000-0005-0000-0000-0000F8220000}"/>
    <cellStyle name="Heading 1 630" xfId="9059" xr:uid="{00000000-0005-0000-0000-0000F9220000}"/>
    <cellStyle name="Heading 1 631" xfId="9060" xr:uid="{00000000-0005-0000-0000-0000FA220000}"/>
    <cellStyle name="Heading 1 632" xfId="9061" xr:uid="{00000000-0005-0000-0000-0000FB220000}"/>
    <cellStyle name="Heading 1 633" xfId="9062" xr:uid="{00000000-0005-0000-0000-0000FC220000}"/>
    <cellStyle name="Heading 1 634" xfId="9063" xr:uid="{00000000-0005-0000-0000-0000FD220000}"/>
    <cellStyle name="Heading 1 635" xfId="9064" xr:uid="{00000000-0005-0000-0000-0000FE220000}"/>
    <cellStyle name="Heading 1 636" xfId="9065" xr:uid="{00000000-0005-0000-0000-0000FF220000}"/>
    <cellStyle name="Heading 1 637" xfId="9066" xr:uid="{00000000-0005-0000-0000-000000230000}"/>
    <cellStyle name="Heading 1 638" xfId="9067" xr:uid="{00000000-0005-0000-0000-000001230000}"/>
    <cellStyle name="Heading 1 639" xfId="9068" xr:uid="{00000000-0005-0000-0000-000002230000}"/>
    <cellStyle name="Heading 1 64" xfId="9069" xr:uid="{00000000-0005-0000-0000-000003230000}"/>
    <cellStyle name="Heading 1 640" xfId="9070" xr:uid="{00000000-0005-0000-0000-000004230000}"/>
    <cellStyle name="Heading 1 641" xfId="9071" xr:uid="{00000000-0005-0000-0000-000005230000}"/>
    <cellStyle name="Heading 1 642" xfId="9072" xr:uid="{00000000-0005-0000-0000-000006230000}"/>
    <cellStyle name="Heading 1 643" xfId="9073" xr:uid="{00000000-0005-0000-0000-000007230000}"/>
    <cellStyle name="Heading 1 644" xfId="9074" xr:uid="{00000000-0005-0000-0000-000008230000}"/>
    <cellStyle name="Heading 1 645" xfId="9075" xr:uid="{00000000-0005-0000-0000-000009230000}"/>
    <cellStyle name="Heading 1 646" xfId="9076" xr:uid="{00000000-0005-0000-0000-00000A230000}"/>
    <cellStyle name="Heading 1 647" xfId="9077" xr:uid="{00000000-0005-0000-0000-00000B230000}"/>
    <cellStyle name="Heading 1 648" xfId="9078" xr:uid="{00000000-0005-0000-0000-00000C230000}"/>
    <cellStyle name="Heading 1 649" xfId="9079" xr:uid="{00000000-0005-0000-0000-00000D230000}"/>
    <cellStyle name="Heading 1 65" xfId="9080" xr:uid="{00000000-0005-0000-0000-00000E230000}"/>
    <cellStyle name="Heading 1 650" xfId="9081" xr:uid="{00000000-0005-0000-0000-00000F230000}"/>
    <cellStyle name="Heading 1 651" xfId="9082" xr:uid="{00000000-0005-0000-0000-000010230000}"/>
    <cellStyle name="Heading 1 652" xfId="9083" xr:uid="{00000000-0005-0000-0000-000011230000}"/>
    <cellStyle name="Heading 1 653" xfId="9084" xr:uid="{00000000-0005-0000-0000-000012230000}"/>
    <cellStyle name="Heading 1 654" xfId="9085" xr:uid="{00000000-0005-0000-0000-000013230000}"/>
    <cellStyle name="Heading 1 655" xfId="9086" xr:uid="{00000000-0005-0000-0000-000014230000}"/>
    <cellStyle name="Heading 1 656" xfId="9087" xr:uid="{00000000-0005-0000-0000-000015230000}"/>
    <cellStyle name="Heading 1 657" xfId="9088" xr:uid="{00000000-0005-0000-0000-000016230000}"/>
    <cellStyle name="Heading 1 658" xfId="9089" xr:uid="{00000000-0005-0000-0000-000017230000}"/>
    <cellStyle name="Heading 1 659" xfId="9090" xr:uid="{00000000-0005-0000-0000-000018230000}"/>
    <cellStyle name="Heading 1 66" xfId="9091" xr:uid="{00000000-0005-0000-0000-000019230000}"/>
    <cellStyle name="Heading 1 660" xfId="9092" xr:uid="{00000000-0005-0000-0000-00001A230000}"/>
    <cellStyle name="Heading 1 661" xfId="9093" xr:uid="{00000000-0005-0000-0000-00001B230000}"/>
    <cellStyle name="Heading 1 662" xfId="9094" xr:uid="{00000000-0005-0000-0000-00001C230000}"/>
    <cellStyle name="Heading 1 663" xfId="9095" xr:uid="{00000000-0005-0000-0000-00001D230000}"/>
    <cellStyle name="Heading 1 664" xfId="9096" xr:uid="{00000000-0005-0000-0000-00001E230000}"/>
    <cellStyle name="Heading 1 665" xfId="9097" xr:uid="{00000000-0005-0000-0000-00001F230000}"/>
    <cellStyle name="Heading 1 666" xfId="9098" xr:uid="{00000000-0005-0000-0000-000020230000}"/>
    <cellStyle name="Heading 1 667" xfId="9099" xr:uid="{00000000-0005-0000-0000-000021230000}"/>
    <cellStyle name="Heading 1 668" xfId="9100" xr:uid="{00000000-0005-0000-0000-000022230000}"/>
    <cellStyle name="Heading 1 669" xfId="9101" xr:uid="{00000000-0005-0000-0000-000023230000}"/>
    <cellStyle name="Heading 1 67" xfId="9102" xr:uid="{00000000-0005-0000-0000-000024230000}"/>
    <cellStyle name="Heading 1 670" xfId="9103" xr:uid="{00000000-0005-0000-0000-000025230000}"/>
    <cellStyle name="Heading 1 671" xfId="9104" xr:uid="{00000000-0005-0000-0000-000026230000}"/>
    <cellStyle name="Heading 1 672" xfId="9105" xr:uid="{00000000-0005-0000-0000-000027230000}"/>
    <cellStyle name="Heading 1 673" xfId="9106" xr:uid="{00000000-0005-0000-0000-000028230000}"/>
    <cellStyle name="Heading 1 674" xfId="9107" xr:uid="{00000000-0005-0000-0000-000029230000}"/>
    <cellStyle name="Heading 1 675" xfId="9108" xr:uid="{00000000-0005-0000-0000-00002A230000}"/>
    <cellStyle name="Heading 1 676" xfId="9109" xr:uid="{00000000-0005-0000-0000-00002B230000}"/>
    <cellStyle name="Heading 1 677" xfId="9110" xr:uid="{00000000-0005-0000-0000-00002C230000}"/>
    <cellStyle name="Heading 1 678" xfId="9111" xr:uid="{00000000-0005-0000-0000-00002D230000}"/>
    <cellStyle name="Heading 1 679" xfId="9112" xr:uid="{00000000-0005-0000-0000-00002E230000}"/>
    <cellStyle name="Heading 1 68" xfId="9113" xr:uid="{00000000-0005-0000-0000-00002F230000}"/>
    <cellStyle name="Heading 1 680" xfId="9114" xr:uid="{00000000-0005-0000-0000-000030230000}"/>
    <cellStyle name="Heading 1 681" xfId="9115" xr:uid="{00000000-0005-0000-0000-000031230000}"/>
    <cellStyle name="Heading 1 682" xfId="9116" xr:uid="{00000000-0005-0000-0000-000032230000}"/>
    <cellStyle name="Heading 1 683" xfId="9117" xr:uid="{00000000-0005-0000-0000-000033230000}"/>
    <cellStyle name="Heading 1 684" xfId="9118" xr:uid="{00000000-0005-0000-0000-000034230000}"/>
    <cellStyle name="Heading 1 685" xfId="9119" xr:uid="{00000000-0005-0000-0000-000035230000}"/>
    <cellStyle name="Heading 1 686" xfId="9120" xr:uid="{00000000-0005-0000-0000-000036230000}"/>
    <cellStyle name="Heading 1 687" xfId="9121" xr:uid="{00000000-0005-0000-0000-000037230000}"/>
    <cellStyle name="Heading 1 688" xfId="9122" xr:uid="{00000000-0005-0000-0000-000038230000}"/>
    <cellStyle name="Heading 1 689" xfId="9123" xr:uid="{00000000-0005-0000-0000-000039230000}"/>
    <cellStyle name="Heading 1 69" xfId="9124" xr:uid="{00000000-0005-0000-0000-00003A230000}"/>
    <cellStyle name="Heading 1 690" xfId="9125" xr:uid="{00000000-0005-0000-0000-00003B230000}"/>
    <cellStyle name="Heading 1 691" xfId="9126" xr:uid="{00000000-0005-0000-0000-00003C230000}"/>
    <cellStyle name="Heading 1 692" xfId="9127" xr:uid="{00000000-0005-0000-0000-00003D230000}"/>
    <cellStyle name="Heading 1 693" xfId="9128" xr:uid="{00000000-0005-0000-0000-00003E230000}"/>
    <cellStyle name="Heading 1 694" xfId="9129" xr:uid="{00000000-0005-0000-0000-00003F230000}"/>
    <cellStyle name="Heading 1 695" xfId="9130" xr:uid="{00000000-0005-0000-0000-000040230000}"/>
    <cellStyle name="Heading 1 696" xfId="9131" xr:uid="{00000000-0005-0000-0000-000041230000}"/>
    <cellStyle name="Heading 1 697" xfId="9132" xr:uid="{00000000-0005-0000-0000-000042230000}"/>
    <cellStyle name="Heading 1 698" xfId="9133" xr:uid="{00000000-0005-0000-0000-000043230000}"/>
    <cellStyle name="Heading 1 699" xfId="9134" xr:uid="{00000000-0005-0000-0000-000044230000}"/>
    <cellStyle name="Heading 1 7" xfId="9135" xr:uid="{00000000-0005-0000-0000-000045230000}"/>
    <cellStyle name="Heading 1 70" xfId="9136" xr:uid="{00000000-0005-0000-0000-000046230000}"/>
    <cellStyle name="Heading 1 700" xfId="9137" xr:uid="{00000000-0005-0000-0000-000047230000}"/>
    <cellStyle name="Heading 1 701" xfId="9138" xr:uid="{00000000-0005-0000-0000-000048230000}"/>
    <cellStyle name="Heading 1 702" xfId="9139" xr:uid="{00000000-0005-0000-0000-000049230000}"/>
    <cellStyle name="Heading 1 703" xfId="9140" xr:uid="{00000000-0005-0000-0000-00004A230000}"/>
    <cellStyle name="Heading 1 704" xfId="9141" xr:uid="{00000000-0005-0000-0000-00004B230000}"/>
    <cellStyle name="Heading 1 705" xfId="9142" xr:uid="{00000000-0005-0000-0000-00004C230000}"/>
    <cellStyle name="Heading 1 706" xfId="9143" xr:uid="{00000000-0005-0000-0000-00004D230000}"/>
    <cellStyle name="Heading 1 707" xfId="9144" xr:uid="{00000000-0005-0000-0000-00004E230000}"/>
    <cellStyle name="Heading 1 708" xfId="9145" xr:uid="{00000000-0005-0000-0000-00004F230000}"/>
    <cellStyle name="Heading 1 709" xfId="9146" xr:uid="{00000000-0005-0000-0000-000050230000}"/>
    <cellStyle name="Heading 1 71" xfId="9147" xr:uid="{00000000-0005-0000-0000-000051230000}"/>
    <cellStyle name="Heading 1 710" xfId="9148" xr:uid="{00000000-0005-0000-0000-000052230000}"/>
    <cellStyle name="Heading 1 711" xfId="9149" xr:uid="{00000000-0005-0000-0000-000053230000}"/>
    <cellStyle name="Heading 1 712" xfId="9150" xr:uid="{00000000-0005-0000-0000-000054230000}"/>
    <cellStyle name="Heading 1 713" xfId="9151" xr:uid="{00000000-0005-0000-0000-000055230000}"/>
    <cellStyle name="Heading 1 714" xfId="9152" xr:uid="{00000000-0005-0000-0000-000056230000}"/>
    <cellStyle name="Heading 1 715" xfId="9153" xr:uid="{00000000-0005-0000-0000-000057230000}"/>
    <cellStyle name="Heading 1 716" xfId="9154" xr:uid="{00000000-0005-0000-0000-000058230000}"/>
    <cellStyle name="Heading 1 717" xfId="9155" xr:uid="{00000000-0005-0000-0000-000059230000}"/>
    <cellStyle name="Heading 1 718" xfId="9156" xr:uid="{00000000-0005-0000-0000-00005A230000}"/>
    <cellStyle name="Heading 1 719" xfId="9157" xr:uid="{00000000-0005-0000-0000-00005B230000}"/>
    <cellStyle name="Heading 1 72" xfId="9158" xr:uid="{00000000-0005-0000-0000-00005C230000}"/>
    <cellStyle name="Heading 1 720" xfId="9159" xr:uid="{00000000-0005-0000-0000-00005D230000}"/>
    <cellStyle name="Heading 1 721" xfId="9160" xr:uid="{00000000-0005-0000-0000-00005E230000}"/>
    <cellStyle name="Heading 1 722" xfId="9161" xr:uid="{00000000-0005-0000-0000-00005F230000}"/>
    <cellStyle name="Heading 1 723" xfId="9162" xr:uid="{00000000-0005-0000-0000-000060230000}"/>
    <cellStyle name="Heading 1 724" xfId="9163" xr:uid="{00000000-0005-0000-0000-000061230000}"/>
    <cellStyle name="Heading 1 725" xfId="9164" xr:uid="{00000000-0005-0000-0000-000062230000}"/>
    <cellStyle name="Heading 1 726" xfId="9165" xr:uid="{00000000-0005-0000-0000-000063230000}"/>
    <cellStyle name="Heading 1 727" xfId="9166" xr:uid="{00000000-0005-0000-0000-000064230000}"/>
    <cellStyle name="Heading 1 728" xfId="9167" xr:uid="{00000000-0005-0000-0000-000065230000}"/>
    <cellStyle name="Heading 1 729" xfId="9168" xr:uid="{00000000-0005-0000-0000-000066230000}"/>
    <cellStyle name="Heading 1 73" xfId="9169" xr:uid="{00000000-0005-0000-0000-000067230000}"/>
    <cellStyle name="Heading 1 730" xfId="9170" xr:uid="{00000000-0005-0000-0000-000068230000}"/>
    <cellStyle name="Heading 1 731" xfId="9171" xr:uid="{00000000-0005-0000-0000-000069230000}"/>
    <cellStyle name="Heading 1 732" xfId="9172" xr:uid="{00000000-0005-0000-0000-00006A230000}"/>
    <cellStyle name="Heading 1 733" xfId="9173" xr:uid="{00000000-0005-0000-0000-00006B230000}"/>
    <cellStyle name="Heading 1 734" xfId="9174" xr:uid="{00000000-0005-0000-0000-00006C230000}"/>
    <cellStyle name="Heading 1 735" xfId="9175" xr:uid="{00000000-0005-0000-0000-00006D230000}"/>
    <cellStyle name="Heading 1 736" xfId="9176" xr:uid="{00000000-0005-0000-0000-00006E230000}"/>
    <cellStyle name="Heading 1 737" xfId="9177" xr:uid="{00000000-0005-0000-0000-00006F230000}"/>
    <cellStyle name="Heading 1 738" xfId="9178" xr:uid="{00000000-0005-0000-0000-000070230000}"/>
    <cellStyle name="Heading 1 739" xfId="9179" xr:uid="{00000000-0005-0000-0000-000071230000}"/>
    <cellStyle name="Heading 1 74" xfId="9180" xr:uid="{00000000-0005-0000-0000-000072230000}"/>
    <cellStyle name="Heading 1 740" xfId="9181" xr:uid="{00000000-0005-0000-0000-000073230000}"/>
    <cellStyle name="Heading 1 741" xfId="9182" xr:uid="{00000000-0005-0000-0000-000074230000}"/>
    <cellStyle name="Heading 1 742" xfId="9183" xr:uid="{00000000-0005-0000-0000-000075230000}"/>
    <cellStyle name="Heading 1 743" xfId="9184" xr:uid="{00000000-0005-0000-0000-000076230000}"/>
    <cellStyle name="Heading 1 744" xfId="9185" xr:uid="{00000000-0005-0000-0000-000077230000}"/>
    <cellStyle name="Heading 1 745" xfId="9186" xr:uid="{00000000-0005-0000-0000-000078230000}"/>
    <cellStyle name="Heading 1 746" xfId="9187" xr:uid="{00000000-0005-0000-0000-000079230000}"/>
    <cellStyle name="Heading 1 747" xfId="9188" xr:uid="{00000000-0005-0000-0000-00007A230000}"/>
    <cellStyle name="Heading 1 748" xfId="9189" xr:uid="{00000000-0005-0000-0000-00007B230000}"/>
    <cellStyle name="Heading 1 749" xfId="9190" xr:uid="{00000000-0005-0000-0000-00007C230000}"/>
    <cellStyle name="Heading 1 75" xfId="9191" xr:uid="{00000000-0005-0000-0000-00007D230000}"/>
    <cellStyle name="Heading 1 750" xfId="9192" xr:uid="{00000000-0005-0000-0000-00007E230000}"/>
    <cellStyle name="Heading 1 751" xfId="9193" xr:uid="{00000000-0005-0000-0000-00007F230000}"/>
    <cellStyle name="Heading 1 752" xfId="9194" xr:uid="{00000000-0005-0000-0000-000080230000}"/>
    <cellStyle name="Heading 1 753" xfId="9195" xr:uid="{00000000-0005-0000-0000-000081230000}"/>
    <cellStyle name="Heading 1 754" xfId="9196" xr:uid="{00000000-0005-0000-0000-000082230000}"/>
    <cellStyle name="Heading 1 755" xfId="9197" xr:uid="{00000000-0005-0000-0000-000083230000}"/>
    <cellStyle name="Heading 1 756" xfId="9198" xr:uid="{00000000-0005-0000-0000-000084230000}"/>
    <cellStyle name="Heading 1 757" xfId="9199" xr:uid="{00000000-0005-0000-0000-000085230000}"/>
    <cellStyle name="Heading 1 758" xfId="9200" xr:uid="{00000000-0005-0000-0000-000086230000}"/>
    <cellStyle name="Heading 1 759" xfId="9201" xr:uid="{00000000-0005-0000-0000-000087230000}"/>
    <cellStyle name="Heading 1 76" xfId="9202" xr:uid="{00000000-0005-0000-0000-000088230000}"/>
    <cellStyle name="Heading 1 760" xfId="9203" xr:uid="{00000000-0005-0000-0000-000089230000}"/>
    <cellStyle name="Heading 1 761" xfId="9204" xr:uid="{00000000-0005-0000-0000-00008A230000}"/>
    <cellStyle name="Heading 1 762" xfId="9205" xr:uid="{00000000-0005-0000-0000-00008B230000}"/>
    <cellStyle name="Heading 1 763" xfId="9206" xr:uid="{00000000-0005-0000-0000-00008C230000}"/>
    <cellStyle name="Heading 1 764" xfId="9207" xr:uid="{00000000-0005-0000-0000-00008D230000}"/>
    <cellStyle name="Heading 1 765" xfId="9208" xr:uid="{00000000-0005-0000-0000-00008E230000}"/>
    <cellStyle name="Heading 1 766" xfId="9209" xr:uid="{00000000-0005-0000-0000-00008F230000}"/>
    <cellStyle name="Heading 1 767" xfId="9210" xr:uid="{00000000-0005-0000-0000-000090230000}"/>
    <cellStyle name="Heading 1 768" xfId="9211" xr:uid="{00000000-0005-0000-0000-000091230000}"/>
    <cellStyle name="Heading 1 769" xfId="9212" xr:uid="{00000000-0005-0000-0000-000092230000}"/>
    <cellStyle name="Heading 1 77" xfId="9213" xr:uid="{00000000-0005-0000-0000-000093230000}"/>
    <cellStyle name="Heading 1 770" xfId="9214" xr:uid="{00000000-0005-0000-0000-000094230000}"/>
    <cellStyle name="Heading 1 771" xfId="9215" xr:uid="{00000000-0005-0000-0000-000095230000}"/>
    <cellStyle name="Heading 1 772" xfId="9216" xr:uid="{00000000-0005-0000-0000-000096230000}"/>
    <cellStyle name="Heading 1 773" xfId="9217" xr:uid="{00000000-0005-0000-0000-000097230000}"/>
    <cellStyle name="Heading 1 774" xfId="9218" xr:uid="{00000000-0005-0000-0000-000098230000}"/>
    <cellStyle name="Heading 1 775" xfId="9219" xr:uid="{00000000-0005-0000-0000-000099230000}"/>
    <cellStyle name="Heading 1 776" xfId="9220" xr:uid="{00000000-0005-0000-0000-00009A230000}"/>
    <cellStyle name="Heading 1 777" xfId="9221" xr:uid="{00000000-0005-0000-0000-00009B230000}"/>
    <cellStyle name="Heading 1 778" xfId="9222" xr:uid="{00000000-0005-0000-0000-00009C230000}"/>
    <cellStyle name="Heading 1 779" xfId="9223" xr:uid="{00000000-0005-0000-0000-00009D230000}"/>
    <cellStyle name="Heading 1 78" xfId="9224" xr:uid="{00000000-0005-0000-0000-00009E230000}"/>
    <cellStyle name="Heading 1 780" xfId="9225" xr:uid="{00000000-0005-0000-0000-00009F230000}"/>
    <cellStyle name="Heading 1 781" xfId="9226" xr:uid="{00000000-0005-0000-0000-0000A0230000}"/>
    <cellStyle name="Heading 1 782" xfId="9227" xr:uid="{00000000-0005-0000-0000-0000A1230000}"/>
    <cellStyle name="Heading 1 783" xfId="9228" xr:uid="{00000000-0005-0000-0000-0000A2230000}"/>
    <cellStyle name="Heading 1 784" xfId="9229" xr:uid="{00000000-0005-0000-0000-0000A3230000}"/>
    <cellStyle name="Heading 1 785" xfId="9230" xr:uid="{00000000-0005-0000-0000-0000A4230000}"/>
    <cellStyle name="Heading 1 786" xfId="9231" xr:uid="{00000000-0005-0000-0000-0000A5230000}"/>
    <cellStyle name="Heading 1 787" xfId="9232" xr:uid="{00000000-0005-0000-0000-0000A6230000}"/>
    <cellStyle name="Heading 1 788" xfId="9233" xr:uid="{00000000-0005-0000-0000-0000A7230000}"/>
    <cellStyle name="Heading 1 789" xfId="9234" xr:uid="{00000000-0005-0000-0000-0000A8230000}"/>
    <cellStyle name="Heading 1 79" xfId="9235" xr:uid="{00000000-0005-0000-0000-0000A9230000}"/>
    <cellStyle name="Heading 1 790" xfId="9236" xr:uid="{00000000-0005-0000-0000-0000AA230000}"/>
    <cellStyle name="Heading 1 791" xfId="9237" xr:uid="{00000000-0005-0000-0000-0000AB230000}"/>
    <cellStyle name="Heading 1 792" xfId="9238" xr:uid="{00000000-0005-0000-0000-0000AC230000}"/>
    <cellStyle name="Heading 1 793" xfId="9239" xr:uid="{00000000-0005-0000-0000-0000AD230000}"/>
    <cellStyle name="Heading 1 794" xfId="9240" xr:uid="{00000000-0005-0000-0000-0000AE230000}"/>
    <cellStyle name="Heading 1 795" xfId="9241" xr:uid="{00000000-0005-0000-0000-0000AF230000}"/>
    <cellStyle name="Heading 1 796" xfId="9242" xr:uid="{00000000-0005-0000-0000-0000B0230000}"/>
    <cellStyle name="Heading 1 797" xfId="9243" xr:uid="{00000000-0005-0000-0000-0000B1230000}"/>
    <cellStyle name="Heading 1 798" xfId="9244" xr:uid="{00000000-0005-0000-0000-0000B2230000}"/>
    <cellStyle name="Heading 1 799" xfId="9245" xr:uid="{00000000-0005-0000-0000-0000B3230000}"/>
    <cellStyle name="Heading 1 8" xfId="9246" xr:uid="{00000000-0005-0000-0000-0000B4230000}"/>
    <cellStyle name="Heading 1 80" xfId="9247" xr:uid="{00000000-0005-0000-0000-0000B5230000}"/>
    <cellStyle name="Heading 1 800" xfId="9248" xr:uid="{00000000-0005-0000-0000-0000B6230000}"/>
    <cellStyle name="Heading 1 801" xfId="9249" xr:uid="{00000000-0005-0000-0000-0000B7230000}"/>
    <cellStyle name="Heading 1 802" xfId="9250" xr:uid="{00000000-0005-0000-0000-0000B8230000}"/>
    <cellStyle name="Heading 1 803" xfId="9251" xr:uid="{00000000-0005-0000-0000-0000B9230000}"/>
    <cellStyle name="Heading 1 804" xfId="9252" xr:uid="{00000000-0005-0000-0000-0000BA230000}"/>
    <cellStyle name="Heading 1 805" xfId="9253" xr:uid="{00000000-0005-0000-0000-0000BB230000}"/>
    <cellStyle name="Heading 1 806" xfId="9254" xr:uid="{00000000-0005-0000-0000-0000BC230000}"/>
    <cellStyle name="Heading 1 807" xfId="9255" xr:uid="{00000000-0005-0000-0000-0000BD230000}"/>
    <cellStyle name="Heading 1 808" xfId="9256" xr:uid="{00000000-0005-0000-0000-0000BE230000}"/>
    <cellStyle name="Heading 1 809" xfId="9257" xr:uid="{00000000-0005-0000-0000-0000BF230000}"/>
    <cellStyle name="Heading 1 81" xfId="9258" xr:uid="{00000000-0005-0000-0000-0000C0230000}"/>
    <cellStyle name="Heading 1 810" xfId="9259" xr:uid="{00000000-0005-0000-0000-0000C1230000}"/>
    <cellStyle name="Heading 1 811" xfId="9260" xr:uid="{00000000-0005-0000-0000-0000C2230000}"/>
    <cellStyle name="Heading 1 812" xfId="9261" xr:uid="{00000000-0005-0000-0000-0000C3230000}"/>
    <cellStyle name="Heading 1 813" xfId="9262" xr:uid="{00000000-0005-0000-0000-0000C4230000}"/>
    <cellStyle name="Heading 1 814" xfId="9263" xr:uid="{00000000-0005-0000-0000-0000C5230000}"/>
    <cellStyle name="Heading 1 815" xfId="9264" xr:uid="{00000000-0005-0000-0000-0000C6230000}"/>
    <cellStyle name="Heading 1 816" xfId="9265" xr:uid="{00000000-0005-0000-0000-0000C7230000}"/>
    <cellStyle name="Heading 1 817" xfId="9266" xr:uid="{00000000-0005-0000-0000-0000C8230000}"/>
    <cellStyle name="Heading 1 818" xfId="9267" xr:uid="{00000000-0005-0000-0000-0000C9230000}"/>
    <cellStyle name="Heading 1 819" xfId="9268" xr:uid="{00000000-0005-0000-0000-0000CA230000}"/>
    <cellStyle name="Heading 1 82" xfId="9269" xr:uid="{00000000-0005-0000-0000-0000CB230000}"/>
    <cellStyle name="Heading 1 820" xfId="9270" xr:uid="{00000000-0005-0000-0000-0000CC230000}"/>
    <cellStyle name="Heading 1 821" xfId="9271" xr:uid="{00000000-0005-0000-0000-0000CD230000}"/>
    <cellStyle name="Heading 1 822" xfId="9272" xr:uid="{00000000-0005-0000-0000-0000CE230000}"/>
    <cellStyle name="Heading 1 823" xfId="9273" xr:uid="{00000000-0005-0000-0000-0000CF230000}"/>
    <cellStyle name="Heading 1 824" xfId="9274" xr:uid="{00000000-0005-0000-0000-0000D0230000}"/>
    <cellStyle name="Heading 1 825" xfId="9275" xr:uid="{00000000-0005-0000-0000-0000D1230000}"/>
    <cellStyle name="Heading 1 826" xfId="9276" xr:uid="{00000000-0005-0000-0000-0000D2230000}"/>
    <cellStyle name="Heading 1 827" xfId="9277" xr:uid="{00000000-0005-0000-0000-0000D3230000}"/>
    <cellStyle name="Heading 1 828" xfId="9278" xr:uid="{00000000-0005-0000-0000-0000D4230000}"/>
    <cellStyle name="Heading 1 829" xfId="9279" xr:uid="{00000000-0005-0000-0000-0000D5230000}"/>
    <cellStyle name="Heading 1 83" xfId="9280" xr:uid="{00000000-0005-0000-0000-0000D6230000}"/>
    <cellStyle name="Heading 1 830" xfId="9281" xr:uid="{00000000-0005-0000-0000-0000D7230000}"/>
    <cellStyle name="Heading 1 831" xfId="9282" xr:uid="{00000000-0005-0000-0000-0000D8230000}"/>
    <cellStyle name="Heading 1 832" xfId="9283" xr:uid="{00000000-0005-0000-0000-0000D9230000}"/>
    <cellStyle name="Heading 1 833" xfId="9284" xr:uid="{00000000-0005-0000-0000-0000DA230000}"/>
    <cellStyle name="Heading 1 834" xfId="9285" xr:uid="{00000000-0005-0000-0000-0000DB230000}"/>
    <cellStyle name="Heading 1 835" xfId="9286" xr:uid="{00000000-0005-0000-0000-0000DC230000}"/>
    <cellStyle name="Heading 1 836" xfId="9287" xr:uid="{00000000-0005-0000-0000-0000DD230000}"/>
    <cellStyle name="Heading 1 837" xfId="9288" xr:uid="{00000000-0005-0000-0000-0000DE230000}"/>
    <cellStyle name="Heading 1 838" xfId="9289" xr:uid="{00000000-0005-0000-0000-0000DF230000}"/>
    <cellStyle name="Heading 1 839" xfId="9290" xr:uid="{00000000-0005-0000-0000-0000E0230000}"/>
    <cellStyle name="Heading 1 84" xfId="9291" xr:uid="{00000000-0005-0000-0000-0000E1230000}"/>
    <cellStyle name="Heading 1 840" xfId="9292" xr:uid="{00000000-0005-0000-0000-0000E2230000}"/>
    <cellStyle name="Heading 1 841" xfId="9293" xr:uid="{00000000-0005-0000-0000-0000E3230000}"/>
    <cellStyle name="Heading 1 842" xfId="9294" xr:uid="{00000000-0005-0000-0000-0000E4230000}"/>
    <cellStyle name="Heading 1 843" xfId="9295" xr:uid="{00000000-0005-0000-0000-0000E5230000}"/>
    <cellStyle name="Heading 1 844" xfId="9296" xr:uid="{00000000-0005-0000-0000-0000E6230000}"/>
    <cellStyle name="Heading 1 845" xfId="9297" xr:uid="{00000000-0005-0000-0000-0000E7230000}"/>
    <cellStyle name="Heading 1 846" xfId="9298" xr:uid="{00000000-0005-0000-0000-0000E8230000}"/>
    <cellStyle name="Heading 1 847" xfId="9299" xr:uid="{00000000-0005-0000-0000-0000E9230000}"/>
    <cellStyle name="Heading 1 848" xfId="9300" xr:uid="{00000000-0005-0000-0000-0000EA230000}"/>
    <cellStyle name="Heading 1 849" xfId="9301" xr:uid="{00000000-0005-0000-0000-0000EB230000}"/>
    <cellStyle name="Heading 1 85" xfId="9302" xr:uid="{00000000-0005-0000-0000-0000EC230000}"/>
    <cellStyle name="Heading 1 850" xfId="9303" xr:uid="{00000000-0005-0000-0000-0000ED230000}"/>
    <cellStyle name="Heading 1 851" xfId="9304" xr:uid="{00000000-0005-0000-0000-0000EE230000}"/>
    <cellStyle name="Heading 1 852" xfId="9305" xr:uid="{00000000-0005-0000-0000-0000EF230000}"/>
    <cellStyle name="Heading 1 853" xfId="9306" xr:uid="{00000000-0005-0000-0000-0000F0230000}"/>
    <cellStyle name="Heading 1 854" xfId="9307" xr:uid="{00000000-0005-0000-0000-0000F1230000}"/>
    <cellStyle name="Heading 1 855" xfId="9308" xr:uid="{00000000-0005-0000-0000-0000F2230000}"/>
    <cellStyle name="Heading 1 856" xfId="9309" xr:uid="{00000000-0005-0000-0000-0000F3230000}"/>
    <cellStyle name="Heading 1 857" xfId="9310" xr:uid="{00000000-0005-0000-0000-0000F4230000}"/>
    <cellStyle name="Heading 1 858" xfId="9311" xr:uid="{00000000-0005-0000-0000-0000F5230000}"/>
    <cellStyle name="Heading 1 859" xfId="9312" xr:uid="{00000000-0005-0000-0000-0000F6230000}"/>
    <cellStyle name="Heading 1 86" xfId="9313" xr:uid="{00000000-0005-0000-0000-0000F7230000}"/>
    <cellStyle name="Heading 1 860" xfId="9314" xr:uid="{00000000-0005-0000-0000-0000F8230000}"/>
    <cellStyle name="Heading 1 861" xfId="9315" xr:uid="{00000000-0005-0000-0000-0000F9230000}"/>
    <cellStyle name="Heading 1 862" xfId="9316" xr:uid="{00000000-0005-0000-0000-0000FA230000}"/>
    <cellStyle name="Heading 1 863" xfId="9317" xr:uid="{00000000-0005-0000-0000-0000FB230000}"/>
    <cellStyle name="Heading 1 864" xfId="9318" xr:uid="{00000000-0005-0000-0000-0000FC230000}"/>
    <cellStyle name="Heading 1 865" xfId="9319" xr:uid="{00000000-0005-0000-0000-0000FD230000}"/>
    <cellStyle name="Heading 1 866" xfId="9320" xr:uid="{00000000-0005-0000-0000-0000FE230000}"/>
    <cellStyle name="Heading 1 867" xfId="9321" xr:uid="{00000000-0005-0000-0000-0000FF230000}"/>
    <cellStyle name="Heading 1 868" xfId="9322" xr:uid="{00000000-0005-0000-0000-000000240000}"/>
    <cellStyle name="Heading 1 869" xfId="9323" xr:uid="{00000000-0005-0000-0000-000001240000}"/>
    <cellStyle name="Heading 1 87" xfId="9324" xr:uid="{00000000-0005-0000-0000-000002240000}"/>
    <cellStyle name="Heading 1 870" xfId="9325" xr:uid="{00000000-0005-0000-0000-000003240000}"/>
    <cellStyle name="Heading 1 871" xfId="9326" xr:uid="{00000000-0005-0000-0000-000004240000}"/>
    <cellStyle name="Heading 1 872" xfId="9327" xr:uid="{00000000-0005-0000-0000-000005240000}"/>
    <cellStyle name="Heading 1 873" xfId="9328" xr:uid="{00000000-0005-0000-0000-000006240000}"/>
    <cellStyle name="Heading 1 874" xfId="9329" xr:uid="{00000000-0005-0000-0000-000007240000}"/>
    <cellStyle name="Heading 1 875" xfId="9330" xr:uid="{00000000-0005-0000-0000-000008240000}"/>
    <cellStyle name="Heading 1 876" xfId="9331" xr:uid="{00000000-0005-0000-0000-000009240000}"/>
    <cellStyle name="Heading 1 877" xfId="9332" xr:uid="{00000000-0005-0000-0000-00000A240000}"/>
    <cellStyle name="Heading 1 878" xfId="9333" xr:uid="{00000000-0005-0000-0000-00000B240000}"/>
    <cellStyle name="Heading 1 879" xfId="9334" xr:uid="{00000000-0005-0000-0000-00000C240000}"/>
    <cellStyle name="Heading 1 88" xfId="9335" xr:uid="{00000000-0005-0000-0000-00000D240000}"/>
    <cellStyle name="Heading 1 880" xfId="9336" xr:uid="{00000000-0005-0000-0000-00000E240000}"/>
    <cellStyle name="Heading 1 881" xfId="9337" xr:uid="{00000000-0005-0000-0000-00000F240000}"/>
    <cellStyle name="Heading 1 882" xfId="9338" xr:uid="{00000000-0005-0000-0000-000010240000}"/>
    <cellStyle name="Heading 1 883" xfId="9339" xr:uid="{00000000-0005-0000-0000-000011240000}"/>
    <cellStyle name="Heading 1 884" xfId="9340" xr:uid="{00000000-0005-0000-0000-000012240000}"/>
    <cellStyle name="Heading 1 885" xfId="9341" xr:uid="{00000000-0005-0000-0000-000013240000}"/>
    <cellStyle name="Heading 1 886" xfId="9342" xr:uid="{00000000-0005-0000-0000-000014240000}"/>
    <cellStyle name="Heading 1 887" xfId="9343" xr:uid="{00000000-0005-0000-0000-000015240000}"/>
    <cellStyle name="Heading 1 888" xfId="9344" xr:uid="{00000000-0005-0000-0000-000016240000}"/>
    <cellStyle name="Heading 1 889" xfId="9345" xr:uid="{00000000-0005-0000-0000-000017240000}"/>
    <cellStyle name="Heading 1 89" xfId="9346" xr:uid="{00000000-0005-0000-0000-000018240000}"/>
    <cellStyle name="Heading 1 890" xfId="9347" xr:uid="{00000000-0005-0000-0000-000019240000}"/>
    <cellStyle name="Heading 1 891" xfId="9348" xr:uid="{00000000-0005-0000-0000-00001A240000}"/>
    <cellStyle name="Heading 1 892" xfId="9349" xr:uid="{00000000-0005-0000-0000-00001B240000}"/>
    <cellStyle name="Heading 1 893" xfId="9350" xr:uid="{00000000-0005-0000-0000-00001C240000}"/>
    <cellStyle name="Heading 1 894" xfId="9351" xr:uid="{00000000-0005-0000-0000-00001D240000}"/>
    <cellStyle name="Heading 1 895" xfId="9352" xr:uid="{00000000-0005-0000-0000-00001E240000}"/>
    <cellStyle name="Heading 1 896" xfId="9353" xr:uid="{00000000-0005-0000-0000-00001F240000}"/>
    <cellStyle name="Heading 1 897" xfId="9354" xr:uid="{00000000-0005-0000-0000-000020240000}"/>
    <cellStyle name="Heading 1 898" xfId="9355" xr:uid="{00000000-0005-0000-0000-000021240000}"/>
    <cellStyle name="Heading 1 899" xfId="9356" xr:uid="{00000000-0005-0000-0000-000022240000}"/>
    <cellStyle name="Heading 1 9" xfId="9357" xr:uid="{00000000-0005-0000-0000-000023240000}"/>
    <cellStyle name="Heading 1 90" xfId="9358" xr:uid="{00000000-0005-0000-0000-000024240000}"/>
    <cellStyle name="Heading 1 900" xfId="9359" xr:uid="{00000000-0005-0000-0000-000025240000}"/>
    <cellStyle name="Heading 1 901" xfId="9360" xr:uid="{00000000-0005-0000-0000-000026240000}"/>
    <cellStyle name="Heading 1 902" xfId="9361" xr:uid="{00000000-0005-0000-0000-000027240000}"/>
    <cellStyle name="Heading 1 903" xfId="9362" xr:uid="{00000000-0005-0000-0000-000028240000}"/>
    <cellStyle name="Heading 1 904" xfId="9363" xr:uid="{00000000-0005-0000-0000-000029240000}"/>
    <cellStyle name="Heading 1 905" xfId="9364" xr:uid="{00000000-0005-0000-0000-00002A240000}"/>
    <cellStyle name="Heading 1 906" xfId="9365" xr:uid="{00000000-0005-0000-0000-00002B240000}"/>
    <cellStyle name="Heading 1 907" xfId="9366" xr:uid="{00000000-0005-0000-0000-00002C240000}"/>
    <cellStyle name="Heading 1 908" xfId="9367" xr:uid="{00000000-0005-0000-0000-00002D240000}"/>
    <cellStyle name="Heading 1 909" xfId="9368" xr:uid="{00000000-0005-0000-0000-00002E240000}"/>
    <cellStyle name="Heading 1 91" xfId="9369" xr:uid="{00000000-0005-0000-0000-00002F240000}"/>
    <cellStyle name="Heading 1 910" xfId="9370" xr:uid="{00000000-0005-0000-0000-000030240000}"/>
    <cellStyle name="Heading 1 911" xfId="9371" xr:uid="{00000000-0005-0000-0000-000031240000}"/>
    <cellStyle name="Heading 1 912" xfId="9372" xr:uid="{00000000-0005-0000-0000-000032240000}"/>
    <cellStyle name="Heading 1 913" xfId="9373" xr:uid="{00000000-0005-0000-0000-000033240000}"/>
    <cellStyle name="Heading 1 914" xfId="9374" xr:uid="{00000000-0005-0000-0000-000034240000}"/>
    <cellStyle name="Heading 1 915" xfId="9375" xr:uid="{00000000-0005-0000-0000-000035240000}"/>
    <cellStyle name="Heading 1 916" xfId="9376" xr:uid="{00000000-0005-0000-0000-000036240000}"/>
    <cellStyle name="Heading 1 917" xfId="9377" xr:uid="{00000000-0005-0000-0000-000037240000}"/>
    <cellStyle name="Heading 1 918" xfId="9378" xr:uid="{00000000-0005-0000-0000-000038240000}"/>
    <cellStyle name="Heading 1 919" xfId="9379" xr:uid="{00000000-0005-0000-0000-000039240000}"/>
    <cellStyle name="Heading 1 92" xfId="9380" xr:uid="{00000000-0005-0000-0000-00003A240000}"/>
    <cellStyle name="Heading 1 920" xfId="9381" xr:uid="{00000000-0005-0000-0000-00003B240000}"/>
    <cellStyle name="Heading 1 921" xfId="9382" xr:uid="{00000000-0005-0000-0000-00003C240000}"/>
    <cellStyle name="Heading 1 922" xfId="9383" xr:uid="{00000000-0005-0000-0000-00003D240000}"/>
    <cellStyle name="Heading 1 923" xfId="9384" xr:uid="{00000000-0005-0000-0000-00003E240000}"/>
    <cellStyle name="Heading 1 924" xfId="9385" xr:uid="{00000000-0005-0000-0000-00003F240000}"/>
    <cellStyle name="Heading 1 925" xfId="9386" xr:uid="{00000000-0005-0000-0000-000040240000}"/>
    <cellStyle name="Heading 1 926" xfId="9387" xr:uid="{00000000-0005-0000-0000-000041240000}"/>
    <cellStyle name="Heading 1 927" xfId="9388" xr:uid="{00000000-0005-0000-0000-000042240000}"/>
    <cellStyle name="Heading 1 928" xfId="9389" xr:uid="{00000000-0005-0000-0000-000043240000}"/>
    <cellStyle name="Heading 1 929" xfId="9390" xr:uid="{00000000-0005-0000-0000-000044240000}"/>
    <cellStyle name="Heading 1 93" xfId="9391" xr:uid="{00000000-0005-0000-0000-000045240000}"/>
    <cellStyle name="Heading 1 930" xfId="9392" xr:uid="{00000000-0005-0000-0000-000046240000}"/>
    <cellStyle name="Heading 1 931" xfId="9393" xr:uid="{00000000-0005-0000-0000-000047240000}"/>
    <cellStyle name="Heading 1 932" xfId="9394" xr:uid="{00000000-0005-0000-0000-000048240000}"/>
    <cellStyle name="Heading 1 933" xfId="9395" xr:uid="{00000000-0005-0000-0000-000049240000}"/>
    <cellStyle name="Heading 1 934" xfId="9396" xr:uid="{00000000-0005-0000-0000-00004A240000}"/>
    <cellStyle name="Heading 1 935" xfId="9397" xr:uid="{00000000-0005-0000-0000-00004B240000}"/>
    <cellStyle name="Heading 1 936" xfId="9398" xr:uid="{00000000-0005-0000-0000-00004C240000}"/>
    <cellStyle name="Heading 1 937" xfId="9399" xr:uid="{00000000-0005-0000-0000-00004D240000}"/>
    <cellStyle name="Heading 1 938" xfId="9400" xr:uid="{00000000-0005-0000-0000-00004E240000}"/>
    <cellStyle name="Heading 1 939" xfId="9401" xr:uid="{00000000-0005-0000-0000-00004F240000}"/>
    <cellStyle name="Heading 1 94" xfId="9402" xr:uid="{00000000-0005-0000-0000-000050240000}"/>
    <cellStyle name="Heading 1 940" xfId="9403" xr:uid="{00000000-0005-0000-0000-000051240000}"/>
    <cellStyle name="Heading 1 941" xfId="9404" xr:uid="{00000000-0005-0000-0000-000052240000}"/>
    <cellStyle name="Heading 1 942" xfId="9405" xr:uid="{00000000-0005-0000-0000-000053240000}"/>
    <cellStyle name="Heading 1 943" xfId="9406" xr:uid="{00000000-0005-0000-0000-000054240000}"/>
    <cellStyle name="Heading 1 944" xfId="9407" xr:uid="{00000000-0005-0000-0000-000055240000}"/>
    <cellStyle name="Heading 1 945" xfId="9408" xr:uid="{00000000-0005-0000-0000-000056240000}"/>
    <cellStyle name="Heading 1 946" xfId="9409" xr:uid="{00000000-0005-0000-0000-000057240000}"/>
    <cellStyle name="Heading 1 947" xfId="9410" xr:uid="{00000000-0005-0000-0000-000058240000}"/>
    <cellStyle name="Heading 1 948" xfId="9411" xr:uid="{00000000-0005-0000-0000-000059240000}"/>
    <cellStyle name="Heading 1 949" xfId="9412" xr:uid="{00000000-0005-0000-0000-00005A240000}"/>
    <cellStyle name="Heading 1 95" xfId="9413" xr:uid="{00000000-0005-0000-0000-00005B240000}"/>
    <cellStyle name="Heading 1 950" xfId="9414" xr:uid="{00000000-0005-0000-0000-00005C240000}"/>
    <cellStyle name="Heading 1 951" xfId="9415" xr:uid="{00000000-0005-0000-0000-00005D240000}"/>
    <cellStyle name="Heading 1 952" xfId="9416" xr:uid="{00000000-0005-0000-0000-00005E240000}"/>
    <cellStyle name="Heading 1 953" xfId="9417" xr:uid="{00000000-0005-0000-0000-00005F240000}"/>
    <cellStyle name="Heading 1 954" xfId="9418" xr:uid="{00000000-0005-0000-0000-000060240000}"/>
    <cellStyle name="Heading 1 955" xfId="9419" xr:uid="{00000000-0005-0000-0000-000061240000}"/>
    <cellStyle name="Heading 1 956" xfId="9420" xr:uid="{00000000-0005-0000-0000-000062240000}"/>
    <cellStyle name="Heading 1 957" xfId="9421" xr:uid="{00000000-0005-0000-0000-000063240000}"/>
    <cellStyle name="Heading 1 958" xfId="9422" xr:uid="{00000000-0005-0000-0000-000064240000}"/>
    <cellStyle name="Heading 1 959" xfId="9423" xr:uid="{00000000-0005-0000-0000-000065240000}"/>
    <cellStyle name="Heading 1 96" xfId="9424" xr:uid="{00000000-0005-0000-0000-000066240000}"/>
    <cellStyle name="Heading 1 960" xfId="9425" xr:uid="{00000000-0005-0000-0000-000067240000}"/>
    <cellStyle name="Heading 1 961" xfId="9426" xr:uid="{00000000-0005-0000-0000-000068240000}"/>
    <cellStyle name="Heading 1 962" xfId="9427" xr:uid="{00000000-0005-0000-0000-000069240000}"/>
    <cellStyle name="Heading 1 963" xfId="9428" xr:uid="{00000000-0005-0000-0000-00006A240000}"/>
    <cellStyle name="Heading 1 964" xfId="9429" xr:uid="{00000000-0005-0000-0000-00006B240000}"/>
    <cellStyle name="Heading 1 965" xfId="9430" xr:uid="{00000000-0005-0000-0000-00006C240000}"/>
    <cellStyle name="Heading 1 966" xfId="9431" xr:uid="{00000000-0005-0000-0000-00006D240000}"/>
    <cellStyle name="Heading 1 967" xfId="9432" xr:uid="{00000000-0005-0000-0000-00006E240000}"/>
    <cellStyle name="Heading 1 968" xfId="9433" xr:uid="{00000000-0005-0000-0000-00006F240000}"/>
    <cellStyle name="Heading 1 969" xfId="9434" xr:uid="{00000000-0005-0000-0000-000070240000}"/>
    <cellStyle name="Heading 1 97" xfId="9435" xr:uid="{00000000-0005-0000-0000-000071240000}"/>
    <cellStyle name="Heading 1 970" xfId="9436" xr:uid="{00000000-0005-0000-0000-000072240000}"/>
    <cellStyle name="Heading 1 971" xfId="9437" xr:uid="{00000000-0005-0000-0000-000073240000}"/>
    <cellStyle name="Heading 1 972" xfId="9438" xr:uid="{00000000-0005-0000-0000-000074240000}"/>
    <cellStyle name="Heading 1 973" xfId="9439" xr:uid="{00000000-0005-0000-0000-000075240000}"/>
    <cellStyle name="Heading 1 974" xfId="9440" xr:uid="{00000000-0005-0000-0000-000076240000}"/>
    <cellStyle name="Heading 1 975" xfId="9441" xr:uid="{00000000-0005-0000-0000-000077240000}"/>
    <cellStyle name="Heading 1 976" xfId="9442" xr:uid="{00000000-0005-0000-0000-000078240000}"/>
    <cellStyle name="Heading 1 977" xfId="9443" xr:uid="{00000000-0005-0000-0000-000079240000}"/>
    <cellStyle name="Heading 1 978" xfId="9444" xr:uid="{00000000-0005-0000-0000-00007A240000}"/>
    <cellStyle name="Heading 1 979" xfId="9445" xr:uid="{00000000-0005-0000-0000-00007B240000}"/>
    <cellStyle name="Heading 1 98" xfId="9446" xr:uid="{00000000-0005-0000-0000-00007C240000}"/>
    <cellStyle name="Heading 1 980" xfId="9447" xr:uid="{00000000-0005-0000-0000-00007D240000}"/>
    <cellStyle name="Heading 1 981" xfId="9448" xr:uid="{00000000-0005-0000-0000-00007E240000}"/>
    <cellStyle name="Heading 1 982" xfId="9449" xr:uid="{00000000-0005-0000-0000-00007F240000}"/>
    <cellStyle name="Heading 1 983" xfId="9450" xr:uid="{00000000-0005-0000-0000-000080240000}"/>
    <cellStyle name="Heading 1 984" xfId="9451" xr:uid="{00000000-0005-0000-0000-000081240000}"/>
    <cellStyle name="Heading 1 985" xfId="9452" xr:uid="{00000000-0005-0000-0000-000082240000}"/>
    <cellStyle name="Heading 1 986" xfId="9453" xr:uid="{00000000-0005-0000-0000-000083240000}"/>
    <cellStyle name="Heading 1 987" xfId="9454" xr:uid="{00000000-0005-0000-0000-000084240000}"/>
    <cellStyle name="Heading 1 988" xfId="9455" xr:uid="{00000000-0005-0000-0000-000085240000}"/>
    <cellStyle name="Heading 1 989" xfId="9456" xr:uid="{00000000-0005-0000-0000-000086240000}"/>
    <cellStyle name="Heading 1 99" xfId="9457" xr:uid="{00000000-0005-0000-0000-000087240000}"/>
    <cellStyle name="Heading 1 990" xfId="9458" xr:uid="{00000000-0005-0000-0000-000088240000}"/>
    <cellStyle name="Heading 1 991" xfId="9459" xr:uid="{00000000-0005-0000-0000-000089240000}"/>
    <cellStyle name="Heading 1 992" xfId="9460" xr:uid="{00000000-0005-0000-0000-00008A240000}"/>
    <cellStyle name="Heading 1 993" xfId="9461" xr:uid="{00000000-0005-0000-0000-00008B240000}"/>
    <cellStyle name="Heading 1 994" xfId="9462" xr:uid="{00000000-0005-0000-0000-00008C240000}"/>
    <cellStyle name="Heading 1 995" xfId="9463" xr:uid="{00000000-0005-0000-0000-00008D240000}"/>
    <cellStyle name="Heading 1 996" xfId="9464" xr:uid="{00000000-0005-0000-0000-00008E240000}"/>
    <cellStyle name="Heading 1 997" xfId="9465" xr:uid="{00000000-0005-0000-0000-00008F240000}"/>
    <cellStyle name="Heading 1 998" xfId="9466" xr:uid="{00000000-0005-0000-0000-000090240000}"/>
    <cellStyle name="Heading 1 999" xfId="9467" xr:uid="{00000000-0005-0000-0000-000091240000}"/>
    <cellStyle name="Heading 1_Annual_Disclosure_Solo" xfId="9468" xr:uid="{00000000-0005-0000-0000-000092240000}"/>
    <cellStyle name="Heading 2" xfId="113" xr:uid="{00000000-0005-0000-0000-000093240000}"/>
    <cellStyle name="Heading 2 10" xfId="9469" xr:uid="{00000000-0005-0000-0000-000094240000}"/>
    <cellStyle name="Heading 2 100" xfId="9470" xr:uid="{00000000-0005-0000-0000-000095240000}"/>
    <cellStyle name="Heading 2 1000" xfId="9471" xr:uid="{00000000-0005-0000-0000-000096240000}"/>
    <cellStyle name="Heading 2 1001" xfId="9472" xr:uid="{00000000-0005-0000-0000-000097240000}"/>
    <cellStyle name="Heading 2 1002" xfId="9473" xr:uid="{00000000-0005-0000-0000-000098240000}"/>
    <cellStyle name="Heading 2 1003" xfId="9474" xr:uid="{00000000-0005-0000-0000-000099240000}"/>
    <cellStyle name="Heading 2 1004" xfId="9475" xr:uid="{00000000-0005-0000-0000-00009A240000}"/>
    <cellStyle name="Heading 2 1005" xfId="9476" xr:uid="{00000000-0005-0000-0000-00009B240000}"/>
    <cellStyle name="Heading 2 1006" xfId="9477" xr:uid="{00000000-0005-0000-0000-00009C240000}"/>
    <cellStyle name="Heading 2 1007" xfId="9478" xr:uid="{00000000-0005-0000-0000-00009D240000}"/>
    <cellStyle name="Heading 2 1008" xfId="9479" xr:uid="{00000000-0005-0000-0000-00009E240000}"/>
    <cellStyle name="Heading 2 1009" xfId="9480" xr:uid="{00000000-0005-0000-0000-00009F240000}"/>
    <cellStyle name="Heading 2 101" xfId="9481" xr:uid="{00000000-0005-0000-0000-0000A0240000}"/>
    <cellStyle name="Heading 2 1010" xfId="9482" xr:uid="{00000000-0005-0000-0000-0000A1240000}"/>
    <cellStyle name="Heading 2 1011" xfId="9483" xr:uid="{00000000-0005-0000-0000-0000A2240000}"/>
    <cellStyle name="Heading 2 1012" xfId="9484" xr:uid="{00000000-0005-0000-0000-0000A3240000}"/>
    <cellStyle name="Heading 2 1013" xfId="9485" xr:uid="{00000000-0005-0000-0000-0000A4240000}"/>
    <cellStyle name="Heading 2 1014" xfId="9486" xr:uid="{00000000-0005-0000-0000-0000A5240000}"/>
    <cellStyle name="Heading 2 1015" xfId="9487" xr:uid="{00000000-0005-0000-0000-0000A6240000}"/>
    <cellStyle name="Heading 2 1016" xfId="9488" xr:uid="{00000000-0005-0000-0000-0000A7240000}"/>
    <cellStyle name="Heading 2 1017" xfId="9489" xr:uid="{00000000-0005-0000-0000-0000A8240000}"/>
    <cellStyle name="Heading 2 1018" xfId="9490" xr:uid="{00000000-0005-0000-0000-0000A9240000}"/>
    <cellStyle name="Heading 2 1019" xfId="9491" xr:uid="{00000000-0005-0000-0000-0000AA240000}"/>
    <cellStyle name="Heading 2 102" xfId="9492" xr:uid="{00000000-0005-0000-0000-0000AB240000}"/>
    <cellStyle name="Heading 2 1020" xfId="9493" xr:uid="{00000000-0005-0000-0000-0000AC240000}"/>
    <cellStyle name="Heading 2 1021" xfId="9494" xr:uid="{00000000-0005-0000-0000-0000AD240000}"/>
    <cellStyle name="Heading 2 1022" xfId="9495" xr:uid="{00000000-0005-0000-0000-0000AE240000}"/>
    <cellStyle name="Heading 2 1023" xfId="9496" xr:uid="{00000000-0005-0000-0000-0000AF240000}"/>
    <cellStyle name="Heading 2 1024" xfId="9497" xr:uid="{00000000-0005-0000-0000-0000B0240000}"/>
    <cellStyle name="Heading 2 1025" xfId="9498" xr:uid="{00000000-0005-0000-0000-0000B1240000}"/>
    <cellStyle name="Heading 2 1026" xfId="9499" xr:uid="{00000000-0005-0000-0000-0000B2240000}"/>
    <cellStyle name="Heading 2 1027" xfId="9500" xr:uid="{00000000-0005-0000-0000-0000B3240000}"/>
    <cellStyle name="Heading 2 1028" xfId="9501" xr:uid="{00000000-0005-0000-0000-0000B4240000}"/>
    <cellStyle name="Heading 2 1029" xfId="9502" xr:uid="{00000000-0005-0000-0000-0000B5240000}"/>
    <cellStyle name="Heading 2 103" xfId="9503" xr:uid="{00000000-0005-0000-0000-0000B6240000}"/>
    <cellStyle name="Heading 2 1030" xfId="9504" xr:uid="{00000000-0005-0000-0000-0000B7240000}"/>
    <cellStyle name="Heading 2 1031" xfId="9505" xr:uid="{00000000-0005-0000-0000-0000B8240000}"/>
    <cellStyle name="Heading 2 1032" xfId="9506" xr:uid="{00000000-0005-0000-0000-0000B9240000}"/>
    <cellStyle name="Heading 2 1033" xfId="9507" xr:uid="{00000000-0005-0000-0000-0000BA240000}"/>
    <cellStyle name="Heading 2 1034" xfId="9508" xr:uid="{00000000-0005-0000-0000-0000BB240000}"/>
    <cellStyle name="Heading 2 1035" xfId="9509" xr:uid="{00000000-0005-0000-0000-0000BC240000}"/>
    <cellStyle name="Heading 2 1036" xfId="9510" xr:uid="{00000000-0005-0000-0000-0000BD240000}"/>
    <cellStyle name="Heading 2 1037" xfId="9511" xr:uid="{00000000-0005-0000-0000-0000BE240000}"/>
    <cellStyle name="Heading 2 1038" xfId="9512" xr:uid="{00000000-0005-0000-0000-0000BF240000}"/>
    <cellStyle name="Heading 2 1039" xfId="9513" xr:uid="{00000000-0005-0000-0000-0000C0240000}"/>
    <cellStyle name="Heading 2 104" xfId="9514" xr:uid="{00000000-0005-0000-0000-0000C1240000}"/>
    <cellStyle name="Heading 2 1040" xfId="9515" xr:uid="{00000000-0005-0000-0000-0000C2240000}"/>
    <cellStyle name="Heading 2 1041" xfId="9516" xr:uid="{00000000-0005-0000-0000-0000C3240000}"/>
    <cellStyle name="Heading 2 1042" xfId="9517" xr:uid="{00000000-0005-0000-0000-0000C4240000}"/>
    <cellStyle name="Heading 2 1043" xfId="9518" xr:uid="{00000000-0005-0000-0000-0000C5240000}"/>
    <cellStyle name="Heading 2 1044" xfId="9519" xr:uid="{00000000-0005-0000-0000-0000C6240000}"/>
    <cellStyle name="Heading 2 1045" xfId="9520" xr:uid="{00000000-0005-0000-0000-0000C7240000}"/>
    <cellStyle name="Heading 2 1046" xfId="9521" xr:uid="{00000000-0005-0000-0000-0000C8240000}"/>
    <cellStyle name="Heading 2 1047" xfId="9522" xr:uid="{00000000-0005-0000-0000-0000C9240000}"/>
    <cellStyle name="Heading 2 1048" xfId="9523" xr:uid="{00000000-0005-0000-0000-0000CA240000}"/>
    <cellStyle name="Heading 2 1049" xfId="9524" xr:uid="{00000000-0005-0000-0000-0000CB240000}"/>
    <cellStyle name="Heading 2 105" xfId="9525" xr:uid="{00000000-0005-0000-0000-0000CC240000}"/>
    <cellStyle name="Heading 2 1050" xfId="9526" xr:uid="{00000000-0005-0000-0000-0000CD240000}"/>
    <cellStyle name="Heading 2 1051" xfId="9527" xr:uid="{00000000-0005-0000-0000-0000CE240000}"/>
    <cellStyle name="Heading 2 1052" xfId="9528" xr:uid="{00000000-0005-0000-0000-0000CF240000}"/>
    <cellStyle name="Heading 2 1053" xfId="9529" xr:uid="{00000000-0005-0000-0000-0000D0240000}"/>
    <cellStyle name="Heading 2 1054" xfId="9530" xr:uid="{00000000-0005-0000-0000-0000D1240000}"/>
    <cellStyle name="Heading 2 1055" xfId="9531" xr:uid="{00000000-0005-0000-0000-0000D2240000}"/>
    <cellStyle name="Heading 2 1056" xfId="9532" xr:uid="{00000000-0005-0000-0000-0000D3240000}"/>
    <cellStyle name="Heading 2 1057" xfId="9533" xr:uid="{00000000-0005-0000-0000-0000D4240000}"/>
    <cellStyle name="Heading 2 1058" xfId="9534" xr:uid="{00000000-0005-0000-0000-0000D5240000}"/>
    <cellStyle name="Heading 2 1059" xfId="9535" xr:uid="{00000000-0005-0000-0000-0000D6240000}"/>
    <cellStyle name="Heading 2 106" xfId="9536" xr:uid="{00000000-0005-0000-0000-0000D7240000}"/>
    <cellStyle name="Heading 2 1060" xfId="9537" xr:uid="{00000000-0005-0000-0000-0000D8240000}"/>
    <cellStyle name="Heading 2 1061" xfId="9538" xr:uid="{00000000-0005-0000-0000-0000D9240000}"/>
    <cellStyle name="Heading 2 1062" xfId="9539" xr:uid="{00000000-0005-0000-0000-0000DA240000}"/>
    <cellStyle name="Heading 2 1063" xfId="9540" xr:uid="{00000000-0005-0000-0000-0000DB240000}"/>
    <cellStyle name="Heading 2 1064" xfId="9541" xr:uid="{00000000-0005-0000-0000-0000DC240000}"/>
    <cellStyle name="Heading 2 1065" xfId="9542" xr:uid="{00000000-0005-0000-0000-0000DD240000}"/>
    <cellStyle name="Heading 2 1066" xfId="9543" xr:uid="{00000000-0005-0000-0000-0000DE240000}"/>
    <cellStyle name="Heading 2 1067" xfId="9544" xr:uid="{00000000-0005-0000-0000-0000DF240000}"/>
    <cellStyle name="Heading 2 1068" xfId="9545" xr:uid="{00000000-0005-0000-0000-0000E0240000}"/>
    <cellStyle name="Heading 2 1069" xfId="9546" xr:uid="{00000000-0005-0000-0000-0000E1240000}"/>
    <cellStyle name="Heading 2 107" xfId="9547" xr:uid="{00000000-0005-0000-0000-0000E2240000}"/>
    <cellStyle name="Heading 2 1070" xfId="9548" xr:uid="{00000000-0005-0000-0000-0000E3240000}"/>
    <cellStyle name="Heading 2 1071" xfId="9549" xr:uid="{00000000-0005-0000-0000-0000E4240000}"/>
    <cellStyle name="Heading 2 1072" xfId="9550" xr:uid="{00000000-0005-0000-0000-0000E5240000}"/>
    <cellStyle name="Heading 2 1073" xfId="9551" xr:uid="{00000000-0005-0000-0000-0000E6240000}"/>
    <cellStyle name="Heading 2 1074" xfId="9552" xr:uid="{00000000-0005-0000-0000-0000E7240000}"/>
    <cellStyle name="Heading 2 1075" xfId="9553" xr:uid="{00000000-0005-0000-0000-0000E8240000}"/>
    <cellStyle name="Heading 2 1076" xfId="9554" xr:uid="{00000000-0005-0000-0000-0000E9240000}"/>
    <cellStyle name="Heading 2 1077" xfId="9555" xr:uid="{00000000-0005-0000-0000-0000EA240000}"/>
    <cellStyle name="Heading 2 1078" xfId="9556" xr:uid="{00000000-0005-0000-0000-0000EB240000}"/>
    <cellStyle name="Heading 2 1079" xfId="9557" xr:uid="{00000000-0005-0000-0000-0000EC240000}"/>
    <cellStyle name="Heading 2 108" xfId="9558" xr:uid="{00000000-0005-0000-0000-0000ED240000}"/>
    <cellStyle name="Heading 2 1080" xfId="9559" xr:uid="{00000000-0005-0000-0000-0000EE240000}"/>
    <cellStyle name="Heading 2 1081" xfId="9560" xr:uid="{00000000-0005-0000-0000-0000EF240000}"/>
    <cellStyle name="Heading 2 1082" xfId="9561" xr:uid="{00000000-0005-0000-0000-0000F0240000}"/>
    <cellStyle name="Heading 2 1083" xfId="9562" xr:uid="{00000000-0005-0000-0000-0000F1240000}"/>
    <cellStyle name="Heading 2 1084" xfId="9563" xr:uid="{00000000-0005-0000-0000-0000F2240000}"/>
    <cellStyle name="Heading 2 1085" xfId="9564" xr:uid="{00000000-0005-0000-0000-0000F3240000}"/>
    <cellStyle name="Heading 2 1086" xfId="9565" xr:uid="{00000000-0005-0000-0000-0000F4240000}"/>
    <cellStyle name="Heading 2 1087" xfId="9566" xr:uid="{00000000-0005-0000-0000-0000F5240000}"/>
    <cellStyle name="Heading 2 1088" xfId="9567" xr:uid="{00000000-0005-0000-0000-0000F6240000}"/>
    <cellStyle name="Heading 2 1089" xfId="9568" xr:uid="{00000000-0005-0000-0000-0000F7240000}"/>
    <cellStyle name="Heading 2 109" xfId="9569" xr:uid="{00000000-0005-0000-0000-0000F8240000}"/>
    <cellStyle name="Heading 2 1090" xfId="9570" xr:uid="{00000000-0005-0000-0000-0000F9240000}"/>
    <cellStyle name="Heading 2 1091" xfId="9571" xr:uid="{00000000-0005-0000-0000-0000FA240000}"/>
    <cellStyle name="Heading 2 1092" xfId="9572" xr:uid="{00000000-0005-0000-0000-0000FB240000}"/>
    <cellStyle name="Heading 2 1093" xfId="9573" xr:uid="{00000000-0005-0000-0000-0000FC240000}"/>
    <cellStyle name="Heading 2 1094" xfId="9574" xr:uid="{00000000-0005-0000-0000-0000FD240000}"/>
    <cellStyle name="Heading 2 1095" xfId="9575" xr:uid="{00000000-0005-0000-0000-0000FE240000}"/>
    <cellStyle name="Heading 2 1096" xfId="9576" xr:uid="{00000000-0005-0000-0000-0000FF240000}"/>
    <cellStyle name="Heading 2 1097" xfId="9577" xr:uid="{00000000-0005-0000-0000-000000250000}"/>
    <cellStyle name="Heading 2 1098" xfId="9578" xr:uid="{00000000-0005-0000-0000-000001250000}"/>
    <cellStyle name="Heading 2 1099" xfId="9579" xr:uid="{00000000-0005-0000-0000-000002250000}"/>
    <cellStyle name="Heading 2 11" xfId="9580" xr:uid="{00000000-0005-0000-0000-000003250000}"/>
    <cellStyle name="Heading 2 110" xfId="9581" xr:uid="{00000000-0005-0000-0000-000004250000}"/>
    <cellStyle name="Heading 2 1100" xfId="9582" xr:uid="{00000000-0005-0000-0000-000005250000}"/>
    <cellStyle name="Heading 2 1101" xfId="9583" xr:uid="{00000000-0005-0000-0000-000006250000}"/>
    <cellStyle name="Heading 2 1102" xfId="9584" xr:uid="{00000000-0005-0000-0000-000007250000}"/>
    <cellStyle name="Heading 2 1103" xfId="9585" xr:uid="{00000000-0005-0000-0000-000008250000}"/>
    <cellStyle name="Heading 2 1104" xfId="9586" xr:uid="{00000000-0005-0000-0000-000009250000}"/>
    <cellStyle name="Heading 2 1105" xfId="9587" xr:uid="{00000000-0005-0000-0000-00000A250000}"/>
    <cellStyle name="Heading 2 1106" xfId="9588" xr:uid="{00000000-0005-0000-0000-00000B250000}"/>
    <cellStyle name="Heading 2 1107" xfId="9589" xr:uid="{00000000-0005-0000-0000-00000C250000}"/>
    <cellStyle name="Heading 2 1108" xfId="9590" xr:uid="{00000000-0005-0000-0000-00000D250000}"/>
    <cellStyle name="Heading 2 1109" xfId="9591" xr:uid="{00000000-0005-0000-0000-00000E250000}"/>
    <cellStyle name="Heading 2 111" xfId="9592" xr:uid="{00000000-0005-0000-0000-00000F250000}"/>
    <cellStyle name="Heading 2 1110" xfId="9593" xr:uid="{00000000-0005-0000-0000-000010250000}"/>
    <cellStyle name="Heading 2 1111" xfId="9594" xr:uid="{00000000-0005-0000-0000-000011250000}"/>
    <cellStyle name="Heading 2 1112" xfId="9595" xr:uid="{00000000-0005-0000-0000-000012250000}"/>
    <cellStyle name="Heading 2 1113" xfId="9596" xr:uid="{00000000-0005-0000-0000-000013250000}"/>
    <cellStyle name="Heading 2 1114" xfId="9597" xr:uid="{00000000-0005-0000-0000-000014250000}"/>
    <cellStyle name="Heading 2 1115" xfId="9598" xr:uid="{00000000-0005-0000-0000-000015250000}"/>
    <cellStyle name="Heading 2 1116" xfId="9599" xr:uid="{00000000-0005-0000-0000-000016250000}"/>
    <cellStyle name="Heading 2 1117" xfId="9600" xr:uid="{00000000-0005-0000-0000-000017250000}"/>
    <cellStyle name="Heading 2 1118" xfId="9601" xr:uid="{00000000-0005-0000-0000-000018250000}"/>
    <cellStyle name="Heading 2 1119" xfId="9602" xr:uid="{00000000-0005-0000-0000-000019250000}"/>
    <cellStyle name="Heading 2 112" xfId="9603" xr:uid="{00000000-0005-0000-0000-00001A250000}"/>
    <cellStyle name="Heading 2 1120" xfId="9604" xr:uid="{00000000-0005-0000-0000-00001B250000}"/>
    <cellStyle name="Heading 2 1121" xfId="9605" xr:uid="{00000000-0005-0000-0000-00001C250000}"/>
    <cellStyle name="Heading 2 1122" xfId="9606" xr:uid="{00000000-0005-0000-0000-00001D250000}"/>
    <cellStyle name="Heading 2 1123" xfId="9607" xr:uid="{00000000-0005-0000-0000-00001E250000}"/>
    <cellStyle name="Heading 2 1124" xfId="9608" xr:uid="{00000000-0005-0000-0000-00001F250000}"/>
    <cellStyle name="Heading 2 1125" xfId="9609" xr:uid="{00000000-0005-0000-0000-000020250000}"/>
    <cellStyle name="Heading 2 1126" xfId="9610" xr:uid="{00000000-0005-0000-0000-000021250000}"/>
    <cellStyle name="Heading 2 1127" xfId="9611" xr:uid="{00000000-0005-0000-0000-000022250000}"/>
    <cellStyle name="Heading 2 1128" xfId="9612" xr:uid="{00000000-0005-0000-0000-000023250000}"/>
    <cellStyle name="Heading 2 1129" xfId="9613" xr:uid="{00000000-0005-0000-0000-000024250000}"/>
    <cellStyle name="Heading 2 113" xfId="9614" xr:uid="{00000000-0005-0000-0000-000025250000}"/>
    <cellStyle name="Heading 2 1130" xfId="9615" xr:uid="{00000000-0005-0000-0000-000026250000}"/>
    <cellStyle name="Heading 2 1131" xfId="9616" xr:uid="{00000000-0005-0000-0000-000027250000}"/>
    <cellStyle name="Heading 2 1132" xfId="9617" xr:uid="{00000000-0005-0000-0000-000028250000}"/>
    <cellStyle name="Heading 2 1133" xfId="9618" xr:uid="{00000000-0005-0000-0000-000029250000}"/>
    <cellStyle name="Heading 2 1134" xfId="9619" xr:uid="{00000000-0005-0000-0000-00002A250000}"/>
    <cellStyle name="Heading 2 1135" xfId="9620" xr:uid="{00000000-0005-0000-0000-00002B250000}"/>
    <cellStyle name="Heading 2 1136" xfId="9621" xr:uid="{00000000-0005-0000-0000-00002C250000}"/>
    <cellStyle name="Heading 2 1137" xfId="9622" xr:uid="{00000000-0005-0000-0000-00002D250000}"/>
    <cellStyle name="Heading 2 1138" xfId="9623" xr:uid="{00000000-0005-0000-0000-00002E250000}"/>
    <cellStyle name="Heading 2 1139" xfId="9624" xr:uid="{00000000-0005-0000-0000-00002F250000}"/>
    <cellStyle name="Heading 2 114" xfId="9625" xr:uid="{00000000-0005-0000-0000-000030250000}"/>
    <cellStyle name="Heading 2 1140" xfId="9626" xr:uid="{00000000-0005-0000-0000-000031250000}"/>
    <cellStyle name="Heading 2 1141" xfId="9627" xr:uid="{00000000-0005-0000-0000-000032250000}"/>
    <cellStyle name="Heading 2 1142" xfId="9628" xr:uid="{00000000-0005-0000-0000-000033250000}"/>
    <cellStyle name="Heading 2 1143" xfId="9629" xr:uid="{00000000-0005-0000-0000-000034250000}"/>
    <cellStyle name="Heading 2 1144" xfId="9630" xr:uid="{00000000-0005-0000-0000-000035250000}"/>
    <cellStyle name="Heading 2 1145" xfId="9631" xr:uid="{00000000-0005-0000-0000-000036250000}"/>
    <cellStyle name="Heading 2 1146" xfId="9632" xr:uid="{00000000-0005-0000-0000-000037250000}"/>
    <cellStyle name="Heading 2 1147" xfId="9633" xr:uid="{00000000-0005-0000-0000-000038250000}"/>
    <cellStyle name="Heading 2 1148" xfId="9634" xr:uid="{00000000-0005-0000-0000-000039250000}"/>
    <cellStyle name="Heading 2 1149" xfId="9635" xr:uid="{00000000-0005-0000-0000-00003A250000}"/>
    <cellStyle name="Heading 2 115" xfId="9636" xr:uid="{00000000-0005-0000-0000-00003B250000}"/>
    <cellStyle name="Heading 2 1150" xfId="9637" xr:uid="{00000000-0005-0000-0000-00003C250000}"/>
    <cellStyle name="Heading 2 1151" xfId="9638" xr:uid="{00000000-0005-0000-0000-00003D250000}"/>
    <cellStyle name="Heading 2 1152" xfId="9639" xr:uid="{00000000-0005-0000-0000-00003E250000}"/>
    <cellStyle name="Heading 2 1153" xfId="9640" xr:uid="{00000000-0005-0000-0000-00003F250000}"/>
    <cellStyle name="Heading 2 1154" xfId="9641" xr:uid="{00000000-0005-0000-0000-000040250000}"/>
    <cellStyle name="Heading 2 1155" xfId="9642" xr:uid="{00000000-0005-0000-0000-000041250000}"/>
    <cellStyle name="Heading 2 1156" xfId="9643" xr:uid="{00000000-0005-0000-0000-000042250000}"/>
    <cellStyle name="Heading 2 1157" xfId="9644" xr:uid="{00000000-0005-0000-0000-000043250000}"/>
    <cellStyle name="Heading 2 1158" xfId="9645" xr:uid="{00000000-0005-0000-0000-000044250000}"/>
    <cellStyle name="Heading 2 1159" xfId="9646" xr:uid="{00000000-0005-0000-0000-000045250000}"/>
    <cellStyle name="Heading 2 116" xfId="9647" xr:uid="{00000000-0005-0000-0000-000046250000}"/>
    <cellStyle name="Heading 2 1160" xfId="9648" xr:uid="{00000000-0005-0000-0000-000047250000}"/>
    <cellStyle name="Heading 2 1161" xfId="9649" xr:uid="{00000000-0005-0000-0000-000048250000}"/>
    <cellStyle name="Heading 2 1162" xfId="9650" xr:uid="{00000000-0005-0000-0000-000049250000}"/>
    <cellStyle name="Heading 2 117" xfId="9651" xr:uid="{00000000-0005-0000-0000-00004A250000}"/>
    <cellStyle name="Heading 2 118" xfId="9652" xr:uid="{00000000-0005-0000-0000-00004B250000}"/>
    <cellStyle name="Heading 2 119" xfId="9653" xr:uid="{00000000-0005-0000-0000-00004C250000}"/>
    <cellStyle name="Heading 2 12" xfId="9654" xr:uid="{00000000-0005-0000-0000-00004D250000}"/>
    <cellStyle name="Heading 2 120" xfId="9655" xr:uid="{00000000-0005-0000-0000-00004E250000}"/>
    <cellStyle name="Heading 2 121" xfId="9656" xr:uid="{00000000-0005-0000-0000-00004F250000}"/>
    <cellStyle name="Heading 2 122" xfId="9657" xr:uid="{00000000-0005-0000-0000-000050250000}"/>
    <cellStyle name="Heading 2 123" xfId="9658" xr:uid="{00000000-0005-0000-0000-000051250000}"/>
    <cellStyle name="Heading 2 124" xfId="9659" xr:uid="{00000000-0005-0000-0000-000052250000}"/>
    <cellStyle name="Heading 2 125" xfId="9660" xr:uid="{00000000-0005-0000-0000-000053250000}"/>
    <cellStyle name="Heading 2 126" xfId="9661" xr:uid="{00000000-0005-0000-0000-000054250000}"/>
    <cellStyle name="Heading 2 127" xfId="9662" xr:uid="{00000000-0005-0000-0000-000055250000}"/>
    <cellStyle name="Heading 2 128" xfId="9663" xr:uid="{00000000-0005-0000-0000-000056250000}"/>
    <cellStyle name="Heading 2 129" xfId="9664" xr:uid="{00000000-0005-0000-0000-000057250000}"/>
    <cellStyle name="Heading 2 13" xfId="9665" xr:uid="{00000000-0005-0000-0000-000058250000}"/>
    <cellStyle name="Heading 2 130" xfId="9666" xr:uid="{00000000-0005-0000-0000-000059250000}"/>
    <cellStyle name="Heading 2 131" xfId="9667" xr:uid="{00000000-0005-0000-0000-00005A250000}"/>
    <cellStyle name="Heading 2 132" xfId="9668" xr:uid="{00000000-0005-0000-0000-00005B250000}"/>
    <cellStyle name="Heading 2 133" xfId="9669" xr:uid="{00000000-0005-0000-0000-00005C250000}"/>
    <cellStyle name="Heading 2 134" xfId="9670" xr:uid="{00000000-0005-0000-0000-00005D250000}"/>
    <cellStyle name="Heading 2 135" xfId="9671" xr:uid="{00000000-0005-0000-0000-00005E250000}"/>
    <cellStyle name="Heading 2 136" xfId="9672" xr:uid="{00000000-0005-0000-0000-00005F250000}"/>
    <cellStyle name="Heading 2 137" xfId="9673" xr:uid="{00000000-0005-0000-0000-000060250000}"/>
    <cellStyle name="Heading 2 138" xfId="9674" xr:uid="{00000000-0005-0000-0000-000061250000}"/>
    <cellStyle name="Heading 2 139" xfId="9675" xr:uid="{00000000-0005-0000-0000-000062250000}"/>
    <cellStyle name="Heading 2 14" xfId="9676" xr:uid="{00000000-0005-0000-0000-000063250000}"/>
    <cellStyle name="Heading 2 140" xfId="9677" xr:uid="{00000000-0005-0000-0000-000064250000}"/>
    <cellStyle name="Heading 2 141" xfId="9678" xr:uid="{00000000-0005-0000-0000-000065250000}"/>
    <cellStyle name="Heading 2 142" xfId="9679" xr:uid="{00000000-0005-0000-0000-000066250000}"/>
    <cellStyle name="Heading 2 143" xfId="9680" xr:uid="{00000000-0005-0000-0000-000067250000}"/>
    <cellStyle name="Heading 2 144" xfId="9681" xr:uid="{00000000-0005-0000-0000-000068250000}"/>
    <cellStyle name="Heading 2 145" xfId="9682" xr:uid="{00000000-0005-0000-0000-000069250000}"/>
    <cellStyle name="Heading 2 146" xfId="9683" xr:uid="{00000000-0005-0000-0000-00006A250000}"/>
    <cellStyle name="Heading 2 147" xfId="9684" xr:uid="{00000000-0005-0000-0000-00006B250000}"/>
    <cellStyle name="Heading 2 148" xfId="9685" xr:uid="{00000000-0005-0000-0000-00006C250000}"/>
    <cellStyle name="Heading 2 149" xfId="9686" xr:uid="{00000000-0005-0000-0000-00006D250000}"/>
    <cellStyle name="Heading 2 15" xfId="9687" xr:uid="{00000000-0005-0000-0000-00006E250000}"/>
    <cellStyle name="Heading 2 150" xfId="9688" xr:uid="{00000000-0005-0000-0000-00006F250000}"/>
    <cellStyle name="Heading 2 151" xfId="9689" xr:uid="{00000000-0005-0000-0000-000070250000}"/>
    <cellStyle name="Heading 2 152" xfId="9690" xr:uid="{00000000-0005-0000-0000-000071250000}"/>
    <cellStyle name="Heading 2 153" xfId="9691" xr:uid="{00000000-0005-0000-0000-000072250000}"/>
    <cellStyle name="Heading 2 154" xfId="9692" xr:uid="{00000000-0005-0000-0000-000073250000}"/>
    <cellStyle name="Heading 2 155" xfId="9693" xr:uid="{00000000-0005-0000-0000-000074250000}"/>
    <cellStyle name="Heading 2 156" xfId="9694" xr:uid="{00000000-0005-0000-0000-000075250000}"/>
    <cellStyle name="Heading 2 157" xfId="9695" xr:uid="{00000000-0005-0000-0000-000076250000}"/>
    <cellStyle name="Heading 2 158" xfId="9696" xr:uid="{00000000-0005-0000-0000-000077250000}"/>
    <cellStyle name="Heading 2 159" xfId="9697" xr:uid="{00000000-0005-0000-0000-000078250000}"/>
    <cellStyle name="Heading 2 16" xfId="9698" xr:uid="{00000000-0005-0000-0000-000079250000}"/>
    <cellStyle name="Heading 2 160" xfId="9699" xr:uid="{00000000-0005-0000-0000-00007A250000}"/>
    <cellStyle name="Heading 2 161" xfId="9700" xr:uid="{00000000-0005-0000-0000-00007B250000}"/>
    <cellStyle name="Heading 2 162" xfId="9701" xr:uid="{00000000-0005-0000-0000-00007C250000}"/>
    <cellStyle name="Heading 2 163" xfId="9702" xr:uid="{00000000-0005-0000-0000-00007D250000}"/>
    <cellStyle name="Heading 2 164" xfId="9703" xr:uid="{00000000-0005-0000-0000-00007E250000}"/>
    <cellStyle name="Heading 2 165" xfId="9704" xr:uid="{00000000-0005-0000-0000-00007F250000}"/>
    <cellStyle name="Heading 2 166" xfId="9705" xr:uid="{00000000-0005-0000-0000-000080250000}"/>
    <cellStyle name="Heading 2 167" xfId="9706" xr:uid="{00000000-0005-0000-0000-000081250000}"/>
    <cellStyle name="Heading 2 168" xfId="9707" xr:uid="{00000000-0005-0000-0000-000082250000}"/>
    <cellStyle name="Heading 2 169" xfId="9708" xr:uid="{00000000-0005-0000-0000-000083250000}"/>
    <cellStyle name="Heading 2 17" xfId="9709" xr:uid="{00000000-0005-0000-0000-000084250000}"/>
    <cellStyle name="Heading 2 170" xfId="9710" xr:uid="{00000000-0005-0000-0000-000085250000}"/>
    <cellStyle name="Heading 2 171" xfId="9711" xr:uid="{00000000-0005-0000-0000-000086250000}"/>
    <cellStyle name="Heading 2 172" xfId="9712" xr:uid="{00000000-0005-0000-0000-000087250000}"/>
    <cellStyle name="Heading 2 173" xfId="9713" xr:uid="{00000000-0005-0000-0000-000088250000}"/>
    <cellStyle name="Heading 2 174" xfId="9714" xr:uid="{00000000-0005-0000-0000-000089250000}"/>
    <cellStyle name="Heading 2 175" xfId="9715" xr:uid="{00000000-0005-0000-0000-00008A250000}"/>
    <cellStyle name="Heading 2 176" xfId="9716" xr:uid="{00000000-0005-0000-0000-00008B250000}"/>
    <cellStyle name="Heading 2 177" xfId="9717" xr:uid="{00000000-0005-0000-0000-00008C250000}"/>
    <cellStyle name="Heading 2 178" xfId="9718" xr:uid="{00000000-0005-0000-0000-00008D250000}"/>
    <cellStyle name="Heading 2 179" xfId="9719" xr:uid="{00000000-0005-0000-0000-00008E250000}"/>
    <cellStyle name="Heading 2 18" xfId="9720" xr:uid="{00000000-0005-0000-0000-00008F250000}"/>
    <cellStyle name="Heading 2 180" xfId="9721" xr:uid="{00000000-0005-0000-0000-000090250000}"/>
    <cellStyle name="Heading 2 181" xfId="9722" xr:uid="{00000000-0005-0000-0000-000091250000}"/>
    <cellStyle name="Heading 2 182" xfId="9723" xr:uid="{00000000-0005-0000-0000-000092250000}"/>
    <cellStyle name="Heading 2 183" xfId="9724" xr:uid="{00000000-0005-0000-0000-000093250000}"/>
    <cellStyle name="Heading 2 184" xfId="9725" xr:uid="{00000000-0005-0000-0000-000094250000}"/>
    <cellStyle name="Heading 2 185" xfId="9726" xr:uid="{00000000-0005-0000-0000-000095250000}"/>
    <cellStyle name="Heading 2 186" xfId="9727" xr:uid="{00000000-0005-0000-0000-000096250000}"/>
    <cellStyle name="Heading 2 187" xfId="9728" xr:uid="{00000000-0005-0000-0000-000097250000}"/>
    <cellStyle name="Heading 2 188" xfId="9729" xr:uid="{00000000-0005-0000-0000-000098250000}"/>
    <cellStyle name="Heading 2 189" xfId="9730" xr:uid="{00000000-0005-0000-0000-000099250000}"/>
    <cellStyle name="Heading 2 19" xfId="9731" xr:uid="{00000000-0005-0000-0000-00009A250000}"/>
    <cellStyle name="Heading 2 190" xfId="9732" xr:uid="{00000000-0005-0000-0000-00009B250000}"/>
    <cellStyle name="Heading 2 191" xfId="9733" xr:uid="{00000000-0005-0000-0000-00009C250000}"/>
    <cellStyle name="Heading 2 192" xfId="9734" xr:uid="{00000000-0005-0000-0000-00009D250000}"/>
    <cellStyle name="Heading 2 193" xfId="9735" xr:uid="{00000000-0005-0000-0000-00009E250000}"/>
    <cellStyle name="Heading 2 194" xfId="9736" xr:uid="{00000000-0005-0000-0000-00009F250000}"/>
    <cellStyle name="Heading 2 195" xfId="9737" xr:uid="{00000000-0005-0000-0000-0000A0250000}"/>
    <cellStyle name="Heading 2 196" xfId="9738" xr:uid="{00000000-0005-0000-0000-0000A1250000}"/>
    <cellStyle name="Heading 2 197" xfId="9739" xr:uid="{00000000-0005-0000-0000-0000A2250000}"/>
    <cellStyle name="Heading 2 198" xfId="9740" xr:uid="{00000000-0005-0000-0000-0000A3250000}"/>
    <cellStyle name="Heading 2 199" xfId="9741" xr:uid="{00000000-0005-0000-0000-0000A4250000}"/>
    <cellStyle name="Heading 2 2" xfId="221" xr:uid="{00000000-0005-0000-0000-0000A5250000}"/>
    <cellStyle name="Heading 2 2 2" xfId="9742" xr:uid="{00000000-0005-0000-0000-0000A6250000}"/>
    <cellStyle name="Heading 2 2 3" xfId="9743" xr:uid="{00000000-0005-0000-0000-0000A7250000}"/>
    <cellStyle name="Heading 2 20" xfId="9744" xr:uid="{00000000-0005-0000-0000-0000A8250000}"/>
    <cellStyle name="Heading 2 200" xfId="9745" xr:uid="{00000000-0005-0000-0000-0000A9250000}"/>
    <cellStyle name="Heading 2 201" xfId="9746" xr:uid="{00000000-0005-0000-0000-0000AA250000}"/>
    <cellStyle name="Heading 2 202" xfId="9747" xr:uid="{00000000-0005-0000-0000-0000AB250000}"/>
    <cellStyle name="Heading 2 203" xfId="9748" xr:uid="{00000000-0005-0000-0000-0000AC250000}"/>
    <cellStyle name="Heading 2 204" xfId="9749" xr:uid="{00000000-0005-0000-0000-0000AD250000}"/>
    <cellStyle name="Heading 2 205" xfId="9750" xr:uid="{00000000-0005-0000-0000-0000AE250000}"/>
    <cellStyle name="Heading 2 206" xfId="9751" xr:uid="{00000000-0005-0000-0000-0000AF250000}"/>
    <cellStyle name="Heading 2 207" xfId="9752" xr:uid="{00000000-0005-0000-0000-0000B0250000}"/>
    <cellStyle name="Heading 2 208" xfId="9753" xr:uid="{00000000-0005-0000-0000-0000B1250000}"/>
    <cellStyle name="Heading 2 209" xfId="9754" xr:uid="{00000000-0005-0000-0000-0000B2250000}"/>
    <cellStyle name="Heading 2 21" xfId="9755" xr:uid="{00000000-0005-0000-0000-0000B3250000}"/>
    <cellStyle name="Heading 2 210" xfId="9756" xr:uid="{00000000-0005-0000-0000-0000B4250000}"/>
    <cellStyle name="Heading 2 211" xfId="9757" xr:uid="{00000000-0005-0000-0000-0000B5250000}"/>
    <cellStyle name="Heading 2 212" xfId="9758" xr:uid="{00000000-0005-0000-0000-0000B6250000}"/>
    <cellStyle name="Heading 2 213" xfId="9759" xr:uid="{00000000-0005-0000-0000-0000B7250000}"/>
    <cellStyle name="Heading 2 214" xfId="9760" xr:uid="{00000000-0005-0000-0000-0000B8250000}"/>
    <cellStyle name="Heading 2 215" xfId="9761" xr:uid="{00000000-0005-0000-0000-0000B9250000}"/>
    <cellStyle name="Heading 2 216" xfId="9762" xr:uid="{00000000-0005-0000-0000-0000BA250000}"/>
    <cellStyle name="Heading 2 217" xfId="9763" xr:uid="{00000000-0005-0000-0000-0000BB250000}"/>
    <cellStyle name="Heading 2 218" xfId="9764" xr:uid="{00000000-0005-0000-0000-0000BC250000}"/>
    <cellStyle name="Heading 2 219" xfId="9765" xr:uid="{00000000-0005-0000-0000-0000BD250000}"/>
    <cellStyle name="Heading 2 22" xfId="9766" xr:uid="{00000000-0005-0000-0000-0000BE250000}"/>
    <cellStyle name="Heading 2 220" xfId="9767" xr:uid="{00000000-0005-0000-0000-0000BF250000}"/>
    <cellStyle name="Heading 2 221" xfId="9768" xr:uid="{00000000-0005-0000-0000-0000C0250000}"/>
    <cellStyle name="Heading 2 222" xfId="9769" xr:uid="{00000000-0005-0000-0000-0000C1250000}"/>
    <cellStyle name="Heading 2 223" xfId="9770" xr:uid="{00000000-0005-0000-0000-0000C2250000}"/>
    <cellStyle name="Heading 2 224" xfId="9771" xr:uid="{00000000-0005-0000-0000-0000C3250000}"/>
    <cellStyle name="Heading 2 225" xfId="9772" xr:uid="{00000000-0005-0000-0000-0000C4250000}"/>
    <cellStyle name="Heading 2 226" xfId="9773" xr:uid="{00000000-0005-0000-0000-0000C5250000}"/>
    <cellStyle name="Heading 2 227" xfId="9774" xr:uid="{00000000-0005-0000-0000-0000C6250000}"/>
    <cellStyle name="Heading 2 228" xfId="9775" xr:uid="{00000000-0005-0000-0000-0000C7250000}"/>
    <cellStyle name="Heading 2 229" xfId="9776" xr:uid="{00000000-0005-0000-0000-0000C8250000}"/>
    <cellStyle name="Heading 2 23" xfId="9777" xr:uid="{00000000-0005-0000-0000-0000C9250000}"/>
    <cellStyle name="Heading 2 230" xfId="9778" xr:uid="{00000000-0005-0000-0000-0000CA250000}"/>
    <cellStyle name="Heading 2 231" xfId="9779" xr:uid="{00000000-0005-0000-0000-0000CB250000}"/>
    <cellStyle name="Heading 2 232" xfId="9780" xr:uid="{00000000-0005-0000-0000-0000CC250000}"/>
    <cellStyle name="Heading 2 233" xfId="9781" xr:uid="{00000000-0005-0000-0000-0000CD250000}"/>
    <cellStyle name="Heading 2 234" xfId="9782" xr:uid="{00000000-0005-0000-0000-0000CE250000}"/>
    <cellStyle name="Heading 2 235" xfId="9783" xr:uid="{00000000-0005-0000-0000-0000CF250000}"/>
    <cellStyle name="Heading 2 236" xfId="9784" xr:uid="{00000000-0005-0000-0000-0000D0250000}"/>
    <cellStyle name="Heading 2 237" xfId="9785" xr:uid="{00000000-0005-0000-0000-0000D1250000}"/>
    <cellStyle name="Heading 2 238" xfId="9786" xr:uid="{00000000-0005-0000-0000-0000D2250000}"/>
    <cellStyle name="Heading 2 239" xfId="9787" xr:uid="{00000000-0005-0000-0000-0000D3250000}"/>
    <cellStyle name="Heading 2 24" xfId="9788" xr:uid="{00000000-0005-0000-0000-0000D4250000}"/>
    <cellStyle name="Heading 2 240" xfId="9789" xr:uid="{00000000-0005-0000-0000-0000D5250000}"/>
    <cellStyle name="Heading 2 241" xfId="9790" xr:uid="{00000000-0005-0000-0000-0000D6250000}"/>
    <cellStyle name="Heading 2 242" xfId="9791" xr:uid="{00000000-0005-0000-0000-0000D7250000}"/>
    <cellStyle name="Heading 2 243" xfId="9792" xr:uid="{00000000-0005-0000-0000-0000D8250000}"/>
    <cellStyle name="Heading 2 244" xfId="9793" xr:uid="{00000000-0005-0000-0000-0000D9250000}"/>
    <cellStyle name="Heading 2 245" xfId="9794" xr:uid="{00000000-0005-0000-0000-0000DA250000}"/>
    <cellStyle name="Heading 2 246" xfId="9795" xr:uid="{00000000-0005-0000-0000-0000DB250000}"/>
    <cellStyle name="Heading 2 247" xfId="9796" xr:uid="{00000000-0005-0000-0000-0000DC250000}"/>
    <cellStyle name="Heading 2 248" xfId="9797" xr:uid="{00000000-0005-0000-0000-0000DD250000}"/>
    <cellStyle name="Heading 2 249" xfId="9798" xr:uid="{00000000-0005-0000-0000-0000DE250000}"/>
    <cellStyle name="Heading 2 25" xfId="9799" xr:uid="{00000000-0005-0000-0000-0000DF250000}"/>
    <cellStyle name="Heading 2 250" xfId="9800" xr:uid="{00000000-0005-0000-0000-0000E0250000}"/>
    <cellStyle name="Heading 2 251" xfId="9801" xr:uid="{00000000-0005-0000-0000-0000E1250000}"/>
    <cellStyle name="Heading 2 252" xfId="9802" xr:uid="{00000000-0005-0000-0000-0000E2250000}"/>
    <cellStyle name="Heading 2 253" xfId="9803" xr:uid="{00000000-0005-0000-0000-0000E3250000}"/>
    <cellStyle name="Heading 2 254" xfId="9804" xr:uid="{00000000-0005-0000-0000-0000E4250000}"/>
    <cellStyle name="Heading 2 255" xfId="9805" xr:uid="{00000000-0005-0000-0000-0000E5250000}"/>
    <cellStyle name="Heading 2 256" xfId="9806" xr:uid="{00000000-0005-0000-0000-0000E6250000}"/>
    <cellStyle name="Heading 2 257" xfId="9807" xr:uid="{00000000-0005-0000-0000-0000E7250000}"/>
    <cellStyle name="Heading 2 258" xfId="9808" xr:uid="{00000000-0005-0000-0000-0000E8250000}"/>
    <cellStyle name="Heading 2 259" xfId="9809" xr:uid="{00000000-0005-0000-0000-0000E9250000}"/>
    <cellStyle name="Heading 2 26" xfId="9810" xr:uid="{00000000-0005-0000-0000-0000EA250000}"/>
    <cellStyle name="Heading 2 260" xfId="9811" xr:uid="{00000000-0005-0000-0000-0000EB250000}"/>
    <cellStyle name="Heading 2 261" xfId="9812" xr:uid="{00000000-0005-0000-0000-0000EC250000}"/>
    <cellStyle name="Heading 2 262" xfId="9813" xr:uid="{00000000-0005-0000-0000-0000ED250000}"/>
    <cellStyle name="Heading 2 263" xfId="9814" xr:uid="{00000000-0005-0000-0000-0000EE250000}"/>
    <cellStyle name="Heading 2 264" xfId="9815" xr:uid="{00000000-0005-0000-0000-0000EF250000}"/>
    <cellStyle name="Heading 2 265" xfId="9816" xr:uid="{00000000-0005-0000-0000-0000F0250000}"/>
    <cellStyle name="Heading 2 266" xfId="9817" xr:uid="{00000000-0005-0000-0000-0000F1250000}"/>
    <cellStyle name="Heading 2 267" xfId="9818" xr:uid="{00000000-0005-0000-0000-0000F2250000}"/>
    <cellStyle name="Heading 2 268" xfId="9819" xr:uid="{00000000-0005-0000-0000-0000F3250000}"/>
    <cellStyle name="Heading 2 269" xfId="9820" xr:uid="{00000000-0005-0000-0000-0000F4250000}"/>
    <cellStyle name="Heading 2 27" xfId="9821" xr:uid="{00000000-0005-0000-0000-0000F5250000}"/>
    <cellStyle name="Heading 2 270" xfId="9822" xr:uid="{00000000-0005-0000-0000-0000F6250000}"/>
    <cellStyle name="Heading 2 271" xfId="9823" xr:uid="{00000000-0005-0000-0000-0000F7250000}"/>
    <cellStyle name="Heading 2 272" xfId="9824" xr:uid="{00000000-0005-0000-0000-0000F8250000}"/>
    <cellStyle name="Heading 2 273" xfId="9825" xr:uid="{00000000-0005-0000-0000-0000F9250000}"/>
    <cellStyle name="Heading 2 274" xfId="9826" xr:uid="{00000000-0005-0000-0000-0000FA250000}"/>
    <cellStyle name="Heading 2 275" xfId="9827" xr:uid="{00000000-0005-0000-0000-0000FB250000}"/>
    <cellStyle name="Heading 2 276" xfId="9828" xr:uid="{00000000-0005-0000-0000-0000FC250000}"/>
    <cellStyle name="Heading 2 277" xfId="9829" xr:uid="{00000000-0005-0000-0000-0000FD250000}"/>
    <cellStyle name="Heading 2 278" xfId="9830" xr:uid="{00000000-0005-0000-0000-0000FE250000}"/>
    <cellStyle name="Heading 2 279" xfId="9831" xr:uid="{00000000-0005-0000-0000-0000FF250000}"/>
    <cellStyle name="Heading 2 28" xfId="9832" xr:uid="{00000000-0005-0000-0000-000000260000}"/>
    <cellStyle name="Heading 2 280" xfId="9833" xr:uid="{00000000-0005-0000-0000-000001260000}"/>
    <cellStyle name="Heading 2 281" xfId="9834" xr:uid="{00000000-0005-0000-0000-000002260000}"/>
    <cellStyle name="Heading 2 282" xfId="9835" xr:uid="{00000000-0005-0000-0000-000003260000}"/>
    <cellStyle name="Heading 2 283" xfId="9836" xr:uid="{00000000-0005-0000-0000-000004260000}"/>
    <cellStyle name="Heading 2 284" xfId="9837" xr:uid="{00000000-0005-0000-0000-000005260000}"/>
    <cellStyle name="Heading 2 285" xfId="9838" xr:uid="{00000000-0005-0000-0000-000006260000}"/>
    <cellStyle name="Heading 2 286" xfId="9839" xr:uid="{00000000-0005-0000-0000-000007260000}"/>
    <cellStyle name="Heading 2 287" xfId="9840" xr:uid="{00000000-0005-0000-0000-000008260000}"/>
    <cellStyle name="Heading 2 288" xfId="9841" xr:uid="{00000000-0005-0000-0000-000009260000}"/>
    <cellStyle name="Heading 2 289" xfId="9842" xr:uid="{00000000-0005-0000-0000-00000A260000}"/>
    <cellStyle name="Heading 2 29" xfId="9843" xr:uid="{00000000-0005-0000-0000-00000B260000}"/>
    <cellStyle name="Heading 2 290" xfId="9844" xr:uid="{00000000-0005-0000-0000-00000C260000}"/>
    <cellStyle name="Heading 2 291" xfId="9845" xr:uid="{00000000-0005-0000-0000-00000D260000}"/>
    <cellStyle name="Heading 2 292" xfId="9846" xr:uid="{00000000-0005-0000-0000-00000E260000}"/>
    <cellStyle name="Heading 2 293" xfId="9847" xr:uid="{00000000-0005-0000-0000-00000F260000}"/>
    <cellStyle name="Heading 2 294" xfId="9848" xr:uid="{00000000-0005-0000-0000-000010260000}"/>
    <cellStyle name="Heading 2 295" xfId="9849" xr:uid="{00000000-0005-0000-0000-000011260000}"/>
    <cellStyle name="Heading 2 296" xfId="9850" xr:uid="{00000000-0005-0000-0000-000012260000}"/>
    <cellStyle name="Heading 2 297" xfId="9851" xr:uid="{00000000-0005-0000-0000-000013260000}"/>
    <cellStyle name="Heading 2 298" xfId="9852" xr:uid="{00000000-0005-0000-0000-000014260000}"/>
    <cellStyle name="Heading 2 299" xfId="9853" xr:uid="{00000000-0005-0000-0000-000015260000}"/>
    <cellStyle name="Heading 2 3" xfId="9854" xr:uid="{00000000-0005-0000-0000-000016260000}"/>
    <cellStyle name="Heading 2 30" xfId="9855" xr:uid="{00000000-0005-0000-0000-000017260000}"/>
    <cellStyle name="Heading 2 300" xfId="9856" xr:uid="{00000000-0005-0000-0000-000018260000}"/>
    <cellStyle name="Heading 2 301" xfId="9857" xr:uid="{00000000-0005-0000-0000-000019260000}"/>
    <cellStyle name="Heading 2 302" xfId="9858" xr:uid="{00000000-0005-0000-0000-00001A260000}"/>
    <cellStyle name="Heading 2 303" xfId="9859" xr:uid="{00000000-0005-0000-0000-00001B260000}"/>
    <cellStyle name="Heading 2 304" xfId="9860" xr:uid="{00000000-0005-0000-0000-00001C260000}"/>
    <cellStyle name="Heading 2 305" xfId="9861" xr:uid="{00000000-0005-0000-0000-00001D260000}"/>
    <cellStyle name="Heading 2 306" xfId="9862" xr:uid="{00000000-0005-0000-0000-00001E260000}"/>
    <cellStyle name="Heading 2 307" xfId="9863" xr:uid="{00000000-0005-0000-0000-00001F260000}"/>
    <cellStyle name="Heading 2 308" xfId="9864" xr:uid="{00000000-0005-0000-0000-000020260000}"/>
    <cellStyle name="Heading 2 309" xfId="9865" xr:uid="{00000000-0005-0000-0000-000021260000}"/>
    <cellStyle name="Heading 2 31" xfId="9866" xr:uid="{00000000-0005-0000-0000-000022260000}"/>
    <cellStyle name="Heading 2 310" xfId="9867" xr:uid="{00000000-0005-0000-0000-000023260000}"/>
    <cellStyle name="Heading 2 311" xfId="9868" xr:uid="{00000000-0005-0000-0000-000024260000}"/>
    <cellStyle name="Heading 2 312" xfId="9869" xr:uid="{00000000-0005-0000-0000-000025260000}"/>
    <cellStyle name="Heading 2 313" xfId="9870" xr:uid="{00000000-0005-0000-0000-000026260000}"/>
    <cellStyle name="Heading 2 314" xfId="9871" xr:uid="{00000000-0005-0000-0000-000027260000}"/>
    <cellStyle name="Heading 2 315" xfId="9872" xr:uid="{00000000-0005-0000-0000-000028260000}"/>
    <cellStyle name="Heading 2 316" xfId="9873" xr:uid="{00000000-0005-0000-0000-000029260000}"/>
    <cellStyle name="Heading 2 317" xfId="9874" xr:uid="{00000000-0005-0000-0000-00002A260000}"/>
    <cellStyle name="Heading 2 318" xfId="9875" xr:uid="{00000000-0005-0000-0000-00002B260000}"/>
    <cellStyle name="Heading 2 319" xfId="9876" xr:uid="{00000000-0005-0000-0000-00002C260000}"/>
    <cellStyle name="Heading 2 32" xfId="9877" xr:uid="{00000000-0005-0000-0000-00002D260000}"/>
    <cellStyle name="Heading 2 320" xfId="9878" xr:uid="{00000000-0005-0000-0000-00002E260000}"/>
    <cellStyle name="Heading 2 321" xfId="9879" xr:uid="{00000000-0005-0000-0000-00002F260000}"/>
    <cellStyle name="Heading 2 322" xfId="9880" xr:uid="{00000000-0005-0000-0000-000030260000}"/>
    <cellStyle name="Heading 2 323" xfId="9881" xr:uid="{00000000-0005-0000-0000-000031260000}"/>
    <cellStyle name="Heading 2 324" xfId="9882" xr:uid="{00000000-0005-0000-0000-000032260000}"/>
    <cellStyle name="Heading 2 325" xfId="9883" xr:uid="{00000000-0005-0000-0000-000033260000}"/>
    <cellStyle name="Heading 2 326" xfId="9884" xr:uid="{00000000-0005-0000-0000-000034260000}"/>
    <cellStyle name="Heading 2 327" xfId="9885" xr:uid="{00000000-0005-0000-0000-000035260000}"/>
    <cellStyle name="Heading 2 328" xfId="9886" xr:uid="{00000000-0005-0000-0000-000036260000}"/>
    <cellStyle name="Heading 2 329" xfId="9887" xr:uid="{00000000-0005-0000-0000-000037260000}"/>
    <cellStyle name="Heading 2 33" xfId="9888" xr:uid="{00000000-0005-0000-0000-000038260000}"/>
    <cellStyle name="Heading 2 330" xfId="9889" xr:uid="{00000000-0005-0000-0000-000039260000}"/>
    <cellStyle name="Heading 2 331" xfId="9890" xr:uid="{00000000-0005-0000-0000-00003A260000}"/>
    <cellStyle name="Heading 2 332" xfId="9891" xr:uid="{00000000-0005-0000-0000-00003B260000}"/>
    <cellStyle name="Heading 2 333" xfId="9892" xr:uid="{00000000-0005-0000-0000-00003C260000}"/>
    <cellStyle name="Heading 2 334" xfId="9893" xr:uid="{00000000-0005-0000-0000-00003D260000}"/>
    <cellStyle name="Heading 2 335" xfId="9894" xr:uid="{00000000-0005-0000-0000-00003E260000}"/>
    <cellStyle name="Heading 2 336" xfId="9895" xr:uid="{00000000-0005-0000-0000-00003F260000}"/>
    <cellStyle name="Heading 2 337" xfId="9896" xr:uid="{00000000-0005-0000-0000-000040260000}"/>
    <cellStyle name="Heading 2 338" xfId="9897" xr:uid="{00000000-0005-0000-0000-000041260000}"/>
    <cellStyle name="Heading 2 339" xfId="9898" xr:uid="{00000000-0005-0000-0000-000042260000}"/>
    <cellStyle name="Heading 2 34" xfId="9899" xr:uid="{00000000-0005-0000-0000-000043260000}"/>
    <cellStyle name="Heading 2 340" xfId="9900" xr:uid="{00000000-0005-0000-0000-000044260000}"/>
    <cellStyle name="Heading 2 341" xfId="9901" xr:uid="{00000000-0005-0000-0000-000045260000}"/>
    <cellStyle name="Heading 2 342" xfId="9902" xr:uid="{00000000-0005-0000-0000-000046260000}"/>
    <cellStyle name="Heading 2 343" xfId="9903" xr:uid="{00000000-0005-0000-0000-000047260000}"/>
    <cellStyle name="Heading 2 344" xfId="9904" xr:uid="{00000000-0005-0000-0000-000048260000}"/>
    <cellStyle name="Heading 2 345" xfId="9905" xr:uid="{00000000-0005-0000-0000-000049260000}"/>
    <cellStyle name="Heading 2 346" xfId="9906" xr:uid="{00000000-0005-0000-0000-00004A260000}"/>
    <cellStyle name="Heading 2 347" xfId="9907" xr:uid="{00000000-0005-0000-0000-00004B260000}"/>
    <cellStyle name="Heading 2 348" xfId="9908" xr:uid="{00000000-0005-0000-0000-00004C260000}"/>
    <cellStyle name="Heading 2 349" xfId="9909" xr:uid="{00000000-0005-0000-0000-00004D260000}"/>
    <cellStyle name="Heading 2 35" xfId="9910" xr:uid="{00000000-0005-0000-0000-00004E260000}"/>
    <cellStyle name="Heading 2 350" xfId="9911" xr:uid="{00000000-0005-0000-0000-00004F260000}"/>
    <cellStyle name="Heading 2 351" xfId="9912" xr:uid="{00000000-0005-0000-0000-000050260000}"/>
    <cellStyle name="Heading 2 352" xfId="9913" xr:uid="{00000000-0005-0000-0000-000051260000}"/>
    <cellStyle name="Heading 2 353" xfId="9914" xr:uid="{00000000-0005-0000-0000-000052260000}"/>
    <cellStyle name="Heading 2 354" xfId="9915" xr:uid="{00000000-0005-0000-0000-000053260000}"/>
    <cellStyle name="Heading 2 355" xfId="9916" xr:uid="{00000000-0005-0000-0000-000054260000}"/>
    <cellStyle name="Heading 2 356" xfId="9917" xr:uid="{00000000-0005-0000-0000-000055260000}"/>
    <cellStyle name="Heading 2 357" xfId="9918" xr:uid="{00000000-0005-0000-0000-000056260000}"/>
    <cellStyle name="Heading 2 358" xfId="9919" xr:uid="{00000000-0005-0000-0000-000057260000}"/>
    <cellStyle name="Heading 2 359" xfId="9920" xr:uid="{00000000-0005-0000-0000-000058260000}"/>
    <cellStyle name="Heading 2 36" xfId="9921" xr:uid="{00000000-0005-0000-0000-000059260000}"/>
    <cellStyle name="Heading 2 360" xfId="9922" xr:uid="{00000000-0005-0000-0000-00005A260000}"/>
    <cellStyle name="Heading 2 361" xfId="9923" xr:uid="{00000000-0005-0000-0000-00005B260000}"/>
    <cellStyle name="Heading 2 362" xfId="9924" xr:uid="{00000000-0005-0000-0000-00005C260000}"/>
    <cellStyle name="Heading 2 363" xfId="9925" xr:uid="{00000000-0005-0000-0000-00005D260000}"/>
    <cellStyle name="Heading 2 364" xfId="9926" xr:uid="{00000000-0005-0000-0000-00005E260000}"/>
    <cellStyle name="Heading 2 365" xfId="9927" xr:uid="{00000000-0005-0000-0000-00005F260000}"/>
    <cellStyle name="Heading 2 366" xfId="9928" xr:uid="{00000000-0005-0000-0000-000060260000}"/>
    <cellStyle name="Heading 2 367" xfId="9929" xr:uid="{00000000-0005-0000-0000-000061260000}"/>
    <cellStyle name="Heading 2 368" xfId="9930" xr:uid="{00000000-0005-0000-0000-000062260000}"/>
    <cellStyle name="Heading 2 369" xfId="9931" xr:uid="{00000000-0005-0000-0000-000063260000}"/>
    <cellStyle name="Heading 2 37" xfId="9932" xr:uid="{00000000-0005-0000-0000-000064260000}"/>
    <cellStyle name="Heading 2 370" xfId="9933" xr:uid="{00000000-0005-0000-0000-000065260000}"/>
    <cellStyle name="Heading 2 371" xfId="9934" xr:uid="{00000000-0005-0000-0000-000066260000}"/>
    <cellStyle name="Heading 2 372" xfId="9935" xr:uid="{00000000-0005-0000-0000-000067260000}"/>
    <cellStyle name="Heading 2 373" xfId="9936" xr:uid="{00000000-0005-0000-0000-000068260000}"/>
    <cellStyle name="Heading 2 374" xfId="9937" xr:uid="{00000000-0005-0000-0000-000069260000}"/>
    <cellStyle name="Heading 2 375" xfId="9938" xr:uid="{00000000-0005-0000-0000-00006A260000}"/>
    <cellStyle name="Heading 2 376" xfId="9939" xr:uid="{00000000-0005-0000-0000-00006B260000}"/>
    <cellStyle name="Heading 2 377" xfId="9940" xr:uid="{00000000-0005-0000-0000-00006C260000}"/>
    <cellStyle name="Heading 2 378" xfId="9941" xr:uid="{00000000-0005-0000-0000-00006D260000}"/>
    <cellStyle name="Heading 2 379" xfId="9942" xr:uid="{00000000-0005-0000-0000-00006E260000}"/>
    <cellStyle name="Heading 2 38" xfId="9943" xr:uid="{00000000-0005-0000-0000-00006F260000}"/>
    <cellStyle name="Heading 2 380" xfId="9944" xr:uid="{00000000-0005-0000-0000-000070260000}"/>
    <cellStyle name="Heading 2 381" xfId="9945" xr:uid="{00000000-0005-0000-0000-000071260000}"/>
    <cellStyle name="Heading 2 382" xfId="9946" xr:uid="{00000000-0005-0000-0000-000072260000}"/>
    <cellStyle name="Heading 2 383" xfId="9947" xr:uid="{00000000-0005-0000-0000-000073260000}"/>
    <cellStyle name="Heading 2 384" xfId="9948" xr:uid="{00000000-0005-0000-0000-000074260000}"/>
    <cellStyle name="Heading 2 385" xfId="9949" xr:uid="{00000000-0005-0000-0000-000075260000}"/>
    <cellStyle name="Heading 2 386" xfId="9950" xr:uid="{00000000-0005-0000-0000-000076260000}"/>
    <cellStyle name="Heading 2 387" xfId="9951" xr:uid="{00000000-0005-0000-0000-000077260000}"/>
    <cellStyle name="Heading 2 388" xfId="9952" xr:uid="{00000000-0005-0000-0000-000078260000}"/>
    <cellStyle name="Heading 2 389" xfId="9953" xr:uid="{00000000-0005-0000-0000-000079260000}"/>
    <cellStyle name="Heading 2 39" xfId="9954" xr:uid="{00000000-0005-0000-0000-00007A260000}"/>
    <cellStyle name="Heading 2 390" xfId="9955" xr:uid="{00000000-0005-0000-0000-00007B260000}"/>
    <cellStyle name="Heading 2 391" xfId="9956" xr:uid="{00000000-0005-0000-0000-00007C260000}"/>
    <cellStyle name="Heading 2 392" xfId="9957" xr:uid="{00000000-0005-0000-0000-00007D260000}"/>
    <cellStyle name="Heading 2 393" xfId="9958" xr:uid="{00000000-0005-0000-0000-00007E260000}"/>
    <cellStyle name="Heading 2 394" xfId="9959" xr:uid="{00000000-0005-0000-0000-00007F260000}"/>
    <cellStyle name="Heading 2 395" xfId="9960" xr:uid="{00000000-0005-0000-0000-000080260000}"/>
    <cellStyle name="Heading 2 396" xfId="9961" xr:uid="{00000000-0005-0000-0000-000081260000}"/>
    <cellStyle name="Heading 2 397" xfId="9962" xr:uid="{00000000-0005-0000-0000-000082260000}"/>
    <cellStyle name="Heading 2 398" xfId="9963" xr:uid="{00000000-0005-0000-0000-000083260000}"/>
    <cellStyle name="Heading 2 399" xfId="9964" xr:uid="{00000000-0005-0000-0000-000084260000}"/>
    <cellStyle name="Heading 2 4" xfId="9965" xr:uid="{00000000-0005-0000-0000-000085260000}"/>
    <cellStyle name="Heading 2 40" xfId="9966" xr:uid="{00000000-0005-0000-0000-000086260000}"/>
    <cellStyle name="Heading 2 400" xfId="9967" xr:uid="{00000000-0005-0000-0000-000087260000}"/>
    <cellStyle name="Heading 2 401" xfId="9968" xr:uid="{00000000-0005-0000-0000-000088260000}"/>
    <cellStyle name="Heading 2 402" xfId="9969" xr:uid="{00000000-0005-0000-0000-000089260000}"/>
    <cellStyle name="Heading 2 403" xfId="9970" xr:uid="{00000000-0005-0000-0000-00008A260000}"/>
    <cellStyle name="Heading 2 404" xfId="9971" xr:uid="{00000000-0005-0000-0000-00008B260000}"/>
    <cellStyle name="Heading 2 405" xfId="9972" xr:uid="{00000000-0005-0000-0000-00008C260000}"/>
    <cellStyle name="Heading 2 406" xfId="9973" xr:uid="{00000000-0005-0000-0000-00008D260000}"/>
    <cellStyle name="Heading 2 407" xfId="9974" xr:uid="{00000000-0005-0000-0000-00008E260000}"/>
    <cellStyle name="Heading 2 408" xfId="9975" xr:uid="{00000000-0005-0000-0000-00008F260000}"/>
    <cellStyle name="Heading 2 409" xfId="9976" xr:uid="{00000000-0005-0000-0000-000090260000}"/>
    <cellStyle name="Heading 2 41" xfId="9977" xr:uid="{00000000-0005-0000-0000-000091260000}"/>
    <cellStyle name="Heading 2 410" xfId="9978" xr:uid="{00000000-0005-0000-0000-000092260000}"/>
    <cellStyle name="Heading 2 411" xfId="9979" xr:uid="{00000000-0005-0000-0000-000093260000}"/>
    <cellStyle name="Heading 2 412" xfId="9980" xr:uid="{00000000-0005-0000-0000-000094260000}"/>
    <cellStyle name="Heading 2 413" xfId="9981" xr:uid="{00000000-0005-0000-0000-000095260000}"/>
    <cellStyle name="Heading 2 414" xfId="9982" xr:uid="{00000000-0005-0000-0000-000096260000}"/>
    <cellStyle name="Heading 2 415" xfId="9983" xr:uid="{00000000-0005-0000-0000-000097260000}"/>
    <cellStyle name="Heading 2 416" xfId="9984" xr:uid="{00000000-0005-0000-0000-000098260000}"/>
    <cellStyle name="Heading 2 417" xfId="9985" xr:uid="{00000000-0005-0000-0000-000099260000}"/>
    <cellStyle name="Heading 2 418" xfId="9986" xr:uid="{00000000-0005-0000-0000-00009A260000}"/>
    <cellStyle name="Heading 2 419" xfId="9987" xr:uid="{00000000-0005-0000-0000-00009B260000}"/>
    <cellStyle name="Heading 2 42" xfId="9988" xr:uid="{00000000-0005-0000-0000-00009C260000}"/>
    <cellStyle name="Heading 2 420" xfId="9989" xr:uid="{00000000-0005-0000-0000-00009D260000}"/>
    <cellStyle name="Heading 2 421" xfId="9990" xr:uid="{00000000-0005-0000-0000-00009E260000}"/>
    <cellStyle name="Heading 2 422" xfId="9991" xr:uid="{00000000-0005-0000-0000-00009F260000}"/>
    <cellStyle name="Heading 2 423" xfId="9992" xr:uid="{00000000-0005-0000-0000-0000A0260000}"/>
    <cellStyle name="Heading 2 424" xfId="9993" xr:uid="{00000000-0005-0000-0000-0000A1260000}"/>
    <cellStyle name="Heading 2 425" xfId="9994" xr:uid="{00000000-0005-0000-0000-0000A2260000}"/>
    <cellStyle name="Heading 2 426" xfId="9995" xr:uid="{00000000-0005-0000-0000-0000A3260000}"/>
    <cellStyle name="Heading 2 427" xfId="9996" xr:uid="{00000000-0005-0000-0000-0000A4260000}"/>
    <cellStyle name="Heading 2 428" xfId="9997" xr:uid="{00000000-0005-0000-0000-0000A5260000}"/>
    <cellStyle name="Heading 2 429" xfId="9998" xr:uid="{00000000-0005-0000-0000-0000A6260000}"/>
    <cellStyle name="Heading 2 43" xfId="9999" xr:uid="{00000000-0005-0000-0000-0000A7260000}"/>
    <cellStyle name="Heading 2 430" xfId="10000" xr:uid="{00000000-0005-0000-0000-0000A8260000}"/>
    <cellStyle name="Heading 2 431" xfId="10001" xr:uid="{00000000-0005-0000-0000-0000A9260000}"/>
    <cellStyle name="Heading 2 432" xfId="10002" xr:uid="{00000000-0005-0000-0000-0000AA260000}"/>
    <cellStyle name="Heading 2 433" xfId="10003" xr:uid="{00000000-0005-0000-0000-0000AB260000}"/>
    <cellStyle name="Heading 2 434" xfId="10004" xr:uid="{00000000-0005-0000-0000-0000AC260000}"/>
    <cellStyle name="Heading 2 435" xfId="10005" xr:uid="{00000000-0005-0000-0000-0000AD260000}"/>
    <cellStyle name="Heading 2 436" xfId="10006" xr:uid="{00000000-0005-0000-0000-0000AE260000}"/>
    <cellStyle name="Heading 2 437" xfId="10007" xr:uid="{00000000-0005-0000-0000-0000AF260000}"/>
    <cellStyle name="Heading 2 438" xfId="10008" xr:uid="{00000000-0005-0000-0000-0000B0260000}"/>
    <cellStyle name="Heading 2 439" xfId="10009" xr:uid="{00000000-0005-0000-0000-0000B1260000}"/>
    <cellStyle name="Heading 2 44" xfId="10010" xr:uid="{00000000-0005-0000-0000-0000B2260000}"/>
    <cellStyle name="Heading 2 440" xfId="10011" xr:uid="{00000000-0005-0000-0000-0000B3260000}"/>
    <cellStyle name="Heading 2 441" xfId="10012" xr:uid="{00000000-0005-0000-0000-0000B4260000}"/>
    <cellStyle name="Heading 2 442" xfId="10013" xr:uid="{00000000-0005-0000-0000-0000B5260000}"/>
    <cellStyle name="Heading 2 443" xfId="10014" xr:uid="{00000000-0005-0000-0000-0000B6260000}"/>
    <cellStyle name="Heading 2 444" xfId="10015" xr:uid="{00000000-0005-0000-0000-0000B7260000}"/>
    <cellStyle name="Heading 2 445" xfId="10016" xr:uid="{00000000-0005-0000-0000-0000B8260000}"/>
    <cellStyle name="Heading 2 446" xfId="10017" xr:uid="{00000000-0005-0000-0000-0000B9260000}"/>
    <cellStyle name="Heading 2 447" xfId="10018" xr:uid="{00000000-0005-0000-0000-0000BA260000}"/>
    <cellStyle name="Heading 2 448" xfId="10019" xr:uid="{00000000-0005-0000-0000-0000BB260000}"/>
    <cellStyle name="Heading 2 449" xfId="10020" xr:uid="{00000000-0005-0000-0000-0000BC260000}"/>
    <cellStyle name="Heading 2 45" xfId="10021" xr:uid="{00000000-0005-0000-0000-0000BD260000}"/>
    <cellStyle name="Heading 2 450" xfId="10022" xr:uid="{00000000-0005-0000-0000-0000BE260000}"/>
    <cellStyle name="Heading 2 451" xfId="10023" xr:uid="{00000000-0005-0000-0000-0000BF260000}"/>
    <cellStyle name="Heading 2 452" xfId="10024" xr:uid="{00000000-0005-0000-0000-0000C0260000}"/>
    <cellStyle name="Heading 2 453" xfId="10025" xr:uid="{00000000-0005-0000-0000-0000C1260000}"/>
    <cellStyle name="Heading 2 454" xfId="10026" xr:uid="{00000000-0005-0000-0000-0000C2260000}"/>
    <cellStyle name="Heading 2 455" xfId="10027" xr:uid="{00000000-0005-0000-0000-0000C3260000}"/>
    <cellStyle name="Heading 2 456" xfId="10028" xr:uid="{00000000-0005-0000-0000-0000C4260000}"/>
    <cellStyle name="Heading 2 457" xfId="10029" xr:uid="{00000000-0005-0000-0000-0000C5260000}"/>
    <cellStyle name="Heading 2 458" xfId="10030" xr:uid="{00000000-0005-0000-0000-0000C6260000}"/>
    <cellStyle name="Heading 2 459" xfId="10031" xr:uid="{00000000-0005-0000-0000-0000C7260000}"/>
    <cellStyle name="Heading 2 46" xfId="10032" xr:uid="{00000000-0005-0000-0000-0000C8260000}"/>
    <cellStyle name="Heading 2 460" xfId="10033" xr:uid="{00000000-0005-0000-0000-0000C9260000}"/>
    <cellStyle name="Heading 2 461" xfId="10034" xr:uid="{00000000-0005-0000-0000-0000CA260000}"/>
    <cellStyle name="Heading 2 462" xfId="10035" xr:uid="{00000000-0005-0000-0000-0000CB260000}"/>
    <cellStyle name="Heading 2 463" xfId="10036" xr:uid="{00000000-0005-0000-0000-0000CC260000}"/>
    <cellStyle name="Heading 2 464" xfId="10037" xr:uid="{00000000-0005-0000-0000-0000CD260000}"/>
    <cellStyle name="Heading 2 465" xfId="10038" xr:uid="{00000000-0005-0000-0000-0000CE260000}"/>
    <cellStyle name="Heading 2 466" xfId="10039" xr:uid="{00000000-0005-0000-0000-0000CF260000}"/>
    <cellStyle name="Heading 2 467" xfId="10040" xr:uid="{00000000-0005-0000-0000-0000D0260000}"/>
    <cellStyle name="Heading 2 468" xfId="10041" xr:uid="{00000000-0005-0000-0000-0000D1260000}"/>
    <cellStyle name="Heading 2 469" xfId="10042" xr:uid="{00000000-0005-0000-0000-0000D2260000}"/>
    <cellStyle name="Heading 2 47" xfId="10043" xr:uid="{00000000-0005-0000-0000-0000D3260000}"/>
    <cellStyle name="Heading 2 470" xfId="10044" xr:uid="{00000000-0005-0000-0000-0000D4260000}"/>
    <cellStyle name="Heading 2 471" xfId="10045" xr:uid="{00000000-0005-0000-0000-0000D5260000}"/>
    <cellStyle name="Heading 2 472" xfId="10046" xr:uid="{00000000-0005-0000-0000-0000D6260000}"/>
    <cellStyle name="Heading 2 473" xfId="10047" xr:uid="{00000000-0005-0000-0000-0000D7260000}"/>
    <cellStyle name="Heading 2 474" xfId="10048" xr:uid="{00000000-0005-0000-0000-0000D8260000}"/>
    <cellStyle name="Heading 2 475" xfId="10049" xr:uid="{00000000-0005-0000-0000-0000D9260000}"/>
    <cellStyle name="Heading 2 476" xfId="10050" xr:uid="{00000000-0005-0000-0000-0000DA260000}"/>
    <cellStyle name="Heading 2 477" xfId="10051" xr:uid="{00000000-0005-0000-0000-0000DB260000}"/>
    <cellStyle name="Heading 2 478" xfId="10052" xr:uid="{00000000-0005-0000-0000-0000DC260000}"/>
    <cellStyle name="Heading 2 479" xfId="10053" xr:uid="{00000000-0005-0000-0000-0000DD260000}"/>
    <cellStyle name="Heading 2 48" xfId="10054" xr:uid="{00000000-0005-0000-0000-0000DE260000}"/>
    <cellStyle name="Heading 2 480" xfId="10055" xr:uid="{00000000-0005-0000-0000-0000DF260000}"/>
    <cellStyle name="Heading 2 481" xfId="10056" xr:uid="{00000000-0005-0000-0000-0000E0260000}"/>
    <cellStyle name="Heading 2 482" xfId="10057" xr:uid="{00000000-0005-0000-0000-0000E1260000}"/>
    <cellStyle name="Heading 2 483" xfId="10058" xr:uid="{00000000-0005-0000-0000-0000E2260000}"/>
    <cellStyle name="Heading 2 484" xfId="10059" xr:uid="{00000000-0005-0000-0000-0000E3260000}"/>
    <cellStyle name="Heading 2 485" xfId="10060" xr:uid="{00000000-0005-0000-0000-0000E4260000}"/>
    <cellStyle name="Heading 2 486" xfId="10061" xr:uid="{00000000-0005-0000-0000-0000E5260000}"/>
    <cellStyle name="Heading 2 487" xfId="10062" xr:uid="{00000000-0005-0000-0000-0000E6260000}"/>
    <cellStyle name="Heading 2 488" xfId="10063" xr:uid="{00000000-0005-0000-0000-0000E7260000}"/>
    <cellStyle name="Heading 2 489" xfId="10064" xr:uid="{00000000-0005-0000-0000-0000E8260000}"/>
    <cellStyle name="Heading 2 49" xfId="10065" xr:uid="{00000000-0005-0000-0000-0000E9260000}"/>
    <cellStyle name="Heading 2 490" xfId="10066" xr:uid="{00000000-0005-0000-0000-0000EA260000}"/>
    <cellStyle name="Heading 2 491" xfId="10067" xr:uid="{00000000-0005-0000-0000-0000EB260000}"/>
    <cellStyle name="Heading 2 492" xfId="10068" xr:uid="{00000000-0005-0000-0000-0000EC260000}"/>
    <cellStyle name="Heading 2 493" xfId="10069" xr:uid="{00000000-0005-0000-0000-0000ED260000}"/>
    <cellStyle name="Heading 2 494" xfId="10070" xr:uid="{00000000-0005-0000-0000-0000EE260000}"/>
    <cellStyle name="Heading 2 495" xfId="10071" xr:uid="{00000000-0005-0000-0000-0000EF260000}"/>
    <cellStyle name="Heading 2 496" xfId="10072" xr:uid="{00000000-0005-0000-0000-0000F0260000}"/>
    <cellStyle name="Heading 2 497" xfId="10073" xr:uid="{00000000-0005-0000-0000-0000F1260000}"/>
    <cellStyle name="Heading 2 498" xfId="10074" xr:uid="{00000000-0005-0000-0000-0000F2260000}"/>
    <cellStyle name="Heading 2 499" xfId="10075" xr:uid="{00000000-0005-0000-0000-0000F3260000}"/>
    <cellStyle name="Heading 2 5" xfId="10076" xr:uid="{00000000-0005-0000-0000-0000F4260000}"/>
    <cellStyle name="Heading 2 50" xfId="10077" xr:uid="{00000000-0005-0000-0000-0000F5260000}"/>
    <cellStyle name="Heading 2 500" xfId="10078" xr:uid="{00000000-0005-0000-0000-0000F6260000}"/>
    <cellStyle name="Heading 2 501" xfId="10079" xr:uid="{00000000-0005-0000-0000-0000F7260000}"/>
    <cellStyle name="Heading 2 502" xfId="10080" xr:uid="{00000000-0005-0000-0000-0000F8260000}"/>
    <cellStyle name="Heading 2 503" xfId="10081" xr:uid="{00000000-0005-0000-0000-0000F9260000}"/>
    <cellStyle name="Heading 2 504" xfId="10082" xr:uid="{00000000-0005-0000-0000-0000FA260000}"/>
    <cellStyle name="Heading 2 505" xfId="10083" xr:uid="{00000000-0005-0000-0000-0000FB260000}"/>
    <cellStyle name="Heading 2 506" xfId="10084" xr:uid="{00000000-0005-0000-0000-0000FC260000}"/>
    <cellStyle name="Heading 2 507" xfId="10085" xr:uid="{00000000-0005-0000-0000-0000FD260000}"/>
    <cellStyle name="Heading 2 508" xfId="10086" xr:uid="{00000000-0005-0000-0000-0000FE260000}"/>
    <cellStyle name="Heading 2 509" xfId="10087" xr:uid="{00000000-0005-0000-0000-0000FF260000}"/>
    <cellStyle name="Heading 2 51" xfId="10088" xr:uid="{00000000-0005-0000-0000-000000270000}"/>
    <cellStyle name="Heading 2 510" xfId="10089" xr:uid="{00000000-0005-0000-0000-000001270000}"/>
    <cellStyle name="Heading 2 511" xfId="10090" xr:uid="{00000000-0005-0000-0000-000002270000}"/>
    <cellStyle name="Heading 2 512" xfId="10091" xr:uid="{00000000-0005-0000-0000-000003270000}"/>
    <cellStyle name="Heading 2 513" xfId="10092" xr:uid="{00000000-0005-0000-0000-000004270000}"/>
    <cellStyle name="Heading 2 514" xfId="10093" xr:uid="{00000000-0005-0000-0000-000005270000}"/>
    <cellStyle name="Heading 2 515" xfId="10094" xr:uid="{00000000-0005-0000-0000-000006270000}"/>
    <cellStyle name="Heading 2 516" xfId="10095" xr:uid="{00000000-0005-0000-0000-000007270000}"/>
    <cellStyle name="Heading 2 517" xfId="10096" xr:uid="{00000000-0005-0000-0000-000008270000}"/>
    <cellStyle name="Heading 2 518" xfId="10097" xr:uid="{00000000-0005-0000-0000-000009270000}"/>
    <cellStyle name="Heading 2 519" xfId="10098" xr:uid="{00000000-0005-0000-0000-00000A270000}"/>
    <cellStyle name="Heading 2 52" xfId="10099" xr:uid="{00000000-0005-0000-0000-00000B270000}"/>
    <cellStyle name="Heading 2 520" xfId="10100" xr:uid="{00000000-0005-0000-0000-00000C270000}"/>
    <cellStyle name="Heading 2 521" xfId="10101" xr:uid="{00000000-0005-0000-0000-00000D270000}"/>
    <cellStyle name="Heading 2 522" xfId="10102" xr:uid="{00000000-0005-0000-0000-00000E270000}"/>
    <cellStyle name="Heading 2 523" xfId="10103" xr:uid="{00000000-0005-0000-0000-00000F270000}"/>
    <cellStyle name="Heading 2 524" xfId="10104" xr:uid="{00000000-0005-0000-0000-000010270000}"/>
    <cellStyle name="Heading 2 525" xfId="10105" xr:uid="{00000000-0005-0000-0000-000011270000}"/>
    <cellStyle name="Heading 2 526" xfId="10106" xr:uid="{00000000-0005-0000-0000-000012270000}"/>
    <cellStyle name="Heading 2 527" xfId="10107" xr:uid="{00000000-0005-0000-0000-000013270000}"/>
    <cellStyle name="Heading 2 528" xfId="10108" xr:uid="{00000000-0005-0000-0000-000014270000}"/>
    <cellStyle name="Heading 2 529" xfId="10109" xr:uid="{00000000-0005-0000-0000-000015270000}"/>
    <cellStyle name="Heading 2 53" xfId="10110" xr:uid="{00000000-0005-0000-0000-000016270000}"/>
    <cellStyle name="Heading 2 530" xfId="10111" xr:uid="{00000000-0005-0000-0000-000017270000}"/>
    <cellStyle name="Heading 2 531" xfId="10112" xr:uid="{00000000-0005-0000-0000-000018270000}"/>
    <cellStyle name="Heading 2 532" xfId="10113" xr:uid="{00000000-0005-0000-0000-000019270000}"/>
    <cellStyle name="Heading 2 533" xfId="10114" xr:uid="{00000000-0005-0000-0000-00001A270000}"/>
    <cellStyle name="Heading 2 534" xfId="10115" xr:uid="{00000000-0005-0000-0000-00001B270000}"/>
    <cellStyle name="Heading 2 535" xfId="10116" xr:uid="{00000000-0005-0000-0000-00001C270000}"/>
    <cellStyle name="Heading 2 536" xfId="10117" xr:uid="{00000000-0005-0000-0000-00001D270000}"/>
    <cellStyle name="Heading 2 537" xfId="10118" xr:uid="{00000000-0005-0000-0000-00001E270000}"/>
    <cellStyle name="Heading 2 538" xfId="10119" xr:uid="{00000000-0005-0000-0000-00001F270000}"/>
    <cellStyle name="Heading 2 539" xfId="10120" xr:uid="{00000000-0005-0000-0000-000020270000}"/>
    <cellStyle name="Heading 2 54" xfId="10121" xr:uid="{00000000-0005-0000-0000-000021270000}"/>
    <cellStyle name="Heading 2 540" xfId="10122" xr:uid="{00000000-0005-0000-0000-000022270000}"/>
    <cellStyle name="Heading 2 541" xfId="10123" xr:uid="{00000000-0005-0000-0000-000023270000}"/>
    <cellStyle name="Heading 2 542" xfId="10124" xr:uid="{00000000-0005-0000-0000-000024270000}"/>
    <cellStyle name="Heading 2 543" xfId="10125" xr:uid="{00000000-0005-0000-0000-000025270000}"/>
    <cellStyle name="Heading 2 544" xfId="10126" xr:uid="{00000000-0005-0000-0000-000026270000}"/>
    <cellStyle name="Heading 2 545" xfId="10127" xr:uid="{00000000-0005-0000-0000-000027270000}"/>
    <cellStyle name="Heading 2 546" xfId="10128" xr:uid="{00000000-0005-0000-0000-000028270000}"/>
    <cellStyle name="Heading 2 547" xfId="10129" xr:uid="{00000000-0005-0000-0000-000029270000}"/>
    <cellStyle name="Heading 2 548" xfId="10130" xr:uid="{00000000-0005-0000-0000-00002A270000}"/>
    <cellStyle name="Heading 2 549" xfId="10131" xr:uid="{00000000-0005-0000-0000-00002B270000}"/>
    <cellStyle name="Heading 2 55" xfId="10132" xr:uid="{00000000-0005-0000-0000-00002C270000}"/>
    <cellStyle name="Heading 2 550" xfId="10133" xr:uid="{00000000-0005-0000-0000-00002D270000}"/>
    <cellStyle name="Heading 2 551" xfId="10134" xr:uid="{00000000-0005-0000-0000-00002E270000}"/>
    <cellStyle name="Heading 2 552" xfId="10135" xr:uid="{00000000-0005-0000-0000-00002F270000}"/>
    <cellStyle name="Heading 2 553" xfId="10136" xr:uid="{00000000-0005-0000-0000-000030270000}"/>
    <cellStyle name="Heading 2 554" xfId="10137" xr:uid="{00000000-0005-0000-0000-000031270000}"/>
    <cellStyle name="Heading 2 555" xfId="10138" xr:uid="{00000000-0005-0000-0000-000032270000}"/>
    <cellStyle name="Heading 2 556" xfId="10139" xr:uid="{00000000-0005-0000-0000-000033270000}"/>
    <cellStyle name="Heading 2 557" xfId="10140" xr:uid="{00000000-0005-0000-0000-000034270000}"/>
    <cellStyle name="Heading 2 558" xfId="10141" xr:uid="{00000000-0005-0000-0000-000035270000}"/>
    <cellStyle name="Heading 2 559" xfId="10142" xr:uid="{00000000-0005-0000-0000-000036270000}"/>
    <cellStyle name="Heading 2 56" xfId="10143" xr:uid="{00000000-0005-0000-0000-000037270000}"/>
    <cellStyle name="Heading 2 560" xfId="10144" xr:uid="{00000000-0005-0000-0000-000038270000}"/>
    <cellStyle name="Heading 2 561" xfId="10145" xr:uid="{00000000-0005-0000-0000-000039270000}"/>
    <cellStyle name="Heading 2 562" xfId="10146" xr:uid="{00000000-0005-0000-0000-00003A270000}"/>
    <cellStyle name="Heading 2 563" xfId="10147" xr:uid="{00000000-0005-0000-0000-00003B270000}"/>
    <cellStyle name="Heading 2 564" xfId="10148" xr:uid="{00000000-0005-0000-0000-00003C270000}"/>
    <cellStyle name="Heading 2 565" xfId="10149" xr:uid="{00000000-0005-0000-0000-00003D270000}"/>
    <cellStyle name="Heading 2 566" xfId="10150" xr:uid="{00000000-0005-0000-0000-00003E270000}"/>
    <cellStyle name="Heading 2 567" xfId="10151" xr:uid="{00000000-0005-0000-0000-00003F270000}"/>
    <cellStyle name="Heading 2 568" xfId="10152" xr:uid="{00000000-0005-0000-0000-000040270000}"/>
    <cellStyle name="Heading 2 569" xfId="10153" xr:uid="{00000000-0005-0000-0000-000041270000}"/>
    <cellStyle name="Heading 2 57" xfId="10154" xr:uid="{00000000-0005-0000-0000-000042270000}"/>
    <cellStyle name="Heading 2 570" xfId="10155" xr:uid="{00000000-0005-0000-0000-000043270000}"/>
    <cellStyle name="Heading 2 571" xfId="10156" xr:uid="{00000000-0005-0000-0000-000044270000}"/>
    <cellStyle name="Heading 2 572" xfId="10157" xr:uid="{00000000-0005-0000-0000-000045270000}"/>
    <cellStyle name="Heading 2 573" xfId="10158" xr:uid="{00000000-0005-0000-0000-000046270000}"/>
    <cellStyle name="Heading 2 574" xfId="10159" xr:uid="{00000000-0005-0000-0000-000047270000}"/>
    <cellStyle name="Heading 2 575" xfId="10160" xr:uid="{00000000-0005-0000-0000-000048270000}"/>
    <cellStyle name="Heading 2 576" xfId="10161" xr:uid="{00000000-0005-0000-0000-000049270000}"/>
    <cellStyle name="Heading 2 577" xfId="10162" xr:uid="{00000000-0005-0000-0000-00004A270000}"/>
    <cellStyle name="Heading 2 578" xfId="10163" xr:uid="{00000000-0005-0000-0000-00004B270000}"/>
    <cellStyle name="Heading 2 579" xfId="10164" xr:uid="{00000000-0005-0000-0000-00004C270000}"/>
    <cellStyle name="Heading 2 58" xfId="10165" xr:uid="{00000000-0005-0000-0000-00004D270000}"/>
    <cellStyle name="Heading 2 580" xfId="10166" xr:uid="{00000000-0005-0000-0000-00004E270000}"/>
    <cellStyle name="Heading 2 581" xfId="10167" xr:uid="{00000000-0005-0000-0000-00004F270000}"/>
    <cellStyle name="Heading 2 582" xfId="10168" xr:uid="{00000000-0005-0000-0000-000050270000}"/>
    <cellStyle name="Heading 2 583" xfId="10169" xr:uid="{00000000-0005-0000-0000-000051270000}"/>
    <cellStyle name="Heading 2 584" xfId="10170" xr:uid="{00000000-0005-0000-0000-000052270000}"/>
    <cellStyle name="Heading 2 585" xfId="10171" xr:uid="{00000000-0005-0000-0000-000053270000}"/>
    <cellStyle name="Heading 2 586" xfId="10172" xr:uid="{00000000-0005-0000-0000-000054270000}"/>
    <cellStyle name="Heading 2 587" xfId="10173" xr:uid="{00000000-0005-0000-0000-000055270000}"/>
    <cellStyle name="Heading 2 588" xfId="10174" xr:uid="{00000000-0005-0000-0000-000056270000}"/>
    <cellStyle name="Heading 2 589" xfId="10175" xr:uid="{00000000-0005-0000-0000-000057270000}"/>
    <cellStyle name="Heading 2 59" xfId="10176" xr:uid="{00000000-0005-0000-0000-000058270000}"/>
    <cellStyle name="Heading 2 590" xfId="10177" xr:uid="{00000000-0005-0000-0000-000059270000}"/>
    <cellStyle name="Heading 2 591" xfId="10178" xr:uid="{00000000-0005-0000-0000-00005A270000}"/>
    <cellStyle name="Heading 2 592" xfId="10179" xr:uid="{00000000-0005-0000-0000-00005B270000}"/>
    <cellStyle name="Heading 2 593" xfId="10180" xr:uid="{00000000-0005-0000-0000-00005C270000}"/>
    <cellStyle name="Heading 2 594" xfId="10181" xr:uid="{00000000-0005-0000-0000-00005D270000}"/>
    <cellStyle name="Heading 2 595" xfId="10182" xr:uid="{00000000-0005-0000-0000-00005E270000}"/>
    <cellStyle name="Heading 2 596" xfId="10183" xr:uid="{00000000-0005-0000-0000-00005F270000}"/>
    <cellStyle name="Heading 2 597" xfId="10184" xr:uid="{00000000-0005-0000-0000-000060270000}"/>
    <cellStyle name="Heading 2 598" xfId="10185" xr:uid="{00000000-0005-0000-0000-000061270000}"/>
    <cellStyle name="Heading 2 599" xfId="10186" xr:uid="{00000000-0005-0000-0000-000062270000}"/>
    <cellStyle name="Heading 2 6" xfId="10187" xr:uid="{00000000-0005-0000-0000-000063270000}"/>
    <cellStyle name="Heading 2 60" xfId="10188" xr:uid="{00000000-0005-0000-0000-000064270000}"/>
    <cellStyle name="Heading 2 600" xfId="10189" xr:uid="{00000000-0005-0000-0000-000065270000}"/>
    <cellStyle name="Heading 2 601" xfId="10190" xr:uid="{00000000-0005-0000-0000-000066270000}"/>
    <cellStyle name="Heading 2 602" xfId="10191" xr:uid="{00000000-0005-0000-0000-000067270000}"/>
    <cellStyle name="Heading 2 603" xfId="10192" xr:uid="{00000000-0005-0000-0000-000068270000}"/>
    <cellStyle name="Heading 2 604" xfId="10193" xr:uid="{00000000-0005-0000-0000-000069270000}"/>
    <cellStyle name="Heading 2 605" xfId="10194" xr:uid="{00000000-0005-0000-0000-00006A270000}"/>
    <cellStyle name="Heading 2 606" xfId="10195" xr:uid="{00000000-0005-0000-0000-00006B270000}"/>
    <cellStyle name="Heading 2 607" xfId="10196" xr:uid="{00000000-0005-0000-0000-00006C270000}"/>
    <cellStyle name="Heading 2 608" xfId="10197" xr:uid="{00000000-0005-0000-0000-00006D270000}"/>
    <cellStyle name="Heading 2 609" xfId="10198" xr:uid="{00000000-0005-0000-0000-00006E270000}"/>
    <cellStyle name="Heading 2 61" xfId="10199" xr:uid="{00000000-0005-0000-0000-00006F270000}"/>
    <cellStyle name="Heading 2 610" xfId="10200" xr:uid="{00000000-0005-0000-0000-000070270000}"/>
    <cellStyle name="Heading 2 611" xfId="10201" xr:uid="{00000000-0005-0000-0000-000071270000}"/>
    <cellStyle name="Heading 2 612" xfId="10202" xr:uid="{00000000-0005-0000-0000-000072270000}"/>
    <cellStyle name="Heading 2 613" xfId="10203" xr:uid="{00000000-0005-0000-0000-000073270000}"/>
    <cellStyle name="Heading 2 614" xfId="10204" xr:uid="{00000000-0005-0000-0000-000074270000}"/>
    <cellStyle name="Heading 2 615" xfId="10205" xr:uid="{00000000-0005-0000-0000-000075270000}"/>
    <cellStyle name="Heading 2 616" xfId="10206" xr:uid="{00000000-0005-0000-0000-000076270000}"/>
    <cellStyle name="Heading 2 617" xfId="10207" xr:uid="{00000000-0005-0000-0000-000077270000}"/>
    <cellStyle name="Heading 2 618" xfId="10208" xr:uid="{00000000-0005-0000-0000-000078270000}"/>
    <cellStyle name="Heading 2 619" xfId="10209" xr:uid="{00000000-0005-0000-0000-000079270000}"/>
    <cellStyle name="Heading 2 62" xfId="10210" xr:uid="{00000000-0005-0000-0000-00007A270000}"/>
    <cellStyle name="Heading 2 620" xfId="10211" xr:uid="{00000000-0005-0000-0000-00007B270000}"/>
    <cellStyle name="Heading 2 621" xfId="10212" xr:uid="{00000000-0005-0000-0000-00007C270000}"/>
    <cellStyle name="Heading 2 622" xfId="10213" xr:uid="{00000000-0005-0000-0000-00007D270000}"/>
    <cellStyle name="Heading 2 623" xfId="10214" xr:uid="{00000000-0005-0000-0000-00007E270000}"/>
    <cellStyle name="Heading 2 624" xfId="10215" xr:uid="{00000000-0005-0000-0000-00007F270000}"/>
    <cellStyle name="Heading 2 625" xfId="10216" xr:uid="{00000000-0005-0000-0000-000080270000}"/>
    <cellStyle name="Heading 2 626" xfId="10217" xr:uid="{00000000-0005-0000-0000-000081270000}"/>
    <cellStyle name="Heading 2 627" xfId="10218" xr:uid="{00000000-0005-0000-0000-000082270000}"/>
    <cellStyle name="Heading 2 628" xfId="10219" xr:uid="{00000000-0005-0000-0000-000083270000}"/>
    <cellStyle name="Heading 2 629" xfId="10220" xr:uid="{00000000-0005-0000-0000-000084270000}"/>
    <cellStyle name="Heading 2 63" xfId="10221" xr:uid="{00000000-0005-0000-0000-000085270000}"/>
    <cellStyle name="Heading 2 630" xfId="10222" xr:uid="{00000000-0005-0000-0000-000086270000}"/>
    <cellStyle name="Heading 2 631" xfId="10223" xr:uid="{00000000-0005-0000-0000-000087270000}"/>
    <cellStyle name="Heading 2 632" xfId="10224" xr:uid="{00000000-0005-0000-0000-000088270000}"/>
    <cellStyle name="Heading 2 633" xfId="10225" xr:uid="{00000000-0005-0000-0000-000089270000}"/>
    <cellStyle name="Heading 2 634" xfId="10226" xr:uid="{00000000-0005-0000-0000-00008A270000}"/>
    <cellStyle name="Heading 2 635" xfId="10227" xr:uid="{00000000-0005-0000-0000-00008B270000}"/>
    <cellStyle name="Heading 2 636" xfId="10228" xr:uid="{00000000-0005-0000-0000-00008C270000}"/>
    <cellStyle name="Heading 2 637" xfId="10229" xr:uid="{00000000-0005-0000-0000-00008D270000}"/>
    <cellStyle name="Heading 2 638" xfId="10230" xr:uid="{00000000-0005-0000-0000-00008E270000}"/>
    <cellStyle name="Heading 2 639" xfId="10231" xr:uid="{00000000-0005-0000-0000-00008F270000}"/>
    <cellStyle name="Heading 2 64" xfId="10232" xr:uid="{00000000-0005-0000-0000-000090270000}"/>
    <cellStyle name="Heading 2 640" xfId="10233" xr:uid="{00000000-0005-0000-0000-000091270000}"/>
    <cellStyle name="Heading 2 641" xfId="10234" xr:uid="{00000000-0005-0000-0000-000092270000}"/>
    <cellStyle name="Heading 2 642" xfId="10235" xr:uid="{00000000-0005-0000-0000-000093270000}"/>
    <cellStyle name="Heading 2 643" xfId="10236" xr:uid="{00000000-0005-0000-0000-000094270000}"/>
    <cellStyle name="Heading 2 644" xfId="10237" xr:uid="{00000000-0005-0000-0000-000095270000}"/>
    <cellStyle name="Heading 2 645" xfId="10238" xr:uid="{00000000-0005-0000-0000-000096270000}"/>
    <cellStyle name="Heading 2 646" xfId="10239" xr:uid="{00000000-0005-0000-0000-000097270000}"/>
    <cellStyle name="Heading 2 647" xfId="10240" xr:uid="{00000000-0005-0000-0000-000098270000}"/>
    <cellStyle name="Heading 2 648" xfId="10241" xr:uid="{00000000-0005-0000-0000-000099270000}"/>
    <cellStyle name="Heading 2 649" xfId="10242" xr:uid="{00000000-0005-0000-0000-00009A270000}"/>
    <cellStyle name="Heading 2 65" xfId="10243" xr:uid="{00000000-0005-0000-0000-00009B270000}"/>
    <cellStyle name="Heading 2 650" xfId="10244" xr:uid="{00000000-0005-0000-0000-00009C270000}"/>
    <cellStyle name="Heading 2 651" xfId="10245" xr:uid="{00000000-0005-0000-0000-00009D270000}"/>
    <cellStyle name="Heading 2 652" xfId="10246" xr:uid="{00000000-0005-0000-0000-00009E270000}"/>
    <cellStyle name="Heading 2 653" xfId="10247" xr:uid="{00000000-0005-0000-0000-00009F270000}"/>
    <cellStyle name="Heading 2 654" xfId="10248" xr:uid="{00000000-0005-0000-0000-0000A0270000}"/>
    <cellStyle name="Heading 2 655" xfId="10249" xr:uid="{00000000-0005-0000-0000-0000A1270000}"/>
    <cellStyle name="Heading 2 656" xfId="10250" xr:uid="{00000000-0005-0000-0000-0000A2270000}"/>
    <cellStyle name="Heading 2 657" xfId="10251" xr:uid="{00000000-0005-0000-0000-0000A3270000}"/>
    <cellStyle name="Heading 2 658" xfId="10252" xr:uid="{00000000-0005-0000-0000-0000A4270000}"/>
    <cellStyle name="Heading 2 659" xfId="10253" xr:uid="{00000000-0005-0000-0000-0000A5270000}"/>
    <cellStyle name="Heading 2 66" xfId="10254" xr:uid="{00000000-0005-0000-0000-0000A6270000}"/>
    <cellStyle name="Heading 2 660" xfId="10255" xr:uid="{00000000-0005-0000-0000-0000A7270000}"/>
    <cellStyle name="Heading 2 661" xfId="10256" xr:uid="{00000000-0005-0000-0000-0000A8270000}"/>
    <cellStyle name="Heading 2 662" xfId="10257" xr:uid="{00000000-0005-0000-0000-0000A9270000}"/>
    <cellStyle name="Heading 2 663" xfId="10258" xr:uid="{00000000-0005-0000-0000-0000AA270000}"/>
    <cellStyle name="Heading 2 664" xfId="10259" xr:uid="{00000000-0005-0000-0000-0000AB270000}"/>
    <cellStyle name="Heading 2 665" xfId="10260" xr:uid="{00000000-0005-0000-0000-0000AC270000}"/>
    <cellStyle name="Heading 2 666" xfId="10261" xr:uid="{00000000-0005-0000-0000-0000AD270000}"/>
    <cellStyle name="Heading 2 667" xfId="10262" xr:uid="{00000000-0005-0000-0000-0000AE270000}"/>
    <cellStyle name="Heading 2 668" xfId="10263" xr:uid="{00000000-0005-0000-0000-0000AF270000}"/>
    <cellStyle name="Heading 2 669" xfId="10264" xr:uid="{00000000-0005-0000-0000-0000B0270000}"/>
    <cellStyle name="Heading 2 67" xfId="10265" xr:uid="{00000000-0005-0000-0000-0000B1270000}"/>
    <cellStyle name="Heading 2 670" xfId="10266" xr:uid="{00000000-0005-0000-0000-0000B2270000}"/>
    <cellStyle name="Heading 2 671" xfId="10267" xr:uid="{00000000-0005-0000-0000-0000B3270000}"/>
    <cellStyle name="Heading 2 672" xfId="10268" xr:uid="{00000000-0005-0000-0000-0000B4270000}"/>
    <cellStyle name="Heading 2 673" xfId="10269" xr:uid="{00000000-0005-0000-0000-0000B5270000}"/>
    <cellStyle name="Heading 2 674" xfId="10270" xr:uid="{00000000-0005-0000-0000-0000B6270000}"/>
    <cellStyle name="Heading 2 675" xfId="10271" xr:uid="{00000000-0005-0000-0000-0000B7270000}"/>
    <cellStyle name="Heading 2 676" xfId="10272" xr:uid="{00000000-0005-0000-0000-0000B8270000}"/>
    <cellStyle name="Heading 2 677" xfId="10273" xr:uid="{00000000-0005-0000-0000-0000B9270000}"/>
    <cellStyle name="Heading 2 678" xfId="10274" xr:uid="{00000000-0005-0000-0000-0000BA270000}"/>
    <cellStyle name="Heading 2 679" xfId="10275" xr:uid="{00000000-0005-0000-0000-0000BB270000}"/>
    <cellStyle name="Heading 2 68" xfId="10276" xr:uid="{00000000-0005-0000-0000-0000BC270000}"/>
    <cellStyle name="Heading 2 680" xfId="10277" xr:uid="{00000000-0005-0000-0000-0000BD270000}"/>
    <cellStyle name="Heading 2 681" xfId="10278" xr:uid="{00000000-0005-0000-0000-0000BE270000}"/>
    <cellStyle name="Heading 2 682" xfId="10279" xr:uid="{00000000-0005-0000-0000-0000BF270000}"/>
    <cellStyle name="Heading 2 683" xfId="10280" xr:uid="{00000000-0005-0000-0000-0000C0270000}"/>
    <cellStyle name="Heading 2 684" xfId="10281" xr:uid="{00000000-0005-0000-0000-0000C1270000}"/>
    <cellStyle name="Heading 2 685" xfId="10282" xr:uid="{00000000-0005-0000-0000-0000C2270000}"/>
    <cellStyle name="Heading 2 686" xfId="10283" xr:uid="{00000000-0005-0000-0000-0000C3270000}"/>
    <cellStyle name="Heading 2 687" xfId="10284" xr:uid="{00000000-0005-0000-0000-0000C4270000}"/>
    <cellStyle name="Heading 2 688" xfId="10285" xr:uid="{00000000-0005-0000-0000-0000C5270000}"/>
    <cellStyle name="Heading 2 689" xfId="10286" xr:uid="{00000000-0005-0000-0000-0000C6270000}"/>
    <cellStyle name="Heading 2 69" xfId="10287" xr:uid="{00000000-0005-0000-0000-0000C7270000}"/>
    <cellStyle name="Heading 2 690" xfId="10288" xr:uid="{00000000-0005-0000-0000-0000C8270000}"/>
    <cellStyle name="Heading 2 691" xfId="10289" xr:uid="{00000000-0005-0000-0000-0000C9270000}"/>
    <cellStyle name="Heading 2 692" xfId="10290" xr:uid="{00000000-0005-0000-0000-0000CA270000}"/>
    <cellStyle name="Heading 2 693" xfId="10291" xr:uid="{00000000-0005-0000-0000-0000CB270000}"/>
    <cellStyle name="Heading 2 694" xfId="10292" xr:uid="{00000000-0005-0000-0000-0000CC270000}"/>
    <cellStyle name="Heading 2 695" xfId="10293" xr:uid="{00000000-0005-0000-0000-0000CD270000}"/>
    <cellStyle name="Heading 2 696" xfId="10294" xr:uid="{00000000-0005-0000-0000-0000CE270000}"/>
    <cellStyle name="Heading 2 697" xfId="10295" xr:uid="{00000000-0005-0000-0000-0000CF270000}"/>
    <cellStyle name="Heading 2 698" xfId="10296" xr:uid="{00000000-0005-0000-0000-0000D0270000}"/>
    <cellStyle name="Heading 2 699" xfId="10297" xr:uid="{00000000-0005-0000-0000-0000D1270000}"/>
    <cellStyle name="Heading 2 7" xfId="10298" xr:uid="{00000000-0005-0000-0000-0000D2270000}"/>
    <cellStyle name="Heading 2 70" xfId="10299" xr:uid="{00000000-0005-0000-0000-0000D3270000}"/>
    <cellStyle name="Heading 2 700" xfId="10300" xr:uid="{00000000-0005-0000-0000-0000D4270000}"/>
    <cellStyle name="Heading 2 701" xfId="10301" xr:uid="{00000000-0005-0000-0000-0000D5270000}"/>
    <cellStyle name="Heading 2 702" xfId="10302" xr:uid="{00000000-0005-0000-0000-0000D6270000}"/>
    <cellStyle name="Heading 2 703" xfId="10303" xr:uid="{00000000-0005-0000-0000-0000D7270000}"/>
    <cellStyle name="Heading 2 704" xfId="10304" xr:uid="{00000000-0005-0000-0000-0000D8270000}"/>
    <cellStyle name="Heading 2 705" xfId="10305" xr:uid="{00000000-0005-0000-0000-0000D9270000}"/>
    <cellStyle name="Heading 2 706" xfId="10306" xr:uid="{00000000-0005-0000-0000-0000DA270000}"/>
    <cellStyle name="Heading 2 707" xfId="10307" xr:uid="{00000000-0005-0000-0000-0000DB270000}"/>
    <cellStyle name="Heading 2 708" xfId="10308" xr:uid="{00000000-0005-0000-0000-0000DC270000}"/>
    <cellStyle name="Heading 2 709" xfId="10309" xr:uid="{00000000-0005-0000-0000-0000DD270000}"/>
    <cellStyle name="Heading 2 71" xfId="10310" xr:uid="{00000000-0005-0000-0000-0000DE270000}"/>
    <cellStyle name="Heading 2 710" xfId="10311" xr:uid="{00000000-0005-0000-0000-0000DF270000}"/>
    <cellStyle name="Heading 2 711" xfId="10312" xr:uid="{00000000-0005-0000-0000-0000E0270000}"/>
    <cellStyle name="Heading 2 712" xfId="10313" xr:uid="{00000000-0005-0000-0000-0000E1270000}"/>
    <cellStyle name="Heading 2 713" xfId="10314" xr:uid="{00000000-0005-0000-0000-0000E2270000}"/>
    <cellStyle name="Heading 2 714" xfId="10315" xr:uid="{00000000-0005-0000-0000-0000E3270000}"/>
    <cellStyle name="Heading 2 715" xfId="10316" xr:uid="{00000000-0005-0000-0000-0000E4270000}"/>
    <cellStyle name="Heading 2 716" xfId="10317" xr:uid="{00000000-0005-0000-0000-0000E5270000}"/>
    <cellStyle name="Heading 2 717" xfId="10318" xr:uid="{00000000-0005-0000-0000-0000E6270000}"/>
    <cellStyle name="Heading 2 718" xfId="10319" xr:uid="{00000000-0005-0000-0000-0000E7270000}"/>
    <cellStyle name="Heading 2 719" xfId="10320" xr:uid="{00000000-0005-0000-0000-0000E8270000}"/>
    <cellStyle name="Heading 2 72" xfId="10321" xr:uid="{00000000-0005-0000-0000-0000E9270000}"/>
    <cellStyle name="Heading 2 720" xfId="10322" xr:uid="{00000000-0005-0000-0000-0000EA270000}"/>
    <cellStyle name="Heading 2 721" xfId="10323" xr:uid="{00000000-0005-0000-0000-0000EB270000}"/>
    <cellStyle name="Heading 2 722" xfId="10324" xr:uid="{00000000-0005-0000-0000-0000EC270000}"/>
    <cellStyle name="Heading 2 723" xfId="10325" xr:uid="{00000000-0005-0000-0000-0000ED270000}"/>
    <cellStyle name="Heading 2 724" xfId="10326" xr:uid="{00000000-0005-0000-0000-0000EE270000}"/>
    <cellStyle name="Heading 2 725" xfId="10327" xr:uid="{00000000-0005-0000-0000-0000EF270000}"/>
    <cellStyle name="Heading 2 726" xfId="10328" xr:uid="{00000000-0005-0000-0000-0000F0270000}"/>
    <cellStyle name="Heading 2 727" xfId="10329" xr:uid="{00000000-0005-0000-0000-0000F1270000}"/>
    <cellStyle name="Heading 2 728" xfId="10330" xr:uid="{00000000-0005-0000-0000-0000F2270000}"/>
    <cellStyle name="Heading 2 729" xfId="10331" xr:uid="{00000000-0005-0000-0000-0000F3270000}"/>
    <cellStyle name="Heading 2 73" xfId="10332" xr:uid="{00000000-0005-0000-0000-0000F4270000}"/>
    <cellStyle name="Heading 2 730" xfId="10333" xr:uid="{00000000-0005-0000-0000-0000F5270000}"/>
    <cellStyle name="Heading 2 731" xfId="10334" xr:uid="{00000000-0005-0000-0000-0000F6270000}"/>
    <cellStyle name="Heading 2 732" xfId="10335" xr:uid="{00000000-0005-0000-0000-0000F7270000}"/>
    <cellStyle name="Heading 2 733" xfId="10336" xr:uid="{00000000-0005-0000-0000-0000F8270000}"/>
    <cellStyle name="Heading 2 734" xfId="10337" xr:uid="{00000000-0005-0000-0000-0000F9270000}"/>
    <cellStyle name="Heading 2 735" xfId="10338" xr:uid="{00000000-0005-0000-0000-0000FA270000}"/>
    <cellStyle name="Heading 2 736" xfId="10339" xr:uid="{00000000-0005-0000-0000-0000FB270000}"/>
    <cellStyle name="Heading 2 737" xfId="10340" xr:uid="{00000000-0005-0000-0000-0000FC270000}"/>
    <cellStyle name="Heading 2 738" xfId="10341" xr:uid="{00000000-0005-0000-0000-0000FD270000}"/>
    <cellStyle name="Heading 2 739" xfId="10342" xr:uid="{00000000-0005-0000-0000-0000FE270000}"/>
    <cellStyle name="Heading 2 74" xfId="10343" xr:uid="{00000000-0005-0000-0000-0000FF270000}"/>
    <cellStyle name="Heading 2 740" xfId="10344" xr:uid="{00000000-0005-0000-0000-000000280000}"/>
    <cellStyle name="Heading 2 741" xfId="10345" xr:uid="{00000000-0005-0000-0000-000001280000}"/>
    <cellStyle name="Heading 2 742" xfId="10346" xr:uid="{00000000-0005-0000-0000-000002280000}"/>
    <cellStyle name="Heading 2 743" xfId="10347" xr:uid="{00000000-0005-0000-0000-000003280000}"/>
    <cellStyle name="Heading 2 744" xfId="10348" xr:uid="{00000000-0005-0000-0000-000004280000}"/>
    <cellStyle name="Heading 2 745" xfId="10349" xr:uid="{00000000-0005-0000-0000-000005280000}"/>
    <cellStyle name="Heading 2 746" xfId="10350" xr:uid="{00000000-0005-0000-0000-000006280000}"/>
    <cellStyle name="Heading 2 747" xfId="10351" xr:uid="{00000000-0005-0000-0000-000007280000}"/>
    <cellStyle name="Heading 2 748" xfId="10352" xr:uid="{00000000-0005-0000-0000-000008280000}"/>
    <cellStyle name="Heading 2 749" xfId="10353" xr:uid="{00000000-0005-0000-0000-000009280000}"/>
    <cellStyle name="Heading 2 75" xfId="10354" xr:uid="{00000000-0005-0000-0000-00000A280000}"/>
    <cellStyle name="Heading 2 750" xfId="10355" xr:uid="{00000000-0005-0000-0000-00000B280000}"/>
    <cellStyle name="Heading 2 751" xfId="10356" xr:uid="{00000000-0005-0000-0000-00000C280000}"/>
    <cellStyle name="Heading 2 752" xfId="10357" xr:uid="{00000000-0005-0000-0000-00000D280000}"/>
    <cellStyle name="Heading 2 753" xfId="10358" xr:uid="{00000000-0005-0000-0000-00000E280000}"/>
    <cellStyle name="Heading 2 754" xfId="10359" xr:uid="{00000000-0005-0000-0000-00000F280000}"/>
    <cellStyle name="Heading 2 755" xfId="10360" xr:uid="{00000000-0005-0000-0000-000010280000}"/>
    <cellStyle name="Heading 2 756" xfId="10361" xr:uid="{00000000-0005-0000-0000-000011280000}"/>
    <cellStyle name="Heading 2 757" xfId="10362" xr:uid="{00000000-0005-0000-0000-000012280000}"/>
    <cellStyle name="Heading 2 758" xfId="10363" xr:uid="{00000000-0005-0000-0000-000013280000}"/>
    <cellStyle name="Heading 2 759" xfId="10364" xr:uid="{00000000-0005-0000-0000-000014280000}"/>
    <cellStyle name="Heading 2 76" xfId="10365" xr:uid="{00000000-0005-0000-0000-000015280000}"/>
    <cellStyle name="Heading 2 760" xfId="10366" xr:uid="{00000000-0005-0000-0000-000016280000}"/>
    <cellStyle name="Heading 2 761" xfId="10367" xr:uid="{00000000-0005-0000-0000-000017280000}"/>
    <cellStyle name="Heading 2 762" xfId="10368" xr:uid="{00000000-0005-0000-0000-000018280000}"/>
    <cellStyle name="Heading 2 763" xfId="10369" xr:uid="{00000000-0005-0000-0000-000019280000}"/>
    <cellStyle name="Heading 2 764" xfId="10370" xr:uid="{00000000-0005-0000-0000-00001A280000}"/>
    <cellStyle name="Heading 2 765" xfId="10371" xr:uid="{00000000-0005-0000-0000-00001B280000}"/>
    <cellStyle name="Heading 2 766" xfId="10372" xr:uid="{00000000-0005-0000-0000-00001C280000}"/>
    <cellStyle name="Heading 2 767" xfId="10373" xr:uid="{00000000-0005-0000-0000-00001D280000}"/>
    <cellStyle name="Heading 2 768" xfId="10374" xr:uid="{00000000-0005-0000-0000-00001E280000}"/>
    <cellStyle name="Heading 2 769" xfId="10375" xr:uid="{00000000-0005-0000-0000-00001F280000}"/>
    <cellStyle name="Heading 2 77" xfId="10376" xr:uid="{00000000-0005-0000-0000-000020280000}"/>
    <cellStyle name="Heading 2 770" xfId="10377" xr:uid="{00000000-0005-0000-0000-000021280000}"/>
    <cellStyle name="Heading 2 771" xfId="10378" xr:uid="{00000000-0005-0000-0000-000022280000}"/>
    <cellStyle name="Heading 2 772" xfId="10379" xr:uid="{00000000-0005-0000-0000-000023280000}"/>
    <cellStyle name="Heading 2 773" xfId="10380" xr:uid="{00000000-0005-0000-0000-000024280000}"/>
    <cellStyle name="Heading 2 774" xfId="10381" xr:uid="{00000000-0005-0000-0000-000025280000}"/>
    <cellStyle name="Heading 2 775" xfId="10382" xr:uid="{00000000-0005-0000-0000-000026280000}"/>
    <cellStyle name="Heading 2 776" xfId="10383" xr:uid="{00000000-0005-0000-0000-000027280000}"/>
    <cellStyle name="Heading 2 777" xfId="10384" xr:uid="{00000000-0005-0000-0000-000028280000}"/>
    <cellStyle name="Heading 2 778" xfId="10385" xr:uid="{00000000-0005-0000-0000-000029280000}"/>
    <cellStyle name="Heading 2 779" xfId="10386" xr:uid="{00000000-0005-0000-0000-00002A280000}"/>
    <cellStyle name="Heading 2 78" xfId="10387" xr:uid="{00000000-0005-0000-0000-00002B280000}"/>
    <cellStyle name="Heading 2 780" xfId="10388" xr:uid="{00000000-0005-0000-0000-00002C280000}"/>
    <cellStyle name="Heading 2 781" xfId="10389" xr:uid="{00000000-0005-0000-0000-00002D280000}"/>
    <cellStyle name="Heading 2 782" xfId="10390" xr:uid="{00000000-0005-0000-0000-00002E280000}"/>
    <cellStyle name="Heading 2 783" xfId="10391" xr:uid="{00000000-0005-0000-0000-00002F280000}"/>
    <cellStyle name="Heading 2 784" xfId="10392" xr:uid="{00000000-0005-0000-0000-000030280000}"/>
    <cellStyle name="Heading 2 785" xfId="10393" xr:uid="{00000000-0005-0000-0000-000031280000}"/>
    <cellStyle name="Heading 2 786" xfId="10394" xr:uid="{00000000-0005-0000-0000-000032280000}"/>
    <cellStyle name="Heading 2 787" xfId="10395" xr:uid="{00000000-0005-0000-0000-000033280000}"/>
    <cellStyle name="Heading 2 788" xfId="10396" xr:uid="{00000000-0005-0000-0000-000034280000}"/>
    <cellStyle name="Heading 2 789" xfId="10397" xr:uid="{00000000-0005-0000-0000-000035280000}"/>
    <cellStyle name="Heading 2 79" xfId="10398" xr:uid="{00000000-0005-0000-0000-000036280000}"/>
    <cellStyle name="Heading 2 790" xfId="10399" xr:uid="{00000000-0005-0000-0000-000037280000}"/>
    <cellStyle name="Heading 2 791" xfId="10400" xr:uid="{00000000-0005-0000-0000-000038280000}"/>
    <cellStyle name="Heading 2 792" xfId="10401" xr:uid="{00000000-0005-0000-0000-000039280000}"/>
    <cellStyle name="Heading 2 793" xfId="10402" xr:uid="{00000000-0005-0000-0000-00003A280000}"/>
    <cellStyle name="Heading 2 794" xfId="10403" xr:uid="{00000000-0005-0000-0000-00003B280000}"/>
    <cellStyle name="Heading 2 795" xfId="10404" xr:uid="{00000000-0005-0000-0000-00003C280000}"/>
    <cellStyle name="Heading 2 796" xfId="10405" xr:uid="{00000000-0005-0000-0000-00003D280000}"/>
    <cellStyle name="Heading 2 797" xfId="10406" xr:uid="{00000000-0005-0000-0000-00003E280000}"/>
    <cellStyle name="Heading 2 798" xfId="10407" xr:uid="{00000000-0005-0000-0000-00003F280000}"/>
    <cellStyle name="Heading 2 799" xfId="10408" xr:uid="{00000000-0005-0000-0000-000040280000}"/>
    <cellStyle name="Heading 2 8" xfId="10409" xr:uid="{00000000-0005-0000-0000-000041280000}"/>
    <cellStyle name="Heading 2 80" xfId="10410" xr:uid="{00000000-0005-0000-0000-000042280000}"/>
    <cellStyle name="Heading 2 800" xfId="10411" xr:uid="{00000000-0005-0000-0000-000043280000}"/>
    <cellStyle name="Heading 2 801" xfId="10412" xr:uid="{00000000-0005-0000-0000-000044280000}"/>
    <cellStyle name="Heading 2 802" xfId="10413" xr:uid="{00000000-0005-0000-0000-000045280000}"/>
    <cellStyle name="Heading 2 803" xfId="10414" xr:uid="{00000000-0005-0000-0000-000046280000}"/>
    <cellStyle name="Heading 2 804" xfId="10415" xr:uid="{00000000-0005-0000-0000-000047280000}"/>
    <cellStyle name="Heading 2 805" xfId="10416" xr:uid="{00000000-0005-0000-0000-000048280000}"/>
    <cellStyle name="Heading 2 806" xfId="10417" xr:uid="{00000000-0005-0000-0000-000049280000}"/>
    <cellStyle name="Heading 2 807" xfId="10418" xr:uid="{00000000-0005-0000-0000-00004A280000}"/>
    <cellStyle name="Heading 2 808" xfId="10419" xr:uid="{00000000-0005-0000-0000-00004B280000}"/>
    <cellStyle name="Heading 2 809" xfId="10420" xr:uid="{00000000-0005-0000-0000-00004C280000}"/>
    <cellStyle name="Heading 2 81" xfId="10421" xr:uid="{00000000-0005-0000-0000-00004D280000}"/>
    <cellStyle name="Heading 2 810" xfId="10422" xr:uid="{00000000-0005-0000-0000-00004E280000}"/>
    <cellStyle name="Heading 2 811" xfId="10423" xr:uid="{00000000-0005-0000-0000-00004F280000}"/>
    <cellStyle name="Heading 2 812" xfId="10424" xr:uid="{00000000-0005-0000-0000-000050280000}"/>
    <cellStyle name="Heading 2 813" xfId="10425" xr:uid="{00000000-0005-0000-0000-000051280000}"/>
    <cellStyle name="Heading 2 814" xfId="10426" xr:uid="{00000000-0005-0000-0000-000052280000}"/>
    <cellStyle name="Heading 2 815" xfId="10427" xr:uid="{00000000-0005-0000-0000-000053280000}"/>
    <cellStyle name="Heading 2 816" xfId="10428" xr:uid="{00000000-0005-0000-0000-000054280000}"/>
    <cellStyle name="Heading 2 817" xfId="10429" xr:uid="{00000000-0005-0000-0000-000055280000}"/>
    <cellStyle name="Heading 2 818" xfId="10430" xr:uid="{00000000-0005-0000-0000-000056280000}"/>
    <cellStyle name="Heading 2 819" xfId="10431" xr:uid="{00000000-0005-0000-0000-000057280000}"/>
    <cellStyle name="Heading 2 82" xfId="10432" xr:uid="{00000000-0005-0000-0000-000058280000}"/>
    <cellStyle name="Heading 2 820" xfId="10433" xr:uid="{00000000-0005-0000-0000-000059280000}"/>
    <cellStyle name="Heading 2 821" xfId="10434" xr:uid="{00000000-0005-0000-0000-00005A280000}"/>
    <cellStyle name="Heading 2 822" xfId="10435" xr:uid="{00000000-0005-0000-0000-00005B280000}"/>
    <cellStyle name="Heading 2 823" xfId="10436" xr:uid="{00000000-0005-0000-0000-00005C280000}"/>
    <cellStyle name="Heading 2 824" xfId="10437" xr:uid="{00000000-0005-0000-0000-00005D280000}"/>
    <cellStyle name="Heading 2 825" xfId="10438" xr:uid="{00000000-0005-0000-0000-00005E280000}"/>
    <cellStyle name="Heading 2 826" xfId="10439" xr:uid="{00000000-0005-0000-0000-00005F280000}"/>
    <cellStyle name="Heading 2 827" xfId="10440" xr:uid="{00000000-0005-0000-0000-000060280000}"/>
    <cellStyle name="Heading 2 828" xfId="10441" xr:uid="{00000000-0005-0000-0000-000061280000}"/>
    <cellStyle name="Heading 2 829" xfId="10442" xr:uid="{00000000-0005-0000-0000-000062280000}"/>
    <cellStyle name="Heading 2 83" xfId="10443" xr:uid="{00000000-0005-0000-0000-000063280000}"/>
    <cellStyle name="Heading 2 830" xfId="10444" xr:uid="{00000000-0005-0000-0000-000064280000}"/>
    <cellStyle name="Heading 2 831" xfId="10445" xr:uid="{00000000-0005-0000-0000-000065280000}"/>
    <cellStyle name="Heading 2 832" xfId="10446" xr:uid="{00000000-0005-0000-0000-000066280000}"/>
    <cellStyle name="Heading 2 833" xfId="10447" xr:uid="{00000000-0005-0000-0000-000067280000}"/>
    <cellStyle name="Heading 2 834" xfId="10448" xr:uid="{00000000-0005-0000-0000-000068280000}"/>
    <cellStyle name="Heading 2 835" xfId="10449" xr:uid="{00000000-0005-0000-0000-000069280000}"/>
    <cellStyle name="Heading 2 836" xfId="10450" xr:uid="{00000000-0005-0000-0000-00006A280000}"/>
    <cellStyle name="Heading 2 837" xfId="10451" xr:uid="{00000000-0005-0000-0000-00006B280000}"/>
    <cellStyle name="Heading 2 838" xfId="10452" xr:uid="{00000000-0005-0000-0000-00006C280000}"/>
    <cellStyle name="Heading 2 839" xfId="10453" xr:uid="{00000000-0005-0000-0000-00006D280000}"/>
    <cellStyle name="Heading 2 84" xfId="10454" xr:uid="{00000000-0005-0000-0000-00006E280000}"/>
    <cellStyle name="Heading 2 840" xfId="10455" xr:uid="{00000000-0005-0000-0000-00006F280000}"/>
    <cellStyle name="Heading 2 841" xfId="10456" xr:uid="{00000000-0005-0000-0000-000070280000}"/>
    <cellStyle name="Heading 2 842" xfId="10457" xr:uid="{00000000-0005-0000-0000-000071280000}"/>
    <cellStyle name="Heading 2 843" xfId="10458" xr:uid="{00000000-0005-0000-0000-000072280000}"/>
    <cellStyle name="Heading 2 844" xfId="10459" xr:uid="{00000000-0005-0000-0000-000073280000}"/>
    <cellStyle name="Heading 2 845" xfId="10460" xr:uid="{00000000-0005-0000-0000-000074280000}"/>
    <cellStyle name="Heading 2 846" xfId="10461" xr:uid="{00000000-0005-0000-0000-000075280000}"/>
    <cellStyle name="Heading 2 847" xfId="10462" xr:uid="{00000000-0005-0000-0000-000076280000}"/>
    <cellStyle name="Heading 2 848" xfId="10463" xr:uid="{00000000-0005-0000-0000-000077280000}"/>
    <cellStyle name="Heading 2 849" xfId="10464" xr:uid="{00000000-0005-0000-0000-000078280000}"/>
    <cellStyle name="Heading 2 85" xfId="10465" xr:uid="{00000000-0005-0000-0000-000079280000}"/>
    <cellStyle name="Heading 2 850" xfId="10466" xr:uid="{00000000-0005-0000-0000-00007A280000}"/>
    <cellStyle name="Heading 2 851" xfId="10467" xr:uid="{00000000-0005-0000-0000-00007B280000}"/>
    <cellStyle name="Heading 2 852" xfId="10468" xr:uid="{00000000-0005-0000-0000-00007C280000}"/>
    <cellStyle name="Heading 2 853" xfId="10469" xr:uid="{00000000-0005-0000-0000-00007D280000}"/>
    <cellStyle name="Heading 2 854" xfId="10470" xr:uid="{00000000-0005-0000-0000-00007E280000}"/>
    <cellStyle name="Heading 2 855" xfId="10471" xr:uid="{00000000-0005-0000-0000-00007F280000}"/>
    <cellStyle name="Heading 2 856" xfId="10472" xr:uid="{00000000-0005-0000-0000-000080280000}"/>
    <cellStyle name="Heading 2 857" xfId="10473" xr:uid="{00000000-0005-0000-0000-000081280000}"/>
    <cellStyle name="Heading 2 858" xfId="10474" xr:uid="{00000000-0005-0000-0000-000082280000}"/>
    <cellStyle name="Heading 2 859" xfId="10475" xr:uid="{00000000-0005-0000-0000-000083280000}"/>
    <cellStyle name="Heading 2 86" xfId="10476" xr:uid="{00000000-0005-0000-0000-000084280000}"/>
    <cellStyle name="Heading 2 860" xfId="10477" xr:uid="{00000000-0005-0000-0000-000085280000}"/>
    <cellStyle name="Heading 2 861" xfId="10478" xr:uid="{00000000-0005-0000-0000-000086280000}"/>
    <cellStyle name="Heading 2 862" xfId="10479" xr:uid="{00000000-0005-0000-0000-000087280000}"/>
    <cellStyle name="Heading 2 863" xfId="10480" xr:uid="{00000000-0005-0000-0000-000088280000}"/>
    <cellStyle name="Heading 2 864" xfId="10481" xr:uid="{00000000-0005-0000-0000-000089280000}"/>
    <cellStyle name="Heading 2 865" xfId="10482" xr:uid="{00000000-0005-0000-0000-00008A280000}"/>
    <cellStyle name="Heading 2 866" xfId="10483" xr:uid="{00000000-0005-0000-0000-00008B280000}"/>
    <cellStyle name="Heading 2 867" xfId="10484" xr:uid="{00000000-0005-0000-0000-00008C280000}"/>
    <cellStyle name="Heading 2 868" xfId="10485" xr:uid="{00000000-0005-0000-0000-00008D280000}"/>
    <cellStyle name="Heading 2 869" xfId="10486" xr:uid="{00000000-0005-0000-0000-00008E280000}"/>
    <cellStyle name="Heading 2 87" xfId="10487" xr:uid="{00000000-0005-0000-0000-00008F280000}"/>
    <cellStyle name="Heading 2 870" xfId="10488" xr:uid="{00000000-0005-0000-0000-000090280000}"/>
    <cellStyle name="Heading 2 871" xfId="10489" xr:uid="{00000000-0005-0000-0000-000091280000}"/>
    <cellStyle name="Heading 2 872" xfId="10490" xr:uid="{00000000-0005-0000-0000-000092280000}"/>
    <cellStyle name="Heading 2 873" xfId="10491" xr:uid="{00000000-0005-0000-0000-000093280000}"/>
    <cellStyle name="Heading 2 874" xfId="10492" xr:uid="{00000000-0005-0000-0000-000094280000}"/>
    <cellStyle name="Heading 2 875" xfId="10493" xr:uid="{00000000-0005-0000-0000-000095280000}"/>
    <cellStyle name="Heading 2 876" xfId="10494" xr:uid="{00000000-0005-0000-0000-000096280000}"/>
    <cellStyle name="Heading 2 877" xfId="10495" xr:uid="{00000000-0005-0000-0000-000097280000}"/>
    <cellStyle name="Heading 2 878" xfId="10496" xr:uid="{00000000-0005-0000-0000-000098280000}"/>
    <cellStyle name="Heading 2 879" xfId="10497" xr:uid="{00000000-0005-0000-0000-000099280000}"/>
    <cellStyle name="Heading 2 88" xfId="10498" xr:uid="{00000000-0005-0000-0000-00009A280000}"/>
    <cellStyle name="Heading 2 880" xfId="10499" xr:uid="{00000000-0005-0000-0000-00009B280000}"/>
    <cellStyle name="Heading 2 881" xfId="10500" xr:uid="{00000000-0005-0000-0000-00009C280000}"/>
    <cellStyle name="Heading 2 882" xfId="10501" xr:uid="{00000000-0005-0000-0000-00009D280000}"/>
    <cellStyle name="Heading 2 883" xfId="10502" xr:uid="{00000000-0005-0000-0000-00009E280000}"/>
    <cellStyle name="Heading 2 884" xfId="10503" xr:uid="{00000000-0005-0000-0000-00009F280000}"/>
    <cellStyle name="Heading 2 885" xfId="10504" xr:uid="{00000000-0005-0000-0000-0000A0280000}"/>
    <cellStyle name="Heading 2 886" xfId="10505" xr:uid="{00000000-0005-0000-0000-0000A1280000}"/>
    <cellStyle name="Heading 2 887" xfId="10506" xr:uid="{00000000-0005-0000-0000-0000A2280000}"/>
    <cellStyle name="Heading 2 888" xfId="10507" xr:uid="{00000000-0005-0000-0000-0000A3280000}"/>
    <cellStyle name="Heading 2 889" xfId="10508" xr:uid="{00000000-0005-0000-0000-0000A4280000}"/>
    <cellStyle name="Heading 2 89" xfId="10509" xr:uid="{00000000-0005-0000-0000-0000A5280000}"/>
    <cellStyle name="Heading 2 890" xfId="10510" xr:uid="{00000000-0005-0000-0000-0000A6280000}"/>
    <cellStyle name="Heading 2 891" xfId="10511" xr:uid="{00000000-0005-0000-0000-0000A7280000}"/>
    <cellStyle name="Heading 2 892" xfId="10512" xr:uid="{00000000-0005-0000-0000-0000A8280000}"/>
    <cellStyle name="Heading 2 893" xfId="10513" xr:uid="{00000000-0005-0000-0000-0000A9280000}"/>
    <cellStyle name="Heading 2 894" xfId="10514" xr:uid="{00000000-0005-0000-0000-0000AA280000}"/>
    <cellStyle name="Heading 2 895" xfId="10515" xr:uid="{00000000-0005-0000-0000-0000AB280000}"/>
    <cellStyle name="Heading 2 896" xfId="10516" xr:uid="{00000000-0005-0000-0000-0000AC280000}"/>
    <cellStyle name="Heading 2 897" xfId="10517" xr:uid="{00000000-0005-0000-0000-0000AD280000}"/>
    <cellStyle name="Heading 2 898" xfId="10518" xr:uid="{00000000-0005-0000-0000-0000AE280000}"/>
    <cellStyle name="Heading 2 899" xfId="10519" xr:uid="{00000000-0005-0000-0000-0000AF280000}"/>
    <cellStyle name="Heading 2 9" xfId="10520" xr:uid="{00000000-0005-0000-0000-0000B0280000}"/>
    <cellStyle name="Heading 2 90" xfId="10521" xr:uid="{00000000-0005-0000-0000-0000B1280000}"/>
    <cellStyle name="Heading 2 900" xfId="10522" xr:uid="{00000000-0005-0000-0000-0000B2280000}"/>
    <cellStyle name="Heading 2 901" xfId="10523" xr:uid="{00000000-0005-0000-0000-0000B3280000}"/>
    <cellStyle name="Heading 2 902" xfId="10524" xr:uid="{00000000-0005-0000-0000-0000B4280000}"/>
    <cellStyle name="Heading 2 903" xfId="10525" xr:uid="{00000000-0005-0000-0000-0000B5280000}"/>
    <cellStyle name="Heading 2 904" xfId="10526" xr:uid="{00000000-0005-0000-0000-0000B6280000}"/>
    <cellStyle name="Heading 2 905" xfId="10527" xr:uid="{00000000-0005-0000-0000-0000B7280000}"/>
    <cellStyle name="Heading 2 906" xfId="10528" xr:uid="{00000000-0005-0000-0000-0000B8280000}"/>
    <cellStyle name="Heading 2 907" xfId="10529" xr:uid="{00000000-0005-0000-0000-0000B9280000}"/>
    <cellStyle name="Heading 2 908" xfId="10530" xr:uid="{00000000-0005-0000-0000-0000BA280000}"/>
    <cellStyle name="Heading 2 909" xfId="10531" xr:uid="{00000000-0005-0000-0000-0000BB280000}"/>
    <cellStyle name="Heading 2 91" xfId="10532" xr:uid="{00000000-0005-0000-0000-0000BC280000}"/>
    <cellStyle name="Heading 2 910" xfId="10533" xr:uid="{00000000-0005-0000-0000-0000BD280000}"/>
    <cellStyle name="Heading 2 911" xfId="10534" xr:uid="{00000000-0005-0000-0000-0000BE280000}"/>
    <cellStyle name="Heading 2 912" xfId="10535" xr:uid="{00000000-0005-0000-0000-0000BF280000}"/>
    <cellStyle name="Heading 2 913" xfId="10536" xr:uid="{00000000-0005-0000-0000-0000C0280000}"/>
    <cellStyle name="Heading 2 914" xfId="10537" xr:uid="{00000000-0005-0000-0000-0000C1280000}"/>
    <cellStyle name="Heading 2 915" xfId="10538" xr:uid="{00000000-0005-0000-0000-0000C2280000}"/>
    <cellStyle name="Heading 2 916" xfId="10539" xr:uid="{00000000-0005-0000-0000-0000C3280000}"/>
    <cellStyle name="Heading 2 917" xfId="10540" xr:uid="{00000000-0005-0000-0000-0000C4280000}"/>
    <cellStyle name="Heading 2 918" xfId="10541" xr:uid="{00000000-0005-0000-0000-0000C5280000}"/>
    <cellStyle name="Heading 2 919" xfId="10542" xr:uid="{00000000-0005-0000-0000-0000C6280000}"/>
    <cellStyle name="Heading 2 92" xfId="10543" xr:uid="{00000000-0005-0000-0000-0000C7280000}"/>
    <cellStyle name="Heading 2 920" xfId="10544" xr:uid="{00000000-0005-0000-0000-0000C8280000}"/>
    <cellStyle name="Heading 2 921" xfId="10545" xr:uid="{00000000-0005-0000-0000-0000C9280000}"/>
    <cellStyle name="Heading 2 922" xfId="10546" xr:uid="{00000000-0005-0000-0000-0000CA280000}"/>
    <cellStyle name="Heading 2 923" xfId="10547" xr:uid="{00000000-0005-0000-0000-0000CB280000}"/>
    <cellStyle name="Heading 2 924" xfId="10548" xr:uid="{00000000-0005-0000-0000-0000CC280000}"/>
    <cellStyle name="Heading 2 925" xfId="10549" xr:uid="{00000000-0005-0000-0000-0000CD280000}"/>
    <cellStyle name="Heading 2 926" xfId="10550" xr:uid="{00000000-0005-0000-0000-0000CE280000}"/>
    <cellStyle name="Heading 2 927" xfId="10551" xr:uid="{00000000-0005-0000-0000-0000CF280000}"/>
    <cellStyle name="Heading 2 928" xfId="10552" xr:uid="{00000000-0005-0000-0000-0000D0280000}"/>
    <cellStyle name="Heading 2 929" xfId="10553" xr:uid="{00000000-0005-0000-0000-0000D1280000}"/>
    <cellStyle name="Heading 2 93" xfId="10554" xr:uid="{00000000-0005-0000-0000-0000D2280000}"/>
    <cellStyle name="Heading 2 930" xfId="10555" xr:uid="{00000000-0005-0000-0000-0000D3280000}"/>
    <cellStyle name="Heading 2 931" xfId="10556" xr:uid="{00000000-0005-0000-0000-0000D4280000}"/>
    <cellStyle name="Heading 2 932" xfId="10557" xr:uid="{00000000-0005-0000-0000-0000D5280000}"/>
    <cellStyle name="Heading 2 933" xfId="10558" xr:uid="{00000000-0005-0000-0000-0000D6280000}"/>
    <cellStyle name="Heading 2 934" xfId="10559" xr:uid="{00000000-0005-0000-0000-0000D7280000}"/>
    <cellStyle name="Heading 2 935" xfId="10560" xr:uid="{00000000-0005-0000-0000-0000D8280000}"/>
    <cellStyle name="Heading 2 936" xfId="10561" xr:uid="{00000000-0005-0000-0000-0000D9280000}"/>
    <cellStyle name="Heading 2 937" xfId="10562" xr:uid="{00000000-0005-0000-0000-0000DA280000}"/>
    <cellStyle name="Heading 2 938" xfId="10563" xr:uid="{00000000-0005-0000-0000-0000DB280000}"/>
    <cellStyle name="Heading 2 939" xfId="10564" xr:uid="{00000000-0005-0000-0000-0000DC280000}"/>
    <cellStyle name="Heading 2 94" xfId="10565" xr:uid="{00000000-0005-0000-0000-0000DD280000}"/>
    <cellStyle name="Heading 2 940" xfId="10566" xr:uid="{00000000-0005-0000-0000-0000DE280000}"/>
    <cellStyle name="Heading 2 941" xfId="10567" xr:uid="{00000000-0005-0000-0000-0000DF280000}"/>
    <cellStyle name="Heading 2 942" xfId="10568" xr:uid="{00000000-0005-0000-0000-0000E0280000}"/>
    <cellStyle name="Heading 2 943" xfId="10569" xr:uid="{00000000-0005-0000-0000-0000E1280000}"/>
    <cellStyle name="Heading 2 944" xfId="10570" xr:uid="{00000000-0005-0000-0000-0000E2280000}"/>
    <cellStyle name="Heading 2 945" xfId="10571" xr:uid="{00000000-0005-0000-0000-0000E3280000}"/>
    <cellStyle name="Heading 2 946" xfId="10572" xr:uid="{00000000-0005-0000-0000-0000E4280000}"/>
    <cellStyle name="Heading 2 947" xfId="10573" xr:uid="{00000000-0005-0000-0000-0000E5280000}"/>
    <cellStyle name="Heading 2 948" xfId="10574" xr:uid="{00000000-0005-0000-0000-0000E6280000}"/>
    <cellStyle name="Heading 2 949" xfId="10575" xr:uid="{00000000-0005-0000-0000-0000E7280000}"/>
    <cellStyle name="Heading 2 95" xfId="10576" xr:uid="{00000000-0005-0000-0000-0000E8280000}"/>
    <cellStyle name="Heading 2 950" xfId="10577" xr:uid="{00000000-0005-0000-0000-0000E9280000}"/>
    <cellStyle name="Heading 2 951" xfId="10578" xr:uid="{00000000-0005-0000-0000-0000EA280000}"/>
    <cellStyle name="Heading 2 952" xfId="10579" xr:uid="{00000000-0005-0000-0000-0000EB280000}"/>
    <cellStyle name="Heading 2 953" xfId="10580" xr:uid="{00000000-0005-0000-0000-0000EC280000}"/>
    <cellStyle name="Heading 2 954" xfId="10581" xr:uid="{00000000-0005-0000-0000-0000ED280000}"/>
    <cellStyle name="Heading 2 955" xfId="10582" xr:uid="{00000000-0005-0000-0000-0000EE280000}"/>
    <cellStyle name="Heading 2 956" xfId="10583" xr:uid="{00000000-0005-0000-0000-0000EF280000}"/>
    <cellStyle name="Heading 2 957" xfId="10584" xr:uid="{00000000-0005-0000-0000-0000F0280000}"/>
    <cellStyle name="Heading 2 958" xfId="10585" xr:uid="{00000000-0005-0000-0000-0000F1280000}"/>
    <cellStyle name="Heading 2 959" xfId="10586" xr:uid="{00000000-0005-0000-0000-0000F2280000}"/>
    <cellStyle name="Heading 2 96" xfId="10587" xr:uid="{00000000-0005-0000-0000-0000F3280000}"/>
    <cellStyle name="Heading 2 960" xfId="10588" xr:uid="{00000000-0005-0000-0000-0000F4280000}"/>
    <cellStyle name="Heading 2 961" xfId="10589" xr:uid="{00000000-0005-0000-0000-0000F5280000}"/>
    <cellStyle name="Heading 2 962" xfId="10590" xr:uid="{00000000-0005-0000-0000-0000F6280000}"/>
    <cellStyle name="Heading 2 963" xfId="10591" xr:uid="{00000000-0005-0000-0000-0000F7280000}"/>
    <cellStyle name="Heading 2 964" xfId="10592" xr:uid="{00000000-0005-0000-0000-0000F8280000}"/>
    <cellStyle name="Heading 2 965" xfId="10593" xr:uid="{00000000-0005-0000-0000-0000F9280000}"/>
    <cellStyle name="Heading 2 966" xfId="10594" xr:uid="{00000000-0005-0000-0000-0000FA280000}"/>
    <cellStyle name="Heading 2 967" xfId="10595" xr:uid="{00000000-0005-0000-0000-0000FB280000}"/>
    <cellStyle name="Heading 2 968" xfId="10596" xr:uid="{00000000-0005-0000-0000-0000FC280000}"/>
    <cellStyle name="Heading 2 969" xfId="10597" xr:uid="{00000000-0005-0000-0000-0000FD280000}"/>
    <cellStyle name="Heading 2 97" xfId="10598" xr:uid="{00000000-0005-0000-0000-0000FE280000}"/>
    <cellStyle name="Heading 2 970" xfId="10599" xr:uid="{00000000-0005-0000-0000-0000FF280000}"/>
    <cellStyle name="Heading 2 971" xfId="10600" xr:uid="{00000000-0005-0000-0000-000000290000}"/>
    <cellStyle name="Heading 2 972" xfId="10601" xr:uid="{00000000-0005-0000-0000-000001290000}"/>
    <cellStyle name="Heading 2 973" xfId="10602" xr:uid="{00000000-0005-0000-0000-000002290000}"/>
    <cellStyle name="Heading 2 974" xfId="10603" xr:uid="{00000000-0005-0000-0000-000003290000}"/>
    <cellStyle name="Heading 2 975" xfId="10604" xr:uid="{00000000-0005-0000-0000-000004290000}"/>
    <cellStyle name="Heading 2 976" xfId="10605" xr:uid="{00000000-0005-0000-0000-000005290000}"/>
    <cellStyle name="Heading 2 977" xfId="10606" xr:uid="{00000000-0005-0000-0000-000006290000}"/>
    <cellStyle name="Heading 2 978" xfId="10607" xr:uid="{00000000-0005-0000-0000-000007290000}"/>
    <cellStyle name="Heading 2 979" xfId="10608" xr:uid="{00000000-0005-0000-0000-000008290000}"/>
    <cellStyle name="Heading 2 98" xfId="10609" xr:uid="{00000000-0005-0000-0000-000009290000}"/>
    <cellStyle name="Heading 2 980" xfId="10610" xr:uid="{00000000-0005-0000-0000-00000A290000}"/>
    <cellStyle name="Heading 2 981" xfId="10611" xr:uid="{00000000-0005-0000-0000-00000B290000}"/>
    <cellStyle name="Heading 2 982" xfId="10612" xr:uid="{00000000-0005-0000-0000-00000C290000}"/>
    <cellStyle name="Heading 2 983" xfId="10613" xr:uid="{00000000-0005-0000-0000-00000D290000}"/>
    <cellStyle name="Heading 2 984" xfId="10614" xr:uid="{00000000-0005-0000-0000-00000E290000}"/>
    <cellStyle name="Heading 2 985" xfId="10615" xr:uid="{00000000-0005-0000-0000-00000F290000}"/>
    <cellStyle name="Heading 2 986" xfId="10616" xr:uid="{00000000-0005-0000-0000-000010290000}"/>
    <cellStyle name="Heading 2 987" xfId="10617" xr:uid="{00000000-0005-0000-0000-000011290000}"/>
    <cellStyle name="Heading 2 988" xfId="10618" xr:uid="{00000000-0005-0000-0000-000012290000}"/>
    <cellStyle name="Heading 2 989" xfId="10619" xr:uid="{00000000-0005-0000-0000-000013290000}"/>
    <cellStyle name="Heading 2 99" xfId="10620" xr:uid="{00000000-0005-0000-0000-000014290000}"/>
    <cellStyle name="Heading 2 990" xfId="10621" xr:uid="{00000000-0005-0000-0000-000015290000}"/>
    <cellStyle name="Heading 2 991" xfId="10622" xr:uid="{00000000-0005-0000-0000-000016290000}"/>
    <cellStyle name="Heading 2 992" xfId="10623" xr:uid="{00000000-0005-0000-0000-000017290000}"/>
    <cellStyle name="Heading 2 993" xfId="10624" xr:uid="{00000000-0005-0000-0000-000018290000}"/>
    <cellStyle name="Heading 2 994" xfId="10625" xr:uid="{00000000-0005-0000-0000-000019290000}"/>
    <cellStyle name="Heading 2 995" xfId="10626" xr:uid="{00000000-0005-0000-0000-00001A290000}"/>
    <cellStyle name="Heading 2 996" xfId="10627" xr:uid="{00000000-0005-0000-0000-00001B290000}"/>
    <cellStyle name="Heading 2 997" xfId="10628" xr:uid="{00000000-0005-0000-0000-00001C290000}"/>
    <cellStyle name="Heading 2 998" xfId="10629" xr:uid="{00000000-0005-0000-0000-00001D290000}"/>
    <cellStyle name="Heading 2 999" xfId="10630" xr:uid="{00000000-0005-0000-0000-00001E290000}"/>
    <cellStyle name="Heading 2_Annual_Disclosure_Solo" xfId="10631" xr:uid="{00000000-0005-0000-0000-00001F290000}"/>
    <cellStyle name="Heading 3" xfId="114" xr:uid="{00000000-0005-0000-0000-000020290000}"/>
    <cellStyle name="Heading 3 10" xfId="10632" xr:uid="{00000000-0005-0000-0000-000021290000}"/>
    <cellStyle name="Heading 3 100" xfId="10633" xr:uid="{00000000-0005-0000-0000-000022290000}"/>
    <cellStyle name="Heading 3 1000" xfId="10634" xr:uid="{00000000-0005-0000-0000-000023290000}"/>
    <cellStyle name="Heading 3 1001" xfId="10635" xr:uid="{00000000-0005-0000-0000-000024290000}"/>
    <cellStyle name="Heading 3 1002" xfId="10636" xr:uid="{00000000-0005-0000-0000-000025290000}"/>
    <cellStyle name="Heading 3 1003" xfId="10637" xr:uid="{00000000-0005-0000-0000-000026290000}"/>
    <cellStyle name="Heading 3 1004" xfId="10638" xr:uid="{00000000-0005-0000-0000-000027290000}"/>
    <cellStyle name="Heading 3 1005" xfId="10639" xr:uid="{00000000-0005-0000-0000-000028290000}"/>
    <cellStyle name="Heading 3 1006" xfId="10640" xr:uid="{00000000-0005-0000-0000-000029290000}"/>
    <cellStyle name="Heading 3 1007" xfId="10641" xr:uid="{00000000-0005-0000-0000-00002A290000}"/>
    <cellStyle name="Heading 3 1008" xfId="10642" xr:uid="{00000000-0005-0000-0000-00002B290000}"/>
    <cellStyle name="Heading 3 1009" xfId="10643" xr:uid="{00000000-0005-0000-0000-00002C290000}"/>
    <cellStyle name="Heading 3 101" xfId="10644" xr:uid="{00000000-0005-0000-0000-00002D290000}"/>
    <cellStyle name="Heading 3 1010" xfId="10645" xr:uid="{00000000-0005-0000-0000-00002E290000}"/>
    <cellStyle name="Heading 3 1011" xfId="10646" xr:uid="{00000000-0005-0000-0000-00002F290000}"/>
    <cellStyle name="Heading 3 1012" xfId="10647" xr:uid="{00000000-0005-0000-0000-000030290000}"/>
    <cellStyle name="Heading 3 1013" xfId="10648" xr:uid="{00000000-0005-0000-0000-000031290000}"/>
    <cellStyle name="Heading 3 1014" xfId="10649" xr:uid="{00000000-0005-0000-0000-000032290000}"/>
    <cellStyle name="Heading 3 1015" xfId="10650" xr:uid="{00000000-0005-0000-0000-000033290000}"/>
    <cellStyle name="Heading 3 1016" xfId="10651" xr:uid="{00000000-0005-0000-0000-000034290000}"/>
    <cellStyle name="Heading 3 1017" xfId="10652" xr:uid="{00000000-0005-0000-0000-000035290000}"/>
    <cellStyle name="Heading 3 1018" xfId="10653" xr:uid="{00000000-0005-0000-0000-000036290000}"/>
    <cellStyle name="Heading 3 1019" xfId="10654" xr:uid="{00000000-0005-0000-0000-000037290000}"/>
    <cellStyle name="Heading 3 102" xfId="10655" xr:uid="{00000000-0005-0000-0000-000038290000}"/>
    <cellStyle name="Heading 3 1020" xfId="10656" xr:uid="{00000000-0005-0000-0000-000039290000}"/>
    <cellStyle name="Heading 3 1021" xfId="10657" xr:uid="{00000000-0005-0000-0000-00003A290000}"/>
    <cellStyle name="Heading 3 1022" xfId="10658" xr:uid="{00000000-0005-0000-0000-00003B290000}"/>
    <cellStyle name="Heading 3 1023" xfId="10659" xr:uid="{00000000-0005-0000-0000-00003C290000}"/>
    <cellStyle name="Heading 3 1024" xfId="10660" xr:uid="{00000000-0005-0000-0000-00003D290000}"/>
    <cellStyle name="Heading 3 1025" xfId="10661" xr:uid="{00000000-0005-0000-0000-00003E290000}"/>
    <cellStyle name="Heading 3 1026" xfId="10662" xr:uid="{00000000-0005-0000-0000-00003F290000}"/>
    <cellStyle name="Heading 3 1027" xfId="10663" xr:uid="{00000000-0005-0000-0000-000040290000}"/>
    <cellStyle name="Heading 3 1028" xfId="10664" xr:uid="{00000000-0005-0000-0000-000041290000}"/>
    <cellStyle name="Heading 3 1029" xfId="10665" xr:uid="{00000000-0005-0000-0000-000042290000}"/>
    <cellStyle name="Heading 3 103" xfId="10666" xr:uid="{00000000-0005-0000-0000-000043290000}"/>
    <cellStyle name="Heading 3 1030" xfId="10667" xr:uid="{00000000-0005-0000-0000-000044290000}"/>
    <cellStyle name="Heading 3 1031" xfId="10668" xr:uid="{00000000-0005-0000-0000-000045290000}"/>
    <cellStyle name="Heading 3 1032" xfId="10669" xr:uid="{00000000-0005-0000-0000-000046290000}"/>
    <cellStyle name="Heading 3 1033" xfId="10670" xr:uid="{00000000-0005-0000-0000-000047290000}"/>
    <cellStyle name="Heading 3 1034" xfId="10671" xr:uid="{00000000-0005-0000-0000-000048290000}"/>
    <cellStyle name="Heading 3 1035" xfId="10672" xr:uid="{00000000-0005-0000-0000-000049290000}"/>
    <cellStyle name="Heading 3 1036" xfId="10673" xr:uid="{00000000-0005-0000-0000-00004A290000}"/>
    <cellStyle name="Heading 3 1037" xfId="10674" xr:uid="{00000000-0005-0000-0000-00004B290000}"/>
    <cellStyle name="Heading 3 1038" xfId="10675" xr:uid="{00000000-0005-0000-0000-00004C290000}"/>
    <cellStyle name="Heading 3 1039" xfId="10676" xr:uid="{00000000-0005-0000-0000-00004D290000}"/>
    <cellStyle name="Heading 3 104" xfId="10677" xr:uid="{00000000-0005-0000-0000-00004E290000}"/>
    <cellStyle name="Heading 3 1040" xfId="10678" xr:uid="{00000000-0005-0000-0000-00004F290000}"/>
    <cellStyle name="Heading 3 1041" xfId="10679" xr:uid="{00000000-0005-0000-0000-000050290000}"/>
    <cellStyle name="Heading 3 1042" xfId="10680" xr:uid="{00000000-0005-0000-0000-000051290000}"/>
    <cellStyle name="Heading 3 1043" xfId="10681" xr:uid="{00000000-0005-0000-0000-000052290000}"/>
    <cellStyle name="Heading 3 1044" xfId="10682" xr:uid="{00000000-0005-0000-0000-000053290000}"/>
    <cellStyle name="Heading 3 1045" xfId="10683" xr:uid="{00000000-0005-0000-0000-000054290000}"/>
    <cellStyle name="Heading 3 1046" xfId="10684" xr:uid="{00000000-0005-0000-0000-000055290000}"/>
    <cellStyle name="Heading 3 1047" xfId="10685" xr:uid="{00000000-0005-0000-0000-000056290000}"/>
    <cellStyle name="Heading 3 1048" xfId="10686" xr:uid="{00000000-0005-0000-0000-000057290000}"/>
    <cellStyle name="Heading 3 1049" xfId="10687" xr:uid="{00000000-0005-0000-0000-000058290000}"/>
    <cellStyle name="Heading 3 105" xfId="10688" xr:uid="{00000000-0005-0000-0000-000059290000}"/>
    <cellStyle name="Heading 3 1050" xfId="10689" xr:uid="{00000000-0005-0000-0000-00005A290000}"/>
    <cellStyle name="Heading 3 1051" xfId="10690" xr:uid="{00000000-0005-0000-0000-00005B290000}"/>
    <cellStyle name="Heading 3 1052" xfId="10691" xr:uid="{00000000-0005-0000-0000-00005C290000}"/>
    <cellStyle name="Heading 3 1053" xfId="10692" xr:uid="{00000000-0005-0000-0000-00005D290000}"/>
    <cellStyle name="Heading 3 1054" xfId="10693" xr:uid="{00000000-0005-0000-0000-00005E290000}"/>
    <cellStyle name="Heading 3 1055" xfId="10694" xr:uid="{00000000-0005-0000-0000-00005F290000}"/>
    <cellStyle name="Heading 3 1056" xfId="10695" xr:uid="{00000000-0005-0000-0000-000060290000}"/>
    <cellStyle name="Heading 3 1057" xfId="10696" xr:uid="{00000000-0005-0000-0000-000061290000}"/>
    <cellStyle name="Heading 3 1058" xfId="10697" xr:uid="{00000000-0005-0000-0000-000062290000}"/>
    <cellStyle name="Heading 3 1059" xfId="10698" xr:uid="{00000000-0005-0000-0000-000063290000}"/>
    <cellStyle name="Heading 3 106" xfId="10699" xr:uid="{00000000-0005-0000-0000-000064290000}"/>
    <cellStyle name="Heading 3 1060" xfId="10700" xr:uid="{00000000-0005-0000-0000-000065290000}"/>
    <cellStyle name="Heading 3 1061" xfId="10701" xr:uid="{00000000-0005-0000-0000-000066290000}"/>
    <cellStyle name="Heading 3 1062" xfId="10702" xr:uid="{00000000-0005-0000-0000-000067290000}"/>
    <cellStyle name="Heading 3 1063" xfId="10703" xr:uid="{00000000-0005-0000-0000-000068290000}"/>
    <cellStyle name="Heading 3 1064" xfId="10704" xr:uid="{00000000-0005-0000-0000-000069290000}"/>
    <cellStyle name="Heading 3 1065" xfId="10705" xr:uid="{00000000-0005-0000-0000-00006A290000}"/>
    <cellStyle name="Heading 3 1066" xfId="10706" xr:uid="{00000000-0005-0000-0000-00006B290000}"/>
    <cellStyle name="Heading 3 1067" xfId="10707" xr:uid="{00000000-0005-0000-0000-00006C290000}"/>
    <cellStyle name="Heading 3 1068" xfId="10708" xr:uid="{00000000-0005-0000-0000-00006D290000}"/>
    <cellStyle name="Heading 3 1069" xfId="10709" xr:uid="{00000000-0005-0000-0000-00006E290000}"/>
    <cellStyle name="Heading 3 107" xfId="10710" xr:uid="{00000000-0005-0000-0000-00006F290000}"/>
    <cellStyle name="Heading 3 1070" xfId="10711" xr:uid="{00000000-0005-0000-0000-000070290000}"/>
    <cellStyle name="Heading 3 1071" xfId="10712" xr:uid="{00000000-0005-0000-0000-000071290000}"/>
    <cellStyle name="Heading 3 1072" xfId="10713" xr:uid="{00000000-0005-0000-0000-000072290000}"/>
    <cellStyle name="Heading 3 1073" xfId="10714" xr:uid="{00000000-0005-0000-0000-000073290000}"/>
    <cellStyle name="Heading 3 1074" xfId="10715" xr:uid="{00000000-0005-0000-0000-000074290000}"/>
    <cellStyle name="Heading 3 1075" xfId="10716" xr:uid="{00000000-0005-0000-0000-000075290000}"/>
    <cellStyle name="Heading 3 1076" xfId="10717" xr:uid="{00000000-0005-0000-0000-000076290000}"/>
    <cellStyle name="Heading 3 1077" xfId="10718" xr:uid="{00000000-0005-0000-0000-000077290000}"/>
    <cellStyle name="Heading 3 1078" xfId="10719" xr:uid="{00000000-0005-0000-0000-000078290000}"/>
    <cellStyle name="Heading 3 1079" xfId="10720" xr:uid="{00000000-0005-0000-0000-000079290000}"/>
    <cellStyle name="Heading 3 108" xfId="10721" xr:uid="{00000000-0005-0000-0000-00007A290000}"/>
    <cellStyle name="Heading 3 1080" xfId="10722" xr:uid="{00000000-0005-0000-0000-00007B290000}"/>
    <cellStyle name="Heading 3 1081" xfId="10723" xr:uid="{00000000-0005-0000-0000-00007C290000}"/>
    <cellStyle name="Heading 3 1082" xfId="10724" xr:uid="{00000000-0005-0000-0000-00007D290000}"/>
    <cellStyle name="Heading 3 1083" xfId="10725" xr:uid="{00000000-0005-0000-0000-00007E290000}"/>
    <cellStyle name="Heading 3 1084" xfId="10726" xr:uid="{00000000-0005-0000-0000-00007F290000}"/>
    <cellStyle name="Heading 3 1085" xfId="10727" xr:uid="{00000000-0005-0000-0000-000080290000}"/>
    <cellStyle name="Heading 3 1086" xfId="10728" xr:uid="{00000000-0005-0000-0000-000081290000}"/>
    <cellStyle name="Heading 3 1087" xfId="10729" xr:uid="{00000000-0005-0000-0000-000082290000}"/>
    <cellStyle name="Heading 3 1088" xfId="10730" xr:uid="{00000000-0005-0000-0000-000083290000}"/>
    <cellStyle name="Heading 3 1089" xfId="10731" xr:uid="{00000000-0005-0000-0000-000084290000}"/>
    <cellStyle name="Heading 3 109" xfId="10732" xr:uid="{00000000-0005-0000-0000-000085290000}"/>
    <cellStyle name="Heading 3 1090" xfId="10733" xr:uid="{00000000-0005-0000-0000-000086290000}"/>
    <cellStyle name="Heading 3 1091" xfId="10734" xr:uid="{00000000-0005-0000-0000-000087290000}"/>
    <cellStyle name="Heading 3 1092" xfId="10735" xr:uid="{00000000-0005-0000-0000-000088290000}"/>
    <cellStyle name="Heading 3 1093" xfId="10736" xr:uid="{00000000-0005-0000-0000-000089290000}"/>
    <cellStyle name="Heading 3 1094" xfId="10737" xr:uid="{00000000-0005-0000-0000-00008A290000}"/>
    <cellStyle name="Heading 3 1095" xfId="10738" xr:uid="{00000000-0005-0000-0000-00008B290000}"/>
    <cellStyle name="Heading 3 1096" xfId="10739" xr:uid="{00000000-0005-0000-0000-00008C290000}"/>
    <cellStyle name="Heading 3 1097" xfId="10740" xr:uid="{00000000-0005-0000-0000-00008D290000}"/>
    <cellStyle name="Heading 3 1098" xfId="10741" xr:uid="{00000000-0005-0000-0000-00008E290000}"/>
    <cellStyle name="Heading 3 1099" xfId="10742" xr:uid="{00000000-0005-0000-0000-00008F290000}"/>
    <cellStyle name="Heading 3 11" xfId="10743" xr:uid="{00000000-0005-0000-0000-000090290000}"/>
    <cellStyle name="Heading 3 110" xfId="10744" xr:uid="{00000000-0005-0000-0000-000091290000}"/>
    <cellStyle name="Heading 3 1100" xfId="10745" xr:uid="{00000000-0005-0000-0000-000092290000}"/>
    <cellStyle name="Heading 3 1101" xfId="10746" xr:uid="{00000000-0005-0000-0000-000093290000}"/>
    <cellStyle name="Heading 3 1102" xfId="10747" xr:uid="{00000000-0005-0000-0000-000094290000}"/>
    <cellStyle name="Heading 3 1103" xfId="10748" xr:uid="{00000000-0005-0000-0000-000095290000}"/>
    <cellStyle name="Heading 3 1104" xfId="10749" xr:uid="{00000000-0005-0000-0000-000096290000}"/>
    <cellStyle name="Heading 3 1105" xfId="10750" xr:uid="{00000000-0005-0000-0000-000097290000}"/>
    <cellStyle name="Heading 3 1106" xfId="10751" xr:uid="{00000000-0005-0000-0000-000098290000}"/>
    <cellStyle name="Heading 3 1107" xfId="10752" xr:uid="{00000000-0005-0000-0000-000099290000}"/>
    <cellStyle name="Heading 3 1108" xfId="10753" xr:uid="{00000000-0005-0000-0000-00009A290000}"/>
    <cellStyle name="Heading 3 1109" xfId="10754" xr:uid="{00000000-0005-0000-0000-00009B290000}"/>
    <cellStyle name="Heading 3 111" xfId="10755" xr:uid="{00000000-0005-0000-0000-00009C290000}"/>
    <cellStyle name="Heading 3 1110" xfId="10756" xr:uid="{00000000-0005-0000-0000-00009D290000}"/>
    <cellStyle name="Heading 3 1111" xfId="10757" xr:uid="{00000000-0005-0000-0000-00009E290000}"/>
    <cellStyle name="Heading 3 1112" xfId="10758" xr:uid="{00000000-0005-0000-0000-00009F290000}"/>
    <cellStyle name="Heading 3 1113" xfId="10759" xr:uid="{00000000-0005-0000-0000-0000A0290000}"/>
    <cellStyle name="Heading 3 1114" xfId="10760" xr:uid="{00000000-0005-0000-0000-0000A1290000}"/>
    <cellStyle name="Heading 3 1115" xfId="10761" xr:uid="{00000000-0005-0000-0000-0000A2290000}"/>
    <cellStyle name="Heading 3 1116" xfId="10762" xr:uid="{00000000-0005-0000-0000-0000A3290000}"/>
    <cellStyle name="Heading 3 1117" xfId="10763" xr:uid="{00000000-0005-0000-0000-0000A4290000}"/>
    <cellStyle name="Heading 3 1118" xfId="10764" xr:uid="{00000000-0005-0000-0000-0000A5290000}"/>
    <cellStyle name="Heading 3 1119" xfId="10765" xr:uid="{00000000-0005-0000-0000-0000A6290000}"/>
    <cellStyle name="Heading 3 112" xfId="10766" xr:uid="{00000000-0005-0000-0000-0000A7290000}"/>
    <cellStyle name="Heading 3 1120" xfId="10767" xr:uid="{00000000-0005-0000-0000-0000A8290000}"/>
    <cellStyle name="Heading 3 1121" xfId="10768" xr:uid="{00000000-0005-0000-0000-0000A9290000}"/>
    <cellStyle name="Heading 3 1122" xfId="10769" xr:uid="{00000000-0005-0000-0000-0000AA290000}"/>
    <cellStyle name="Heading 3 1123" xfId="10770" xr:uid="{00000000-0005-0000-0000-0000AB290000}"/>
    <cellStyle name="Heading 3 1124" xfId="10771" xr:uid="{00000000-0005-0000-0000-0000AC290000}"/>
    <cellStyle name="Heading 3 1125" xfId="10772" xr:uid="{00000000-0005-0000-0000-0000AD290000}"/>
    <cellStyle name="Heading 3 1126" xfId="10773" xr:uid="{00000000-0005-0000-0000-0000AE290000}"/>
    <cellStyle name="Heading 3 1127" xfId="10774" xr:uid="{00000000-0005-0000-0000-0000AF290000}"/>
    <cellStyle name="Heading 3 1128" xfId="10775" xr:uid="{00000000-0005-0000-0000-0000B0290000}"/>
    <cellStyle name="Heading 3 1129" xfId="10776" xr:uid="{00000000-0005-0000-0000-0000B1290000}"/>
    <cellStyle name="Heading 3 113" xfId="10777" xr:uid="{00000000-0005-0000-0000-0000B2290000}"/>
    <cellStyle name="Heading 3 1130" xfId="10778" xr:uid="{00000000-0005-0000-0000-0000B3290000}"/>
    <cellStyle name="Heading 3 1131" xfId="10779" xr:uid="{00000000-0005-0000-0000-0000B4290000}"/>
    <cellStyle name="Heading 3 1132" xfId="10780" xr:uid="{00000000-0005-0000-0000-0000B5290000}"/>
    <cellStyle name="Heading 3 1133" xfId="10781" xr:uid="{00000000-0005-0000-0000-0000B6290000}"/>
    <cellStyle name="Heading 3 1134" xfId="10782" xr:uid="{00000000-0005-0000-0000-0000B7290000}"/>
    <cellStyle name="Heading 3 1135" xfId="10783" xr:uid="{00000000-0005-0000-0000-0000B8290000}"/>
    <cellStyle name="Heading 3 1136" xfId="10784" xr:uid="{00000000-0005-0000-0000-0000B9290000}"/>
    <cellStyle name="Heading 3 1137" xfId="10785" xr:uid="{00000000-0005-0000-0000-0000BA290000}"/>
    <cellStyle name="Heading 3 1138" xfId="10786" xr:uid="{00000000-0005-0000-0000-0000BB290000}"/>
    <cellStyle name="Heading 3 1139" xfId="10787" xr:uid="{00000000-0005-0000-0000-0000BC290000}"/>
    <cellStyle name="Heading 3 114" xfId="10788" xr:uid="{00000000-0005-0000-0000-0000BD290000}"/>
    <cellStyle name="Heading 3 1140" xfId="10789" xr:uid="{00000000-0005-0000-0000-0000BE290000}"/>
    <cellStyle name="Heading 3 1141" xfId="10790" xr:uid="{00000000-0005-0000-0000-0000BF290000}"/>
    <cellStyle name="Heading 3 1142" xfId="10791" xr:uid="{00000000-0005-0000-0000-0000C0290000}"/>
    <cellStyle name="Heading 3 1143" xfId="10792" xr:uid="{00000000-0005-0000-0000-0000C1290000}"/>
    <cellStyle name="Heading 3 1144" xfId="10793" xr:uid="{00000000-0005-0000-0000-0000C2290000}"/>
    <cellStyle name="Heading 3 1145" xfId="10794" xr:uid="{00000000-0005-0000-0000-0000C3290000}"/>
    <cellStyle name="Heading 3 1146" xfId="10795" xr:uid="{00000000-0005-0000-0000-0000C4290000}"/>
    <cellStyle name="Heading 3 1147" xfId="10796" xr:uid="{00000000-0005-0000-0000-0000C5290000}"/>
    <cellStyle name="Heading 3 1148" xfId="10797" xr:uid="{00000000-0005-0000-0000-0000C6290000}"/>
    <cellStyle name="Heading 3 1149" xfId="10798" xr:uid="{00000000-0005-0000-0000-0000C7290000}"/>
    <cellStyle name="Heading 3 115" xfId="10799" xr:uid="{00000000-0005-0000-0000-0000C8290000}"/>
    <cellStyle name="Heading 3 1150" xfId="10800" xr:uid="{00000000-0005-0000-0000-0000C9290000}"/>
    <cellStyle name="Heading 3 1151" xfId="10801" xr:uid="{00000000-0005-0000-0000-0000CA290000}"/>
    <cellStyle name="Heading 3 1152" xfId="10802" xr:uid="{00000000-0005-0000-0000-0000CB290000}"/>
    <cellStyle name="Heading 3 1153" xfId="10803" xr:uid="{00000000-0005-0000-0000-0000CC290000}"/>
    <cellStyle name="Heading 3 1154" xfId="10804" xr:uid="{00000000-0005-0000-0000-0000CD290000}"/>
    <cellStyle name="Heading 3 1155" xfId="10805" xr:uid="{00000000-0005-0000-0000-0000CE290000}"/>
    <cellStyle name="Heading 3 1156" xfId="10806" xr:uid="{00000000-0005-0000-0000-0000CF290000}"/>
    <cellStyle name="Heading 3 1157" xfId="10807" xr:uid="{00000000-0005-0000-0000-0000D0290000}"/>
    <cellStyle name="Heading 3 1158" xfId="10808" xr:uid="{00000000-0005-0000-0000-0000D1290000}"/>
    <cellStyle name="Heading 3 1159" xfId="10809" xr:uid="{00000000-0005-0000-0000-0000D2290000}"/>
    <cellStyle name="Heading 3 116" xfId="10810" xr:uid="{00000000-0005-0000-0000-0000D3290000}"/>
    <cellStyle name="Heading 3 1160" xfId="10811" xr:uid="{00000000-0005-0000-0000-0000D4290000}"/>
    <cellStyle name="Heading 3 1161" xfId="10812" xr:uid="{00000000-0005-0000-0000-0000D5290000}"/>
    <cellStyle name="Heading 3 1162" xfId="10813" xr:uid="{00000000-0005-0000-0000-0000D6290000}"/>
    <cellStyle name="Heading 3 117" xfId="10814" xr:uid="{00000000-0005-0000-0000-0000D7290000}"/>
    <cellStyle name="Heading 3 118" xfId="10815" xr:uid="{00000000-0005-0000-0000-0000D8290000}"/>
    <cellStyle name="Heading 3 119" xfId="10816" xr:uid="{00000000-0005-0000-0000-0000D9290000}"/>
    <cellStyle name="Heading 3 12" xfId="10817" xr:uid="{00000000-0005-0000-0000-0000DA290000}"/>
    <cellStyle name="Heading 3 120" xfId="10818" xr:uid="{00000000-0005-0000-0000-0000DB290000}"/>
    <cellStyle name="Heading 3 121" xfId="10819" xr:uid="{00000000-0005-0000-0000-0000DC290000}"/>
    <cellStyle name="Heading 3 122" xfId="10820" xr:uid="{00000000-0005-0000-0000-0000DD290000}"/>
    <cellStyle name="Heading 3 123" xfId="10821" xr:uid="{00000000-0005-0000-0000-0000DE290000}"/>
    <cellStyle name="Heading 3 124" xfId="10822" xr:uid="{00000000-0005-0000-0000-0000DF290000}"/>
    <cellStyle name="Heading 3 125" xfId="10823" xr:uid="{00000000-0005-0000-0000-0000E0290000}"/>
    <cellStyle name="Heading 3 126" xfId="10824" xr:uid="{00000000-0005-0000-0000-0000E1290000}"/>
    <cellStyle name="Heading 3 127" xfId="10825" xr:uid="{00000000-0005-0000-0000-0000E2290000}"/>
    <cellStyle name="Heading 3 128" xfId="10826" xr:uid="{00000000-0005-0000-0000-0000E3290000}"/>
    <cellStyle name="Heading 3 129" xfId="10827" xr:uid="{00000000-0005-0000-0000-0000E4290000}"/>
    <cellStyle name="Heading 3 13" xfId="10828" xr:uid="{00000000-0005-0000-0000-0000E5290000}"/>
    <cellStyle name="Heading 3 130" xfId="10829" xr:uid="{00000000-0005-0000-0000-0000E6290000}"/>
    <cellStyle name="Heading 3 131" xfId="10830" xr:uid="{00000000-0005-0000-0000-0000E7290000}"/>
    <cellStyle name="Heading 3 132" xfId="10831" xr:uid="{00000000-0005-0000-0000-0000E8290000}"/>
    <cellStyle name="Heading 3 133" xfId="10832" xr:uid="{00000000-0005-0000-0000-0000E9290000}"/>
    <cellStyle name="Heading 3 134" xfId="10833" xr:uid="{00000000-0005-0000-0000-0000EA290000}"/>
    <cellStyle name="Heading 3 135" xfId="10834" xr:uid="{00000000-0005-0000-0000-0000EB290000}"/>
    <cellStyle name="Heading 3 136" xfId="10835" xr:uid="{00000000-0005-0000-0000-0000EC290000}"/>
    <cellStyle name="Heading 3 137" xfId="10836" xr:uid="{00000000-0005-0000-0000-0000ED290000}"/>
    <cellStyle name="Heading 3 138" xfId="10837" xr:uid="{00000000-0005-0000-0000-0000EE290000}"/>
    <cellStyle name="Heading 3 139" xfId="10838" xr:uid="{00000000-0005-0000-0000-0000EF290000}"/>
    <cellStyle name="Heading 3 14" xfId="10839" xr:uid="{00000000-0005-0000-0000-0000F0290000}"/>
    <cellStyle name="Heading 3 140" xfId="10840" xr:uid="{00000000-0005-0000-0000-0000F1290000}"/>
    <cellStyle name="Heading 3 141" xfId="10841" xr:uid="{00000000-0005-0000-0000-0000F2290000}"/>
    <cellStyle name="Heading 3 142" xfId="10842" xr:uid="{00000000-0005-0000-0000-0000F3290000}"/>
    <cellStyle name="Heading 3 143" xfId="10843" xr:uid="{00000000-0005-0000-0000-0000F4290000}"/>
    <cellStyle name="Heading 3 144" xfId="10844" xr:uid="{00000000-0005-0000-0000-0000F5290000}"/>
    <cellStyle name="Heading 3 145" xfId="10845" xr:uid="{00000000-0005-0000-0000-0000F6290000}"/>
    <cellStyle name="Heading 3 146" xfId="10846" xr:uid="{00000000-0005-0000-0000-0000F7290000}"/>
    <cellStyle name="Heading 3 147" xfId="10847" xr:uid="{00000000-0005-0000-0000-0000F8290000}"/>
    <cellStyle name="Heading 3 148" xfId="10848" xr:uid="{00000000-0005-0000-0000-0000F9290000}"/>
    <cellStyle name="Heading 3 149" xfId="10849" xr:uid="{00000000-0005-0000-0000-0000FA290000}"/>
    <cellStyle name="Heading 3 15" xfId="10850" xr:uid="{00000000-0005-0000-0000-0000FB290000}"/>
    <cellStyle name="Heading 3 150" xfId="10851" xr:uid="{00000000-0005-0000-0000-0000FC290000}"/>
    <cellStyle name="Heading 3 151" xfId="10852" xr:uid="{00000000-0005-0000-0000-0000FD290000}"/>
    <cellStyle name="Heading 3 152" xfId="10853" xr:uid="{00000000-0005-0000-0000-0000FE290000}"/>
    <cellStyle name="Heading 3 153" xfId="10854" xr:uid="{00000000-0005-0000-0000-0000FF290000}"/>
    <cellStyle name="Heading 3 154" xfId="10855" xr:uid="{00000000-0005-0000-0000-0000002A0000}"/>
    <cellStyle name="Heading 3 155" xfId="10856" xr:uid="{00000000-0005-0000-0000-0000012A0000}"/>
    <cellStyle name="Heading 3 156" xfId="10857" xr:uid="{00000000-0005-0000-0000-0000022A0000}"/>
    <cellStyle name="Heading 3 157" xfId="10858" xr:uid="{00000000-0005-0000-0000-0000032A0000}"/>
    <cellStyle name="Heading 3 158" xfId="10859" xr:uid="{00000000-0005-0000-0000-0000042A0000}"/>
    <cellStyle name="Heading 3 159" xfId="10860" xr:uid="{00000000-0005-0000-0000-0000052A0000}"/>
    <cellStyle name="Heading 3 16" xfId="10861" xr:uid="{00000000-0005-0000-0000-0000062A0000}"/>
    <cellStyle name="Heading 3 160" xfId="10862" xr:uid="{00000000-0005-0000-0000-0000072A0000}"/>
    <cellStyle name="Heading 3 161" xfId="10863" xr:uid="{00000000-0005-0000-0000-0000082A0000}"/>
    <cellStyle name="Heading 3 162" xfId="10864" xr:uid="{00000000-0005-0000-0000-0000092A0000}"/>
    <cellStyle name="Heading 3 163" xfId="10865" xr:uid="{00000000-0005-0000-0000-00000A2A0000}"/>
    <cellStyle name="Heading 3 164" xfId="10866" xr:uid="{00000000-0005-0000-0000-00000B2A0000}"/>
    <cellStyle name="Heading 3 165" xfId="10867" xr:uid="{00000000-0005-0000-0000-00000C2A0000}"/>
    <cellStyle name="Heading 3 166" xfId="10868" xr:uid="{00000000-0005-0000-0000-00000D2A0000}"/>
    <cellStyle name="Heading 3 167" xfId="10869" xr:uid="{00000000-0005-0000-0000-00000E2A0000}"/>
    <cellStyle name="Heading 3 168" xfId="10870" xr:uid="{00000000-0005-0000-0000-00000F2A0000}"/>
    <cellStyle name="Heading 3 169" xfId="10871" xr:uid="{00000000-0005-0000-0000-0000102A0000}"/>
    <cellStyle name="Heading 3 17" xfId="10872" xr:uid="{00000000-0005-0000-0000-0000112A0000}"/>
    <cellStyle name="Heading 3 170" xfId="10873" xr:uid="{00000000-0005-0000-0000-0000122A0000}"/>
    <cellStyle name="Heading 3 171" xfId="10874" xr:uid="{00000000-0005-0000-0000-0000132A0000}"/>
    <cellStyle name="Heading 3 172" xfId="10875" xr:uid="{00000000-0005-0000-0000-0000142A0000}"/>
    <cellStyle name="Heading 3 173" xfId="10876" xr:uid="{00000000-0005-0000-0000-0000152A0000}"/>
    <cellStyle name="Heading 3 174" xfId="10877" xr:uid="{00000000-0005-0000-0000-0000162A0000}"/>
    <cellStyle name="Heading 3 175" xfId="10878" xr:uid="{00000000-0005-0000-0000-0000172A0000}"/>
    <cellStyle name="Heading 3 176" xfId="10879" xr:uid="{00000000-0005-0000-0000-0000182A0000}"/>
    <cellStyle name="Heading 3 177" xfId="10880" xr:uid="{00000000-0005-0000-0000-0000192A0000}"/>
    <cellStyle name="Heading 3 178" xfId="10881" xr:uid="{00000000-0005-0000-0000-00001A2A0000}"/>
    <cellStyle name="Heading 3 179" xfId="10882" xr:uid="{00000000-0005-0000-0000-00001B2A0000}"/>
    <cellStyle name="Heading 3 18" xfId="10883" xr:uid="{00000000-0005-0000-0000-00001C2A0000}"/>
    <cellStyle name="Heading 3 180" xfId="10884" xr:uid="{00000000-0005-0000-0000-00001D2A0000}"/>
    <cellStyle name="Heading 3 181" xfId="10885" xr:uid="{00000000-0005-0000-0000-00001E2A0000}"/>
    <cellStyle name="Heading 3 182" xfId="10886" xr:uid="{00000000-0005-0000-0000-00001F2A0000}"/>
    <cellStyle name="Heading 3 183" xfId="10887" xr:uid="{00000000-0005-0000-0000-0000202A0000}"/>
    <cellStyle name="Heading 3 184" xfId="10888" xr:uid="{00000000-0005-0000-0000-0000212A0000}"/>
    <cellStyle name="Heading 3 185" xfId="10889" xr:uid="{00000000-0005-0000-0000-0000222A0000}"/>
    <cellStyle name="Heading 3 186" xfId="10890" xr:uid="{00000000-0005-0000-0000-0000232A0000}"/>
    <cellStyle name="Heading 3 187" xfId="10891" xr:uid="{00000000-0005-0000-0000-0000242A0000}"/>
    <cellStyle name="Heading 3 188" xfId="10892" xr:uid="{00000000-0005-0000-0000-0000252A0000}"/>
    <cellStyle name="Heading 3 189" xfId="10893" xr:uid="{00000000-0005-0000-0000-0000262A0000}"/>
    <cellStyle name="Heading 3 19" xfId="10894" xr:uid="{00000000-0005-0000-0000-0000272A0000}"/>
    <cellStyle name="Heading 3 190" xfId="10895" xr:uid="{00000000-0005-0000-0000-0000282A0000}"/>
    <cellStyle name="Heading 3 191" xfId="10896" xr:uid="{00000000-0005-0000-0000-0000292A0000}"/>
    <cellStyle name="Heading 3 192" xfId="10897" xr:uid="{00000000-0005-0000-0000-00002A2A0000}"/>
    <cellStyle name="Heading 3 193" xfId="10898" xr:uid="{00000000-0005-0000-0000-00002B2A0000}"/>
    <cellStyle name="Heading 3 194" xfId="10899" xr:uid="{00000000-0005-0000-0000-00002C2A0000}"/>
    <cellStyle name="Heading 3 195" xfId="10900" xr:uid="{00000000-0005-0000-0000-00002D2A0000}"/>
    <cellStyle name="Heading 3 196" xfId="10901" xr:uid="{00000000-0005-0000-0000-00002E2A0000}"/>
    <cellStyle name="Heading 3 197" xfId="10902" xr:uid="{00000000-0005-0000-0000-00002F2A0000}"/>
    <cellStyle name="Heading 3 198" xfId="10903" xr:uid="{00000000-0005-0000-0000-0000302A0000}"/>
    <cellStyle name="Heading 3 199" xfId="10904" xr:uid="{00000000-0005-0000-0000-0000312A0000}"/>
    <cellStyle name="Heading 3 2" xfId="222" xr:uid="{00000000-0005-0000-0000-0000322A0000}"/>
    <cellStyle name="Heading 3 2 2" xfId="10905" xr:uid="{00000000-0005-0000-0000-0000332A0000}"/>
    <cellStyle name="Heading 3 2 3" xfId="10906" xr:uid="{00000000-0005-0000-0000-0000342A0000}"/>
    <cellStyle name="Heading 3 20" xfId="10907" xr:uid="{00000000-0005-0000-0000-0000352A0000}"/>
    <cellStyle name="Heading 3 200" xfId="10908" xr:uid="{00000000-0005-0000-0000-0000362A0000}"/>
    <cellStyle name="Heading 3 201" xfId="10909" xr:uid="{00000000-0005-0000-0000-0000372A0000}"/>
    <cellStyle name="Heading 3 202" xfId="10910" xr:uid="{00000000-0005-0000-0000-0000382A0000}"/>
    <cellStyle name="Heading 3 203" xfId="10911" xr:uid="{00000000-0005-0000-0000-0000392A0000}"/>
    <cellStyle name="Heading 3 204" xfId="10912" xr:uid="{00000000-0005-0000-0000-00003A2A0000}"/>
    <cellStyle name="Heading 3 205" xfId="10913" xr:uid="{00000000-0005-0000-0000-00003B2A0000}"/>
    <cellStyle name="Heading 3 206" xfId="10914" xr:uid="{00000000-0005-0000-0000-00003C2A0000}"/>
    <cellStyle name="Heading 3 207" xfId="10915" xr:uid="{00000000-0005-0000-0000-00003D2A0000}"/>
    <cellStyle name="Heading 3 208" xfId="10916" xr:uid="{00000000-0005-0000-0000-00003E2A0000}"/>
    <cellStyle name="Heading 3 209" xfId="10917" xr:uid="{00000000-0005-0000-0000-00003F2A0000}"/>
    <cellStyle name="Heading 3 21" xfId="10918" xr:uid="{00000000-0005-0000-0000-0000402A0000}"/>
    <cellStyle name="Heading 3 210" xfId="10919" xr:uid="{00000000-0005-0000-0000-0000412A0000}"/>
    <cellStyle name="Heading 3 211" xfId="10920" xr:uid="{00000000-0005-0000-0000-0000422A0000}"/>
    <cellStyle name="Heading 3 212" xfId="10921" xr:uid="{00000000-0005-0000-0000-0000432A0000}"/>
    <cellStyle name="Heading 3 213" xfId="10922" xr:uid="{00000000-0005-0000-0000-0000442A0000}"/>
    <cellStyle name="Heading 3 214" xfId="10923" xr:uid="{00000000-0005-0000-0000-0000452A0000}"/>
    <cellStyle name="Heading 3 215" xfId="10924" xr:uid="{00000000-0005-0000-0000-0000462A0000}"/>
    <cellStyle name="Heading 3 216" xfId="10925" xr:uid="{00000000-0005-0000-0000-0000472A0000}"/>
    <cellStyle name="Heading 3 217" xfId="10926" xr:uid="{00000000-0005-0000-0000-0000482A0000}"/>
    <cellStyle name="Heading 3 218" xfId="10927" xr:uid="{00000000-0005-0000-0000-0000492A0000}"/>
    <cellStyle name="Heading 3 219" xfId="10928" xr:uid="{00000000-0005-0000-0000-00004A2A0000}"/>
    <cellStyle name="Heading 3 22" xfId="10929" xr:uid="{00000000-0005-0000-0000-00004B2A0000}"/>
    <cellStyle name="Heading 3 220" xfId="10930" xr:uid="{00000000-0005-0000-0000-00004C2A0000}"/>
    <cellStyle name="Heading 3 221" xfId="10931" xr:uid="{00000000-0005-0000-0000-00004D2A0000}"/>
    <cellStyle name="Heading 3 222" xfId="10932" xr:uid="{00000000-0005-0000-0000-00004E2A0000}"/>
    <cellStyle name="Heading 3 223" xfId="10933" xr:uid="{00000000-0005-0000-0000-00004F2A0000}"/>
    <cellStyle name="Heading 3 224" xfId="10934" xr:uid="{00000000-0005-0000-0000-0000502A0000}"/>
    <cellStyle name="Heading 3 225" xfId="10935" xr:uid="{00000000-0005-0000-0000-0000512A0000}"/>
    <cellStyle name="Heading 3 226" xfId="10936" xr:uid="{00000000-0005-0000-0000-0000522A0000}"/>
    <cellStyle name="Heading 3 227" xfId="10937" xr:uid="{00000000-0005-0000-0000-0000532A0000}"/>
    <cellStyle name="Heading 3 228" xfId="10938" xr:uid="{00000000-0005-0000-0000-0000542A0000}"/>
    <cellStyle name="Heading 3 229" xfId="10939" xr:uid="{00000000-0005-0000-0000-0000552A0000}"/>
    <cellStyle name="Heading 3 23" xfId="10940" xr:uid="{00000000-0005-0000-0000-0000562A0000}"/>
    <cellStyle name="Heading 3 230" xfId="10941" xr:uid="{00000000-0005-0000-0000-0000572A0000}"/>
    <cellStyle name="Heading 3 231" xfId="10942" xr:uid="{00000000-0005-0000-0000-0000582A0000}"/>
    <cellStyle name="Heading 3 232" xfId="10943" xr:uid="{00000000-0005-0000-0000-0000592A0000}"/>
    <cellStyle name="Heading 3 233" xfId="10944" xr:uid="{00000000-0005-0000-0000-00005A2A0000}"/>
    <cellStyle name="Heading 3 234" xfId="10945" xr:uid="{00000000-0005-0000-0000-00005B2A0000}"/>
    <cellStyle name="Heading 3 235" xfId="10946" xr:uid="{00000000-0005-0000-0000-00005C2A0000}"/>
    <cellStyle name="Heading 3 236" xfId="10947" xr:uid="{00000000-0005-0000-0000-00005D2A0000}"/>
    <cellStyle name="Heading 3 237" xfId="10948" xr:uid="{00000000-0005-0000-0000-00005E2A0000}"/>
    <cellStyle name="Heading 3 238" xfId="10949" xr:uid="{00000000-0005-0000-0000-00005F2A0000}"/>
    <cellStyle name="Heading 3 239" xfId="10950" xr:uid="{00000000-0005-0000-0000-0000602A0000}"/>
    <cellStyle name="Heading 3 24" xfId="10951" xr:uid="{00000000-0005-0000-0000-0000612A0000}"/>
    <cellStyle name="Heading 3 240" xfId="10952" xr:uid="{00000000-0005-0000-0000-0000622A0000}"/>
    <cellStyle name="Heading 3 241" xfId="10953" xr:uid="{00000000-0005-0000-0000-0000632A0000}"/>
    <cellStyle name="Heading 3 242" xfId="10954" xr:uid="{00000000-0005-0000-0000-0000642A0000}"/>
    <cellStyle name="Heading 3 243" xfId="10955" xr:uid="{00000000-0005-0000-0000-0000652A0000}"/>
    <cellStyle name="Heading 3 244" xfId="10956" xr:uid="{00000000-0005-0000-0000-0000662A0000}"/>
    <cellStyle name="Heading 3 245" xfId="10957" xr:uid="{00000000-0005-0000-0000-0000672A0000}"/>
    <cellStyle name="Heading 3 246" xfId="10958" xr:uid="{00000000-0005-0000-0000-0000682A0000}"/>
    <cellStyle name="Heading 3 247" xfId="10959" xr:uid="{00000000-0005-0000-0000-0000692A0000}"/>
    <cellStyle name="Heading 3 248" xfId="10960" xr:uid="{00000000-0005-0000-0000-00006A2A0000}"/>
    <cellStyle name="Heading 3 249" xfId="10961" xr:uid="{00000000-0005-0000-0000-00006B2A0000}"/>
    <cellStyle name="Heading 3 25" xfId="10962" xr:uid="{00000000-0005-0000-0000-00006C2A0000}"/>
    <cellStyle name="Heading 3 250" xfId="10963" xr:uid="{00000000-0005-0000-0000-00006D2A0000}"/>
    <cellStyle name="Heading 3 251" xfId="10964" xr:uid="{00000000-0005-0000-0000-00006E2A0000}"/>
    <cellStyle name="Heading 3 252" xfId="10965" xr:uid="{00000000-0005-0000-0000-00006F2A0000}"/>
    <cellStyle name="Heading 3 253" xfId="10966" xr:uid="{00000000-0005-0000-0000-0000702A0000}"/>
    <cellStyle name="Heading 3 254" xfId="10967" xr:uid="{00000000-0005-0000-0000-0000712A0000}"/>
    <cellStyle name="Heading 3 255" xfId="10968" xr:uid="{00000000-0005-0000-0000-0000722A0000}"/>
    <cellStyle name="Heading 3 256" xfId="10969" xr:uid="{00000000-0005-0000-0000-0000732A0000}"/>
    <cellStyle name="Heading 3 257" xfId="10970" xr:uid="{00000000-0005-0000-0000-0000742A0000}"/>
    <cellStyle name="Heading 3 258" xfId="10971" xr:uid="{00000000-0005-0000-0000-0000752A0000}"/>
    <cellStyle name="Heading 3 259" xfId="10972" xr:uid="{00000000-0005-0000-0000-0000762A0000}"/>
    <cellStyle name="Heading 3 26" xfId="10973" xr:uid="{00000000-0005-0000-0000-0000772A0000}"/>
    <cellStyle name="Heading 3 260" xfId="10974" xr:uid="{00000000-0005-0000-0000-0000782A0000}"/>
    <cellStyle name="Heading 3 261" xfId="10975" xr:uid="{00000000-0005-0000-0000-0000792A0000}"/>
    <cellStyle name="Heading 3 262" xfId="10976" xr:uid="{00000000-0005-0000-0000-00007A2A0000}"/>
    <cellStyle name="Heading 3 263" xfId="10977" xr:uid="{00000000-0005-0000-0000-00007B2A0000}"/>
    <cellStyle name="Heading 3 264" xfId="10978" xr:uid="{00000000-0005-0000-0000-00007C2A0000}"/>
    <cellStyle name="Heading 3 265" xfId="10979" xr:uid="{00000000-0005-0000-0000-00007D2A0000}"/>
    <cellStyle name="Heading 3 266" xfId="10980" xr:uid="{00000000-0005-0000-0000-00007E2A0000}"/>
    <cellStyle name="Heading 3 267" xfId="10981" xr:uid="{00000000-0005-0000-0000-00007F2A0000}"/>
    <cellStyle name="Heading 3 268" xfId="10982" xr:uid="{00000000-0005-0000-0000-0000802A0000}"/>
    <cellStyle name="Heading 3 269" xfId="10983" xr:uid="{00000000-0005-0000-0000-0000812A0000}"/>
    <cellStyle name="Heading 3 27" xfId="10984" xr:uid="{00000000-0005-0000-0000-0000822A0000}"/>
    <cellStyle name="Heading 3 270" xfId="10985" xr:uid="{00000000-0005-0000-0000-0000832A0000}"/>
    <cellStyle name="Heading 3 271" xfId="10986" xr:uid="{00000000-0005-0000-0000-0000842A0000}"/>
    <cellStyle name="Heading 3 272" xfId="10987" xr:uid="{00000000-0005-0000-0000-0000852A0000}"/>
    <cellStyle name="Heading 3 273" xfId="10988" xr:uid="{00000000-0005-0000-0000-0000862A0000}"/>
    <cellStyle name="Heading 3 274" xfId="10989" xr:uid="{00000000-0005-0000-0000-0000872A0000}"/>
    <cellStyle name="Heading 3 275" xfId="10990" xr:uid="{00000000-0005-0000-0000-0000882A0000}"/>
    <cellStyle name="Heading 3 276" xfId="10991" xr:uid="{00000000-0005-0000-0000-0000892A0000}"/>
    <cellStyle name="Heading 3 277" xfId="10992" xr:uid="{00000000-0005-0000-0000-00008A2A0000}"/>
    <cellStyle name="Heading 3 278" xfId="10993" xr:uid="{00000000-0005-0000-0000-00008B2A0000}"/>
    <cellStyle name="Heading 3 279" xfId="10994" xr:uid="{00000000-0005-0000-0000-00008C2A0000}"/>
    <cellStyle name="Heading 3 28" xfId="10995" xr:uid="{00000000-0005-0000-0000-00008D2A0000}"/>
    <cellStyle name="Heading 3 280" xfId="10996" xr:uid="{00000000-0005-0000-0000-00008E2A0000}"/>
    <cellStyle name="Heading 3 281" xfId="10997" xr:uid="{00000000-0005-0000-0000-00008F2A0000}"/>
    <cellStyle name="Heading 3 282" xfId="10998" xr:uid="{00000000-0005-0000-0000-0000902A0000}"/>
    <cellStyle name="Heading 3 283" xfId="10999" xr:uid="{00000000-0005-0000-0000-0000912A0000}"/>
    <cellStyle name="Heading 3 284" xfId="11000" xr:uid="{00000000-0005-0000-0000-0000922A0000}"/>
    <cellStyle name="Heading 3 285" xfId="11001" xr:uid="{00000000-0005-0000-0000-0000932A0000}"/>
    <cellStyle name="Heading 3 286" xfId="11002" xr:uid="{00000000-0005-0000-0000-0000942A0000}"/>
    <cellStyle name="Heading 3 287" xfId="11003" xr:uid="{00000000-0005-0000-0000-0000952A0000}"/>
    <cellStyle name="Heading 3 288" xfId="11004" xr:uid="{00000000-0005-0000-0000-0000962A0000}"/>
    <cellStyle name="Heading 3 289" xfId="11005" xr:uid="{00000000-0005-0000-0000-0000972A0000}"/>
    <cellStyle name="Heading 3 29" xfId="11006" xr:uid="{00000000-0005-0000-0000-0000982A0000}"/>
    <cellStyle name="Heading 3 290" xfId="11007" xr:uid="{00000000-0005-0000-0000-0000992A0000}"/>
    <cellStyle name="Heading 3 291" xfId="11008" xr:uid="{00000000-0005-0000-0000-00009A2A0000}"/>
    <cellStyle name="Heading 3 292" xfId="11009" xr:uid="{00000000-0005-0000-0000-00009B2A0000}"/>
    <cellStyle name="Heading 3 293" xfId="11010" xr:uid="{00000000-0005-0000-0000-00009C2A0000}"/>
    <cellStyle name="Heading 3 294" xfId="11011" xr:uid="{00000000-0005-0000-0000-00009D2A0000}"/>
    <cellStyle name="Heading 3 295" xfId="11012" xr:uid="{00000000-0005-0000-0000-00009E2A0000}"/>
    <cellStyle name="Heading 3 296" xfId="11013" xr:uid="{00000000-0005-0000-0000-00009F2A0000}"/>
    <cellStyle name="Heading 3 297" xfId="11014" xr:uid="{00000000-0005-0000-0000-0000A02A0000}"/>
    <cellStyle name="Heading 3 298" xfId="11015" xr:uid="{00000000-0005-0000-0000-0000A12A0000}"/>
    <cellStyle name="Heading 3 299" xfId="11016" xr:uid="{00000000-0005-0000-0000-0000A22A0000}"/>
    <cellStyle name="Heading 3 3" xfId="11017" xr:uid="{00000000-0005-0000-0000-0000A32A0000}"/>
    <cellStyle name="Heading 3 30" xfId="11018" xr:uid="{00000000-0005-0000-0000-0000A42A0000}"/>
    <cellStyle name="Heading 3 300" xfId="11019" xr:uid="{00000000-0005-0000-0000-0000A52A0000}"/>
    <cellStyle name="Heading 3 301" xfId="11020" xr:uid="{00000000-0005-0000-0000-0000A62A0000}"/>
    <cellStyle name="Heading 3 302" xfId="11021" xr:uid="{00000000-0005-0000-0000-0000A72A0000}"/>
    <cellStyle name="Heading 3 303" xfId="11022" xr:uid="{00000000-0005-0000-0000-0000A82A0000}"/>
    <cellStyle name="Heading 3 304" xfId="11023" xr:uid="{00000000-0005-0000-0000-0000A92A0000}"/>
    <cellStyle name="Heading 3 305" xfId="11024" xr:uid="{00000000-0005-0000-0000-0000AA2A0000}"/>
    <cellStyle name="Heading 3 306" xfId="11025" xr:uid="{00000000-0005-0000-0000-0000AB2A0000}"/>
    <cellStyle name="Heading 3 307" xfId="11026" xr:uid="{00000000-0005-0000-0000-0000AC2A0000}"/>
    <cellStyle name="Heading 3 308" xfId="11027" xr:uid="{00000000-0005-0000-0000-0000AD2A0000}"/>
    <cellStyle name="Heading 3 309" xfId="11028" xr:uid="{00000000-0005-0000-0000-0000AE2A0000}"/>
    <cellStyle name="Heading 3 31" xfId="11029" xr:uid="{00000000-0005-0000-0000-0000AF2A0000}"/>
    <cellStyle name="Heading 3 310" xfId="11030" xr:uid="{00000000-0005-0000-0000-0000B02A0000}"/>
    <cellStyle name="Heading 3 311" xfId="11031" xr:uid="{00000000-0005-0000-0000-0000B12A0000}"/>
    <cellStyle name="Heading 3 312" xfId="11032" xr:uid="{00000000-0005-0000-0000-0000B22A0000}"/>
    <cellStyle name="Heading 3 313" xfId="11033" xr:uid="{00000000-0005-0000-0000-0000B32A0000}"/>
    <cellStyle name="Heading 3 314" xfId="11034" xr:uid="{00000000-0005-0000-0000-0000B42A0000}"/>
    <cellStyle name="Heading 3 315" xfId="11035" xr:uid="{00000000-0005-0000-0000-0000B52A0000}"/>
    <cellStyle name="Heading 3 316" xfId="11036" xr:uid="{00000000-0005-0000-0000-0000B62A0000}"/>
    <cellStyle name="Heading 3 317" xfId="11037" xr:uid="{00000000-0005-0000-0000-0000B72A0000}"/>
    <cellStyle name="Heading 3 318" xfId="11038" xr:uid="{00000000-0005-0000-0000-0000B82A0000}"/>
    <cellStyle name="Heading 3 319" xfId="11039" xr:uid="{00000000-0005-0000-0000-0000B92A0000}"/>
    <cellStyle name="Heading 3 32" xfId="11040" xr:uid="{00000000-0005-0000-0000-0000BA2A0000}"/>
    <cellStyle name="Heading 3 320" xfId="11041" xr:uid="{00000000-0005-0000-0000-0000BB2A0000}"/>
    <cellStyle name="Heading 3 321" xfId="11042" xr:uid="{00000000-0005-0000-0000-0000BC2A0000}"/>
    <cellStyle name="Heading 3 322" xfId="11043" xr:uid="{00000000-0005-0000-0000-0000BD2A0000}"/>
    <cellStyle name="Heading 3 323" xfId="11044" xr:uid="{00000000-0005-0000-0000-0000BE2A0000}"/>
    <cellStyle name="Heading 3 324" xfId="11045" xr:uid="{00000000-0005-0000-0000-0000BF2A0000}"/>
    <cellStyle name="Heading 3 325" xfId="11046" xr:uid="{00000000-0005-0000-0000-0000C02A0000}"/>
    <cellStyle name="Heading 3 326" xfId="11047" xr:uid="{00000000-0005-0000-0000-0000C12A0000}"/>
    <cellStyle name="Heading 3 327" xfId="11048" xr:uid="{00000000-0005-0000-0000-0000C22A0000}"/>
    <cellStyle name="Heading 3 328" xfId="11049" xr:uid="{00000000-0005-0000-0000-0000C32A0000}"/>
    <cellStyle name="Heading 3 329" xfId="11050" xr:uid="{00000000-0005-0000-0000-0000C42A0000}"/>
    <cellStyle name="Heading 3 33" xfId="11051" xr:uid="{00000000-0005-0000-0000-0000C52A0000}"/>
    <cellStyle name="Heading 3 330" xfId="11052" xr:uid="{00000000-0005-0000-0000-0000C62A0000}"/>
    <cellStyle name="Heading 3 331" xfId="11053" xr:uid="{00000000-0005-0000-0000-0000C72A0000}"/>
    <cellStyle name="Heading 3 332" xfId="11054" xr:uid="{00000000-0005-0000-0000-0000C82A0000}"/>
    <cellStyle name="Heading 3 333" xfId="11055" xr:uid="{00000000-0005-0000-0000-0000C92A0000}"/>
    <cellStyle name="Heading 3 334" xfId="11056" xr:uid="{00000000-0005-0000-0000-0000CA2A0000}"/>
    <cellStyle name="Heading 3 335" xfId="11057" xr:uid="{00000000-0005-0000-0000-0000CB2A0000}"/>
    <cellStyle name="Heading 3 336" xfId="11058" xr:uid="{00000000-0005-0000-0000-0000CC2A0000}"/>
    <cellStyle name="Heading 3 337" xfId="11059" xr:uid="{00000000-0005-0000-0000-0000CD2A0000}"/>
    <cellStyle name="Heading 3 338" xfId="11060" xr:uid="{00000000-0005-0000-0000-0000CE2A0000}"/>
    <cellStyle name="Heading 3 339" xfId="11061" xr:uid="{00000000-0005-0000-0000-0000CF2A0000}"/>
    <cellStyle name="Heading 3 34" xfId="11062" xr:uid="{00000000-0005-0000-0000-0000D02A0000}"/>
    <cellStyle name="Heading 3 340" xfId="11063" xr:uid="{00000000-0005-0000-0000-0000D12A0000}"/>
    <cellStyle name="Heading 3 341" xfId="11064" xr:uid="{00000000-0005-0000-0000-0000D22A0000}"/>
    <cellStyle name="Heading 3 342" xfId="11065" xr:uid="{00000000-0005-0000-0000-0000D32A0000}"/>
    <cellStyle name="Heading 3 343" xfId="11066" xr:uid="{00000000-0005-0000-0000-0000D42A0000}"/>
    <cellStyle name="Heading 3 344" xfId="11067" xr:uid="{00000000-0005-0000-0000-0000D52A0000}"/>
    <cellStyle name="Heading 3 345" xfId="11068" xr:uid="{00000000-0005-0000-0000-0000D62A0000}"/>
    <cellStyle name="Heading 3 346" xfId="11069" xr:uid="{00000000-0005-0000-0000-0000D72A0000}"/>
    <cellStyle name="Heading 3 347" xfId="11070" xr:uid="{00000000-0005-0000-0000-0000D82A0000}"/>
    <cellStyle name="Heading 3 348" xfId="11071" xr:uid="{00000000-0005-0000-0000-0000D92A0000}"/>
    <cellStyle name="Heading 3 349" xfId="11072" xr:uid="{00000000-0005-0000-0000-0000DA2A0000}"/>
    <cellStyle name="Heading 3 35" xfId="11073" xr:uid="{00000000-0005-0000-0000-0000DB2A0000}"/>
    <cellStyle name="Heading 3 350" xfId="11074" xr:uid="{00000000-0005-0000-0000-0000DC2A0000}"/>
    <cellStyle name="Heading 3 351" xfId="11075" xr:uid="{00000000-0005-0000-0000-0000DD2A0000}"/>
    <cellStyle name="Heading 3 352" xfId="11076" xr:uid="{00000000-0005-0000-0000-0000DE2A0000}"/>
    <cellStyle name="Heading 3 353" xfId="11077" xr:uid="{00000000-0005-0000-0000-0000DF2A0000}"/>
    <cellStyle name="Heading 3 354" xfId="11078" xr:uid="{00000000-0005-0000-0000-0000E02A0000}"/>
    <cellStyle name="Heading 3 355" xfId="11079" xr:uid="{00000000-0005-0000-0000-0000E12A0000}"/>
    <cellStyle name="Heading 3 356" xfId="11080" xr:uid="{00000000-0005-0000-0000-0000E22A0000}"/>
    <cellStyle name="Heading 3 357" xfId="11081" xr:uid="{00000000-0005-0000-0000-0000E32A0000}"/>
    <cellStyle name="Heading 3 358" xfId="11082" xr:uid="{00000000-0005-0000-0000-0000E42A0000}"/>
    <cellStyle name="Heading 3 359" xfId="11083" xr:uid="{00000000-0005-0000-0000-0000E52A0000}"/>
    <cellStyle name="Heading 3 36" xfId="11084" xr:uid="{00000000-0005-0000-0000-0000E62A0000}"/>
    <cellStyle name="Heading 3 360" xfId="11085" xr:uid="{00000000-0005-0000-0000-0000E72A0000}"/>
    <cellStyle name="Heading 3 361" xfId="11086" xr:uid="{00000000-0005-0000-0000-0000E82A0000}"/>
    <cellStyle name="Heading 3 362" xfId="11087" xr:uid="{00000000-0005-0000-0000-0000E92A0000}"/>
    <cellStyle name="Heading 3 363" xfId="11088" xr:uid="{00000000-0005-0000-0000-0000EA2A0000}"/>
    <cellStyle name="Heading 3 364" xfId="11089" xr:uid="{00000000-0005-0000-0000-0000EB2A0000}"/>
    <cellStyle name="Heading 3 365" xfId="11090" xr:uid="{00000000-0005-0000-0000-0000EC2A0000}"/>
    <cellStyle name="Heading 3 366" xfId="11091" xr:uid="{00000000-0005-0000-0000-0000ED2A0000}"/>
    <cellStyle name="Heading 3 367" xfId="11092" xr:uid="{00000000-0005-0000-0000-0000EE2A0000}"/>
    <cellStyle name="Heading 3 368" xfId="11093" xr:uid="{00000000-0005-0000-0000-0000EF2A0000}"/>
    <cellStyle name="Heading 3 369" xfId="11094" xr:uid="{00000000-0005-0000-0000-0000F02A0000}"/>
    <cellStyle name="Heading 3 37" xfId="11095" xr:uid="{00000000-0005-0000-0000-0000F12A0000}"/>
    <cellStyle name="Heading 3 370" xfId="11096" xr:uid="{00000000-0005-0000-0000-0000F22A0000}"/>
    <cellStyle name="Heading 3 371" xfId="11097" xr:uid="{00000000-0005-0000-0000-0000F32A0000}"/>
    <cellStyle name="Heading 3 372" xfId="11098" xr:uid="{00000000-0005-0000-0000-0000F42A0000}"/>
    <cellStyle name="Heading 3 373" xfId="11099" xr:uid="{00000000-0005-0000-0000-0000F52A0000}"/>
    <cellStyle name="Heading 3 374" xfId="11100" xr:uid="{00000000-0005-0000-0000-0000F62A0000}"/>
    <cellStyle name="Heading 3 375" xfId="11101" xr:uid="{00000000-0005-0000-0000-0000F72A0000}"/>
    <cellStyle name="Heading 3 376" xfId="11102" xr:uid="{00000000-0005-0000-0000-0000F82A0000}"/>
    <cellStyle name="Heading 3 377" xfId="11103" xr:uid="{00000000-0005-0000-0000-0000F92A0000}"/>
    <cellStyle name="Heading 3 378" xfId="11104" xr:uid="{00000000-0005-0000-0000-0000FA2A0000}"/>
    <cellStyle name="Heading 3 379" xfId="11105" xr:uid="{00000000-0005-0000-0000-0000FB2A0000}"/>
    <cellStyle name="Heading 3 38" xfId="11106" xr:uid="{00000000-0005-0000-0000-0000FC2A0000}"/>
    <cellStyle name="Heading 3 380" xfId="11107" xr:uid="{00000000-0005-0000-0000-0000FD2A0000}"/>
    <cellStyle name="Heading 3 381" xfId="11108" xr:uid="{00000000-0005-0000-0000-0000FE2A0000}"/>
    <cellStyle name="Heading 3 382" xfId="11109" xr:uid="{00000000-0005-0000-0000-0000FF2A0000}"/>
    <cellStyle name="Heading 3 383" xfId="11110" xr:uid="{00000000-0005-0000-0000-0000002B0000}"/>
    <cellStyle name="Heading 3 384" xfId="11111" xr:uid="{00000000-0005-0000-0000-0000012B0000}"/>
    <cellStyle name="Heading 3 385" xfId="11112" xr:uid="{00000000-0005-0000-0000-0000022B0000}"/>
    <cellStyle name="Heading 3 386" xfId="11113" xr:uid="{00000000-0005-0000-0000-0000032B0000}"/>
    <cellStyle name="Heading 3 387" xfId="11114" xr:uid="{00000000-0005-0000-0000-0000042B0000}"/>
    <cellStyle name="Heading 3 388" xfId="11115" xr:uid="{00000000-0005-0000-0000-0000052B0000}"/>
    <cellStyle name="Heading 3 389" xfId="11116" xr:uid="{00000000-0005-0000-0000-0000062B0000}"/>
    <cellStyle name="Heading 3 39" xfId="11117" xr:uid="{00000000-0005-0000-0000-0000072B0000}"/>
    <cellStyle name="Heading 3 390" xfId="11118" xr:uid="{00000000-0005-0000-0000-0000082B0000}"/>
    <cellStyle name="Heading 3 391" xfId="11119" xr:uid="{00000000-0005-0000-0000-0000092B0000}"/>
    <cellStyle name="Heading 3 392" xfId="11120" xr:uid="{00000000-0005-0000-0000-00000A2B0000}"/>
    <cellStyle name="Heading 3 393" xfId="11121" xr:uid="{00000000-0005-0000-0000-00000B2B0000}"/>
    <cellStyle name="Heading 3 394" xfId="11122" xr:uid="{00000000-0005-0000-0000-00000C2B0000}"/>
    <cellStyle name="Heading 3 395" xfId="11123" xr:uid="{00000000-0005-0000-0000-00000D2B0000}"/>
    <cellStyle name="Heading 3 396" xfId="11124" xr:uid="{00000000-0005-0000-0000-00000E2B0000}"/>
    <cellStyle name="Heading 3 397" xfId="11125" xr:uid="{00000000-0005-0000-0000-00000F2B0000}"/>
    <cellStyle name="Heading 3 398" xfId="11126" xr:uid="{00000000-0005-0000-0000-0000102B0000}"/>
    <cellStyle name="Heading 3 399" xfId="11127" xr:uid="{00000000-0005-0000-0000-0000112B0000}"/>
    <cellStyle name="Heading 3 4" xfId="11128" xr:uid="{00000000-0005-0000-0000-0000122B0000}"/>
    <cellStyle name="Heading 3 40" xfId="11129" xr:uid="{00000000-0005-0000-0000-0000132B0000}"/>
    <cellStyle name="Heading 3 400" xfId="11130" xr:uid="{00000000-0005-0000-0000-0000142B0000}"/>
    <cellStyle name="Heading 3 401" xfId="11131" xr:uid="{00000000-0005-0000-0000-0000152B0000}"/>
    <cellStyle name="Heading 3 402" xfId="11132" xr:uid="{00000000-0005-0000-0000-0000162B0000}"/>
    <cellStyle name="Heading 3 403" xfId="11133" xr:uid="{00000000-0005-0000-0000-0000172B0000}"/>
    <cellStyle name="Heading 3 404" xfId="11134" xr:uid="{00000000-0005-0000-0000-0000182B0000}"/>
    <cellStyle name="Heading 3 405" xfId="11135" xr:uid="{00000000-0005-0000-0000-0000192B0000}"/>
    <cellStyle name="Heading 3 406" xfId="11136" xr:uid="{00000000-0005-0000-0000-00001A2B0000}"/>
    <cellStyle name="Heading 3 407" xfId="11137" xr:uid="{00000000-0005-0000-0000-00001B2B0000}"/>
    <cellStyle name="Heading 3 408" xfId="11138" xr:uid="{00000000-0005-0000-0000-00001C2B0000}"/>
    <cellStyle name="Heading 3 409" xfId="11139" xr:uid="{00000000-0005-0000-0000-00001D2B0000}"/>
    <cellStyle name="Heading 3 41" xfId="11140" xr:uid="{00000000-0005-0000-0000-00001E2B0000}"/>
    <cellStyle name="Heading 3 410" xfId="11141" xr:uid="{00000000-0005-0000-0000-00001F2B0000}"/>
    <cellStyle name="Heading 3 411" xfId="11142" xr:uid="{00000000-0005-0000-0000-0000202B0000}"/>
    <cellStyle name="Heading 3 412" xfId="11143" xr:uid="{00000000-0005-0000-0000-0000212B0000}"/>
    <cellStyle name="Heading 3 413" xfId="11144" xr:uid="{00000000-0005-0000-0000-0000222B0000}"/>
    <cellStyle name="Heading 3 414" xfId="11145" xr:uid="{00000000-0005-0000-0000-0000232B0000}"/>
    <cellStyle name="Heading 3 415" xfId="11146" xr:uid="{00000000-0005-0000-0000-0000242B0000}"/>
    <cellStyle name="Heading 3 416" xfId="11147" xr:uid="{00000000-0005-0000-0000-0000252B0000}"/>
    <cellStyle name="Heading 3 417" xfId="11148" xr:uid="{00000000-0005-0000-0000-0000262B0000}"/>
    <cellStyle name="Heading 3 418" xfId="11149" xr:uid="{00000000-0005-0000-0000-0000272B0000}"/>
    <cellStyle name="Heading 3 419" xfId="11150" xr:uid="{00000000-0005-0000-0000-0000282B0000}"/>
    <cellStyle name="Heading 3 42" xfId="11151" xr:uid="{00000000-0005-0000-0000-0000292B0000}"/>
    <cellStyle name="Heading 3 420" xfId="11152" xr:uid="{00000000-0005-0000-0000-00002A2B0000}"/>
    <cellStyle name="Heading 3 421" xfId="11153" xr:uid="{00000000-0005-0000-0000-00002B2B0000}"/>
    <cellStyle name="Heading 3 422" xfId="11154" xr:uid="{00000000-0005-0000-0000-00002C2B0000}"/>
    <cellStyle name="Heading 3 423" xfId="11155" xr:uid="{00000000-0005-0000-0000-00002D2B0000}"/>
    <cellStyle name="Heading 3 424" xfId="11156" xr:uid="{00000000-0005-0000-0000-00002E2B0000}"/>
    <cellStyle name="Heading 3 425" xfId="11157" xr:uid="{00000000-0005-0000-0000-00002F2B0000}"/>
    <cellStyle name="Heading 3 426" xfId="11158" xr:uid="{00000000-0005-0000-0000-0000302B0000}"/>
    <cellStyle name="Heading 3 427" xfId="11159" xr:uid="{00000000-0005-0000-0000-0000312B0000}"/>
    <cellStyle name="Heading 3 428" xfId="11160" xr:uid="{00000000-0005-0000-0000-0000322B0000}"/>
    <cellStyle name="Heading 3 429" xfId="11161" xr:uid="{00000000-0005-0000-0000-0000332B0000}"/>
    <cellStyle name="Heading 3 43" xfId="11162" xr:uid="{00000000-0005-0000-0000-0000342B0000}"/>
    <cellStyle name="Heading 3 430" xfId="11163" xr:uid="{00000000-0005-0000-0000-0000352B0000}"/>
    <cellStyle name="Heading 3 431" xfId="11164" xr:uid="{00000000-0005-0000-0000-0000362B0000}"/>
    <cellStyle name="Heading 3 432" xfId="11165" xr:uid="{00000000-0005-0000-0000-0000372B0000}"/>
    <cellStyle name="Heading 3 433" xfId="11166" xr:uid="{00000000-0005-0000-0000-0000382B0000}"/>
    <cellStyle name="Heading 3 434" xfId="11167" xr:uid="{00000000-0005-0000-0000-0000392B0000}"/>
    <cellStyle name="Heading 3 435" xfId="11168" xr:uid="{00000000-0005-0000-0000-00003A2B0000}"/>
    <cellStyle name="Heading 3 436" xfId="11169" xr:uid="{00000000-0005-0000-0000-00003B2B0000}"/>
    <cellStyle name="Heading 3 437" xfId="11170" xr:uid="{00000000-0005-0000-0000-00003C2B0000}"/>
    <cellStyle name="Heading 3 438" xfId="11171" xr:uid="{00000000-0005-0000-0000-00003D2B0000}"/>
    <cellStyle name="Heading 3 439" xfId="11172" xr:uid="{00000000-0005-0000-0000-00003E2B0000}"/>
    <cellStyle name="Heading 3 44" xfId="11173" xr:uid="{00000000-0005-0000-0000-00003F2B0000}"/>
    <cellStyle name="Heading 3 440" xfId="11174" xr:uid="{00000000-0005-0000-0000-0000402B0000}"/>
    <cellStyle name="Heading 3 441" xfId="11175" xr:uid="{00000000-0005-0000-0000-0000412B0000}"/>
    <cellStyle name="Heading 3 442" xfId="11176" xr:uid="{00000000-0005-0000-0000-0000422B0000}"/>
    <cellStyle name="Heading 3 443" xfId="11177" xr:uid="{00000000-0005-0000-0000-0000432B0000}"/>
    <cellStyle name="Heading 3 444" xfId="11178" xr:uid="{00000000-0005-0000-0000-0000442B0000}"/>
    <cellStyle name="Heading 3 445" xfId="11179" xr:uid="{00000000-0005-0000-0000-0000452B0000}"/>
    <cellStyle name="Heading 3 446" xfId="11180" xr:uid="{00000000-0005-0000-0000-0000462B0000}"/>
    <cellStyle name="Heading 3 447" xfId="11181" xr:uid="{00000000-0005-0000-0000-0000472B0000}"/>
    <cellStyle name="Heading 3 448" xfId="11182" xr:uid="{00000000-0005-0000-0000-0000482B0000}"/>
    <cellStyle name="Heading 3 449" xfId="11183" xr:uid="{00000000-0005-0000-0000-0000492B0000}"/>
    <cellStyle name="Heading 3 45" xfId="11184" xr:uid="{00000000-0005-0000-0000-00004A2B0000}"/>
    <cellStyle name="Heading 3 450" xfId="11185" xr:uid="{00000000-0005-0000-0000-00004B2B0000}"/>
    <cellStyle name="Heading 3 451" xfId="11186" xr:uid="{00000000-0005-0000-0000-00004C2B0000}"/>
    <cellStyle name="Heading 3 452" xfId="11187" xr:uid="{00000000-0005-0000-0000-00004D2B0000}"/>
    <cellStyle name="Heading 3 453" xfId="11188" xr:uid="{00000000-0005-0000-0000-00004E2B0000}"/>
    <cellStyle name="Heading 3 454" xfId="11189" xr:uid="{00000000-0005-0000-0000-00004F2B0000}"/>
    <cellStyle name="Heading 3 455" xfId="11190" xr:uid="{00000000-0005-0000-0000-0000502B0000}"/>
    <cellStyle name="Heading 3 456" xfId="11191" xr:uid="{00000000-0005-0000-0000-0000512B0000}"/>
    <cellStyle name="Heading 3 457" xfId="11192" xr:uid="{00000000-0005-0000-0000-0000522B0000}"/>
    <cellStyle name="Heading 3 458" xfId="11193" xr:uid="{00000000-0005-0000-0000-0000532B0000}"/>
    <cellStyle name="Heading 3 459" xfId="11194" xr:uid="{00000000-0005-0000-0000-0000542B0000}"/>
    <cellStyle name="Heading 3 46" xfId="11195" xr:uid="{00000000-0005-0000-0000-0000552B0000}"/>
    <cellStyle name="Heading 3 460" xfId="11196" xr:uid="{00000000-0005-0000-0000-0000562B0000}"/>
    <cellStyle name="Heading 3 461" xfId="11197" xr:uid="{00000000-0005-0000-0000-0000572B0000}"/>
    <cellStyle name="Heading 3 462" xfId="11198" xr:uid="{00000000-0005-0000-0000-0000582B0000}"/>
    <cellStyle name="Heading 3 463" xfId="11199" xr:uid="{00000000-0005-0000-0000-0000592B0000}"/>
    <cellStyle name="Heading 3 464" xfId="11200" xr:uid="{00000000-0005-0000-0000-00005A2B0000}"/>
    <cellStyle name="Heading 3 465" xfId="11201" xr:uid="{00000000-0005-0000-0000-00005B2B0000}"/>
    <cellStyle name="Heading 3 466" xfId="11202" xr:uid="{00000000-0005-0000-0000-00005C2B0000}"/>
    <cellStyle name="Heading 3 467" xfId="11203" xr:uid="{00000000-0005-0000-0000-00005D2B0000}"/>
    <cellStyle name="Heading 3 468" xfId="11204" xr:uid="{00000000-0005-0000-0000-00005E2B0000}"/>
    <cellStyle name="Heading 3 469" xfId="11205" xr:uid="{00000000-0005-0000-0000-00005F2B0000}"/>
    <cellStyle name="Heading 3 47" xfId="11206" xr:uid="{00000000-0005-0000-0000-0000602B0000}"/>
    <cellStyle name="Heading 3 470" xfId="11207" xr:uid="{00000000-0005-0000-0000-0000612B0000}"/>
    <cellStyle name="Heading 3 471" xfId="11208" xr:uid="{00000000-0005-0000-0000-0000622B0000}"/>
    <cellStyle name="Heading 3 472" xfId="11209" xr:uid="{00000000-0005-0000-0000-0000632B0000}"/>
    <cellStyle name="Heading 3 473" xfId="11210" xr:uid="{00000000-0005-0000-0000-0000642B0000}"/>
    <cellStyle name="Heading 3 474" xfId="11211" xr:uid="{00000000-0005-0000-0000-0000652B0000}"/>
    <cellStyle name="Heading 3 475" xfId="11212" xr:uid="{00000000-0005-0000-0000-0000662B0000}"/>
    <cellStyle name="Heading 3 476" xfId="11213" xr:uid="{00000000-0005-0000-0000-0000672B0000}"/>
    <cellStyle name="Heading 3 477" xfId="11214" xr:uid="{00000000-0005-0000-0000-0000682B0000}"/>
    <cellStyle name="Heading 3 478" xfId="11215" xr:uid="{00000000-0005-0000-0000-0000692B0000}"/>
    <cellStyle name="Heading 3 479" xfId="11216" xr:uid="{00000000-0005-0000-0000-00006A2B0000}"/>
    <cellStyle name="Heading 3 48" xfId="11217" xr:uid="{00000000-0005-0000-0000-00006B2B0000}"/>
    <cellStyle name="Heading 3 480" xfId="11218" xr:uid="{00000000-0005-0000-0000-00006C2B0000}"/>
    <cellStyle name="Heading 3 481" xfId="11219" xr:uid="{00000000-0005-0000-0000-00006D2B0000}"/>
    <cellStyle name="Heading 3 482" xfId="11220" xr:uid="{00000000-0005-0000-0000-00006E2B0000}"/>
    <cellStyle name="Heading 3 483" xfId="11221" xr:uid="{00000000-0005-0000-0000-00006F2B0000}"/>
    <cellStyle name="Heading 3 484" xfId="11222" xr:uid="{00000000-0005-0000-0000-0000702B0000}"/>
    <cellStyle name="Heading 3 485" xfId="11223" xr:uid="{00000000-0005-0000-0000-0000712B0000}"/>
    <cellStyle name="Heading 3 486" xfId="11224" xr:uid="{00000000-0005-0000-0000-0000722B0000}"/>
    <cellStyle name="Heading 3 487" xfId="11225" xr:uid="{00000000-0005-0000-0000-0000732B0000}"/>
    <cellStyle name="Heading 3 488" xfId="11226" xr:uid="{00000000-0005-0000-0000-0000742B0000}"/>
    <cellStyle name="Heading 3 489" xfId="11227" xr:uid="{00000000-0005-0000-0000-0000752B0000}"/>
    <cellStyle name="Heading 3 49" xfId="11228" xr:uid="{00000000-0005-0000-0000-0000762B0000}"/>
    <cellStyle name="Heading 3 490" xfId="11229" xr:uid="{00000000-0005-0000-0000-0000772B0000}"/>
    <cellStyle name="Heading 3 491" xfId="11230" xr:uid="{00000000-0005-0000-0000-0000782B0000}"/>
    <cellStyle name="Heading 3 492" xfId="11231" xr:uid="{00000000-0005-0000-0000-0000792B0000}"/>
    <cellStyle name="Heading 3 493" xfId="11232" xr:uid="{00000000-0005-0000-0000-00007A2B0000}"/>
    <cellStyle name="Heading 3 494" xfId="11233" xr:uid="{00000000-0005-0000-0000-00007B2B0000}"/>
    <cellStyle name="Heading 3 495" xfId="11234" xr:uid="{00000000-0005-0000-0000-00007C2B0000}"/>
    <cellStyle name="Heading 3 496" xfId="11235" xr:uid="{00000000-0005-0000-0000-00007D2B0000}"/>
    <cellStyle name="Heading 3 497" xfId="11236" xr:uid="{00000000-0005-0000-0000-00007E2B0000}"/>
    <cellStyle name="Heading 3 498" xfId="11237" xr:uid="{00000000-0005-0000-0000-00007F2B0000}"/>
    <cellStyle name="Heading 3 499" xfId="11238" xr:uid="{00000000-0005-0000-0000-0000802B0000}"/>
    <cellStyle name="Heading 3 5" xfId="11239" xr:uid="{00000000-0005-0000-0000-0000812B0000}"/>
    <cellStyle name="Heading 3 50" xfId="11240" xr:uid="{00000000-0005-0000-0000-0000822B0000}"/>
    <cellStyle name="Heading 3 500" xfId="11241" xr:uid="{00000000-0005-0000-0000-0000832B0000}"/>
    <cellStyle name="Heading 3 501" xfId="11242" xr:uid="{00000000-0005-0000-0000-0000842B0000}"/>
    <cellStyle name="Heading 3 502" xfId="11243" xr:uid="{00000000-0005-0000-0000-0000852B0000}"/>
    <cellStyle name="Heading 3 503" xfId="11244" xr:uid="{00000000-0005-0000-0000-0000862B0000}"/>
    <cellStyle name="Heading 3 504" xfId="11245" xr:uid="{00000000-0005-0000-0000-0000872B0000}"/>
    <cellStyle name="Heading 3 505" xfId="11246" xr:uid="{00000000-0005-0000-0000-0000882B0000}"/>
    <cellStyle name="Heading 3 506" xfId="11247" xr:uid="{00000000-0005-0000-0000-0000892B0000}"/>
    <cellStyle name="Heading 3 507" xfId="11248" xr:uid="{00000000-0005-0000-0000-00008A2B0000}"/>
    <cellStyle name="Heading 3 508" xfId="11249" xr:uid="{00000000-0005-0000-0000-00008B2B0000}"/>
    <cellStyle name="Heading 3 509" xfId="11250" xr:uid="{00000000-0005-0000-0000-00008C2B0000}"/>
    <cellStyle name="Heading 3 51" xfId="11251" xr:uid="{00000000-0005-0000-0000-00008D2B0000}"/>
    <cellStyle name="Heading 3 510" xfId="11252" xr:uid="{00000000-0005-0000-0000-00008E2B0000}"/>
    <cellStyle name="Heading 3 511" xfId="11253" xr:uid="{00000000-0005-0000-0000-00008F2B0000}"/>
    <cellStyle name="Heading 3 512" xfId="11254" xr:uid="{00000000-0005-0000-0000-0000902B0000}"/>
    <cellStyle name="Heading 3 513" xfId="11255" xr:uid="{00000000-0005-0000-0000-0000912B0000}"/>
    <cellStyle name="Heading 3 514" xfId="11256" xr:uid="{00000000-0005-0000-0000-0000922B0000}"/>
    <cellStyle name="Heading 3 515" xfId="11257" xr:uid="{00000000-0005-0000-0000-0000932B0000}"/>
    <cellStyle name="Heading 3 516" xfId="11258" xr:uid="{00000000-0005-0000-0000-0000942B0000}"/>
    <cellStyle name="Heading 3 517" xfId="11259" xr:uid="{00000000-0005-0000-0000-0000952B0000}"/>
    <cellStyle name="Heading 3 518" xfId="11260" xr:uid="{00000000-0005-0000-0000-0000962B0000}"/>
    <cellStyle name="Heading 3 519" xfId="11261" xr:uid="{00000000-0005-0000-0000-0000972B0000}"/>
    <cellStyle name="Heading 3 52" xfId="11262" xr:uid="{00000000-0005-0000-0000-0000982B0000}"/>
    <cellStyle name="Heading 3 520" xfId="11263" xr:uid="{00000000-0005-0000-0000-0000992B0000}"/>
    <cellStyle name="Heading 3 521" xfId="11264" xr:uid="{00000000-0005-0000-0000-00009A2B0000}"/>
    <cellStyle name="Heading 3 522" xfId="11265" xr:uid="{00000000-0005-0000-0000-00009B2B0000}"/>
    <cellStyle name="Heading 3 523" xfId="11266" xr:uid="{00000000-0005-0000-0000-00009C2B0000}"/>
    <cellStyle name="Heading 3 524" xfId="11267" xr:uid="{00000000-0005-0000-0000-00009D2B0000}"/>
    <cellStyle name="Heading 3 525" xfId="11268" xr:uid="{00000000-0005-0000-0000-00009E2B0000}"/>
    <cellStyle name="Heading 3 526" xfId="11269" xr:uid="{00000000-0005-0000-0000-00009F2B0000}"/>
    <cellStyle name="Heading 3 527" xfId="11270" xr:uid="{00000000-0005-0000-0000-0000A02B0000}"/>
    <cellStyle name="Heading 3 528" xfId="11271" xr:uid="{00000000-0005-0000-0000-0000A12B0000}"/>
    <cellStyle name="Heading 3 529" xfId="11272" xr:uid="{00000000-0005-0000-0000-0000A22B0000}"/>
    <cellStyle name="Heading 3 53" xfId="11273" xr:uid="{00000000-0005-0000-0000-0000A32B0000}"/>
    <cellStyle name="Heading 3 530" xfId="11274" xr:uid="{00000000-0005-0000-0000-0000A42B0000}"/>
    <cellStyle name="Heading 3 531" xfId="11275" xr:uid="{00000000-0005-0000-0000-0000A52B0000}"/>
    <cellStyle name="Heading 3 532" xfId="11276" xr:uid="{00000000-0005-0000-0000-0000A62B0000}"/>
    <cellStyle name="Heading 3 533" xfId="11277" xr:uid="{00000000-0005-0000-0000-0000A72B0000}"/>
    <cellStyle name="Heading 3 534" xfId="11278" xr:uid="{00000000-0005-0000-0000-0000A82B0000}"/>
    <cellStyle name="Heading 3 535" xfId="11279" xr:uid="{00000000-0005-0000-0000-0000A92B0000}"/>
    <cellStyle name="Heading 3 536" xfId="11280" xr:uid="{00000000-0005-0000-0000-0000AA2B0000}"/>
    <cellStyle name="Heading 3 537" xfId="11281" xr:uid="{00000000-0005-0000-0000-0000AB2B0000}"/>
    <cellStyle name="Heading 3 538" xfId="11282" xr:uid="{00000000-0005-0000-0000-0000AC2B0000}"/>
    <cellStyle name="Heading 3 539" xfId="11283" xr:uid="{00000000-0005-0000-0000-0000AD2B0000}"/>
    <cellStyle name="Heading 3 54" xfId="11284" xr:uid="{00000000-0005-0000-0000-0000AE2B0000}"/>
    <cellStyle name="Heading 3 540" xfId="11285" xr:uid="{00000000-0005-0000-0000-0000AF2B0000}"/>
    <cellStyle name="Heading 3 541" xfId="11286" xr:uid="{00000000-0005-0000-0000-0000B02B0000}"/>
    <cellStyle name="Heading 3 542" xfId="11287" xr:uid="{00000000-0005-0000-0000-0000B12B0000}"/>
    <cellStyle name="Heading 3 543" xfId="11288" xr:uid="{00000000-0005-0000-0000-0000B22B0000}"/>
    <cellStyle name="Heading 3 544" xfId="11289" xr:uid="{00000000-0005-0000-0000-0000B32B0000}"/>
    <cellStyle name="Heading 3 545" xfId="11290" xr:uid="{00000000-0005-0000-0000-0000B42B0000}"/>
    <cellStyle name="Heading 3 546" xfId="11291" xr:uid="{00000000-0005-0000-0000-0000B52B0000}"/>
    <cellStyle name="Heading 3 547" xfId="11292" xr:uid="{00000000-0005-0000-0000-0000B62B0000}"/>
    <cellStyle name="Heading 3 548" xfId="11293" xr:uid="{00000000-0005-0000-0000-0000B72B0000}"/>
    <cellStyle name="Heading 3 549" xfId="11294" xr:uid="{00000000-0005-0000-0000-0000B82B0000}"/>
    <cellStyle name="Heading 3 55" xfId="11295" xr:uid="{00000000-0005-0000-0000-0000B92B0000}"/>
    <cellStyle name="Heading 3 550" xfId="11296" xr:uid="{00000000-0005-0000-0000-0000BA2B0000}"/>
    <cellStyle name="Heading 3 551" xfId="11297" xr:uid="{00000000-0005-0000-0000-0000BB2B0000}"/>
    <cellStyle name="Heading 3 552" xfId="11298" xr:uid="{00000000-0005-0000-0000-0000BC2B0000}"/>
    <cellStyle name="Heading 3 553" xfId="11299" xr:uid="{00000000-0005-0000-0000-0000BD2B0000}"/>
    <cellStyle name="Heading 3 554" xfId="11300" xr:uid="{00000000-0005-0000-0000-0000BE2B0000}"/>
    <cellStyle name="Heading 3 555" xfId="11301" xr:uid="{00000000-0005-0000-0000-0000BF2B0000}"/>
    <cellStyle name="Heading 3 556" xfId="11302" xr:uid="{00000000-0005-0000-0000-0000C02B0000}"/>
    <cellStyle name="Heading 3 557" xfId="11303" xr:uid="{00000000-0005-0000-0000-0000C12B0000}"/>
    <cellStyle name="Heading 3 558" xfId="11304" xr:uid="{00000000-0005-0000-0000-0000C22B0000}"/>
    <cellStyle name="Heading 3 559" xfId="11305" xr:uid="{00000000-0005-0000-0000-0000C32B0000}"/>
    <cellStyle name="Heading 3 56" xfId="11306" xr:uid="{00000000-0005-0000-0000-0000C42B0000}"/>
    <cellStyle name="Heading 3 560" xfId="11307" xr:uid="{00000000-0005-0000-0000-0000C52B0000}"/>
    <cellStyle name="Heading 3 561" xfId="11308" xr:uid="{00000000-0005-0000-0000-0000C62B0000}"/>
    <cellStyle name="Heading 3 562" xfId="11309" xr:uid="{00000000-0005-0000-0000-0000C72B0000}"/>
    <cellStyle name="Heading 3 563" xfId="11310" xr:uid="{00000000-0005-0000-0000-0000C82B0000}"/>
    <cellStyle name="Heading 3 564" xfId="11311" xr:uid="{00000000-0005-0000-0000-0000C92B0000}"/>
    <cellStyle name="Heading 3 565" xfId="11312" xr:uid="{00000000-0005-0000-0000-0000CA2B0000}"/>
    <cellStyle name="Heading 3 566" xfId="11313" xr:uid="{00000000-0005-0000-0000-0000CB2B0000}"/>
    <cellStyle name="Heading 3 567" xfId="11314" xr:uid="{00000000-0005-0000-0000-0000CC2B0000}"/>
    <cellStyle name="Heading 3 568" xfId="11315" xr:uid="{00000000-0005-0000-0000-0000CD2B0000}"/>
    <cellStyle name="Heading 3 569" xfId="11316" xr:uid="{00000000-0005-0000-0000-0000CE2B0000}"/>
    <cellStyle name="Heading 3 57" xfId="11317" xr:uid="{00000000-0005-0000-0000-0000CF2B0000}"/>
    <cellStyle name="Heading 3 570" xfId="11318" xr:uid="{00000000-0005-0000-0000-0000D02B0000}"/>
    <cellStyle name="Heading 3 571" xfId="11319" xr:uid="{00000000-0005-0000-0000-0000D12B0000}"/>
    <cellStyle name="Heading 3 572" xfId="11320" xr:uid="{00000000-0005-0000-0000-0000D22B0000}"/>
    <cellStyle name="Heading 3 573" xfId="11321" xr:uid="{00000000-0005-0000-0000-0000D32B0000}"/>
    <cellStyle name="Heading 3 574" xfId="11322" xr:uid="{00000000-0005-0000-0000-0000D42B0000}"/>
    <cellStyle name="Heading 3 575" xfId="11323" xr:uid="{00000000-0005-0000-0000-0000D52B0000}"/>
    <cellStyle name="Heading 3 576" xfId="11324" xr:uid="{00000000-0005-0000-0000-0000D62B0000}"/>
    <cellStyle name="Heading 3 577" xfId="11325" xr:uid="{00000000-0005-0000-0000-0000D72B0000}"/>
    <cellStyle name="Heading 3 578" xfId="11326" xr:uid="{00000000-0005-0000-0000-0000D82B0000}"/>
    <cellStyle name="Heading 3 579" xfId="11327" xr:uid="{00000000-0005-0000-0000-0000D92B0000}"/>
    <cellStyle name="Heading 3 58" xfId="11328" xr:uid="{00000000-0005-0000-0000-0000DA2B0000}"/>
    <cellStyle name="Heading 3 580" xfId="11329" xr:uid="{00000000-0005-0000-0000-0000DB2B0000}"/>
    <cellStyle name="Heading 3 581" xfId="11330" xr:uid="{00000000-0005-0000-0000-0000DC2B0000}"/>
    <cellStyle name="Heading 3 582" xfId="11331" xr:uid="{00000000-0005-0000-0000-0000DD2B0000}"/>
    <cellStyle name="Heading 3 583" xfId="11332" xr:uid="{00000000-0005-0000-0000-0000DE2B0000}"/>
    <cellStyle name="Heading 3 584" xfId="11333" xr:uid="{00000000-0005-0000-0000-0000DF2B0000}"/>
    <cellStyle name="Heading 3 585" xfId="11334" xr:uid="{00000000-0005-0000-0000-0000E02B0000}"/>
    <cellStyle name="Heading 3 586" xfId="11335" xr:uid="{00000000-0005-0000-0000-0000E12B0000}"/>
    <cellStyle name="Heading 3 587" xfId="11336" xr:uid="{00000000-0005-0000-0000-0000E22B0000}"/>
    <cellStyle name="Heading 3 588" xfId="11337" xr:uid="{00000000-0005-0000-0000-0000E32B0000}"/>
    <cellStyle name="Heading 3 589" xfId="11338" xr:uid="{00000000-0005-0000-0000-0000E42B0000}"/>
    <cellStyle name="Heading 3 59" xfId="11339" xr:uid="{00000000-0005-0000-0000-0000E52B0000}"/>
    <cellStyle name="Heading 3 590" xfId="11340" xr:uid="{00000000-0005-0000-0000-0000E62B0000}"/>
    <cellStyle name="Heading 3 591" xfId="11341" xr:uid="{00000000-0005-0000-0000-0000E72B0000}"/>
    <cellStyle name="Heading 3 592" xfId="11342" xr:uid="{00000000-0005-0000-0000-0000E82B0000}"/>
    <cellStyle name="Heading 3 593" xfId="11343" xr:uid="{00000000-0005-0000-0000-0000E92B0000}"/>
    <cellStyle name="Heading 3 594" xfId="11344" xr:uid="{00000000-0005-0000-0000-0000EA2B0000}"/>
    <cellStyle name="Heading 3 595" xfId="11345" xr:uid="{00000000-0005-0000-0000-0000EB2B0000}"/>
    <cellStyle name="Heading 3 596" xfId="11346" xr:uid="{00000000-0005-0000-0000-0000EC2B0000}"/>
    <cellStyle name="Heading 3 597" xfId="11347" xr:uid="{00000000-0005-0000-0000-0000ED2B0000}"/>
    <cellStyle name="Heading 3 598" xfId="11348" xr:uid="{00000000-0005-0000-0000-0000EE2B0000}"/>
    <cellStyle name="Heading 3 599" xfId="11349" xr:uid="{00000000-0005-0000-0000-0000EF2B0000}"/>
    <cellStyle name="Heading 3 6" xfId="11350" xr:uid="{00000000-0005-0000-0000-0000F02B0000}"/>
    <cellStyle name="Heading 3 60" xfId="11351" xr:uid="{00000000-0005-0000-0000-0000F12B0000}"/>
    <cellStyle name="Heading 3 600" xfId="11352" xr:uid="{00000000-0005-0000-0000-0000F22B0000}"/>
    <cellStyle name="Heading 3 601" xfId="11353" xr:uid="{00000000-0005-0000-0000-0000F32B0000}"/>
    <cellStyle name="Heading 3 602" xfId="11354" xr:uid="{00000000-0005-0000-0000-0000F42B0000}"/>
    <cellStyle name="Heading 3 603" xfId="11355" xr:uid="{00000000-0005-0000-0000-0000F52B0000}"/>
    <cellStyle name="Heading 3 604" xfId="11356" xr:uid="{00000000-0005-0000-0000-0000F62B0000}"/>
    <cellStyle name="Heading 3 605" xfId="11357" xr:uid="{00000000-0005-0000-0000-0000F72B0000}"/>
    <cellStyle name="Heading 3 606" xfId="11358" xr:uid="{00000000-0005-0000-0000-0000F82B0000}"/>
    <cellStyle name="Heading 3 607" xfId="11359" xr:uid="{00000000-0005-0000-0000-0000F92B0000}"/>
    <cellStyle name="Heading 3 608" xfId="11360" xr:uid="{00000000-0005-0000-0000-0000FA2B0000}"/>
    <cellStyle name="Heading 3 609" xfId="11361" xr:uid="{00000000-0005-0000-0000-0000FB2B0000}"/>
    <cellStyle name="Heading 3 61" xfId="11362" xr:uid="{00000000-0005-0000-0000-0000FC2B0000}"/>
    <cellStyle name="Heading 3 610" xfId="11363" xr:uid="{00000000-0005-0000-0000-0000FD2B0000}"/>
    <cellStyle name="Heading 3 611" xfId="11364" xr:uid="{00000000-0005-0000-0000-0000FE2B0000}"/>
    <cellStyle name="Heading 3 612" xfId="11365" xr:uid="{00000000-0005-0000-0000-0000FF2B0000}"/>
    <cellStyle name="Heading 3 613" xfId="11366" xr:uid="{00000000-0005-0000-0000-0000002C0000}"/>
    <cellStyle name="Heading 3 614" xfId="11367" xr:uid="{00000000-0005-0000-0000-0000012C0000}"/>
    <cellStyle name="Heading 3 615" xfId="11368" xr:uid="{00000000-0005-0000-0000-0000022C0000}"/>
    <cellStyle name="Heading 3 616" xfId="11369" xr:uid="{00000000-0005-0000-0000-0000032C0000}"/>
    <cellStyle name="Heading 3 617" xfId="11370" xr:uid="{00000000-0005-0000-0000-0000042C0000}"/>
    <cellStyle name="Heading 3 618" xfId="11371" xr:uid="{00000000-0005-0000-0000-0000052C0000}"/>
    <cellStyle name="Heading 3 619" xfId="11372" xr:uid="{00000000-0005-0000-0000-0000062C0000}"/>
    <cellStyle name="Heading 3 62" xfId="11373" xr:uid="{00000000-0005-0000-0000-0000072C0000}"/>
    <cellStyle name="Heading 3 620" xfId="11374" xr:uid="{00000000-0005-0000-0000-0000082C0000}"/>
    <cellStyle name="Heading 3 621" xfId="11375" xr:uid="{00000000-0005-0000-0000-0000092C0000}"/>
    <cellStyle name="Heading 3 622" xfId="11376" xr:uid="{00000000-0005-0000-0000-00000A2C0000}"/>
    <cellStyle name="Heading 3 623" xfId="11377" xr:uid="{00000000-0005-0000-0000-00000B2C0000}"/>
    <cellStyle name="Heading 3 624" xfId="11378" xr:uid="{00000000-0005-0000-0000-00000C2C0000}"/>
    <cellStyle name="Heading 3 625" xfId="11379" xr:uid="{00000000-0005-0000-0000-00000D2C0000}"/>
    <cellStyle name="Heading 3 626" xfId="11380" xr:uid="{00000000-0005-0000-0000-00000E2C0000}"/>
    <cellStyle name="Heading 3 627" xfId="11381" xr:uid="{00000000-0005-0000-0000-00000F2C0000}"/>
    <cellStyle name="Heading 3 628" xfId="11382" xr:uid="{00000000-0005-0000-0000-0000102C0000}"/>
    <cellStyle name="Heading 3 629" xfId="11383" xr:uid="{00000000-0005-0000-0000-0000112C0000}"/>
    <cellStyle name="Heading 3 63" xfId="11384" xr:uid="{00000000-0005-0000-0000-0000122C0000}"/>
    <cellStyle name="Heading 3 630" xfId="11385" xr:uid="{00000000-0005-0000-0000-0000132C0000}"/>
    <cellStyle name="Heading 3 631" xfId="11386" xr:uid="{00000000-0005-0000-0000-0000142C0000}"/>
    <cellStyle name="Heading 3 632" xfId="11387" xr:uid="{00000000-0005-0000-0000-0000152C0000}"/>
    <cellStyle name="Heading 3 633" xfId="11388" xr:uid="{00000000-0005-0000-0000-0000162C0000}"/>
    <cellStyle name="Heading 3 634" xfId="11389" xr:uid="{00000000-0005-0000-0000-0000172C0000}"/>
    <cellStyle name="Heading 3 635" xfId="11390" xr:uid="{00000000-0005-0000-0000-0000182C0000}"/>
    <cellStyle name="Heading 3 636" xfId="11391" xr:uid="{00000000-0005-0000-0000-0000192C0000}"/>
    <cellStyle name="Heading 3 637" xfId="11392" xr:uid="{00000000-0005-0000-0000-00001A2C0000}"/>
    <cellStyle name="Heading 3 638" xfId="11393" xr:uid="{00000000-0005-0000-0000-00001B2C0000}"/>
    <cellStyle name="Heading 3 639" xfId="11394" xr:uid="{00000000-0005-0000-0000-00001C2C0000}"/>
    <cellStyle name="Heading 3 64" xfId="11395" xr:uid="{00000000-0005-0000-0000-00001D2C0000}"/>
    <cellStyle name="Heading 3 640" xfId="11396" xr:uid="{00000000-0005-0000-0000-00001E2C0000}"/>
    <cellStyle name="Heading 3 641" xfId="11397" xr:uid="{00000000-0005-0000-0000-00001F2C0000}"/>
    <cellStyle name="Heading 3 642" xfId="11398" xr:uid="{00000000-0005-0000-0000-0000202C0000}"/>
    <cellStyle name="Heading 3 643" xfId="11399" xr:uid="{00000000-0005-0000-0000-0000212C0000}"/>
    <cellStyle name="Heading 3 644" xfId="11400" xr:uid="{00000000-0005-0000-0000-0000222C0000}"/>
    <cellStyle name="Heading 3 645" xfId="11401" xr:uid="{00000000-0005-0000-0000-0000232C0000}"/>
    <cellStyle name="Heading 3 646" xfId="11402" xr:uid="{00000000-0005-0000-0000-0000242C0000}"/>
    <cellStyle name="Heading 3 647" xfId="11403" xr:uid="{00000000-0005-0000-0000-0000252C0000}"/>
    <cellStyle name="Heading 3 648" xfId="11404" xr:uid="{00000000-0005-0000-0000-0000262C0000}"/>
    <cellStyle name="Heading 3 649" xfId="11405" xr:uid="{00000000-0005-0000-0000-0000272C0000}"/>
    <cellStyle name="Heading 3 65" xfId="11406" xr:uid="{00000000-0005-0000-0000-0000282C0000}"/>
    <cellStyle name="Heading 3 650" xfId="11407" xr:uid="{00000000-0005-0000-0000-0000292C0000}"/>
    <cellStyle name="Heading 3 651" xfId="11408" xr:uid="{00000000-0005-0000-0000-00002A2C0000}"/>
    <cellStyle name="Heading 3 652" xfId="11409" xr:uid="{00000000-0005-0000-0000-00002B2C0000}"/>
    <cellStyle name="Heading 3 653" xfId="11410" xr:uid="{00000000-0005-0000-0000-00002C2C0000}"/>
    <cellStyle name="Heading 3 654" xfId="11411" xr:uid="{00000000-0005-0000-0000-00002D2C0000}"/>
    <cellStyle name="Heading 3 655" xfId="11412" xr:uid="{00000000-0005-0000-0000-00002E2C0000}"/>
    <cellStyle name="Heading 3 656" xfId="11413" xr:uid="{00000000-0005-0000-0000-00002F2C0000}"/>
    <cellStyle name="Heading 3 657" xfId="11414" xr:uid="{00000000-0005-0000-0000-0000302C0000}"/>
    <cellStyle name="Heading 3 658" xfId="11415" xr:uid="{00000000-0005-0000-0000-0000312C0000}"/>
    <cellStyle name="Heading 3 659" xfId="11416" xr:uid="{00000000-0005-0000-0000-0000322C0000}"/>
    <cellStyle name="Heading 3 66" xfId="11417" xr:uid="{00000000-0005-0000-0000-0000332C0000}"/>
    <cellStyle name="Heading 3 660" xfId="11418" xr:uid="{00000000-0005-0000-0000-0000342C0000}"/>
    <cellStyle name="Heading 3 661" xfId="11419" xr:uid="{00000000-0005-0000-0000-0000352C0000}"/>
    <cellStyle name="Heading 3 662" xfId="11420" xr:uid="{00000000-0005-0000-0000-0000362C0000}"/>
    <cellStyle name="Heading 3 663" xfId="11421" xr:uid="{00000000-0005-0000-0000-0000372C0000}"/>
    <cellStyle name="Heading 3 664" xfId="11422" xr:uid="{00000000-0005-0000-0000-0000382C0000}"/>
    <cellStyle name="Heading 3 665" xfId="11423" xr:uid="{00000000-0005-0000-0000-0000392C0000}"/>
    <cellStyle name="Heading 3 666" xfId="11424" xr:uid="{00000000-0005-0000-0000-00003A2C0000}"/>
    <cellStyle name="Heading 3 667" xfId="11425" xr:uid="{00000000-0005-0000-0000-00003B2C0000}"/>
    <cellStyle name="Heading 3 668" xfId="11426" xr:uid="{00000000-0005-0000-0000-00003C2C0000}"/>
    <cellStyle name="Heading 3 669" xfId="11427" xr:uid="{00000000-0005-0000-0000-00003D2C0000}"/>
    <cellStyle name="Heading 3 67" xfId="11428" xr:uid="{00000000-0005-0000-0000-00003E2C0000}"/>
    <cellStyle name="Heading 3 670" xfId="11429" xr:uid="{00000000-0005-0000-0000-00003F2C0000}"/>
    <cellStyle name="Heading 3 671" xfId="11430" xr:uid="{00000000-0005-0000-0000-0000402C0000}"/>
    <cellStyle name="Heading 3 672" xfId="11431" xr:uid="{00000000-0005-0000-0000-0000412C0000}"/>
    <cellStyle name="Heading 3 673" xfId="11432" xr:uid="{00000000-0005-0000-0000-0000422C0000}"/>
    <cellStyle name="Heading 3 674" xfId="11433" xr:uid="{00000000-0005-0000-0000-0000432C0000}"/>
    <cellStyle name="Heading 3 675" xfId="11434" xr:uid="{00000000-0005-0000-0000-0000442C0000}"/>
    <cellStyle name="Heading 3 676" xfId="11435" xr:uid="{00000000-0005-0000-0000-0000452C0000}"/>
    <cellStyle name="Heading 3 677" xfId="11436" xr:uid="{00000000-0005-0000-0000-0000462C0000}"/>
    <cellStyle name="Heading 3 678" xfId="11437" xr:uid="{00000000-0005-0000-0000-0000472C0000}"/>
    <cellStyle name="Heading 3 679" xfId="11438" xr:uid="{00000000-0005-0000-0000-0000482C0000}"/>
    <cellStyle name="Heading 3 68" xfId="11439" xr:uid="{00000000-0005-0000-0000-0000492C0000}"/>
    <cellStyle name="Heading 3 680" xfId="11440" xr:uid="{00000000-0005-0000-0000-00004A2C0000}"/>
    <cellStyle name="Heading 3 681" xfId="11441" xr:uid="{00000000-0005-0000-0000-00004B2C0000}"/>
    <cellStyle name="Heading 3 682" xfId="11442" xr:uid="{00000000-0005-0000-0000-00004C2C0000}"/>
    <cellStyle name="Heading 3 683" xfId="11443" xr:uid="{00000000-0005-0000-0000-00004D2C0000}"/>
    <cellStyle name="Heading 3 684" xfId="11444" xr:uid="{00000000-0005-0000-0000-00004E2C0000}"/>
    <cellStyle name="Heading 3 685" xfId="11445" xr:uid="{00000000-0005-0000-0000-00004F2C0000}"/>
    <cellStyle name="Heading 3 686" xfId="11446" xr:uid="{00000000-0005-0000-0000-0000502C0000}"/>
    <cellStyle name="Heading 3 687" xfId="11447" xr:uid="{00000000-0005-0000-0000-0000512C0000}"/>
    <cellStyle name="Heading 3 688" xfId="11448" xr:uid="{00000000-0005-0000-0000-0000522C0000}"/>
    <cellStyle name="Heading 3 689" xfId="11449" xr:uid="{00000000-0005-0000-0000-0000532C0000}"/>
    <cellStyle name="Heading 3 69" xfId="11450" xr:uid="{00000000-0005-0000-0000-0000542C0000}"/>
    <cellStyle name="Heading 3 690" xfId="11451" xr:uid="{00000000-0005-0000-0000-0000552C0000}"/>
    <cellStyle name="Heading 3 691" xfId="11452" xr:uid="{00000000-0005-0000-0000-0000562C0000}"/>
    <cellStyle name="Heading 3 692" xfId="11453" xr:uid="{00000000-0005-0000-0000-0000572C0000}"/>
    <cellStyle name="Heading 3 693" xfId="11454" xr:uid="{00000000-0005-0000-0000-0000582C0000}"/>
    <cellStyle name="Heading 3 694" xfId="11455" xr:uid="{00000000-0005-0000-0000-0000592C0000}"/>
    <cellStyle name="Heading 3 695" xfId="11456" xr:uid="{00000000-0005-0000-0000-00005A2C0000}"/>
    <cellStyle name="Heading 3 696" xfId="11457" xr:uid="{00000000-0005-0000-0000-00005B2C0000}"/>
    <cellStyle name="Heading 3 697" xfId="11458" xr:uid="{00000000-0005-0000-0000-00005C2C0000}"/>
    <cellStyle name="Heading 3 698" xfId="11459" xr:uid="{00000000-0005-0000-0000-00005D2C0000}"/>
    <cellStyle name="Heading 3 699" xfId="11460" xr:uid="{00000000-0005-0000-0000-00005E2C0000}"/>
    <cellStyle name="Heading 3 7" xfId="11461" xr:uid="{00000000-0005-0000-0000-00005F2C0000}"/>
    <cellStyle name="Heading 3 70" xfId="11462" xr:uid="{00000000-0005-0000-0000-0000602C0000}"/>
    <cellStyle name="Heading 3 700" xfId="11463" xr:uid="{00000000-0005-0000-0000-0000612C0000}"/>
    <cellStyle name="Heading 3 701" xfId="11464" xr:uid="{00000000-0005-0000-0000-0000622C0000}"/>
    <cellStyle name="Heading 3 702" xfId="11465" xr:uid="{00000000-0005-0000-0000-0000632C0000}"/>
    <cellStyle name="Heading 3 703" xfId="11466" xr:uid="{00000000-0005-0000-0000-0000642C0000}"/>
    <cellStyle name="Heading 3 704" xfId="11467" xr:uid="{00000000-0005-0000-0000-0000652C0000}"/>
    <cellStyle name="Heading 3 705" xfId="11468" xr:uid="{00000000-0005-0000-0000-0000662C0000}"/>
    <cellStyle name="Heading 3 706" xfId="11469" xr:uid="{00000000-0005-0000-0000-0000672C0000}"/>
    <cellStyle name="Heading 3 707" xfId="11470" xr:uid="{00000000-0005-0000-0000-0000682C0000}"/>
    <cellStyle name="Heading 3 708" xfId="11471" xr:uid="{00000000-0005-0000-0000-0000692C0000}"/>
    <cellStyle name="Heading 3 709" xfId="11472" xr:uid="{00000000-0005-0000-0000-00006A2C0000}"/>
    <cellStyle name="Heading 3 71" xfId="11473" xr:uid="{00000000-0005-0000-0000-00006B2C0000}"/>
    <cellStyle name="Heading 3 710" xfId="11474" xr:uid="{00000000-0005-0000-0000-00006C2C0000}"/>
    <cellStyle name="Heading 3 711" xfId="11475" xr:uid="{00000000-0005-0000-0000-00006D2C0000}"/>
    <cellStyle name="Heading 3 712" xfId="11476" xr:uid="{00000000-0005-0000-0000-00006E2C0000}"/>
    <cellStyle name="Heading 3 713" xfId="11477" xr:uid="{00000000-0005-0000-0000-00006F2C0000}"/>
    <cellStyle name="Heading 3 714" xfId="11478" xr:uid="{00000000-0005-0000-0000-0000702C0000}"/>
    <cellStyle name="Heading 3 715" xfId="11479" xr:uid="{00000000-0005-0000-0000-0000712C0000}"/>
    <cellStyle name="Heading 3 716" xfId="11480" xr:uid="{00000000-0005-0000-0000-0000722C0000}"/>
    <cellStyle name="Heading 3 717" xfId="11481" xr:uid="{00000000-0005-0000-0000-0000732C0000}"/>
    <cellStyle name="Heading 3 718" xfId="11482" xr:uid="{00000000-0005-0000-0000-0000742C0000}"/>
    <cellStyle name="Heading 3 719" xfId="11483" xr:uid="{00000000-0005-0000-0000-0000752C0000}"/>
    <cellStyle name="Heading 3 72" xfId="11484" xr:uid="{00000000-0005-0000-0000-0000762C0000}"/>
    <cellStyle name="Heading 3 720" xfId="11485" xr:uid="{00000000-0005-0000-0000-0000772C0000}"/>
    <cellStyle name="Heading 3 721" xfId="11486" xr:uid="{00000000-0005-0000-0000-0000782C0000}"/>
    <cellStyle name="Heading 3 722" xfId="11487" xr:uid="{00000000-0005-0000-0000-0000792C0000}"/>
    <cellStyle name="Heading 3 723" xfId="11488" xr:uid="{00000000-0005-0000-0000-00007A2C0000}"/>
    <cellStyle name="Heading 3 724" xfId="11489" xr:uid="{00000000-0005-0000-0000-00007B2C0000}"/>
    <cellStyle name="Heading 3 725" xfId="11490" xr:uid="{00000000-0005-0000-0000-00007C2C0000}"/>
    <cellStyle name="Heading 3 726" xfId="11491" xr:uid="{00000000-0005-0000-0000-00007D2C0000}"/>
    <cellStyle name="Heading 3 727" xfId="11492" xr:uid="{00000000-0005-0000-0000-00007E2C0000}"/>
    <cellStyle name="Heading 3 728" xfId="11493" xr:uid="{00000000-0005-0000-0000-00007F2C0000}"/>
    <cellStyle name="Heading 3 729" xfId="11494" xr:uid="{00000000-0005-0000-0000-0000802C0000}"/>
    <cellStyle name="Heading 3 73" xfId="11495" xr:uid="{00000000-0005-0000-0000-0000812C0000}"/>
    <cellStyle name="Heading 3 730" xfId="11496" xr:uid="{00000000-0005-0000-0000-0000822C0000}"/>
    <cellStyle name="Heading 3 731" xfId="11497" xr:uid="{00000000-0005-0000-0000-0000832C0000}"/>
    <cellStyle name="Heading 3 732" xfId="11498" xr:uid="{00000000-0005-0000-0000-0000842C0000}"/>
    <cellStyle name="Heading 3 733" xfId="11499" xr:uid="{00000000-0005-0000-0000-0000852C0000}"/>
    <cellStyle name="Heading 3 734" xfId="11500" xr:uid="{00000000-0005-0000-0000-0000862C0000}"/>
    <cellStyle name="Heading 3 735" xfId="11501" xr:uid="{00000000-0005-0000-0000-0000872C0000}"/>
    <cellStyle name="Heading 3 736" xfId="11502" xr:uid="{00000000-0005-0000-0000-0000882C0000}"/>
    <cellStyle name="Heading 3 737" xfId="11503" xr:uid="{00000000-0005-0000-0000-0000892C0000}"/>
    <cellStyle name="Heading 3 738" xfId="11504" xr:uid="{00000000-0005-0000-0000-00008A2C0000}"/>
    <cellStyle name="Heading 3 739" xfId="11505" xr:uid="{00000000-0005-0000-0000-00008B2C0000}"/>
    <cellStyle name="Heading 3 74" xfId="11506" xr:uid="{00000000-0005-0000-0000-00008C2C0000}"/>
    <cellStyle name="Heading 3 740" xfId="11507" xr:uid="{00000000-0005-0000-0000-00008D2C0000}"/>
    <cellStyle name="Heading 3 741" xfId="11508" xr:uid="{00000000-0005-0000-0000-00008E2C0000}"/>
    <cellStyle name="Heading 3 742" xfId="11509" xr:uid="{00000000-0005-0000-0000-00008F2C0000}"/>
    <cellStyle name="Heading 3 743" xfId="11510" xr:uid="{00000000-0005-0000-0000-0000902C0000}"/>
    <cellStyle name="Heading 3 744" xfId="11511" xr:uid="{00000000-0005-0000-0000-0000912C0000}"/>
    <cellStyle name="Heading 3 745" xfId="11512" xr:uid="{00000000-0005-0000-0000-0000922C0000}"/>
    <cellStyle name="Heading 3 746" xfId="11513" xr:uid="{00000000-0005-0000-0000-0000932C0000}"/>
    <cellStyle name="Heading 3 747" xfId="11514" xr:uid="{00000000-0005-0000-0000-0000942C0000}"/>
    <cellStyle name="Heading 3 748" xfId="11515" xr:uid="{00000000-0005-0000-0000-0000952C0000}"/>
    <cellStyle name="Heading 3 749" xfId="11516" xr:uid="{00000000-0005-0000-0000-0000962C0000}"/>
    <cellStyle name="Heading 3 75" xfId="11517" xr:uid="{00000000-0005-0000-0000-0000972C0000}"/>
    <cellStyle name="Heading 3 750" xfId="11518" xr:uid="{00000000-0005-0000-0000-0000982C0000}"/>
    <cellStyle name="Heading 3 751" xfId="11519" xr:uid="{00000000-0005-0000-0000-0000992C0000}"/>
    <cellStyle name="Heading 3 752" xfId="11520" xr:uid="{00000000-0005-0000-0000-00009A2C0000}"/>
    <cellStyle name="Heading 3 753" xfId="11521" xr:uid="{00000000-0005-0000-0000-00009B2C0000}"/>
    <cellStyle name="Heading 3 754" xfId="11522" xr:uid="{00000000-0005-0000-0000-00009C2C0000}"/>
    <cellStyle name="Heading 3 755" xfId="11523" xr:uid="{00000000-0005-0000-0000-00009D2C0000}"/>
    <cellStyle name="Heading 3 756" xfId="11524" xr:uid="{00000000-0005-0000-0000-00009E2C0000}"/>
    <cellStyle name="Heading 3 757" xfId="11525" xr:uid="{00000000-0005-0000-0000-00009F2C0000}"/>
    <cellStyle name="Heading 3 758" xfId="11526" xr:uid="{00000000-0005-0000-0000-0000A02C0000}"/>
    <cellStyle name="Heading 3 759" xfId="11527" xr:uid="{00000000-0005-0000-0000-0000A12C0000}"/>
    <cellStyle name="Heading 3 76" xfId="11528" xr:uid="{00000000-0005-0000-0000-0000A22C0000}"/>
    <cellStyle name="Heading 3 760" xfId="11529" xr:uid="{00000000-0005-0000-0000-0000A32C0000}"/>
    <cellStyle name="Heading 3 761" xfId="11530" xr:uid="{00000000-0005-0000-0000-0000A42C0000}"/>
    <cellStyle name="Heading 3 762" xfId="11531" xr:uid="{00000000-0005-0000-0000-0000A52C0000}"/>
    <cellStyle name="Heading 3 763" xfId="11532" xr:uid="{00000000-0005-0000-0000-0000A62C0000}"/>
    <cellStyle name="Heading 3 764" xfId="11533" xr:uid="{00000000-0005-0000-0000-0000A72C0000}"/>
    <cellStyle name="Heading 3 765" xfId="11534" xr:uid="{00000000-0005-0000-0000-0000A82C0000}"/>
    <cellStyle name="Heading 3 766" xfId="11535" xr:uid="{00000000-0005-0000-0000-0000A92C0000}"/>
    <cellStyle name="Heading 3 767" xfId="11536" xr:uid="{00000000-0005-0000-0000-0000AA2C0000}"/>
    <cellStyle name="Heading 3 768" xfId="11537" xr:uid="{00000000-0005-0000-0000-0000AB2C0000}"/>
    <cellStyle name="Heading 3 769" xfId="11538" xr:uid="{00000000-0005-0000-0000-0000AC2C0000}"/>
    <cellStyle name="Heading 3 77" xfId="11539" xr:uid="{00000000-0005-0000-0000-0000AD2C0000}"/>
    <cellStyle name="Heading 3 770" xfId="11540" xr:uid="{00000000-0005-0000-0000-0000AE2C0000}"/>
    <cellStyle name="Heading 3 771" xfId="11541" xr:uid="{00000000-0005-0000-0000-0000AF2C0000}"/>
    <cellStyle name="Heading 3 772" xfId="11542" xr:uid="{00000000-0005-0000-0000-0000B02C0000}"/>
    <cellStyle name="Heading 3 773" xfId="11543" xr:uid="{00000000-0005-0000-0000-0000B12C0000}"/>
    <cellStyle name="Heading 3 774" xfId="11544" xr:uid="{00000000-0005-0000-0000-0000B22C0000}"/>
    <cellStyle name="Heading 3 775" xfId="11545" xr:uid="{00000000-0005-0000-0000-0000B32C0000}"/>
    <cellStyle name="Heading 3 776" xfId="11546" xr:uid="{00000000-0005-0000-0000-0000B42C0000}"/>
    <cellStyle name="Heading 3 777" xfId="11547" xr:uid="{00000000-0005-0000-0000-0000B52C0000}"/>
    <cellStyle name="Heading 3 778" xfId="11548" xr:uid="{00000000-0005-0000-0000-0000B62C0000}"/>
    <cellStyle name="Heading 3 779" xfId="11549" xr:uid="{00000000-0005-0000-0000-0000B72C0000}"/>
    <cellStyle name="Heading 3 78" xfId="11550" xr:uid="{00000000-0005-0000-0000-0000B82C0000}"/>
    <cellStyle name="Heading 3 780" xfId="11551" xr:uid="{00000000-0005-0000-0000-0000B92C0000}"/>
    <cellStyle name="Heading 3 781" xfId="11552" xr:uid="{00000000-0005-0000-0000-0000BA2C0000}"/>
    <cellStyle name="Heading 3 782" xfId="11553" xr:uid="{00000000-0005-0000-0000-0000BB2C0000}"/>
    <cellStyle name="Heading 3 783" xfId="11554" xr:uid="{00000000-0005-0000-0000-0000BC2C0000}"/>
    <cellStyle name="Heading 3 784" xfId="11555" xr:uid="{00000000-0005-0000-0000-0000BD2C0000}"/>
    <cellStyle name="Heading 3 785" xfId="11556" xr:uid="{00000000-0005-0000-0000-0000BE2C0000}"/>
    <cellStyle name="Heading 3 786" xfId="11557" xr:uid="{00000000-0005-0000-0000-0000BF2C0000}"/>
    <cellStyle name="Heading 3 787" xfId="11558" xr:uid="{00000000-0005-0000-0000-0000C02C0000}"/>
    <cellStyle name="Heading 3 788" xfId="11559" xr:uid="{00000000-0005-0000-0000-0000C12C0000}"/>
    <cellStyle name="Heading 3 789" xfId="11560" xr:uid="{00000000-0005-0000-0000-0000C22C0000}"/>
    <cellStyle name="Heading 3 79" xfId="11561" xr:uid="{00000000-0005-0000-0000-0000C32C0000}"/>
    <cellStyle name="Heading 3 790" xfId="11562" xr:uid="{00000000-0005-0000-0000-0000C42C0000}"/>
    <cellStyle name="Heading 3 791" xfId="11563" xr:uid="{00000000-0005-0000-0000-0000C52C0000}"/>
    <cellStyle name="Heading 3 792" xfId="11564" xr:uid="{00000000-0005-0000-0000-0000C62C0000}"/>
    <cellStyle name="Heading 3 793" xfId="11565" xr:uid="{00000000-0005-0000-0000-0000C72C0000}"/>
    <cellStyle name="Heading 3 794" xfId="11566" xr:uid="{00000000-0005-0000-0000-0000C82C0000}"/>
    <cellStyle name="Heading 3 795" xfId="11567" xr:uid="{00000000-0005-0000-0000-0000C92C0000}"/>
    <cellStyle name="Heading 3 796" xfId="11568" xr:uid="{00000000-0005-0000-0000-0000CA2C0000}"/>
    <cellStyle name="Heading 3 797" xfId="11569" xr:uid="{00000000-0005-0000-0000-0000CB2C0000}"/>
    <cellStyle name="Heading 3 798" xfId="11570" xr:uid="{00000000-0005-0000-0000-0000CC2C0000}"/>
    <cellStyle name="Heading 3 799" xfId="11571" xr:uid="{00000000-0005-0000-0000-0000CD2C0000}"/>
    <cellStyle name="Heading 3 8" xfId="11572" xr:uid="{00000000-0005-0000-0000-0000CE2C0000}"/>
    <cellStyle name="Heading 3 80" xfId="11573" xr:uid="{00000000-0005-0000-0000-0000CF2C0000}"/>
    <cellStyle name="Heading 3 800" xfId="11574" xr:uid="{00000000-0005-0000-0000-0000D02C0000}"/>
    <cellStyle name="Heading 3 801" xfId="11575" xr:uid="{00000000-0005-0000-0000-0000D12C0000}"/>
    <cellStyle name="Heading 3 802" xfId="11576" xr:uid="{00000000-0005-0000-0000-0000D22C0000}"/>
    <cellStyle name="Heading 3 803" xfId="11577" xr:uid="{00000000-0005-0000-0000-0000D32C0000}"/>
    <cellStyle name="Heading 3 804" xfId="11578" xr:uid="{00000000-0005-0000-0000-0000D42C0000}"/>
    <cellStyle name="Heading 3 805" xfId="11579" xr:uid="{00000000-0005-0000-0000-0000D52C0000}"/>
    <cellStyle name="Heading 3 806" xfId="11580" xr:uid="{00000000-0005-0000-0000-0000D62C0000}"/>
    <cellStyle name="Heading 3 807" xfId="11581" xr:uid="{00000000-0005-0000-0000-0000D72C0000}"/>
    <cellStyle name="Heading 3 808" xfId="11582" xr:uid="{00000000-0005-0000-0000-0000D82C0000}"/>
    <cellStyle name="Heading 3 809" xfId="11583" xr:uid="{00000000-0005-0000-0000-0000D92C0000}"/>
    <cellStyle name="Heading 3 81" xfId="11584" xr:uid="{00000000-0005-0000-0000-0000DA2C0000}"/>
    <cellStyle name="Heading 3 810" xfId="11585" xr:uid="{00000000-0005-0000-0000-0000DB2C0000}"/>
    <cellStyle name="Heading 3 811" xfId="11586" xr:uid="{00000000-0005-0000-0000-0000DC2C0000}"/>
    <cellStyle name="Heading 3 812" xfId="11587" xr:uid="{00000000-0005-0000-0000-0000DD2C0000}"/>
    <cellStyle name="Heading 3 813" xfId="11588" xr:uid="{00000000-0005-0000-0000-0000DE2C0000}"/>
    <cellStyle name="Heading 3 814" xfId="11589" xr:uid="{00000000-0005-0000-0000-0000DF2C0000}"/>
    <cellStyle name="Heading 3 815" xfId="11590" xr:uid="{00000000-0005-0000-0000-0000E02C0000}"/>
    <cellStyle name="Heading 3 816" xfId="11591" xr:uid="{00000000-0005-0000-0000-0000E12C0000}"/>
    <cellStyle name="Heading 3 817" xfId="11592" xr:uid="{00000000-0005-0000-0000-0000E22C0000}"/>
    <cellStyle name="Heading 3 818" xfId="11593" xr:uid="{00000000-0005-0000-0000-0000E32C0000}"/>
    <cellStyle name="Heading 3 819" xfId="11594" xr:uid="{00000000-0005-0000-0000-0000E42C0000}"/>
    <cellStyle name="Heading 3 82" xfId="11595" xr:uid="{00000000-0005-0000-0000-0000E52C0000}"/>
    <cellStyle name="Heading 3 820" xfId="11596" xr:uid="{00000000-0005-0000-0000-0000E62C0000}"/>
    <cellStyle name="Heading 3 821" xfId="11597" xr:uid="{00000000-0005-0000-0000-0000E72C0000}"/>
    <cellStyle name="Heading 3 822" xfId="11598" xr:uid="{00000000-0005-0000-0000-0000E82C0000}"/>
    <cellStyle name="Heading 3 823" xfId="11599" xr:uid="{00000000-0005-0000-0000-0000E92C0000}"/>
    <cellStyle name="Heading 3 824" xfId="11600" xr:uid="{00000000-0005-0000-0000-0000EA2C0000}"/>
    <cellStyle name="Heading 3 825" xfId="11601" xr:uid="{00000000-0005-0000-0000-0000EB2C0000}"/>
    <cellStyle name="Heading 3 826" xfId="11602" xr:uid="{00000000-0005-0000-0000-0000EC2C0000}"/>
    <cellStyle name="Heading 3 827" xfId="11603" xr:uid="{00000000-0005-0000-0000-0000ED2C0000}"/>
    <cellStyle name="Heading 3 828" xfId="11604" xr:uid="{00000000-0005-0000-0000-0000EE2C0000}"/>
    <cellStyle name="Heading 3 829" xfId="11605" xr:uid="{00000000-0005-0000-0000-0000EF2C0000}"/>
    <cellStyle name="Heading 3 83" xfId="11606" xr:uid="{00000000-0005-0000-0000-0000F02C0000}"/>
    <cellStyle name="Heading 3 830" xfId="11607" xr:uid="{00000000-0005-0000-0000-0000F12C0000}"/>
    <cellStyle name="Heading 3 831" xfId="11608" xr:uid="{00000000-0005-0000-0000-0000F22C0000}"/>
    <cellStyle name="Heading 3 832" xfId="11609" xr:uid="{00000000-0005-0000-0000-0000F32C0000}"/>
    <cellStyle name="Heading 3 833" xfId="11610" xr:uid="{00000000-0005-0000-0000-0000F42C0000}"/>
    <cellStyle name="Heading 3 834" xfId="11611" xr:uid="{00000000-0005-0000-0000-0000F52C0000}"/>
    <cellStyle name="Heading 3 835" xfId="11612" xr:uid="{00000000-0005-0000-0000-0000F62C0000}"/>
    <cellStyle name="Heading 3 836" xfId="11613" xr:uid="{00000000-0005-0000-0000-0000F72C0000}"/>
    <cellStyle name="Heading 3 837" xfId="11614" xr:uid="{00000000-0005-0000-0000-0000F82C0000}"/>
    <cellStyle name="Heading 3 838" xfId="11615" xr:uid="{00000000-0005-0000-0000-0000F92C0000}"/>
    <cellStyle name="Heading 3 839" xfId="11616" xr:uid="{00000000-0005-0000-0000-0000FA2C0000}"/>
    <cellStyle name="Heading 3 84" xfId="11617" xr:uid="{00000000-0005-0000-0000-0000FB2C0000}"/>
    <cellStyle name="Heading 3 840" xfId="11618" xr:uid="{00000000-0005-0000-0000-0000FC2C0000}"/>
    <cellStyle name="Heading 3 841" xfId="11619" xr:uid="{00000000-0005-0000-0000-0000FD2C0000}"/>
    <cellStyle name="Heading 3 842" xfId="11620" xr:uid="{00000000-0005-0000-0000-0000FE2C0000}"/>
    <cellStyle name="Heading 3 843" xfId="11621" xr:uid="{00000000-0005-0000-0000-0000FF2C0000}"/>
    <cellStyle name="Heading 3 844" xfId="11622" xr:uid="{00000000-0005-0000-0000-0000002D0000}"/>
    <cellStyle name="Heading 3 845" xfId="11623" xr:uid="{00000000-0005-0000-0000-0000012D0000}"/>
    <cellStyle name="Heading 3 846" xfId="11624" xr:uid="{00000000-0005-0000-0000-0000022D0000}"/>
    <cellStyle name="Heading 3 847" xfId="11625" xr:uid="{00000000-0005-0000-0000-0000032D0000}"/>
    <cellStyle name="Heading 3 848" xfId="11626" xr:uid="{00000000-0005-0000-0000-0000042D0000}"/>
    <cellStyle name="Heading 3 849" xfId="11627" xr:uid="{00000000-0005-0000-0000-0000052D0000}"/>
    <cellStyle name="Heading 3 85" xfId="11628" xr:uid="{00000000-0005-0000-0000-0000062D0000}"/>
    <cellStyle name="Heading 3 850" xfId="11629" xr:uid="{00000000-0005-0000-0000-0000072D0000}"/>
    <cellStyle name="Heading 3 851" xfId="11630" xr:uid="{00000000-0005-0000-0000-0000082D0000}"/>
    <cellStyle name="Heading 3 852" xfId="11631" xr:uid="{00000000-0005-0000-0000-0000092D0000}"/>
    <cellStyle name="Heading 3 853" xfId="11632" xr:uid="{00000000-0005-0000-0000-00000A2D0000}"/>
    <cellStyle name="Heading 3 854" xfId="11633" xr:uid="{00000000-0005-0000-0000-00000B2D0000}"/>
    <cellStyle name="Heading 3 855" xfId="11634" xr:uid="{00000000-0005-0000-0000-00000C2D0000}"/>
    <cellStyle name="Heading 3 856" xfId="11635" xr:uid="{00000000-0005-0000-0000-00000D2D0000}"/>
    <cellStyle name="Heading 3 857" xfId="11636" xr:uid="{00000000-0005-0000-0000-00000E2D0000}"/>
    <cellStyle name="Heading 3 858" xfId="11637" xr:uid="{00000000-0005-0000-0000-00000F2D0000}"/>
    <cellStyle name="Heading 3 859" xfId="11638" xr:uid="{00000000-0005-0000-0000-0000102D0000}"/>
    <cellStyle name="Heading 3 86" xfId="11639" xr:uid="{00000000-0005-0000-0000-0000112D0000}"/>
    <cellStyle name="Heading 3 860" xfId="11640" xr:uid="{00000000-0005-0000-0000-0000122D0000}"/>
    <cellStyle name="Heading 3 861" xfId="11641" xr:uid="{00000000-0005-0000-0000-0000132D0000}"/>
    <cellStyle name="Heading 3 862" xfId="11642" xr:uid="{00000000-0005-0000-0000-0000142D0000}"/>
    <cellStyle name="Heading 3 863" xfId="11643" xr:uid="{00000000-0005-0000-0000-0000152D0000}"/>
    <cellStyle name="Heading 3 864" xfId="11644" xr:uid="{00000000-0005-0000-0000-0000162D0000}"/>
    <cellStyle name="Heading 3 865" xfId="11645" xr:uid="{00000000-0005-0000-0000-0000172D0000}"/>
    <cellStyle name="Heading 3 866" xfId="11646" xr:uid="{00000000-0005-0000-0000-0000182D0000}"/>
    <cellStyle name="Heading 3 867" xfId="11647" xr:uid="{00000000-0005-0000-0000-0000192D0000}"/>
    <cellStyle name="Heading 3 868" xfId="11648" xr:uid="{00000000-0005-0000-0000-00001A2D0000}"/>
    <cellStyle name="Heading 3 869" xfId="11649" xr:uid="{00000000-0005-0000-0000-00001B2D0000}"/>
    <cellStyle name="Heading 3 87" xfId="11650" xr:uid="{00000000-0005-0000-0000-00001C2D0000}"/>
    <cellStyle name="Heading 3 870" xfId="11651" xr:uid="{00000000-0005-0000-0000-00001D2D0000}"/>
    <cellStyle name="Heading 3 871" xfId="11652" xr:uid="{00000000-0005-0000-0000-00001E2D0000}"/>
    <cellStyle name="Heading 3 872" xfId="11653" xr:uid="{00000000-0005-0000-0000-00001F2D0000}"/>
    <cellStyle name="Heading 3 873" xfId="11654" xr:uid="{00000000-0005-0000-0000-0000202D0000}"/>
    <cellStyle name="Heading 3 874" xfId="11655" xr:uid="{00000000-0005-0000-0000-0000212D0000}"/>
    <cellStyle name="Heading 3 875" xfId="11656" xr:uid="{00000000-0005-0000-0000-0000222D0000}"/>
    <cellStyle name="Heading 3 876" xfId="11657" xr:uid="{00000000-0005-0000-0000-0000232D0000}"/>
    <cellStyle name="Heading 3 877" xfId="11658" xr:uid="{00000000-0005-0000-0000-0000242D0000}"/>
    <cellStyle name="Heading 3 878" xfId="11659" xr:uid="{00000000-0005-0000-0000-0000252D0000}"/>
    <cellStyle name="Heading 3 879" xfId="11660" xr:uid="{00000000-0005-0000-0000-0000262D0000}"/>
    <cellStyle name="Heading 3 88" xfId="11661" xr:uid="{00000000-0005-0000-0000-0000272D0000}"/>
    <cellStyle name="Heading 3 880" xfId="11662" xr:uid="{00000000-0005-0000-0000-0000282D0000}"/>
    <cellStyle name="Heading 3 881" xfId="11663" xr:uid="{00000000-0005-0000-0000-0000292D0000}"/>
    <cellStyle name="Heading 3 882" xfId="11664" xr:uid="{00000000-0005-0000-0000-00002A2D0000}"/>
    <cellStyle name="Heading 3 883" xfId="11665" xr:uid="{00000000-0005-0000-0000-00002B2D0000}"/>
    <cellStyle name="Heading 3 884" xfId="11666" xr:uid="{00000000-0005-0000-0000-00002C2D0000}"/>
    <cellStyle name="Heading 3 885" xfId="11667" xr:uid="{00000000-0005-0000-0000-00002D2D0000}"/>
    <cellStyle name="Heading 3 886" xfId="11668" xr:uid="{00000000-0005-0000-0000-00002E2D0000}"/>
    <cellStyle name="Heading 3 887" xfId="11669" xr:uid="{00000000-0005-0000-0000-00002F2D0000}"/>
    <cellStyle name="Heading 3 888" xfId="11670" xr:uid="{00000000-0005-0000-0000-0000302D0000}"/>
    <cellStyle name="Heading 3 889" xfId="11671" xr:uid="{00000000-0005-0000-0000-0000312D0000}"/>
    <cellStyle name="Heading 3 89" xfId="11672" xr:uid="{00000000-0005-0000-0000-0000322D0000}"/>
    <cellStyle name="Heading 3 890" xfId="11673" xr:uid="{00000000-0005-0000-0000-0000332D0000}"/>
    <cellStyle name="Heading 3 891" xfId="11674" xr:uid="{00000000-0005-0000-0000-0000342D0000}"/>
    <cellStyle name="Heading 3 892" xfId="11675" xr:uid="{00000000-0005-0000-0000-0000352D0000}"/>
    <cellStyle name="Heading 3 893" xfId="11676" xr:uid="{00000000-0005-0000-0000-0000362D0000}"/>
    <cellStyle name="Heading 3 894" xfId="11677" xr:uid="{00000000-0005-0000-0000-0000372D0000}"/>
    <cellStyle name="Heading 3 895" xfId="11678" xr:uid="{00000000-0005-0000-0000-0000382D0000}"/>
    <cellStyle name="Heading 3 896" xfId="11679" xr:uid="{00000000-0005-0000-0000-0000392D0000}"/>
    <cellStyle name="Heading 3 897" xfId="11680" xr:uid="{00000000-0005-0000-0000-00003A2D0000}"/>
    <cellStyle name="Heading 3 898" xfId="11681" xr:uid="{00000000-0005-0000-0000-00003B2D0000}"/>
    <cellStyle name="Heading 3 899" xfId="11682" xr:uid="{00000000-0005-0000-0000-00003C2D0000}"/>
    <cellStyle name="Heading 3 9" xfId="11683" xr:uid="{00000000-0005-0000-0000-00003D2D0000}"/>
    <cellStyle name="Heading 3 90" xfId="11684" xr:uid="{00000000-0005-0000-0000-00003E2D0000}"/>
    <cellStyle name="Heading 3 900" xfId="11685" xr:uid="{00000000-0005-0000-0000-00003F2D0000}"/>
    <cellStyle name="Heading 3 901" xfId="11686" xr:uid="{00000000-0005-0000-0000-0000402D0000}"/>
    <cellStyle name="Heading 3 902" xfId="11687" xr:uid="{00000000-0005-0000-0000-0000412D0000}"/>
    <cellStyle name="Heading 3 903" xfId="11688" xr:uid="{00000000-0005-0000-0000-0000422D0000}"/>
    <cellStyle name="Heading 3 904" xfId="11689" xr:uid="{00000000-0005-0000-0000-0000432D0000}"/>
    <cellStyle name="Heading 3 905" xfId="11690" xr:uid="{00000000-0005-0000-0000-0000442D0000}"/>
    <cellStyle name="Heading 3 906" xfId="11691" xr:uid="{00000000-0005-0000-0000-0000452D0000}"/>
    <cellStyle name="Heading 3 907" xfId="11692" xr:uid="{00000000-0005-0000-0000-0000462D0000}"/>
    <cellStyle name="Heading 3 908" xfId="11693" xr:uid="{00000000-0005-0000-0000-0000472D0000}"/>
    <cellStyle name="Heading 3 909" xfId="11694" xr:uid="{00000000-0005-0000-0000-0000482D0000}"/>
    <cellStyle name="Heading 3 91" xfId="11695" xr:uid="{00000000-0005-0000-0000-0000492D0000}"/>
    <cellStyle name="Heading 3 910" xfId="11696" xr:uid="{00000000-0005-0000-0000-00004A2D0000}"/>
    <cellStyle name="Heading 3 911" xfId="11697" xr:uid="{00000000-0005-0000-0000-00004B2D0000}"/>
    <cellStyle name="Heading 3 912" xfId="11698" xr:uid="{00000000-0005-0000-0000-00004C2D0000}"/>
    <cellStyle name="Heading 3 913" xfId="11699" xr:uid="{00000000-0005-0000-0000-00004D2D0000}"/>
    <cellStyle name="Heading 3 914" xfId="11700" xr:uid="{00000000-0005-0000-0000-00004E2D0000}"/>
    <cellStyle name="Heading 3 915" xfId="11701" xr:uid="{00000000-0005-0000-0000-00004F2D0000}"/>
    <cellStyle name="Heading 3 916" xfId="11702" xr:uid="{00000000-0005-0000-0000-0000502D0000}"/>
    <cellStyle name="Heading 3 917" xfId="11703" xr:uid="{00000000-0005-0000-0000-0000512D0000}"/>
    <cellStyle name="Heading 3 918" xfId="11704" xr:uid="{00000000-0005-0000-0000-0000522D0000}"/>
    <cellStyle name="Heading 3 919" xfId="11705" xr:uid="{00000000-0005-0000-0000-0000532D0000}"/>
    <cellStyle name="Heading 3 92" xfId="11706" xr:uid="{00000000-0005-0000-0000-0000542D0000}"/>
    <cellStyle name="Heading 3 920" xfId="11707" xr:uid="{00000000-0005-0000-0000-0000552D0000}"/>
    <cellStyle name="Heading 3 921" xfId="11708" xr:uid="{00000000-0005-0000-0000-0000562D0000}"/>
    <cellStyle name="Heading 3 922" xfId="11709" xr:uid="{00000000-0005-0000-0000-0000572D0000}"/>
    <cellStyle name="Heading 3 923" xfId="11710" xr:uid="{00000000-0005-0000-0000-0000582D0000}"/>
    <cellStyle name="Heading 3 924" xfId="11711" xr:uid="{00000000-0005-0000-0000-0000592D0000}"/>
    <cellStyle name="Heading 3 925" xfId="11712" xr:uid="{00000000-0005-0000-0000-00005A2D0000}"/>
    <cellStyle name="Heading 3 926" xfId="11713" xr:uid="{00000000-0005-0000-0000-00005B2D0000}"/>
    <cellStyle name="Heading 3 927" xfId="11714" xr:uid="{00000000-0005-0000-0000-00005C2D0000}"/>
    <cellStyle name="Heading 3 928" xfId="11715" xr:uid="{00000000-0005-0000-0000-00005D2D0000}"/>
    <cellStyle name="Heading 3 929" xfId="11716" xr:uid="{00000000-0005-0000-0000-00005E2D0000}"/>
    <cellStyle name="Heading 3 93" xfId="11717" xr:uid="{00000000-0005-0000-0000-00005F2D0000}"/>
    <cellStyle name="Heading 3 930" xfId="11718" xr:uid="{00000000-0005-0000-0000-0000602D0000}"/>
    <cellStyle name="Heading 3 931" xfId="11719" xr:uid="{00000000-0005-0000-0000-0000612D0000}"/>
    <cellStyle name="Heading 3 932" xfId="11720" xr:uid="{00000000-0005-0000-0000-0000622D0000}"/>
    <cellStyle name="Heading 3 933" xfId="11721" xr:uid="{00000000-0005-0000-0000-0000632D0000}"/>
    <cellStyle name="Heading 3 934" xfId="11722" xr:uid="{00000000-0005-0000-0000-0000642D0000}"/>
    <cellStyle name="Heading 3 935" xfId="11723" xr:uid="{00000000-0005-0000-0000-0000652D0000}"/>
    <cellStyle name="Heading 3 936" xfId="11724" xr:uid="{00000000-0005-0000-0000-0000662D0000}"/>
    <cellStyle name="Heading 3 937" xfId="11725" xr:uid="{00000000-0005-0000-0000-0000672D0000}"/>
    <cellStyle name="Heading 3 938" xfId="11726" xr:uid="{00000000-0005-0000-0000-0000682D0000}"/>
    <cellStyle name="Heading 3 939" xfId="11727" xr:uid="{00000000-0005-0000-0000-0000692D0000}"/>
    <cellStyle name="Heading 3 94" xfId="11728" xr:uid="{00000000-0005-0000-0000-00006A2D0000}"/>
    <cellStyle name="Heading 3 940" xfId="11729" xr:uid="{00000000-0005-0000-0000-00006B2D0000}"/>
    <cellStyle name="Heading 3 941" xfId="11730" xr:uid="{00000000-0005-0000-0000-00006C2D0000}"/>
    <cellStyle name="Heading 3 942" xfId="11731" xr:uid="{00000000-0005-0000-0000-00006D2D0000}"/>
    <cellStyle name="Heading 3 943" xfId="11732" xr:uid="{00000000-0005-0000-0000-00006E2D0000}"/>
    <cellStyle name="Heading 3 944" xfId="11733" xr:uid="{00000000-0005-0000-0000-00006F2D0000}"/>
    <cellStyle name="Heading 3 945" xfId="11734" xr:uid="{00000000-0005-0000-0000-0000702D0000}"/>
    <cellStyle name="Heading 3 946" xfId="11735" xr:uid="{00000000-0005-0000-0000-0000712D0000}"/>
    <cellStyle name="Heading 3 947" xfId="11736" xr:uid="{00000000-0005-0000-0000-0000722D0000}"/>
    <cellStyle name="Heading 3 948" xfId="11737" xr:uid="{00000000-0005-0000-0000-0000732D0000}"/>
    <cellStyle name="Heading 3 949" xfId="11738" xr:uid="{00000000-0005-0000-0000-0000742D0000}"/>
    <cellStyle name="Heading 3 95" xfId="11739" xr:uid="{00000000-0005-0000-0000-0000752D0000}"/>
    <cellStyle name="Heading 3 950" xfId="11740" xr:uid="{00000000-0005-0000-0000-0000762D0000}"/>
    <cellStyle name="Heading 3 951" xfId="11741" xr:uid="{00000000-0005-0000-0000-0000772D0000}"/>
    <cellStyle name="Heading 3 952" xfId="11742" xr:uid="{00000000-0005-0000-0000-0000782D0000}"/>
    <cellStyle name="Heading 3 953" xfId="11743" xr:uid="{00000000-0005-0000-0000-0000792D0000}"/>
    <cellStyle name="Heading 3 954" xfId="11744" xr:uid="{00000000-0005-0000-0000-00007A2D0000}"/>
    <cellStyle name="Heading 3 955" xfId="11745" xr:uid="{00000000-0005-0000-0000-00007B2D0000}"/>
    <cellStyle name="Heading 3 956" xfId="11746" xr:uid="{00000000-0005-0000-0000-00007C2D0000}"/>
    <cellStyle name="Heading 3 957" xfId="11747" xr:uid="{00000000-0005-0000-0000-00007D2D0000}"/>
    <cellStyle name="Heading 3 958" xfId="11748" xr:uid="{00000000-0005-0000-0000-00007E2D0000}"/>
    <cellStyle name="Heading 3 959" xfId="11749" xr:uid="{00000000-0005-0000-0000-00007F2D0000}"/>
    <cellStyle name="Heading 3 96" xfId="11750" xr:uid="{00000000-0005-0000-0000-0000802D0000}"/>
    <cellStyle name="Heading 3 960" xfId="11751" xr:uid="{00000000-0005-0000-0000-0000812D0000}"/>
    <cellStyle name="Heading 3 961" xfId="11752" xr:uid="{00000000-0005-0000-0000-0000822D0000}"/>
    <cellStyle name="Heading 3 962" xfId="11753" xr:uid="{00000000-0005-0000-0000-0000832D0000}"/>
    <cellStyle name="Heading 3 963" xfId="11754" xr:uid="{00000000-0005-0000-0000-0000842D0000}"/>
    <cellStyle name="Heading 3 964" xfId="11755" xr:uid="{00000000-0005-0000-0000-0000852D0000}"/>
    <cellStyle name="Heading 3 965" xfId="11756" xr:uid="{00000000-0005-0000-0000-0000862D0000}"/>
    <cellStyle name="Heading 3 966" xfId="11757" xr:uid="{00000000-0005-0000-0000-0000872D0000}"/>
    <cellStyle name="Heading 3 967" xfId="11758" xr:uid="{00000000-0005-0000-0000-0000882D0000}"/>
    <cellStyle name="Heading 3 968" xfId="11759" xr:uid="{00000000-0005-0000-0000-0000892D0000}"/>
    <cellStyle name="Heading 3 969" xfId="11760" xr:uid="{00000000-0005-0000-0000-00008A2D0000}"/>
    <cellStyle name="Heading 3 97" xfId="11761" xr:uid="{00000000-0005-0000-0000-00008B2D0000}"/>
    <cellStyle name="Heading 3 970" xfId="11762" xr:uid="{00000000-0005-0000-0000-00008C2D0000}"/>
    <cellStyle name="Heading 3 971" xfId="11763" xr:uid="{00000000-0005-0000-0000-00008D2D0000}"/>
    <cellStyle name="Heading 3 972" xfId="11764" xr:uid="{00000000-0005-0000-0000-00008E2D0000}"/>
    <cellStyle name="Heading 3 973" xfId="11765" xr:uid="{00000000-0005-0000-0000-00008F2D0000}"/>
    <cellStyle name="Heading 3 974" xfId="11766" xr:uid="{00000000-0005-0000-0000-0000902D0000}"/>
    <cellStyle name="Heading 3 975" xfId="11767" xr:uid="{00000000-0005-0000-0000-0000912D0000}"/>
    <cellStyle name="Heading 3 976" xfId="11768" xr:uid="{00000000-0005-0000-0000-0000922D0000}"/>
    <cellStyle name="Heading 3 977" xfId="11769" xr:uid="{00000000-0005-0000-0000-0000932D0000}"/>
    <cellStyle name="Heading 3 978" xfId="11770" xr:uid="{00000000-0005-0000-0000-0000942D0000}"/>
    <cellStyle name="Heading 3 979" xfId="11771" xr:uid="{00000000-0005-0000-0000-0000952D0000}"/>
    <cellStyle name="Heading 3 98" xfId="11772" xr:uid="{00000000-0005-0000-0000-0000962D0000}"/>
    <cellStyle name="Heading 3 980" xfId="11773" xr:uid="{00000000-0005-0000-0000-0000972D0000}"/>
    <cellStyle name="Heading 3 981" xfId="11774" xr:uid="{00000000-0005-0000-0000-0000982D0000}"/>
    <cellStyle name="Heading 3 982" xfId="11775" xr:uid="{00000000-0005-0000-0000-0000992D0000}"/>
    <cellStyle name="Heading 3 983" xfId="11776" xr:uid="{00000000-0005-0000-0000-00009A2D0000}"/>
    <cellStyle name="Heading 3 984" xfId="11777" xr:uid="{00000000-0005-0000-0000-00009B2D0000}"/>
    <cellStyle name="Heading 3 985" xfId="11778" xr:uid="{00000000-0005-0000-0000-00009C2D0000}"/>
    <cellStyle name="Heading 3 986" xfId="11779" xr:uid="{00000000-0005-0000-0000-00009D2D0000}"/>
    <cellStyle name="Heading 3 987" xfId="11780" xr:uid="{00000000-0005-0000-0000-00009E2D0000}"/>
    <cellStyle name="Heading 3 988" xfId="11781" xr:uid="{00000000-0005-0000-0000-00009F2D0000}"/>
    <cellStyle name="Heading 3 989" xfId="11782" xr:uid="{00000000-0005-0000-0000-0000A02D0000}"/>
    <cellStyle name="Heading 3 99" xfId="11783" xr:uid="{00000000-0005-0000-0000-0000A12D0000}"/>
    <cellStyle name="Heading 3 990" xfId="11784" xr:uid="{00000000-0005-0000-0000-0000A22D0000}"/>
    <cellStyle name="Heading 3 991" xfId="11785" xr:uid="{00000000-0005-0000-0000-0000A32D0000}"/>
    <cellStyle name="Heading 3 992" xfId="11786" xr:uid="{00000000-0005-0000-0000-0000A42D0000}"/>
    <cellStyle name="Heading 3 993" xfId="11787" xr:uid="{00000000-0005-0000-0000-0000A52D0000}"/>
    <cellStyle name="Heading 3 994" xfId="11788" xr:uid="{00000000-0005-0000-0000-0000A62D0000}"/>
    <cellStyle name="Heading 3 995" xfId="11789" xr:uid="{00000000-0005-0000-0000-0000A72D0000}"/>
    <cellStyle name="Heading 3 996" xfId="11790" xr:uid="{00000000-0005-0000-0000-0000A82D0000}"/>
    <cellStyle name="Heading 3 997" xfId="11791" xr:uid="{00000000-0005-0000-0000-0000A92D0000}"/>
    <cellStyle name="Heading 3 998" xfId="11792" xr:uid="{00000000-0005-0000-0000-0000AA2D0000}"/>
    <cellStyle name="Heading 3 999" xfId="11793" xr:uid="{00000000-0005-0000-0000-0000AB2D0000}"/>
    <cellStyle name="Heading 3_Annual_Disclosure_Solo" xfId="11794" xr:uid="{00000000-0005-0000-0000-0000AC2D0000}"/>
    <cellStyle name="Heading 4" xfId="115" xr:uid="{00000000-0005-0000-0000-0000AD2D0000}"/>
    <cellStyle name="Heading 4 10" xfId="11795" xr:uid="{00000000-0005-0000-0000-0000AE2D0000}"/>
    <cellStyle name="Heading 4 100" xfId="11796" xr:uid="{00000000-0005-0000-0000-0000AF2D0000}"/>
    <cellStyle name="Heading 4 1000" xfId="11797" xr:uid="{00000000-0005-0000-0000-0000B02D0000}"/>
    <cellStyle name="Heading 4 1001" xfId="11798" xr:uid="{00000000-0005-0000-0000-0000B12D0000}"/>
    <cellStyle name="Heading 4 1002" xfId="11799" xr:uid="{00000000-0005-0000-0000-0000B22D0000}"/>
    <cellStyle name="Heading 4 1003" xfId="11800" xr:uid="{00000000-0005-0000-0000-0000B32D0000}"/>
    <cellStyle name="Heading 4 1004" xfId="11801" xr:uid="{00000000-0005-0000-0000-0000B42D0000}"/>
    <cellStyle name="Heading 4 1005" xfId="11802" xr:uid="{00000000-0005-0000-0000-0000B52D0000}"/>
    <cellStyle name="Heading 4 1006" xfId="11803" xr:uid="{00000000-0005-0000-0000-0000B62D0000}"/>
    <cellStyle name="Heading 4 1007" xfId="11804" xr:uid="{00000000-0005-0000-0000-0000B72D0000}"/>
    <cellStyle name="Heading 4 1008" xfId="11805" xr:uid="{00000000-0005-0000-0000-0000B82D0000}"/>
    <cellStyle name="Heading 4 1009" xfId="11806" xr:uid="{00000000-0005-0000-0000-0000B92D0000}"/>
    <cellStyle name="Heading 4 101" xfId="11807" xr:uid="{00000000-0005-0000-0000-0000BA2D0000}"/>
    <cellStyle name="Heading 4 1010" xfId="11808" xr:uid="{00000000-0005-0000-0000-0000BB2D0000}"/>
    <cellStyle name="Heading 4 1011" xfId="11809" xr:uid="{00000000-0005-0000-0000-0000BC2D0000}"/>
    <cellStyle name="Heading 4 1012" xfId="11810" xr:uid="{00000000-0005-0000-0000-0000BD2D0000}"/>
    <cellStyle name="Heading 4 1013" xfId="11811" xr:uid="{00000000-0005-0000-0000-0000BE2D0000}"/>
    <cellStyle name="Heading 4 1014" xfId="11812" xr:uid="{00000000-0005-0000-0000-0000BF2D0000}"/>
    <cellStyle name="Heading 4 1015" xfId="11813" xr:uid="{00000000-0005-0000-0000-0000C02D0000}"/>
    <cellStyle name="Heading 4 1016" xfId="11814" xr:uid="{00000000-0005-0000-0000-0000C12D0000}"/>
    <cellStyle name="Heading 4 1017" xfId="11815" xr:uid="{00000000-0005-0000-0000-0000C22D0000}"/>
    <cellStyle name="Heading 4 1018" xfId="11816" xr:uid="{00000000-0005-0000-0000-0000C32D0000}"/>
    <cellStyle name="Heading 4 1019" xfId="11817" xr:uid="{00000000-0005-0000-0000-0000C42D0000}"/>
    <cellStyle name="Heading 4 102" xfId="11818" xr:uid="{00000000-0005-0000-0000-0000C52D0000}"/>
    <cellStyle name="Heading 4 1020" xfId="11819" xr:uid="{00000000-0005-0000-0000-0000C62D0000}"/>
    <cellStyle name="Heading 4 1021" xfId="11820" xr:uid="{00000000-0005-0000-0000-0000C72D0000}"/>
    <cellStyle name="Heading 4 1022" xfId="11821" xr:uid="{00000000-0005-0000-0000-0000C82D0000}"/>
    <cellStyle name="Heading 4 1023" xfId="11822" xr:uid="{00000000-0005-0000-0000-0000C92D0000}"/>
    <cellStyle name="Heading 4 1024" xfId="11823" xr:uid="{00000000-0005-0000-0000-0000CA2D0000}"/>
    <cellStyle name="Heading 4 1025" xfId="11824" xr:uid="{00000000-0005-0000-0000-0000CB2D0000}"/>
    <cellStyle name="Heading 4 1026" xfId="11825" xr:uid="{00000000-0005-0000-0000-0000CC2D0000}"/>
    <cellStyle name="Heading 4 1027" xfId="11826" xr:uid="{00000000-0005-0000-0000-0000CD2D0000}"/>
    <cellStyle name="Heading 4 1028" xfId="11827" xr:uid="{00000000-0005-0000-0000-0000CE2D0000}"/>
    <cellStyle name="Heading 4 1029" xfId="11828" xr:uid="{00000000-0005-0000-0000-0000CF2D0000}"/>
    <cellStyle name="Heading 4 103" xfId="11829" xr:uid="{00000000-0005-0000-0000-0000D02D0000}"/>
    <cellStyle name="Heading 4 1030" xfId="11830" xr:uid="{00000000-0005-0000-0000-0000D12D0000}"/>
    <cellStyle name="Heading 4 1031" xfId="11831" xr:uid="{00000000-0005-0000-0000-0000D22D0000}"/>
    <cellStyle name="Heading 4 1032" xfId="11832" xr:uid="{00000000-0005-0000-0000-0000D32D0000}"/>
    <cellStyle name="Heading 4 1033" xfId="11833" xr:uid="{00000000-0005-0000-0000-0000D42D0000}"/>
    <cellStyle name="Heading 4 1034" xfId="11834" xr:uid="{00000000-0005-0000-0000-0000D52D0000}"/>
    <cellStyle name="Heading 4 1035" xfId="11835" xr:uid="{00000000-0005-0000-0000-0000D62D0000}"/>
    <cellStyle name="Heading 4 1036" xfId="11836" xr:uid="{00000000-0005-0000-0000-0000D72D0000}"/>
    <cellStyle name="Heading 4 1037" xfId="11837" xr:uid="{00000000-0005-0000-0000-0000D82D0000}"/>
    <cellStyle name="Heading 4 1038" xfId="11838" xr:uid="{00000000-0005-0000-0000-0000D92D0000}"/>
    <cellStyle name="Heading 4 1039" xfId="11839" xr:uid="{00000000-0005-0000-0000-0000DA2D0000}"/>
    <cellStyle name="Heading 4 104" xfId="11840" xr:uid="{00000000-0005-0000-0000-0000DB2D0000}"/>
    <cellStyle name="Heading 4 1040" xfId="11841" xr:uid="{00000000-0005-0000-0000-0000DC2D0000}"/>
    <cellStyle name="Heading 4 1041" xfId="11842" xr:uid="{00000000-0005-0000-0000-0000DD2D0000}"/>
    <cellStyle name="Heading 4 1042" xfId="11843" xr:uid="{00000000-0005-0000-0000-0000DE2D0000}"/>
    <cellStyle name="Heading 4 1043" xfId="11844" xr:uid="{00000000-0005-0000-0000-0000DF2D0000}"/>
    <cellStyle name="Heading 4 1044" xfId="11845" xr:uid="{00000000-0005-0000-0000-0000E02D0000}"/>
    <cellStyle name="Heading 4 1045" xfId="11846" xr:uid="{00000000-0005-0000-0000-0000E12D0000}"/>
    <cellStyle name="Heading 4 1046" xfId="11847" xr:uid="{00000000-0005-0000-0000-0000E22D0000}"/>
    <cellStyle name="Heading 4 1047" xfId="11848" xr:uid="{00000000-0005-0000-0000-0000E32D0000}"/>
    <cellStyle name="Heading 4 1048" xfId="11849" xr:uid="{00000000-0005-0000-0000-0000E42D0000}"/>
    <cellStyle name="Heading 4 1049" xfId="11850" xr:uid="{00000000-0005-0000-0000-0000E52D0000}"/>
    <cellStyle name="Heading 4 105" xfId="11851" xr:uid="{00000000-0005-0000-0000-0000E62D0000}"/>
    <cellStyle name="Heading 4 1050" xfId="11852" xr:uid="{00000000-0005-0000-0000-0000E72D0000}"/>
    <cellStyle name="Heading 4 1051" xfId="11853" xr:uid="{00000000-0005-0000-0000-0000E82D0000}"/>
    <cellStyle name="Heading 4 1052" xfId="11854" xr:uid="{00000000-0005-0000-0000-0000E92D0000}"/>
    <cellStyle name="Heading 4 1053" xfId="11855" xr:uid="{00000000-0005-0000-0000-0000EA2D0000}"/>
    <cellStyle name="Heading 4 1054" xfId="11856" xr:uid="{00000000-0005-0000-0000-0000EB2D0000}"/>
    <cellStyle name="Heading 4 1055" xfId="11857" xr:uid="{00000000-0005-0000-0000-0000EC2D0000}"/>
    <cellStyle name="Heading 4 1056" xfId="11858" xr:uid="{00000000-0005-0000-0000-0000ED2D0000}"/>
    <cellStyle name="Heading 4 1057" xfId="11859" xr:uid="{00000000-0005-0000-0000-0000EE2D0000}"/>
    <cellStyle name="Heading 4 1058" xfId="11860" xr:uid="{00000000-0005-0000-0000-0000EF2D0000}"/>
    <cellStyle name="Heading 4 1059" xfId="11861" xr:uid="{00000000-0005-0000-0000-0000F02D0000}"/>
    <cellStyle name="Heading 4 106" xfId="11862" xr:uid="{00000000-0005-0000-0000-0000F12D0000}"/>
    <cellStyle name="Heading 4 1060" xfId="11863" xr:uid="{00000000-0005-0000-0000-0000F22D0000}"/>
    <cellStyle name="Heading 4 1061" xfId="11864" xr:uid="{00000000-0005-0000-0000-0000F32D0000}"/>
    <cellStyle name="Heading 4 1062" xfId="11865" xr:uid="{00000000-0005-0000-0000-0000F42D0000}"/>
    <cellStyle name="Heading 4 1063" xfId="11866" xr:uid="{00000000-0005-0000-0000-0000F52D0000}"/>
    <cellStyle name="Heading 4 1064" xfId="11867" xr:uid="{00000000-0005-0000-0000-0000F62D0000}"/>
    <cellStyle name="Heading 4 1065" xfId="11868" xr:uid="{00000000-0005-0000-0000-0000F72D0000}"/>
    <cellStyle name="Heading 4 1066" xfId="11869" xr:uid="{00000000-0005-0000-0000-0000F82D0000}"/>
    <cellStyle name="Heading 4 1067" xfId="11870" xr:uid="{00000000-0005-0000-0000-0000F92D0000}"/>
    <cellStyle name="Heading 4 1068" xfId="11871" xr:uid="{00000000-0005-0000-0000-0000FA2D0000}"/>
    <cellStyle name="Heading 4 1069" xfId="11872" xr:uid="{00000000-0005-0000-0000-0000FB2D0000}"/>
    <cellStyle name="Heading 4 107" xfId="11873" xr:uid="{00000000-0005-0000-0000-0000FC2D0000}"/>
    <cellStyle name="Heading 4 1070" xfId="11874" xr:uid="{00000000-0005-0000-0000-0000FD2D0000}"/>
    <cellStyle name="Heading 4 1071" xfId="11875" xr:uid="{00000000-0005-0000-0000-0000FE2D0000}"/>
    <cellStyle name="Heading 4 1072" xfId="11876" xr:uid="{00000000-0005-0000-0000-0000FF2D0000}"/>
    <cellStyle name="Heading 4 1073" xfId="11877" xr:uid="{00000000-0005-0000-0000-0000002E0000}"/>
    <cellStyle name="Heading 4 1074" xfId="11878" xr:uid="{00000000-0005-0000-0000-0000012E0000}"/>
    <cellStyle name="Heading 4 1075" xfId="11879" xr:uid="{00000000-0005-0000-0000-0000022E0000}"/>
    <cellStyle name="Heading 4 1076" xfId="11880" xr:uid="{00000000-0005-0000-0000-0000032E0000}"/>
    <cellStyle name="Heading 4 1077" xfId="11881" xr:uid="{00000000-0005-0000-0000-0000042E0000}"/>
    <cellStyle name="Heading 4 1078" xfId="11882" xr:uid="{00000000-0005-0000-0000-0000052E0000}"/>
    <cellStyle name="Heading 4 1079" xfId="11883" xr:uid="{00000000-0005-0000-0000-0000062E0000}"/>
    <cellStyle name="Heading 4 108" xfId="11884" xr:uid="{00000000-0005-0000-0000-0000072E0000}"/>
    <cellStyle name="Heading 4 1080" xfId="11885" xr:uid="{00000000-0005-0000-0000-0000082E0000}"/>
    <cellStyle name="Heading 4 1081" xfId="11886" xr:uid="{00000000-0005-0000-0000-0000092E0000}"/>
    <cellStyle name="Heading 4 1082" xfId="11887" xr:uid="{00000000-0005-0000-0000-00000A2E0000}"/>
    <cellStyle name="Heading 4 1083" xfId="11888" xr:uid="{00000000-0005-0000-0000-00000B2E0000}"/>
    <cellStyle name="Heading 4 1084" xfId="11889" xr:uid="{00000000-0005-0000-0000-00000C2E0000}"/>
    <cellStyle name="Heading 4 1085" xfId="11890" xr:uid="{00000000-0005-0000-0000-00000D2E0000}"/>
    <cellStyle name="Heading 4 1086" xfId="11891" xr:uid="{00000000-0005-0000-0000-00000E2E0000}"/>
    <cellStyle name="Heading 4 1087" xfId="11892" xr:uid="{00000000-0005-0000-0000-00000F2E0000}"/>
    <cellStyle name="Heading 4 1088" xfId="11893" xr:uid="{00000000-0005-0000-0000-0000102E0000}"/>
    <cellStyle name="Heading 4 1089" xfId="11894" xr:uid="{00000000-0005-0000-0000-0000112E0000}"/>
    <cellStyle name="Heading 4 109" xfId="11895" xr:uid="{00000000-0005-0000-0000-0000122E0000}"/>
    <cellStyle name="Heading 4 1090" xfId="11896" xr:uid="{00000000-0005-0000-0000-0000132E0000}"/>
    <cellStyle name="Heading 4 1091" xfId="11897" xr:uid="{00000000-0005-0000-0000-0000142E0000}"/>
    <cellStyle name="Heading 4 1092" xfId="11898" xr:uid="{00000000-0005-0000-0000-0000152E0000}"/>
    <cellStyle name="Heading 4 1093" xfId="11899" xr:uid="{00000000-0005-0000-0000-0000162E0000}"/>
    <cellStyle name="Heading 4 1094" xfId="11900" xr:uid="{00000000-0005-0000-0000-0000172E0000}"/>
    <cellStyle name="Heading 4 1095" xfId="11901" xr:uid="{00000000-0005-0000-0000-0000182E0000}"/>
    <cellStyle name="Heading 4 1096" xfId="11902" xr:uid="{00000000-0005-0000-0000-0000192E0000}"/>
    <cellStyle name="Heading 4 1097" xfId="11903" xr:uid="{00000000-0005-0000-0000-00001A2E0000}"/>
    <cellStyle name="Heading 4 1098" xfId="11904" xr:uid="{00000000-0005-0000-0000-00001B2E0000}"/>
    <cellStyle name="Heading 4 1099" xfId="11905" xr:uid="{00000000-0005-0000-0000-00001C2E0000}"/>
    <cellStyle name="Heading 4 11" xfId="11906" xr:uid="{00000000-0005-0000-0000-00001D2E0000}"/>
    <cellStyle name="Heading 4 110" xfId="11907" xr:uid="{00000000-0005-0000-0000-00001E2E0000}"/>
    <cellStyle name="Heading 4 1100" xfId="11908" xr:uid="{00000000-0005-0000-0000-00001F2E0000}"/>
    <cellStyle name="Heading 4 1101" xfId="11909" xr:uid="{00000000-0005-0000-0000-0000202E0000}"/>
    <cellStyle name="Heading 4 1102" xfId="11910" xr:uid="{00000000-0005-0000-0000-0000212E0000}"/>
    <cellStyle name="Heading 4 1103" xfId="11911" xr:uid="{00000000-0005-0000-0000-0000222E0000}"/>
    <cellStyle name="Heading 4 1104" xfId="11912" xr:uid="{00000000-0005-0000-0000-0000232E0000}"/>
    <cellStyle name="Heading 4 1105" xfId="11913" xr:uid="{00000000-0005-0000-0000-0000242E0000}"/>
    <cellStyle name="Heading 4 1106" xfId="11914" xr:uid="{00000000-0005-0000-0000-0000252E0000}"/>
    <cellStyle name="Heading 4 1107" xfId="11915" xr:uid="{00000000-0005-0000-0000-0000262E0000}"/>
    <cellStyle name="Heading 4 1108" xfId="11916" xr:uid="{00000000-0005-0000-0000-0000272E0000}"/>
    <cellStyle name="Heading 4 1109" xfId="11917" xr:uid="{00000000-0005-0000-0000-0000282E0000}"/>
    <cellStyle name="Heading 4 111" xfId="11918" xr:uid="{00000000-0005-0000-0000-0000292E0000}"/>
    <cellStyle name="Heading 4 1110" xfId="11919" xr:uid="{00000000-0005-0000-0000-00002A2E0000}"/>
    <cellStyle name="Heading 4 1111" xfId="11920" xr:uid="{00000000-0005-0000-0000-00002B2E0000}"/>
    <cellStyle name="Heading 4 1112" xfId="11921" xr:uid="{00000000-0005-0000-0000-00002C2E0000}"/>
    <cellStyle name="Heading 4 1113" xfId="11922" xr:uid="{00000000-0005-0000-0000-00002D2E0000}"/>
    <cellStyle name="Heading 4 1114" xfId="11923" xr:uid="{00000000-0005-0000-0000-00002E2E0000}"/>
    <cellStyle name="Heading 4 1115" xfId="11924" xr:uid="{00000000-0005-0000-0000-00002F2E0000}"/>
    <cellStyle name="Heading 4 1116" xfId="11925" xr:uid="{00000000-0005-0000-0000-0000302E0000}"/>
    <cellStyle name="Heading 4 1117" xfId="11926" xr:uid="{00000000-0005-0000-0000-0000312E0000}"/>
    <cellStyle name="Heading 4 1118" xfId="11927" xr:uid="{00000000-0005-0000-0000-0000322E0000}"/>
    <cellStyle name="Heading 4 1119" xfId="11928" xr:uid="{00000000-0005-0000-0000-0000332E0000}"/>
    <cellStyle name="Heading 4 112" xfId="11929" xr:uid="{00000000-0005-0000-0000-0000342E0000}"/>
    <cellStyle name="Heading 4 1120" xfId="11930" xr:uid="{00000000-0005-0000-0000-0000352E0000}"/>
    <cellStyle name="Heading 4 1121" xfId="11931" xr:uid="{00000000-0005-0000-0000-0000362E0000}"/>
    <cellStyle name="Heading 4 1122" xfId="11932" xr:uid="{00000000-0005-0000-0000-0000372E0000}"/>
    <cellStyle name="Heading 4 1123" xfId="11933" xr:uid="{00000000-0005-0000-0000-0000382E0000}"/>
    <cellStyle name="Heading 4 1124" xfId="11934" xr:uid="{00000000-0005-0000-0000-0000392E0000}"/>
    <cellStyle name="Heading 4 1125" xfId="11935" xr:uid="{00000000-0005-0000-0000-00003A2E0000}"/>
    <cellStyle name="Heading 4 1126" xfId="11936" xr:uid="{00000000-0005-0000-0000-00003B2E0000}"/>
    <cellStyle name="Heading 4 1127" xfId="11937" xr:uid="{00000000-0005-0000-0000-00003C2E0000}"/>
    <cellStyle name="Heading 4 1128" xfId="11938" xr:uid="{00000000-0005-0000-0000-00003D2E0000}"/>
    <cellStyle name="Heading 4 1129" xfId="11939" xr:uid="{00000000-0005-0000-0000-00003E2E0000}"/>
    <cellStyle name="Heading 4 113" xfId="11940" xr:uid="{00000000-0005-0000-0000-00003F2E0000}"/>
    <cellStyle name="Heading 4 1130" xfId="11941" xr:uid="{00000000-0005-0000-0000-0000402E0000}"/>
    <cellStyle name="Heading 4 1131" xfId="11942" xr:uid="{00000000-0005-0000-0000-0000412E0000}"/>
    <cellStyle name="Heading 4 1132" xfId="11943" xr:uid="{00000000-0005-0000-0000-0000422E0000}"/>
    <cellStyle name="Heading 4 1133" xfId="11944" xr:uid="{00000000-0005-0000-0000-0000432E0000}"/>
    <cellStyle name="Heading 4 1134" xfId="11945" xr:uid="{00000000-0005-0000-0000-0000442E0000}"/>
    <cellStyle name="Heading 4 1135" xfId="11946" xr:uid="{00000000-0005-0000-0000-0000452E0000}"/>
    <cellStyle name="Heading 4 1136" xfId="11947" xr:uid="{00000000-0005-0000-0000-0000462E0000}"/>
    <cellStyle name="Heading 4 1137" xfId="11948" xr:uid="{00000000-0005-0000-0000-0000472E0000}"/>
    <cellStyle name="Heading 4 1138" xfId="11949" xr:uid="{00000000-0005-0000-0000-0000482E0000}"/>
    <cellStyle name="Heading 4 1139" xfId="11950" xr:uid="{00000000-0005-0000-0000-0000492E0000}"/>
    <cellStyle name="Heading 4 114" xfId="11951" xr:uid="{00000000-0005-0000-0000-00004A2E0000}"/>
    <cellStyle name="Heading 4 1140" xfId="11952" xr:uid="{00000000-0005-0000-0000-00004B2E0000}"/>
    <cellStyle name="Heading 4 1141" xfId="11953" xr:uid="{00000000-0005-0000-0000-00004C2E0000}"/>
    <cellStyle name="Heading 4 1142" xfId="11954" xr:uid="{00000000-0005-0000-0000-00004D2E0000}"/>
    <cellStyle name="Heading 4 1143" xfId="11955" xr:uid="{00000000-0005-0000-0000-00004E2E0000}"/>
    <cellStyle name="Heading 4 1144" xfId="11956" xr:uid="{00000000-0005-0000-0000-00004F2E0000}"/>
    <cellStyle name="Heading 4 1145" xfId="11957" xr:uid="{00000000-0005-0000-0000-0000502E0000}"/>
    <cellStyle name="Heading 4 1146" xfId="11958" xr:uid="{00000000-0005-0000-0000-0000512E0000}"/>
    <cellStyle name="Heading 4 1147" xfId="11959" xr:uid="{00000000-0005-0000-0000-0000522E0000}"/>
    <cellStyle name="Heading 4 1148" xfId="11960" xr:uid="{00000000-0005-0000-0000-0000532E0000}"/>
    <cellStyle name="Heading 4 1149" xfId="11961" xr:uid="{00000000-0005-0000-0000-0000542E0000}"/>
    <cellStyle name="Heading 4 115" xfId="11962" xr:uid="{00000000-0005-0000-0000-0000552E0000}"/>
    <cellStyle name="Heading 4 1150" xfId="11963" xr:uid="{00000000-0005-0000-0000-0000562E0000}"/>
    <cellStyle name="Heading 4 1151" xfId="11964" xr:uid="{00000000-0005-0000-0000-0000572E0000}"/>
    <cellStyle name="Heading 4 1152" xfId="11965" xr:uid="{00000000-0005-0000-0000-0000582E0000}"/>
    <cellStyle name="Heading 4 1153" xfId="11966" xr:uid="{00000000-0005-0000-0000-0000592E0000}"/>
    <cellStyle name="Heading 4 1154" xfId="11967" xr:uid="{00000000-0005-0000-0000-00005A2E0000}"/>
    <cellStyle name="Heading 4 1155" xfId="11968" xr:uid="{00000000-0005-0000-0000-00005B2E0000}"/>
    <cellStyle name="Heading 4 1156" xfId="11969" xr:uid="{00000000-0005-0000-0000-00005C2E0000}"/>
    <cellStyle name="Heading 4 1157" xfId="11970" xr:uid="{00000000-0005-0000-0000-00005D2E0000}"/>
    <cellStyle name="Heading 4 1158" xfId="11971" xr:uid="{00000000-0005-0000-0000-00005E2E0000}"/>
    <cellStyle name="Heading 4 1159" xfId="11972" xr:uid="{00000000-0005-0000-0000-00005F2E0000}"/>
    <cellStyle name="Heading 4 116" xfId="11973" xr:uid="{00000000-0005-0000-0000-0000602E0000}"/>
    <cellStyle name="Heading 4 1160" xfId="11974" xr:uid="{00000000-0005-0000-0000-0000612E0000}"/>
    <cellStyle name="Heading 4 1161" xfId="11975" xr:uid="{00000000-0005-0000-0000-0000622E0000}"/>
    <cellStyle name="Heading 4 1162" xfId="11976" xr:uid="{00000000-0005-0000-0000-0000632E0000}"/>
    <cellStyle name="Heading 4 117" xfId="11977" xr:uid="{00000000-0005-0000-0000-0000642E0000}"/>
    <cellStyle name="Heading 4 118" xfId="11978" xr:uid="{00000000-0005-0000-0000-0000652E0000}"/>
    <cellStyle name="Heading 4 119" xfId="11979" xr:uid="{00000000-0005-0000-0000-0000662E0000}"/>
    <cellStyle name="Heading 4 12" xfId="11980" xr:uid="{00000000-0005-0000-0000-0000672E0000}"/>
    <cellStyle name="Heading 4 120" xfId="11981" xr:uid="{00000000-0005-0000-0000-0000682E0000}"/>
    <cellStyle name="Heading 4 121" xfId="11982" xr:uid="{00000000-0005-0000-0000-0000692E0000}"/>
    <cellStyle name="Heading 4 122" xfId="11983" xr:uid="{00000000-0005-0000-0000-00006A2E0000}"/>
    <cellStyle name="Heading 4 123" xfId="11984" xr:uid="{00000000-0005-0000-0000-00006B2E0000}"/>
    <cellStyle name="Heading 4 124" xfId="11985" xr:uid="{00000000-0005-0000-0000-00006C2E0000}"/>
    <cellStyle name="Heading 4 125" xfId="11986" xr:uid="{00000000-0005-0000-0000-00006D2E0000}"/>
    <cellStyle name="Heading 4 126" xfId="11987" xr:uid="{00000000-0005-0000-0000-00006E2E0000}"/>
    <cellStyle name="Heading 4 127" xfId="11988" xr:uid="{00000000-0005-0000-0000-00006F2E0000}"/>
    <cellStyle name="Heading 4 128" xfId="11989" xr:uid="{00000000-0005-0000-0000-0000702E0000}"/>
    <cellStyle name="Heading 4 129" xfId="11990" xr:uid="{00000000-0005-0000-0000-0000712E0000}"/>
    <cellStyle name="Heading 4 13" xfId="11991" xr:uid="{00000000-0005-0000-0000-0000722E0000}"/>
    <cellStyle name="Heading 4 130" xfId="11992" xr:uid="{00000000-0005-0000-0000-0000732E0000}"/>
    <cellStyle name="Heading 4 131" xfId="11993" xr:uid="{00000000-0005-0000-0000-0000742E0000}"/>
    <cellStyle name="Heading 4 132" xfId="11994" xr:uid="{00000000-0005-0000-0000-0000752E0000}"/>
    <cellStyle name="Heading 4 133" xfId="11995" xr:uid="{00000000-0005-0000-0000-0000762E0000}"/>
    <cellStyle name="Heading 4 134" xfId="11996" xr:uid="{00000000-0005-0000-0000-0000772E0000}"/>
    <cellStyle name="Heading 4 135" xfId="11997" xr:uid="{00000000-0005-0000-0000-0000782E0000}"/>
    <cellStyle name="Heading 4 136" xfId="11998" xr:uid="{00000000-0005-0000-0000-0000792E0000}"/>
    <cellStyle name="Heading 4 137" xfId="11999" xr:uid="{00000000-0005-0000-0000-00007A2E0000}"/>
    <cellStyle name="Heading 4 138" xfId="12000" xr:uid="{00000000-0005-0000-0000-00007B2E0000}"/>
    <cellStyle name="Heading 4 139" xfId="12001" xr:uid="{00000000-0005-0000-0000-00007C2E0000}"/>
    <cellStyle name="Heading 4 14" xfId="12002" xr:uid="{00000000-0005-0000-0000-00007D2E0000}"/>
    <cellStyle name="Heading 4 140" xfId="12003" xr:uid="{00000000-0005-0000-0000-00007E2E0000}"/>
    <cellStyle name="Heading 4 141" xfId="12004" xr:uid="{00000000-0005-0000-0000-00007F2E0000}"/>
    <cellStyle name="Heading 4 142" xfId="12005" xr:uid="{00000000-0005-0000-0000-0000802E0000}"/>
    <cellStyle name="Heading 4 143" xfId="12006" xr:uid="{00000000-0005-0000-0000-0000812E0000}"/>
    <cellStyle name="Heading 4 144" xfId="12007" xr:uid="{00000000-0005-0000-0000-0000822E0000}"/>
    <cellStyle name="Heading 4 145" xfId="12008" xr:uid="{00000000-0005-0000-0000-0000832E0000}"/>
    <cellStyle name="Heading 4 146" xfId="12009" xr:uid="{00000000-0005-0000-0000-0000842E0000}"/>
    <cellStyle name="Heading 4 147" xfId="12010" xr:uid="{00000000-0005-0000-0000-0000852E0000}"/>
    <cellStyle name="Heading 4 148" xfId="12011" xr:uid="{00000000-0005-0000-0000-0000862E0000}"/>
    <cellStyle name="Heading 4 149" xfId="12012" xr:uid="{00000000-0005-0000-0000-0000872E0000}"/>
    <cellStyle name="Heading 4 15" xfId="12013" xr:uid="{00000000-0005-0000-0000-0000882E0000}"/>
    <cellStyle name="Heading 4 150" xfId="12014" xr:uid="{00000000-0005-0000-0000-0000892E0000}"/>
    <cellStyle name="Heading 4 151" xfId="12015" xr:uid="{00000000-0005-0000-0000-00008A2E0000}"/>
    <cellStyle name="Heading 4 152" xfId="12016" xr:uid="{00000000-0005-0000-0000-00008B2E0000}"/>
    <cellStyle name="Heading 4 153" xfId="12017" xr:uid="{00000000-0005-0000-0000-00008C2E0000}"/>
    <cellStyle name="Heading 4 154" xfId="12018" xr:uid="{00000000-0005-0000-0000-00008D2E0000}"/>
    <cellStyle name="Heading 4 155" xfId="12019" xr:uid="{00000000-0005-0000-0000-00008E2E0000}"/>
    <cellStyle name="Heading 4 156" xfId="12020" xr:uid="{00000000-0005-0000-0000-00008F2E0000}"/>
    <cellStyle name="Heading 4 157" xfId="12021" xr:uid="{00000000-0005-0000-0000-0000902E0000}"/>
    <cellStyle name="Heading 4 158" xfId="12022" xr:uid="{00000000-0005-0000-0000-0000912E0000}"/>
    <cellStyle name="Heading 4 159" xfId="12023" xr:uid="{00000000-0005-0000-0000-0000922E0000}"/>
    <cellStyle name="Heading 4 16" xfId="12024" xr:uid="{00000000-0005-0000-0000-0000932E0000}"/>
    <cellStyle name="Heading 4 160" xfId="12025" xr:uid="{00000000-0005-0000-0000-0000942E0000}"/>
    <cellStyle name="Heading 4 161" xfId="12026" xr:uid="{00000000-0005-0000-0000-0000952E0000}"/>
    <cellStyle name="Heading 4 162" xfId="12027" xr:uid="{00000000-0005-0000-0000-0000962E0000}"/>
    <cellStyle name="Heading 4 163" xfId="12028" xr:uid="{00000000-0005-0000-0000-0000972E0000}"/>
    <cellStyle name="Heading 4 164" xfId="12029" xr:uid="{00000000-0005-0000-0000-0000982E0000}"/>
    <cellStyle name="Heading 4 165" xfId="12030" xr:uid="{00000000-0005-0000-0000-0000992E0000}"/>
    <cellStyle name="Heading 4 166" xfId="12031" xr:uid="{00000000-0005-0000-0000-00009A2E0000}"/>
    <cellStyle name="Heading 4 167" xfId="12032" xr:uid="{00000000-0005-0000-0000-00009B2E0000}"/>
    <cellStyle name="Heading 4 168" xfId="12033" xr:uid="{00000000-0005-0000-0000-00009C2E0000}"/>
    <cellStyle name="Heading 4 169" xfId="12034" xr:uid="{00000000-0005-0000-0000-00009D2E0000}"/>
    <cellStyle name="Heading 4 17" xfId="12035" xr:uid="{00000000-0005-0000-0000-00009E2E0000}"/>
    <cellStyle name="Heading 4 170" xfId="12036" xr:uid="{00000000-0005-0000-0000-00009F2E0000}"/>
    <cellStyle name="Heading 4 171" xfId="12037" xr:uid="{00000000-0005-0000-0000-0000A02E0000}"/>
    <cellStyle name="Heading 4 172" xfId="12038" xr:uid="{00000000-0005-0000-0000-0000A12E0000}"/>
    <cellStyle name="Heading 4 173" xfId="12039" xr:uid="{00000000-0005-0000-0000-0000A22E0000}"/>
    <cellStyle name="Heading 4 174" xfId="12040" xr:uid="{00000000-0005-0000-0000-0000A32E0000}"/>
    <cellStyle name="Heading 4 175" xfId="12041" xr:uid="{00000000-0005-0000-0000-0000A42E0000}"/>
    <cellStyle name="Heading 4 176" xfId="12042" xr:uid="{00000000-0005-0000-0000-0000A52E0000}"/>
    <cellStyle name="Heading 4 177" xfId="12043" xr:uid="{00000000-0005-0000-0000-0000A62E0000}"/>
    <cellStyle name="Heading 4 178" xfId="12044" xr:uid="{00000000-0005-0000-0000-0000A72E0000}"/>
    <cellStyle name="Heading 4 179" xfId="12045" xr:uid="{00000000-0005-0000-0000-0000A82E0000}"/>
    <cellStyle name="Heading 4 18" xfId="12046" xr:uid="{00000000-0005-0000-0000-0000A92E0000}"/>
    <cellStyle name="Heading 4 180" xfId="12047" xr:uid="{00000000-0005-0000-0000-0000AA2E0000}"/>
    <cellStyle name="Heading 4 181" xfId="12048" xr:uid="{00000000-0005-0000-0000-0000AB2E0000}"/>
    <cellStyle name="Heading 4 182" xfId="12049" xr:uid="{00000000-0005-0000-0000-0000AC2E0000}"/>
    <cellStyle name="Heading 4 183" xfId="12050" xr:uid="{00000000-0005-0000-0000-0000AD2E0000}"/>
    <cellStyle name="Heading 4 184" xfId="12051" xr:uid="{00000000-0005-0000-0000-0000AE2E0000}"/>
    <cellStyle name="Heading 4 185" xfId="12052" xr:uid="{00000000-0005-0000-0000-0000AF2E0000}"/>
    <cellStyle name="Heading 4 186" xfId="12053" xr:uid="{00000000-0005-0000-0000-0000B02E0000}"/>
    <cellStyle name="Heading 4 187" xfId="12054" xr:uid="{00000000-0005-0000-0000-0000B12E0000}"/>
    <cellStyle name="Heading 4 188" xfId="12055" xr:uid="{00000000-0005-0000-0000-0000B22E0000}"/>
    <cellStyle name="Heading 4 189" xfId="12056" xr:uid="{00000000-0005-0000-0000-0000B32E0000}"/>
    <cellStyle name="Heading 4 19" xfId="12057" xr:uid="{00000000-0005-0000-0000-0000B42E0000}"/>
    <cellStyle name="Heading 4 190" xfId="12058" xr:uid="{00000000-0005-0000-0000-0000B52E0000}"/>
    <cellStyle name="Heading 4 191" xfId="12059" xr:uid="{00000000-0005-0000-0000-0000B62E0000}"/>
    <cellStyle name="Heading 4 192" xfId="12060" xr:uid="{00000000-0005-0000-0000-0000B72E0000}"/>
    <cellStyle name="Heading 4 193" xfId="12061" xr:uid="{00000000-0005-0000-0000-0000B82E0000}"/>
    <cellStyle name="Heading 4 194" xfId="12062" xr:uid="{00000000-0005-0000-0000-0000B92E0000}"/>
    <cellStyle name="Heading 4 195" xfId="12063" xr:uid="{00000000-0005-0000-0000-0000BA2E0000}"/>
    <cellStyle name="Heading 4 196" xfId="12064" xr:uid="{00000000-0005-0000-0000-0000BB2E0000}"/>
    <cellStyle name="Heading 4 197" xfId="12065" xr:uid="{00000000-0005-0000-0000-0000BC2E0000}"/>
    <cellStyle name="Heading 4 198" xfId="12066" xr:uid="{00000000-0005-0000-0000-0000BD2E0000}"/>
    <cellStyle name="Heading 4 199" xfId="12067" xr:uid="{00000000-0005-0000-0000-0000BE2E0000}"/>
    <cellStyle name="Heading 4 2" xfId="223" xr:uid="{00000000-0005-0000-0000-0000BF2E0000}"/>
    <cellStyle name="Heading 4 2 2" xfId="12068" xr:uid="{00000000-0005-0000-0000-0000C02E0000}"/>
    <cellStyle name="Heading 4 2 3" xfId="12069" xr:uid="{00000000-0005-0000-0000-0000C12E0000}"/>
    <cellStyle name="Heading 4 20" xfId="12070" xr:uid="{00000000-0005-0000-0000-0000C22E0000}"/>
    <cellStyle name="Heading 4 200" xfId="12071" xr:uid="{00000000-0005-0000-0000-0000C32E0000}"/>
    <cellStyle name="Heading 4 201" xfId="12072" xr:uid="{00000000-0005-0000-0000-0000C42E0000}"/>
    <cellStyle name="Heading 4 202" xfId="12073" xr:uid="{00000000-0005-0000-0000-0000C52E0000}"/>
    <cellStyle name="Heading 4 203" xfId="12074" xr:uid="{00000000-0005-0000-0000-0000C62E0000}"/>
    <cellStyle name="Heading 4 204" xfId="12075" xr:uid="{00000000-0005-0000-0000-0000C72E0000}"/>
    <cellStyle name="Heading 4 205" xfId="12076" xr:uid="{00000000-0005-0000-0000-0000C82E0000}"/>
    <cellStyle name="Heading 4 206" xfId="12077" xr:uid="{00000000-0005-0000-0000-0000C92E0000}"/>
    <cellStyle name="Heading 4 207" xfId="12078" xr:uid="{00000000-0005-0000-0000-0000CA2E0000}"/>
    <cellStyle name="Heading 4 208" xfId="12079" xr:uid="{00000000-0005-0000-0000-0000CB2E0000}"/>
    <cellStyle name="Heading 4 209" xfId="12080" xr:uid="{00000000-0005-0000-0000-0000CC2E0000}"/>
    <cellStyle name="Heading 4 21" xfId="12081" xr:uid="{00000000-0005-0000-0000-0000CD2E0000}"/>
    <cellStyle name="Heading 4 210" xfId="12082" xr:uid="{00000000-0005-0000-0000-0000CE2E0000}"/>
    <cellStyle name="Heading 4 211" xfId="12083" xr:uid="{00000000-0005-0000-0000-0000CF2E0000}"/>
    <cellStyle name="Heading 4 212" xfId="12084" xr:uid="{00000000-0005-0000-0000-0000D02E0000}"/>
    <cellStyle name="Heading 4 213" xfId="12085" xr:uid="{00000000-0005-0000-0000-0000D12E0000}"/>
    <cellStyle name="Heading 4 214" xfId="12086" xr:uid="{00000000-0005-0000-0000-0000D22E0000}"/>
    <cellStyle name="Heading 4 215" xfId="12087" xr:uid="{00000000-0005-0000-0000-0000D32E0000}"/>
    <cellStyle name="Heading 4 216" xfId="12088" xr:uid="{00000000-0005-0000-0000-0000D42E0000}"/>
    <cellStyle name="Heading 4 217" xfId="12089" xr:uid="{00000000-0005-0000-0000-0000D52E0000}"/>
    <cellStyle name="Heading 4 218" xfId="12090" xr:uid="{00000000-0005-0000-0000-0000D62E0000}"/>
    <cellStyle name="Heading 4 219" xfId="12091" xr:uid="{00000000-0005-0000-0000-0000D72E0000}"/>
    <cellStyle name="Heading 4 22" xfId="12092" xr:uid="{00000000-0005-0000-0000-0000D82E0000}"/>
    <cellStyle name="Heading 4 220" xfId="12093" xr:uid="{00000000-0005-0000-0000-0000D92E0000}"/>
    <cellStyle name="Heading 4 221" xfId="12094" xr:uid="{00000000-0005-0000-0000-0000DA2E0000}"/>
    <cellStyle name="Heading 4 222" xfId="12095" xr:uid="{00000000-0005-0000-0000-0000DB2E0000}"/>
    <cellStyle name="Heading 4 223" xfId="12096" xr:uid="{00000000-0005-0000-0000-0000DC2E0000}"/>
    <cellStyle name="Heading 4 224" xfId="12097" xr:uid="{00000000-0005-0000-0000-0000DD2E0000}"/>
    <cellStyle name="Heading 4 225" xfId="12098" xr:uid="{00000000-0005-0000-0000-0000DE2E0000}"/>
    <cellStyle name="Heading 4 226" xfId="12099" xr:uid="{00000000-0005-0000-0000-0000DF2E0000}"/>
    <cellStyle name="Heading 4 227" xfId="12100" xr:uid="{00000000-0005-0000-0000-0000E02E0000}"/>
    <cellStyle name="Heading 4 228" xfId="12101" xr:uid="{00000000-0005-0000-0000-0000E12E0000}"/>
    <cellStyle name="Heading 4 229" xfId="12102" xr:uid="{00000000-0005-0000-0000-0000E22E0000}"/>
    <cellStyle name="Heading 4 23" xfId="12103" xr:uid="{00000000-0005-0000-0000-0000E32E0000}"/>
    <cellStyle name="Heading 4 230" xfId="12104" xr:uid="{00000000-0005-0000-0000-0000E42E0000}"/>
    <cellStyle name="Heading 4 231" xfId="12105" xr:uid="{00000000-0005-0000-0000-0000E52E0000}"/>
    <cellStyle name="Heading 4 232" xfId="12106" xr:uid="{00000000-0005-0000-0000-0000E62E0000}"/>
    <cellStyle name="Heading 4 233" xfId="12107" xr:uid="{00000000-0005-0000-0000-0000E72E0000}"/>
    <cellStyle name="Heading 4 234" xfId="12108" xr:uid="{00000000-0005-0000-0000-0000E82E0000}"/>
    <cellStyle name="Heading 4 235" xfId="12109" xr:uid="{00000000-0005-0000-0000-0000E92E0000}"/>
    <cellStyle name="Heading 4 236" xfId="12110" xr:uid="{00000000-0005-0000-0000-0000EA2E0000}"/>
    <cellStyle name="Heading 4 237" xfId="12111" xr:uid="{00000000-0005-0000-0000-0000EB2E0000}"/>
    <cellStyle name="Heading 4 238" xfId="12112" xr:uid="{00000000-0005-0000-0000-0000EC2E0000}"/>
    <cellStyle name="Heading 4 239" xfId="12113" xr:uid="{00000000-0005-0000-0000-0000ED2E0000}"/>
    <cellStyle name="Heading 4 24" xfId="12114" xr:uid="{00000000-0005-0000-0000-0000EE2E0000}"/>
    <cellStyle name="Heading 4 240" xfId="12115" xr:uid="{00000000-0005-0000-0000-0000EF2E0000}"/>
    <cellStyle name="Heading 4 241" xfId="12116" xr:uid="{00000000-0005-0000-0000-0000F02E0000}"/>
    <cellStyle name="Heading 4 242" xfId="12117" xr:uid="{00000000-0005-0000-0000-0000F12E0000}"/>
    <cellStyle name="Heading 4 243" xfId="12118" xr:uid="{00000000-0005-0000-0000-0000F22E0000}"/>
    <cellStyle name="Heading 4 244" xfId="12119" xr:uid="{00000000-0005-0000-0000-0000F32E0000}"/>
    <cellStyle name="Heading 4 245" xfId="12120" xr:uid="{00000000-0005-0000-0000-0000F42E0000}"/>
    <cellStyle name="Heading 4 246" xfId="12121" xr:uid="{00000000-0005-0000-0000-0000F52E0000}"/>
    <cellStyle name="Heading 4 247" xfId="12122" xr:uid="{00000000-0005-0000-0000-0000F62E0000}"/>
    <cellStyle name="Heading 4 248" xfId="12123" xr:uid="{00000000-0005-0000-0000-0000F72E0000}"/>
    <cellStyle name="Heading 4 249" xfId="12124" xr:uid="{00000000-0005-0000-0000-0000F82E0000}"/>
    <cellStyle name="Heading 4 25" xfId="12125" xr:uid="{00000000-0005-0000-0000-0000F92E0000}"/>
    <cellStyle name="Heading 4 250" xfId="12126" xr:uid="{00000000-0005-0000-0000-0000FA2E0000}"/>
    <cellStyle name="Heading 4 251" xfId="12127" xr:uid="{00000000-0005-0000-0000-0000FB2E0000}"/>
    <cellStyle name="Heading 4 252" xfId="12128" xr:uid="{00000000-0005-0000-0000-0000FC2E0000}"/>
    <cellStyle name="Heading 4 253" xfId="12129" xr:uid="{00000000-0005-0000-0000-0000FD2E0000}"/>
    <cellStyle name="Heading 4 254" xfId="12130" xr:uid="{00000000-0005-0000-0000-0000FE2E0000}"/>
    <cellStyle name="Heading 4 255" xfId="12131" xr:uid="{00000000-0005-0000-0000-0000FF2E0000}"/>
    <cellStyle name="Heading 4 256" xfId="12132" xr:uid="{00000000-0005-0000-0000-0000002F0000}"/>
    <cellStyle name="Heading 4 257" xfId="12133" xr:uid="{00000000-0005-0000-0000-0000012F0000}"/>
    <cellStyle name="Heading 4 258" xfId="12134" xr:uid="{00000000-0005-0000-0000-0000022F0000}"/>
    <cellStyle name="Heading 4 259" xfId="12135" xr:uid="{00000000-0005-0000-0000-0000032F0000}"/>
    <cellStyle name="Heading 4 26" xfId="12136" xr:uid="{00000000-0005-0000-0000-0000042F0000}"/>
    <cellStyle name="Heading 4 260" xfId="12137" xr:uid="{00000000-0005-0000-0000-0000052F0000}"/>
    <cellStyle name="Heading 4 261" xfId="12138" xr:uid="{00000000-0005-0000-0000-0000062F0000}"/>
    <cellStyle name="Heading 4 262" xfId="12139" xr:uid="{00000000-0005-0000-0000-0000072F0000}"/>
    <cellStyle name="Heading 4 263" xfId="12140" xr:uid="{00000000-0005-0000-0000-0000082F0000}"/>
    <cellStyle name="Heading 4 264" xfId="12141" xr:uid="{00000000-0005-0000-0000-0000092F0000}"/>
    <cellStyle name="Heading 4 265" xfId="12142" xr:uid="{00000000-0005-0000-0000-00000A2F0000}"/>
    <cellStyle name="Heading 4 266" xfId="12143" xr:uid="{00000000-0005-0000-0000-00000B2F0000}"/>
    <cellStyle name="Heading 4 267" xfId="12144" xr:uid="{00000000-0005-0000-0000-00000C2F0000}"/>
    <cellStyle name="Heading 4 268" xfId="12145" xr:uid="{00000000-0005-0000-0000-00000D2F0000}"/>
    <cellStyle name="Heading 4 269" xfId="12146" xr:uid="{00000000-0005-0000-0000-00000E2F0000}"/>
    <cellStyle name="Heading 4 27" xfId="12147" xr:uid="{00000000-0005-0000-0000-00000F2F0000}"/>
    <cellStyle name="Heading 4 270" xfId="12148" xr:uid="{00000000-0005-0000-0000-0000102F0000}"/>
    <cellStyle name="Heading 4 271" xfId="12149" xr:uid="{00000000-0005-0000-0000-0000112F0000}"/>
    <cellStyle name="Heading 4 272" xfId="12150" xr:uid="{00000000-0005-0000-0000-0000122F0000}"/>
    <cellStyle name="Heading 4 273" xfId="12151" xr:uid="{00000000-0005-0000-0000-0000132F0000}"/>
    <cellStyle name="Heading 4 274" xfId="12152" xr:uid="{00000000-0005-0000-0000-0000142F0000}"/>
    <cellStyle name="Heading 4 275" xfId="12153" xr:uid="{00000000-0005-0000-0000-0000152F0000}"/>
    <cellStyle name="Heading 4 276" xfId="12154" xr:uid="{00000000-0005-0000-0000-0000162F0000}"/>
    <cellStyle name="Heading 4 277" xfId="12155" xr:uid="{00000000-0005-0000-0000-0000172F0000}"/>
    <cellStyle name="Heading 4 278" xfId="12156" xr:uid="{00000000-0005-0000-0000-0000182F0000}"/>
    <cellStyle name="Heading 4 279" xfId="12157" xr:uid="{00000000-0005-0000-0000-0000192F0000}"/>
    <cellStyle name="Heading 4 28" xfId="12158" xr:uid="{00000000-0005-0000-0000-00001A2F0000}"/>
    <cellStyle name="Heading 4 280" xfId="12159" xr:uid="{00000000-0005-0000-0000-00001B2F0000}"/>
    <cellStyle name="Heading 4 281" xfId="12160" xr:uid="{00000000-0005-0000-0000-00001C2F0000}"/>
    <cellStyle name="Heading 4 282" xfId="12161" xr:uid="{00000000-0005-0000-0000-00001D2F0000}"/>
    <cellStyle name="Heading 4 283" xfId="12162" xr:uid="{00000000-0005-0000-0000-00001E2F0000}"/>
    <cellStyle name="Heading 4 284" xfId="12163" xr:uid="{00000000-0005-0000-0000-00001F2F0000}"/>
    <cellStyle name="Heading 4 285" xfId="12164" xr:uid="{00000000-0005-0000-0000-0000202F0000}"/>
    <cellStyle name="Heading 4 286" xfId="12165" xr:uid="{00000000-0005-0000-0000-0000212F0000}"/>
    <cellStyle name="Heading 4 287" xfId="12166" xr:uid="{00000000-0005-0000-0000-0000222F0000}"/>
    <cellStyle name="Heading 4 288" xfId="12167" xr:uid="{00000000-0005-0000-0000-0000232F0000}"/>
    <cellStyle name="Heading 4 289" xfId="12168" xr:uid="{00000000-0005-0000-0000-0000242F0000}"/>
    <cellStyle name="Heading 4 29" xfId="12169" xr:uid="{00000000-0005-0000-0000-0000252F0000}"/>
    <cellStyle name="Heading 4 290" xfId="12170" xr:uid="{00000000-0005-0000-0000-0000262F0000}"/>
    <cellStyle name="Heading 4 291" xfId="12171" xr:uid="{00000000-0005-0000-0000-0000272F0000}"/>
    <cellStyle name="Heading 4 292" xfId="12172" xr:uid="{00000000-0005-0000-0000-0000282F0000}"/>
    <cellStyle name="Heading 4 293" xfId="12173" xr:uid="{00000000-0005-0000-0000-0000292F0000}"/>
    <cellStyle name="Heading 4 294" xfId="12174" xr:uid="{00000000-0005-0000-0000-00002A2F0000}"/>
    <cellStyle name="Heading 4 295" xfId="12175" xr:uid="{00000000-0005-0000-0000-00002B2F0000}"/>
    <cellStyle name="Heading 4 296" xfId="12176" xr:uid="{00000000-0005-0000-0000-00002C2F0000}"/>
    <cellStyle name="Heading 4 297" xfId="12177" xr:uid="{00000000-0005-0000-0000-00002D2F0000}"/>
    <cellStyle name="Heading 4 298" xfId="12178" xr:uid="{00000000-0005-0000-0000-00002E2F0000}"/>
    <cellStyle name="Heading 4 299" xfId="12179" xr:uid="{00000000-0005-0000-0000-00002F2F0000}"/>
    <cellStyle name="Heading 4 3" xfId="12180" xr:uid="{00000000-0005-0000-0000-0000302F0000}"/>
    <cellStyle name="Heading 4 30" xfId="12181" xr:uid="{00000000-0005-0000-0000-0000312F0000}"/>
    <cellStyle name="Heading 4 300" xfId="12182" xr:uid="{00000000-0005-0000-0000-0000322F0000}"/>
    <cellStyle name="Heading 4 301" xfId="12183" xr:uid="{00000000-0005-0000-0000-0000332F0000}"/>
    <cellStyle name="Heading 4 302" xfId="12184" xr:uid="{00000000-0005-0000-0000-0000342F0000}"/>
    <cellStyle name="Heading 4 303" xfId="12185" xr:uid="{00000000-0005-0000-0000-0000352F0000}"/>
    <cellStyle name="Heading 4 304" xfId="12186" xr:uid="{00000000-0005-0000-0000-0000362F0000}"/>
    <cellStyle name="Heading 4 305" xfId="12187" xr:uid="{00000000-0005-0000-0000-0000372F0000}"/>
    <cellStyle name="Heading 4 306" xfId="12188" xr:uid="{00000000-0005-0000-0000-0000382F0000}"/>
    <cellStyle name="Heading 4 307" xfId="12189" xr:uid="{00000000-0005-0000-0000-0000392F0000}"/>
    <cellStyle name="Heading 4 308" xfId="12190" xr:uid="{00000000-0005-0000-0000-00003A2F0000}"/>
    <cellStyle name="Heading 4 309" xfId="12191" xr:uid="{00000000-0005-0000-0000-00003B2F0000}"/>
    <cellStyle name="Heading 4 31" xfId="12192" xr:uid="{00000000-0005-0000-0000-00003C2F0000}"/>
    <cellStyle name="Heading 4 310" xfId="12193" xr:uid="{00000000-0005-0000-0000-00003D2F0000}"/>
    <cellStyle name="Heading 4 311" xfId="12194" xr:uid="{00000000-0005-0000-0000-00003E2F0000}"/>
    <cellStyle name="Heading 4 312" xfId="12195" xr:uid="{00000000-0005-0000-0000-00003F2F0000}"/>
    <cellStyle name="Heading 4 313" xfId="12196" xr:uid="{00000000-0005-0000-0000-0000402F0000}"/>
    <cellStyle name="Heading 4 314" xfId="12197" xr:uid="{00000000-0005-0000-0000-0000412F0000}"/>
    <cellStyle name="Heading 4 315" xfId="12198" xr:uid="{00000000-0005-0000-0000-0000422F0000}"/>
    <cellStyle name="Heading 4 316" xfId="12199" xr:uid="{00000000-0005-0000-0000-0000432F0000}"/>
    <cellStyle name="Heading 4 317" xfId="12200" xr:uid="{00000000-0005-0000-0000-0000442F0000}"/>
    <cellStyle name="Heading 4 318" xfId="12201" xr:uid="{00000000-0005-0000-0000-0000452F0000}"/>
    <cellStyle name="Heading 4 319" xfId="12202" xr:uid="{00000000-0005-0000-0000-0000462F0000}"/>
    <cellStyle name="Heading 4 32" xfId="12203" xr:uid="{00000000-0005-0000-0000-0000472F0000}"/>
    <cellStyle name="Heading 4 320" xfId="12204" xr:uid="{00000000-0005-0000-0000-0000482F0000}"/>
    <cellStyle name="Heading 4 321" xfId="12205" xr:uid="{00000000-0005-0000-0000-0000492F0000}"/>
    <cellStyle name="Heading 4 322" xfId="12206" xr:uid="{00000000-0005-0000-0000-00004A2F0000}"/>
    <cellStyle name="Heading 4 323" xfId="12207" xr:uid="{00000000-0005-0000-0000-00004B2F0000}"/>
    <cellStyle name="Heading 4 324" xfId="12208" xr:uid="{00000000-0005-0000-0000-00004C2F0000}"/>
    <cellStyle name="Heading 4 325" xfId="12209" xr:uid="{00000000-0005-0000-0000-00004D2F0000}"/>
    <cellStyle name="Heading 4 326" xfId="12210" xr:uid="{00000000-0005-0000-0000-00004E2F0000}"/>
    <cellStyle name="Heading 4 327" xfId="12211" xr:uid="{00000000-0005-0000-0000-00004F2F0000}"/>
    <cellStyle name="Heading 4 328" xfId="12212" xr:uid="{00000000-0005-0000-0000-0000502F0000}"/>
    <cellStyle name="Heading 4 329" xfId="12213" xr:uid="{00000000-0005-0000-0000-0000512F0000}"/>
    <cellStyle name="Heading 4 33" xfId="12214" xr:uid="{00000000-0005-0000-0000-0000522F0000}"/>
    <cellStyle name="Heading 4 330" xfId="12215" xr:uid="{00000000-0005-0000-0000-0000532F0000}"/>
    <cellStyle name="Heading 4 331" xfId="12216" xr:uid="{00000000-0005-0000-0000-0000542F0000}"/>
    <cellStyle name="Heading 4 332" xfId="12217" xr:uid="{00000000-0005-0000-0000-0000552F0000}"/>
    <cellStyle name="Heading 4 333" xfId="12218" xr:uid="{00000000-0005-0000-0000-0000562F0000}"/>
    <cellStyle name="Heading 4 334" xfId="12219" xr:uid="{00000000-0005-0000-0000-0000572F0000}"/>
    <cellStyle name="Heading 4 335" xfId="12220" xr:uid="{00000000-0005-0000-0000-0000582F0000}"/>
    <cellStyle name="Heading 4 336" xfId="12221" xr:uid="{00000000-0005-0000-0000-0000592F0000}"/>
    <cellStyle name="Heading 4 337" xfId="12222" xr:uid="{00000000-0005-0000-0000-00005A2F0000}"/>
    <cellStyle name="Heading 4 338" xfId="12223" xr:uid="{00000000-0005-0000-0000-00005B2F0000}"/>
    <cellStyle name="Heading 4 339" xfId="12224" xr:uid="{00000000-0005-0000-0000-00005C2F0000}"/>
    <cellStyle name="Heading 4 34" xfId="12225" xr:uid="{00000000-0005-0000-0000-00005D2F0000}"/>
    <cellStyle name="Heading 4 340" xfId="12226" xr:uid="{00000000-0005-0000-0000-00005E2F0000}"/>
    <cellStyle name="Heading 4 341" xfId="12227" xr:uid="{00000000-0005-0000-0000-00005F2F0000}"/>
    <cellStyle name="Heading 4 342" xfId="12228" xr:uid="{00000000-0005-0000-0000-0000602F0000}"/>
    <cellStyle name="Heading 4 343" xfId="12229" xr:uid="{00000000-0005-0000-0000-0000612F0000}"/>
    <cellStyle name="Heading 4 344" xfId="12230" xr:uid="{00000000-0005-0000-0000-0000622F0000}"/>
    <cellStyle name="Heading 4 345" xfId="12231" xr:uid="{00000000-0005-0000-0000-0000632F0000}"/>
    <cellStyle name="Heading 4 346" xfId="12232" xr:uid="{00000000-0005-0000-0000-0000642F0000}"/>
    <cellStyle name="Heading 4 347" xfId="12233" xr:uid="{00000000-0005-0000-0000-0000652F0000}"/>
    <cellStyle name="Heading 4 348" xfId="12234" xr:uid="{00000000-0005-0000-0000-0000662F0000}"/>
    <cellStyle name="Heading 4 349" xfId="12235" xr:uid="{00000000-0005-0000-0000-0000672F0000}"/>
    <cellStyle name="Heading 4 35" xfId="12236" xr:uid="{00000000-0005-0000-0000-0000682F0000}"/>
    <cellStyle name="Heading 4 350" xfId="12237" xr:uid="{00000000-0005-0000-0000-0000692F0000}"/>
    <cellStyle name="Heading 4 351" xfId="12238" xr:uid="{00000000-0005-0000-0000-00006A2F0000}"/>
    <cellStyle name="Heading 4 352" xfId="12239" xr:uid="{00000000-0005-0000-0000-00006B2F0000}"/>
    <cellStyle name="Heading 4 353" xfId="12240" xr:uid="{00000000-0005-0000-0000-00006C2F0000}"/>
    <cellStyle name="Heading 4 354" xfId="12241" xr:uid="{00000000-0005-0000-0000-00006D2F0000}"/>
    <cellStyle name="Heading 4 355" xfId="12242" xr:uid="{00000000-0005-0000-0000-00006E2F0000}"/>
    <cellStyle name="Heading 4 356" xfId="12243" xr:uid="{00000000-0005-0000-0000-00006F2F0000}"/>
    <cellStyle name="Heading 4 357" xfId="12244" xr:uid="{00000000-0005-0000-0000-0000702F0000}"/>
    <cellStyle name="Heading 4 358" xfId="12245" xr:uid="{00000000-0005-0000-0000-0000712F0000}"/>
    <cellStyle name="Heading 4 359" xfId="12246" xr:uid="{00000000-0005-0000-0000-0000722F0000}"/>
    <cellStyle name="Heading 4 36" xfId="12247" xr:uid="{00000000-0005-0000-0000-0000732F0000}"/>
    <cellStyle name="Heading 4 360" xfId="12248" xr:uid="{00000000-0005-0000-0000-0000742F0000}"/>
    <cellStyle name="Heading 4 361" xfId="12249" xr:uid="{00000000-0005-0000-0000-0000752F0000}"/>
    <cellStyle name="Heading 4 362" xfId="12250" xr:uid="{00000000-0005-0000-0000-0000762F0000}"/>
    <cellStyle name="Heading 4 363" xfId="12251" xr:uid="{00000000-0005-0000-0000-0000772F0000}"/>
    <cellStyle name="Heading 4 364" xfId="12252" xr:uid="{00000000-0005-0000-0000-0000782F0000}"/>
    <cellStyle name="Heading 4 365" xfId="12253" xr:uid="{00000000-0005-0000-0000-0000792F0000}"/>
    <cellStyle name="Heading 4 366" xfId="12254" xr:uid="{00000000-0005-0000-0000-00007A2F0000}"/>
    <cellStyle name="Heading 4 367" xfId="12255" xr:uid="{00000000-0005-0000-0000-00007B2F0000}"/>
    <cellStyle name="Heading 4 368" xfId="12256" xr:uid="{00000000-0005-0000-0000-00007C2F0000}"/>
    <cellStyle name="Heading 4 369" xfId="12257" xr:uid="{00000000-0005-0000-0000-00007D2F0000}"/>
    <cellStyle name="Heading 4 37" xfId="12258" xr:uid="{00000000-0005-0000-0000-00007E2F0000}"/>
    <cellStyle name="Heading 4 370" xfId="12259" xr:uid="{00000000-0005-0000-0000-00007F2F0000}"/>
    <cellStyle name="Heading 4 371" xfId="12260" xr:uid="{00000000-0005-0000-0000-0000802F0000}"/>
    <cellStyle name="Heading 4 372" xfId="12261" xr:uid="{00000000-0005-0000-0000-0000812F0000}"/>
    <cellStyle name="Heading 4 373" xfId="12262" xr:uid="{00000000-0005-0000-0000-0000822F0000}"/>
    <cellStyle name="Heading 4 374" xfId="12263" xr:uid="{00000000-0005-0000-0000-0000832F0000}"/>
    <cellStyle name="Heading 4 375" xfId="12264" xr:uid="{00000000-0005-0000-0000-0000842F0000}"/>
    <cellStyle name="Heading 4 376" xfId="12265" xr:uid="{00000000-0005-0000-0000-0000852F0000}"/>
    <cellStyle name="Heading 4 377" xfId="12266" xr:uid="{00000000-0005-0000-0000-0000862F0000}"/>
    <cellStyle name="Heading 4 378" xfId="12267" xr:uid="{00000000-0005-0000-0000-0000872F0000}"/>
    <cellStyle name="Heading 4 379" xfId="12268" xr:uid="{00000000-0005-0000-0000-0000882F0000}"/>
    <cellStyle name="Heading 4 38" xfId="12269" xr:uid="{00000000-0005-0000-0000-0000892F0000}"/>
    <cellStyle name="Heading 4 380" xfId="12270" xr:uid="{00000000-0005-0000-0000-00008A2F0000}"/>
    <cellStyle name="Heading 4 381" xfId="12271" xr:uid="{00000000-0005-0000-0000-00008B2F0000}"/>
    <cellStyle name="Heading 4 382" xfId="12272" xr:uid="{00000000-0005-0000-0000-00008C2F0000}"/>
    <cellStyle name="Heading 4 383" xfId="12273" xr:uid="{00000000-0005-0000-0000-00008D2F0000}"/>
    <cellStyle name="Heading 4 384" xfId="12274" xr:uid="{00000000-0005-0000-0000-00008E2F0000}"/>
    <cellStyle name="Heading 4 385" xfId="12275" xr:uid="{00000000-0005-0000-0000-00008F2F0000}"/>
    <cellStyle name="Heading 4 386" xfId="12276" xr:uid="{00000000-0005-0000-0000-0000902F0000}"/>
    <cellStyle name="Heading 4 387" xfId="12277" xr:uid="{00000000-0005-0000-0000-0000912F0000}"/>
    <cellStyle name="Heading 4 388" xfId="12278" xr:uid="{00000000-0005-0000-0000-0000922F0000}"/>
    <cellStyle name="Heading 4 389" xfId="12279" xr:uid="{00000000-0005-0000-0000-0000932F0000}"/>
    <cellStyle name="Heading 4 39" xfId="12280" xr:uid="{00000000-0005-0000-0000-0000942F0000}"/>
    <cellStyle name="Heading 4 390" xfId="12281" xr:uid="{00000000-0005-0000-0000-0000952F0000}"/>
    <cellStyle name="Heading 4 391" xfId="12282" xr:uid="{00000000-0005-0000-0000-0000962F0000}"/>
    <cellStyle name="Heading 4 392" xfId="12283" xr:uid="{00000000-0005-0000-0000-0000972F0000}"/>
    <cellStyle name="Heading 4 393" xfId="12284" xr:uid="{00000000-0005-0000-0000-0000982F0000}"/>
    <cellStyle name="Heading 4 394" xfId="12285" xr:uid="{00000000-0005-0000-0000-0000992F0000}"/>
    <cellStyle name="Heading 4 395" xfId="12286" xr:uid="{00000000-0005-0000-0000-00009A2F0000}"/>
    <cellStyle name="Heading 4 396" xfId="12287" xr:uid="{00000000-0005-0000-0000-00009B2F0000}"/>
    <cellStyle name="Heading 4 397" xfId="12288" xr:uid="{00000000-0005-0000-0000-00009C2F0000}"/>
    <cellStyle name="Heading 4 398" xfId="12289" xr:uid="{00000000-0005-0000-0000-00009D2F0000}"/>
    <cellStyle name="Heading 4 399" xfId="12290" xr:uid="{00000000-0005-0000-0000-00009E2F0000}"/>
    <cellStyle name="Heading 4 4" xfId="12291" xr:uid="{00000000-0005-0000-0000-00009F2F0000}"/>
    <cellStyle name="Heading 4 40" xfId="12292" xr:uid="{00000000-0005-0000-0000-0000A02F0000}"/>
    <cellStyle name="Heading 4 400" xfId="12293" xr:uid="{00000000-0005-0000-0000-0000A12F0000}"/>
    <cellStyle name="Heading 4 401" xfId="12294" xr:uid="{00000000-0005-0000-0000-0000A22F0000}"/>
    <cellStyle name="Heading 4 402" xfId="12295" xr:uid="{00000000-0005-0000-0000-0000A32F0000}"/>
    <cellStyle name="Heading 4 403" xfId="12296" xr:uid="{00000000-0005-0000-0000-0000A42F0000}"/>
    <cellStyle name="Heading 4 404" xfId="12297" xr:uid="{00000000-0005-0000-0000-0000A52F0000}"/>
    <cellStyle name="Heading 4 405" xfId="12298" xr:uid="{00000000-0005-0000-0000-0000A62F0000}"/>
    <cellStyle name="Heading 4 406" xfId="12299" xr:uid="{00000000-0005-0000-0000-0000A72F0000}"/>
    <cellStyle name="Heading 4 407" xfId="12300" xr:uid="{00000000-0005-0000-0000-0000A82F0000}"/>
    <cellStyle name="Heading 4 408" xfId="12301" xr:uid="{00000000-0005-0000-0000-0000A92F0000}"/>
    <cellStyle name="Heading 4 409" xfId="12302" xr:uid="{00000000-0005-0000-0000-0000AA2F0000}"/>
    <cellStyle name="Heading 4 41" xfId="12303" xr:uid="{00000000-0005-0000-0000-0000AB2F0000}"/>
    <cellStyle name="Heading 4 410" xfId="12304" xr:uid="{00000000-0005-0000-0000-0000AC2F0000}"/>
    <cellStyle name="Heading 4 411" xfId="12305" xr:uid="{00000000-0005-0000-0000-0000AD2F0000}"/>
    <cellStyle name="Heading 4 412" xfId="12306" xr:uid="{00000000-0005-0000-0000-0000AE2F0000}"/>
    <cellStyle name="Heading 4 413" xfId="12307" xr:uid="{00000000-0005-0000-0000-0000AF2F0000}"/>
    <cellStyle name="Heading 4 414" xfId="12308" xr:uid="{00000000-0005-0000-0000-0000B02F0000}"/>
    <cellStyle name="Heading 4 415" xfId="12309" xr:uid="{00000000-0005-0000-0000-0000B12F0000}"/>
    <cellStyle name="Heading 4 416" xfId="12310" xr:uid="{00000000-0005-0000-0000-0000B22F0000}"/>
    <cellStyle name="Heading 4 417" xfId="12311" xr:uid="{00000000-0005-0000-0000-0000B32F0000}"/>
    <cellStyle name="Heading 4 418" xfId="12312" xr:uid="{00000000-0005-0000-0000-0000B42F0000}"/>
    <cellStyle name="Heading 4 419" xfId="12313" xr:uid="{00000000-0005-0000-0000-0000B52F0000}"/>
    <cellStyle name="Heading 4 42" xfId="12314" xr:uid="{00000000-0005-0000-0000-0000B62F0000}"/>
    <cellStyle name="Heading 4 420" xfId="12315" xr:uid="{00000000-0005-0000-0000-0000B72F0000}"/>
    <cellStyle name="Heading 4 421" xfId="12316" xr:uid="{00000000-0005-0000-0000-0000B82F0000}"/>
    <cellStyle name="Heading 4 422" xfId="12317" xr:uid="{00000000-0005-0000-0000-0000B92F0000}"/>
    <cellStyle name="Heading 4 423" xfId="12318" xr:uid="{00000000-0005-0000-0000-0000BA2F0000}"/>
    <cellStyle name="Heading 4 424" xfId="12319" xr:uid="{00000000-0005-0000-0000-0000BB2F0000}"/>
    <cellStyle name="Heading 4 425" xfId="12320" xr:uid="{00000000-0005-0000-0000-0000BC2F0000}"/>
    <cellStyle name="Heading 4 426" xfId="12321" xr:uid="{00000000-0005-0000-0000-0000BD2F0000}"/>
    <cellStyle name="Heading 4 427" xfId="12322" xr:uid="{00000000-0005-0000-0000-0000BE2F0000}"/>
    <cellStyle name="Heading 4 428" xfId="12323" xr:uid="{00000000-0005-0000-0000-0000BF2F0000}"/>
    <cellStyle name="Heading 4 429" xfId="12324" xr:uid="{00000000-0005-0000-0000-0000C02F0000}"/>
    <cellStyle name="Heading 4 43" xfId="12325" xr:uid="{00000000-0005-0000-0000-0000C12F0000}"/>
    <cellStyle name="Heading 4 430" xfId="12326" xr:uid="{00000000-0005-0000-0000-0000C22F0000}"/>
    <cellStyle name="Heading 4 431" xfId="12327" xr:uid="{00000000-0005-0000-0000-0000C32F0000}"/>
    <cellStyle name="Heading 4 432" xfId="12328" xr:uid="{00000000-0005-0000-0000-0000C42F0000}"/>
    <cellStyle name="Heading 4 433" xfId="12329" xr:uid="{00000000-0005-0000-0000-0000C52F0000}"/>
    <cellStyle name="Heading 4 434" xfId="12330" xr:uid="{00000000-0005-0000-0000-0000C62F0000}"/>
    <cellStyle name="Heading 4 435" xfId="12331" xr:uid="{00000000-0005-0000-0000-0000C72F0000}"/>
    <cellStyle name="Heading 4 436" xfId="12332" xr:uid="{00000000-0005-0000-0000-0000C82F0000}"/>
    <cellStyle name="Heading 4 437" xfId="12333" xr:uid="{00000000-0005-0000-0000-0000C92F0000}"/>
    <cellStyle name="Heading 4 438" xfId="12334" xr:uid="{00000000-0005-0000-0000-0000CA2F0000}"/>
    <cellStyle name="Heading 4 439" xfId="12335" xr:uid="{00000000-0005-0000-0000-0000CB2F0000}"/>
    <cellStyle name="Heading 4 44" xfId="12336" xr:uid="{00000000-0005-0000-0000-0000CC2F0000}"/>
    <cellStyle name="Heading 4 440" xfId="12337" xr:uid="{00000000-0005-0000-0000-0000CD2F0000}"/>
    <cellStyle name="Heading 4 441" xfId="12338" xr:uid="{00000000-0005-0000-0000-0000CE2F0000}"/>
    <cellStyle name="Heading 4 442" xfId="12339" xr:uid="{00000000-0005-0000-0000-0000CF2F0000}"/>
    <cellStyle name="Heading 4 443" xfId="12340" xr:uid="{00000000-0005-0000-0000-0000D02F0000}"/>
    <cellStyle name="Heading 4 444" xfId="12341" xr:uid="{00000000-0005-0000-0000-0000D12F0000}"/>
    <cellStyle name="Heading 4 445" xfId="12342" xr:uid="{00000000-0005-0000-0000-0000D22F0000}"/>
    <cellStyle name="Heading 4 446" xfId="12343" xr:uid="{00000000-0005-0000-0000-0000D32F0000}"/>
    <cellStyle name="Heading 4 447" xfId="12344" xr:uid="{00000000-0005-0000-0000-0000D42F0000}"/>
    <cellStyle name="Heading 4 448" xfId="12345" xr:uid="{00000000-0005-0000-0000-0000D52F0000}"/>
    <cellStyle name="Heading 4 449" xfId="12346" xr:uid="{00000000-0005-0000-0000-0000D62F0000}"/>
    <cellStyle name="Heading 4 45" xfId="12347" xr:uid="{00000000-0005-0000-0000-0000D72F0000}"/>
    <cellStyle name="Heading 4 450" xfId="12348" xr:uid="{00000000-0005-0000-0000-0000D82F0000}"/>
    <cellStyle name="Heading 4 451" xfId="12349" xr:uid="{00000000-0005-0000-0000-0000D92F0000}"/>
    <cellStyle name="Heading 4 452" xfId="12350" xr:uid="{00000000-0005-0000-0000-0000DA2F0000}"/>
    <cellStyle name="Heading 4 453" xfId="12351" xr:uid="{00000000-0005-0000-0000-0000DB2F0000}"/>
    <cellStyle name="Heading 4 454" xfId="12352" xr:uid="{00000000-0005-0000-0000-0000DC2F0000}"/>
    <cellStyle name="Heading 4 455" xfId="12353" xr:uid="{00000000-0005-0000-0000-0000DD2F0000}"/>
    <cellStyle name="Heading 4 456" xfId="12354" xr:uid="{00000000-0005-0000-0000-0000DE2F0000}"/>
    <cellStyle name="Heading 4 457" xfId="12355" xr:uid="{00000000-0005-0000-0000-0000DF2F0000}"/>
    <cellStyle name="Heading 4 458" xfId="12356" xr:uid="{00000000-0005-0000-0000-0000E02F0000}"/>
    <cellStyle name="Heading 4 459" xfId="12357" xr:uid="{00000000-0005-0000-0000-0000E12F0000}"/>
    <cellStyle name="Heading 4 46" xfId="12358" xr:uid="{00000000-0005-0000-0000-0000E22F0000}"/>
    <cellStyle name="Heading 4 460" xfId="12359" xr:uid="{00000000-0005-0000-0000-0000E32F0000}"/>
    <cellStyle name="Heading 4 461" xfId="12360" xr:uid="{00000000-0005-0000-0000-0000E42F0000}"/>
    <cellStyle name="Heading 4 462" xfId="12361" xr:uid="{00000000-0005-0000-0000-0000E52F0000}"/>
    <cellStyle name="Heading 4 463" xfId="12362" xr:uid="{00000000-0005-0000-0000-0000E62F0000}"/>
    <cellStyle name="Heading 4 464" xfId="12363" xr:uid="{00000000-0005-0000-0000-0000E72F0000}"/>
    <cellStyle name="Heading 4 465" xfId="12364" xr:uid="{00000000-0005-0000-0000-0000E82F0000}"/>
    <cellStyle name="Heading 4 466" xfId="12365" xr:uid="{00000000-0005-0000-0000-0000E92F0000}"/>
    <cellStyle name="Heading 4 467" xfId="12366" xr:uid="{00000000-0005-0000-0000-0000EA2F0000}"/>
    <cellStyle name="Heading 4 468" xfId="12367" xr:uid="{00000000-0005-0000-0000-0000EB2F0000}"/>
    <cellStyle name="Heading 4 469" xfId="12368" xr:uid="{00000000-0005-0000-0000-0000EC2F0000}"/>
    <cellStyle name="Heading 4 47" xfId="12369" xr:uid="{00000000-0005-0000-0000-0000ED2F0000}"/>
    <cellStyle name="Heading 4 470" xfId="12370" xr:uid="{00000000-0005-0000-0000-0000EE2F0000}"/>
    <cellStyle name="Heading 4 471" xfId="12371" xr:uid="{00000000-0005-0000-0000-0000EF2F0000}"/>
    <cellStyle name="Heading 4 472" xfId="12372" xr:uid="{00000000-0005-0000-0000-0000F02F0000}"/>
    <cellStyle name="Heading 4 473" xfId="12373" xr:uid="{00000000-0005-0000-0000-0000F12F0000}"/>
    <cellStyle name="Heading 4 474" xfId="12374" xr:uid="{00000000-0005-0000-0000-0000F22F0000}"/>
    <cellStyle name="Heading 4 475" xfId="12375" xr:uid="{00000000-0005-0000-0000-0000F32F0000}"/>
    <cellStyle name="Heading 4 476" xfId="12376" xr:uid="{00000000-0005-0000-0000-0000F42F0000}"/>
    <cellStyle name="Heading 4 477" xfId="12377" xr:uid="{00000000-0005-0000-0000-0000F52F0000}"/>
    <cellStyle name="Heading 4 478" xfId="12378" xr:uid="{00000000-0005-0000-0000-0000F62F0000}"/>
    <cellStyle name="Heading 4 479" xfId="12379" xr:uid="{00000000-0005-0000-0000-0000F72F0000}"/>
    <cellStyle name="Heading 4 48" xfId="12380" xr:uid="{00000000-0005-0000-0000-0000F82F0000}"/>
    <cellStyle name="Heading 4 480" xfId="12381" xr:uid="{00000000-0005-0000-0000-0000F92F0000}"/>
    <cellStyle name="Heading 4 481" xfId="12382" xr:uid="{00000000-0005-0000-0000-0000FA2F0000}"/>
    <cellStyle name="Heading 4 482" xfId="12383" xr:uid="{00000000-0005-0000-0000-0000FB2F0000}"/>
    <cellStyle name="Heading 4 483" xfId="12384" xr:uid="{00000000-0005-0000-0000-0000FC2F0000}"/>
    <cellStyle name="Heading 4 484" xfId="12385" xr:uid="{00000000-0005-0000-0000-0000FD2F0000}"/>
    <cellStyle name="Heading 4 485" xfId="12386" xr:uid="{00000000-0005-0000-0000-0000FE2F0000}"/>
    <cellStyle name="Heading 4 486" xfId="12387" xr:uid="{00000000-0005-0000-0000-0000FF2F0000}"/>
    <cellStyle name="Heading 4 487" xfId="12388" xr:uid="{00000000-0005-0000-0000-000000300000}"/>
    <cellStyle name="Heading 4 488" xfId="12389" xr:uid="{00000000-0005-0000-0000-000001300000}"/>
    <cellStyle name="Heading 4 489" xfId="12390" xr:uid="{00000000-0005-0000-0000-000002300000}"/>
    <cellStyle name="Heading 4 49" xfId="12391" xr:uid="{00000000-0005-0000-0000-000003300000}"/>
    <cellStyle name="Heading 4 490" xfId="12392" xr:uid="{00000000-0005-0000-0000-000004300000}"/>
    <cellStyle name="Heading 4 491" xfId="12393" xr:uid="{00000000-0005-0000-0000-000005300000}"/>
    <cellStyle name="Heading 4 492" xfId="12394" xr:uid="{00000000-0005-0000-0000-000006300000}"/>
    <cellStyle name="Heading 4 493" xfId="12395" xr:uid="{00000000-0005-0000-0000-000007300000}"/>
    <cellStyle name="Heading 4 494" xfId="12396" xr:uid="{00000000-0005-0000-0000-000008300000}"/>
    <cellStyle name="Heading 4 495" xfId="12397" xr:uid="{00000000-0005-0000-0000-000009300000}"/>
    <cellStyle name="Heading 4 496" xfId="12398" xr:uid="{00000000-0005-0000-0000-00000A300000}"/>
    <cellStyle name="Heading 4 497" xfId="12399" xr:uid="{00000000-0005-0000-0000-00000B300000}"/>
    <cellStyle name="Heading 4 498" xfId="12400" xr:uid="{00000000-0005-0000-0000-00000C300000}"/>
    <cellStyle name="Heading 4 499" xfId="12401" xr:uid="{00000000-0005-0000-0000-00000D300000}"/>
    <cellStyle name="Heading 4 5" xfId="12402" xr:uid="{00000000-0005-0000-0000-00000E300000}"/>
    <cellStyle name="Heading 4 50" xfId="12403" xr:uid="{00000000-0005-0000-0000-00000F300000}"/>
    <cellStyle name="Heading 4 500" xfId="12404" xr:uid="{00000000-0005-0000-0000-000010300000}"/>
    <cellStyle name="Heading 4 501" xfId="12405" xr:uid="{00000000-0005-0000-0000-000011300000}"/>
    <cellStyle name="Heading 4 502" xfId="12406" xr:uid="{00000000-0005-0000-0000-000012300000}"/>
    <cellStyle name="Heading 4 503" xfId="12407" xr:uid="{00000000-0005-0000-0000-000013300000}"/>
    <cellStyle name="Heading 4 504" xfId="12408" xr:uid="{00000000-0005-0000-0000-000014300000}"/>
    <cellStyle name="Heading 4 505" xfId="12409" xr:uid="{00000000-0005-0000-0000-000015300000}"/>
    <cellStyle name="Heading 4 506" xfId="12410" xr:uid="{00000000-0005-0000-0000-000016300000}"/>
    <cellStyle name="Heading 4 507" xfId="12411" xr:uid="{00000000-0005-0000-0000-000017300000}"/>
    <cellStyle name="Heading 4 508" xfId="12412" xr:uid="{00000000-0005-0000-0000-000018300000}"/>
    <cellStyle name="Heading 4 509" xfId="12413" xr:uid="{00000000-0005-0000-0000-000019300000}"/>
    <cellStyle name="Heading 4 51" xfId="12414" xr:uid="{00000000-0005-0000-0000-00001A300000}"/>
    <cellStyle name="Heading 4 510" xfId="12415" xr:uid="{00000000-0005-0000-0000-00001B300000}"/>
    <cellStyle name="Heading 4 511" xfId="12416" xr:uid="{00000000-0005-0000-0000-00001C300000}"/>
    <cellStyle name="Heading 4 512" xfId="12417" xr:uid="{00000000-0005-0000-0000-00001D300000}"/>
    <cellStyle name="Heading 4 513" xfId="12418" xr:uid="{00000000-0005-0000-0000-00001E300000}"/>
    <cellStyle name="Heading 4 514" xfId="12419" xr:uid="{00000000-0005-0000-0000-00001F300000}"/>
    <cellStyle name="Heading 4 515" xfId="12420" xr:uid="{00000000-0005-0000-0000-000020300000}"/>
    <cellStyle name="Heading 4 516" xfId="12421" xr:uid="{00000000-0005-0000-0000-000021300000}"/>
    <cellStyle name="Heading 4 517" xfId="12422" xr:uid="{00000000-0005-0000-0000-000022300000}"/>
    <cellStyle name="Heading 4 518" xfId="12423" xr:uid="{00000000-0005-0000-0000-000023300000}"/>
    <cellStyle name="Heading 4 519" xfId="12424" xr:uid="{00000000-0005-0000-0000-000024300000}"/>
    <cellStyle name="Heading 4 52" xfId="12425" xr:uid="{00000000-0005-0000-0000-000025300000}"/>
    <cellStyle name="Heading 4 520" xfId="12426" xr:uid="{00000000-0005-0000-0000-000026300000}"/>
    <cellStyle name="Heading 4 521" xfId="12427" xr:uid="{00000000-0005-0000-0000-000027300000}"/>
    <cellStyle name="Heading 4 522" xfId="12428" xr:uid="{00000000-0005-0000-0000-000028300000}"/>
    <cellStyle name="Heading 4 523" xfId="12429" xr:uid="{00000000-0005-0000-0000-000029300000}"/>
    <cellStyle name="Heading 4 524" xfId="12430" xr:uid="{00000000-0005-0000-0000-00002A300000}"/>
    <cellStyle name="Heading 4 525" xfId="12431" xr:uid="{00000000-0005-0000-0000-00002B300000}"/>
    <cellStyle name="Heading 4 526" xfId="12432" xr:uid="{00000000-0005-0000-0000-00002C300000}"/>
    <cellStyle name="Heading 4 527" xfId="12433" xr:uid="{00000000-0005-0000-0000-00002D300000}"/>
    <cellStyle name="Heading 4 528" xfId="12434" xr:uid="{00000000-0005-0000-0000-00002E300000}"/>
    <cellStyle name="Heading 4 529" xfId="12435" xr:uid="{00000000-0005-0000-0000-00002F300000}"/>
    <cellStyle name="Heading 4 53" xfId="12436" xr:uid="{00000000-0005-0000-0000-000030300000}"/>
    <cellStyle name="Heading 4 530" xfId="12437" xr:uid="{00000000-0005-0000-0000-000031300000}"/>
    <cellStyle name="Heading 4 531" xfId="12438" xr:uid="{00000000-0005-0000-0000-000032300000}"/>
    <cellStyle name="Heading 4 532" xfId="12439" xr:uid="{00000000-0005-0000-0000-000033300000}"/>
    <cellStyle name="Heading 4 533" xfId="12440" xr:uid="{00000000-0005-0000-0000-000034300000}"/>
    <cellStyle name="Heading 4 534" xfId="12441" xr:uid="{00000000-0005-0000-0000-000035300000}"/>
    <cellStyle name="Heading 4 535" xfId="12442" xr:uid="{00000000-0005-0000-0000-000036300000}"/>
    <cellStyle name="Heading 4 536" xfId="12443" xr:uid="{00000000-0005-0000-0000-000037300000}"/>
    <cellStyle name="Heading 4 537" xfId="12444" xr:uid="{00000000-0005-0000-0000-000038300000}"/>
    <cellStyle name="Heading 4 538" xfId="12445" xr:uid="{00000000-0005-0000-0000-000039300000}"/>
    <cellStyle name="Heading 4 539" xfId="12446" xr:uid="{00000000-0005-0000-0000-00003A300000}"/>
    <cellStyle name="Heading 4 54" xfId="12447" xr:uid="{00000000-0005-0000-0000-00003B300000}"/>
    <cellStyle name="Heading 4 540" xfId="12448" xr:uid="{00000000-0005-0000-0000-00003C300000}"/>
    <cellStyle name="Heading 4 541" xfId="12449" xr:uid="{00000000-0005-0000-0000-00003D300000}"/>
    <cellStyle name="Heading 4 542" xfId="12450" xr:uid="{00000000-0005-0000-0000-00003E300000}"/>
    <cellStyle name="Heading 4 543" xfId="12451" xr:uid="{00000000-0005-0000-0000-00003F300000}"/>
    <cellStyle name="Heading 4 544" xfId="12452" xr:uid="{00000000-0005-0000-0000-000040300000}"/>
    <cellStyle name="Heading 4 545" xfId="12453" xr:uid="{00000000-0005-0000-0000-000041300000}"/>
    <cellStyle name="Heading 4 546" xfId="12454" xr:uid="{00000000-0005-0000-0000-000042300000}"/>
    <cellStyle name="Heading 4 547" xfId="12455" xr:uid="{00000000-0005-0000-0000-000043300000}"/>
    <cellStyle name="Heading 4 548" xfId="12456" xr:uid="{00000000-0005-0000-0000-000044300000}"/>
    <cellStyle name="Heading 4 549" xfId="12457" xr:uid="{00000000-0005-0000-0000-000045300000}"/>
    <cellStyle name="Heading 4 55" xfId="12458" xr:uid="{00000000-0005-0000-0000-000046300000}"/>
    <cellStyle name="Heading 4 550" xfId="12459" xr:uid="{00000000-0005-0000-0000-000047300000}"/>
    <cellStyle name="Heading 4 551" xfId="12460" xr:uid="{00000000-0005-0000-0000-000048300000}"/>
    <cellStyle name="Heading 4 552" xfId="12461" xr:uid="{00000000-0005-0000-0000-000049300000}"/>
    <cellStyle name="Heading 4 553" xfId="12462" xr:uid="{00000000-0005-0000-0000-00004A300000}"/>
    <cellStyle name="Heading 4 554" xfId="12463" xr:uid="{00000000-0005-0000-0000-00004B300000}"/>
    <cellStyle name="Heading 4 555" xfId="12464" xr:uid="{00000000-0005-0000-0000-00004C300000}"/>
    <cellStyle name="Heading 4 556" xfId="12465" xr:uid="{00000000-0005-0000-0000-00004D300000}"/>
    <cellStyle name="Heading 4 557" xfId="12466" xr:uid="{00000000-0005-0000-0000-00004E300000}"/>
    <cellStyle name="Heading 4 558" xfId="12467" xr:uid="{00000000-0005-0000-0000-00004F300000}"/>
    <cellStyle name="Heading 4 559" xfId="12468" xr:uid="{00000000-0005-0000-0000-000050300000}"/>
    <cellStyle name="Heading 4 56" xfId="12469" xr:uid="{00000000-0005-0000-0000-000051300000}"/>
    <cellStyle name="Heading 4 560" xfId="12470" xr:uid="{00000000-0005-0000-0000-000052300000}"/>
    <cellStyle name="Heading 4 561" xfId="12471" xr:uid="{00000000-0005-0000-0000-000053300000}"/>
    <cellStyle name="Heading 4 562" xfId="12472" xr:uid="{00000000-0005-0000-0000-000054300000}"/>
    <cellStyle name="Heading 4 563" xfId="12473" xr:uid="{00000000-0005-0000-0000-000055300000}"/>
    <cellStyle name="Heading 4 564" xfId="12474" xr:uid="{00000000-0005-0000-0000-000056300000}"/>
    <cellStyle name="Heading 4 565" xfId="12475" xr:uid="{00000000-0005-0000-0000-000057300000}"/>
    <cellStyle name="Heading 4 566" xfId="12476" xr:uid="{00000000-0005-0000-0000-000058300000}"/>
    <cellStyle name="Heading 4 567" xfId="12477" xr:uid="{00000000-0005-0000-0000-000059300000}"/>
    <cellStyle name="Heading 4 568" xfId="12478" xr:uid="{00000000-0005-0000-0000-00005A300000}"/>
    <cellStyle name="Heading 4 569" xfId="12479" xr:uid="{00000000-0005-0000-0000-00005B300000}"/>
    <cellStyle name="Heading 4 57" xfId="12480" xr:uid="{00000000-0005-0000-0000-00005C300000}"/>
    <cellStyle name="Heading 4 570" xfId="12481" xr:uid="{00000000-0005-0000-0000-00005D300000}"/>
    <cellStyle name="Heading 4 571" xfId="12482" xr:uid="{00000000-0005-0000-0000-00005E300000}"/>
    <cellStyle name="Heading 4 572" xfId="12483" xr:uid="{00000000-0005-0000-0000-00005F300000}"/>
    <cellStyle name="Heading 4 573" xfId="12484" xr:uid="{00000000-0005-0000-0000-000060300000}"/>
    <cellStyle name="Heading 4 574" xfId="12485" xr:uid="{00000000-0005-0000-0000-000061300000}"/>
    <cellStyle name="Heading 4 575" xfId="12486" xr:uid="{00000000-0005-0000-0000-000062300000}"/>
    <cellStyle name="Heading 4 576" xfId="12487" xr:uid="{00000000-0005-0000-0000-000063300000}"/>
    <cellStyle name="Heading 4 577" xfId="12488" xr:uid="{00000000-0005-0000-0000-000064300000}"/>
    <cellStyle name="Heading 4 578" xfId="12489" xr:uid="{00000000-0005-0000-0000-000065300000}"/>
    <cellStyle name="Heading 4 579" xfId="12490" xr:uid="{00000000-0005-0000-0000-000066300000}"/>
    <cellStyle name="Heading 4 58" xfId="12491" xr:uid="{00000000-0005-0000-0000-000067300000}"/>
    <cellStyle name="Heading 4 580" xfId="12492" xr:uid="{00000000-0005-0000-0000-000068300000}"/>
    <cellStyle name="Heading 4 581" xfId="12493" xr:uid="{00000000-0005-0000-0000-000069300000}"/>
    <cellStyle name="Heading 4 582" xfId="12494" xr:uid="{00000000-0005-0000-0000-00006A300000}"/>
    <cellStyle name="Heading 4 583" xfId="12495" xr:uid="{00000000-0005-0000-0000-00006B300000}"/>
    <cellStyle name="Heading 4 584" xfId="12496" xr:uid="{00000000-0005-0000-0000-00006C300000}"/>
    <cellStyle name="Heading 4 585" xfId="12497" xr:uid="{00000000-0005-0000-0000-00006D300000}"/>
    <cellStyle name="Heading 4 586" xfId="12498" xr:uid="{00000000-0005-0000-0000-00006E300000}"/>
    <cellStyle name="Heading 4 587" xfId="12499" xr:uid="{00000000-0005-0000-0000-00006F300000}"/>
    <cellStyle name="Heading 4 588" xfId="12500" xr:uid="{00000000-0005-0000-0000-000070300000}"/>
    <cellStyle name="Heading 4 589" xfId="12501" xr:uid="{00000000-0005-0000-0000-000071300000}"/>
    <cellStyle name="Heading 4 59" xfId="12502" xr:uid="{00000000-0005-0000-0000-000072300000}"/>
    <cellStyle name="Heading 4 590" xfId="12503" xr:uid="{00000000-0005-0000-0000-000073300000}"/>
    <cellStyle name="Heading 4 591" xfId="12504" xr:uid="{00000000-0005-0000-0000-000074300000}"/>
    <cellStyle name="Heading 4 592" xfId="12505" xr:uid="{00000000-0005-0000-0000-000075300000}"/>
    <cellStyle name="Heading 4 593" xfId="12506" xr:uid="{00000000-0005-0000-0000-000076300000}"/>
    <cellStyle name="Heading 4 594" xfId="12507" xr:uid="{00000000-0005-0000-0000-000077300000}"/>
    <cellStyle name="Heading 4 595" xfId="12508" xr:uid="{00000000-0005-0000-0000-000078300000}"/>
    <cellStyle name="Heading 4 596" xfId="12509" xr:uid="{00000000-0005-0000-0000-000079300000}"/>
    <cellStyle name="Heading 4 597" xfId="12510" xr:uid="{00000000-0005-0000-0000-00007A300000}"/>
    <cellStyle name="Heading 4 598" xfId="12511" xr:uid="{00000000-0005-0000-0000-00007B300000}"/>
    <cellStyle name="Heading 4 599" xfId="12512" xr:uid="{00000000-0005-0000-0000-00007C300000}"/>
    <cellStyle name="Heading 4 6" xfId="12513" xr:uid="{00000000-0005-0000-0000-00007D300000}"/>
    <cellStyle name="Heading 4 60" xfId="12514" xr:uid="{00000000-0005-0000-0000-00007E300000}"/>
    <cellStyle name="Heading 4 600" xfId="12515" xr:uid="{00000000-0005-0000-0000-00007F300000}"/>
    <cellStyle name="Heading 4 601" xfId="12516" xr:uid="{00000000-0005-0000-0000-000080300000}"/>
    <cellStyle name="Heading 4 602" xfId="12517" xr:uid="{00000000-0005-0000-0000-000081300000}"/>
    <cellStyle name="Heading 4 603" xfId="12518" xr:uid="{00000000-0005-0000-0000-000082300000}"/>
    <cellStyle name="Heading 4 604" xfId="12519" xr:uid="{00000000-0005-0000-0000-000083300000}"/>
    <cellStyle name="Heading 4 605" xfId="12520" xr:uid="{00000000-0005-0000-0000-000084300000}"/>
    <cellStyle name="Heading 4 606" xfId="12521" xr:uid="{00000000-0005-0000-0000-000085300000}"/>
    <cellStyle name="Heading 4 607" xfId="12522" xr:uid="{00000000-0005-0000-0000-000086300000}"/>
    <cellStyle name="Heading 4 608" xfId="12523" xr:uid="{00000000-0005-0000-0000-000087300000}"/>
    <cellStyle name="Heading 4 609" xfId="12524" xr:uid="{00000000-0005-0000-0000-000088300000}"/>
    <cellStyle name="Heading 4 61" xfId="12525" xr:uid="{00000000-0005-0000-0000-000089300000}"/>
    <cellStyle name="Heading 4 610" xfId="12526" xr:uid="{00000000-0005-0000-0000-00008A300000}"/>
    <cellStyle name="Heading 4 611" xfId="12527" xr:uid="{00000000-0005-0000-0000-00008B300000}"/>
    <cellStyle name="Heading 4 612" xfId="12528" xr:uid="{00000000-0005-0000-0000-00008C300000}"/>
    <cellStyle name="Heading 4 613" xfId="12529" xr:uid="{00000000-0005-0000-0000-00008D300000}"/>
    <cellStyle name="Heading 4 614" xfId="12530" xr:uid="{00000000-0005-0000-0000-00008E300000}"/>
    <cellStyle name="Heading 4 615" xfId="12531" xr:uid="{00000000-0005-0000-0000-00008F300000}"/>
    <cellStyle name="Heading 4 616" xfId="12532" xr:uid="{00000000-0005-0000-0000-000090300000}"/>
    <cellStyle name="Heading 4 617" xfId="12533" xr:uid="{00000000-0005-0000-0000-000091300000}"/>
    <cellStyle name="Heading 4 618" xfId="12534" xr:uid="{00000000-0005-0000-0000-000092300000}"/>
    <cellStyle name="Heading 4 619" xfId="12535" xr:uid="{00000000-0005-0000-0000-000093300000}"/>
    <cellStyle name="Heading 4 62" xfId="12536" xr:uid="{00000000-0005-0000-0000-000094300000}"/>
    <cellStyle name="Heading 4 620" xfId="12537" xr:uid="{00000000-0005-0000-0000-000095300000}"/>
    <cellStyle name="Heading 4 621" xfId="12538" xr:uid="{00000000-0005-0000-0000-000096300000}"/>
    <cellStyle name="Heading 4 622" xfId="12539" xr:uid="{00000000-0005-0000-0000-000097300000}"/>
    <cellStyle name="Heading 4 623" xfId="12540" xr:uid="{00000000-0005-0000-0000-000098300000}"/>
    <cellStyle name="Heading 4 624" xfId="12541" xr:uid="{00000000-0005-0000-0000-000099300000}"/>
    <cellStyle name="Heading 4 625" xfId="12542" xr:uid="{00000000-0005-0000-0000-00009A300000}"/>
    <cellStyle name="Heading 4 626" xfId="12543" xr:uid="{00000000-0005-0000-0000-00009B300000}"/>
    <cellStyle name="Heading 4 627" xfId="12544" xr:uid="{00000000-0005-0000-0000-00009C300000}"/>
    <cellStyle name="Heading 4 628" xfId="12545" xr:uid="{00000000-0005-0000-0000-00009D300000}"/>
    <cellStyle name="Heading 4 629" xfId="12546" xr:uid="{00000000-0005-0000-0000-00009E300000}"/>
    <cellStyle name="Heading 4 63" xfId="12547" xr:uid="{00000000-0005-0000-0000-00009F300000}"/>
    <cellStyle name="Heading 4 630" xfId="12548" xr:uid="{00000000-0005-0000-0000-0000A0300000}"/>
    <cellStyle name="Heading 4 631" xfId="12549" xr:uid="{00000000-0005-0000-0000-0000A1300000}"/>
    <cellStyle name="Heading 4 632" xfId="12550" xr:uid="{00000000-0005-0000-0000-0000A2300000}"/>
    <cellStyle name="Heading 4 633" xfId="12551" xr:uid="{00000000-0005-0000-0000-0000A3300000}"/>
    <cellStyle name="Heading 4 634" xfId="12552" xr:uid="{00000000-0005-0000-0000-0000A4300000}"/>
    <cellStyle name="Heading 4 635" xfId="12553" xr:uid="{00000000-0005-0000-0000-0000A5300000}"/>
    <cellStyle name="Heading 4 636" xfId="12554" xr:uid="{00000000-0005-0000-0000-0000A6300000}"/>
    <cellStyle name="Heading 4 637" xfId="12555" xr:uid="{00000000-0005-0000-0000-0000A7300000}"/>
    <cellStyle name="Heading 4 638" xfId="12556" xr:uid="{00000000-0005-0000-0000-0000A8300000}"/>
    <cellStyle name="Heading 4 639" xfId="12557" xr:uid="{00000000-0005-0000-0000-0000A9300000}"/>
    <cellStyle name="Heading 4 64" xfId="12558" xr:uid="{00000000-0005-0000-0000-0000AA300000}"/>
    <cellStyle name="Heading 4 640" xfId="12559" xr:uid="{00000000-0005-0000-0000-0000AB300000}"/>
    <cellStyle name="Heading 4 641" xfId="12560" xr:uid="{00000000-0005-0000-0000-0000AC300000}"/>
    <cellStyle name="Heading 4 642" xfId="12561" xr:uid="{00000000-0005-0000-0000-0000AD300000}"/>
    <cellStyle name="Heading 4 643" xfId="12562" xr:uid="{00000000-0005-0000-0000-0000AE300000}"/>
    <cellStyle name="Heading 4 644" xfId="12563" xr:uid="{00000000-0005-0000-0000-0000AF300000}"/>
    <cellStyle name="Heading 4 645" xfId="12564" xr:uid="{00000000-0005-0000-0000-0000B0300000}"/>
    <cellStyle name="Heading 4 646" xfId="12565" xr:uid="{00000000-0005-0000-0000-0000B1300000}"/>
    <cellStyle name="Heading 4 647" xfId="12566" xr:uid="{00000000-0005-0000-0000-0000B2300000}"/>
    <cellStyle name="Heading 4 648" xfId="12567" xr:uid="{00000000-0005-0000-0000-0000B3300000}"/>
    <cellStyle name="Heading 4 649" xfId="12568" xr:uid="{00000000-0005-0000-0000-0000B4300000}"/>
    <cellStyle name="Heading 4 65" xfId="12569" xr:uid="{00000000-0005-0000-0000-0000B5300000}"/>
    <cellStyle name="Heading 4 650" xfId="12570" xr:uid="{00000000-0005-0000-0000-0000B6300000}"/>
    <cellStyle name="Heading 4 651" xfId="12571" xr:uid="{00000000-0005-0000-0000-0000B7300000}"/>
    <cellStyle name="Heading 4 652" xfId="12572" xr:uid="{00000000-0005-0000-0000-0000B8300000}"/>
    <cellStyle name="Heading 4 653" xfId="12573" xr:uid="{00000000-0005-0000-0000-0000B9300000}"/>
    <cellStyle name="Heading 4 654" xfId="12574" xr:uid="{00000000-0005-0000-0000-0000BA300000}"/>
    <cellStyle name="Heading 4 655" xfId="12575" xr:uid="{00000000-0005-0000-0000-0000BB300000}"/>
    <cellStyle name="Heading 4 656" xfId="12576" xr:uid="{00000000-0005-0000-0000-0000BC300000}"/>
    <cellStyle name="Heading 4 657" xfId="12577" xr:uid="{00000000-0005-0000-0000-0000BD300000}"/>
    <cellStyle name="Heading 4 658" xfId="12578" xr:uid="{00000000-0005-0000-0000-0000BE300000}"/>
    <cellStyle name="Heading 4 659" xfId="12579" xr:uid="{00000000-0005-0000-0000-0000BF300000}"/>
    <cellStyle name="Heading 4 66" xfId="12580" xr:uid="{00000000-0005-0000-0000-0000C0300000}"/>
    <cellStyle name="Heading 4 660" xfId="12581" xr:uid="{00000000-0005-0000-0000-0000C1300000}"/>
    <cellStyle name="Heading 4 661" xfId="12582" xr:uid="{00000000-0005-0000-0000-0000C2300000}"/>
    <cellStyle name="Heading 4 662" xfId="12583" xr:uid="{00000000-0005-0000-0000-0000C3300000}"/>
    <cellStyle name="Heading 4 663" xfId="12584" xr:uid="{00000000-0005-0000-0000-0000C4300000}"/>
    <cellStyle name="Heading 4 664" xfId="12585" xr:uid="{00000000-0005-0000-0000-0000C5300000}"/>
    <cellStyle name="Heading 4 665" xfId="12586" xr:uid="{00000000-0005-0000-0000-0000C6300000}"/>
    <cellStyle name="Heading 4 666" xfId="12587" xr:uid="{00000000-0005-0000-0000-0000C7300000}"/>
    <cellStyle name="Heading 4 667" xfId="12588" xr:uid="{00000000-0005-0000-0000-0000C8300000}"/>
    <cellStyle name="Heading 4 668" xfId="12589" xr:uid="{00000000-0005-0000-0000-0000C9300000}"/>
    <cellStyle name="Heading 4 669" xfId="12590" xr:uid="{00000000-0005-0000-0000-0000CA300000}"/>
    <cellStyle name="Heading 4 67" xfId="12591" xr:uid="{00000000-0005-0000-0000-0000CB300000}"/>
    <cellStyle name="Heading 4 670" xfId="12592" xr:uid="{00000000-0005-0000-0000-0000CC300000}"/>
    <cellStyle name="Heading 4 671" xfId="12593" xr:uid="{00000000-0005-0000-0000-0000CD300000}"/>
    <cellStyle name="Heading 4 672" xfId="12594" xr:uid="{00000000-0005-0000-0000-0000CE300000}"/>
    <cellStyle name="Heading 4 673" xfId="12595" xr:uid="{00000000-0005-0000-0000-0000CF300000}"/>
    <cellStyle name="Heading 4 674" xfId="12596" xr:uid="{00000000-0005-0000-0000-0000D0300000}"/>
    <cellStyle name="Heading 4 675" xfId="12597" xr:uid="{00000000-0005-0000-0000-0000D1300000}"/>
    <cellStyle name="Heading 4 676" xfId="12598" xr:uid="{00000000-0005-0000-0000-0000D2300000}"/>
    <cellStyle name="Heading 4 677" xfId="12599" xr:uid="{00000000-0005-0000-0000-0000D3300000}"/>
    <cellStyle name="Heading 4 678" xfId="12600" xr:uid="{00000000-0005-0000-0000-0000D4300000}"/>
    <cellStyle name="Heading 4 679" xfId="12601" xr:uid="{00000000-0005-0000-0000-0000D5300000}"/>
    <cellStyle name="Heading 4 68" xfId="12602" xr:uid="{00000000-0005-0000-0000-0000D6300000}"/>
    <cellStyle name="Heading 4 680" xfId="12603" xr:uid="{00000000-0005-0000-0000-0000D7300000}"/>
    <cellStyle name="Heading 4 681" xfId="12604" xr:uid="{00000000-0005-0000-0000-0000D8300000}"/>
    <cellStyle name="Heading 4 682" xfId="12605" xr:uid="{00000000-0005-0000-0000-0000D9300000}"/>
    <cellStyle name="Heading 4 683" xfId="12606" xr:uid="{00000000-0005-0000-0000-0000DA300000}"/>
    <cellStyle name="Heading 4 684" xfId="12607" xr:uid="{00000000-0005-0000-0000-0000DB300000}"/>
    <cellStyle name="Heading 4 685" xfId="12608" xr:uid="{00000000-0005-0000-0000-0000DC300000}"/>
    <cellStyle name="Heading 4 686" xfId="12609" xr:uid="{00000000-0005-0000-0000-0000DD300000}"/>
    <cellStyle name="Heading 4 687" xfId="12610" xr:uid="{00000000-0005-0000-0000-0000DE300000}"/>
    <cellStyle name="Heading 4 688" xfId="12611" xr:uid="{00000000-0005-0000-0000-0000DF300000}"/>
    <cellStyle name="Heading 4 689" xfId="12612" xr:uid="{00000000-0005-0000-0000-0000E0300000}"/>
    <cellStyle name="Heading 4 69" xfId="12613" xr:uid="{00000000-0005-0000-0000-0000E1300000}"/>
    <cellStyle name="Heading 4 690" xfId="12614" xr:uid="{00000000-0005-0000-0000-0000E2300000}"/>
    <cellStyle name="Heading 4 691" xfId="12615" xr:uid="{00000000-0005-0000-0000-0000E3300000}"/>
    <cellStyle name="Heading 4 692" xfId="12616" xr:uid="{00000000-0005-0000-0000-0000E4300000}"/>
    <cellStyle name="Heading 4 693" xfId="12617" xr:uid="{00000000-0005-0000-0000-0000E5300000}"/>
    <cellStyle name="Heading 4 694" xfId="12618" xr:uid="{00000000-0005-0000-0000-0000E6300000}"/>
    <cellStyle name="Heading 4 695" xfId="12619" xr:uid="{00000000-0005-0000-0000-0000E7300000}"/>
    <cellStyle name="Heading 4 696" xfId="12620" xr:uid="{00000000-0005-0000-0000-0000E8300000}"/>
    <cellStyle name="Heading 4 697" xfId="12621" xr:uid="{00000000-0005-0000-0000-0000E9300000}"/>
    <cellStyle name="Heading 4 698" xfId="12622" xr:uid="{00000000-0005-0000-0000-0000EA300000}"/>
    <cellStyle name="Heading 4 699" xfId="12623" xr:uid="{00000000-0005-0000-0000-0000EB300000}"/>
    <cellStyle name="Heading 4 7" xfId="12624" xr:uid="{00000000-0005-0000-0000-0000EC300000}"/>
    <cellStyle name="Heading 4 70" xfId="12625" xr:uid="{00000000-0005-0000-0000-0000ED300000}"/>
    <cellStyle name="Heading 4 700" xfId="12626" xr:uid="{00000000-0005-0000-0000-0000EE300000}"/>
    <cellStyle name="Heading 4 701" xfId="12627" xr:uid="{00000000-0005-0000-0000-0000EF300000}"/>
    <cellStyle name="Heading 4 702" xfId="12628" xr:uid="{00000000-0005-0000-0000-0000F0300000}"/>
    <cellStyle name="Heading 4 703" xfId="12629" xr:uid="{00000000-0005-0000-0000-0000F1300000}"/>
    <cellStyle name="Heading 4 704" xfId="12630" xr:uid="{00000000-0005-0000-0000-0000F2300000}"/>
    <cellStyle name="Heading 4 705" xfId="12631" xr:uid="{00000000-0005-0000-0000-0000F3300000}"/>
    <cellStyle name="Heading 4 706" xfId="12632" xr:uid="{00000000-0005-0000-0000-0000F4300000}"/>
    <cellStyle name="Heading 4 707" xfId="12633" xr:uid="{00000000-0005-0000-0000-0000F5300000}"/>
    <cellStyle name="Heading 4 708" xfId="12634" xr:uid="{00000000-0005-0000-0000-0000F6300000}"/>
    <cellStyle name="Heading 4 709" xfId="12635" xr:uid="{00000000-0005-0000-0000-0000F7300000}"/>
    <cellStyle name="Heading 4 71" xfId="12636" xr:uid="{00000000-0005-0000-0000-0000F8300000}"/>
    <cellStyle name="Heading 4 710" xfId="12637" xr:uid="{00000000-0005-0000-0000-0000F9300000}"/>
    <cellStyle name="Heading 4 711" xfId="12638" xr:uid="{00000000-0005-0000-0000-0000FA300000}"/>
    <cellStyle name="Heading 4 712" xfId="12639" xr:uid="{00000000-0005-0000-0000-0000FB300000}"/>
    <cellStyle name="Heading 4 713" xfId="12640" xr:uid="{00000000-0005-0000-0000-0000FC300000}"/>
    <cellStyle name="Heading 4 714" xfId="12641" xr:uid="{00000000-0005-0000-0000-0000FD300000}"/>
    <cellStyle name="Heading 4 715" xfId="12642" xr:uid="{00000000-0005-0000-0000-0000FE300000}"/>
    <cellStyle name="Heading 4 716" xfId="12643" xr:uid="{00000000-0005-0000-0000-0000FF300000}"/>
    <cellStyle name="Heading 4 717" xfId="12644" xr:uid="{00000000-0005-0000-0000-000000310000}"/>
    <cellStyle name="Heading 4 718" xfId="12645" xr:uid="{00000000-0005-0000-0000-000001310000}"/>
    <cellStyle name="Heading 4 719" xfId="12646" xr:uid="{00000000-0005-0000-0000-000002310000}"/>
    <cellStyle name="Heading 4 72" xfId="12647" xr:uid="{00000000-0005-0000-0000-000003310000}"/>
    <cellStyle name="Heading 4 720" xfId="12648" xr:uid="{00000000-0005-0000-0000-000004310000}"/>
    <cellStyle name="Heading 4 721" xfId="12649" xr:uid="{00000000-0005-0000-0000-000005310000}"/>
    <cellStyle name="Heading 4 722" xfId="12650" xr:uid="{00000000-0005-0000-0000-000006310000}"/>
    <cellStyle name="Heading 4 723" xfId="12651" xr:uid="{00000000-0005-0000-0000-000007310000}"/>
    <cellStyle name="Heading 4 724" xfId="12652" xr:uid="{00000000-0005-0000-0000-000008310000}"/>
    <cellStyle name="Heading 4 725" xfId="12653" xr:uid="{00000000-0005-0000-0000-000009310000}"/>
    <cellStyle name="Heading 4 726" xfId="12654" xr:uid="{00000000-0005-0000-0000-00000A310000}"/>
    <cellStyle name="Heading 4 727" xfId="12655" xr:uid="{00000000-0005-0000-0000-00000B310000}"/>
    <cellStyle name="Heading 4 728" xfId="12656" xr:uid="{00000000-0005-0000-0000-00000C310000}"/>
    <cellStyle name="Heading 4 729" xfId="12657" xr:uid="{00000000-0005-0000-0000-00000D310000}"/>
    <cellStyle name="Heading 4 73" xfId="12658" xr:uid="{00000000-0005-0000-0000-00000E310000}"/>
    <cellStyle name="Heading 4 730" xfId="12659" xr:uid="{00000000-0005-0000-0000-00000F310000}"/>
    <cellStyle name="Heading 4 731" xfId="12660" xr:uid="{00000000-0005-0000-0000-000010310000}"/>
    <cellStyle name="Heading 4 732" xfId="12661" xr:uid="{00000000-0005-0000-0000-000011310000}"/>
    <cellStyle name="Heading 4 733" xfId="12662" xr:uid="{00000000-0005-0000-0000-000012310000}"/>
    <cellStyle name="Heading 4 734" xfId="12663" xr:uid="{00000000-0005-0000-0000-000013310000}"/>
    <cellStyle name="Heading 4 735" xfId="12664" xr:uid="{00000000-0005-0000-0000-000014310000}"/>
    <cellStyle name="Heading 4 736" xfId="12665" xr:uid="{00000000-0005-0000-0000-000015310000}"/>
    <cellStyle name="Heading 4 737" xfId="12666" xr:uid="{00000000-0005-0000-0000-000016310000}"/>
    <cellStyle name="Heading 4 738" xfId="12667" xr:uid="{00000000-0005-0000-0000-000017310000}"/>
    <cellStyle name="Heading 4 739" xfId="12668" xr:uid="{00000000-0005-0000-0000-000018310000}"/>
    <cellStyle name="Heading 4 74" xfId="12669" xr:uid="{00000000-0005-0000-0000-000019310000}"/>
    <cellStyle name="Heading 4 740" xfId="12670" xr:uid="{00000000-0005-0000-0000-00001A310000}"/>
    <cellStyle name="Heading 4 741" xfId="12671" xr:uid="{00000000-0005-0000-0000-00001B310000}"/>
    <cellStyle name="Heading 4 742" xfId="12672" xr:uid="{00000000-0005-0000-0000-00001C310000}"/>
    <cellStyle name="Heading 4 743" xfId="12673" xr:uid="{00000000-0005-0000-0000-00001D310000}"/>
    <cellStyle name="Heading 4 744" xfId="12674" xr:uid="{00000000-0005-0000-0000-00001E310000}"/>
    <cellStyle name="Heading 4 745" xfId="12675" xr:uid="{00000000-0005-0000-0000-00001F310000}"/>
    <cellStyle name="Heading 4 746" xfId="12676" xr:uid="{00000000-0005-0000-0000-000020310000}"/>
    <cellStyle name="Heading 4 747" xfId="12677" xr:uid="{00000000-0005-0000-0000-000021310000}"/>
    <cellStyle name="Heading 4 748" xfId="12678" xr:uid="{00000000-0005-0000-0000-000022310000}"/>
    <cellStyle name="Heading 4 749" xfId="12679" xr:uid="{00000000-0005-0000-0000-000023310000}"/>
    <cellStyle name="Heading 4 75" xfId="12680" xr:uid="{00000000-0005-0000-0000-000024310000}"/>
    <cellStyle name="Heading 4 750" xfId="12681" xr:uid="{00000000-0005-0000-0000-000025310000}"/>
    <cellStyle name="Heading 4 751" xfId="12682" xr:uid="{00000000-0005-0000-0000-000026310000}"/>
    <cellStyle name="Heading 4 752" xfId="12683" xr:uid="{00000000-0005-0000-0000-000027310000}"/>
    <cellStyle name="Heading 4 753" xfId="12684" xr:uid="{00000000-0005-0000-0000-000028310000}"/>
    <cellStyle name="Heading 4 754" xfId="12685" xr:uid="{00000000-0005-0000-0000-000029310000}"/>
    <cellStyle name="Heading 4 755" xfId="12686" xr:uid="{00000000-0005-0000-0000-00002A310000}"/>
    <cellStyle name="Heading 4 756" xfId="12687" xr:uid="{00000000-0005-0000-0000-00002B310000}"/>
    <cellStyle name="Heading 4 757" xfId="12688" xr:uid="{00000000-0005-0000-0000-00002C310000}"/>
    <cellStyle name="Heading 4 758" xfId="12689" xr:uid="{00000000-0005-0000-0000-00002D310000}"/>
    <cellStyle name="Heading 4 759" xfId="12690" xr:uid="{00000000-0005-0000-0000-00002E310000}"/>
    <cellStyle name="Heading 4 76" xfId="12691" xr:uid="{00000000-0005-0000-0000-00002F310000}"/>
    <cellStyle name="Heading 4 760" xfId="12692" xr:uid="{00000000-0005-0000-0000-000030310000}"/>
    <cellStyle name="Heading 4 761" xfId="12693" xr:uid="{00000000-0005-0000-0000-000031310000}"/>
    <cellStyle name="Heading 4 762" xfId="12694" xr:uid="{00000000-0005-0000-0000-000032310000}"/>
    <cellStyle name="Heading 4 763" xfId="12695" xr:uid="{00000000-0005-0000-0000-000033310000}"/>
    <cellStyle name="Heading 4 764" xfId="12696" xr:uid="{00000000-0005-0000-0000-000034310000}"/>
    <cellStyle name="Heading 4 765" xfId="12697" xr:uid="{00000000-0005-0000-0000-000035310000}"/>
    <cellStyle name="Heading 4 766" xfId="12698" xr:uid="{00000000-0005-0000-0000-000036310000}"/>
    <cellStyle name="Heading 4 767" xfId="12699" xr:uid="{00000000-0005-0000-0000-000037310000}"/>
    <cellStyle name="Heading 4 768" xfId="12700" xr:uid="{00000000-0005-0000-0000-000038310000}"/>
    <cellStyle name="Heading 4 769" xfId="12701" xr:uid="{00000000-0005-0000-0000-000039310000}"/>
    <cellStyle name="Heading 4 77" xfId="12702" xr:uid="{00000000-0005-0000-0000-00003A310000}"/>
    <cellStyle name="Heading 4 770" xfId="12703" xr:uid="{00000000-0005-0000-0000-00003B310000}"/>
    <cellStyle name="Heading 4 771" xfId="12704" xr:uid="{00000000-0005-0000-0000-00003C310000}"/>
    <cellStyle name="Heading 4 772" xfId="12705" xr:uid="{00000000-0005-0000-0000-00003D310000}"/>
    <cellStyle name="Heading 4 773" xfId="12706" xr:uid="{00000000-0005-0000-0000-00003E310000}"/>
    <cellStyle name="Heading 4 774" xfId="12707" xr:uid="{00000000-0005-0000-0000-00003F310000}"/>
    <cellStyle name="Heading 4 775" xfId="12708" xr:uid="{00000000-0005-0000-0000-000040310000}"/>
    <cellStyle name="Heading 4 776" xfId="12709" xr:uid="{00000000-0005-0000-0000-000041310000}"/>
    <cellStyle name="Heading 4 777" xfId="12710" xr:uid="{00000000-0005-0000-0000-000042310000}"/>
    <cellStyle name="Heading 4 778" xfId="12711" xr:uid="{00000000-0005-0000-0000-000043310000}"/>
    <cellStyle name="Heading 4 779" xfId="12712" xr:uid="{00000000-0005-0000-0000-000044310000}"/>
    <cellStyle name="Heading 4 78" xfId="12713" xr:uid="{00000000-0005-0000-0000-000045310000}"/>
    <cellStyle name="Heading 4 780" xfId="12714" xr:uid="{00000000-0005-0000-0000-000046310000}"/>
    <cellStyle name="Heading 4 781" xfId="12715" xr:uid="{00000000-0005-0000-0000-000047310000}"/>
    <cellStyle name="Heading 4 782" xfId="12716" xr:uid="{00000000-0005-0000-0000-000048310000}"/>
    <cellStyle name="Heading 4 783" xfId="12717" xr:uid="{00000000-0005-0000-0000-000049310000}"/>
    <cellStyle name="Heading 4 784" xfId="12718" xr:uid="{00000000-0005-0000-0000-00004A310000}"/>
    <cellStyle name="Heading 4 785" xfId="12719" xr:uid="{00000000-0005-0000-0000-00004B310000}"/>
    <cellStyle name="Heading 4 786" xfId="12720" xr:uid="{00000000-0005-0000-0000-00004C310000}"/>
    <cellStyle name="Heading 4 787" xfId="12721" xr:uid="{00000000-0005-0000-0000-00004D310000}"/>
    <cellStyle name="Heading 4 788" xfId="12722" xr:uid="{00000000-0005-0000-0000-00004E310000}"/>
    <cellStyle name="Heading 4 789" xfId="12723" xr:uid="{00000000-0005-0000-0000-00004F310000}"/>
    <cellStyle name="Heading 4 79" xfId="12724" xr:uid="{00000000-0005-0000-0000-000050310000}"/>
    <cellStyle name="Heading 4 790" xfId="12725" xr:uid="{00000000-0005-0000-0000-000051310000}"/>
    <cellStyle name="Heading 4 791" xfId="12726" xr:uid="{00000000-0005-0000-0000-000052310000}"/>
    <cellStyle name="Heading 4 792" xfId="12727" xr:uid="{00000000-0005-0000-0000-000053310000}"/>
    <cellStyle name="Heading 4 793" xfId="12728" xr:uid="{00000000-0005-0000-0000-000054310000}"/>
    <cellStyle name="Heading 4 794" xfId="12729" xr:uid="{00000000-0005-0000-0000-000055310000}"/>
    <cellStyle name="Heading 4 795" xfId="12730" xr:uid="{00000000-0005-0000-0000-000056310000}"/>
    <cellStyle name="Heading 4 796" xfId="12731" xr:uid="{00000000-0005-0000-0000-000057310000}"/>
    <cellStyle name="Heading 4 797" xfId="12732" xr:uid="{00000000-0005-0000-0000-000058310000}"/>
    <cellStyle name="Heading 4 798" xfId="12733" xr:uid="{00000000-0005-0000-0000-000059310000}"/>
    <cellStyle name="Heading 4 799" xfId="12734" xr:uid="{00000000-0005-0000-0000-00005A310000}"/>
    <cellStyle name="Heading 4 8" xfId="12735" xr:uid="{00000000-0005-0000-0000-00005B310000}"/>
    <cellStyle name="Heading 4 80" xfId="12736" xr:uid="{00000000-0005-0000-0000-00005C310000}"/>
    <cellStyle name="Heading 4 800" xfId="12737" xr:uid="{00000000-0005-0000-0000-00005D310000}"/>
    <cellStyle name="Heading 4 801" xfId="12738" xr:uid="{00000000-0005-0000-0000-00005E310000}"/>
    <cellStyle name="Heading 4 802" xfId="12739" xr:uid="{00000000-0005-0000-0000-00005F310000}"/>
    <cellStyle name="Heading 4 803" xfId="12740" xr:uid="{00000000-0005-0000-0000-000060310000}"/>
    <cellStyle name="Heading 4 804" xfId="12741" xr:uid="{00000000-0005-0000-0000-000061310000}"/>
    <cellStyle name="Heading 4 805" xfId="12742" xr:uid="{00000000-0005-0000-0000-000062310000}"/>
    <cellStyle name="Heading 4 806" xfId="12743" xr:uid="{00000000-0005-0000-0000-000063310000}"/>
    <cellStyle name="Heading 4 807" xfId="12744" xr:uid="{00000000-0005-0000-0000-000064310000}"/>
    <cellStyle name="Heading 4 808" xfId="12745" xr:uid="{00000000-0005-0000-0000-000065310000}"/>
    <cellStyle name="Heading 4 809" xfId="12746" xr:uid="{00000000-0005-0000-0000-000066310000}"/>
    <cellStyle name="Heading 4 81" xfId="12747" xr:uid="{00000000-0005-0000-0000-000067310000}"/>
    <cellStyle name="Heading 4 810" xfId="12748" xr:uid="{00000000-0005-0000-0000-000068310000}"/>
    <cellStyle name="Heading 4 811" xfId="12749" xr:uid="{00000000-0005-0000-0000-000069310000}"/>
    <cellStyle name="Heading 4 812" xfId="12750" xr:uid="{00000000-0005-0000-0000-00006A310000}"/>
    <cellStyle name="Heading 4 813" xfId="12751" xr:uid="{00000000-0005-0000-0000-00006B310000}"/>
    <cellStyle name="Heading 4 814" xfId="12752" xr:uid="{00000000-0005-0000-0000-00006C310000}"/>
    <cellStyle name="Heading 4 815" xfId="12753" xr:uid="{00000000-0005-0000-0000-00006D310000}"/>
    <cellStyle name="Heading 4 816" xfId="12754" xr:uid="{00000000-0005-0000-0000-00006E310000}"/>
    <cellStyle name="Heading 4 817" xfId="12755" xr:uid="{00000000-0005-0000-0000-00006F310000}"/>
    <cellStyle name="Heading 4 818" xfId="12756" xr:uid="{00000000-0005-0000-0000-000070310000}"/>
    <cellStyle name="Heading 4 819" xfId="12757" xr:uid="{00000000-0005-0000-0000-000071310000}"/>
    <cellStyle name="Heading 4 82" xfId="12758" xr:uid="{00000000-0005-0000-0000-000072310000}"/>
    <cellStyle name="Heading 4 820" xfId="12759" xr:uid="{00000000-0005-0000-0000-000073310000}"/>
    <cellStyle name="Heading 4 821" xfId="12760" xr:uid="{00000000-0005-0000-0000-000074310000}"/>
    <cellStyle name="Heading 4 822" xfId="12761" xr:uid="{00000000-0005-0000-0000-000075310000}"/>
    <cellStyle name="Heading 4 823" xfId="12762" xr:uid="{00000000-0005-0000-0000-000076310000}"/>
    <cellStyle name="Heading 4 824" xfId="12763" xr:uid="{00000000-0005-0000-0000-000077310000}"/>
    <cellStyle name="Heading 4 825" xfId="12764" xr:uid="{00000000-0005-0000-0000-000078310000}"/>
    <cellStyle name="Heading 4 826" xfId="12765" xr:uid="{00000000-0005-0000-0000-000079310000}"/>
    <cellStyle name="Heading 4 827" xfId="12766" xr:uid="{00000000-0005-0000-0000-00007A310000}"/>
    <cellStyle name="Heading 4 828" xfId="12767" xr:uid="{00000000-0005-0000-0000-00007B310000}"/>
    <cellStyle name="Heading 4 829" xfId="12768" xr:uid="{00000000-0005-0000-0000-00007C310000}"/>
    <cellStyle name="Heading 4 83" xfId="12769" xr:uid="{00000000-0005-0000-0000-00007D310000}"/>
    <cellStyle name="Heading 4 830" xfId="12770" xr:uid="{00000000-0005-0000-0000-00007E310000}"/>
    <cellStyle name="Heading 4 831" xfId="12771" xr:uid="{00000000-0005-0000-0000-00007F310000}"/>
    <cellStyle name="Heading 4 832" xfId="12772" xr:uid="{00000000-0005-0000-0000-000080310000}"/>
    <cellStyle name="Heading 4 833" xfId="12773" xr:uid="{00000000-0005-0000-0000-000081310000}"/>
    <cellStyle name="Heading 4 834" xfId="12774" xr:uid="{00000000-0005-0000-0000-000082310000}"/>
    <cellStyle name="Heading 4 835" xfId="12775" xr:uid="{00000000-0005-0000-0000-000083310000}"/>
    <cellStyle name="Heading 4 836" xfId="12776" xr:uid="{00000000-0005-0000-0000-000084310000}"/>
    <cellStyle name="Heading 4 837" xfId="12777" xr:uid="{00000000-0005-0000-0000-000085310000}"/>
    <cellStyle name="Heading 4 838" xfId="12778" xr:uid="{00000000-0005-0000-0000-000086310000}"/>
    <cellStyle name="Heading 4 839" xfId="12779" xr:uid="{00000000-0005-0000-0000-000087310000}"/>
    <cellStyle name="Heading 4 84" xfId="12780" xr:uid="{00000000-0005-0000-0000-000088310000}"/>
    <cellStyle name="Heading 4 840" xfId="12781" xr:uid="{00000000-0005-0000-0000-000089310000}"/>
    <cellStyle name="Heading 4 841" xfId="12782" xr:uid="{00000000-0005-0000-0000-00008A310000}"/>
    <cellStyle name="Heading 4 842" xfId="12783" xr:uid="{00000000-0005-0000-0000-00008B310000}"/>
    <cellStyle name="Heading 4 843" xfId="12784" xr:uid="{00000000-0005-0000-0000-00008C310000}"/>
    <cellStyle name="Heading 4 844" xfId="12785" xr:uid="{00000000-0005-0000-0000-00008D310000}"/>
    <cellStyle name="Heading 4 845" xfId="12786" xr:uid="{00000000-0005-0000-0000-00008E310000}"/>
    <cellStyle name="Heading 4 846" xfId="12787" xr:uid="{00000000-0005-0000-0000-00008F310000}"/>
    <cellStyle name="Heading 4 847" xfId="12788" xr:uid="{00000000-0005-0000-0000-000090310000}"/>
    <cellStyle name="Heading 4 848" xfId="12789" xr:uid="{00000000-0005-0000-0000-000091310000}"/>
    <cellStyle name="Heading 4 849" xfId="12790" xr:uid="{00000000-0005-0000-0000-000092310000}"/>
    <cellStyle name="Heading 4 85" xfId="12791" xr:uid="{00000000-0005-0000-0000-000093310000}"/>
    <cellStyle name="Heading 4 850" xfId="12792" xr:uid="{00000000-0005-0000-0000-000094310000}"/>
    <cellStyle name="Heading 4 851" xfId="12793" xr:uid="{00000000-0005-0000-0000-000095310000}"/>
    <cellStyle name="Heading 4 852" xfId="12794" xr:uid="{00000000-0005-0000-0000-000096310000}"/>
    <cellStyle name="Heading 4 853" xfId="12795" xr:uid="{00000000-0005-0000-0000-000097310000}"/>
    <cellStyle name="Heading 4 854" xfId="12796" xr:uid="{00000000-0005-0000-0000-000098310000}"/>
    <cellStyle name="Heading 4 855" xfId="12797" xr:uid="{00000000-0005-0000-0000-000099310000}"/>
    <cellStyle name="Heading 4 856" xfId="12798" xr:uid="{00000000-0005-0000-0000-00009A310000}"/>
    <cellStyle name="Heading 4 857" xfId="12799" xr:uid="{00000000-0005-0000-0000-00009B310000}"/>
    <cellStyle name="Heading 4 858" xfId="12800" xr:uid="{00000000-0005-0000-0000-00009C310000}"/>
    <cellStyle name="Heading 4 859" xfId="12801" xr:uid="{00000000-0005-0000-0000-00009D310000}"/>
    <cellStyle name="Heading 4 86" xfId="12802" xr:uid="{00000000-0005-0000-0000-00009E310000}"/>
    <cellStyle name="Heading 4 860" xfId="12803" xr:uid="{00000000-0005-0000-0000-00009F310000}"/>
    <cellStyle name="Heading 4 861" xfId="12804" xr:uid="{00000000-0005-0000-0000-0000A0310000}"/>
    <cellStyle name="Heading 4 862" xfId="12805" xr:uid="{00000000-0005-0000-0000-0000A1310000}"/>
    <cellStyle name="Heading 4 863" xfId="12806" xr:uid="{00000000-0005-0000-0000-0000A2310000}"/>
    <cellStyle name="Heading 4 864" xfId="12807" xr:uid="{00000000-0005-0000-0000-0000A3310000}"/>
    <cellStyle name="Heading 4 865" xfId="12808" xr:uid="{00000000-0005-0000-0000-0000A4310000}"/>
    <cellStyle name="Heading 4 866" xfId="12809" xr:uid="{00000000-0005-0000-0000-0000A5310000}"/>
    <cellStyle name="Heading 4 867" xfId="12810" xr:uid="{00000000-0005-0000-0000-0000A6310000}"/>
    <cellStyle name="Heading 4 868" xfId="12811" xr:uid="{00000000-0005-0000-0000-0000A7310000}"/>
    <cellStyle name="Heading 4 869" xfId="12812" xr:uid="{00000000-0005-0000-0000-0000A8310000}"/>
    <cellStyle name="Heading 4 87" xfId="12813" xr:uid="{00000000-0005-0000-0000-0000A9310000}"/>
    <cellStyle name="Heading 4 870" xfId="12814" xr:uid="{00000000-0005-0000-0000-0000AA310000}"/>
    <cellStyle name="Heading 4 871" xfId="12815" xr:uid="{00000000-0005-0000-0000-0000AB310000}"/>
    <cellStyle name="Heading 4 872" xfId="12816" xr:uid="{00000000-0005-0000-0000-0000AC310000}"/>
    <cellStyle name="Heading 4 873" xfId="12817" xr:uid="{00000000-0005-0000-0000-0000AD310000}"/>
    <cellStyle name="Heading 4 874" xfId="12818" xr:uid="{00000000-0005-0000-0000-0000AE310000}"/>
    <cellStyle name="Heading 4 875" xfId="12819" xr:uid="{00000000-0005-0000-0000-0000AF310000}"/>
    <cellStyle name="Heading 4 876" xfId="12820" xr:uid="{00000000-0005-0000-0000-0000B0310000}"/>
    <cellStyle name="Heading 4 877" xfId="12821" xr:uid="{00000000-0005-0000-0000-0000B1310000}"/>
    <cellStyle name="Heading 4 878" xfId="12822" xr:uid="{00000000-0005-0000-0000-0000B2310000}"/>
    <cellStyle name="Heading 4 879" xfId="12823" xr:uid="{00000000-0005-0000-0000-0000B3310000}"/>
    <cellStyle name="Heading 4 88" xfId="12824" xr:uid="{00000000-0005-0000-0000-0000B4310000}"/>
    <cellStyle name="Heading 4 880" xfId="12825" xr:uid="{00000000-0005-0000-0000-0000B5310000}"/>
    <cellStyle name="Heading 4 881" xfId="12826" xr:uid="{00000000-0005-0000-0000-0000B6310000}"/>
    <cellStyle name="Heading 4 882" xfId="12827" xr:uid="{00000000-0005-0000-0000-0000B7310000}"/>
    <cellStyle name="Heading 4 883" xfId="12828" xr:uid="{00000000-0005-0000-0000-0000B8310000}"/>
    <cellStyle name="Heading 4 884" xfId="12829" xr:uid="{00000000-0005-0000-0000-0000B9310000}"/>
    <cellStyle name="Heading 4 885" xfId="12830" xr:uid="{00000000-0005-0000-0000-0000BA310000}"/>
    <cellStyle name="Heading 4 886" xfId="12831" xr:uid="{00000000-0005-0000-0000-0000BB310000}"/>
    <cellStyle name="Heading 4 887" xfId="12832" xr:uid="{00000000-0005-0000-0000-0000BC310000}"/>
    <cellStyle name="Heading 4 888" xfId="12833" xr:uid="{00000000-0005-0000-0000-0000BD310000}"/>
    <cellStyle name="Heading 4 889" xfId="12834" xr:uid="{00000000-0005-0000-0000-0000BE310000}"/>
    <cellStyle name="Heading 4 89" xfId="12835" xr:uid="{00000000-0005-0000-0000-0000BF310000}"/>
    <cellStyle name="Heading 4 890" xfId="12836" xr:uid="{00000000-0005-0000-0000-0000C0310000}"/>
    <cellStyle name="Heading 4 891" xfId="12837" xr:uid="{00000000-0005-0000-0000-0000C1310000}"/>
    <cellStyle name="Heading 4 892" xfId="12838" xr:uid="{00000000-0005-0000-0000-0000C2310000}"/>
    <cellStyle name="Heading 4 893" xfId="12839" xr:uid="{00000000-0005-0000-0000-0000C3310000}"/>
    <cellStyle name="Heading 4 894" xfId="12840" xr:uid="{00000000-0005-0000-0000-0000C4310000}"/>
    <cellStyle name="Heading 4 895" xfId="12841" xr:uid="{00000000-0005-0000-0000-0000C5310000}"/>
    <cellStyle name="Heading 4 896" xfId="12842" xr:uid="{00000000-0005-0000-0000-0000C6310000}"/>
    <cellStyle name="Heading 4 897" xfId="12843" xr:uid="{00000000-0005-0000-0000-0000C7310000}"/>
    <cellStyle name="Heading 4 898" xfId="12844" xr:uid="{00000000-0005-0000-0000-0000C8310000}"/>
    <cellStyle name="Heading 4 899" xfId="12845" xr:uid="{00000000-0005-0000-0000-0000C9310000}"/>
    <cellStyle name="Heading 4 9" xfId="12846" xr:uid="{00000000-0005-0000-0000-0000CA310000}"/>
    <cellStyle name="Heading 4 90" xfId="12847" xr:uid="{00000000-0005-0000-0000-0000CB310000}"/>
    <cellStyle name="Heading 4 900" xfId="12848" xr:uid="{00000000-0005-0000-0000-0000CC310000}"/>
    <cellStyle name="Heading 4 901" xfId="12849" xr:uid="{00000000-0005-0000-0000-0000CD310000}"/>
    <cellStyle name="Heading 4 902" xfId="12850" xr:uid="{00000000-0005-0000-0000-0000CE310000}"/>
    <cellStyle name="Heading 4 903" xfId="12851" xr:uid="{00000000-0005-0000-0000-0000CF310000}"/>
    <cellStyle name="Heading 4 904" xfId="12852" xr:uid="{00000000-0005-0000-0000-0000D0310000}"/>
    <cellStyle name="Heading 4 905" xfId="12853" xr:uid="{00000000-0005-0000-0000-0000D1310000}"/>
    <cellStyle name="Heading 4 906" xfId="12854" xr:uid="{00000000-0005-0000-0000-0000D2310000}"/>
    <cellStyle name="Heading 4 907" xfId="12855" xr:uid="{00000000-0005-0000-0000-0000D3310000}"/>
    <cellStyle name="Heading 4 908" xfId="12856" xr:uid="{00000000-0005-0000-0000-0000D4310000}"/>
    <cellStyle name="Heading 4 909" xfId="12857" xr:uid="{00000000-0005-0000-0000-0000D5310000}"/>
    <cellStyle name="Heading 4 91" xfId="12858" xr:uid="{00000000-0005-0000-0000-0000D6310000}"/>
    <cellStyle name="Heading 4 910" xfId="12859" xr:uid="{00000000-0005-0000-0000-0000D7310000}"/>
    <cellStyle name="Heading 4 911" xfId="12860" xr:uid="{00000000-0005-0000-0000-0000D8310000}"/>
    <cellStyle name="Heading 4 912" xfId="12861" xr:uid="{00000000-0005-0000-0000-0000D9310000}"/>
    <cellStyle name="Heading 4 913" xfId="12862" xr:uid="{00000000-0005-0000-0000-0000DA310000}"/>
    <cellStyle name="Heading 4 914" xfId="12863" xr:uid="{00000000-0005-0000-0000-0000DB310000}"/>
    <cellStyle name="Heading 4 915" xfId="12864" xr:uid="{00000000-0005-0000-0000-0000DC310000}"/>
    <cellStyle name="Heading 4 916" xfId="12865" xr:uid="{00000000-0005-0000-0000-0000DD310000}"/>
    <cellStyle name="Heading 4 917" xfId="12866" xr:uid="{00000000-0005-0000-0000-0000DE310000}"/>
    <cellStyle name="Heading 4 918" xfId="12867" xr:uid="{00000000-0005-0000-0000-0000DF310000}"/>
    <cellStyle name="Heading 4 919" xfId="12868" xr:uid="{00000000-0005-0000-0000-0000E0310000}"/>
    <cellStyle name="Heading 4 92" xfId="12869" xr:uid="{00000000-0005-0000-0000-0000E1310000}"/>
    <cellStyle name="Heading 4 920" xfId="12870" xr:uid="{00000000-0005-0000-0000-0000E2310000}"/>
    <cellStyle name="Heading 4 921" xfId="12871" xr:uid="{00000000-0005-0000-0000-0000E3310000}"/>
    <cellStyle name="Heading 4 922" xfId="12872" xr:uid="{00000000-0005-0000-0000-0000E4310000}"/>
    <cellStyle name="Heading 4 923" xfId="12873" xr:uid="{00000000-0005-0000-0000-0000E5310000}"/>
    <cellStyle name="Heading 4 924" xfId="12874" xr:uid="{00000000-0005-0000-0000-0000E6310000}"/>
    <cellStyle name="Heading 4 925" xfId="12875" xr:uid="{00000000-0005-0000-0000-0000E7310000}"/>
    <cellStyle name="Heading 4 926" xfId="12876" xr:uid="{00000000-0005-0000-0000-0000E8310000}"/>
    <cellStyle name="Heading 4 927" xfId="12877" xr:uid="{00000000-0005-0000-0000-0000E9310000}"/>
    <cellStyle name="Heading 4 928" xfId="12878" xr:uid="{00000000-0005-0000-0000-0000EA310000}"/>
    <cellStyle name="Heading 4 929" xfId="12879" xr:uid="{00000000-0005-0000-0000-0000EB310000}"/>
    <cellStyle name="Heading 4 93" xfId="12880" xr:uid="{00000000-0005-0000-0000-0000EC310000}"/>
    <cellStyle name="Heading 4 930" xfId="12881" xr:uid="{00000000-0005-0000-0000-0000ED310000}"/>
    <cellStyle name="Heading 4 931" xfId="12882" xr:uid="{00000000-0005-0000-0000-0000EE310000}"/>
    <cellStyle name="Heading 4 932" xfId="12883" xr:uid="{00000000-0005-0000-0000-0000EF310000}"/>
    <cellStyle name="Heading 4 933" xfId="12884" xr:uid="{00000000-0005-0000-0000-0000F0310000}"/>
    <cellStyle name="Heading 4 934" xfId="12885" xr:uid="{00000000-0005-0000-0000-0000F1310000}"/>
    <cellStyle name="Heading 4 935" xfId="12886" xr:uid="{00000000-0005-0000-0000-0000F2310000}"/>
    <cellStyle name="Heading 4 936" xfId="12887" xr:uid="{00000000-0005-0000-0000-0000F3310000}"/>
    <cellStyle name="Heading 4 937" xfId="12888" xr:uid="{00000000-0005-0000-0000-0000F4310000}"/>
    <cellStyle name="Heading 4 938" xfId="12889" xr:uid="{00000000-0005-0000-0000-0000F5310000}"/>
    <cellStyle name="Heading 4 939" xfId="12890" xr:uid="{00000000-0005-0000-0000-0000F6310000}"/>
    <cellStyle name="Heading 4 94" xfId="12891" xr:uid="{00000000-0005-0000-0000-0000F7310000}"/>
    <cellStyle name="Heading 4 940" xfId="12892" xr:uid="{00000000-0005-0000-0000-0000F8310000}"/>
    <cellStyle name="Heading 4 941" xfId="12893" xr:uid="{00000000-0005-0000-0000-0000F9310000}"/>
    <cellStyle name="Heading 4 942" xfId="12894" xr:uid="{00000000-0005-0000-0000-0000FA310000}"/>
    <cellStyle name="Heading 4 943" xfId="12895" xr:uid="{00000000-0005-0000-0000-0000FB310000}"/>
    <cellStyle name="Heading 4 944" xfId="12896" xr:uid="{00000000-0005-0000-0000-0000FC310000}"/>
    <cellStyle name="Heading 4 945" xfId="12897" xr:uid="{00000000-0005-0000-0000-0000FD310000}"/>
    <cellStyle name="Heading 4 946" xfId="12898" xr:uid="{00000000-0005-0000-0000-0000FE310000}"/>
    <cellStyle name="Heading 4 947" xfId="12899" xr:uid="{00000000-0005-0000-0000-0000FF310000}"/>
    <cellStyle name="Heading 4 948" xfId="12900" xr:uid="{00000000-0005-0000-0000-000000320000}"/>
    <cellStyle name="Heading 4 949" xfId="12901" xr:uid="{00000000-0005-0000-0000-000001320000}"/>
    <cellStyle name="Heading 4 95" xfId="12902" xr:uid="{00000000-0005-0000-0000-000002320000}"/>
    <cellStyle name="Heading 4 950" xfId="12903" xr:uid="{00000000-0005-0000-0000-000003320000}"/>
    <cellStyle name="Heading 4 951" xfId="12904" xr:uid="{00000000-0005-0000-0000-000004320000}"/>
    <cellStyle name="Heading 4 952" xfId="12905" xr:uid="{00000000-0005-0000-0000-000005320000}"/>
    <cellStyle name="Heading 4 953" xfId="12906" xr:uid="{00000000-0005-0000-0000-000006320000}"/>
    <cellStyle name="Heading 4 954" xfId="12907" xr:uid="{00000000-0005-0000-0000-000007320000}"/>
    <cellStyle name="Heading 4 955" xfId="12908" xr:uid="{00000000-0005-0000-0000-000008320000}"/>
    <cellStyle name="Heading 4 956" xfId="12909" xr:uid="{00000000-0005-0000-0000-000009320000}"/>
    <cellStyle name="Heading 4 957" xfId="12910" xr:uid="{00000000-0005-0000-0000-00000A320000}"/>
    <cellStyle name="Heading 4 958" xfId="12911" xr:uid="{00000000-0005-0000-0000-00000B320000}"/>
    <cellStyle name="Heading 4 959" xfId="12912" xr:uid="{00000000-0005-0000-0000-00000C320000}"/>
    <cellStyle name="Heading 4 96" xfId="12913" xr:uid="{00000000-0005-0000-0000-00000D320000}"/>
    <cellStyle name="Heading 4 960" xfId="12914" xr:uid="{00000000-0005-0000-0000-00000E320000}"/>
    <cellStyle name="Heading 4 961" xfId="12915" xr:uid="{00000000-0005-0000-0000-00000F320000}"/>
    <cellStyle name="Heading 4 962" xfId="12916" xr:uid="{00000000-0005-0000-0000-000010320000}"/>
    <cellStyle name="Heading 4 963" xfId="12917" xr:uid="{00000000-0005-0000-0000-000011320000}"/>
    <cellStyle name="Heading 4 964" xfId="12918" xr:uid="{00000000-0005-0000-0000-000012320000}"/>
    <cellStyle name="Heading 4 965" xfId="12919" xr:uid="{00000000-0005-0000-0000-000013320000}"/>
    <cellStyle name="Heading 4 966" xfId="12920" xr:uid="{00000000-0005-0000-0000-000014320000}"/>
    <cellStyle name="Heading 4 967" xfId="12921" xr:uid="{00000000-0005-0000-0000-000015320000}"/>
    <cellStyle name="Heading 4 968" xfId="12922" xr:uid="{00000000-0005-0000-0000-000016320000}"/>
    <cellStyle name="Heading 4 969" xfId="12923" xr:uid="{00000000-0005-0000-0000-000017320000}"/>
    <cellStyle name="Heading 4 97" xfId="12924" xr:uid="{00000000-0005-0000-0000-000018320000}"/>
    <cellStyle name="Heading 4 970" xfId="12925" xr:uid="{00000000-0005-0000-0000-000019320000}"/>
    <cellStyle name="Heading 4 971" xfId="12926" xr:uid="{00000000-0005-0000-0000-00001A320000}"/>
    <cellStyle name="Heading 4 972" xfId="12927" xr:uid="{00000000-0005-0000-0000-00001B320000}"/>
    <cellStyle name="Heading 4 973" xfId="12928" xr:uid="{00000000-0005-0000-0000-00001C320000}"/>
    <cellStyle name="Heading 4 974" xfId="12929" xr:uid="{00000000-0005-0000-0000-00001D320000}"/>
    <cellStyle name="Heading 4 975" xfId="12930" xr:uid="{00000000-0005-0000-0000-00001E320000}"/>
    <cellStyle name="Heading 4 976" xfId="12931" xr:uid="{00000000-0005-0000-0000-00001F320000}"/>
    <cellStyle name="Heading 4 977" xfId="12932" xr:uid="{00000000-0005-0000-0000-000020320000}"/>
    <cellStyle name="Heading 4 978" xfId="12933" xr:uid="{00000000-0005-0000-0000-000021320000}"/>
    <cellStyle name="Heading 4 979" xfId="12934" xr:uid="{00000000-0005-0000-0000-000022320000}"/>
    <cellStyle name="Heading 4 98" xfId="12935" xr:uid="{00000000-0005-0000-0000-000023320000}"/>
    <cellStyle name="Heading 4 980" xfId="12936" xr:uid="{00000000-0005-0000-0000-000024320000}"/>
    <cellStyle name="Heading 4 981" xfId="12937" xr:uid="{00000000-0005-0000-0000-000025320000}"/>
    <cellStyle name="Heading 4 982" xfId="12938" xr:uid="{00000000-0005-0000-0000-000026320000}"/>
    <cellStyle name="Heading 4 983" xfId="12939" xr:uid="{00000000-0005-0000-0000-000027320000}"/>
    <cellStyle name="Heading 4 984" xfId="12940" xr:uid="{00000000-0005-0000-0000-000028320000}"/>
    <cellStyle name="Heading 4 985" xfId="12941" xr:uid="{00000000-0005-0000-0000-000029320000}"/>
    <cellStyle name="Heading 4 986" xfId="12942" xr:uid="{00000000-0005-0000-0000-00002A320000}"/>
    <cellStyle name="Heading 4 987" xfId="12943" xr:uid="{00000000-0005-0000-0000-00002B320000}"/>
    <cellStyle name="Heading 4 988" xfId="12944" xr:uid="{00000000-0005-0000-0000-00002C320000}"/>
    <cellStyle name="Heading 4 989" xfId="12945" xr:uid="{00000000-0005-0000-0000-00002D320000}"/>
    <cellStyle name="Heading 4 99" xfId="12946" xr:uid="{00000000-0005-0000-0000-00002E320000}"/>
    <cellStyle name="Heading 4 990" xfId="12947" xr:uid="{00000000-0005-0000-0000-00002F320000}"/>
    <cellStyle name="Heading 4 991" xfId="12948" xr:uid="{00000000-0005-0000-0000-000030320000}"/>
    <cellStyle name="Heading 4 992" xfId="12949" xr:uid="{00000000-0005-0000-0000-000031320000}"/>
    <cellStyle name="Heading 4 993" xfId="12950" xr:uid="{00000000-0005-0000-0000-000032320000}"/>
    <cellStyle name="Heading 4 994" xfId="12951" xr:uid="{00000000-0005-0000-0000-000033320000}"/>
    <cellStyle name="Heading 4 995" xfId="12952" xr:uid="{00000000-0005-0000-0000-000034320000}"/>
    <cellStyle name="Heading 4 996" xfId="12953" xr:uid="{00000000-0005-0000-0000-000035320000}"/>
    <cellStyle name="Heading 4 997" xfId="12954" xr:uid="{00000000-0005-0000-0000-000036320000}"/>
    <cellStyle name="Heading 4 998" xfId="12955" xr:uid="{00000000-0005-0000-0000-000037320000}"/>
    <cellStyle name="Heading 4 999" xfId="12956" xr:uid="{00000000-0005-0000-0000-000038320000}"/>
    <cellStyle name="Heading 4_Concept Analyse verschillen TS  LTGA en QIS5 v1" xfId="12957" xr:uid="{00000000-0005-0000-0000-000039320000}"/>
    <cellStyle name="Hiperłącze 2" xfId="12958" xr:uid="{00000000-0005-0000-0000-00003A320000}"/>
    <cellStyle name="Hipervínculo 2" xfId="12959" xr:uid="{00000000-0005-0000-0000-00003B320000}"/>
    <cellStyle name="Hipervínculo 3" xfId="12960" xr:uid="{00000000-0005-0000-0000-00003C320000}"/>
    <cellStyle name="Hivatkozott cella" xfId="12961" xr:uid="{00000000-0005-0000-0000-00003D320000}"/>
    <cellStyle name="Hivatkozott cella 2" xfId="12962" xr:uid="{00000000-0005-0000-0000-00003E320000}"/>
    <cellStyle name="Hivatkozott cella 3" xfId="12963" xr:uid="{00000000-0005-0000-0000-00003F320000}"/>
    <cellStyle name="Hivatkozott cella 4" xfId="12964" xr:uid="{00000000-0005-0000-0000-000040320000}"/>
    <cellStyle name="Huomautus" xfId="106" xr:uid="{00000000-0005-0000-0000-000041320000}"/>
    <cellStyle name="Huomautus 10" xfId="12965" xr:uid="{00000000-0005-0000-0000-000042320000}"/>
    <cellStyle name="Huomautus 11" xfId="12966" xr:uid="{00000000-0005-0000-0000-000043320000}"/>
    <cellStyle name="Huomautus 2" xfId="12967" xr:uid="{00000000-0005-0000-0000-000044320000}"/>
    <cellStyle name="Huomautus 2 2" xfId="12968" xr:uid="{00000000-0005-0000-0000-000045320000}"/>
    <cellStyle name="Huomautus 2 3" xfId="12969" xr:uid="{00000000-0005-0000-0000-000046320000}"/>
    <cellStyle name="Huomautus 3" xfId="12970" xr:uid="{00000000-0005-0000-0000-000047320000}"/>
    <cellStyle name="Huomautus 3 2" xfId="12971" xr:uid="{00000000-0005-0000-0000-000048320000}"/>
    <cellStyle name="Huomautus 4" xfId="12972" xr:uid="{00000000-0005-0000-0000-000049320000}"/>
    <cellStyle name="Huomautus 4 2" xfId="12973" xr:uid="{00000000-0005-0000-0000-00004A320000}"/>
    <cellStyle name="Huomautus 5" xfId="12974" xr:uid="{00000000-0005-0000-0000-00004B320000}"/>
    <cellStyle name="Huomautus 5 2" xfId="12975" xr:uid="{00000000-0005-0000-0000-00004C320000}"/>
    <cellStyle name="Huomautus 6" xfId="12976" xr:uid="{00000000-0005-0000-0000-00004D320000}"/>
    <cellStyle name="Huomautus 6 2" xfId="12977" xr:uid="{00000000-0005-0000-0000-00004E320000}"/>
    <cellStyle name="Huomautus 7" xfId="12978" xr:uid="{00000000-0005-0000-0000-00004F320000}"/>
    <cellStyle name="Huomautus 7 2" xfId="12979" xr:uid="{00000000-0005-0000-0000-000050320000}"/>
    <cellStyle name="Huomautus 8" xfId="12980" xr:uid="{00000000-0005-0000-0000-000051320000}"/>
    <cellStyle name="Huomautus 8 2" xfId="12981" xr:uid="{00000000-0005-0000-0000-000052320000}"/>
    <cellStyle name="Huomautus 9" xfId="12982" xr:uid="{00000000-0005-0000-0000-000053320000}"/>
    <cellStyle name="Huomautus 9 2" xfId="12983" xr:uid="{00000000-0005-0000-0000-000054320000}"/>
    <cellStyle name="Huomautus_Map2" xfId="12984" xr:uid="{00000000-0005-0000-0000-000055320000}"/>
    <cellStyle name="Huono" xfId="107" xr:uid="{00000000-0005-0000-0000-000056320000}"/>
    <cellStyle name="Huono 2" xfId="12985" xr:uid="{00000000-0005-0000-0000-000057320000}"/>
    <cellStyle name="Huono 2 2" xfId="12986" xr:uid="{00000000-0005-0000-0000-000058320000}"/>
    <cellStyle name="Huono 3" xfId="12987" xr:uid="{00000000-0005-0000-0000-000059320000}"/>
    <cellStyle name="Huono 4" xfId="12988" xr:uid="{00000000-0005-0000-0000-00005A320000}"/>
    <cellStyle name="Huono 5" xfId="12989" xr:uid="{00000000-0005-0000-0000-00005B320000}"/>
    <cellStyle name="Huono_MCEV_activiteiten 2012Q4 gedeeld op 11-1-2012" xfId="12990" xr:uid="{00000000-0005-0000-0000-00005C320000}"/>
    <cellStyle name="Hyperlink" xfId="108" builtinId="8"/>
    <cellStyle name="Hyperlink 2" xfId="12991" xr:uid="{00000000-0005-0000-0000-00005E320000}"/>
    <cellStyle name="Hyvä" xfId="109" xr:uid="{00000000-0005-0000-0000-00005F320000}"/>
    <cellStyle name="Hyvä 2" xfId="12992" xr:uid="{00000000-0005-0000-0000-000060320000}"/>
    <cellStyle name="Hyvä 2 2" xfId="12993" xr:uid="{00000000-0005-0000-0000-000061320000}"/>
    <cellStyle name="Hyvä 3" xfId="12994" xr:uid="{00000000-0005-0000-0000-000062320000}"/>
    <cellStyle name="Hyvä 4" xfId="12995" xr:uid="{00000000-0005-0000-0000-000063320000}"/>
    <cellStyle name="Hyvä 5" xfId="12996" xr:uid="{00000000-0005-0000-0000-000064320000}"/>
    <cellStyle name="Hyvä_MCEV_activiteiten 2012Q4 gedeeld op 11-1-2012" xfId="12997" xr:uid="{00000000-0005-0000-0000-000065320000}"/>
    <cellStyle name="Incorrecto" xfId="12998" xr:uid="{00000000-0005-0000-0000-000066320000}"/>
    <cellStyle name="Incorrecto 2" xfId="12999" xr:uid="{00000000-0005-0000-0000-000067320000}"/>
    <cellStyle name="Incorrecto 3" xfId="13000" xr:uid="{00000000-0005-0000-0000-000068320000}"/>
    <cellStyle name="Incorrecto 4" xfId="13001" xr:uid="{00000000-0005-0000-0000-000069320000}"/>
    <cellStyle name="Incorrecto 5" xfId="13002" xr:uid="{00000000-0005-0000-0000-00006A320000}"/>
    <cellStyle name="Incorrecto 6" xfId="13003" xr:uid="{00000000-0005-0000-0000-00006B320000}"/>
    <cellStyle name="Input" xfId="111" xr:uid="{00000000-0005-0000-0000-00006C320000}"/>
    <cellStyle name="Input 10" xfId="13004" xr:uid="{00000000-0005-0000-0000-00006D320000}"/>
    <cellStyle name="Input 100" xfId="13005" xr:uid="{00000000-0005-0000-0000-00006E320000}"/>
    <cellStyle name="Input 1000" xfId="13006" xr:uid="{00000000-0005-0000-0000-00006F320000}"/>
    <cellStyle name="Input 1001" xfId="13007" xr:uid="{00000000-0005-0000-0000-000070320000}"/>
    <cellStyle name="Input 1002" xfId="13008" xr:uid="{00000000-0005-0000-0000-000071320000}"/>
    <cellStyle name="Input 1003" xfId="13009" xr:uid="{00000000-0005-0000-0000-000072320000}"/>
    <cellStyle name="Input 1004" xfId="13010" xr:uid="{00000000-0005-0000-0000-000073320000}"/>
    <cellStyle name="Input 1005" xfId="13011" xr:uid="{00000000-0005-0000-0000-000074320000}"/>
    <cellStyle name="Input 1006" xfId="13012" xr:uid="{00000000-0005-0000-0000-000075320000}"/>
    <cellStyle name="Input 1007" xfId="13013" xr:uid="{00000000-0005-0000-0000-000076320000}"/>
    <cellStyle name="Input 1008" xfId="13014" xr:uid="{00000000-0005-0000-0000-000077320000}"/>
    <cellStyle name="Input 1009" xfId="13015" xr:uid="{00000000-0005-0000-0000-000078320000}"/>
    <cellStyle name="Input 101" xfId="13016" xr:uid="{00000000-0005-0000-0000-000079320000}"/>
    <cellStyle name="Input 1010" xfId="13017" xr:uid="{00000000-0005-0000-0000-00007A320000}"/>
    <cellStyle name="Input 1011" xfId="13018" xr:uid="{00000000-0005-0000-0000-00007B320000}"/>
    <cellStyle name="Input 1012" xfId="13019" xr:uid="{00000000-0005-0000-0000-00007C320000}"/>
    <cellStyle name="Input 1013" xfId="13020" xr:uid="{00000000-0005-0000-0000-00007D320000}"/>
    <cellStyle name="Input 1014" xfId="13021" xr:uid="{00000000-0005-0000-0000-00007E320000}"/>
    <cellStyle name="Input 1015" xfId="13022" xr:uid="{00000000-0005-0000-0000-00007F320000}"/>
    <cellStyle name="Input 1016" xfId="13023" xr:uid="{00000000-0005-0000-0000-000080320000}"/>
    <cellStyle name="Input 1017" xfId="13024" xr:uid="{00000000-0005-0000-0000-000081320000}"/>
    <cellStyle name="Input 1018" xfId="13025" xr:uid="{00000000-0005-0000-0000-000082320000}"/>
    <cellStyle name="Input 1019" xfId="13026" xr:uid="{00000000-0005-0000-0000-000083320000}"/>
    <cellStyle name="Input 102" xfId="13027" xr:uid="{00000000-0005-0000-0000-000084320000}"/>
    <cellStyle name="Input 1020" xfId="13028" xr:uid="{00000000-0005-0000-0000-000085320000}"/>
    <cellStyle name="Input 1021" xfId="13029" xr:uid="{00000000-0005-0000-0000-000086320000}"/>
    <cellStyle name="Input 1022" xfId="13030" xr:uid="{00000000-0005-0000-0000-000087320000}"/>
    <cellStyle name="Input 1023" xfId="13031" xr:uid="{00000000-0005-0000-0000-000088320000}"/>
    <cellStyle name="Input 1024" xfId="13032" xr:uid="{00000000-0005-0000-0000-000089320000}"/>
    <cellStyle name="Input 1025" xfId="13033" xr:uid="{00000000-0005-0000-0000-00008A320000}"/>
    <cellStyle name="Input 1026" xfId="13034" xr:uid="{00000000-0005-0000-0000-00008B320000}"/>
    <cellStyle name="Input 1027" xfId="13035" xr:uid="{00000000-0005-0000-0000-00008C320000}"/>
    <cellStyle name="Input 1028" xfId="13036" xr:uid="{00000000-0005-0000-0000-00008D320000}"/>
    <cellStyle name="Input 1029" xfId="13037" xr:uid="{00000000-0005-0000-0000-00008E320000}"/>
    <cellStyle name="Input 103" xfId="13038" xr:uid="{00000000-0005-0000-0000-00008F320000}"/>
    <cellStyle name="Input 1030" xfId="13039" xr:uid="{00000000-0005-0000-0000-000090320000}"/>
    <cellStyle name="Input 1031" xfId="13040" xr:uid="{00000000-0005-0000-0000-000091320000}"/>
    <cellStyle name="Input 1032" xfId="13041" xr:uid="{00000000-0005-0000-0000-000092320000}"/>
    <cellStyle name="Input 1033" xfId="13042" xr:uid="{00000000-0005-0000-0000-000093320000}"/>
    <cellStyle name="Input 1034" xfId="13043" xr:uid="{00000000-0005-0000-0000-000094320000}"/>
    <cellStyle name="Input 1035" xfId="13044" xr:uid="{00000000-0005-0000-0000-000095320000}"/>
    <cellStyle name="Input 1036" xfId="13045" xr:uid="{00000000-0005-0000-0000-000096320000}"/>
    <cellStyle name="Input 1037" xfId="13046" xr:uid="{00000000-0005-0000-0000-000097320000}"/>
    <cellStyle name="Input 1038" xfId="13047" xr:uid="{00000000-0005-0000-0000-000098320000}"/>
    <cellStyle name="Input 1039" xfId="13048" xr:uid="{00000000-0005-0000-0000-000099320000}"/>
    <cellStyle name="Input 104" xfId="13049" xr:uid="{00000000-0005-0000-0000-00009A320000}"/>
    <cellStyle name="Input 1040" xfId="13050" xr:uid="{00000000-0005-0000-0000-00009B320000}"/>
    <cellStyle name="Input 1041" xfId="13051" xr:uid="{00000000-0005-0000-0000-00009C320000}"/>
    <cellStyle name="Input 1042" xfId="13052" xr:uid="{00000000-0005-0000-0000-00009D320000}"/>
    <cellStyle name="Input 1043" xfId="13053" xr:uid="{00000000-0005-0000-0000-00009E320000}"/>
    <cellStyle name="Input 1044" xfId="13054" xr:uid="{00000000-0005-0000-0000-00009F320000}"/>
    <cellStyle name="Input 1045" xfId="13055" xr:uid="{00000000-0005-0000-0000-0000A0320000}"/>
    <cellStyle name="Input 1046" xfId="13056" xr:uid="{00000000-0005-0000-0000-0000A1320000}"/>
    <cellStyle name="Input 1047" xfId="13057" xr:uid="{00000000-0005-0000-0000-0000A2320000}"/>
    <cellStyle name="Input 1048" xfId="13058" xr:uid="{00000000-0005-0000-0000-0000A3320000}"/>
    <cellStyle name="Input 1049" xfId="13059" xr:uid="{00000000-0005-0000-0000-0000A4320000}"/>
    <cellStyle name="Input 105" xfId="13060" xr:uid="{00000000-0005-0000-0000-0000A5320000}"/>
    <cellStyle name="Input 1050" xfId="13061" xr:uid="{00000000-0005-0000-0000-0000A6320000}"/>
    <cellStyle name="Input 1051" xfId="13062" xr:uid="{00000000-0005-0000-0000-0000A7320000}"/>
    <cellStyle name="Input 1052" xfId="13063" xr:uid="{00000000-0005-0000-0000-0000A8320000}"/>
    <cellStyle name="Input 1053" xfId="13064" xr:uid="{00000000-0005-0000-0000-0000A9320000}"/>
    <cellStyle name="Input 1054" xfId="13065" xr:uid="{00000000-0005-0000-0000-0000AA320000}"/>
    <cellStyle name="Input 1055" xfId="13066" xr:uid="{00000000-0005-0000-0000-0000AB320000}"/>
    <cellStyle name="Input 1056" xfId="13067" xr:uid="{00000000-0005-0000-0000-0000AC320000}"/>
    <cellStyle name="Input 1057" xfId="13068" xr:uid="{00000000-0005-0000-0000-0000AD320000}"/>
    <cellStyle name="Input 1058" xfId="13069" xr:uid="{00000000-0005-0000-0000-0000AE320000}"/>
    <cellStyle name="Input 1059" xfId="13070" xr:uid="{00000000-0005-0000-0000-0000AF320000}"/>
    <cellStyle name="Input 106" xfId="13071" xr:uid="{00000000-0005-0000-0000-0000B0320000}"/>
    <cellStyle name="Input 1060" xfId="13072" xr:uid="{00000000-0005-0000-0000-0000B1320000}"/>
    <cellStyle name="Input 1061" xfId="13073" xr:uid="{00000000-0005-0000-0000-0000B2320000}"/>
    <cellStyle name="Input 1062" xfId="13074" xr:uid="{00000000-0005-0000-0000-0000B3320000}"/>
    <cellStyle name="Input 1063" xfId="13075" xr:uid="{00000000-0005-0000-0000-0000B4320000}"/>
    <cellStyle name="Input 1064" xfId="13076" xr:uid="{00000000-0005-0000-0000-0000B5320000}"/>
    <cellStyle name="Input 1065" xfId="13077" xr:uid="{00000000-0005-0000-0000-0000B6320000}"/>
    <cellStyle name="Input 1066" xfId="13078" xr:uid="{00000000-0005-0000-0000-0000B7320000}"/>
    <cellStyle name="Input 1067" xfId="13079" xr:uid="{00000000-0005-0000-0000-0000B8320000}"/>
    <cellStyle name="Input 1068" xfId="13080" xr:uid="{00000000-0005-0000-0000-0000B9320000}"/>
    <cellStyle name="Input 1069" xfId="13081" xr:uid="{00000000-0005-0000-0000-0000BA320000}"/>
    <cellStyle name="Input 107" xfId="13082" xr:uid="{00000000-0005-0000-0000-0000BB320000}"/>
    <cellStyle name="Input 1070" xfId="13083" xr:uid="{00000000-0005-0000-0000-0000BC320000}"/>
    <cellStyle name="Input 1071" xfId="13084" xr:uid="{00000000-0005-0000-0000-0000BD320000}"/>
    <cellStyle name="Input 1072" xfId="13085" xr:uid="{00000000-0005-0000-0000-0000BE320000}"/>
    <cellStyle name="Input 1073" xfId="13086" xr:uid="{00000000-0005-0000-0000-0000BF320000}"/>
    <cellStyle name="Input 1074" xfId="13087" xr:uid="{00000000-0005-0000-0000-0000C0320000}"/>
    <cellStyle name="Input 1075" xfId="13088" xr:uid="{00000000-0005-0000-0000-0000C1320000}"/>
    <cellStyle name="Input 1076" xfId="13089" xr:uid="{00000000-0005-0000-0000-0000C2320000}"/>
    <cellStyle name="Input 1077" xfId="13090" xr:uid="{00000000-0005-0000-0000-0000C3320000}"/>
    <cellStyle name="Input 1078" xfId="13091" xr:uid="{00000000-0005-0000-0000-0000C4320000}"/>
    <cellStyle name="Input 1079" xfId="13092" xr:uid="{00000000-0005-0000-0000-0000C5320000}"/>
    <cellStyle name="Input 108" xfId="13093" xr:uid="{00000000-0005-0000-0000-0000C6320000}"/>
    <cellStyle name="Input 1080" xfId="13094" xr:uid="{00000000-0005-0000-0000-0000C7320000}"/>
    <cellStyle name="Input 1081" xfId="13095" xr:uid="{00000000-0005-0000-0000-0000C8320000}"/>
    <cellStyle name="Input 1082" xfId="13096" xr:uid="{00000000-0005-0000-0000-0000C9320000}"/>
    <cellStyle name="Input 1083" xfId="13097" xr:uid="{00000000-0005-0000-0000-0000CA320000}"/>
    <cellStyle name="Input 1084" xfId="13098" xr:uid="{00000000-0005-0000-0000-0000CB320000}"/>
    <cellStyle name="Input 1085" xfId="13099" xr:uid="{00000000-0005-0000-0000-0000CC320000}"/>
    <cellStyle name="Input 1086" xfId="13100" xr:uid="{00000000-0005-0000-0000-0000CD320000}"/>
    <cellStyle name="Input 1087" xfId="13101" xr:uid="{00000000-0005-0000-0000-0000CE320000}"/>
    <cellStyle name="Input 1088" xfId="13102" xr:uid="{00000000-0005-0000-0000-0000CF320000}"/>
    <cellStyle name="Input 1089" xfId="13103" xr:uid="{00000000-0005-0000-0000-0000D0320000}"/>
    <cellStyle name="Input 109" xfId="13104" xr:uid="{00000000-0005-0000-0000-0000D1320000}"/>
    <cellStyle name="Input 1090" xfId="13105" xr:uid="{00000000-0005-0000-0000-0000D2320000}"/>
    <cellStyle name="Input 1091" xfId="13106" xr:uid="{00000000-0005-0000-0000-0000D3320000}"/>
    <cellStyle name="Input 1092" xfId="13107" xr:uid="{00000000-0005-0000-0000-0000D4320000}"/>
    <cellStyle name="Input 1093" xfId="13108" xr:uid="{00000000-0005-0000-0000-0000D5320000}"/>
    <cellStyle name="Input 1094" xfId="13109" xr:uid="{00000000-0005-0000-0000-0000D6320000}"/>
    <cellStyle name="Input 1095" xfId="13110" xr:uid="{00000000-0005-0000-0000-0000D7320000}"/>
    <cellStyle name="Input 1096" xfId="13111" xr:uid="{00000000-0005-0000-0000-0000D8320000}"/>
    <cellStyle name="Input 1097" xfId="13112" xr:uid="{00000000-0005-0000-0000-0000D9320000}"/>
    <cellStyle name="Input 1098" xfId="13113" xr:uid="{00000000-0005-0000-0000-0000DA320000}"/>
    <cellStyle name="Input 1099" xfId="13114" xr:uid="{00000000-0005-0000-0000-0000DB320000}"/>
    <cellStyle name="Input 11" xfId="13115" xr:uid="{00000000-0005-0000-0000-0000DC320000}"/>
    <cellStyle name="Input 110" xfId="13116" xr:uid="{00000000-0005-0000-0000-0000DD320000}"/>
    <cellStyle name="Input 1100" xfId="13117" xr:uid="{00000000-0005-0000-0000-0000DE320000}"/>
    <cellStyle name="Input 1101" xfId="13118" xr:uid="{00000000-0005-0000-0000-0000DF320000}"/>
    <cellStyle name="Input 1102" xfId="13119" xr:uid="{00000000-0005-0000-0000-0000E0320000}"/>
    <cellStyle name="Input 1103" xfId="13120" xr:uid="{00000000-0005-0000-0000-0000E1320000}"/>
    <cellStyle name="Input 1104" xfId="13121" xr:uid="{00000000-0005-0000-0000-0000E2320000}"/>
    <cellStyle name="Input 1105" xfId="13122" xr:uid="{00000000-0005-0000-0000-0000E3320000}"/>
    <cellStyle name="Input 1106" xfId="13123" xr:uid="{00000000-0005-0000-0000-0000E4320000}"/>
    <cellStyle name="Input 1107" xfId="13124" xr:uid="{00000000-0005-0000-0000-0000E5320000}"/>
    <cellStyle name="Input 1108" xfId="13125" xr:uid="{00000000-0005-0000-0000-0000E6320000}"/>
    <cellStyle name="Input 1109" xfId="13126" xr:uid="{00000000-0005-0000-0000-0000E7320000}"/>
    <cellStyle name="Input 111" xfId="13127" xr:uid="{00000000-0005-0000-0000-0000E8320000}"/>
    <cellStyle name="Input 1110" xfId="13128" xr:uid="{00000000-0005-0000-0000-0000E9320000}"/>
    <cellStyle name="Input 1111" xfId="13129" xr:uid="{00000000-0005-0000-0000-0000EA320000}"/>
    <cellStyle name="Input 1112" xfId="13130" xr:uid="{00000000-0005-0000-0000-0000EB320000}"/>
    <cellStyle name="Input 1113" xfId="13131" xr:uid="{00000000-0005-0000-0000-0000EC320000}"/>
    <cellStyle name="Input 1114" xfId="13132" xr:uid="{00000000-0005-0000-0000-0000ED320000}"/>
    <cellStyle name="Input 1115" xfId="13133" xr:uid="{00000000-0005-0000-0000-0000EE320000}"/>
    <cellStyle name="Input 1116" xfId="13134" xr:uid="{00000000-0005-0000-0000-0000EF320000}"/>
    <cellStyle name="Input 1117" xfId="13135" xr:uid="{00000000-0005-0000-0000-0000F0320000}"/>
    <cellStyle name="Input 1118" xfId="13136" xr:uid="{00000000-0005-0000-0000-0000F1320000}"/>
    <cellStyle name="Input 1119" xfId="13137" xr:uid="{00000000-0005-0000-0000-0000F2320000}"/>
    <cellStyle name="Input 112" xfId="13138" xr:uid="{00000000-0005-0000-0000-0000F3320000}"/>
    <cellStyle name="Input 1120" xfId="13139" xr:uid="{00000000-0005-0000-0000-0000F4320000}"/>
    <cellStyle name="Input 1121" xfId="13140" xr:uid="{00000000-0005-0000-0000-0000F5320000}"/>
    <cellStyle name="Input 1122" xfId="13141" xr:uid="{00000000-0005-0000-0000-0000F6320000}"/>
    <cellStyle name="Input 1123" xfId="13142" xr:uid="{00000000-0005-0000-0000-0000F7320000}"/>
    <cellStyle name="Input 1124" xfId="13143" xr:uid="{00000000-0005-0000-0000-0000F8320000}"/>
    <cellStyle name="Input 1125" xfId="13144" xr:uid="{00000000-0005-0000-0000-0000F9320000}"/>
    <cellStyle name="Input 1126" xfId="13145" xr:uid="{00000000-0005-0000-0000-0000FA320000}"/>
    <cellStyle name="Input 1127" xfId="13146" xr:uid="{00000000-0005-0000-0000-0000FB320000}"/>
    <cellStyle name="Input 1128" xfId="13147" xr:uid="{00000000-0005-0000-0000-0000FC320000}"/>
    <cellStyle name="Input 1129" xfId="13148" xr:uid="{00000000-0005-0000-0000-0000FD320000}"/>
    <cellStyle name="Input 113" xfId="13149" xr:uid="{00000000-0005-0000-0000-0000FE320000}"/>
    <cellStyle name="Input 1130" xfId="13150" xr:uid="{00000000-0005-0000-0000-0000FF320000}"/>
    <cellStyle name="Input 1131" xfId="13151" xr:uid="{00000000-0005-0000-0000-000000330000}"/>
    <cellStyle name="Input 1132" xfId="13152" xr:uid="{00000000-0005-0000-0000-000001330000}"/>
    <cellStyle name="Input 1133" xfId="13153" xr:uid="{00000000-0005-0000-0000-000002330000}"/>
    <cellStyle name="Input 1134" xfId="13154" xr:uid="{00000000-0005-0000-0000-000003330000}"/>
    <cellStyle name="Input 1135" xfId="13155" xr:uid="{00000000-0005-0000-0000-000004330000}"/>
    <cellStyle name="Input 1136" xfId="13156" xr:uid="{00000000-0005-0000-0000-000005330000}"/>
    <cellStyle name="Input 1137" xfId="13157" xr:uid="{00000000-0005-0000-0000-000006330000}"/>
    <cellStyle name="Input 1138" xfId="13158" xr:uid="{00000000-0005-0000-0000-000007330000}"/>
    <cellStyle name="Input 1139" xfId="13159" xr:uid="{00000000-0005-0000-0000-000008330000}"/>
    <cellStyle name="Input 114" xfId="13160" xr:uid="{00000000-0005-0000-0000-000009330000}"/>
    <cellStyle name="Input 1140" xfId="13161" xr:uid="{00000000-0005-0000-0000-00000A330000}"/>
    <cellStyle name="Input 1141" xfId="13162" xr:uid="{00000000-0005-0000-0000-00000B330000}"/>
    <cellStyle name="Input 1142" xfId="13163" xr:uid="{00000000-0005-0000-0000-00000C330000}"/>
    <cellStyle name="Input 1143" xfId="13164" xr:uid="{00000000-0005-0000-0000-00000D330000}"/>
    <cellStyle name="Input 1144" xfId="13165" xr:uid="{00000000-0005-0000-0000-00000E330000}"/>
    <cellStyle name="Input 1145" xfId="13166" xr:uid="{00000000-0005-0000-0000-00000F330000}"/>
    <cellStyle name="Input 1146" xfId="13167" xr:uid="{00000000-0005-0000-0000-000010330000}"/>
    <cellStyle name="Input 1147" xfId="13168" xr:uid="{00000000-0005-0000-0000-000011330000}"/>
    <cellStyle name="Input 1148" xfId="13169" xr:uid="{00000000-0005-0000-0000-000012330000}"/>
    <cellStyle name="Input 1149" xfId="13170" xr:uid="{00000000-0005-0000-0000-000013330000}"/>
    <cellStyle name="Input 115" xfId="13171" xr:uid="{00000000-0005-0000-0000-000014330000}"/>
    <cellStyle name="Input 1150" xfId="13172" xr:uid="{00000000-0005-0000-0000-000015330000}"/>
    <cellStyle name="Input 1151" xfId="13173" xr:uid="{00000000-0005-0000-0000-000016330000}"/>
    <cellStyle name="Input 1152" xfId="13174" xr:uid="{00000000-0005-0000-0000-000017330000}"/>
    <cellStyle name="Input 1153" xfId="13175" xr:uid="{00000000-0005-0000-0000-000018330000}"/>
    <cellStyle name="Input 1154" xfId="13176" xr:uid="{00000000-0005-0000-0000-000019330000}"/>
    <cellStyle name="Input 1155" xfId="13177" xr:uid="{00000000-0005-0000-0000-00001A330000}"/>
    <cellStyle name="Input 1156" xfId="13178" xr:uid="{00000000-0005-0000-0000-00001B330000}"/>
    <cellStyle name="Input 1157" xfId="13179" xr:uid="{00000000-0005-0000-0000-00001C330000}"/>
    <cellStyle name="Input 1158" xfId="13180" xr:uid="{00000000-0005-0000-0000-00001D330000}"/>
    <cellStyle name="Input 1159" xfId="13181" xr:uid="{00000000-0005-0000-0000-00001E330000}"/>
    <cellStyle name="Input 116" xfId="13182" xr:uid="{00000000-0005-0000-0000-00001F330000}"/>
    <cellStyle name="Input 1160" xfId="13183" xr:uid="{00000000-0005-0000-0000-000020330000}"/>
    <cellStyle name="Input 1161" xfId="13184" xr:uid="{00000000-0005-0000-0000-000021330000}"/>
    <cellStyle name="Input 1162" xfId="13185" xr:uid="{00000000-0005-0000-0000-000022330000}"/>
    <cellStyle name="Input 1163" xfId="13186" xr:uid="{00000000-0005-0000-0000-000023330000}"/>
    <cellStyle name="Input 1164" xfId="13187" xr:uid="{00000000-0005-0000-0000-000024330000}"/>
    <cellStyle name="Input 1165" xfId="13188" xr:uid="{00000000-0005-0000-0000-000025330000}"/>
    <cellStyle name="Input 1166" xfId="13189" xr:uid="{00000000-0005-0000-0000-000026330000}"/>
    <cellStyle name="Input 1167" xfId="13190" xr:uid="{00000000-0005-0000-0000-000027330000}"/>
    <cellStyle name="Input 1168" xfId="13191" xr:uid="{00000000-0005-0000-0000-000028330000}"/>
    <cellStyle name="Input 1169" xfId="13192" xr:uid="{00000000-0005-0000-0000-000029330000}"/>
    <cellStyle name="Input 117" xfId="13193" xr:uid="{00000000-0005-0000-0000-00002A330000}"/>
    <cellStyle name="Input 1170" xfId="13194" xr:uid="{00000000-0005-0000-0000-00002B330000}"/>
    <cellStyle name="Input 1171" xfId="13195" xr:uid="{00000000-0005-0000-0000-00002C330000}"/>
    <cellStyle name="Input 118" xfId="13196" xr:uid="{00000000-0005-0000-0000-00002D330000}"/>
    <cellStyle name="Input 119" xfId="13197" xr:uid="{00000000-0005-0000-0000-00002E330000}"/>
    <cellStyle name="Input 12" xfId="13198" xr:uid="{00000000-0005-0000-0000-00002F330000}"/>
    <cellStyle name="Input 120" xfId="13199" xr:uid="{00000000-0005-0000-0000-000030330000}"/>
    <cellStyle name="Input 121" xfId="13200" xr:uid="{00000000-0005-0000-0000-000031330000}"/>
    <cellStyle name="Input 122" xfId="13201" xr:uid="{00000000-0005-0000-0000-000032330000}"/>
    <cellStyle name="Input 123" xfId="13202" xr:uid="{00000000-0005-0000-0000-000033330000}"/>
    <cellStyle name="Input 124" xfId="13203" xr:uid="{00000000-0005-0000-0000-000034330000}"/>
    <cellStyle name="Input 125" xfId="13204" xr:uid="{00000000-0005-0000-0000-000035330000}"/>
    <cellStyle name="Input 126" xfId="13205" xr:uid="{00000000-0005-0000-0000-000036330000}"/>
    <cellStyle name="Input 127" xfId="13206" xr:uid="{00000000-0005-0000-0000-000037330000}"/>
    <cellStyle name="Input 128" xfId="13207" xr:uid="{00000000-0005-0000-0000-000038330000}"/>
    <cellStyle name="Input 129" xfId="13208" xr:uid="{00000000-0005-0000-0000-000039330000}"/>
    <cellStyle name="Input 13" xfId="13209" xr:uid="{00000000-0005-0000-0000-00003A330000}"/>
    <cellStyle name="Input 130" xfId="13210" xr:uid="{00000000-0005-0000-0000-00003B330000}"/>
    <cellStyle name="Input 131" xfId="13211" xr:uid="{00000000-0005-0000-0000-00003C330000}"/>
    <cellStyle name="Input 132" xfId="13212" xr:uid="{00000000-0005-0000-0000-00003D330000}"/>
    <cellStyle name="Input 133" xfId="13213" xr:uid="{00000000-0005-0000-0000-00003E330000}"/>
    <cellStyle name="Input 134" xfId="13214" xr:uid="{00000000-0005-0000-0000-00003F330000}"/>
    <cellStyle name="Input 135" xfId="13215" xr:uid="{00000000-0005-0000-0000-000040330000}"/>
    <cellStyle name="Input 136" xfId="13216" xr:uid="{00000000-0005-0000-0000-000041330000}"/>
    <cellStyle name="Input 137" xfId="13217" xr:uid="{00000000-0005-0000-0000-000042330000}"/>
    <cellStyle name="Input 138" xfId="13218" xr:uid="{00000000-0005-0000-0000-000043330000}"/>
    <cellStyle name="Input 139" xfId="13219" xr:uid="{00000000-0005-0000-0000-000044330000}"/>
    <cellStyle name="Input 14" xfId="13220" xr:uid="{00000000-0005-0000-0000-000045330000}"/>
    <cellStyle name="Input 140" xfId="13221" xr:uid="{00000000-0005-0000-0000-000046330000}"/>
    <cellStyle name="Input 141" xfId="13222" xr:uid="{00000000-0005-0000-0000-000047330000}"/>
    <cellStyle name="Input 142" xfId="13223" xr:uid="{00000000-0005-0000-0000-000048330000}"/>
    <cellStyle name="Input 143" xfId="13224" xr:uid="{00000000-0005-0000-0000-000049330000}"/>
    <cellStyle name="Input 144" xfId="13225" xr:uid="{00000000-0005-0000-0000-00004A330000}"/>
    <cellStyle name="Input 145" xfId="13226" xr:uid="{00000000-0005-0000-0000-00004B330000}"/>
    <cellStyle name="Input 146" xfId="13227" xr:uid="{00000000-0005-0000-0000-00004C330000}"/>
    <cellStyle name="Input 147" xfId="13228" xr:uid="{00000000-0005-0000-0000-00004D330000}"/>
    <cellStyle name="Input 148" xfId="13229" xr:uid="{00000000-0005-0000-0000-00004E330000}"/>
    <cellStyle name="Input 149" xfId="13230" xr:uid="{00000000-0005-0000-0000-00004F330000}"/>
    <cellStyle name="Input 15" xfId="13231" xr:uid="{00000000-0005-0000-0000-000050330000}"/>
    <cellStyle name="Input 150" xfId="13232" xr:uid="{00000000-0005-0000-0000-000051330000}"/>
    <cellStyle name="Input 151" xfId="13233" xr:uid="{00000000-0005-0000-0000-000052330000}"/>
    <cellStyle name="Input 152" xfId="13234" xr:uid="{00000000-0005-0000-0000-000053330000}"/>
    <cellStyle name="Input 153" xfId="13235" xr:uid="{00000000-0005-0000-0000-000054330000}"/>
    <cellStyle name="Input 154" xfId="13236" xr:uid="{00000000-0005-0000-0000-000055330000}"/>
    <cellStyle name="Input 155" xfId="13237" xr:uid="{00000000-0005-0000-0000-000056330000}"/>
    <cellStyle name="Input 156" xfId="13238" xr:uid="{00000000-0005-0000-0000-000057330000}"/>
    <cellStyle name="Input 157" xfId="13239" xr:uid="{00000000-0005-0000-0000-000058330000}"/>
    <cellStyle name="Input 158" xfId="13240" xr:uid="{00000000-0005-0000-0000-000059330000}"/>
    <cellStyle name="Input 159" xfId="13241" xr:uid="{00000000-0005-0000-0000-00005A330000}"/>
    <cellStyle name="Input 16" xfId="13242" xr:uid="{00000000-0005-0000-0000-00005B330000}"/>
    <cellStyle name="Input 160" xfId="13243" xr:uid="{00000000-0005-0000-0000-00005C330000}"/>
    <cellStyle name="Input 161" xfId="13244" xr:uid="{00000000-0005-0000-0000-00005D330000}"/>
    <cellStyle name="Input 162" xfId="13245" xr:uid="{00000000-0005-0000-0000-00005E330000}"/>
    <cellStyle name="Input 163" xfId="13246" xr:uid="{00000000-0005-0000-0000-00005F330000}"/>
    <cellStyle name="Input 164" xfId="13247" xr:uid="{00000000-0005-0000-0000-000060330000}"/>
    <cellStyle name="Input 165" xfId="13248" xr:uid="{00000000-0005-0000-0000-000061330000}"/>
    <cellStyle name="Input 166" xfId="13249" xr:uid="{00000000-0005-0000-0000-000062330000}"/>
    <cellStyle name="Input 167" xfId="13250" xr:uid="{00000000-0005-0000-0000-000063330000}"/>
    <cellStyle name="Input 168" xfId="13251" xr:uid="{00000000-0005-0000-0000-000064330000}"/>
    <cellStyle name="Input 169" xfId="13252" xr:uid="{00000000-0005-0000-0000-000065330000}"/>
    <cellStyle name="Input 17" xfId="13253" xr:uid="{00000000-0005-0000-0000-000066330000}"/>
    <cellStyle name="Input 170" xfId="13254" xr:uid="{00000000-0005-0000-0000-000067330000}"/>
    <cellStyle name="Input 171" xfId="13255" xr:uid="{00000000-0005-0000-0000-000068330000}"/>
    <cellStyle name="Input 172" xfId="13256" xr:uid="{00000000-0005-0000-0000-000069330000}"/>
    <cellStyle name="Input 173" xfId="13257" xr:uid="{00000000-0005-0000-0000-00006A330000}"/>
    <cellStyle name="Input 174" xfId="13258" xr:uid="{00000000-0005-0000-0000-00006B330000}"/>
    <cellStyle name="Input 175" xfId="13259" xr:uid="{00000000-0005-0000-0000-00006C330000}"/>
    <cellStyle name="Input 176" xfId="13260" xr:uid="{00000000-0005-0000-0000-00006D330000}"/>
    <cellStyle name="Input 177" xfId="13261" xr:uid="{00000000-0005-0000-0000-00006E330000}"/>
    <cellStyle name="Input 178" xfId="13262" xr:uid="{00000000-0005-0000-0000-00006F330000}"/>
    <cellStyle name="Input 179" xfId="13263" xr:uid="{00000000-0005-0000-0000-000070330000}"/>
    <cellStyle name="Input 18" xfId="13264" xr:uid="{00000000-0005-0000-0000-000071330000}"/>
    <cellStyle name="Input 180" xfId="13265" xr:uid="{00000000-0005-0000-0000-000072330000}"/>
    <cellStyle name="Input 181" xfId="13266" xr:uid="{00000000-0005-0000-0000-000073330000}"/>
    <cellStyle name="Input 182" xfId="13267" xr:uid="{00000000-0005-0000-0000-000074330000}"/>
    <cellStyle name="Input 183" xfId="13268" xr:uid="{00000000-0005-0000-0000-000075330000}"/>
    <cellStyle name="Input 184" xfId="13269" xr:uid="{00000000-0005-0000-0000-000076330000}"/>
    <cellStyle name="Input 185" xfId="13270" xr:uid="{00000000-0005-0000-0000-000077330000}"/>
    <cellStyle name="Input 186" xfId="13271" xr:uid="{00000000-0005-0000-0000-000078330000}"/>
    <cellStyle name="Input 187" xfId="13272" xr:uid="{00000000-0005-0000-0000-000079330000}"/>
    <cellStyle name="Input 188" xfId="13273" xr:uid="{00000000-0005-0000-0000-00007A330000}"/>
    <cellStyle name="Input 189" xfId="13274" xr:uid="{00000000-0005-0000-0000-00007B330000}"/>
    <cellStyle name="Input 19" xfId="13275" xr:uid="{00000000-0005-0000-0000-00007C330000}"/>
    <cellStyle name="Input 190" xfId="13276" xr:uid="{00000000-0005-0000-0000-00007D330000}"/>
    <cellStyle name="Input 191" xfId="13277" xr:uid="{00000000-0005-0000-0000-00007E330000}"/>
    <cellStyle name="Input 192" xfId="13278" xr:uid="{00000000-0005-0000-0000-00007F330000}"/>
    <cellStyle name="Input 193" xfId="13279" xr:uid="{00000000-0005-0000-0000-000080330000}"/>
    <cellStyle name="Input 194" xfId="13280" xr:uid="{00000000-0005-0000-0000-000081330000}"/>
    <cellStyle name="Input 195" xfId="13281" xr:uid="{00000000-0005-0000-0000-000082330000}"/>
    <cellStyle name="Input 196" xfId="13282" xr:uid="{00000000-0005-0000-0000-000083330000}"/>
    <cellStyle name="Input 197" xfId="13283" xr:uid="{00000000-0005-0000-0000-000084330000}"/>
    <cellStyle name="Input 198" xfId="13284" xr:uid="{00000000-0005-0000-0000-000085330000}"/>
    <cellStyle name="Input 199" xfId="13285" xr:uid="{00000000-0005-0000-0000-000086330000}"/>
    <cellStyle name="Input 2" xfId="218" xr:uid="{00000000-0005-0000-0000-000087330000}"/>
    <cellStyle name="Input 2 2" xfId="13286" xr:uid="{00000000-0005-0000-0000-000088330000}"/>
    <cellStyle name="Input 2 3" xfId="13287" xr:uid="{00000000-0005-0000-0000-000089330000}"/>
    <cellStyle name="Input 20" xfId="13288" xr:uid="{00000000-0005-0000-0000-00008A330000}"/>
    <cellStyle name="Input 200" xfId="13289" xr:uid="{00000000-0005-0000-0000-00008B330000}"/>
    <cellStyle name="Input 201" xfId="13290" xr:uid="{00000000-0005-0000-0000-00008C330000}"/>
    <cellStyle name="Input 202" xfId="13291" xr:uid="{00000000-0005-0000-0000-00008D330000}"/>
    <cellStyle name="Input 203" xfId="13292" xr:uid="{00000000-0005-0000-0000-00008E330000}"/>
    <cellStyle name="Input 204" xfId="13293" xr:uid="{00000000-0005-0000-0000-00008F330000}"/>
    <cellStyle name="Input 205" xfId="13294" xr:uid="{00000000-0005-0000-0000-000090330000}"/>
    <cellStyle name="Input 206" xfId="13295" xr:uid="{00000000-0005-0000-0000-000091330000}"/>
    <cellStyle name="Input 207" xfId="13296" xr:uid="{00000000-0005-0000-0000-000092330000}"/>
    <cellStyle name="Input 208" xfId="13297" xr:uid="{00000000-0005-0000-0000-000093330000}"/>
    <cellStyle name="Input 209" xfId="13298" xr:uid="{00000000-0005-0000-0000-000094330000}"/>
    <cellStyle name="Input 21" xfId="13299" xr:uid="{00000000-0005-0000-0000-000095330000}"/>
    <cellStyle name="Input 210" xfId="13300" xr:uid="{00000000-0005-0000-0000-000096330000}"/>
    <cellStyle name="Input 211" xfId="13301" xr:uid="{00000000-0005-0000-0000-000097330000}"/>
    <cellStyle name="Input 212" xfId="13302" xr:uid="{00000000-0005-0000-0000-000098330000}"/>
    <cellStyle name="Input 213" xfId="13303" xr:uid="{00000000-0005-0000-0000-000099330000}"/>
    <cellStyle name="Input 214" xfId="13304" xr:uid="{00000000-0005-0000-0000-00009A330000}"/>
    <cellStyle name="Input 215" xfId="13305" xr:uid="{00000000-0005-0000-0000-00009B330000}"/>
    <cellStyle name="Input 216" xfId="13306" xr:uid="{00000000-0005-0000-0000-00009C330000}"/>
    <cellStyle name="Input 217" xfId="13307" xr:uid="{00000000-0005-0000-0000-00009D330000}"/>
    <cellStyle name="Input 218" xfId="13308" xr:uid="{00000000-0005-0000-0000-00009E330000}"/>
    <cellStyle name="Input 219" xfId="13309" xr:uid="{00000000-0005-0000-0000-00009F330000}"/>
    <cellStyle name="Input 22" xfId="13310" xr:uid="{00000000-0005-0000-0000-0000A0330000}"/>
    <cellStyle name="Input 220" xfId="13311" xr:uid="{00000000-0005-0000-0000-0000A1330000}"/>
    <cellStyle name="Input 221" xfId="13312" xr:uid="{00000000-0005-0000-0000-0000A2330000}"/>
    <cellStyle name="Input 222" xfId="13313" xr:uid="{00000000-0005-0000-0000-0000A3330000}"/>
    <cellStyle name="Input 223" xfId="13314" xr:uid="{00000000-0005-0000-0000-0000A4330000}"/>
    <cellStyle name="Input 224" xfId="13315" xr:uid="{00000000-0005-0000-0000-0000A5330000}"/>
    <cellStyle name="Input 225" xfId="13316" xr:uid="{00000000-0005-0000-0000-0000A6330000}"/>
    <cellStyle name="Input 226" xfId="13317" xr:uid="{00000000-0005-0000-0000-0000A7330000}"/>
    <cellStyle name="Input 227" xfId="13318" xr:uid="{00000000-0005-0000-0000-0000A8330000}"/>
    <cellStyle name="Input 228" xfId="13319" xr:uid="{00000000-0005-0000-0000-0000A9330000}"/>
    <cellStyle name="Input 229" xfId="13320" xr:uid="{00000000-0005-0000-0000-0000AA330000}"/>
    <cellStyle name="Input 23" xfId="13321" xr:uid="{00000000-0005-0000-0000-0000AB330000}"/>
    <cellStyle name="Input 230" xfId="13322" xr:uid="{00000000-0005-0000-0000-0000AC330000}"/>
    <cellStyle name="Input 231" xfId="13323" xr:uid="{00000000-0005-0000-0000-0000AD330000}"/>
    <cellStyle name="Input 232" xfId="13324" xr:uid="{00000000-0005-0000-0000-0000AE330000}"/>
    <cellStyle name="Input 233" xfId="13325" xr:uid="{00000000-0005-0000-0000-0000AF330000}"/>
    <cellStyle name="Input 234" xfId="13326" xr:uid="{00000000-0005-0000-0000-0000B0330000}"/>
    <cellStyle name="Input 235" xfId="13327" xr:uid="{00000000-0005-0000-0000-0000B1330000}"/>
    <cellStyle name="Input 236" xfId="13328" xr:uid="{00000000-0005-0000-0000-0000B2330000}"/>
    <cellStyle name="Input 237" xfId="13329" xr:uid="{00000000-0005-0000-0000-0000B3330000}"/>
    <cellStyle name="Input 238" xfId="13330" xr:uid="{00000000-0005-0000-0000-0000B4330000}"/>
    <cellStyle name="Input 239" xfId="13331" xr:uid="{00000000-0005-0000-0000-0000B5330000}"/>
    <cellStyle name="Input 24" xfId="13332" xr:uid="{00000000-0005-0000-0000-0000B6330000}"/>
    <cellStyle name="Input 240" xfId="13333" xr:uid="{00000000-0005-0000-0000-0000B7330000}"/>
    <cellStyle name="Input 241" xfId="13334" xr:uid="{00000000-0005-0000-0000-0000B8330000}"/>
    <cellStyle name="Input 242" xfId="13335" xr:uid="{00000000-0005-0000-0000-0000B9330000}"/>
    <cellStyle name="Input 243" xfId="13336" xr:uid="{00000000-0005-0000-0000-0000BA330000}"/>
    <cellStyle name="Input 244" xfId="13337" xr:uid="{00000000-0005-0000-0000-0000BB330000}"/>
    <cellStyle name="Input 245" xfId="13338" xr:uid="{00000000-0005-0000-0000-0000BC330000}"/>
    <cellStyle name="Input 246" xfId="13339" xr:uid="{00000000-0005-0000-0000-0000BD330000}"/>
    <cellStyle name="Input 247" xfId="13340" xr:uid="{00000000-0005-0000-0000-0000BE330000}"/>
    <cellStyle name="Input 248" xfId="13341" xr:uid="{00000000-0005-0000-0000-0000BF330000}"/>
    <cellStyle name="Input 249" xfId="13342" xr:uid="{00000000-0005-0000-0000-0000C0330000}"/>
    <cellStyle name="Input 25" xfId="13343" xr:uid="{00000000-0005-0000-0000-0000C1330000}"/>
    <cellStyle name="Input 250" xfId="13344" xr:uid="{00000000-0005-0000-0000-0000C2330000}"/>
    <cellStyle name="Input 251" xfId="13345" xr:uid="{00000000-0005-0000-0000-0000C3330000}"/>
    <cellStyle name="Input 252" xfId="13346" xr:uid="{00000000-0005-0000-0000-0000C4330000}"/>
    <cellStyle name="Input 253" xfId="13347" xr:uid="{00000000-0005-0000-0000-0000C5330000}"/>
    <cellStyle name="Input 254" xfId="13348" xr:uid="{00000000-0005-0000-0000-0000C6330000}"/>
    <cellStyle name="Input 255" xfId="13349" xr:uid="{00000000-0005-0000-0000-0000C7330000}"/>
    <cellStyle name="Input 256" xfId="13350" xr:uid="{00000000-0005-0000-0000-0000C8330000}"/>
    <cellStyle name="Input 257" xfId="13351" xr:uid="{00000000-0005-0000-0000-0000C9330000}"/>
    <cellStyle name="Input 258" xfId="13352" xr:uid="{00000000-0005-0000-0000-0000CA330000}"/>
    <cellStyle name="Input 259" xfId="13353" xr:uid="{00000000-0005-0000-0000-0000CB330000}"/>
    <cellStyle name="Input 26" xfId="13354" xr:uid="{00000000-0005-0000-0000-0000CC330000}"/>
    <cellStyle name="Input 260" xfId="13355" xr:uid="{00000000-0005-0000-0000-0000CD330000}"/>
    <cellStyle name="Input 261" xfId="13356" xr:uid="{00000000-0005-0000-0000-0000CE330000}"/>
    <cellStyle name="Input 262" xfId="13357" xr:uid="{00000000-0005-0000-0000-0000CF330000}"/>
    <cellStyle name="Input 263" xfId="13358" xr:uid="{00000000-0005-0000-0000-0000D0330000}"/>
    <cellStyle name="Input 264" xfId="13359" xr:uid="{00000000-0005-0000-0000-0000D1330000}"/>
    <cellStyle name="Input 265" xfId="13360" xr:uid="{00000000-0005-0000-0000-0000D2330000}"/>
    <cellStyle name="Input 266" xfId="13361" xr:uid="{00000000-0005-0000-0000-0000D3330000}"/>
    <cellStyle name="Input 267" xfId="13362" xr:uid="{00000000-0005-0000-0000-0000D4330000}"/>
    <cellStyle name="Input 268" xfId="13363" xr:uid="{00000000-0005-0000-0000-0000D5330000}"/>
    <cellStyle name="Input 269" xfId="13364" xr:uid="{00000000-0005-0000-0000-0000D6330000}"/>
    <cellStyle name="Input 27" xfId="13365" xr:uid="{00000000-0005-0000-0000-0000D7330000}"/>
    <cellStyle name="Input 270" xfId="13366" xr:uid="{00000000-0005-0000-0000-0000D8330000}"/>
    <cellStyle name="Input 271" xfId="13367" xr:uid="{00000000-0005-0000-0000-0000D9330000}"/>
    <cellStyle name="Input 272" xfId="13368" xr:uid="{00000000-0005-0000-0000-0000DA330000}"/>
    <cellStyle name="Input 273" xfId="13369" xr:uid="{00000000-0005-0000-0000-0000DB330000}"/>
    <cellStyle name="Input 274" xfId="13370" xr:uid="{00000000-0005-0000-0000-0000DC330000}"/>
    <cellStyle name="Input 275" xfId="13371" xr:uid="{00000000-0005-0000-0000-0000DD330000}"/>
    <cellStyle name="Input 276" xfId="13372" xr:uid="{00000000-0005-0000-0000-0000DE330000}"/>
    <cellStyle name="Input 277" xfId="13373" xr:uid="{00000000-0005-0000-0000-0000DF330000}"/>
    <cellStyle name="Input 278" xfId="13374" xr:uid="{00000000-0005-0000-0000-0000E0330000}"/>
    <cellStyle name="Input 279" xfId="13375" xr:uid="{00000000-0005-0000-0000-0000E1330000}"/>
    <cellStyle name="Input 28" xfId="13376" xr:uid="{00000000-0005-0000-0000-0000E2330000}"/>
    <cellStyle name="Input 280" xfId="13377" xr:uid="{00000000-0005-0000-0000-0000E3330000}"/>
    <cellStyle name="Input 281" xfId="13378" xr:uid="{00000000-0005-0000-0000-0000E4330000}"/>
    <cellStyle name="Input 282" xfId="13379" xr:uid="{00000000-0005-0000-0000-0000E5330000}"/>
    <cellStyle name="Input 283" xfId="13380" xr:uid="{00000000-0005-0000-0000-0000E6330000}"/>
    <cellStyle name="Input 284" xfId="13381" xr:uid="{00000000-0005-0000-0000-0000E7330000}"/>
    <cellStyle name="Input 285" xfId="13382" xr:uid="{00000000-0005-0000-0000-0000E8330000}"/>
    <cellStyle name="Input 286" xfId="13383" xr:uid="{00000000-0005-0000-0000-0000E9330000}"/>
    <cellStyle name="Input 287" xfId="13384" xr:uid="{00000000-0005-0000-0000-0000EA330000}"/>
    <cellStyle name="Input 288" xfId="13385" xr:uid="{00000000-0005-0000-0000-0000EB330000}"/>
    <cellStyle name="Input 289" xfId="13386" xr:uid="{00000000-0005-0000-0000-0000EC330000}"/>
    <cellStyle name="Input 29" xfId="13387" xr:uid="{00000000-0005-0000-0000-0000ED330000}"/>
    <cellStyle name="Input 290" xfId="13388" xr:uid="{00000000-0005-0000-0000-0000EE330000}"/>
    <cellStyle name="Input 291" xfId="13389" xr:uid="{00000000-0005-0000-0000-0000EF330000}"/>
    <cellStyle name="Input 292" xfId="13390" xr:uid="{00000000-0005-0000-0000-0000F0330000}"/>
    <cellStyle name="Input 293" xfId="13391" xr:uid="{00000000-0005-0000-0000-0000F1330000}"/>
    <cellStyle name="Input 294" xfId="13392" xr:uid="{00000000-0005-0000-0000-0000F2330000}"/>
    <cellStyle name="Input 295" xfId="13393" xr:uid="{00000000-0005-0000-0000-0000F3330000}"/>
    <cellStyle name="Input 296" xfId="13394" xr:uid="{00000000-0005-0000-0000-0000F4330000}"/>
    <cellStyle name="Input 297" xfId="13395" xr:uid="{00000000-0005-0000-0000-0000F5330000}"/>
    <cellStyle name="Input 298" xfId="13396" xr:uid="{00000000-0005-0000-0000-0000F6330000}"/>
    <cellStyle name="Input 299" xfId="13397" xr:uid="{00000000-0005-0000-0000-0000F7330000}"/>
    <cellStyle name="Input 3" xfId="13398" xr:uid="{00000000-0005-0000-0000-0000F8330000}"/>
    <cellStyle name="Input 30" xfId="13399" xr:uid="{00000000-0005-0000-0000-0000F9330000}"/>
    <cellStyle name="Input 300" xfId="13400" xr:uid="{00000000-0005-0000-0000-0000FA330000}"/>
    <cellStyle name="Input 301" xfId="13401" xr:uid="{00000000-0005-0000-0000-0000FB330000}"/>
    <cellStyle name="Input 302" xfId="13402" xr:uid="{00000000-0005-0000-0000-0000FC330000}"/>
    <cellStyle name="Input 303" xfId="13403" xr:uid="{00000000-0005-0000-0000-0000FD330000}"/>
    <cellStyle name="Input 304" xfId="13404" xr:uid="{00000000-0005-0000-0000-0000FE330000}"/>
    <cellStyle name="Input 305" xfId="13405" xr:uid="{00000000-0005-0000-0000-0000FF330000}"/>
    <cellStyle name="Input 306" xfId="13406" xr:uid="{00000000-0005-0000-0000-000000340000}"/>
    <cellStyle name="Input 307" xfId="13407" xr:uid="{00000000-0005-0000-0000-000001340000}"/>
    <cellStyle name="Input 308" xfId="13408" xr:uid="{00000000-0005-0000-0000-000002340000}"/>
    <cellStyle name="Input 309" xfId="13409" xr:uid="{00000000-0005-0000-0000-000003340000}"/>
    <cellStyle name="Input 31" xfId="13410" xr:uid="{00000000-0005-0000-0000-000004340000}"/>
    <cellStyle name="Input 310" xfId="13411" xr:uid="{00000000-0005-0000-0000-000005340000}"/>
    <cellStyle name="Input 311" xfId="13412" xr:uid="{00000000-0005-0000-0000-000006340000}"/>
    <cellStyle name="Input 312" xfId="13413" xr:uid="{00000000-0005-0000-0000-000007340000}"/>
    <cellStyle name="Input 313" xfId="13414" xr:uid="{00000000-0005-0000-0000-000008340000}"/>
    <cellStyle name="Input 314" xfId="13415" xr:uid="{00000000-0005-0000-0000-000009340000}"/>
    <cellStyle name="Input 315" xfId="13416" xr:uid="{00000000-0005-0000-0000-00000A340000}"/>
    <cellStyle name="Input 316" xfId="13417" xr:uid="{00000000-0005-0000-0000-00000B340000}"/>
    <cellStyle name="Input 317" xfId="13418" xr:uid="{00000000-0005-0000-0000-00000C340000}"/>
    <cellStyle name="Input 318" xfId="13419" xr:uid="{00000000-0005-0000-0000-00000D340000}"/>
    <cellStyle name="Input 319" xfId="13420" xr:uid="{00000000-0005-0000-0000-00000E340000}"/>
    <cellStyle name="Input 32" xfId="13421" xr:uid="{00000000-0005-0000-0000-00000F340000}"/>
    <cellStyle name="Input 320" xfId="13422" xr:uid="{00000000-0005-0000-0000-000010340000}"/>
    <cellStyle name="Input 321" xfId="13423" xr:uid="{00000000-0005-0000-0000-000011340000}"/>
    <cellStyle name="Input 322" xfId="13424" xr:uid="{00000000-0005-0000-0000-000012340000}"/>
    <cellStyle name="Input 323" xfId="13425" xr:uid="{00000000-0005-0000-0000-000013340000}"/>
    <cellStyle name="Input 324" xfId="13426" xr:uid="{00000000-0005-0000-0000-000014340000}"/>
    <cellStyle name="Input 325" xfId="13427" xr:uid="{00000000-0005-0000-0000-000015340000}"/>
    <cellStyle name="Input 326" xfId="13428" xr:uid="{00000000-0005-0000-0000-000016340000}"/>
    <cellStyle name="Input 327" xfId="13429" xr:uid="{00000000-0005-0000-0000-000017340000}"/>
    <cellStyle name="Input 328" xfId="13430" xr:uid="{00000000-0005-0000-0000-000018340000}"/>
    <cellStyle name="Input 329" xfId="13431" xr:uid="{00000000-0005-0000-0000-000019340000}"/>
    <cellStyle name="Input 33" xfId="13432" xr:uid="{00000000-0005-0000-0000-00001A340000}"/>
    <cellStyle name="Input 330" xfId="13433" xr:uid="{00000000-0005-0000-0000-00001B340000}"/>
    <cellStyle name="Input 331" xfId="13434" xr:uid="{00000000-0005-0000-0000-00001C340000}"/>
    <cellStyle name="Input 332" xfId="13435" xr:uid="{00000000-0005-0000-0000-00001D340000}"/>
    <cellStyle name="Input 333" xfId="13436" xr:uid="{00000000-0005-0000-0000-00001E340000}"/>
    <cellStyle name="Input 334" xfId="13437" xr:uid="{00000000-0005-0000-0000-00001F340000}"/>
    <cellStyle name="Input 335" xfId="13438" xr:uid="{00000000-0005-0000-0000-000020340000}"/>
    <cellStyle name="Input 336" xfId="13439" xr:uid="{00000000-0005-0000-0000-000021340000}"/>
    <cellStyle name="Input 337" xfId="13440" xr:uid="{00000000-0005-0000-0000-000022340000}"/>
    <cellStyle name="Input 338" xfId="13441" xr:uid="{00000000-0005-0000-0000-000023340000}"/>
    <cellStyle name="Input 339" xfId="13442" xr:uid="{00000000-0005-0000-0000-000024340000}"/>
    <cellStyle name="Input 34" xfId="13443" xr:uid="{00000000-0005-0000-0000-000025340000}"/>
    <cellStyle name="Input 340" xfId="13444" xr:uid="{00000000-0005-0000-0000-000026340000}"/>
    <cellStyle name="Input 341" xfId="13445" xr:uid="{00000000-0005-0000-0000-000027340000}"/>
    <cellStyle name="Input 342" xfId="13446" xr:uid="{00000000-0005-0000-0000-000028340000}"/>
    <cellStyle name="Input 343" xfId="13447" xr:uid="{00000000-0005-0000-0000-000029340000}"/>
    <cellStyle name="Input 344" xfId="13448" xr:uid="{00000000-0005-0000-0000-00002A340000}"/>
    <cellStyle name="Input 345" xfId="13449" xr:uid="{00000000-0005-0000-0000-00002B340000}"/>
    <cellStyle name="Input 346" xfId="13450" xr:uid="{00000000-0005-0000-0000-00002C340000}"/>
    <cellStyle name="Input 347" xfId="13451" xr:uid="{00000000-0005-0000-0000-00002D340000}"/>
    <cellStyle name="Input 348" xfId="13452" xr:uid="{00000000-0005-0000-0000-00002E340000}"/>
    <cellStyle name="Input 349" xfId="13453" xr:uid="{00000000-0005-0000-0000-00002F340000}"/>
    <cellStyle name="Input 35" xfId="13454" xr:uid="{00000000-0005-0000-0000-000030340000}"/>
    <cellStyle name="Input 350" xfId="13455" xr:uid="{00000000-0005-0000-0000-000031340000}"/>
    <cellStyle name="Input 351" xfId="13456" xr:uid="{00000000-0005-0000-0000-000032340000}"/>
    <cellStyle name="Input 352" xfId="13457" xr:uid="{00000000-0005-0000-0000-000033340000}"/>
    <cellStyle name="Input 353" xfId="13458" xr:uid="{00000000-0005-0000-0000-000034340000}"/>
    <cellStyle name="Input 354" xfId="13459" xr:uid="{00000000-0005-0000-0000-000035340000}"/>
    <cellStyle name="Input 355" xfId="13460" xr:uid="{00000000-0005-0000-0000-000036340000}"/>
    <cellStyle name="Input 356" xfId="13461" xr:uid="{00000000-0005-0000-0000-000037340000}"/>
    <cellStyle name="Input 357" xfId="13462" xr:uid="{00000000-0005-0000-0000-000038340000}"/>
    <cellStyle name="Input 358" xfId="13463" xr:uid="{00000000-0005-0000-0000-000039340000}"/>
    <cellStyle name="Input 359" xfId="13464" xr:uid="{00000000-0005-0000-0000-00003A340000}"/>
    <cellStyle name="Input 36" xfId="13465" xr:uid="{00000000-0005-0000-0000-00003B340000}"/>
    <cellStyle name="Input 360" xfId="13466" xr:uid="{00000000-0005-0000-0000-00003C340000}"/>
    <cellStyle name="Input 361" xfId="13467" xr:uid="{00000000-0005-0000-0000-00003D340000}"/>
    <cellStyle name="Input 362" xfId="13468" xr:uid="{00000000-0005-0000-0000-00003E340000}"/>
    <cellStyle name="Input 363" xfId="13469" xr:uid="{00000000-0005-0000-0000-00003F340000}"/>
    <cellStyle name="Input 364" xfId="13470" xr:uid="{00000000-0005-0000-0000-000040340000}"/>
    <cellStyle name="Input 365" xfId="13471" xr:uid="{00000000-0005-0000-0000-000041340000}"/>
    <cellStyle name="Input 366" xfId="13472" xr:uid="{00000000-0005-0000-0000-000042340000}"/>
    <cellStyle name="Input 367" xfId="13473" xr:uid="{00000000-0005-0000-0000-000043340000}"/>
    <cellStyle name="Input 368" xfId="13474" xr:uid="{00000000-0005-0000-0000-000044340000}"/>
    <cellStyle name="Input 369" xfId="13475" xr:uid="{00000000-0005-0000-0000-000045340000}"/>
    <cellStyle name="Input 37" xfId="13476" xr:uid="{00000000-0005-0000-0000-000046340000}"/>
    <cellStyle name="Input 370" xfId="13477" xr:uid="{00000000-0005-0000-0000-000047340000}"/>
    <cellStyle name="Input 371" xfId="13478" xr:uid="{00000000-0005-0000-0000-000048340000}"/>
    <cellStyle name="Input 372" xfId="13479" xr:uid="{00000000-0005-0000-0000-000049340000}"/>
    <cellStyle name="Input 373" xfId="13480" xr:uid="{00000000-0005-0000-0000-00004A340000}"/>
    <cellStyle name="Input 374" xfId="13481" xr:uid="{00000000-0005-0000-0000-00004B340000}"/>
    <cellStyle name="Input 375" xfId="13482" xr:uid="{00000000-0005-0000-0000-00004C340000}"/>
    <cellStyle name="Input 376" xfId="13483" xr:uid="{00000000-0005-0000-0000-00004D340000}"/>
    <cellStyle name="Input 377" xfId="13484" xr:uid="{00000000-0005-0000-0000-00004E340000}"/>
    <cellStyle name="Input 378" xfId="13485" xr:uid="{00000000-0005-0000-0000-00004F340000}"/>
    <cellStyle name="Input 379" xfId="13486" xr:uid="{00000000-0005-0000-0000-000050340000}"/>
    <cellStyle name="Input 38" xfId="13487" xr:uid="{00000000-0005-0000-0000-000051340000}"/>
    <cellStyle name="Input 380" xfId="13488" xr:uid="{00000000-0005-0000-0000-000052340000}"/>
    <cellStyle name="Input 381" xfId="13489" xr:uid="{00000000-0005-0000-0000-000053340000}"/>
    <cellStyle name="Input 382" xfId="13490" xr:uid="{00000000-0005-0000-0000-000054340000}"/>
    <cellStyle name="Input 383" xfId="13491" xr:uid="{00000000-0005-0000-0000-000055340000}"/>
    <cellStyle name="Input 384" xfId="13492" xr:uid="{00000000-0005-0000-0000-000056340000}"/>
    <cellStyle name="Input 385" xfId="13493" xr:uid="{00000000-0005-0000-0000-000057340000}"/>
    <cellStyle name="Input 386" xfId="13494" xr:uid="{00000000-0005-0000-0000-000058340000}"/>
    <cellStyle name="Input 387" xfId="13495" xr:uid="{00000000-0005-0000-0000-000059340000}"/>
    <cellStyle name="Input 388" xfId="13496" xr:uid="{00000000-0005-0000-0000-00005A340000}"/>
    <cellStyle name="Input 389" xfId="13497" xr:uid="{00000000-0005-0000-0000-00005B340000}"/>
    <cellStyle name="Input 39" xfId="13498" xr:uid="{00000000-0005-0000-0000-00005C340000}"/>
    <cellStyle name="Input 390" xfId="13499" xr:uid="{00000000-0005-0000-0000-00005D340000}"/>
    <cellStyle name="Input 391" xfId="13500" xr:uid="{00000000-0005-0000-0000-00005E340000}"/>
    <cellStyle name="Input 392" xfId="13501" xr:uid="{00000000-0005-0000-0000-00005F340000}"/>
    <cellStyle name="Input 393" xfId="13502" xr:uid="{00000000-0005-0000-0000-000060340000}"/>
    <cellStyle name="Input 394" xfId="13503" xr:uid="{00000000-0005-0000-0000-000061340000}"/>
    <cellStyle name="Input 395" xfId="13504" xr:uid="{00000000-0005-0000-0000-000062340000}"/>
    <cellStyle name="Input 396" xfId="13505" xr:uid="{00000000-0005-0000-0000-000063340000}"/>
    <cellStyle name="Input 397" xfId="13506" xr:uid="{00000000-0005-0000-0000-000064340000}"/>
    <cellStyle name="Input 398" xfId="13507" xr:uid="{00000000-0005-0000-0000-000065340000}"/>
    <cellStyle name="Input 399" xfId="13508" xr:uid="{00000000-0005-0000-0000-000066340000}"/>
    <cellStyle name="Input 4" xfId="13509" xr:uid="{00000000-0005-0000-0000-000067340000}"/>
    <cellStyle name="Input 40" xfId="13510" xr:uid="{00000000-0005-0000-0000-000068340000}"/>
    <cellStyle name="Input 400" xfId="13511" xr:uid="{00000000-0005-0000-0000-000069340000}"/>
    <cellStyle name="Input 401" xfId="13512" xr:uid="{00000000-0005-0000-0000-00006A340000}"/>
    <cellStyle name="Input 402" xfId="13513" xr:uid="{00000000-0005-0000-0000-00006B340000}"/>
    <cellStyle name="Input 403" xfId="13514" xr:uid="{00000000-0005-0000-0000-00006C340000}"/>
    <cellStyle name="Input 404" xfId="13515" xr:uid="{00000000-0005-0000-0000-00006D340000}"/>
    <cellStyle name="Input 405" xfId="13516" xr:uid="{00000000-0005-0000-0000-00006E340000}"/>
    <cellStyle name="Input 406" xfId="13517" xr:uid="{00000000-0005-0000-0000-00006F340000}"/>
    <cellStyle name="Input 407" xfId="13518" xr:uid="{00000000-0005-0000-0000-000070340000}"/>
    <cellStyle name="Input 408" xfId="13519" xr:uid="{00000000-0005-0000-0000-000071340000}"/>
    <cellStyle name="Input 409" xfId="13520" xr:uid="{00000000-0005-0000-0000-000072340000}"/>
    <cellStyle name="Input 41" xfId="13521" xr:uid="{00000000-0005-0000-0000-000073340000}"/>
    <cellStyle name="Input 410" xfId="13522" xr:uid="{00000000-0005-0000-0000-000074340000}"/>
    <cellStyle name="Input 411" xfId="13523" xr:uid="{00000000-0005-0000-0000-000075340000}"/>
    <cellStyle name="Input 412" xfId="13524" xr:uid="{00000000-0005-0000-0000-000076340000}"/>
    <cellStyle name="Input 413" xfId="13525" xr:uid="{00000000-0005-0000-0000-000077340000}"/>
    <cellStyle name="Input 414" xfId="13526" xr:uid="{00000000-0005-0000-0000-000078340000}"/>
    <cellStyle name="Input 415" xfId="13527" xr:uid="{00000000-0005-0000-0000-000079340000}"/>
    <cellStyle name="Input 416" xfId="13528" xr:uid="{00000000-0005-0000-0000-00007A340000}"/>
    <cellStyle name="Input 417" xfId="13529" xr:uid="{00000000-0005-0000-0000-00007B340000}"/>
    <cellStyle name="Input 418" xfId="13530" xr:uid="{00000000-0005-0000-0000-00007C340000}"/>
    <cellStyle name="Input 419" xfId="13531" xr:uid="{00000000-0005-0000-0000-00007D340000}"/>
    <cellStyle name="Input 42" xfId="13532" xr:uid="{00000000-0005-0000-0000-00007E340000}"/>
    <cellStyle name="Input 420" xfId="13533" xr:uid="{00000000-0005-0000-0000-00007F340000}"/>
    <cellStyle name="Input 421" xfId="13534" xr:uid="{00000000-0005-0000-0000-000080340000}"/>
    <cellStyle name="Input 422" xfId="13535" xr:uid="{00000000-0005-0000-0000-000081340000}"/>
    <cellStyle name="Input 423" xfId="13536" xr:uid="{00000000-0005-0000-0000-000082340000}"/>
    <cellStyle name="Input 424" xfId="13537" xr:uid="{00000000-0005-0000-0000-000083340000}"/>
    <cellStyle name="Input 425" xfId="13538" xr:uid="{00000000-0005-0000-0000-000084340000}"/>
    <cellStyle name="Input 426" xfId="13539" xr:uid="{00000000-0005-0000-0000-000085340000}"/>
    <cellStyle name="Input 427" xfId="13540" xr:uid="{00000000-0005-0000-0000-000086340000}"/>
    <cellStyle name="Input 428" xfId="13541" xr:uid="{00000000-0005-0000-0000-000087340000}"/>
    <cellStyle name="Input 429" xfId="13542" xr:uid="{00000000-0005-0000-0000-000088340000}"/>
    <cellStyle name="Input 43" xfId="13543" xr:uid="{00000000-0005-0000-0000-000089340000}"/>
    <cellStyle name="Input 430" xfId="13544" xr:uid="{00000000-0005-0000-0000-00008A340000}"/>
    <cellStyle name="Input 431" xfId="13545" xr:uid="{00000000-0005-0000-0000-00008B340000}"/>
    <cellStyle name="Input 432" xfId="13546" xr:uid="{00000000-0005-0000-0000-00008C340000}"/>
    <cellStyle name="Input 433" xfId="13547" xr:uid="{00000000-0005-0000-0000-00008D340000}"/>
    <cellStyle name="Input 434" xfId="13548" xr:uid="{00000000-0005-0000-0000-00008E340000}"/>
    <cellStyle name="Input 435" xfId="13549" xr:uid="{00000000-0005-0000-0000-00008F340000}"/>
    <cellStyle name="Input 436" xfId="13550" xr:uid="{00000000-0005-0000-0000-000090340000}"/>
    <cellStyle name="Input 437" xfId="13551" xr:uid="{00000000-0005-0000-0000-000091340000}"/>
    <cellStyle name="Input 438" xfId="13552" xr:uid="{00000000-0005-0000-0000-000092340000}"/>
    <cellStyle name="Input 439" xfId="13553" xr:uid="{00000000-0005-0000-0000-000093340000}"/>
    <cellStyle name="Input 44" xfId="13554" xr:uid="{00000000-0005-0000-0000-000094340000}"/>
    <cellStyle name="Input 440" xfId="13555" xr:uid="{00000000-0005-0000-0000-000095340000}"/>
    <cellStyle name="Input 441" xfId="13556" xr:uid="{00000000-0005-0000-0000-000096340000}"/>
    <cellStyle name="Input 442" xfId="13557" xr:uid="{00000000-0005-0000-0000-000097340000}"/>
    <cellStyle name="Input 443" xfId="13558" xr:uid="{00000000-0005-0000-0000-000098340000}"/>
    <cellStyle name="Input 444" xfId="13559" xr:uid="{00000000-0005-0000-0000-000099340000}"/>
    <cellStyle name="Input 445" xfId="13560" xr:uid="{00000000-0005-0000-0000-00009A340000}"/>
    <cellStyle name="Input 446" xfId="13561" xr:uid="{00000000-0005-0000-0000-00009B340000}"/>
    <cellStyle name="Input 447" xfId="13562" xr:uid="{00000000-0005-0000-0000-00009C340000}"/>
    <cellStyle name="Input 448" xfId="13563" xr:uid="{00000000-0005-0000-0000-00009D340000}"/>
    <cellStyle name="Input 449" xfId="13564" xr:uid="{00000000-0005-0000-0000-00009E340000}"/>
    <cellStyle name="Input 45" xfId="13565" xr:uid="{00000000-0005-0000-0000-00009F340000}"/>
    <cellStyle name="Input 450" xfId="13566" xr:uid="{00000000-0005-0000-0000-0000A0340000}"/>
    <cellStyle name="Input 451" xfId="13567" xr:uid="{00000000-0005-0000-0000-0000A1340000}"/>
    <cellStyle name="Input 452" xfId="13568" xr:uid="{00000000-0005-0000-0000-0000A2340000}"/>
    <cellStyle name="Input 453" xfId="13569" xr:uid="{00000000-0005-0000-0000-0000A3340000}"/>
    <cellStyle name="Input 454" xfId="13570" xr:uid="{00000000-0005-0000-0000-0000A4340000}"/>
    <cellStyle name="Input 455" xfId="13571" xr:uid="{00000000-0005-0000-0000-0000A5340000}"/>
    <cellStyle name="Input 456" xfId="13572" xr:uid="{00000000-0005-0000-0000-0000A6340000}"/>
    <cellStyle name="Input 457" xfId="13573" xr:uid="{00000000-0005-0000-0000-0000A7340000}"/>
    <cellStyle name="Input 458" xfId="13574" xr:uid="{00000000-0005-0000-0000-0000A8340000}"/>
    <cellStyle name="Input 459" xfId="13575" xr:uid="{00000000-0005-0000-0000-0000A9340000}"/>
    <cellStyle name="Input 46" xfId="13576" xr:uid="{00000000-0005-0000-0000-0000AA340000}"/>
    <cellStyle name="Input 460" xfId="13577" xr:uid="{00000000-0005-0000-0000-0000AB340000}"/>
    <cellStyle name="Input 461" xfId="13578" xr:uid="{00000000-0005-0000-0000-0000AC340000}"/>
    <cellStyle name="Input 462" xfId="13579" xr:uid="{00000000-0005-0000-0000-0000AD340000}"/>
    <cellStyle name="Input 463" xfId="13580" xr:uid="{00000000-0005-0000-0000-0000AE340000}"/>
    <cellStyle name="Input 464" xfId="13581" xr:uid="{00000000-0005-0000-0000-0000AF340000}"/>
    <cellStyle name="Input 465" xfId="13582" xr:uid="{00000000-0005-0000-0000-0000B0340000}"/>
    <cellStyle name="Input 466" xfId="13583" xr:uid="{00000000-0005-0000-0000-0000B1340000}"/>
    <cellStyle name="Input 467" xfId="13584" xr:uid="{00000000-0005-0000-0000-0000B2340000}"/>
    <cellStyle name="Input 468" xfId="13585" xr:uid="{00000000-0005-0000-0000-0000B3340000}"/>
    <cellStyle name="Input 469" xfId="13586" xr:uid="{00000000-0005-0000-0000-0000B4340000}"/>
    <cellStyle name="Input 47" xfId="13587" xr:uid="{00000000-0005-0000-0000-0000B5340000}"/>
    <cellStyle name="Input 470" xfId="13588" xr:uid="{00000000-0005-0000-0000-0000B6340000}"/>
    <cellStyle name="Input 471" xfId="13589" xr:uid="{00000000-0005-0000-0000-0000B7340000}"/>
    <cellStyle name="Input 472" xfId="13590" xr:uid="{00000000-0005-0000-0000-0000B8340000}"/>
    <cellStyle name="Input 473" xfId="13591" xr:uid="{00000000-0005-0000-0000-0000B9340000}"/>
    <cellStyle name="Input 474" xfId="13592" xr:uid="{00000000-0005-0000-0000-0000BA340000}"/>
    <cellStyle name="Input 475" xfId="13593" xr:uid="{00000000-0005-0000-0000-0000BB340000}"/>
    <cellStyle name="Input 476" xfId="13594" xr:uid="{00000000-0005-0000-0000-0000BC340000}"/>
    <cellStyle name="Input 477" xfId="13595" xr:uid="{00000000-0005-0000-0000-0000BD340000}"/>
    <cellStyle name="Input 478" xfId="13596" xr:uid="{00000000-0005-0000-0000-0000BE340000}"/>
    <cellStyle name="Input 479" xfId="13597" xr:uid="{00000000-0005-0000-0000-0000BF340000}"/>
    <cellStyle name="Input 48" xfId="13598" xr:uid="{00000000-0005-0000-0000-0000C0340000}"/>
    <cellStyle name="Input 480" xfId="13599" xr:uid="{00000000-0005-0000-0000-0000C1340000}"/>
    <cellStyle name="Input 481" xfId="13600" xr:uid="{00000000-0005-0000-0000-0000C2340000}"/>
    <cellStyle name="Input 482" xfId="13601" xr:uid="{00000000-0005-0000-0000-0000C3340000}"/>
    <cellStyle name="Input 483" xfId="13602" xr:uid="{00000000-0005-0000-0000-0000C4340000}"/>
    <cellStyle name="Input 484" xfId="13603" xr:uid="{00000000-0005-0000-0000-0000C5340000}"/>
    <cellStyle name="Input 485" xfId="13604" xr:uid="{00000000-0005-0000-0000-0000C6340000}"/>
    <cellStyle name="Input 486" xfId="13605" xr:uid="{00000000-0005-0000-0000-0000C7340000}"/>
    <cellStyle name="Input 487" xfId="13606" xr:uid="{00000000-0005-0000-0000-0000C8340000}"/>
    <cellStyle name="Input 488" xfId="13607" xr:uid="{00000000-0005-0000-0000-0000C9340000}"/>
    <cellStyle name="Input 489" xfId="13608" xr:uid="{00000000-0005-0000-0000-0000CA340000}"/>
    <cellStyle name="Input 49" xfId="13609" xr:uid="{00000000-0005-0000-0000-0000CB340000}"/>
    <cellStyle name="Input 490" xfId="13610" xr:uid="{00000000-0005-0000-0000-0000CC340000}"/>
    <cellStyle name="Input 491" xfId="13611" xr:uid="{00000000-0005-0000-0000-0000CD340000}"/>
    <cellStyle name="Input 492" xfId="13612" xr:uid="{00000000-0005-0000-0000-0000CE340000}"/>
    <cellStyle name="Input 493" xfId="13613" xr:uid="{00000000-0005-0000-0000-0000CF340000}"/>
    <cellStyle name="Input 494" xfId="13614" xr:uid="{00000000-0005-0000-0000-0000D0340000}"/>
    <cellStyle name="Input 495" xfId="13615" xr:uid="{00000000-0005-0000-0000-0000D1340000}"/>
    <cellStyle name="Input 496" xfId="13616" xr:uid="{00000000-0005-0000-0000-0000D2340000}"/>
    <cellStyle name="Input 497" xfId="13617" xr:uid="{00000000-0005-0000-0000-0000D3340000}"/>
    <cellStyle name="Input 498" xfId="13618" xr:uid="{00000000-0005-0000-0000-0000D4340000}"/>
    <cellStyle name="Input 499" xfId="13619" xr:uid="{00000000-0005-0000-0000-0000D5340000}"/>
    <cellStyle name="Input 5" xfId="13620" xr:uid="{00000000-0005-0000-0000-0000D6340000}"/>
    <cellStyle name="Input 50" xfId="13621" xr:uid="{00000000-0005-0000-0000-0000D7340000}"/>
    <cellStyle name="Input 500" xfId="13622" xr:uid="{00000000-0005-0000-0000-0000D8340000}"/>
    <cellStyle name="Input 501" xfId="13623" xr:uid="{00000000-0005-0000-0000-0000D9340000}"/>
    <cellStyle name="Input 502" xfId="13624" xr:uid="{00000000-0005-0000-0000-0000DA340000}"/>
    <cellStyle name="Input 503" xfId="13625" xr:uid="{00000000-0005-0000-0000-0000DB340000}"/>
    <cellStyle name="Input 504" xfId="13626" xr:uid="{00000000-0005-0000-0000-0000DC340000}"/>
    <cellStyle name="Input 505" xfId="13627" xr:uid="{00000000-0005-0000-0000-0000DD340000}"/>
    <cellStyle name="Input 506" xfId="13628" xr:uid="{00000000-0005-0000-0000-0000DE340000}"/>
    <cellStyle name="Input 507" xfId="13629" xr:uid="{00000000-0005-0000-0000-0000DF340000}"/>
    <cellStyle name="Input 508" xfId="13630" xr:uid="{00000000-0005-0000-0000-0000E0340000}"/>
    <cellStyle name="Input 509" xfId="13631" xr:uid="{00000000-0005-0000-0000-0000E1340000}"/>
    <cellStyle name="Input 51" xfId="13632" xr:uid="{00000000-0005-0000-0000-0000E2340000}"/>
    <cellStyle name="Input 510" xfId="13633" xr:uid="{00000000-0005-0000-0000-0000E3340000}"/>
    <cellStyle name="Input 511" xfId="13634" xr:uid="{00000000-0005-0000-0000-0000E4340000}"/>
    <cellStyle name="Input 512" xfId="13635" xr:uid="{00000000-0005-0000-0000-0000E5340000}"/>
    <cellStyle name="Input 513" xfId="13636" xr:uid="{00000000-0005-0000-0000-0000E6340000}"/>
    <cellStyle name="Input 514" xfId="13637" xr:uid="{00000000-0005-0000-0000-0000E7340000}"/>
    <cellStyle name="Input 515" xfId="13638" xr:uid="{00000000-0005-0000-0000-0000E8340000}"/>
    <cellStyle name="Input 516" xfId="13639" xr:uid="{00000000-0005-0000-0000-0000E9340000}"/>
    <cellStyle name="Input 517" xfId="13640" xr:uid="{00000000-0005-0000-0000-0000EA340000}"/>
    <cellStyle name="Input 518" xfId="13641" xr:uid="{00000000-0005-0000-0000-0000EB340000}"/>
    <cellStyle name="Input 519" xfId="13642" xr:uid="{00000000-0005-0000-0000-0000EC340000}"/>
    <cellStyle name="Input 52" xfId="13643" xr:uid="{00000000-0005-0000-0000-0000ED340000}"/>
    <cellStyle name="Input 520" xfId="13644" xr:uid="{00000000-0005-0000-0000-0000EE340000}"/>
    <cellStyle name="Input 521" xfId="13645" xr:uid="{00000000-0005-0000-0000-0000EF340000}"/>
    <cellStyle name="Input 522" xfId="13646" xr:uid="{00000000-0005-0000-0000-0000F0340000}"/>
    <cellStyle name="Input 523" xfId="13647" xr:uid="{00000000-0005-0000-0000-0000F1340000}"/>
    <cellStyle name="Input 524" xfId="13648" xr:uid="{00000000-0005-0000-0000-0000F2340000}"/>
    <cellStyle name="Input 525" xfId="13649" xr:uid="{00000000-0005-0000-0000-0000F3340000}"/>
    <cellStyle name="Input 526" xfId="13650" xr:uid="{00000000-0005-0000-0000-0000F4340000}"/>
    <cellStyle name="Input 527" xfId="13651" xr:uid="{00000000-0005-0000-0000-0000F5340000}"/>
    <cellStyle name="Input 528" xfId="13652" xr:uid="{00000000-0005-0000-0000-0000F6340000}"/>
    <cellStyle name="Input 529" xfId="13653" xr:uid="{00000000-0005-0000-0000-0000F7340000}"/>
    <cellStyle name="Input 53" xfId="13654" xr:uid="{00000000-0005-0000-0000-0000F8340000}"/>
    <cellStyle name="Input 530" xfId="13655" xr:uid="{00000000-0005-0000-0000-0000F9340000}"/>
    <cellStyle name="Input 531" xfId="13656" xr:uid="{00000000-0005-0000-0000-0000FA340000}"/>
    <cellStyle name="Input 532" xfId="13657" xr:uid="{00000000-0005-0000-0000-0000FB340000}"/>
    <cellStyle name="Input 533" xfId="13658" xr:uid="{00000000-0005-0000-0000-0000FC340000}"/>
    <cellStyle name="Input 534" xfId="13659" xr:uid="{00000000-0005-0000-0000-0000FD340000}"/>
    <cellStyle name="Input 535" xfId="13660" xr:uid="{00000000-0005-0000-0000-0000FE340000}"/>
    <cellStyle name="Input 536" xfId="13661" xr:uid="{00000000-0005-0000-0000-0000FF340000}"/>
    <cellStyle name="Input 537" xfId="13662" xr:uid="{00000000-0005-0000-0000-000000350000}"/>
    <cellStyle name="Input 538" xfId="13663" xr:uid="{00000000-0005-0000-0000-000001350000}"/>
    <cellStyle name="Input 539" xfId="13664" xr:uid="{00000000-0005-0000-0000-000002350000}"/>
    <cellStyle name="Input 54" xfId="13665" xr:uid="{00000000-0005-0000-0000-000003350000}"/>
    <cellStyle name="Input 540" xfId="13666" xr:uid="{00000000-0005-0000-0000-000004350000}"/>
    <cellStyle name="Input 541" xfId="13667" xr:uid="{00000000-0005-0000-0000-000005350000}"/>
    <cellStyle name="Input 542" xfId="13668" xr:uid="{00000000-0005-0000-0000-000006350000}"/>
    <cellStyle name="Input 543" xfId="13669" xr:uid="{00000000-0005-0000-0000-000007350000}"/>
    <cellStyle name="Input 544" xfId="13670" xr:uid="{00000000-0005-0000-0000-000008350000}"/>
    <cellStyle name="Input 545" xfId="13671" xr:uid="{00000000-0005-0000-0000-000009350000}"/>
    <cellStyle name="Input 546" xfId="13672" xr:uid="{00000000-0005-0000-0000-00000A350000}"/>
    <cellStyle name="Input 547" xfId="13673" xr:uid="{00000000-0005-0000-0000-00000B350000}"/>
    <cellStyle name="Input 548" xfId="13674" xr:uid="{00000000-0005-0000-0000-00000C350000}"/>
    <cellStyle name="Input 549" xfId="13675" xr:uid="{00000000-0005-0000-0000-00000D350000}"/>
    <cellStyle name="Input 55" xfId="13676" xr:uid="{00000000-0005-0000-0000-00000E350000}"/>
    <cellStyle name="Input 550" xfId="13677" xr:uid="{00000000-0005-0000-0000-00000F350000}"/>
    <cellStyle name="Input 551" xfId="13678" xr:uid="{00000000-0005-0000-0000-000010350000}"/>
    <cellStyle name="Input 552" xfId="13679" xr:uid="{00000000-0005-0000-0000-000011350000}"/>
    <cellStyle name="Input 553" xfId="13680" xr:uid="{00000000-0005-0000-0000-000012350000}"/>
    <cellStyle name="Input 554" xfId="13681" xr:uid="{00000000-0005-0000-0000-000013350000}"/>
    <cellStyle name="Input 555" xfId="13682" xr:uid="{00000000-0005-0000-0000-000014350000}"/>
    <cellStyle name="Input 556" xfId="13683" xr:uid="{00000000-0005-0000-0000-000015350000}"/>
    <cellStyle name="Input 557" xfId="13684" xr:uid="{00000000-0005-0000-0000-000016350000}"/>
    <cellStyle name="Input 558" xfId="13685" xr:uid="{00000000-0005-0000-0000-000017350000}"/>
    <cellStyle name="Input 559" xfId="13686" xr:uid="{00000000-0005-0000-0000-000018350000}"/>
    <cellStyle name="Input 56" xfId="13687" xr:uid="{00000000-0005-0000-0000-000019350000}"/>
    <cellStyle name="Input 560" xfId="13688" xr:uid="{00000000-0005-0000-0000-00001A350000}"/>
    <cellStyle name="Input 561" xfId="13689" xr:uid="{00000000-0005-0000-0000-00001B350000}"/>
    <cellStyle name="Input 562" xfId="13690" xr:uid="{00000000-0005-0000-0000-00001C350000}"/>
    <cellStyle name="Input 563" xfId="13691" xr:uid="{00000000-0005-0000-0000-00001D350000}"/>
    <cellStyle name="Input 564" xfId="13692" xr:uid="{00000000-0005-0000-0000-00001E350000}"/>
    <cellStyle name="Input 565" xfId="13693" xr:uid="{00000000-0005-0000-0000-00001F350000}"/>
    <cellStyle name="Input 566" xfId="13694" xr:uid="{00000000-0005-0000-0000-000020350000}"/>
    <cellStyle name="Input 567" xfId="13695" xr:uid="{00000000-0005-0000-0000-000021350000}"/>
    <cellStyle name="Input 568" xfId="13696" xr:uid="{00000000-0005-0000-0000-000022350000}"/>
    <cellStyle name="Input 569" xfId="13697" xr:uid="{00000000-0005-0000-0000-000023350000}"/>
    <cellStyle name="Input 57" xfId="13698" xr:uid="{00000000-0005-0000-0000-000024350000}"/>
    <cellStyle name="Input 570" xfId="13699" xr:uid="{00000000-0005-0000-0000-000025350000}"/>
    <cellStyle name="Input 571" xfId="13700" xr:uid="{00000000-0005-0000-0000-000026350000}"/>
    <cellStyle name="Input 572" xfId="13701" xr:uid="{00000000-0005-0000-0000-000027350000}"/>
    <cellStyle name="Input 573" xfId="13702" xr:uid="{00000000-0005-0000-0000-000028350000}"/>
    <cellStyle name="Input 574" xfId="13703" xr:uid="{00000000-0005-0000-0000-000029350000}"/>
    <cellStyle name="Input 575" xfId="13704" xr:uid="{00000000-0005-0000-0000-00002A350000}"/>
    <cellStyle name="Input 576" xfId="13705" xr:uid="{00000000-0005-0000-0000-00002B350000}"/>
    <cellStyle name="Input 577" xfId="13706" xr:uid="{00000000-0005-0000-0000-00002C350000}"/>
    <cellStyle name="Input 578" xfId="13707" xr:uid="{00000000-0005-0000-0000-00002D350000}"/>
    <cellStyle name="Input 579" xfId="13708" xr:uid="{00000000-0005-0000-0000-00002E350000}"/>
    <cellStyle name="Input 58" xfId="13709" xr:uid="{00000000-0005-0000-0000-00002F350000}"/>
    <cellStyle name="Input 580" xfId="13710" xr:uid="{00000000-0005-0000-0000-000030350000}"/>
    <cellStyle name="Input 581" xfId="13711" xr:uid="{00000000-0005-0000-0000-000031350000}"/>
    <cellStyle name="Input 582" xfId="13712" xr:uid="{00000000-0005-0000-0000-000032350000}"/>
    <cellStyle name="Input 583" xfId="13713" xr:uid="{00000000-0005-0000-0000-000033350000}"/>
    <cellStyle name="Input 584" xfId="13714" xr:uid="{00000000-0005-0000-0000-000034350000}"/>
    <cellStyle name="Input 585" xfId="13715" xr:uid="{00000000-0005-0000-0000-000035350000}"/>
    <cellStyle name="Input 586" xfId="13716" xr:uid="{00000000-0005-0000-0000-000036350000}"/>
    <cellStyle name="Input 587" xfId="13717" xr:uid="{00000000-0005-0000-0000-000037350000}"/>
    <cellStyle name="Input 588" xfId="13718" xr:uid="{00000000-0005-0000-0000-000038350000}"/>
    <cellStyle name="Input 589" xfId="13719" xr:uid="{00000000-0005-0000-0000-000039350000}"/>
    <cellStyle name="Input 59" xfId="13720" xr:uid="{00000000-0005-0000-0000-00003A350000}"/>
    <cellStyle name="Input 590" xfId="13721" xr:uid="{00000000-0005-0000-0000-00003B350000}"/>
    <cellStyle name="Input 591" xfId="13722" xr:uid="{00000000-0005-0000-0000-00003C350000}"/>
    <cellStyle name="Input 592" xfId="13723" xr:uid="{00000000-0005-0000-0000-00003D350000}"/>
    <cellStyle name="Input 593" xfId="13724" xr:uid="{00000000-0005-0000-0000-00003E350000}"/>
    <cellStyle name="Input 594" xfId="13725" xr:uid="{00000000-0005-0000-0000-00003F350000}"/>
    <cellStyle name="Input 595" xfId="13726" xr:uid="{00000000-0005-0000-0000-000040350000}"/>
    <cellStyle name="Input 596" xfId="13727" xr:uid="{00000000-0005-0000-0000-000041350000}"/>
    <cellStyle name="Input 597" xfId="13728" xr:uid="{00000000-0005-0000-0000-000042350000}"/>
    <cellStyle name="Input 598" xfId="13729" xr:uid="{00000000-0005-0000-0000-000043350000}"/>
    <cellStyle name="Input 599" xfId="13730" xr:uid="{00000000-0005-0000-0000-000044350000}"/>
    <cellStyle name="Input 6" xfId="13731" xr:uid="{00000000-0005-0000-0000-000045350000}"/>
    <cellStyle name="Input 60" xfId="13732" xr:uid="{00000000-0005-0000-0000-000046350000}"/>
    <cellStyle name="Input 600" xfId="13733" xr:uid="{00000000-0005-0000-0000-000047350000}"/>
    <cellStyle name="Input 601" xfId="13734" xr:uid="{00000000-0005-0000-0000-000048350000}"/>
    <cellStyle name="Input 602" xfId="13735" xr:uid="{00000000-0005-0000-0000-000049350000}"/>
    <cellStyle name="Input 603" xfId="13736" xr:uid="{00000000-0005-0000-0000-00004A350000}"/>
    <cellStyle name="Input 604" xfId="13737" xr:uid="{00000000-0005-0000-0000-00004B350000}"/>
    <cellStyle name="Input 605" xfId="13738" xr:uid="{00000000-0005-0000-0000-00004C350000}"/>
    <cellStyle name="Input 606" xfId="13739" xr:uid="{00000000-0005-0000-0000-00004D350000}"/>
    <cellStyle name="Input 607" xfId="13740" xr:uid="{00000000-0005-0000-0000-00004E350000}"/>
    <cellStyle name="Input 608" xfId="13741" xr:uid="{00000000-0005-0000-0000-00004F350000}"/>
    <cellStyle name="Input 609" xfId="13742" xr:uid="{00000000-0005-0000-0000-000050350000}"/>
    <cellStyle name="Input 61" xfId="13743" xr:uid="{00000000-0005-0000-0000-000051350000}"/>
    <cellStyle name="Input 610" xfId="13744" xr:uid="{00000000-0005-0000-0000-000052350000}"/>
    <cellStyle name="Input 611" xfId="13745" xr:uid="{00000000-0005-0000-0000-000053350000}"/>
    <cellStyle name="Input 612" xfId="13746" xr:uid="{00000000-0005-0000-0000-000054350000}"/>
    <cellStyle name="Input 613" xfId="13747" xr:uid="{00000000-0005-0000-0000-000055350000}"/>
    <cellStyle name="Input 614" xfId="13748" xr:uid="{00000000-0005-0000-0000-000056350000}"/>
    <cellStyle name="Input 615" xfId="13749" xr:uid="{00000000-0005-0000-0000-000057350000}"/>
    <cellStyle name="Input 616" xfId="13750" xr:uid="{00000000-0005-0000-0000-000058350000}"/>
    <cellStyle name="Input 617" xfId="13751" xr:uid="{00000000-0005-0000-0000-000059350000}"/>
    <cellStyle name="Input 618" xfId="13752" xr:uid="{00000000-0005-0000-0000-00005A350000}"/>
    <cellStyle name="Input 619" xfId="13753" xr:uid="{00000000-0005-0000-0000-00005B350000}"/>
    <cellStyle name="Input 62" xfId="13754" xr:uid="{00000000-0005-0000-0000-00005C350000}"/>
    <cellStyle name="Input 620" xfId="13755" xr:uid="{00000000-0005-0000-0000-00005D350000}"/>
    <cellStyle name="Input 621" xfId="13756" xr:uid="{00000000-0005-0000-0000-00005E350000}"/>
    <cellStyle name="Input 622" xfId="13757" xr:uid="{00000000-0005-0000-0000-00005F350000}"/>
    <cellStyle name="Input 623" xfId="13758" xr:uid="{00000000-0005-0000-0000-000060350000}"/>
    <cellStyle name="Input 624" xfId="13759" xr:uid="{00000000-0005-0000-0000-000061350000}"/>
    <cellStyle name="Input 625" xfId="13760" xr:uid="{00000000-0005-0000-0000-000062350000}"/>
    <cellStyle name="Input 626" xfId="13761" xr:uid="{00000000-0005-0000-0000-000063350000}"/>
    <cellStyle name="Input 627" xfId="13762" xr:uid="{00000000-0005-0000-0000-000064350000}"/>
    <cellStyle name="Input 628" xfId="13763" xr:uid="{00000000-0005-0000-0000-000065350000}"/>
    <cellStyle name="Input 629" xfId="13764" xr:uid="{00000000-0005-0000-0000-000066350000}"/>
    <cellStyle name="Input 63" xfId="13765" xr:uid="{00000000-0005-0000-0000-000067350000}"/>
    <cellStyle name="Input 630" xfId="13766" xr:uid="{00000000-0005-0000-0000-000068350000}"/>
    <cellStyle name="Input 631" xfId="13767" xr:uid="{00000000-0005-0000-0000-000069350000}"/>
    <cellStyle name="Input 632" xfId="13768" xr:uid="{00000000-0005-0000-0000-00006A350000}"/>
    <cellStyle name="Input 633" xfId="13769" xr:uid="{00000000-0005-0000-0000-00006B350000}"/>
    <cellStyle name="Input 634" xfId="13770" xr:uid="{00000000-0005-0000-0000-00006C350000}"/>
    <cellStyle name="Input 635" xfId="13771" xr:uid="{00000000-0005-0000-0000-00006D350000}"/>
    <cellStyle name="Input 636" xfId="13772" xr:uid="{00000000-0005-0000-0000-00006E350000}"/>
    <cellStyle name="Input 637" xfId="13773" xr:uid="{00000000-0005-0000-0000-00006F350000}"/>
    <cellStyle name="Input 638" xfId="13774" xr:uid="{00000000-0005-0000-0000-000070350000}"/>
    <cellStyle name="Input 639" xfId="13775" xr:uid="{00000000-0005-0000-0000-000071350000}"/>
    <cellStyle name="Input 64" xfId="13776" xr:uid="{00000000-0005-0000-0000-000072350000}"/>
    <cellStyle name="Input 640" xfId="13777" xr:uid="{00000000-0005-0000-0000-000073350000}"/>
    <cellStyle name="Input 641" xfId="13778" xr:uid="{00000000-0005-0000-0000-000074350000}"/>
    <cellStyle name="Input 642" xfId="13779" xr:uid="{00000000-0005-0000-0000-000075350000}"/>
    <cellStyle name="Input 643" xfId="13780" xr:uid="{00000000-0005-0000-0000-000076350000}"/>
    <cellStyle name="Input 644" xfId="13781" xr:uid="{00000000-0005-0000-0000-000077350000}"/>
    <cellStyle name="Input 645" xfId="13782" xr:uid="{00000000-0005-0000-0000-000078350000}"/>
    <cellStyle name="Input 646" xfId="13783" xr:uid="{00000000-0005-0000-0000-000079350000}"/>
    <cellStyle name="Input 647" xfId="13784" xr:uid="{00000000-0005-0000-0000-00007A350000}"/>
    <cellStyle name="Input 648" xfId="13785" xr:uid="{00000000-0005-0000-0000-00007B350000}"/>
    <cellStyle name="Input 649" xfId="13786" xr:uid="{00000000-0005-0000-0000-00007C350000}"/>
    <cellStyle name="Input 65" xfId="13787" xr:uid="{00000000-0005-0000-0000-00007D350000}"/>
    <cellStyle name="Input 650" xfId="13788" xr:uid="{00000000-0005-0000-0000-00007E350000}"/>
    <cellStyle name="Input 651" xfId="13789" xr:uid="{00000000-0005-0000-0000-00007F350000}"/>
    <cellStyle name="Input 652" xfId="13790" xr:uid="{00000000-0005-0000-0000-000080350000}"/>
    <cellStyle name="Input 653" xfId="13791" xr:uid="{00000000-0005-0000-0000-000081350000}"/>
    <cellStyle name="Input 654" xfId="13792" xr:uid="{00000000-0005-0000-0000-000082350000}"/>
    <cellStyle name="Input 655" xfId="13793" xr:uid="{00000000-0005-0000-0000-000083350000}"/>
    <cellStyle name="Input 656" xfId="13794" xr:uid="{00000000-0005-0000-0000-000084350000}"/>
    <cellStyle name="Input 657" xfId="13795" xr:uid="{00000000-0005-0000-0000-000085350000}"/>
    <cellStyle name="Input 658" xfId="13796" xr:uid="{00000000-0005-0000-0000-000086350000}"/>
    <cellStyle name="Input 659" xfId="13797" xr:uid="{00000000-0005-0000-0000-000087350000}"/>
    <cellStyle name="Input 66" xfId="13798" xr:uid="{00000000-0005-0000-0000-000088350000}"/>
    <cellStyle name="Input 660" xfId="13799" xr:uid="{00000000-0005-0000-0000-000089350000}"/>
    <cellStyle name="Input 661" xfId="13800" xr:uid="{00000000-0005-0000-0000-00008A350000}"/>
    <cellStyle name="Input 662" xfId="13801" xr:uid="{00000000-0005-0000-0000-00008B350000}"/>
    <cellStyle name="Input 663" xfId="13802" xr:uid="{00000000-0005-0000-0000-00008C350000}"/>
    <cellStyle name="Input 664" xfId="13803" xr:uid="{00000000-0005-0000-0000-00008D350000}"/>
    <cellStyle name="Input 665" xfId="13804" xr:uid="{00000000-0005-0000-0000-00008E350000}"/>
    <cellStyle name="Input 666" xfId="13805" xr:uid="{00000000-0005-0000-0000-00008F350000}"/>
    <cellStyle name="Input 667" xfId="13806" xr:uid="{00000000-0005-0000-0000-000090350000}"/>
    <cellStyle name="Input 668" xfId="13807" xr:uid="{00000000-0005-0000-0000-000091350000}"/>
    <cellStyle name="Input 669" xfId="13808" xr:uid="{00000000-0005-0000-0000-000092350000}"/>
    <cellStyle name="Input 67" xfId="13809" xr:uid="{00000000-0005-0000-0000-000093350000}"/>
    <cellStyle name="Input 670" xfId="13810" xr:uid="{00000000-0005-0000-0000-000094350000}"/>
    <cellStyle name="Input 671" xfId="13811" xr:uid="{00000000-0005-0000-0000-000095350000}"/>
    <cellStyle name="Input 672" xfId="13812" xr:uid="{00000000-0005-0000-0000-000096350000}"/>
    <cellStyle name="Input 673" xfId="13813" xr:uid="{00000000-0005-0000-0000-000097350000}"/>
    <cellStyle name="Input 674" xfId="13814" xr:uid="{00000000-0005-0000-0000-000098350000}"/>
    <cellStyle name="Input 675" xfId="13815" xr:uid="{00000000-0005-0000-0000-000099350000}"/>
    <cellStyle name="Input 676" xfId="13816" xr:uid="{00000000-0005-0000-0000-00009A350000}"/>
    <cellStyle name="Input 677" xfId="13817" xr:uid="{00000000-0005-0000-0000-00009B350000}"/>
    <cellStyle name="Input 678" xfId="13818" xr:uid="{00000000-0005-0000-0000-00009C350000}"/>
    <cellStyle name="Input 679" xfId="13819" xr:uid="{00000000-0005-0000-0000-00009D350000}"/>
    <cellStyle name="Input 68" xfId="13820" xr:uid="{00000000-0005-0000-0000-00009E350000}"/>
    <cellStyle name="Input 680" xfId="13821" xr:uid="{00000000-0005-0000-0000-00009F350000}"/>
    <cellStyle name="Input 681" xfId="13822" xr:uid="{00000000-0005-0000-0000-0000A0350000}"/>
    <cellStyle name="Input 682" xfId="13823" xr:uid="{00000000-0005-0000-0000-0000A1350000}"/>
    <cellStyle name="Input 683" xfId="13824" xr:uid="{00000000-0005-0000-0000-0000A2350000}"/>
    <cellStyle name="Input 684" xfId="13825" xr:uid="{00000000-0005-0000-0000-0000A3350000}"/>
    <cellStyle name="Input 685" xfId="13826" xr:uid="{00000000-0005-0000-0000-0000A4350000}"/>
    <cellStyle name="Input 686" xfId="13827" xr:uid="{00000000-0005-0000-0000-0000A5350000}"/>
    <cellStyle name="Input 687" xfId="13828" xr:uid="{00000000-0005-0000-0000-0000A6350000}"/>
    <cellStyle name="Input 688" xfId="13829" xr:uid="{00000000-0005-0000-0000-0000A7350000}"/>
    <cellStyle name="Input 689" xfId="13830" xr:uid="{00000000-0005-0000-0000-0000A8350000}"/>
    <cellStyle name="Input 69" xfId="13831" xr:uid="{00000000-0005-0000-0000-0000A9350000}"/>
    <cellStyle name="Input 690" xfId="13832" xr:uid="{00000000-0005-0000-0000-0000AA350000}"/>
    <cellStyle name="Input 691" xfId="13833" xr:uid="{00000000-0005-0000-0000-0000AB350000}"/>
    <cellStyle name="Input 692" xfId="13834" xr:uid="{00000000-0005-0000-0000-0000AC350000}"/>
    <cellStyle name="Input 693" xfId="13835" xr:uid="{00000000-0005-0000-0000-0000AD350000}"/>
    <cellStyle name="Input 694" xfId="13836" xr:uid="{00000000-0005-0000-0000-0000AE350000}"/>
    <cellStyle name="Input 695" xfId="13837" xr:uid="{00000000-0005-0000-0000-0000AF350000}"/>
    <cellStyle name="Input 696" xfId="13838" xr:uid="{00000000-0005-0000-0000-0000B0350000}"/>
    <cellStyle name="Input 697" xfId="13839" xr:uid="{00000000-0005-0000-0000-0000B1350000}"/>
    <cellStyle name="Input 698" xfId="13840" xr:uid="{00000000-0005-0000-0000-0000B2350000}"/>
    <cellStyle name="Input 699" xfId="13841" xr:uid="{00000000-0005-0000-0000-0000B3350000}"/>
    <cellStyle name="Input 7" xfId="13842" xr:uid="{00000000-0005-0000-0000-0000B4350000}"/>
    <cellStyle name="Input 70" xfId="13843" xr:uid="{00000000-0005-0000-0000-0000B5350000}"/>
    <cellStyle name="Input 700" xfId="13844" xr:uid="{00000000-0005-0000-0000-0000B6350000}"/>
    <cellStyle name="Input 701" xfId="13845" xr:uid="{00000000-0005-0000-0000-0000B7350000}"/>
    <cellStyle name="Input 702" xfId="13846" xr:uid="{00000000-0005-0000-0000-0000B8350000}"/>
    <cellStyle name="Input 703" xfId="13847" xr:uid="{00000000-0005-0000-0000-0000B9350000}"/>
    <cellStyle name="Input 704" xfId="13848" xr:uid="{00000000-0005-0000-0000-0000BA350000}"/>
    <cellStyle name="Input 705" xfId="13849" xr:uid="{00000000-0005-0000-0000-0000BB350000}"/>
    <cellStyle name="Input 706" xfId="13850" xr:uid="{00000000-0005-0000-0000-0000BC350000}"/>
    <cellStyle name="Input 707" xfId="13851" xr:uid="{00000000-0005-0000-0000-0000BD350000}"/>
    <cellStyle name="Input 708" xfId="13852" xr:uid="{00000000-0005-0000-0000-0000BE350000}"/>
    <cellStyle name="Input 709" xfId="13853" xr:uid="{00000000-0005-0000-0000-0000BF350000}"/>
    <cellStyle name="Input 71" xfId="13854" xr:uid="{00000000-0005-0000-0000-0000C0350000}"/>
    <cellStyle name="Input 710" xfId="13855" xr:uid="{00000000-0005-0000-0000-0000C1350000}"/>
    <cellStyle name="Input 711" xfId="13856" xr:uid="{00000000-0005-0000-0000-0000C2350000}"/>
    <cellStyle name="Input 712" xfId="13857" xr:uid="{00000000-0005-0000-0000-0000C3350000}"/>
    <cellStyle name="Input 713" xfId="13858" xr:uid="{00000000-0005-0000-0000-0000C4350000}"/>
    <cellStyle name="Input 714" xfId="13859" xr:uid="{00000000-0005-0000-0000-0000C5350000}"/>
    <cellStyle name="Input 715" xfId="13860" xr:uid="{00000000-0005-0000-0000-0000C6350000}"/>
    <cellStyle name="Input 716" xfId="13861" xr:uid="{00000000-0005-0000-0000-0000C7350000}"/>
    <cellStyle name="Input 717" xfId="13862" xr:uid="{00000000-0005-0000-0000-0000C8350000}"/>
    <cellStyle name="Input 718" xfId="13863" xr:uid="{00000000-0005-0000-0000-0000C9350000}"/>
    <cellStyle name="Input 719" xfId="13864" xr:uid="{00000000-0005-0000-0000-0000CA350000}"/>
    <cellStyle name="Input 72" xfId="13865" xr:uid="{00000000-0005-0000-0000-0000CB350000}"/>
    <cellStyle name="Input 720" xfId="13866" xr:uid="{00000000-0005-0000-0000-0000CC350000}"/>
    <cellStyle name="Input 721" xfId="13867" xr:uid="{00000000-0005-0000-0000-0000CD350000}"/>
    <cellStyle name="Input 722" xfId="13868" xr:uid="{00000000-0005-0000-0000-0000CE350000}"/>
    <cellStyle name="Input 723" xfId="13869" xr:uid="{00000000-0005-0000-0000-0000CF350000}"/>
    <cellStyle name="Input 724" xfId="13870" xr:uid="{00000000-0005-0000-0000-0000D0350000}"/>
    <cellStyle name="Input 725" xfId="13871" xr:uid="{00000000-0005-0000-0000-0000D1350000}"/>
    <cellStyle name="Input 726" xfId="13872" xr:uid="{00000000-0005-0000-0000-0000D2350000}"/>
    <cellStyle name="Input 727" xfId="13873" xr:uid="{00000000-0005-0000-0000-0000D3350000}"/>
    <cellStyle name="Input 728" xfId="13874" xr:uid="{00000000-0005-0000-0000-0000D4350000}"/>
    <cellStyle name="Input 729" xfId="13875" xr:uid="{00000000-0005-0000-0000-0000D5350000}"/>
    <cellStyle name="Input 73" xfId="13876" xr:uid="{00000000-0005-0000-0000-0000D6350000}"/>
    <cellStyle name="Input 730" xfId="13877" xr:uid="{00000000-0005-0000-0000-0000D7350000}"/>
    <cellStyle name="Input 731" xfId="13878" xr:uid="{00000000-0005-0000-0000-0000D8350000}"/>
    <cellStyle name="Input 732" xfId="13879" xr:uid="{00000000-0005-0000-0000-0000D9350000}"/>
    <cellStyle name="Input 733" xfId="13880" xr:uid="{00000000-0005-0000-0000-0000DA350000}"/>
    <cellStyle name="Input 734" xfId="13881" xr:uid="{00000000-0005-0000-0000-0000DB350000}"/>
    <cellStyle name="Input 735" xfId="13882" xr:uid="{00000000-0005-0000-0000-0000DC350000}"/>
    <cellStyle name="Input 736" xfId="13883" xr:uid="{00000000-0005-0000-0000-0000DD350000}"/>
    <cellStyle name="Input 737" xfId="13884" xr:uid="{00000000-0005-0000-0000-0000DE350000}"/>
    <cellStyle name="Input 738" xfId="13885" xr:uid="{00000000-0005-0000-0000-0000DF350000}"/>
    <cellStyle name="Input 739" xfId="13886" xr:uid="{00000000-0005-0000-0000-0000E0350000}"/>
    <cellStyle name="Input 74" xfId="13887" xr:uid="{00000000-0005-0000-0000-0000E1350000}"/>
    <cellStyle name="Input 740" xfId="13888" xr:uid="{00000000-0005-0000-0000-0000E2350000}"/>
    <cellStyle name="Input 741" xfId="13889" xr:uid="{00000000-0005-0000-0000-0000E3350000}"/>
    <cellStyle name="Input 742" xfId="13890" xr:uid="{00000000-0005-0000-0000-0000E4350000}"/>
    <cellStyle name="Input 743" xfId="13891" xr:uid="{00000000-0005-0000-0000-0000E5350000}"/>
    <cellStyle name="Input 744" xfId="13892" xr:uid="{00000000-0005-0000-0000-0000E6350000}"/>
    <cellStyle name="Input 745" xfId="13893" xr:uid="{00000000-0005-0000-0000-0000E7350000}"/>
    <cellStyle name="Input 746" xfId="13894" xr:uid="{00000000-0005-0000-0000-0000E8350000}"/>
    <cellStyle name="Input 747" xfId="13895" xr:uid="{00000000-0005-0000-0000-0000E9350000}"/>
    <cellStyle name="Input 748" xfId="13896" xr:uid="{00000000-0005-0000-0000-0000EA350000}"/>
    <cellStyle name="Input 749" xfId="13897" xr:uid="{00000000-0005-0000-0000-0000EB350000}"/>
    <cellStyle name="Input 75" xfId="13898" xr:uid="{00000000-0005-0000-0000-0000EC350000}"/>
    <cellStyle name="Input 750" xfId="13899" xr:uid="{00000000-0005-0000-0000-0000ED350000}"/>
    <cellStyle name="Input 751" xfId="13900" xr:uid="{00000000-0005-0000-0000-0000EE350000}"/>
    <cellStyle name="Input 752" xfId="13901" xr:uid="{00000000-0005-0000-0000-0000EF350000}"/>
    <cellStyle name="Input 753" xfId="13902" xr:uid="{00000000-0005-0000-0000-0000F0350000}"/>
    <cellStyle name="Input 754" xfId="13903" xr:uid="{00000000-0005-0000-0000-0000F1350000}"/>
    <cellStyle name="Input 755" xfId="13904" xr:uid="{00000000-0005-0000-0000-0000F2350000}"/>
    <cellStyle name="Input 756" xfId="13905" xr:uid="{00000000-0005-0000-0000-0000F3350000}"/>
    <cellStyle name="Input 757" xfId="13906" xr:uid="{00000000-0005-0000-0000-0000F4350000}"/>
    <cellStyle name="Input 758" xfId="13907" xr:uid="{00000000-0005-0000-0000-0000F5350000}"/>
    <cellStyle name="Input 759" xfId="13908" xr:uid="{00000000-0005-0000-0000-0000F6350000}"/>
    <cellStyle name="Input 76" xfId="13909" xr:uid="{00000000-0005-0000-0000-0000F7350000}"/>
    <cellStyle name="Input 760" xfId="13910" xr:uid="{00000000-0005-0000-0000-0000F8350000}"/>
    <cellStyle name="Input 761" xfId="13911" xr:uid="{00000000-0005-0000-0000-0000F9350000}"/>
    <cellStyle name="Input 762" xfId="13912" xr:uid="{00000000-0005-0000-0000-0000FA350000}"/>
    <cellStyle name="Input 763" xfId="13913" xr:uid="{00000000-0005-0000-0000-0000FB350000}"/>
    <cellStyle name="Input 764" xfId="13914" xr:uid="{00000000-0005-0000-0000-0000FC350000}"/>
    <cellStyle name="Input 765" xfId="13915" xr:uid="{00000000-0005-0000-0000-0000FD350000}"/>
    <cellStyle name="Input 766" xfId="13916" xr:uid="{00000000-0005-0000-0000-0000FE350000}"/>
    <cellStyle name="Input 767" xfId="13917" xr:uid="{00000000-0005-0000-0000-0000FF350000}"/>
    <cellStyle name="Input 768" xfId="13918" xr:uid="{00000000-0005-0000-0000-000000360000}"/>
    <cellStyle name="Input 769" xfId="13919" xr:uid="{00000000-0005-0000-0000-000001360000}"/>
    <cellStyle name="Input 77" xfId="13920" xr:uid="{00000000-0005-0000-0000-000002360000}"/>
    <cellStyle name="Input 770" xfId="13921" xr:uid="{00000000-0005-0000-0000-000003360000}"/>
    <cellStyle name="Input 771" xfId="13922" xr:uid="{00000000-0005-0000-0000-000004360000}"/>
    <cellStyle name="Input 772" xfId="13923" xr:uid="{00000000-0005-0000-0000-000005360000}"/>
    <cellStyle name="Input 773" xfId="13924" xr:uid="{00000000-0005-0000-0000-000006360000}"/>
    <cellStyle name="Input 774" xfId="13925" xr:uid="{00000000-0005-0000-0000-000007360000}"/>
    <cellStyle name="Input 775" xfId="13926" xr:uid="{00000000-0005-0000-0000-000008360000}"/>
    <cellStyle name="Input 776" xfId="13927" xr:uid="{00000000-0005-0000-0000-000009360000}"/>
    <cellStyle name="Input 777" xfId="13928" xr:uid="{00000000-0005-0000-0000-00000A360000}"/>
    <cellStyle name="Input 778" xfId="13929" xr:uid="{00000000-0005-0000-0000-00000B360000}"/>
    <cellStyle name="Input 779" xfId="13930" xr:uid="{00000000-0005-0000-0000-00000C360000}"/>
    <cellStyle name="Input 78" xfId="13931" xr:uid="{00000000-0005-0000-0000-00000D360000}"/>
    <cellStyle name="Input 780" xfId="13932" xr:uid="{00000000-0005-0000-0000-00000E360000}"/>
    <cellStyle name="Input 781" xfId="13933" xr:uid="{00000000-0005-0000-0000-00000F360000}"/>
    <cellStyle name="Input 782" xfId="13934" xr:uid="{00000000-0005-0000-0000-000010360000}"/>
    <cellStyle name="Input 783" xfId="13935" xr:uid="{00000000-0005-0000-0000-000011360000}"/>
    <cellStyle name="Input 784" xfId="13936" xr:uid="{00000000-0005-0000-0000-000012360000}"/>
    <cellStyle name="Input 785" xfId="13937" xr:uid="{00000000-0005-0000-0000-000013360000}"/>
    <cellStyle name="Input 786" xfId="13938" xr:uid="{00000000-0005-0000-0000-000014360000}"/>
    <cellStyle name="Input 787" xfId="13939" xr:uid="{00000000-0005-0000-0000-000015360000}"/>
    <cellStyle name="Input 788" xfId="13940" xr:uid="{00000000-0005-0000-0000-000016360000}"/>
    <cellStyle name="Input 789" xfId="13941" xr:uid="{00000000-0005-0000-0000-000017360000}"/>
    <cellStyle name="Input 79" xfId="13942" xr:uid="{00000000-0005-0000-0000-000018360000}"/>
    <cellStyle name="Input 790" xfId="13943" xr:uid="{00000000-0005-0000-0000-000019360000}"/>
    <cellStyle name="Input 791" xfId="13944" xr:uid="{00000000-0005-0000-0000-00001A360000}"/>
    <cellStyle name="Input 792" xfId="13945" xr:uid="{00000000-0005-0000-0000-00001B360000}"/>
    <cellStyle name="Input 793" xfId="13946" xr:uid="{00000000-0005-0000-0000-00001C360000}"/>
    <cellStyle name="Input 794" xfId="13947" xr:uid="{00000000-0005-0000-0000-00001D360000}"/>
    <cellStyle name="Input 795" xfId="13948" xr:uid="{00000000-0005-0000-0000-00001E360000}"/>
    <cellStyle name="Input 796" xfId="13949" xr:uid="{00000000-0005-0000-0000-00001F360000}"/>
    <cellStyle name="Input 797" xfId="13950" xr:uid="{00000000-0005-0000-0000-000020360000}"/>
    <cellStyle name="Input 798" xfId="13951" xr:uid="{00000000-0005-0000-0000-000021360000}"/>
    <cellStyle name="Input 799" xfId="13952" xr:uid="{00000000-0005-0000-0000-000022360000}"/>
    <cellStyle name="Input 8" xfId="13953" xr:uid="{00000000-0005-0000-0000-000023360000}"/>
    <cellStyle name="Input 80" xfId="13954" xr:uid="{00000000-0005-0000-0000-000024360000}"/>
    <cellStyle name="Input 800" xfId="13955" xr:uid="{00000000-0005-0000-0000-000025360000}"/>
    <cellStyle name="Input 801" xfId="13956" xr:uid="{00000000-0005-0000-0000-000026360000}"/>
    <cellStyle name="Input 802" xfId="13957" xr:uid="{00000000-0005-0000-0000-000027360000}"/>
    <cellStyle name="Input 803" xfId="13958" xr:uid="{00000000-0005-0000-0000-000028360000}"/>
    <cellStyle name="Input 804" xfId="13959" xr:uid="{00000000-0005-0000-0000-000029360000}"/>
    <cellStyle name="Input 805" xfId="13960" xr:uid="{00000000-0005-0000-0000-00002A360000}"/>
    <cellStyle name="Input 806" xfId="13961" xr:uid="{00000000-0005-0000-0000-00002B360000}"/>
    <cellStyle name="Input 807" xfId="13962" xr:uid="{00000000-0005-0000-0000-00002C360000}"/>
    <cellStyle name="Input 808" xfId="13963" xr:uid="{00000000-0005-0000-0000-00002D360000}"/>
    <cellStyle name="Input 809" xfId="13964" xr:uid="{00000000-0005-0000-0000-00002E360000}"/>
    <cellStyle name="Input 81" xfId="13965" xr:uid="{00000000-0005-0000-0000-00002F360000}"/>
    <cellStyle name="Input 810" xfId="13966" xr:uid="{00000000-0005-0000-0000-000030360000}"/>
    <cellStyle name="Input 811" xfId="13967" xr:uid="{00000000-0005-0000-0000-000031360000}"/>
    <cellStyle name="Input 812" xfId="13968" xr:uid="{00000000-0005-0000-0000-000032360000}"/>
    <cellStyle name="Input 813" xfId="13969" xr:uid="{00000000-0005-0000-0000-000033360000}"/>
    <cellStyle name="Input 814" xfId="13970" xr:uid="{00000000-0005-0000-0000-000034360000}"/>
    <cellStyle name="Input 815" xfId="13971" xr:uid="{00000000-0005-0000-0000-000035360000}"/>
    <cellStyle name="Input 816" xfId="13972" xr:uid="{00000000-0005-0000-0000-000036360000}"/>
    <cellStyle name="Input 817" xfId="13973" xr:uid="{00000000-0005-0000-0000-000037360000}"/>
    <cellStyle name="Input 818" xfId="13974" xr:uid="{00000000-0005-0000-0000-000038360000}"/>
    <cellStyle name="Input 819" xfId="13975" xr:uid="{00000000-0005-0000-0000-000039360000}"/>
    <cellStyle name="Input 82" xfId="13976" xr:uid="{00000000-0005-0000-0000-00003A360000}"/>
    <cellStyle name="Input 820" xfId="13977" xr:uid="{00000000-0005-0000-0000-00003B360000}"/>
    <cellStyle name="Input 821" xfId="13978" xr:uid="{00000000-0005-0000-0000-00003C360000}"/>
    <cellStyle name="Input 822" xfId="13979" xr:uid="{00000000-0005-0000-0000-00003D360000}"/>
    <cellStyle name="Input 823" xfId="13980" xr:uid="{00000000-0005-0000-0000-00003E360000}"/>
    <cellStyle name="Input 824" xfId="13981" xr:uid="{00000000-0005-0000-0000-00003F360000}"/>
    <cellStyle name="Input 825" xfId="13982" xr:uid="{00000000-0005-0000-0000-000040360000}"/>
    <cellStyle name="Input 826" xfId="13983" xr:uid="{00000000-0005-0000-0000-000041360000}"/>
    <cellStyle name="Input 827" xfId="13984" xr:uid="{00000000-0005-0000-0000-000042360000}"/>
    <cellStyle name="Input 828" xfId="13985" xr:uid="{00000000-0005-0000-0000-000043360000}"/>
    <cellStyle name="Input 829" xfId="13986" xr:uid="{00000000-0005-0000-0000-000044360000}"/>
    <cellStyle name="Input 83" xfId="13987" xr:uid="{00000000-0005-0000-0000-000045360000}"/>
    <cellStyle name="Input 830" xfId="13988" xr:uid="{00000000-0005-0000-0000-000046360000}"/>
    <cellStyle name="Input 831" xfId="13989" xr:uid="{00000000-0005-0000-0000-000047360000}"/>
    <cellStyle name="Input 832" xfId="13990" xr:uid="{00000000-0005-0000-0000-000048360000}"/>
    <cellStyle name="Input 833" xfId="13991" xr:uid="{00000000-0005-0000-0000-000049360000}"/>
    <cellStyle name="Input 834" xfId="13992" xr:uid="{00000000-0005-0000-0000-00004A360000}"/>
    <cellStyle name="Input 835" xfId="13993" xr:uid="{00000000-0005-0000-0000-00004B360000}"/>
    <cellStyle name="Input 836" xfId="13994" xr:uid="{00000000-0005-0000-0000-00004C360000}"/>
    <cellStyle name="Input 837" xfId="13995" xr:uid="{00000000-0005-0000-0000-00004D360000}"/>
    <cellStyle name="Input 838" xfId="13996" xr:uid="{00000000-0005-0000-0000-00004E360000}"/>
    <cellStyle name="Input 839" xfId="13997" xr:uid="{00000000-0005-0000-0000-00004F360000}"/>
    <cellStyle name="Input 84" xfId="13998" xr:uid="{00000000-0005-0000-0000-000050360000}"/>
    <cellStyle name="Input 840" xfId="13999" xr:uid="{00000000-0005-0000-0000-000051360000}"/>
    <cellStyle name="Input 841" xfId="14000" xr:uid="{00000000-0005-0000-0000-000052360000}"/>
    <cellStyle name="Input 842" xfId="14001" xr:uid="{00000000-0005-0000-0000-000053360000}"/>
    <cellStyle name="Input 843" xfId="14002" xr:uid="{00000000-0005-0000-0000-000054360000}"/>
    <cellStyle name="Input 844" xfId="14003" xr:uid="{00000000-0005-0000-0000-000055360000}"/>
    <cellStyle name="Input 845" xfId="14004" xr:uid="{00000000-0005-0000-0000-000056360000}"/>
    <cellStyle name="Input 846" xfId="14005" xr:uid="{00000000-0005-0000-0000-000057360000}"/>
    <cellStyle name="Input 847" xfId="14006" xr:uid="{00000000-0005-0000-0000-000058360000}"/>
    <cellStyle name="Input 848" xfId="14007" xr:uid="{00000000-0005-0000-0000-000059360000}"/>
    <cellStyle name="Input 849" xfId="14008" xr:uid="{00000000-0005-0000-0000-00005A360000}"/>
    <cellStyle name="Input 85" xfId="14009" xr:uid="{00000000-0005-0000-0000-00005B360000}"/>
    <cellStyle name="Input 850" xfId="14010" xr:uid="{00000000-0005-0000-0000-00005C360000}"/>
    <cellStyle name="Input 851" xfId="14011" xr:uid="{00000000-0005-0000-0000-00005D360000}"/>
    <cellStyle name="Input 852" xfId="14012" xr:uid="{00000000-0005-0000-0000-00005E360000}"/>
    <cellStyle name="Input 853" xfId="14013" xr:uid="{00000000-0005-0000-0000-00005F360000}"/>
    <cellStyle name="Input 854" xfId="14014" xr:uid="{00000000-0005-0000-0000-000060360000}"/>
    <cellStyle name="Input 855" xfId="14015" xr:uid="{00000000-0005-0000-0000-000061360000}"/>
    <cellStyle name="Input 856" xfId="14016" xr:uid="{00000000-0005-0000-0000-000062360000}"/>
    <cellStyle name="Input 857" xfId="14017" xr:uid="{00000000-0005-0000-0000-000063360000}"/>
    <cellStyle name="Input 858" xfId="14018" xr:uid="{00000000-0005-0000-0000-000064360000}"/>
    <cellStyle name="Input 859" xfId="14019" xr:uid="{00000000-0005-0000-0000-000065360000}"/>
    <cellStyle name="Input 86" xfId="14020" xr:uid="{00000000-0005-0000-0000-000066360000}"/>
    <cellStyle name="Input 860" xfId="14021" xr:uid="{00000000-0005-0000-0000-000067360000}"/>
    <cellStyle name="Input 861" xfId="14022" xr:uid="{00000000-0005-0000-0000-000068360000}"/>
    <cellStyle name="Input 862" xfId="14023" xr:uid="{00000000-0005-0000-0000-000069360000}"/>
    <cellStyle name="Input 863" xfId="14024" xr:uid="{00000000-0005-0000-0000-00006A360000}"/>
    <cellStyle name="Input 864" xfId="14025" xr:uid="{00000000-0005-0000-0000-00006B360000}"/>
    <cellStyle name="Input 865" xfId="14026" xr:uid="{00000000-0005-0000-0000-00006C360000}"/>
    <cellStyle name="Input 866" xfId="14027" xr:uid="{00000000-0005-0000-0000-00006D360000}"/>
    <cellStyle name="Input 867" xfId="14028" xr:uid="{00000000-0005-0000-0000-00006E360000}"/>
    <cellStyle name="Input 868" xfId="14029" xr:uid="{00000000-0005-0000-0000-00006F360000}"/>
    <cellStyle name="Input 869" xfId="14030" xr:uid="{00000000-0005-0000-0000-000070360000}"/>
    <cellStyle name="Input 87" xfId="14031" xr:uid="{00000000-0005-0000-0000-000071360000}"/>
    <cellStyle name="Input 870" xfId="14032" xr:uid="{00000000-0005-0000-0000-000072360000}"/>
    <cellStyle name="Input 871" xfId="14033" xr:uid="{00000000-0005-0000-0000-000073360000}"/>
    <cellStyle name="Input 872" xfId="14034" xr:uid="{00000000-0005-0000-0000-000074360000}"/>
    <cellStyle name="Input 873" xfId="14035" xr:uid="{00000000-0005-0000-0000-000075360000}"/>
    <cellStyle name="Input 874" xfId="14036" xr:uid="{00000000-0005-0000-0000-000076360000}"/>
    <cellStyle name="Input 875" xfId="14037" xr:uid="{00000000-0005-0000-0000-000077360000}"/>
    <cellStyle name="Input 876" xfId="14038" xr:uid="{00000000-0005-0000-0000-000078360000}"/>
    <cellStyle name="Input 877" xfId="14039" xr:uid="{00000000-0005-0000-0000-000079360000}"/>
    <cellStyle name="Input 878" xfId="14040" xr:uid="{00000000-0005-0000-0000-00007A360000}"/>
    <cellStyle name="Input 879" xfId="14041" xr:uid="{00000000-0005-0000-0000-00007B360000}"/>
    <cellStyle name="Input 88" xfId="14042" xr:uid="{00000000-0005-0000-0000-00007C360000}"/>
    <cellStyle name="Input 880" xfId="14043" xr:uid="{00000000-0005-0000-0000-00007D360000}"/>
    <cellStyle name="Input 881" xfId="14044" xr:uid="{00000000-0005-0000-0000-00007E360000}"/>
    <cellStyle name="Input 882" xfId="14045" xr:uid="{00000000-0005-0000-0000-00007F360000}"/>
    <cellStyle name="Input 883" xfId="14046" xr:uid="{00000000-0005-0000-0000-000080360000}"/>
    <cellStyle name="Input 884" xfId="14047" xr:uid="{00000000-0005-0000-0000-000081360000}"/>
    <cellStyle name="Input 885" xfId="14048" xr:uid="{00000000-0005-0000-0000-000082360000}"/>
    <cellStyle name="Input 886" xfId="14049" xr:uid="{00000000-0005-0000-0000-000083360000}"/>
    <cellStyle name="Input 887" xfId="14050" xr:uid="{00000000-0005-0000-0000-000084360000}"/>
    <cellStyle name="Input 888" xfId="14051" xr:uid="{00000000-0005-0000-0000-000085360000}"/>
    <cellStyle name="Input 889" xfId="14052" xr:uid="{00000000-0005-0000-0000-000086360000}"/>
    <cellStyle name="Input 89" xfId="14053" xr:uid="{00000000-0005-0000-0000-000087360000}"/>
    <cellStyle name="Input 890" xfId="14054" xr:uid="{00000000-0005-0000-0000-000088360000}"/>
    <cellStyle name="Input 891" xfId="14055" xr:uid="{00000000-0005-0000-0000-000089360000}"/>
    <cellStyle name="Input 892" xfId="14056" xr:uid="{00000000-0005-0000-0000-00008A360000}"/>
    <cellStyle name="Input 893" xfId="14057" xr:uid="{00000000-0005-0000-0000-00008B360000}"/>
    <cellStyle name="Input 894" xfId="14058" xr:uid="{00000000-0005-0000-0000-00008C360000}"/>
    <cellStyle name="Input 895" xfId="14059" xr:uid="{00000000-0005-0000-0000-00008D360000}"/>
    <cellStyle name="Input 896" xfId="14060" xr:uid="{00000000-0005-0000-0000-00008E360000}"/>
    <cellStyle name="Input 897" xfId="14061" xr:uid="{00000000-0005-0000-0000-00008F360000}"/>
    <cellStyle name="Input 898" xfId="14062" xr:uid="{00000000-0005-0000-0000-000090360000}"/>
    <cellStyle name="Input 899" xfId="14063" xr:uid="{00000000-0005-0000-0000-000091360000}"/>
    <cellStyle name="Input 9" xfId="14064" xr:uid="{00000000-0005-0000-0000-000092360000}"/>
    <cellStyle name="Input 90" xfId="14065" xr:uid="{00000000-0005-0000-0000-000093360000}"/>
    <cellStyle name="Input 900" xfId="14066" xr:uid="{00000000-0005-0000-0000-000094360000}"/>
    <cellStyle name="Input 901" xfId="14067" xr:uid="{00000000-0005-0000-0000-000095360000}"/>
    <cellStyle name="Input 902" xfId="14068" xr:uid="{00000000-0005-0000-0000-000096360000}"/>
    <cellStyle name="Input 903" xfId="14069" xr:uid="{00000000-0005-0000-0000-000097360000}"/>
    <cellStyle name="Input 904" xfId="14070" xr:uid="{00000000-0005-0000-0000-000098360000}"/>
    <cellStyle name="Input 905" xfId="14071" xr:uid="{00000000-0005-0000-0000-000099360000}"/>
    <cellStyle name="Input 906" xfId="14072" xr:uid="{00000000-0005-0000-0000-00009A360000}"/>
    <cellStyle name="Input 907" xfId="14073" xr:uid="{00000000-0005-0000-0000-00009B360000}"/>
    <cellStyle name="Input 908" xfId="14074" xr:uid="{00000000-0005-0000-0000-00009C360000}"/>
    <cellStyle name="Input 909" xfId="14075" xr:uid="{00000000-0005-0000-0000-00009D360000}"/>
    <cellStyle name="Input 91" xfId="14076" xr:uid="{00000000-0005-0000-0000-00009E360000}"/>
    <cellStyle name="Input 910" xfId="14077" xr:uid="{00000000-0005-0000-0000-00009F360000}"/>
    <cellStyle name="Input 911" xfId="14078" xr:uid="{00000000-0005-0000-0000-0000A0360000}"/>
    <cellStyle name="Input 912" xfId="14079" xr:uid="{00000000-0005-0000-0000-0000A1360000}"/>
    <cellStyle name="Input 913" xfId="14080" xr:uid="{00000000-0005-0000-0000-0000A2360000}"/>
    <cellStyle name="Input 914" xfId="14081" xr:uid="{00000000-0005-0000-0000-0000A3360000}"/>
    <cellStyle name="Input 915" xfId="14082" xr:uid="{00000000-0005-0000-0000-0000A4360000}"/>
    <cellStyle name="Input 916" xfId="14083" xr:uid="{00000000-0005-0000-0000-0000A5360000}"/>
    <cellStyle name="Input 917" xfId="14084" xr:uid="{00000000-0005-0000-0000-0000A6360000}"/>
    <cellStyle name="Input 918" xfId="14085" xr:uid="{00000000-0005-0000-0000-0000A7360000}"/>
    <cellStyle name="Input 919" xfId="14086" xr:uid="{00000000-0005-0000-0000-0000A8360000}"/>
    <cellStyle name="Input 92" xfId="14087" xr:uid="{00000000-0005-0000-0000-0000A9360000}"/>
    <cellStyle name="Input 920" xfId="14088" xr:uid="{00000000-0005-0000-0000-0000AA360000}"/>
    <cellStyle name="Input 921" xfId="14089" xr:uid="{00000000-0005-0000-0000-0000AB360000}"/>
    <cellStyle name="Input 922" xfId="14090" xr:uid="{00000000-0005-0000-0000-0000AC360000}"/>
    <cellStyle name="Input 923" xfId="14091" xr:uid="{00000000-0005-0000-0000-0000AD360000}"/>
    <cellStyle name="Input 924" xfId="14092" xr:uid="{00000000-0005-0000-0000-0000AE360000}"/>
    <cellStyle name="Input 925" xfId="14093" xr:uid="{00000000-0005-0000-0000-0000AF360000}"/>
    <cellStyle name="Input 926" xfId="14094" xr:uid="{00000000-0005-0000-0000-0000B0360000}"/>
    <cellStyle name="Input 927" xfId="14095" xr:uid="{00000000-0005-0000-0000-0000B1360000}"/>
    <cellStyle name="Input 928" xfId="14096" xr:uid="{00000000-0005-0000-0000-0000B2360000}"/>
    <cellStyle name="Input 929" xfId="14097" xr:uid="{00000000-0005-0000-0000-0000B3360000}"/>
    <cellStyle name="Input 93" xfId="14098" xr:uid="{00000000-0005-0000-0000-0000B4360000}"/>
    <cellStyle name="Input 930" xfId="14099" xr:uid="{00000000-0005-0000-0000-0000B5360000}"/>
    <cellStyle name="Input 931" xfId="14100" xr:uid="{00000000-0005-0000-0000-0000B6360000}"/>
    <cellStyle name="Input 932" xfId="14101" xr:uid="{00000000-0005-0000-0000-0000B7360000}"/>
    <cellStyle name="Input 933" xfId="14102" xr:uid="{00000000-0005-0000-0000-0000B8360000}"/>
    <cellStyle name="Input 934" xfId="14103" xr:uid="{00000000-0005-0000-0000-0000B9360000}"/>
    <cellStyle name="Input 935" xfId="14104" xr:uid="{00000000-0005-0000-0000-0000BA360000}"/>
    <cellStyle name="Input 936" xfId="14105" xr:uid="{00000000-0005-0000-0000-0000BB360000}"/>
    <cellStyle name="Input 937" xfId="14106" xr:uid="{00000000-0005-0000-0000-0000BC360000}"/>
    <cellStyle name="Input 938" xfId="14107" xr:uid="{00000000-0005-0000-0000-0000BD360000}"/>
    <cellStyle name="Input 939" xfId="14108" xr:uid="{00000000-0005-0000-0000-0000BE360000}"/>
    <cellStyle name="Input 94" xfId="14109" xr:uid="{00000000-0005-0000-0000-0000BF360000}"/>
    <cellStyle name="Input 940" xfId="14110" xr:uid="{00000000-0005-0000-0000-0000C0360000}"/>
    <cellStyle name="Input 941" xfId="14111" xr:uid="{00000000-0005-0000-0000-0000C1360000}"/>
    <cellStyle name="Input 942" xfId="14112" xr:uid="{00000000-0005-0000-0000-0000C2360000}"/>
    <cellStyle name="Input 943" xfId="14113" xr:uid="{00000000-0005-0000-0000-0000C3360000}"/>
    <cellStyle name="Input 944" xfId="14114" xr:uid="{00000000-0005-0000-0000-0000C4360000}"/>
    <cellStyle name="Input 945" xfId="14115" xr:uid="{00000000-0005-0000-0000-0000C5360000}"/>
    <cellStyle name="Input 946" xfId="14116" xr:uid="{00000000-0005-0000-0000-0000C6360000}"/>
    <cellStyle name="Input 947" xfId="14117" xr:uid="{00000000-0005-0000-0000-0000C7360000}"/>
    <cellStyle name="Input 948" xfId="14118" xr:uid="{00000000-0005-0000-0000-0000C8360000}"/>
    <cellStyle name="Input 949" xfId="14119" xr:uid="{00000000-0005-0000-0000-0000C9360000}"/>
    <cellStyle name="Input 95" xfId="14120" xr:uid="{00000000-0005-0000-0000-0000CA360000}"/>
    <cellStyle name="Input 950" xfId="14121" xr:uid="{00000000-0005-0000-0000-0000CB360000}"/>
    <cellStyle name="Input 951" xfId="14122" xr:uid="{00000000-0005-0000-0000-0000CC360000}"/>
    <cellStyle name="Input 952" xfId="14123" xr:uid="{00000000-0005-0000-0000-0000CD360000}"/>
    <cellStyle name="Input 953" xfId="14124" xr:uid="{00000000-0005-0000-0000-0000CE360000}"/>
    <cellStyle name="Input 954" xfId="14125" xr:uid="{00000000-0005-0000-0000-0000CF360000}"/>
    <cellStyle name="Input 955" xfId="14126" xr:uid="{00000000-0005-0000-0000-0000D0360000}"/>
    <cellStyle name="Input 956" xfId="14127" xr:uid="{00000000-0005-0000-0000-0000D1360000}"/>
    <cellStyle name="Input 957" xfId="14128" xr:uid="{00000000-0005-0000-0000-0000D2360000}"/>
    <cellStyle name="Input 958" xfId="14129" xr:uid="{00000000-0005-0000-0000-0000D3360000}"/>
    <cellStyle name="Input 959" xfId="14130" xr:uid="{00000000-0005-0000-0000-0000D4360000}"/>
    <cellStyle name="Input 96" xfId="14131" xr:uid="{00000000-0005-0000-0000-0000D5360000}"/>
    <cellStyle name="Input 960" xfId="14132" xr:uid="{00000000-0005-0000-0000-0000D6360000}"/>
    <cellStyle name="Input 961" xfId="14133" xr:uid="{00000000-0005-0000-0000-0000D7360000}"/>
    <cellStyle name="Input 962" xfId="14134" xr:uid="{00000000-0005-0000-0000-0000D8360000}"/>
    <cellStyle name="Input 963" xfId="14135" xr:uid="{00000000-0005-0000-0000-0000D9360000}"/>
    <cellStyle name="Input 964" xfId="14136" xr:uid="{00000000-0005-0000-0000-0000DA360000}"/>
    <cellStyle name="Input 965" xfId="14137" xr:uid="{00000000-0005-0000-0000-0000DB360000}"/>
    <cellStyle name="Input 966" xfId="14138" xr:uid="{00000000-0005-0000-0000-0000DC360000}"/>
    <cellStyle name="Input 967" xfId="14139" xr:uid="{00000000-0005-0000-0000-0000DD360000}"/>
    <cellStyle name="Input 968" xfId="14140" xr:uid="{00000000-0005-0000-0000-0000DE360000}"/>
    <cellStyle name="Input 969" xfId="14141" xr:uid="{00000000-0005-0000-0000-0000DF360000}"/>
    <cellStyle name="Input 97" xfId="14142" xr:uid="{00000000-0005-0000-0000-0000E0360000}"/>
    <cellStyle name="Input 970" xfId="14143" xr:uid="{00000000-0005-0000-0000-0000E1360000}"/>
    <cellStyle name="Input 971" xfId="14144" xr:uid="{00000000-0005-0000-0000-0000E2360000}"/>
    <cellStyle name="Input 972" xfId="14145" xr:uid="{00000000-0005-0000-0000-0000E3360000}"/>
    <cellStyle name="Input 973" xfId="14146" xr:uid="{00000000-0005-0000-0000-0000E4360000}"/>
    <cellStyle name="Input 974" xfId="14147" xr:uid="{00000000-0005-0000-0000-0000E5360000}"/>
    <cellStyle name="Input 975" xfId="14148" xr:uid="{00000000-0005-0000-0000-0000E6360000}"/>
    <cellStyle name="Input 976" xfId="14149" xr:uid="{00000000-0005-0000-0000-0000E7360000}"/>
    <cellStyle name="Input 977" xfId="14150" xr:uid="{00000000-0005-0000-0000-0000E8360000}"/>
    <cellStyle name="Input 978" xfId="14151" xr:uid="{00000000-0005-0000-0000-0000E9360000}"/>
    <cellStyle name="Input 979" xfId="14152" xr:uid="{00000000-0005-0000-0000-0000EA360000}"/>
    <cellStyle name="Input 98" xfId="14153" xr:uid="{00000000-0005-0000-0000-0000EB360000}"/>
    <cellStyle name="Input 980" xfId="14154" xr:uid="{00000000-0005-0000-0000-0000EC360000}"/>
    <cellStyle name="Input 981" xfId="14155" xr:uid="{00000000-0005-0000-0000-0000ED360000}"/>
    <cellStyle name="Input 982" xfId="14156" xr:uid="{00000000-0005-0000-0000-0000EE360000}"/>
    <cellStyle name="Input 983" xfId="14157" xr:uid="{00000000-0005-0000-0000-0000EF360000}"/>
    <cellStyle name="Input 984" xfId="14158" xr:uid="{00000000-0005-0000-0000-0000F0360000}"/>
    <cellStyle name="Input 985" xfId="14159" xr:uid="{00000000-0005-0000-0000-0000F1360000}"/>
    <cellStyle name="Input 986" xfId="14160" xr:uid="{00000000-0005-0000-0000-0000F2360000}"/>
    <cellStyle name="Input 987" xfId="14161" xr:uid="{00000000-0005-0000-0000-0000F3360000}"/>
    <cellStyle name="Input 988" xfId="14162" xr:uid="{00000000-0005-0000-0000-0000F4360000}"/>
    <cellStyle name="Input 989" xfId="14163" xr:uid="{00000000-0005-0000-0000-0000F5360000}"/>
    <cellStyle name="Input 99" xfId="14164" xr:uid="{00000000-0005-0000-0000-0000F6360000}"/>
    <cellStyle name="Input 990" xfId="14165" xr:uid="{00000000-0005-0000-0000-0000F7360000}"/>
    <cellStyle name="Input 991" xfId="14166" xr:uid="{00000000-0005-0000-0000-0000F8360000}"/>
    <cellStyle name="Input 992" xfId="14167" xr:uid="{00000000-0005-0000-0000-0000F9360000}"/>
    <cellStyle name="Input 993" xfId="14168" xr:uid="{00000000-0005-0000-0000-0000FA360000}"/>
    <cellStyle name="Input 994" xfId="14169" xr:uid="{00000000-0005-0000-0000-0000FB360000}"/>
    <cellStyle name="Input 995" xfId="14170" xr:uid="{00000000-0005-0000-0000-0000FC360000}"/>
    <cellStyle name="Input 996" xfId="14171" xr:uid="{00000000-0005-0000-0000-0000FD360000}"/>
    <cellStyle name="Input 997" xfId="14172" xr:uid="{00000000-0005-0000-0000-0000FE360000}"/>
    <cellStyle name="Input 998" xfId="14173" xr:uid="{00000000-0005-0000-0000-0000FF360000}"/>
    <cellStyle name="Input 999" xfId="14174" xr:uid="{00000000-0005-0000-0000-000000370000}"/>
    <cellStyle name="Input_Annual_Disclosure_Group" xfId="14175" xr:uid="{00000000-0005-0000-0000-000001370000}"/>
    <cellStyle name="Insatisfaisant" xfId="110" xr:uid="{00000000-0005-0000-0000-000002370000}"/>
    <cellStyle name="Insatisfaisant 2" xfId="14176" xr:uid="{00000000-0005-0000-0000-000003370000}"/>
    <cellStyle name="Insatisfaisant 3" xfId="14177" xr:uid="{00000000-0005-0000-0000-000004370000}"/>
    <cellStyle name="Insatisfaisant_Concept Analyse verschillen TS  LTGA en QIS5 v1" xfId="14178" xr:uid="{00000000-0005-0000-0000-000005370000}"/>
    <cellStyle name="Jegyzet" xfId="14179" xr:uid="{00000000-0005-0000-0000-000006370000}"/>
    <cellStyle name="Jegyzet 2" xfId="14180" xr:uid="{00000000-0005-0000-0000-000007370000}"/>
    <cellStyle name="Jegyzet 2 2" xfId="14181" xr:uid="{00000000-0005-0000-0000-000008370000}"/>
    <cellStyle name="Jegyzet 3" xfId="14182" xr:uid="{00000000-0005-0000-0000-000009370000}"/>
    <cellStyle name="Jegyzet 4" xfId="14183" xr:uid="{00000000-0005-0000-0000-00000A370000}"/>
    <cellStyle name="Jegyzet 5" xfId="14184" xr:uid="{00000000-0005-0000-0000-00000B370000}"/>
    <cellStyle name="Jegyzet 6" xfId="14185" xr:uid="{00000000-0005-0000-0000-00000C370000}"/>
    <cellStyle name="Jegyzet_Map2" xfId="14186" xr:uid="{00000000-0005-0000-0000-00000D370000}"/>
    <cellStyle name="Jelölőszín (1)" xfId="14187" xr:uid="{00000000-0005-0000-0000-00000E370000}"/>
    <cellStyle name="Jelölőszín (1) 2" xfId="14188" xr:uid="{00000000-0005-0000-0000-00000F370000}"/>
    <cellStyle name="Jelölőszín (1) 2 2" xfId="14189" xr:uid="{00000000-0005-0000-0000-000010370000}"/>
    <cellStyle name="Jelölőszín (1) 3" xfId="14190" xr:uid="{00000000-0005-0000-0000-000011370000}"/>
    <cellStyle name="Jelölőszín (1) 4" xfId="14191" xr:uid="{00000000-0005-0000-0000-000012370000}"/>
    <cellStyle name="Jelölőszín (1) 5" xfId="14192" xr:uid="{00000000-0005-0000-0000-000013370000}"/>
    <cellStyle name="Jelölőszín (1)_Procesplaat tbv QRT rapportage" xfId="14193" xr:uid="{00000000-0005-0000-0000-000014370000}"/>
    <cellStyle name="Jelölőszín (2)" xfId="14194" xr:uid="{00000000-0005-0000-0000-000015370000}"/>
    <cellStyle name="Jelölőszín (2) 2" xfId="14195" xr:uid="{00000000-0005-0000-0000-000016370000}"/>
    <cellStyle name="Jelölőszín (2) 2 2" xfId="14196" xr:uid="{00000000-0005-0000-0000-000017370000}"/>
    <cellStyle name="Jelölőszín (2) 3" xfId="14197" xr:uid="{00000000-0005-0000-0000-000018370000}"/>
    <cellStyle name="Jelölőszín (2) 4" xfId="14198" xr:uid="{00000000-0005-0000-0000-000019370000}"/>
    <cellStyle name="Jelölőszín (2) 5" xfId="14199" xr:uid="{00000000-0005-0000-0000-00001A370000}"/>
    <cellStyle name="Jelölőszín (2)_Procesplaat tbv QRT rapportage" xfId="14200" xr:uid="{00000000-0005-0000-0000-00001B370000}"/>
    <cellStyle name="Jelölőszín (3)" xfId="14201" xr:uid="{00000000-0005-0000-0000-00001C370000}"/>
    <cellStyle name="Jelölőszín (3) 2" xfId="14202" xr:uid="{00000000-0005-0000-0000-00001D370000}"/>
    <cellStyle name="Jelölőszín (3) 2 2" xfId="14203" xr:uid="{00000000-0005-0000-0000-00001E370000}"/>
    <cellStyle name="Jelölőszín (3) 3" xfId="14204" xr:uid="{00000000-0005-0000-0000-00001F370000}"/>
    <cellStyle name="Jelölőszín (3) 4" xfId="14205" xr:uid="{00000000-0005-0000-0000-000020370000}"/>
    <cellStyle name="Jelölőszín (3) 5" xfId="14206" xr:uid="{00000000-0005-0000-0000-000021370000}"/>
    <cellStyle name="Jelölőszín (3)_Procesplaat tbv QRT rapportage" xfId="14207" xr:uid="{00000000-0005-0000-0000-000022370000}"/>
    <cellStyle name="Jelölőszín (4)" xfId="14208" xr:uid="{00000000-0005-0000-0000-000023370000}"/>
    <cellStyle name="Jelölőszín (4) 2" xfId="14209" xr:uid="{00000000-0005-0000-0000-000024370000}"/>
    <cellStyle name="Jelölőszín (4) 2 2" xfId="14210" xr:uid="{00000000-0005-0000-0000-000025370000}"/>
    <cellStyle name="Jelölőszín (4) 3" xfId="14211" xr:uid="{00000000-0005-0000-0000-000026370000}"/>
    <cellStyle name="Jelölőszín (4) 4" xfId="14212" xr:uid="{00000000-0005-0000-0000-000027370000}"/>
    <cellStyle name="Jelölőszín (4) 5" xfId="14213" xr:uid="{00000000-0005-0000-0000-000028370000}"/>
    <cellStyle name="Jelölőszín (4)_Procesplaat tbv QRT rapportage" xfId="14214" xr:uid="{00000000-0005-0000-0000-000029370000}"/>
    <cellStyle name="Jelölőszín (5)" xfId="14215" xr:uid="{00000000-0005-0000-0000-00002A370000}"/>
    <cellStyle name="Jelölőszín (5) 2" xfId="14216" xr:uid="{00000000-0005-0000-0000-00002B370000}"/>
    <cellStyle name="Jelölőszín (5) 2 2" xfId="14217" xr:uid="{00000000-0005-0000-0000-00002C370000}"/>
    <cellStyle name="Jelölőszín (5) 3" xfId="14218" xr:uid="{00000000-0005-0000-0000-00002D370000}"/>
    <cellStyle name="Jelölőszín (5) 4" xfId="14219" xr:uid="{00000000-0005-0000-0000-00002E370000}"/>
    <cellStyle name="Jelölőszín (5) 5" xfId="14220" xr:uid="{00000000-0005-0000-0000-00002F370000}"/>
    <cellStyle name="Jelölőszín (5)_Procesplaat tbv QRT rapportage" xfId="14221" xr:uid="{00000000-0005-0000-0000-000030370000}"/>
    <cellStyle name="Jelölőszín (6)" xfId="14222" xr:uid="{00000000-0005-0000-0000-000031370000}"/>
    <cellStyle name="Jelölőszín (6) 2" xfId="14223" xr:uid="{00000000-0005-0000-0000-000032370000}"/>
    <cellStyle name="Jelölőszín (6) 2 2" xfId="14224" xr:uid="{00000000-0005-0000-0000-000033370000}"/>
    <cellStyle name="Jelölőszín (6) 3" xfId="14225" xr:uid="{00000000-0005-0000-0000-000034370000}"/>
    <cellStyle name="Jelölőszín (6) 4" xfId="14226" xr:uid="{00000000-0005-0000-0000-000035370000}"/>
    <cellStyle name="Jelölőszín (6) 5" xfId="14227" xr:uid="{00000000-0005-0000-0000-000036370000}"/>
    <cellStyle name="Jelölőszín (6)_Procesplaat tbv QRT rapportage" xfId="14228" xr:uid="{00000000-0005-0000-0000-000037370000}"/>
    <cellStyle name="Komma" xfId="20703" builtinId="3"/>
    <cellStyle name="Komma 2" xfId="185" xr:uid="{00000000-0005-0000-0000-000038370000}"/>
    <cellStyle name="Komma 2 2" xfId="14229" xr:uid="{00000000-0005-0000-0000-000039370000}"/>
    <cellStyle name="Komma 2 3" xfId="14230" xr:uid="{00000000-0005-0000-0000-00003A370000}"/>
    <cellStyle name="Komma 3" xfId="245" xr:uid="{00000000-0005-0000-0000-00003B370000}"/>
    <cellStyle name="Komma 3 2" xfId="20678" xr:uid="{00000000-0005-0000-0000-00003C370000}"/>
    <cellStyle name="Komma 4" xfId="14231" xr:uid="{00000000-0005-0000-0000-00003D370000}"/>
    <cellStyle name="Komma 4 2" xfId="20681" xr:uid="{00000000-0005-0000-0000-00003E370000}"/>
    <cellStyle name="Laskenta" xfId="116" xr:uid="{00000000-0005-0000-0000-000041370000}"/>
    <cellStyle name="Laskenta 2" xfId="14232" xr:uid="{00000000-0005-0000-0000-000042370000}"/>
    <cellStyle name="Laskenta 2 2" xfId="14233" xr:uid="{00000000-0005-0000-0000-000043370000}"/>
    <cellStyle name="Laskenta 3" xfId="14234" xr:uid="{00000000-0005-0000-0000-000044370000}"/>
    <cellStyle name="Laskenta 4" xfId="14235" xr:uid="{00000000-0005-0000-0000-000045370000}"/>
    <cellStyle name="Laskenta 5" xfId="14236" xr:uid="{00000000-0005-0000-0000-000046370000}"/>
    <cellStyle name="Laskenta_Map2" xfId="14237" xr:uid="{00000000-0005-0000-0000-000047370000}"/>
    <cellStyle name="Lien hypertexte 2" xfId="14238" xr:uid="{00000000-0005-0000-0000-000048370000}"/>
    <cellStyle name="Linked Cell 10" xfId="14240" xr:uid="{00000000-0005-0000-0000-00004A370000}"/>
    <cellStyle name="Linked Cell 100" xfId="14241" xr:uid="{00000000-0005-0000-0000-00004B370000}"/>
    <cellStyle name="Linked Cell 1000" xfId="14242" xr:uid="{00000000-0005-0000-0000-00004C370000}"/>
    <cellStyle name="Linked Cell 1001" xfId="14243" xr:uid="{00000000-0005-0000-0000-00004D370000}"/>
    <cellStyle name="Linked Cell 1002" xfId="14244" xr:uid="{00000000-0005-0000-0000-00004E370000}"/>
    <cellStyle name="Linked Cell 1003" xfId="14245" xr:uid="{00000000-0005-0000-0000-00004F370000}"/>
    <cellStyle name="Linked Cell 1004" xfId="14246" xr:uid="{00000000-0005-0000-0000-000050370000}"/>
    <cellStyle name="Linked Cell 1005" xfId="14247" xr:uid="{00000000-0005-0000-0000-000051370000}"/>
    <cellStyle name="Linked Cell 1006" xfId="14248" xr:uid="{00000000-0005-0000-0000-000052370000}"/>
    <cellStyle name="Linked Cell 1007" xfId="14249" xr:uid="{00000000-0005-0000-0000-000053370000}"/>
    <cellStyle name="Linked Cell 1008" xfId="14250" xr:uid="{00000000-0005-0000-0000-000054370000}"/>
    <cellStyle name="Linked Cell 1009" xfId="14251" xr:uid="{00000000-0005-0000-0000-000055370000}"/>
    <cellStyle name="Linked Cell 101" xfId="14252" xr:uid="{00000000-0005-0000-0000-000056370000}"/>
    <cellStyle name="Linked Cell 1010" xfId="14253" xr:uid="{00000000-0005-0000-0000-000057370000}"/>
    <cellStyle name="Linked Cell 1011" xfId="14254" xr:uid="{00000000-0005-0000-0000-000058370000}"/>
    <cellStyle name="Linked Cell 1012" xfId="14255" xr:uid="{00000000-0005-0000-0000-000059370000}"/>
    <cellStyle name="Linked Cell 1013" xfId="14256" xr:uid="{00000000-0005-0000-0000-00005A370000}"/>
    <cellStyle name="Linked Cell 1014" xfId="14257" xr:uid="{00000000-0005-0000-0000-00005B370000}"/>
    <cellStyle name="Linked Cell 1015" xfId="14258" xr:uid="{00000000-0005-0000-0000-00005C370000}"/>
    <cellStyle name="Linked Cell 1016" xfId="14259" xr:uid="{00000000-0005-0000-0000-00005D370000}"/>
    <cellStyle name="Linked Cell 1017" xfId="14260" xr:uid="{00000000-0005-0000-0000-00005E370000}"/>
    <cellStyle name="Linked Cell 1018" xfId="14261" xr:uid="{00000000-0005-0000-0000-00005F370000}"/>
    <cellStyle name="Linked Cell 1019" xfId="14262" xr:uid="{00000000-0005-0000-0000-000060370000}"/>
    <cellStyle name="Linked Cell 102" xfId="14263" xr:uid="{00000000-0005-0000-0000-000061370000}"/>
    <cellStyle name="Linked Cell 1020" xfId="14264" xr:uid="{00000000-0005-0000-0000-000062370000}"/>
    <cellStyle name="Linked Cell 1021" xfId="14265" xr:uid="{00000000-0005-0000-0000-000063370000}"/>
    <cellStyle name="Linked Cell 1022" xfId="14266" xr:uid="{00000000-0005-0000-0000-000064370000}"/>
    <cellStyle name="Linked Cell 1023" xfId="14267" xr:uid="{00000000-0005-0000-0000-000065370000}"/>
    <cellStyle name="Linked Cell 1024" xfId="14268" xr:uid="{00000000-0005-0000-0000-000066370000}"/>
    <cellStyle name="Linked Cell 1025" xfId="14269" xr:uid="{00000000-0005-0000-0000-000067370000}"/>
    <cellStyle name="Linked Cell 1026" xfId="14270" xr:uid="{00000000-0005-0000-0000-000068370000}"/>
    <cellStyle name="Linked Cell 1027" xfId="14271" xr:uid="{00000000-0005-0000-0000-000069370000}"/>
    <cellStyle name="Linked Cell 1028" xfId="14272" xr:uid="{00000000-0005-0000-0000-00006A370000}"/>
    <cellStyle name="Linked Cell 1029" xfId="14273" xr:uid="{00000000-0005-0000-0000-00006B370000}"/>
    <cellStyle name="Linked Cell 103" xfId="14274" xr:uid="{00000000-0005-0000-0000-00006C370000}"/>
    <cellStyle name="Linked Cell 1030" xfId="14275" xr:uid="{00000000-0005-0000-0000-00006D370000}"/>
    <cellStyle name="Linked Cell 1031" xfId="14276" xr:uid="{00000000-0005-0000-0000-00006E370000}"/>
    <cellStyle name="Linked Cell 1032" xfId="14277" xr:uid="{00000000-0005-0000-0000-00006F370000}"/>
    <cellStyle name="Linked Cell 1033" xfId="14278" xr:uid="{00000000-0005-0000-0000-000070370000}"/>
    <cellStyle name="Linked Cell 1034" xfId="14279" xr:uid="{00000000-0005-0000-0000-000071370000}"/>
    <cellStyle name="Linked Cell 1035" xfId="14280" xr:uid="{00000000-0005-0000-0000-000072370000}"/>
    <cellStyle name="Linked Cell 1036" xfId="14281" xr:uid="{00000000-0005-0000-0000-000073370000}"/>
    <cellStyle name="Linked Cell 1037" xfId="14282" xr:uid="{00000000-0005-0000-0000-000074370000}"/>
    <cellStyle name="Linked Cell 1038" xfId="14283" xr:uid="{00000000-0005-0000-0000-000075370000}"/>
    <cellStyle name="Linked Cell 1039" xfId="14284" xr:uid="{00000000-0005-0000-0000-000076370000}"/>
    <cellStyle name="Linked Cell 104" xfId="14285" xr:uid="{00000000-0005-0000-0000-000077370000}"/>
    <cellStyle name="Linked Cell 1040" xfId="14286" xr:uid="{00000000-0005-0000-0000-000078370000}"/>
    <cellStyle name="Linked Cell 1041" xfId="14287" xr:uid="{00000000-0005-0000-0000-000079370000}"/>
    <cellStyle name="Linked Cell 1042" xfId="14288" xr:uid="{00000000-0005-0000-0000-00007A370000}"/>
    <cellStyle name="Linked Cell 1043" xfId="14289" xr:uid="{00000000-0005-0000-0000-00007B370000}"/>
    <cellStyle name="Linked Cell 1044" xfId="14290" xr:uid="{00000000-0005-0000-0000-00007C370000}"/>
    <cellStyle name="Linked Cell 1045" xfId="14291" xr:uid="{00000000-0005-0000-0000-00007D370000}"/>
    <cellStyle name="Linked Cell 1046" xfId="14292" xr:uid="{00000000-0005-0000-0000-00007E370000}"/>
    <cellStyle name="Linked Cell 1047" xfId="14293" xr:uid="{00000000-0005-0000-0000-00007F370000}"/>
    <cellStyle name="Linked Cell 1048" xfId="14294" xr:uid="{00000000-0005-0000-0000-000080370000}"/>
    <cellStyle name="Linked Cell 1049" xfId="14295" xr:uid="{00000000-0005-0000-0000-000081370000}"/>
    <cellStyle name="Linked Cell 105" xfId="14296" xr:uid="{00000000-0005-0000-0000-000082370000}"/>
    <cellStyle name="Linked Cell 1050" xfId="14297" xr:uid="{00000000-0005-0000-0000-000083370000}"/>
    <cellStyle name="Linked Cell 1051" xfId="14298" xr:uid="{00000000-0005-0000-0000-000084370000}"/>
    <cellStyle name="Linked Cell 1052" xfId="14299" xr:uid="{00000000-0005-0000-0000-000085370000}"/>
    <cellStyle name="Linked Cell 1053" xfId="14300" xr:uid="{00000000-0005-0000-0000-000086370000}"/>
    <cellStyle name="Linked Cell 1054" xfId="14301" xr:uid="{00000000-0005-0000-0000-000087370000}"/>
    <cellStyle name="Linked Cell 1055" xfId="14302" xr:uid="{00000000-0005-0000-0000-000088370000}"/>
    <cellStyle name="Linked Cell 1056" xfId="14303" xr:uid="{00000000-0005-0000-0000-000089370000}"/>
    <cellStyle name="Linked Cell 1057" xfId="14304" xr:uid="{00000000-0005-0000-0000-00008A370000}"/>
    <cellStyle name="Linked Cell 1058" xfId="14305" xr:uid="{00000000-0005-0000-0000-00008B370000}"/>
    <cellStyle name="Linked Cell 1059" xfId="14306" xr:uid="{00000000-0005-0000-0000-00008C370000}"/>
    <cellStyle name="Linked Cell 106" xfId="14307" xr:uid="{00000000-0005-0000-0000-00008D370000}"/>
    <cellStyle name="Linked Cell 1060" xfId="14308" xr:uid="{00000000-0005-0000-0000-00008E370000}"/>
    <cellStyle name="Linked Cell 1061" xfId="14309" xr:uid="{00000000-0005-0000-0000-00008F370000}"/>
    <cellStyle name="Linked Cell 1062" xfId="14310" xr:uid="{00000000-0005-0000-0000-000090370000}"/>
    <cellStyle name="Linked Cell 1063" xfId="14311" xr:uid="{00000000-0005-0000-0000-000091370000}"/>
    <cellStyle name="Linked Cell 1064" xfId="14312" xr:uid="{00000000-0005-0000-0000-000092370000}"/>
    <cellStyle name="Linked Cell 1065" xfId="14313" xr:uid="{00000000-0005-0000-0000-000093370000}"/>
    <cellStyle name="Linked Cell 1066" xfId="14314" xr:uid="{00000000-0005-0000-0000-000094370000}"/>
    <cellStyle name="Linked Cell 1067" xfId="14315" xr:uid="{00000000-0005-0000-0000-000095370000}"/>
    <cellStyle name="Linked Cell 1068" xfId="14316" xr:uid="{00000000-0005-0000-0000-000096370000}"/>
    <cellStyle name="Linked Cell 1069" xfId="14317" xr:uid="{00000000-0005-0000-0000-000097370000}"/>
    <cellStyle name="Linked Cell 107" xfId="14318" xr:uid="{00000000-0005-0000-0000-000098370000}"/>
    <cellStyle name="Linked Cell 1070" xfId="14319" xr:uid="{00000000-0005-0000-0000-000099370000}"/>
    <cellStyle name="Linked Cell 1071" xfId="14320" xr:uid="{00000000-0005-0000-0000-00009A370000}"/>
    <cellStyle name="Linked Cell 1072" xfId="14321" xr:uid="{00000000-0005-0000-0000-00009B370000}"/>
    <cellStyle name="Linked Cell 1073" xfId="14322" xr:uid="{00000000-0005-0000-0000-00009C370000}"/>
    <cellStyle name="Linked Cell 1074" xfId="14323" xr:uid="{00000000-0005-0000-0000-00009D370000}"/>
    <cellStyle name="Linked Cell 1075" xfId="14324" xr:uid="{00000000-0005-0000-0000-00009E370000}"/>
    <cellStyle name="Linked Cell 1076" xfId="14325" xr:uid="{00000000-0005-0000-0000-00009F370000}"/>
    <cellStyle name="Linked Cell 1077" xfId="14326" xr:uid="{00000000-0005-0000-0000-0000A0370000}"/>
    <cellStyle name="Linked Cell 1078" xfId="14327" xr:uid="{00000000-0005-0000-0000-0000A1370000}"/>
    <cellStyle name="Linked Cell 1079" xfId="14328" xr:uid="{00000000-0005-0000-0000-0000A2370000}"/>
    <cellStyle name="Linked Cell 108" xfId="14329" xr:uid="{00000000-0005-0000-0000-0000A3370000}"/>
    <cellStyle name="Linked Cell 1080" xfId="14330" xr:uid="{00000000-0005-0000-0000-0000A4370000}"/>
    <cellStyle name="Linked Cell 1081" xfId="14331" xr:uid="{00000000-0005-0000-0000-0000A5370000}"/>
    <cellStyle name="Linked Cell 1082" xfId="14332" xr:uid="{00000000-0005-0000-0000-0000A6370000}"/>
    <cellStyle name="Linked Cell 1083" xfId="14333" xr:uid="{00000000-0005-0000-0000-0000A7370000}"/>
    <cellStyle name="Linked Cell 1084" xfId="14334" xr:uid="{00000000-0005-0000-0000-0000A8370000}"/>
    <cellStyle name="Linked Cell 1085" xfId="14335" xr:uid="{00000000-0005-0000-0000-0000A9370000}"/>
    <cellStyle name="Linked Cell 1086" xfId="14336" xr:uid="{00000000-0005-0000-0000-0000AA370000}"/>
    <cellStyle name="Linked Cell 1087" xfId="14337" xr:uid="{00000000-0005-0000-0000-0000AB370000}"/>
    <cellStyle name="Linked Cell 1088" xfId="14338" xr:uid="{00000000-0005-0000-0000-0000AC370000}"/>
    <cellStyle name="Linked Cell 1089" xfId="14339" xr:uid="{00000000-0005-0000-0000-0000AD370000}"/>
    <cellStyle name="Linked Cell 109" xfId="14340" xr:uid="{00000000-0005-0000-0000-0000AE370000}"/>
    <cellStyle name="Linked Cell 1090" xfId="14341" xr:uid="{00000000-0005-0000-0000-0000AF370000}"/>
    <cellStyle name="Linked Cell 1091" xfId="14342" xr:uid="{00000000-0005-0000-0000-0000B0370000}"/>
    <cellStyle name="Linked Cell 1092" xfId="14343" xr:uid="{00000000-0005-0000-0000-0000B1370000}"/>
    <cellStyle name="Linked Cell 1093" xfId="14344" xr:uid="{00000000-0005-0000-0000-0000B2370000}"/>
    <cellStyle name="Linked Cell 1094" xfId="14345" xr:uid="{00000000-0005-0000-0000-0000B3370000}"/>
    <cellStyle name="Linked Cell 1095" xfId="14346" xr:uid="{00000000-0005-0000-0000-0000B4370000}"/>
    <cellStyle name="Linked Cell 1096" xfId="14347" xr:uid="{00000000-0005-0000-0000-0000B5370000}"/>
    <cellStyle name="Linked Cell 1097" xfId="14348" xr:uid="{00000000-0005-0000-0000-0000B6370000}"/>
    <cellStyle name="Linked Cell 1098" xfId="14349" xr:uid="{00000000-0005-0000-0000-0000B7370000}"/>
    <cellStyle name="Linked Cell 1099" xfId="14350" xr:uid="{00000000-0005-0000-0000-0000B8370000}"/>
    <cellStyle name="Linked Cell 11" xfId="14351" xr:uid="{00000000-0005-0000-0000-0000B9370000}"/>
    <cellStyle name="Linked Cell 110" xfId="14352" xr:uid="{00000000-0005-0000-0000-0000BA370000}"/>
    <cellStyle name="Linked Cell 1100" xfId="14353" xr:uid="{00000000-0005-0000-0000-0000BB370000}"/>
    <cellStyle name="Linked Cell 1101" xfId="14354" xr:uid="{00000000-0005-0000-0000-0000BC370000}"/>
    <cellStyle name="Linked Cell 1102" xfId="14355" xr:uid="{00000000-0005-0000-0000-0000BD370000}"/>
    <cellStyle name="Linked Cell 1103" xfId="14356" xr:uid="{00000000-0005-0000-0000-0000BE370000}"/>
    <cellStyle name="Linked Cell 1104" xfId="14357" xr:uid="{00000000-0005-0000-0000-0000BF370000}"/>
    <cellStyle name="Linked Cell 1105" xfId="14358" xr:uid="{00000000-0005-0000-0000-0000C0370000}"/>
    <cellStyle name="Linked Cell 1106" xfId="14359" xr:uid="{00000000-0005-0000-0000-0000C1370000}"/>
    <cellStyle name="Linked Cell 1107" xfId="14360" xr:uid="{00000000-0005-0000-0000-0000C2370000}"/>
    <cellStyle name="Linked Cell 1108" xfId="14361" xr:uid="{00000000-0005-0000-0000-0000C3370000}"/>
    <cellStyle name="Linked Cell 1109" xfId="14362" xr:uid="{00000000-0005-0000-0000-0000C4370000}"/>
    <cellStyle name="Linked Cell 111" xfId="14363" xr:uid="{00000000-0005-0000-0000-0000C5370000}"/>
    <cellStyle name="Linked Cell 1110" xfId="14364" xr:uid="{00000000-0005-0000-0000-0000C6370000}"/>
    <cellStyle name="Linked Cell 1111" xfId="14365" xr:uid="{00000000-0005-0000-0000-0000C7370000}"/>
    <cellStyle name="Linked Cell 1112" xfId="14366" xr:uid="{00000000-0005-0000-0000-0000C8370000}"/>
    <cellStyle name="Linked Cell 1113" xfId="14367" xr:uid="{00000000-0005-0000-0000-0000C9370000}"/>
    <cellStyle name="Linked Cell 1114" xfId="14368" xr:uid="{00000000-0005-0000-0000-0000CA370000}"/>
    <cellStyle name="Linked Cell 1115" xfId="14369" xr:uid="{00000000-0005-0000-0000-0000CB370000}"/>
    <cellStyle name="Linked Cell 1116" xfId="14370" xr:uid="{00000000-0005-0000-0000-0000CC370000}"/>
    <cellStyle name="Linked Cell 1117" xfId="14371" xr:uid="{00000000-0005-0000-0000-0000CD370000}"/>
    <cellStyle name="Linked Cell 1118" xfId="14372" xr:uid="{00000000-0005-0000-0000-0000CE370000}"/>
    <cellStyle name="Linked Cell 1119" xfId="14373" xr:uid="{00000000-0005-0000-0000-0000CF370000}"/>
    <cellStyle name="Linked Cell 112" xfId="14374" xr:uid="{00000000-0005-0000-0000-0000D0370000}"/>
    <cellStyle name="Linked Cell 1120" xfId="14375" xr:uid="{00000000-0005-0000-0000-0000D1370000}"/>
    <cellStyle name="Linked Cell 1121" xfId="14376" xr:uid="{00000000-0005-0000-0000-0000D2370000}"/>
    <cellStyle name="Linked Cell 1122" xfId="14377" xr:uid="{00000000-0005-0000-0000-0000D3370000}"/>
    <cellStyle name="Linked Cell 1123" xfId="14378" xr:uid="{00000000-0005-0000-0000-0000D4370000}"/>
    <cellStyle name="Linked Cell 1124" xfId="14379" xr:uid="{00000000-0005-0000-0000-0000D5370000}"/>
    <cellStyle name="Linked Cell 1125" xfId="14380" xr:uid="{00000000-0005-0000-0000-0000D6370000}"/>
    <cellStyle name="Linked Cell 1126" xfId="14381" xr:uid="{00000000-0005-0000-0000-0000D7370000}"/>
    <cellStyle name="Linked Cell 1127" xfId="14382" xr:uid="{00000000-0005-0000-0000-0000D8370000}"/>
    <cellStyle name="Linked Cell 1128" xfId="14383" xr:uid="{00000000-0005-0000-0000-0000D9370000}"/>
    <cellStyle name="Linked Cell 1129" xfId="14384" xr:uid="{00000000-0005-0000-0000-0000DA370000}"/>
    <cellStyle name="Linked Cell 113" xfId="14385" xr:uid="{00000000-0005-0000-0000-0000DB370000}"/>
    <cellStyle name="Linked Cell 1130" xfId="14386" xr:uid="{00000000-0005-0000-0000-0000DC370000}"/>
    <cellStyle name="Linked Cell 1131" xfId="14387" xr:uid="{00000000-0005-0000-0000-0000DD370000}"/>
    <cellStyle name="Linked Cell 1132" xfId="14388" xr:uid="{00000000-0005-0000-0000-0000DE370000}"/>
    <cellStyle name="Linked Cell 1133" xfId="14389" xr:uid="{00000000-0005-0000-0000-0000DF370000}"/>
    <cellStyle name="Linked Cell 1134" xfId="14390" xr:uid="{00000000-0005-0000-0000-0000E0370000}"/>
    <cellStyle name="Linked Cell 1135" xfId="14391" xr:uid="{00000000-0005-0000-0000-0000E1370000}"/>
    <cellStyle name="Linked Cell 1136" xfId="14392" xr:uid="{00000000-0005-0000-0000-0000E2370000}"/>
    <cellStyle name="Linked Cell 1137" xfId="14393" xr:uid="{00000000-0005-0000-0000-0000E3370000}"/>
    <cellStyle name="Linked Cell 1138" xfId="14394" xr:uid="{00000000-0005-0000-0000-0000E4370000}"/>
    <cellStyle name="Linked Cell 1139" xfId="14395" xr:uid="{00000000-0005-0000-0000-0000E5370000}"/>
    <cellStyle name="Linked Cell 114" xfId="14396" xr:uid="{00000000-0005-0000-0000-0000E6370000}"/>
    <cellStyle name="Linked Cell 1140" xfId="14397" xr:uid="{00000000-0005-0000-0000-0000E7370000}"/>
    <cellStyle name="Linked Cell 1141" xfId="14398" xr:uid="{00000000-0005-0000-0000-0000E8370000}"/>
    <cellStyle name="Linked Cell 1142" xfId="14399" xr:uid="{00000000-0005-0000-0000-0000E9370000}"/>
    <cellStyle name="Linked Cell 1143" xfId="14400" xr:uid="{00000000-0005-0000-0000-0000EA370000}"/>
    <cellStyle name="Linked Cell 1144" xfId="14401" xr:uid="{00000000-0005-0000-0000-0000EB370000}"/>
    <cellStyle name="Linked Cell 1145" xfId="14402" xr:uid="{00000000-0005-0000-0000-0000EC370000}"/>
    <cellStyle name="Linked Cell 1146" xfId="14403" xr:uid="{00000000-0005-0000-0000-0000ED370000}"/>
    <cellStyle name="Linked Cell 1147" xfId="14404" xr:uid="{00000000-0005-0000-0000-0000EE370000}"/>
    <cellStyle name="Linked Cell 1148" xfId="14405" xr:uid="{00000000-0005-0000-0000-0000EF370000}"/>
    <cellStyle name="Linked Cell 1149" xfId="14406" xr:uid="{00000000-0005-0000-0000-0000F0370000}"/>
    <cellStyle name="Linked Cell 115" xfId="14407" xr:uid="{00000000-0005-0000-0000-0000F1370000}"/>
    <cellStyle name="Linked Cell 1150" xfId="14408" xr:uid="{00000000-0005-0000-0000-0000F2370000}"/>
    <cellStyle name="Linked Cell 1151" xfId="14409" xr:uid="{00000000-0005-0000-0000-0000F3370000}"/>
    <cellStyle name="Linked Cell 1152" xfId="14410" xr:uid="{00000000-0005-0000-0000-0000F4370000}"/>
    <cellStyle name="Linked Cell 1153" xfId="14411" xr:uid="{00000000-0005-0000-0000-0000F5370000}"/>
    <cellStyle name="Linked Cell 1154" xfId="14412" xr:uid="{00000000-0005-0000-0000-0000F6370000}"/>
    <cellStyle name="Linked Cell 1155" xfId="14413" xr:uid="{00000000-0005-0000-0000-0000F7370000}"/>
    <cellStyle name="Linked Cell 1156" xfId="14414" xr:uid="{00000000-0005-0000-0000-0000F8370000}"/>
    <cellStyle name="Linked Cell 1157" xfId="14415" xr:uid="{00000000-0005-0000-0000-0000F9370000}"/>
    <cellStyle name="Linked Cell 1158" xfId="14416" xr:uid="{00000000-0005-0000-0000-0000FA370000}"/>
    <cellStyle name="Linked Cell 1159" xfId="14417" xr:uid="{00000000-0005-0000-0000-0000FB370000}"/>
    <cellStyle name="Linked Cell 116" xfId="14418" xr:uid="{00000000-0005-0000-0000-0000FC370000}"/>
    <cellStyle name="Linked Cell 1160" xfId="14419" xr:uid="{00000000-0005-0000-0000-0000FD370000}"/>
    <cellStyle name="Linked Cell 117" xfId="14420" xr:uid="{00000000-0005-0000-0000-0000FE370000}"/>
    <cellStyle name="Linked Cell 118" xfId="14421" xr:uid="{00000000-0005-0000-0000-0000FF370000}"/>
    <cellStyle name="Linked Cell 119" xfId="14422" xr:uid="{00000000-0005-0000-0000-000000380000}"/>
    <cellStyle name="Linked Cell 12" xfId="14423" xr:uid="{00000000-0005-0000-0000-000001380000}"/>
    <cellStyle name="Linked Cell 120" xfId="14424" xr:uid="{00000000-0005-0000-0000-000002380000}"/>
    <cellStyle name="Linked Cell 121" xfId="14425" xr:uid="{00000000-0005-0000-0000-000003380000}"/>
    <cellStyle name="Linked Cell 122" xfId="14426" xr:uid="{00000000-0005-0000-0000-000004380000}"/>
    <cellStyle name="Linked Cell 123" xfId="14427" xr:uid="{00000000-0005-0000-0000-000005380000}"/>
    <cellStyle name="Linked Cell 124" xfId="14428" xr:uid="{00000000-0005-0000-0000-000006380000}"/>
    <cellStyle name="Linked Cell 125" xfId="14429" xr:uid="{00000000-0005-0000-0000-000007380000}"/>
    <cellStyle name="Linked Cell 126" xfId="14430" xr:uid="{00000000-0005-0000-0000-000008380000}"/>
    <cellStyle name="Linked Cell 127" xfId="14431" xr:uid="{00000000-0005-0000-0000-000009380000}"/>
    <cellStyle name="Linked Cell 128" xfId="14432" xr:uid="{00000000-0005-0000-0000-00000A380000}"/>
    <cellStyle name="Linked Cell 129" xfId="14433" xr:uid="{00000000-0005-0000-0000-00000B380000}"/>
    <cellStyle name="Linked Cell 13" xfId="14434" xr:uid="{00000000-0005-0000-0000-00000C380000}"/>
    <cellStyle name="Linked Cell 130" xfId="14435" xr:uid="{00000000-0005-0000-0000-00000D380000}"/>
    <cellStyle name="Linked Cell 131" xfId="14436" xr:uid="{00000000-0005-0000-0000-00000E380000}"/>
    <cellStyle name="Linked Cell 132" xfId="14437" xr:uid="{00000000-0005-0000-0000-00000F380000}"/>
    <cellStyle name="Linked Cell 133" xfId="14438" xr:uid="{00000000-0005-0000-0000-000010380000}"/>
    <cellStyle name="Linked Cell 134" xfId="14439" xr:uid="{00000000-0005-0000-0000-000011380000}"/>
    <cellStyle name="Linked Cell 135" xfId="14440" xr:uid="{00000000-0005-0000-0000-000012380000}"/>
    <cellStyle name="Linked Cell 136" xfId="14441" xr:uid="{00000000-0005-0000-0000-000013380000}"/>
    <cellStyle name="Linked Cell 137" xfId="14442" xr:uid="{00000000-0005-0000-0000-000014380000}"/>
    <cellStyle name="Linked Cell 138" xfId="14443" xr:uid="{00000000-0005-0000-0000-000015380000}"/>
    <cellStyle name="Linked Cell 139" xfId="14444" xr:uid="{00000000-0005-0000-0000-000016380000}"/>
    <cellStyle name="Linked Cell 14" xfId="14445" xr:uid="{00000000-0005-0000-0000-000017380000}"/>
    <cellStyle name="Linked Cell 140" xfId="14446" xr:uid="{00000000-0005-0000-0000-000018380000}"/>
    <cellStyle name="Linked Cell 141" xfId="14447" xr:uid="{00000000-0005-0000-0000-000019380000}"/>
    <cellStyle name="Linked Cell 142" xfId="14448" xr:uid="{00000000-0005-0000-0000-00001A380000}"/>
    <cellStyle name="Linked Cell 143" xfId="14449" xr:uid="{00000000-0005-0000-0000-00001B380000}"/>
    <cellStyle name="Linked Cell 144" xfId="14450" xr:uid="{00000000-0005-0000-0000-00001C380000}"/>
    <cellStyle name="Linked Cell 145" xfId="14451" xr:uid="{00000000-0005-0000-0000-00001D380000}"/>
    <cellStyle name="Linked Cell 146" xfId="14452" xr:uid="{00000000-0005-0000-0000-00001E380000}"/>
    <cellStyle name="Linked Cell 147" xfId="14453" xr:uid="{00000000-0005-0000-0000-00001F380000}"/>
    <cellStyle name="Linked Cell 148" xfId="14454" xr:uid="{00000000-0005-0000-0000-000020380000}"/>
    <cellStyle name="Linked Cell 149" xfId="14455" xr:uid="{00000000-0005-0000-0000-000021380000}"/>
    <cellStyle name="Linked Cell 15" xfId="14456" xr:uid="{00000000-0005-0000-0000-000022380000}"/>
    <cellStyle name="Linked Cell 150" xfId="14457" xr:uid="{00000000-0005-0000-0000-000023380000}"/>
    <cellStyle name="Linked Cell 151" xfId="14458" xr:uid="{00000000-0005-0000-0000-000024380000}"/>
    <cellStyle name="Linked Cell 152" xfId="14459" xr:uid="{00000000-0005-0000-0000-000025380000}"/>
    <cellStyle name="Linked Cell 153" xfId="14460" xr:uid="{00000000-0005-0000-0000-000026380000}"/>
    <cellStyle name="Linked Cell 154" xfId="14461" xr:uid="{00000000-0005-0000-0000-000027380000}"/>
    <cellStyle name="Linked Cell 155" xfId="14462" xr:uid="{00000000-0005-0000-0000-000028380000}"/>
    <cellStyle name="Linked Cell 156" xfId="14463" xr:uid="{00000000-0005-0000-0000-000029380000}"/>
    <cellStyle name="Linked Cell 157" xfId="14464" xr:uid="{00000000-0005-0000-0000-00002A380000}"/>
    <cellStyle name="Linked Cell 158" xfId="14465" xr:uid="{00000000-0005-0000-0000-00002B380000}"/>
    <cellStyle name="Linked Cell 159" xfId="14466" xr:uid="{00000000-0005-0000-0000-00002C380000}"/>
    <cellStyle name="Linked Cell 16" xfId="14467" xr:uid="{00000000-0005-0000-0000-00002D380000}"/>
    <cellStyle name="Linked Cell 160" xfId="14468" xr:uid="{00000000-0005-0000-0000-00002E380000}"/>
    <cellStyle name="Linked Cell 161" xfId="14469" xr:uid="{00000000-0005-0000-0000-00002F380000}"/>
    <cellStyle name="Linked Cell 162" xfId="14470" xr:uid="{00000000-0005-0000-0000-000030380000}"/>
    <cellStyle name="Linked Cell 163" xfId="14471" xr:uid="{00000000-0005-0000-0000-000031380000}"/>
    <cellStyle name="Linked Cell 164" xfId="14472" xr:uid="{00000000-0005-0000-0000-000032380000}"/>
    <cellStyle name="Linked Cell 165" xfId="14473" xr:uid="{00000000-0005-0000-0000-000033380000}"/>
    <cellStyle name="Linked Cell 166" xfId="14474" xr:uid="{00000000-0005-0000-0000-000034380000}"/>
    <cellStyle name="Linked Cell 167" xfId="14475" xr:uid="{00000000-0005-0000-0000-000035380000}"/>
    <cellStyle name="Linked Cell 168" xfId="14476" xr:uid="{00000000-0005-0000-0000-000036380000}"/>
    <cellStyle name="Linked Cell 169" xfId="14477" xr:uid="{00000000-0005-0000-0000-000037380000}"/>
    <cellStyle name="Linked Cell 17" xfId="14478" xr:uid="{00000000-0005-0000-0000-000038380000}"/>
    <cellStyle name="Linked Cell 170" xfId="14479" xr:uid="{00000000-0005-0000-0000-000039380000}"/>
    <cellStyle name="Linked Cell 171" xfId="14480" xr:uid="{00000000-0005-0000-0000-00003A380000}"/>
    <cellStyle name="Linked Cell 172" xfId="14481" xr:uid="{00000000-0005-0000-0000-00003B380000}"/>
    <cellStyle name="Linked Cell 173" xfId="14482" xr:uid="{00000000-0005-0000-0000-00003C380000}"/>
    <cellStyle name="Linked Cell 174" xfId="14483" xr:uid="{00000000-0005-0000-0000-00003D380000}"/>
    <cellStyle name="Linked Cell 175" xfId="14484" xr:uid="{00000000-0005-0000-0000-00003E380000}"/>
    <cellStyle name="Linked Cell 176" xfId="14485" xr:uid="{00000000-0005-0000-0000-00003F380000}"/>
    <cellStyle name="Linked Cell 177" xfId="14486" xr:uid="{00000000-0005-0000-0000-000040380000}"/>
    <cellStyle name="Linked Cell 178" xfId="14487" xr:uid="{00000000-0005-0000-0000-000041380000}"/>
    <cellStyle name="Linked Cell 179" xfId="14488" xr:uid="{00000000-0005-0000-0000-000042380000}"/>
    <cellStyle name="Linked Cell 18" xfId="14489" xr:uid="{00000000-0005-0000-0000-000043380000}"/>
    <cellStyle name="Linked Cell 180" xfId="14490" xr:uid="{00000000-0005-0000-0000-000044380000}"/>
    <cellStyle name="Linked Cell 181" xfId="14491" xr:uid="{00000000-0005-0000-0000-000045380000}"/>
    <cellStyle name="Linked Cell 182" xfId="14492" xr:uid="{00000000-0005-0000-0000-000046380000}"/>
    <cellStyle name="Linked Cell 183" xfId="14493" xr:uid="{00000000-0005-0000-0000-000047380000}"/>
    <cellStyle name="Linked Cell 184" xfId="14494" xr:uid="{00000000-0005-0000-0000-000048380000}"/>
    <cellStyle name="Linked Cell 185" xfId="14495" xr:uid="{00000000-0005-0000-0000-000049380000}"/>
    <cellStyle name="Linked Cell 186" xfId="14496" xr:uid="{00000000-0005-0000-0000-00004A380000}"/>
    <cellStyle name="Linked Cell 187" xfId="14497" xr:uid="{00000000-0005-0000-0000-00004B380000}"/>
    <cellStyle name="Linked Cell 188" xfId="14498" xr:uid="{00000000-0005-0000-0000-00004C380000}"/>
    <cellStyle name="Linked Cell 189" xfId="14499" xr:uid="{00000000-0005-0000-0000-00004D380000}"/>
    <cellStyle name="Linked Cell 19" xfId="14500" xr:uid="{00000000-0005-0000-0000-00004E380000}"/>
    <cellStyle name="Linked Cell 190" xfId="14501" xr:uid="{00000000-0005-0000-0000-00004F380000}"/>
    <cellStyle name="Linked Cell 191" xfId="14502" xr:uid="{00000000-0005-0000-0000-000050380000}"/>
    <cellStyle name="Linked Cell 192" xfId="14503" xr:uid="{00000000-0005-0000-0000-000051380000}"/>
    <cellStyle name="Linked Cell 193" xfId="14504" xr:uid="{00000000-0005-0000-0000-000052380000}"/>
    <cellStyle name="Linked Cell 194" xfId="14505" xr:uid="{00000000-0005-0000-0000-000053380000}"/>
    <cellStyle name="Linked Cell 195" xfId="14506" xr:uid="{00000000-0005-0000-0000-000054380000}"/>
    <cellStyle name="Linked Cell 196" xfId="14507" xr:uid="{00000000-0005-0000-0000-000055380000}"/>
    <cellStyle name="Linked Cell 197" xfId="14508" xr:uid="{00000000-0005-0000-0000-000056380000}"/>
    <cellStyle name="Linked Cell 198" xfId="14509" xr:uid="{00000000-0005-0000-0000-000057380000}"/>
    <cellStyle name="Linked Cell 199" xfId="14510" xr:uid="{00000000-0005-0000-0000-000058380000}"/>
    <cellStyle name="Linked Cell 2" xfId="224" xr:uid="{00000000-0005-0000-0000-000059380000}"/>
    <cellStyle name="Linked Cell 2 2" xfId="14511" xr:uid="{00000000-0005-0000-0000-00005A380000}"/>
    <cellStyle name="Linked Cell 2 3" xfId="14512" xr:uid="{00000000-0005-0000-0000-00005B380000}"/>
    <cellStyle name="Linked Cell 20" xfId="14513" xr:uid="{00000000-0005-0000-0000-00005C380000}"/>
    <cellStyle name="Linked Cell 200" xfId="14514" xr:uid="{00000000-0005-0000-0000-00005D380000}"/>
    <cellStyle name="Linked Cell 201" xfId="14515" xr:uid="{00000000-0005-0000-0000-00005E380000}"/>
    <cellStyle name="Linked Cell 202" xfId="14516" xr:uid="{00000000-0005-0000-0000-00005F380000}"/>
    <cellStyle name="Linked Cell 203" xfId="14517" xr:uid="{00000000-0005-0000-0000-000060380000}"/>
    <cellStyle name="Linked Cell 204" xfId="14518" xr:uid="{00000000-0005-0000-0000-000061380000}"/>
    <cellStyle name="Linked Cell 205" xfId="14519" xr:uid="{00000000-0005-0000-0000-000062380000}"/>
    <cellStyle name="Linked Cell 206" xfId="14520" xr:uid="{00000000-0005-0000-0000-000063380000}"/>
    <cellStyle name="Linked Cell 207" xfId="14521" xr:uid="{00000000-0005-0000-0000-000064380000}"/>
    <cellStyle name="Linked Cell 208" xfId="14522" xr:uid="{00000000-0005-0000-0000-000065380000}"/>
    <cellStyle name="Linked Cell 209" xfId="14523" xr:uid="{00000000-0005-0000-0000-000066380000}"/>
    <cellStyle name="Linked Cell 21" xfId="14524" xr:uid="{00000000-0005-0000-0000-000067380000}"/>
    <cellStyle name="Linked Cell 210" xfId="14525" xr:uid="{00000000-0005-0000-0000-000068380000}"/>
    <cellStyle name="Linked Cell 211" xfId="14526" xr:uid="{00000000-0005-0000-0000-000069380000}"/>
    <cellStyle name="Linked Cell 212" xfId="14527" xr:uid="{00000000-0005-0000-0000-00006A380000}"/>
    <cellStyle name="Linked Cell 213" xfId="14528" xr:uid="{00000000-0005-0000-0000-00006B380000}"/>
    <cellStyle name="Linked Cell 214" xfId="14529" xr:uid="{00000000-0005-0000-0000-00006C380000}"/>
    <cellStyle name="Linked Cell 215" xfId="14530" xr:uid="{00000000-0005-0000-0000-00006D380000}"/>
    <cellStyle name="Linked Cell 216" xfId="14531" xr:uid="{00000000-0005-0000-0000-00006E380000}"/>
    <cellStyle name="Linked Cell 217" xfId="14532" xr:uid="{00000000-0005-0000-0000-00006F380000}"/>
    <cellStyle name="Linked Cell 218" xfId="14533" xr:uid="{00000000-0005-0000-0000-000070380000}"/>
    <cellStyle name="Linked Cell 219" xfId="14534" xr:uid="{00000000-0005-0000-0000-000071380000}"/>
    <cellStyle name="Linked Cell 22" xfId="14535" xr:uid="{00000000-0005-0000-0000-000072380000}"/>
    <cellStyle name="Linked Cell 220" xfId="14536" xr:uid="{00000000-0005-0000-0000-000073380000}"/>
    <cellStyle name="Linked Cell 221" xfId="14537" xr:uid="{00000000-0005-0000-0000-000074380000}"/>
    <cellStyle name="Linked Cell 222" xfId="14538" xr:uid="{00000000-0005-0000-0000-000075380000}"/>
    <cellStyle name="Linked Cell 223" xfId="14539" xr:uid="{00000000-0005-0000-0000-000076380000}"/>
    <cellStyle name="Linked Cell 224" xfId="14540" xr:uid="{00000000-0005-0000-0000-000077380000}"/>
    <cellStyle name="Linked Cell 225" xfId="14541" xr:uid="{00000000-0005-0000-0000-000078380000}"/>
    <cellStyle name="Linked Cell 226" xfId="14542" xr:uid="{00000000-0005-0000-0000-000079380000}"/>
    <cellStyle name="Linked Cell 227" xfId="14543" xr:uid="{00000000-0005-0000-0000-00007A380000}"/>
    <cellStyle name="Linked Cell 228" xfId="14544" xr:uid="{00000000-0005-0000-0000-00007B380000}"/>
    <cellStyle name="Linked Cell 229" xfId="14545" xr:uid="{00000000-0005-0000-0000-00007C380000}"/>
    <cellStyle name="Linked Cell 23" xfId="14546" xr:uid="{00000000-0005-0000-0000-00007D380000}"/>
    <cellStyle name="Linked Cell 230" xfId="14547" xr:uid="{00000000-0005-0000-0000-00007E380000}"/>
    <cellStyle name="Linked Cell 231" xfId="14548" xr:uid="{00000000-0005-0000-0000-00007F380000}"/>
    <cellStyle name="Linked Cell 232" xfId="14549" xr:uid="{00000000-0005-0000-0000-000080380000}"/>
    <cellStyle name="Linked Cell 233" xfId="14550" xr:uid="{00000000-0005-0000-0000-000081380000}"/>
    <cellStyle name="Linked Cell 234" xfId="14551" xr:uid="{00000000-0005-0000-0000-000082380000}"/>
    <cellStyle name="Linked Cell 235" xfId="14552" xr:uid="{00000000-0005-0000-0000-000083380000}"/>
    <cellStyle name="Linked Cell 236" xfId="14553" xr:uid="{00000000-0005-0000-0000-000084380000}"/>
    <cellStyle name="Linked Cell 237" xfId="14554" xr:uid="{00000000-0005-0000-0000-000085380000}"/>
    <cellStyle name="Linked Cell 238" xfId="14555" xr:uid="{00000000-0005-0000-0000-000086380000}"/>
    <cellStyle name="Linked Cell 239" xfId="14556" xr:uid="{00000000-0005-0000-0000-000087380000}"/>
    <cellStyle name="Linked Cell 24" xfId="14557" xr:uid="{00000000-0005-0000-0000-000088380000}"/>
    <cellStyle name="Linked Cell 240" xfId="14558" xr:uid="{00000000-0005-0000-0000-000089380000}"/>
    <cellStyle name="Linked Cell 241" xfId="14559" xr:uid="{00000000-0005-0000-0000-00008A380000}"/>
    <cellStyle name="Linked Cell 242" xfId="14560" xr:uid="{00000000-0005-0000-0000-00008B380000}"/>
    <cellStyle name="Linked Cell 243" xfId="14561" xr:uid="{00000000-0005-0000-0000-00008C380000}"/>
    <cellStyle name="Linked Cell 244" xfId="14562" xr:uid="{00000000-0005-0000-0000-00008D380000}"/>
    <cellStyle name="Linked Cell 245" xfId="14563" xr:uid="{00000000-0005-0000-0000-00008E380000}"/>
    <cellStyle name="Linked Cell 246" xfId="14564" xr:uid="{00000000-0005-0000-0000-00008F380000}"/>
    <cellStyle name="Linked Cell 247" xfId="14565" xr:uid="{00000000-0005-0000-0000-000090380000}"/>
    <cellStyle name="Linked Cell 248" xfId="14566" xr:uid="{00000000-0005-0000-0000-000091380000}"/>
    <cellStyle name="Linked Cell 249" xfId="14567" xr:uid="{00000000-0005-0000-0000-000092380000}"/>
    <cellStyle name="Linked Cell 25" xfId="14568" xr:uid="{00000000-0005-0000-0000-000093380000}"/>
    <cellStyle name="Linked Cell 250" xfId="14569" xr:uid="{00000000-0005-0000-0000-000094380000}"/>
    <cellStyle name="Linked Cell 251" xfId="14570" xr:uid="{00000000-0005-0000-0000-000095380000}"/>
    <cellStyle name="Linked Cell 252" xfId="14571" xr:uid="{00000000-0005-0000-0000-000096380000}"/>
    <cellStyle name="Linked Cell 253" xfId="14572" xr:uid="{00000000-0005-0000-0000-000097380000}"/>
    <cellStyle name="Linked Cell 254" xfId="14573" xr:uid="{00000000-0005-0000-0000-000098380000}"/>
    <cellStyle name="Linked Cell 255" xfId="14574" xr:uid="{00000000-0005-0000-0000-000099380000}"/>
    <cellStyle name="Linked Cell 256" xfId="14575" xr:uid="{00000000-0005-0000-0000-00009A380000}"/>
    <cellStyle name="Linked Cell 257" xfId="14576" xr:uid="{00000000-0005-0000-0000-00009B380000}"/>
    <cellStyle name="Linked Cell 258" xfId="14577" xr:uid="{00000000-0005-0000-0000-00009C380000}"/>
    <cellStyle name="Linked Cell 259" xfId="14578" xr:uid="{00000000-0005-0000-0000-00009D380000}"/>
    <cellStyle name="Linked Cell 26" xfId="14579" xr:uid="{00000000-0005-0000-0000-00009E380000}"/>
    <cellStyle name="Linked Cell 260" xfId="14580" xr:uid="{00000000-0005-0000-0000-00009F380000}"/>
    <cellStyle name="Linked Cell 261" xfId="14581" xr:uid="{00000000-0005-0000-0000-0000A0380000}"/>
    <cellStyle name="Linked Cell 262" xfId="14582" xr:uid="{00000000-0005-0000-0000-0000A1380000}"/>
    <cellStyle name="Linked Cell 263" xfId="14583" xr:uid="{00000000-0005-0000-0000-0000A2380000}"/>
    <cellStyle name="Linked Cell 264" xfId="14584" xr:uid="{00000000-0005-0000-0000-0000A3380000}"/>
    <cellStyle name="Linked Cell 265" xfId="14585" xr:uid="{00000000-0005-0000-0000-0000A4380000}"/>
    <cellStyle name="Linked Cell 266" xfId="14586" xr:uid="{00000000-0005-0000-0000-0000A5380000}"/>
    <cellStyle name="Linked Cell 267" xfId="14587" xr:uid="{00000000-0005-0000-0000-0000A6380000}"/>
    <cellStyle name="Linked Cell 268" xfId="14588" xr:uid="{00000000-0005-0000-0000-0000A7380000}"/>
    <cellStyle name="Linked Cell 269" xfId="14589" xr:uid="{00000000-0005-0000-0000-0000A8380000}"/>
    <cellStyle name="Linked Cell 27" xfId="14590" xr:uid="{00000000-0005-0000-0000-0000A9380000}"/>
    <cellStyle name="Linked Cell 270" xfId="14591" xr:uid="{00000000-0005-0000-0000-0000AA380000}"/>
    <cellStyle name="Linked Cell 271" xfId="14592" xr:uid="{00000000-0005-0000-0000-0000AB380000}"/>
    <cellStyle name="Linked Cell 272" xfId="14593" xr:uid="{00000000-0005-0000-0000-0000AC380000}"/>
    <cellStyle name="Linked Cell 273" xfId="14594" xr:uid="{00000000-0005-0000-0000-0000AD380000}"/>
    <cellStyle name="Linked Cell 274" xfId="14595" xr:uid="{00000000-0005-0000-0000-0000AE380000}"/>
    <cellStyle name="Linked Cell 275" xfId="14596" xr:uid="{00000000-0005-0000-0000-0000AF380000}"/>
    <cellStyle name="Linked Cell 276" xfId="14597" xr:uid="{00000000-0005-0000-0000-0000B0380000}"/>
    <cellStyle name="Linked Cell 277" xfId="14598" xr:uid="{00000000-0005-0000-0000-0000B1380000}"/>
    <cellStyle name="Linked Cell 278" xfId="14599" xr:uid="{00000000-0005-0000-0000-0000B2380000}"/>
    <cellStyle name="Linked Cell 279" xfId="14600" xr:uid="{00000000-0005-0000-0000-0000B3380000}"/>
    <cellStyle name="Linked Cell 28" xfId="14601" xr:uid="{00000000-0005-0000-0000-0000B4380000}"/>
    <cellStyle name="Linked Cell 280" xfId="14602" xr:uid="{00000000-0005-0000-0000-0000B5380000}"/>
    <cellStyle name="Linked Cell 281" xfId="14603" xr:uid="{00000000-0005-0000-0000-0000B6380000}"/>
    <cellStyle name="Linked Cell 282" xfId="14604" xr:uid="{00000000-0005-0000-0000-0000B7380000}"/>
    <cellStyle name="Linked Cell 283" xfId="14605" xr:uid="{00000000-0005-0000-0000-0000B8380000}"/>
    <cellStyle name="Linked Cell 284" xfId="14606" xr:uid="{00000000-0005-0000-0000-0000B9380000}"/>
    <cellStyle name="Linked Cell 285" xfId="14607" xr:uid="{00000000-0005-0000-0000-0000BA380000}"/>
    <cellStyle name="Linked Cell 286" xfId="14608" xr:uid="{00000000-0005-0000-0000-0000BB380000}"/>
    <cellStyle name="Linked Cell 287" xfId="14609" xr:uid="{00000000-0005-0000-0000-0000BC380000}"/>
    <cellStyle name="Linked Cell 288" xfId="14610" xr:uid="{00000000-0005-0000-0000-0000BD380000}"/>
    <cellStyle name="Linked Cell 289" xfId="14611" xr:uid="{00000000-0005-0000-0000-0000BE380000}"/>
    <cellStyle name="Linked Cell 29" xfId="14612" xr:uid="{00000000-0005-0000-0000-0000BF380000}"/>
    <cellStyle name="Linked Cell 290" xfId="14613" xr:uid="{00000000-0005-0000-0000-0000C0380000}"/>
    <cellStyle name="Linked Cell 291" xfId="14614" xr:uid="{00000000-0005-0000-0000-0000C1380000}"/>
    <cellStyle name="Linked Cell 292" xfId="14615" xr:uid="{00000000-0005-0000-0000-0000C2380000}"/>
    <cellStyle name="Linked Cell 293" xfId="14616" xr:uid="{00000000-0005-0000-0000-0000C3380000}"/>
    <cellStyle name="Linked Cell 294" xfId="14617" xr:uid="{00000000-0005-0000-0000-0000C4380000}"/>
    <cellStyle name="Linked Cell 295" xfId="14618" xr:uid="{00000000-0005-0000-0000-0000C5380000}"/>
    <cellStyle name="Linked Cell 296" xfId="14619" xr:uid="{00000000-0005-0000-0000-0000C6380000}"/>
    <cellStyle name="Linked Cell 297" xfId="14620" xr:uid="{00000000-0005-0000-0000-0000C7380000}"/>
    <cellStyle name="Linked Cell 298" xfId="14621" xr:uid="{00000000-0005-0000-0000-0000C8380000}"/>
    <cellStyle name="Linked Cell 299" xfId="14622" xr:uid="{00000000-0005-0000-0000-0000C9380000}"/>
    <cellStyle name="Linked Cell 3" xfId="14623" xr:uid="{00000000-0005-0000-0000-0000CA380000}"/>
    <cellStyle name="Linked Cell 30" xfId="14624" xr:uid="{00000000-0005-0000-0000-0000CB380000}"/>
    <cellStyle name="Linked Cell 300" xfId="14625" xr:uid="{00000000-0005-0000-0000-0000CC380000}"/>
    <cellStyle name="Linked Cell 301" xfId="14626" xr:uid="{00000000-0005-0000-0000-0000CD380000}"/>
    <cellStyle name="Linked Cell 302" xfId="14627" xr:uid="{00000000-0005-0000-0000-0000CE380000}"/>
    <cellStyle name="Linked Cell 303" xfId="14628" xr:uid="{00000000-0005-0000-0000-0000CF380000}"/>
    <cellStyle name="Linked Cell 304" xfId="14629" xr:uid="{00000000-0005-0000-0000-0000D0380000}"/>
    <cellStyle name="Linked Cell 305" xfId="14630" xr:uid="{00000000-0005-0000-0000-0000D1380000}"/>
    <cellStyle name="Linked Cell 306" xfId="14631" xr:uid="{00000000-0005-0000-0000-0000D2380000}"/>
    <cellStyle name="Linked Cell 307" xfId="14632" xr:uid="{00000000-0005-0000-0000-0000D3380000}"/>
    <cellStyle name="Linked Cell 308" xfId="14633" xr:uid="{00000000-0005-0000-0000-0000D4380000}"/>
    <cellStyle name="Linked Cell 309" xfId="14634" xr:uid="{00000000-0005-0000-0000-0000D5380000}"/>
    <cellStyle name="Linked Cell 31" xfId="14635" xr:uid="{00000000-0005-0000-0000-0000D6380000}"/>
    <cellStyle name="Linked Cell 310" xfId="14636" xr:uid="{00000000-0005-0000-0000-0000D7380000}"/>
    <cellStyle name="Linked Cell 311" xfId="14637" xr:uid="{00000000-0005-0000-0000-0000D8380000}"/>
    <cellStyle name="Linked Cell 312" xfId="14638" xr:uid="{00000000-0005-0000-0000-0000D9380000}"/>
    <cellStyle name="Linked Cell 313" xfId="14639" xr:uid="{00000000-0005-0000-0000-0000DA380000}"/>
    <cellStyle name="Linked Cell 314" xfId="14640" xr:uid="{00000000-0005-0000-0000-0000DB380000}"/>
    <cellStyle name="Linked Cell 315" xfId="14641" xr:uid="{00000000-0005-0000-0000-0000DC380000}"/>
    <cellStyle name="Linked Cell 316" xfId="14642" xr:uid="{00000000-0005-0000-0000-0000DD380000}"/>
    <cellStyle name="Linked Cell 317" xfId="14643" xr:uid="{00000000-0005-0000-0000-0000DE380000}"/>
    <cellStyle name="Linked Cell 318" xfId="14644" xr:uid="{00000000-0005-0000-0000-0000DF380000}"/>
    <cellStyle name="Linked Cell 319" xfId="14645" xr:uid="{00000000-0005-0000-0000-0000E0380000}"/>
    <cellStyle name="Linked Cell 32" xfId="14646" xr:uid="{00000000-0005-0000-0000-0000E1380000}"/>
    <cellStyle name="Linked Cell 320" xfId="14647" xr:uid="{00000000-0005-0000-0000-0000E2380000}"/>
    <cellStyle name="Linked Cell 321" xfId="14648" xr:uid="{00000000-0005-0000-0000-0000E3380000}"/>
    <cellStyle name="Linked Cell 322" xfId="14649" xr:uid="{00000000-0005-0000-0000-0000E4380000}"/>
    <cellStyle name="Linked Cell 323" xfId="14650" xr:uid="{00000000-0005-0000-0000-0000E5380000}"/>
    <cellStyle name="Linked Cell 324" xfId="14651" xr:uid="{00000000-0005-0000-0000-0000E6380000}"/>
    <cellStyle name="Linked Cell 325" xfId="14652" xr:uid="{00000000-0005-0000-0000-0000E7380000}"/>
    <cellStyle name="Linked Cell 326" xfId="14653" xr:uid="{00000000-0005-0000-0000-0000E8380000}"/>
    <cellStyle name="Linked Cell 327" xfId="14654" xr:uid="{00000000-0005-0000-0000-0000E9380000}"/>
    <cellStyle name="Linked Cell 328" xfId="14655" xr:uid="{00000000-0005-0000-0000-0000EA380000}"/>
    <cellStyle name="Linked Cell 329" xfId="14656" xr:uid="{00000000-0005-0000-0000-0000EB380000}"/>
    <cellStyle name="Linked Cell 33" xfId="14657" xr:uid="{00000000-0005-0000-0000-0000EC380000}"/>
    <cellStyle name="Linked Cell 330" xfId="14658" xr:uid="{00000000-0005-0000-0000-0000ED380000}"/>
    <cellStyle name="Linked Cell 331" xfId="14659" xr:uid="{00000000-0005-0000-0000-0000EE380000}"/>
    <cellStyle name="Linked Cell 332" xfId="14660" xr:uid="{00000000-0005-0000-0000-0000EF380000}"/>
    <cellStyle name="Linked Cell 333" xfId="14661" xr:uid="{00000000-0005-0000-0000-0000F0380000}"/>
    <cellStyle name="Linked Cell 334" xfId="14662" xr:uid="{00000000-0005-0000-0000-0000F1380000}"/>
    <cellStyle name="Linked Cell 335" xfId="14663" xr:uid="{00000000-0005-0000-0000-0000F2380000}"/>
    <cellStyle name="Linked Cell 336" xfId="14664" xr:uid="{00000000-0005-0000-0000-0000F3380000}"/>
    <cellStyle name="Linked Cell 337" xfId="14665" xr:uid="{00000000-0005-0000-0000-0000F4380000}"/>
    <cellStyle name="Linked Cell 338" xfId="14666" xr:uid="{00000000-0005-0000-0000-0000F5380000}"/>
    <cellStyle name="Linked Cell 339" xfId="14667" xr:uid="{00000000-0005-0000-0000-0000F6380000}"/>
    <cellStyle name="Linked Cell 34" xfId="14668" xr:uid="{00000000-0005-0000-0000-0000F7380000}"/>
    <cellStyle name="Linked Cell 340" xfId="14669" xr:uid="{00000000-0005-0000-0000-0000F8380000}"/>
    <cellStyle name="Linked Cell 341" xfId="14670" xr:uid="{00000000-0005-0000-0000-0000F9380000}"/>
    <cellStyle name="Linked Cell 342" xfId="14671" xr:uid="{00000000-0005-0000-0000-0000FA380000}"/>
    <cellStyle name="Linked Cell 343" xfId="14672" xr:uid="{00000000-0005-0000-0000-0000FB380000}"/>
    <cellStyle name="Linked Cell 344" xfId="14673" xr:uid="{00000000-0005-0000-0000-0000FC380000}"/>
    <cellStyle name="Linked Cell 345" xfId="14674" xr:uid="{00000000-0005-0000-0000-0000FD380000}"/>
    <cellStyle name="Linked Cell 346" xfId="14675" xr:uid="{00000000-0005-0000-0000-0000FE380000}"/>
    <cellStyle name="Linked Cell 347" xfId="14676" xr:uid="{00000000-0005-0000-0000-0000FF380000}"/>
    <cellStyle name="Linked Cell 348" xfId="14677" xr:uid="{00000000-0005-0000-0000-000000390000}"/>
    <cellStyle name="Linked Cell 349" xfId="14678" xr:uid="{00000000-0005-0000-0000-000001390000}"/>
    <cellStyle name="Linked Cell 35" xfId="14679" xr:uid="{00000000-0005-0000-0000-000002390000}"/>
    <cellStyle name="Linked Cell 350" xfId="14680" xr:uid="{00000000-0005-0000-0000-000003390000}"/>
    <cellStyle name="Linked Cell 351" xfId="14681" xr:uid="{00000000-0005-0000-0000-000004390000}"/>
    <cellStyle name="Linked Cell 352" xfId="14682" xr:uid="{00000000-0005-0000-0000-000005390000}"/>
    <cellStyle name="Linked Cell 353" xfId="14683" xr:uid="{00000000-0005-0000-0000-000006390000}"/>
    <cellStyle name="Linked Cell 354" xfId="14684" xr:uid="{00000000-0005-0000-0000-000007390000}"/>
    <cellStyle name="Linked Cell 355" xfId="14685" xr:uid="{00000000-0005-0000-0000-000008390000}"/>
    <cellStyle name="Linked Cell 356" xfId="14686" xr:uid="{00000000-0005-0000-0000-000009390000}"/>
    <cellStyle name="Linked Cell 357" xfId="14687" xr:uid="{00000000-0005-0000-0000-00000A390000}"/>
    <cellStyle name="Linked Cell 358" xfId="14688" xr:uid="{00000000-0005-0000-0000-00000B390000}"/>
    <cellStyle name="Linked Cell 359" xfId="14689" xr:uid="{00000000-0005-0000-0000-00000C390000}"/>
    <cellStyle name="Linked Cell 36" xfId="14690" xr:uid="{00000000-0005-0000-0000-00000D390000}"/>
    <cellStyle name="Linked Cell 360" xfId="14691" xr:uid="{00000000-0005-0000-0000-00000E390000}"/>
    <cellStyle name="Linked Cell 361" xfId="14692" xr:uid="{00000000-0005-0000-0000-00000F390000}"/>
    <cellStyle name="Linked Cell 362" xfId="14693" xr:uid="{00000000-0005-0000-0000-000010390000}"/>
    <cellStyle name="Linked Cell 363" xfId="14694" xr:uid="{00000000-0005-0000-0000-000011390000}"/>
    <cellStyle name="Linked Cell 364" xfId="14695" xr:uid="{00000000-0005-0000-0000-000012390000}"/>
    <cellStyle name="Linked Cell 365" xfId="14696" xr:uid="{00000000-0005-0000-0000-000013390000}"/>
    <cellStyle name="Linked Cell 366" xfId="14697" xr:uid="{00000000-0005-0000-0000-000014390000}"/>
    <cellStyle name="Linked Cell 367" xfId="14698" xr:uid="{00000000-0005-0000-0000-000015390000}"/>
    <cellStyle name="Linked Cell 368" xfId="14699" xr:uid="{00000000-0005-0000-0000-000016390000}"/>
    <cellStyle name="Linked Cell 369" xfId="14700" xr:uid="{00000000-0005-0000-0000-000017390000}"/>
    <cellStyle name="Linked Cell 37" xfId="14701" xr:uid="{00000000-0005-0000-0000-000018390000}"/>
    <cellStyle name="Linked Cell 370" xfId="14702" xr:uid="{00000000-0005-0000-0000-000019390000}"/>
    <cellStyle name="Linked Cell 371" xfId="14703" xr:uid="{00000000-0005-0000-0000-00001A390000}"/>
    <cellStyle name="Linked Cell 372" xfId="14704" xr:uid="{00000000-0005-0000-0000-00001B390000}"/>
    <cellStyle name="Linked Cell 373" xfId="14705" xr:uid="{00000000-0005-0000-0000-00001C390000}"/>
    <cellStyle name="Linked Cell 374" xfId="14706" xr:uid="{00000000-0005-0000-0000-00001D390000}"/>
    <cellStyle name="Linked Cell 375" xfId="14707" xr:uid="{00000000-0005-0000-0000-00001E390000}"/>
    <cellStyle name="Linked Cell 376" xfId="14708" xr:uid="{00000000-0005-0000-0000-00001F390000}"/>
    <cellStyle name="Linked Cell 377" xfId="14709" xr:uid="{00000000-0005-0000-0000-000020390000}"/>
    <cellStyle name="Linked Cell 378" xfId="14710" xr:uid="{00000000-0005-0000-0000-000021390000}"/>
    <cellStyle name="Linked Cell 379" xfId="14711" xr:uid="{00000000-0005-0000-0000-000022390000}"/>
    <cellStyle name="Linked Cell 38" xfId="14712" xr:uid="{00000000-0005-0000-0000-000023390000}"/>
    <cellStyle name="Linked Cell 380" xfId="14713" xr:uid="{00000000-0005-0000-0000-000024390000}"/>
    <cellStyle name="Linked Cell 381" xfId="14714" xr:uid="{00000000-0005-0000-0000-000025390000}"/>
    <cellStyle name="Linked Cell 382" xfId="14715" xr:uid="{00000000-0005-0000-0000-000026390000}"/>
    <cellStyle name="Linked Cell 383" xfId="14716" xr:uid="{00000000-0005-0000-0000-000027390000}"/>
    <cellStyle name="Linked Cell 384" xfId="14717" xr:uid="{00000000-0005-0000-0000-000028390000}"/>
    <cellStyle name="Linked Cell 385" xfId="14718" xr:uid="{00000000-0005-0000-0000-000029390000}"/>
    <cellStyle name="Linked Cell 386" xfId="14719" xr:uid="{00000000-0005-0000-0000-00002A390000}"/>
    <cellStyle name="Linked Cell 387" xfId="14720" xr:uid="{00000000-0005-0000-0000-00002B390000}"/>
    <cellStyle name="Linked Cell 388" xfId="14721" xr:uid="{00000000-0005-0000-0000-00002C390000}"/>
    <cellStyle name="Linked Cell 389" xfId="14722" xr:uid="{00000000-0005-0000-0000-00002D390000}"/>
    <cellStyle name="Linked Cell 39" xfId="14723" xr:uid="{00000000-0005-0000-0000-00002E390000}"/>
    <cellStyle name="Linked Cell 390" xfId="14724" xr:uid="{00000000-0005-0000-0000-00002F390000}"/>
    <cellStyle name="Linked Cell 391" xfId="14725" xr:uid="{00000000-0005-0000-0000-000030390000}"/>
    <cellStyle name="Linked Cell 392" xfId="14726" xr:uid="{00000000-0005-0000-0000-000031390000}"/>
    <cellStyle name="Linked Cell 393" xfId="14727" xr:uid="{00000000-0005-0000-0000-000032390000}"/>
    <cellStyle name="Linked Cell 394" xfId="14728" xr:uid="{00000000-0005-0000-0000-000033390000}"/>
    <cellStyle name="Linked Cell 395" xfId="14729" xr:uid="{00000000-0005-0000-0000-000034390000}"/>
    <cellStyle name="Linked Cell 396" xfId="14730" xr:uid="{00000000-0005-0000-0000-000035390000}"/>
    <cellStyle name="Linked Cell 397" xfId="14731" xr:uid="{00000000-0005-0000-0000-000036390000}"/>
    <cellStyle name="Linked Cell 398" xfId="14732" xr:uid="{00000000-0005-0000-0000-000037390000}"/>
    <cellStyle name="Linked Cell 399" xfId="14733" xr:uid="{00000000-0005-0000-0000-000038390000}"/>
    <cellStyle name="Linked Cell 4" xfId="14734" xr:uid="{00000000-0005-0000-0000-000039390000}"/>
    <cellStyle name="Linked Cell 40" xfId="14735" xr:uid="{00000000-0005-0000-0000-00003A390000}"/>
    <cellStyle name="Linked Cell 400" xfId="14736" xr:uid="{00000000-0005-0000-0000-00003B390000}"/>
    <cellStyle name="Linked Cell 401" xfId="14737" xr:uid="{00000000-0005-0000-0000-00003C390000}"/>
    <cellStyle name="Linked Cell 402" xfId="14738" xr:uid="{00000000-0005-0000-0000-00003D390000}"/>
    <cellStyle name="Linked Cell 403" xfId="14739" xr:uid="{00000000-0005-0000-0000-00003E390000}"/>
    <cellStyle name="Linked Cell 404" xfId="14740" xr:uid="{00000000-0005-0000-0000-00003F390000}"/>
    <cellStyle name="Linked Cell 405" xfId="14741" xr:uid="{00000000-0005-0000-0000-000040390000}"/>
    <cellStyle name="Linked Cell 406" xfId="14742" xr:uid="{00000000-0005-0000-0000-000041390000}"/>
    <cellStyle name="Linked Cell 407" xfId="14743" xr:uid="{00000000-0005-0000-0000-000042390000}"/>
    <cellStyle name="Linked Cell 408" xfId="14744" xr:uid="{00000000-0005-0000-0000-000043390000}"/>
    <cellStyle name="Linked Cell 409" xfId="14745" xr:uid="{00000000-0005-0000-0000-000044390000}"/>
    <cellStyle name="Linked Cell 41" xfId="14746" xr:uid="{00000000-0005-0000-0000-000045390000}"/>
    <cellStyle name="Linked Cell 410" xfId="14747" xr:uid="{00000000-0005-0000-0000-000046390000}"/>
    <cellStyle name="Linked Cell 411" xfId="14748" xr:uid="{00000000-0005-0000-0000-000047390000}"/>
    <cellStyle name="Linked Cell 412" xfId="14749" xr:uid="{00000000-0005-0000-0000-000048390000}"/>
    <cellStyle name="Linked Cell 413" xfId="14750" xr:uid="{00000000-0005-0000-0000-000049390000}"/>
    <cellStyle name="Linked Cell 414" xfId="14751" xr:uid="{00000000-0005-0000-0000-00004A390000}"/>
    <cellStyle name="Linked Cell 415" xfId="14752" xr:uid="{00000000-0005-0000-0000-00004B390000}"/>
    <cellStyle name="Linked Cell 416" xfId="14753" xr:uid="{00000000-0005-0000-0000-00004C390000}"/>
    <cellStyle name="Linked Cell 417" xfId="14754" xr:uid="{00000000-0005-0000-0000-00004D390000}"/>
    <cellStyle name="Linked Cell 418" xfId="14755" xr:uid="{00000000-0005-0000-0000-00004E390000}"/>
    <cellStyle name="Linked Cell 419" xfId="14756" xr:uid="{00000000-0005-0000-0000-00004F390000}"/>
    <cellStyle name="Linked Cell 42" xfId="14757" xr:uid="{00000000-0005-0000-0000-000050390000}"/>
    <cellStyle name="Linked Cell 420" xfId="14758" xr:uid="{00000000-0005-0000-0000-000051390000}"/>
    <cellStyle name="Linked Cell 421" xfId="14759" xr:uid="{00000000-0005-0000-0000-000052390000}"/>
    <cellStyle name="Linked Cell 422" xfId="14760" xr:uid="{00000000-0005-0000-0000-000053390000}"/>
    <cellStyle name="Linked Cell 423" xfId="14761" xr:uid="{00000000-0005-0000-0000-000054390000}"/>
    <cellStyle name="Linked Cell 424" xfId="14762" xr:uid="{00000000-0005-0000-0000-000055390000}"/>
    <cellStyle name="Linked Cell 425" xfId="14763" xr:uid="{00000000-0005-0000-0000-000056390000}"/>
    <cellStyle name="Linked Cell 426" xfId="14764" xr:uid="{00000000-0005-0000-0000-000057390000}"/>
    <cellStyle name="Linked Cell 427" xfId="14765" xr:uid="{00000000-0005-0000-0000-000058390000}"/>
    <cellStyle name="Linked Cell 428" xfId="14766" xr:uid="{00000000-0005-0000-0000-000059390000}"/>
    <cellStyle name="Linked Cell 429" xfId="14767" xr:uid="{00000000-0005-0000-0000-00005A390000}"/>
    <cellStyle name="Linked Cell 43" xfId="14768" xr:uid="{00000000-0005-0000-0000-00005B390000}"/>
    <cellStyle name="Linked Cell 430" xfId="14769" xr:uid="{00000000-0005-0000-0000-00005C390000}"/>
    <cellStyle name="Linked Cell 431" xfId="14770" xr:uid="{00000000-0005-0000-0000-00005D390000}"/>
    <cellStyle name="Linked Cell 432" xfId="14771" xr:uid="{00000000-0005-0000-0000-00005E390000}"/>
    <cellStyle name="Linked Cell 433" xfId="14772" xr:uid="{00000000-0005-0000-0000-00005F390000}"/>
    <cellStyle name="Linked Cell 434" xfId="14773" xr:uid="{00000000-0005-0000-0000-000060390000}"/>
    <cellStyle name="Linked Cell 435" xfId="14774" xr:uid="{00000000-0005-0000-0000-000061390000}"/>
    <cellStyle name="Linked Cell 436" xfId="14775" xr:uid="{00000000-0005-0000-0000-000062390000}"/>
    <cellStyle name="Linked Cell 437" xfId="14776" xr:uid="{00000000-0005-0000-0000-000063390000}"/>
    <cellStyle name="Linked Cell 438" xfId="14777" xr:uid="{00000000-0005-0000-0000-000064390000}"/>
    <cellStyle name="Linked Cell 439" xfId="14778" xr:uid="{00000000-0005-0000-0000-000065390000}"/>
    <cellStyle name="Linked Cell 44" xfId="14779" xr:uid="{00000000-0005-0000-0000-000066390000}"/>
    <cellStyle name="Linked Cell 440" xfId="14780" xr:uid="{00000000-0005-0000-0000-000067390000}"/>
    <cellStyle name="Linked Cell 441" xfId="14781" xr:uid="{00000000-0005-0000-0000-000068390000}"/>
    <cellStyle name="Linked Cell 442" xfId="14782" xr:uid="{00000000-0005-0000-0000-000069390000}"/>
    <cellStyle name="Linked Cell 443" xfId="14783" xr:uid="{00000000-0005-0000-0000-00006A390000}"/>
    <cellStyle name="Linked Cell 444" xfId="14784" xr:uid="{00000000-0005-0000-0000-00006B390000}"/>
    <cellStyle name="Linked Cell 445" xfId="14785" xr:uid="{00000000-0005-0000-0000-00006C390000}"/>
    <cellStyle name="Linked Cell 446" xfId="14786" xr:uid="{00000000-0005-0000-0000-00006D390000}"/>
    <cellStyle name="Linked Cell 447" xfId="14787" xr:uid="{00000000-0005-0000-0000-00006E390000}"/>
    <cellStyle name="Linked Cell 448" xfId="14788" xr:uid="{00000000-0005-0000-0000-00006F390000}"/>
    <cellStyle name="Linked Cell 449" xfId="14789" xr:uid="{00000000-0005-0000-0000-000070390000}"/>
    <cellStyle name="Linked Cell 45" xfId="14790" xr:uid="{00000000-0005-0000-0000-000071390000}"/>
    <cellStyle name="Linked Cell 450" xfId="14791" xr:uid="{00000000-0005-0000-0000-000072390000}"/>
    <cellStyle name="Linked Cell 451" xfId="14792" xr:uid="{00000000-0005-0000-0000-000073390000}"/>
    <cellStyle name="Linked Cell 452" xfId="14793" xr:uid="{00000000-0005-0000-0000-000074390000}"/>
    <cellStyle name="Linked Cell 453" xfId="14794" xr:uid="{00000000-0005-0000-0000-000075390000}"/>
    <cellStyle name="Linked Cell 454" xfId="14795" xr:uid="{00000000-0005-0000-0000-000076390000}"/>
    <cellStyle name="Linked Cell 455" xfId="14796" xr:uid="{00000000-0005-0000-0000-000077390000}"/>
    <cellStyle name="Linked Cell 456" xfId="14797" xr:uid="{00000000-0005-0000-0000-000078390000}"/>
    <cellStyle name="Linked Cell 457" xfId="14798" xr:uid="{00000000-0005-0000-0000-000079390000}"/>
    <cellStyle name="Linked Cell 458" xfId="14799" xr:uid="{00000000-0005-0000-0000-00007A390000}"/>
    <cellStyle name="Linked Cell 459" xfId="14800" xr:uid="{00000000-0005-0000-0000-00007B390000}"/>
    <cellStyle name="Linked Cell 46" xfId="14801" xr:uid="{00000000-0005-0000-0000-00007C390000}"/>
    <cellStyle name="Linked Cell 460" xfId="14802" xr:uid="{00000000-0005-0000-0000-00007D390000}"/>
    <cellStyle name="Linked Cell 461" xfId="14803" xr:uid="{00000000-0005-0000-0000-00007E390000}"/>
    <cellStyle name="Linked Cell 462" xfId="14804" xr:uid="{00000000-0005-0000-0000-00007F390000}"/>
    <cellStyle name="Linked Cell 463" xfId="14805" xr:uid="{00000000-0005-0000-0000-000080390000}"/>
    <cellStyle name="Linked Cell 464" xfId="14806" xr:uid="{00000000-0005-0000-0000-000081390000}"/>
    <cellStyle name="Linked Cell 465" xfId="14807" xr:uid="{00000000-0005-0000-0000-000082390000}"/>
    <cellStyle name="Linked Cell 466" xfId="14808" xr:uid="{00000000-0005-0000-0000-000083390000}"/>
    <cellStyle name="Linked Cell 467" xfId="14809" xr:uid="{00000000-0005-0000-0000-000084390000}"/>
    <cellStyle name="Linked Cell 468" xfId="14810" xr:uid="{00000000-0005-0000-0000-000085390000}"/>
    <cellStyle name="Linked Cell 469" xfId="14811" xr:uid="{00000000-0005-0000-0000-000086390000}"/>
    <cellStyle name="Linked Cell 47" xfId="14812" xr:uid="{00000000-0005-0000-0000-000087390000}"/>
    <cellStyle name="Linked Cell 470" xfId="14813" xr:uid="{00000000-0005-0000-0000-000088390000}"/>
    <cellStyle name="Linked Cell 471" xfId="14814" xr:uid="{00000000-0005-0000-0000-000089390000}"/>
    <cellStyle name="Linked Cell 472" xfId="14815" xr:uid="{00000000-0005-0000-0000-00008A390000}"/>
    <cellStyle name="Linked Cell 473" xfId="14816" xr:uid="{00000000-0005-0000-0000-00008B390000}"/>
    <cellStyle name="Linked Cell 474" xfId="14817" xr:uid="{00000000-0005-0000-0000-00008C390000}"/>
    <cellStyle name="Linked Cell 475" xfId="14818" xr:uid="{00000000-0005-0000-0000-00008D390000}"/>
    <cellStyle name="Linked Cell 476" xfId="14819" xr:uid="{00000000-0005-0000-0000-00008E390000}"/>
    <cellStyle name="Linked Cell 477" xfId="14820" xr:uid="{00000000-0005-0000-0000-00008F390000}"/>
    <cellStyle name="Linked Cell 478" xfId="14821" xr:uid="{00000000-0005-0000-0000-000090390000}"/>
    <cellStyle name="Linked Cell 479" xfId="14822" xr:uid="{00000000-0005-0000-0000-000091390000}"/>
    <cellStyle name="Linked Cell 48" xfId="14823" xr:uid="{00000000-0005-0000-0000-000092390000}"/>
    <cellStyle name="Linked Cell 480" xfId="14824" xr:uid="{00000000-0005-0000-0000-000093390000}"/>
    <cellStyle name="Linked Cell 481" xfId="14825" xr:uid="{00000000-0005-0000-0000-000094390000}"/>
    <cellStyle name="Linked Cell 482" xfId="14826" xr:uid="{00000000-0005-0000-0000-000095390000}"/>
    <cellStyle name="Linked Cell 483" xfId="14827" xr:uid="{00000000-0005-0000-0000-000096390000}"/>
    <cellStyle name="Linked Cell 484" xfId="14828" xr:uid="{00000000-0005-0000-0000-000097390000}"/>
    <cellStyle name="Linked Cell 485" xfId="14829" xr:uid="{00000000-0005-0000-0000-000098390000}"/>
    <cellStyle name="Linked Cell 486" xfId="14830" xr:uid="{00000000-0005-0000-0000-000099390000}"/>
    <cellStyle name="Linked Cell 487" xfId="14831" xr:uid="{00000000-0005-0000-0000-00009A390000}"/>
    <cellStyle name="Linked Cell 488" xfId="14832" xr:uid="{00000000-0005-0000-0000-00009B390000}"/>
    <cellStyle name="Linked Cell 489" xfId="14833" xr:uid="{00000000-0005-0000-0000-00009C390000}"/>
    <cellStyle name="Linked Cell 49" xfId="14834" xr:uid="{00000000-0005-0000-0000-00009D390000}"/>
    <cellStyle name="Linked Cell 490" xfId="14835" xr:uid="{00000000-0005-0000-0000-00009E390000}"/>
    <cellStyle name="Linked Cell 491" xfId="14836" xr:uid="{00000000-0005-0000-0000-00009F390000}"/>
    <cellStyle name="Linked Cell 492" xfId="14837" xr:uid="{00000000-0005-0000-0000-0000A0390000}"/>
    <cellStyle name="Linked Cell 493" xfId="14838" xr:uid="{00000000-0005-0000-0000-0000A1390000}"/>
    <cellStyle name="Linked Cell 494" xfId="14839" xr:uid="{00000000-0005-0000-0000-0000A2390000}"/>
    <cellStyle name="Linked Cell 495" xfId="14840" xr:uid="{00000000-0005-0000-0000-0000A3390000}"/>
    <cellStyle name="Linked Cell 496" xfId="14841" xr:uid="{00000000-0005-0000-0000-0000A4390000}"/>
    <cellStyle name="Linked Cell 497" xfId="14842" xr:uid="{00000000-0005-0000-0000-0000A5390000}"/>
    <cellStyle name="Linked Cell 498" xfId="14843" xr:uid="{00000000-0005-0000-0000-0000A6390000}"/>
    <cellStyle name="Linked Cell 499" xfId="14844" xr:uid="{00000000-0005-0000-0000-0000A7390000}"/>
    <cellStyle name="Linked Cell 5" xfId="14845" xr:uid="{00000000-0005-0000-0000-0000A8390000}"/>
    <cellStyle name="Linked Cell 50" xfId="14846" xr:uid="{00000000-0005-0000-0000-0000A9390000}"/>
    <cellStyle name="Linked Cell 500" xfId="14847" xr:uid="{00000000-0005-0000-0000-0000AA390000}"/>
    <cellStyle name="Linked Cell 501" xfId="14848" xr:uid="{00000000-0005-0000-0000-0000AB390000}"/>
    <cellStyle name="Linked Cell 502" xfId="14849" xr:uid="{00000000-0005-0000-0000-0000AC390000}"/>
    <cellStyle name="Linked Cell 503" xfId="14850" xr:uid="{00000000-0005-0000-0000-0000AD390000}"/>
    <cellStyle name="Linked Cell 504" xfId="14851" xr:uid="{00000000-0005-0000-0000-0000AE390000}"/>
    <cellStyle name="Linked Cell 505" xfId="14852" xr:uid="{00000000-0005-0000-0000-0000AF390000}"/>
    <cellStyle name="Linked Cell 506" xfId="14853" xr:uid="{00000000-0005-0000-0000-0000B0390000}"/>
    <cellStyle name="Linked Cell 507" xfId="14854" xr:uid="{00000000-0005-0000-0000-0000B1390000}"/>
    <cellStyle name="Linked Cell 508" xfId="14855" xr:uid="{00000000-0005-0000-0000-0000B2390000}"/>
    <cellStyle name="Linked Cell 509" xfId="14856" xr:uid="{00000000-0005-0000-0000-0000B3390000}"/>
    <cellStyle name="Linked Cell 51" xfId="14857" xr:uid="{00000000-0005-0000-0000-0000B4390000}"/>
    <cellStyle name="Linked Cell 510" xfId="14858" xr:uid="{00000000-0005-0000-0000-0000B5390000}"/>
    <cellStyle name="Linked Cell 511" xfId="14859" xr:uid="{00000000-0005-0000-0000-0000B6390000}"/>
    <cellStyle name="Linked Cell 512" xfId="14860" xr:uid="{00000000-0005-0000-0000-0000B7390000}"/>
    <cellStyle name="Linked Cell 513" xfId="14861" xr:uid="{00000000-0005-0000-0000-0000B8390000}"/>
    <cellStyle name="Linked Cell 514" xfId="14862" xr:uid="{00000000-0005-0000-0000-0000B9390000}"/>
    <cellStyle name="Linked Cell 515" xfId="14863" xr:uid="{00000000-0005-0000-0000-0000BA390000}"/>
    <cellStyle name="Linked Cell 516" xfId="14864" xr:uid="{00000000-0005-0000-0000-0000BB390000}"/>
    <cellStyle name="Linked Cell 517" xfId="14865" xr:uid="{00000000-0005-0000-0000-0000BC390000}"/>
    <cellStyle name="Linked Cell 518" xfId="14866" xr:uid="{00000000-0005-0000-0000-0000BD390000}"/>
    <cellStyle name="Linked Cell 519" xfId="14867" xr:uid="{00000000-0005-0000-0000-0000BE390000}"/>
    <cellStyle name="Linked Cell 52" xfId="14868" xr:uid="{00000000-0005-0000-0000-0000BF390000}"/>
    <cellStyle name="Linked Cell 520" xfId="14869" xr:uid="{00000000-0005-0000-0000-0000C0390000}"/>
    <cellStyle name="Linked Cell 521" xfId="14870" xr:uid="{00000000-0005-0000-0000-0000C1390000}"/>
    <cellStyle name="Linked Cell 522" xfId="14871" xr:uid="{00000000-0005-0000-0000-0000C2390000}"/>
    <cellStyle name="Linked Cell 523" xfId="14872" xr:uid="{00000000-0005-0000-0000-0000C3390000}"/>
    <cellStyle name="Linked Cell 524" xfId="14873" xr:uid="{00000000-0005-0000-0000-0000C4390000}"/>
    <cellStyle name="Linked Cell 525" xfId="14874" xr:uid="{00000000-0005-0000-0000-0000C5390000}"/>
    <cellStyle name="Linked Cell 526" xfId="14875" xr:uid="{00000000-0005-0000-0000-0000C6390000}"/>
    <cellStyle name="Linked Cell 527" xfId="14876" xr:uid="{00000000-0005-0000-0000-0000C7390000}"/>
    <cellStyle name="Linked Cell 528" xfId="14877" xr:uid="{00000000-0005-0000-0000-0000C8390000}"/>
    <cellStyle name="Linked Cell 529" xfId="14878" xr:uid="{00000000-0005-0000-0000-0000C9390000}"/>
    <cellStyle name="Linked Cell 53" xfId="14879" xr:uid="{00000000-0005-0000-0000-0000CA390000}"/>
    <cellStyle name="Linked Cell 530" xfId="14880" xr:uid="{00000000-0005-0000-0000-0000CB390000}"/>
    <cellStyle name="Linked Cell 531" xfId="14881" xr:uid="{00000000-0005-0000-0000-0000CC390000}"/>
    <cellStyle name="Linked Cell 532" xfId="14882" xr:uid="{00000000-0005-0000-0000-0000CD390000}"/>
    <cellStyle name="Linked Cell 533" xfId="14883" xr:uid="{00000000-0005-0000-0000-0000CE390000}"/>
    <cellStyle name="Linked Cell 534" xfId="14884" xr:uid="{00000000-0005-0000-0000-0000CF390000}"/>
    <cellStyle name="Linked Cell 535" xfId="14885" xr:uid="{00000000-0005-0000-0000-0000D0390000}"/>
    <cellStyle name="Linked Cell 536" xfId="14886" xr:uid="{00000000-0005-0000-0000-0000D1390000}"/>
    <cellStyle name="Linked Cell 537" xfId="14887" xr:uid="{00000000-0005-0000-0000-0000D2390000}"/>
    <cellStyle name="Linked Cell 538" xfId="14888" xr:uid="{00000000-0005-0000-0000-0000D3390000}"/>
    <cellStyle name="Linked Cell 539" xfId="14889" xr:uid="{00000000-0005-0000-0000-0000D4390000}"/>
    <cellStyle name="Linked Cell 54" xfId="14890" xr:uid="{00000000-0005-0000-0000-0000D5390000}"/>
    <cellStyle name="Linked Cell 540" xfId="14891" xr:uid="{00000000-0005-0000-0000-0000D6390000}"/>
    <cellStyle name="Linked Cell 541" xfId="14892" xr:uid="{00000000-0005-0000-0000-0000D7390000}"/>
    <cellStyle name="Linked Cell 542" xfId="14893" xr:uid="{00000000-0005-0000-0000-0000D8390000}"/>
    <cellStyle name="Linked Cell 543" xfId="14894" xr:uid="{00000000-0005-0000-0000-0000D9390000}"/>
    <cellStyle name="Linked Cell 544" xfId="14895" xr:uid="{00000000-0005-0000-0000-0000DA390000}"/>
    <cellStyle name="Linked Cell 545" xfId="14896" xr:uid="{00000000-0005-0000-0000-0000DB390000}"/>
    <cellStyle name="Linked Cell 546" xfId="14897" xr:uid="{00000000-0005-0000-0000-0000DC390000}"/>
    <cellStyle name="Linked Cell 547" xfId="14898" xr:uid="{00000000-0005-0000-0000-0000DD390000}"/>
    <cellStyle name="Linked Cell 548" xfId="14899" xr:uid="{00000000-0005-0000-0000-0000DE390000}"/>
    <cellStyle name="Linked Cell 549" xfId="14900" xr:uid="{00000000-0005-0000-0000-0000DF390000}"/>
    <cellStyle name="Linked Cell 55" xfId="14901" xr:uid="{00000000-0005-0000-0000-0000E0390000}"/>
    <cellStyle name="Linked Cell 550" xfId="14902" xr:uid="{00000000-0005-0000-0000-0000E1390000}"/>
    <cellStyle name="Linked Cell 551" xfId="14903" xr:uid="{00000000-0005-0000-0000-0000E2390000}"/>
    <cellStyle name="Linked Cell 552" xfId="14904" xr:uid="{00000000-0005-0000-0000-0000E3390000}"/>
    <cellStyle name="Linked Cell 553" xfId="14905" xr:uid="{00000000-0005-0000-0000-0000E4390000}"/>
    <cellStyle name="Linked Cell 554" xfId="14906" xr:uid="{00000000-0005-0000-0000-0000E5390000}"/>
    <cellStyle name="Linked Cell 555" xfId="14907" xr:uid="{00000000-0005-0000-0000-0000E6390000}"/>
    <cellStyle name="Linked Cell 556" xfId="14908" xr:uid="{00000000-0005-0000-0000-0000E7390000}"/>
    <cellStyle name="Linked Cell 557" xfId="14909" xr:uid="{00000000-0005-0000-0000-0000E8390000}"/>
    <cellStyle name="Linked Cell 558" xfId="14910" xr:uid="{00000000-0005-0000-0000-0000E9390000}"/>
    <cellStyle name="Linked Cell 559" xfId="14911" xr:uid="{00000000-0005-0000-0000-0000EA390000}"/>
    <cellStyle name="Linked Cell 56" xfId="14912" xr:uid="{00000000-0005-0000-0000-0000EB390000}"/>
    <cellStyle name="Linked Cell 560" xfId="14913" xr:uid="{00000000-0005-0000-0000-0000EC390000}"/>
    <cellStyle name="Linked Cell 561" xfId="14914" xr:uid="{00000000-0005-0000-0000-0000ED390000}"/>
    <cellStyle name="Linked Cell 562" xfId="14915" xr:uid="{00000000-0005-0000-0000-0000EE390000}"/>
    <cellStyle name="Linked Cell 563" xfId="14916" xr:uid="{00000000-0005-0000-0000-0000EF390000}"/>
    <cellStyle name="Linked Cell 564" xfId="14917" xr:uid="{00000000-0005-0000-0000-0000F0390000}"/>
    <cellStyle name="Linked Cell 565" xfId="14918" xr:uid="{00000000-0005-0000-0000-0000F1390000}"/>
    <cellStyle name="Linked Cell 566" xfId="14919" xr:uid="{00000000-0005-0000-0000-0000F2390000}"/>
    <cellStyle name="Linked Cell 567" xfId="14920" xr:uid="{00000000-0005-0000-0000-0000F3390000}"/>
    <cellStyle name="Linked Cell 568" xfId="14921" xr:uid="{00000000-0005-0000-0000-0000F4390000}"/>
    <cellStyle name="Linked Cell 569" xfId="14922" xr:uid="{00000000-0005-0000-0000-0000F5390000}"/>
    <cellStyle name="Linked Cell 57" xfId="14923" xr:uid="{00000000-0005-0000-0000-0000F6390000}"/>
    <cellStyle name="Linked Cell 570" xfId="14924" xr:uid="{00000000-0005-0000-0000-0000F7390000}"/>
    <cellStyle name="Linked Cell 571" xfId="14925" xr:uid="{00000000-0005-0000-0000-0000F8390000}"/>
    <cellStyle name="Linked Cell 572" xfId="14926" xr:uid="{00000000-0005-0000-0000-0000F9390000}"/>
    <cellStyle name="Linked Cell 573" xfId="14927" xr:uid="{00000000-0005-0000-0000-0000FA390000}"/>
    <cellStyle name="Linked Cell 574" xfId="14928" xr:uid="{00000000-0005-0000-0000-0000FB390000}"/>
    <cellStyle name="Linked Cell 575" xfId="14929" xr:uid="{00000000-0005-0000-0000-0000FC390000}"/>
    <cellStyle name="Linked Cell 576" xfId="14930" xr:uid="{00000000-0005-0000-0000-0000FD390000}"/>
    <cellStyle name="Linked Cell 577" xfId="14931" xr:uid="{00000000-0005-0000-0000-0000FE390000}"/>
    <cellStyle name="Linked Cell 578" xfId="14932" xr:uid="{00000000-0005-0000-0000-0000FF390000}"/>
    <cellStyle name="Linked Cell 579" xfId="14933" xr:uid="{00000000-0005-0000-0000-0000003A0000}"/>
    <cellStyle name="Linked Cell 58" xfId="14934" xr:uid="{00000000-0005-0000-0000-0000013A0000}"/>
    <cellStyle name="Linked Cell 580" xfId="14935" xr:uid="{00000000-0005-0000-0000-0000023A0000}"/>
    <cellStyle name="Linked Cell 581" xfId="14936" xr:uid="{00000000-0005-0000-0000-0000033A0000}"/>
    <cellStyle name="Linked Cell 582" xfId="14937" xr:uid="{00000000-0005-0000-0000-0000043A0000}"/>
    <cellStyle name="Linked Cell 583" xfId="14938" xr:uid="{00000000-0005-0000-0000-0000053A0000}"/>
    <cellStyle name="Linked Cell 584" xfId="14939" xr:uid="{00000000-0005-0000-0000-0000063A0000}"/>
    <cellStyle name="Linked Cell 585" xfId="14940" xr:uid="{00000000-0005-0000-0000-0000073A0000}"/>
    <cellStyle name="Linked Cell 586" xfId="14941" xr:uid="{00000000-0005-0000-0000-0000083A0000}"/>
    <cellStyle name="Linked Cell 587" xfId="14942" xr:uid="{00000000-0005-0000-0000-0000093A0000}"/>
    <cellStyle name="Linked Cell 588" xfId="14943" xr:uid="{00000000-0005-0000-0000-00000A3A0000}"/>
    <cellStyle name="Linked Cell 589" xfId="14944" xr:uid="{00000000-0005-0000-0000-00000B3A0000}"/>
    <cellStyle name="Linked Cell 59" xfId="14945" xr:uid="{00000000-0005-0000-0000-00000C3A0000}"/>
    <cellStyle name="Linked Cell 590" xfId="14946" xr:uid="{00000000-0005-0000-0000-00000D3A0000}"/>
    <cellStyle name="Linked Cell 591" xfId="14947" xr:uid="{00000000-0005-0000-0000-00000E3A0000}"/>
    <cellStyle name="Linked Cell 592" xfId="14948" xr:uid="{00000000-0005-0000-0000-00000F3A0000}"/>
    <cellStyle name="Linked Cell 593" xfId="14949" xr:uid="{00000000-0005-0000-0000-0000103A0000}"/>
    <cellStyle name="Linked Cell 594" xfId="14950" xr:uid="{00000000-0005-0000-0000-0000113A0000}"/>
    <cellStyle name="Linked Cell 595" xfId="14951" xr:uid="{00000000-0005-0000-0000-0000123A0000}"/>
    <cellStyle name="Linked Cell 596" xfId="14952" xr:uid="{00000000-0005-0000-0000-0000133A0000}"/>
    <cellStyle name="Linked Cell 597" xfId="14953" xr:uid="{00000000-0005-0000-0000-0000143A0000}"/>
    <cellStyle name="Linked Cell 598" xfId="14954" xr:uid="{00000000-0005-0000-0000-0000153A0000}"/>
    <cellStyle name="Linked Cell 599" xfId="14955" xr:uid="{00000000-0005-0000-0000-0000163A0000}"/>
    <cellStyle name="Linked Cell 6" xfId="14956" xr:uid="{00000000-0005-0000-0000-0000173A0000}"/>
    <cellStyle name="Linked Cell 60" xfId="14957" xr:uid="{00000000-0005-0000-0000-0000183A0000}"/>
    <cellStyle name="Linked Cell 600" xfId="14958" xr:uid="{00000000-0005-0000-0000-0000193A0000}"/>
    <cellStyle name="Linked Cell 601" xfId="14959" xr:uid="{00000000-0005-0000-0000-00001A3A0000}"/>
    <cellStyle name="Linked Cell 602" xfId="14960" xr:uid="{00000000-0005-0000-0000-00001B3A0000}"/>
    <cellStyle name="Linked Cell 603" xfId="14961" xr:uid="{00000000-0005-0000-0000-00001C3A0000}"/>
    <cellStyle name="Linked Cell 604" xfId="14962" xr:uid="{00000000-0005-0000-0000-00001D3A0000}"/>
    <cellStyle name="Linked Cell 605" xfId="14963" xr:uid="{00000000-0005-0000-0000-00001E3A0000}"/>
    <cellStyle name="Linked Cell 606" xfId="14964" xr:uid="{00000000-0005-0000-0000-00001F3A0000}"/>
    <cellStyle name="Linked Cell 607" xfId="14965" xr:uid="{00000000-0005-0000-0000-0000203A0000}"/>
    <cellStyle name="Linked Cell 608" xfId="14966" xr:uid="{00000000-0005-0000-0000-0000213A0000}"/>
    <cellStyle name="Linked Cell 609" xfId="14967" xr:uid="{00000000-0005-0000-0000-0000223A0000}"/>
    <cellStyle name="Linked Cell 61" xfId="14968" xr:uid="{00000000-0005-0000-0000-0000233A0000}"/>
    <cellStyle name="Linked Cell 610" xfId="14969" xr:uid="{00000000-0005-0000-0000-0000243A0000}"/>
    <cellStyle name="Linked Cell 611" xfId="14970" xr:uid="{00000000-0005-0000-0000-0000253A0000}"/>
    <cellStyle name="Linked Cell 612" xfId="14971" xr:uid="{00000000-0005-0000-0000-0000263A0000}"/>
    <cellStyle name="Linked Cell 613" xfId="14972" xr:uid="{00000000-0005-0000-0000-0000273A0000}"/>
    <cellStyle name="Linked Cell 614" xfId="14973" xr:uid="{00000000-0005-0000-0000-0000283A0000}"/>
    <cellStyle name="Linked Cell 615" xfId="14974" xr:uid="{00000000-0005-0000-0000-0000293A0000}"/>
    <cellStyle name="Linked Cell 616" xfId="14975" xr:uid="{00000000-0005-0000-0000-00002A3A0000}"/>
    <cellStyle name="Linked Cell 617" xfId="14976" xr:uid="{00000000-0005-0000-0000-00002B3A0000}"/>
    <cellStyle name="Linked Cell 618" xfId="14977" xr:uid="{00000000-0005-0000-0000-00002C3A0000}"/>
    <cellStyle name="Linked Cell 619" xfId="14978" xr:uid="{00000000-0005-0000-0000-00002D3A0000}"/>
    <cellStyle name="Linked Cell 62" xfId="14979" xr:uid="{00000000-0005-0000-0000-00002E3A0000}"/>
    <cellStyle name="Linked Cell 620" xfId="14980" xr:uid="{00000000-0005-0000-0000-00002F3A0000}"/>
    <cellStyle name="Linked Cell 621" xfId="14981" xr:uid="{00000000-0005-0000-0000-0000303A0000}"/>
    <cellStyle name="Linked Cell 622" xfId="14982" xr:uid="{00000000-0005-0000-0000-0000313A0000}"/>
    <cellStyle name="Linked Cell 623" xfId="14983" xr:uid="{00000000-0005-0000-0000-0000323A0000}"/>
    <cellStyle name="Linked Cell 624" xfId="14984" xr:uid="{00000000-0005-0000-0000-0000333A0000}"/>
    <cellStyle name="Linked Cell 625" xfId="14985" xr:uid="{00000000-0005-0000-0000-0000343A0000}"/>
    <cellStyle name="Linked Cell 626" xfId="14986" xr:uid="{00000000-0005-0000-0000-0000353A0000}"/>
    <cellStyle name="Linked Cell 627" xfId="14987" xr:uid="{00000000-0005-0000-0000-0000363A0000}"/>
    <cellStyle name="Linked Cell 628" xfId="14988" xr:uid="{00000000-0005-0000-0000-0000373A0000}"/>
    <cellStyle name="Linked Cell 629" xfId="14989" xr:uid="{00000000-0005-0000-0000-0000383A0000}"/>
    <cellStyle name="Linked Cell 63" xfId="14990" xr:uid="{00000000-0005-0000-0000-0000393A0000}"/>
    <cellStyle name="Linked Cell 630" xfId="14991" xr:uid="{00000000-0005-0000-0000-00003A3A0000}"/>
    <cellStyle name="Linked Cell 631" xfId="14992" xr:uid="{00000000-0005-0000-0000-00003B3A0000}"/>
    <cellStyle name="Linked Cell 632" xfId="14993" xr:uid="{00000000-0005-0000-0000-00003C3A0000}"/>
    <cellStyle name="Linked Cell 633" xfId="14994" xr:uid="{00000000-0005-0000-0000-00003D3A0000}"/>
    <cellStyle name="Linked Cell 634" xfId="14995" xr:uid="{00000000-0005-0000-0000-00003E3A0000}"/>
    <cellStyle name="Linked Cell 635" xfId="14996" xr:uid="{00000000-0005-0000-0000-00003F3A0000}"/>
    <cellStyle name="Linked Cell 636" xfId="14997" xr:uid="{00000000-0005-0000-0000-0000403A0000}"/>
    <cellStyle name="Linked Cell 637" xfId="14998" xr:uid="{00000000-0005-0000-0000-0000413A0000}"/>
    <cellStyle name="Linked Cell 638" xfId="14999" xr:uid="{00000000-0005-0000-0000-0000423A0000}"/>
    <cellStyle name="Linked Cell 639" xfId="15000" xr:uid="{00000000-0005-0000-0000-0000433A0000}"/>
    <cellStyle name="Linked Cell 64" xfId="15001" xr:uid="{00000000-0005-0000-0000-0000443A0000}"/>
    <cellStyle name="Linked Cell 640" xfId="15002" xr:uid="{00000000-0005-0000-0000-0000453A0000}"/>
    <cellStyle name="Linked Cell 641" xfId="15003" xr:uid="{00000000-0005-0000-0000-0000463A0000}"/>
    <cellStyle name="Linked Cell 642" xfId="15004" xr:uid="{00000000-0005-0000-0000-0000473A0000}"/>
    <cellStyle name="Linked Cell 643" xfId="15005" xr:uid="{00000000-0005-0000-0000-0000483A0000}"/>
    <cellStyle name="Linked Cell 644" xfId="15006" xr:uid="{00000000-0005-0000-0000-0000493A0000}"/>
    <cellStyle name="Linked Cell 645" xfId="15007" xr:uid="{00000000-0005-0000-0000-00004A3A0000}"/>
    <cellStyle name="Linked Cell 646" xfId="15008" xr:uid="{00000000-0005-0000-0000-00004B3A0000}"/>
    <cellStyle name="Linked Cell 647" xfId="15009" xr:uid="{00000000-0005-0000-0000-00004C3A0000}"/>
    <cellStyle name="Linked Cell 648" xfId="15010" xr:uid="{00000000-0005-0000-0000-00004D3A0000}"/>
    <cellStyle name="Linked Cell 649" xfId="15011" xr:uid="{00000000-0005-0000-0000-00004E3A0000}"/>
    <cellStyle name="Linked Cell 65" xfId="15012" xr:uid="{00000000-0005-0000-0000-00004F3A0000}"/>
    <cellStyle name="Linked Cell 650" xfId="15013" xr:uid="{00000000-0005-0000-0000-0000503A0000}"/>
    <cellStyle name="Linked Cell 651" xfId="15014" xr:uid="{00000000-0005-0000-0000-0000513A0000}"/>
    <cellStyle name="Linked Cell 652" xfId="15015" xr:uid="{00000000-0005-0000-0000-0000523A0000}"/>
    <cellStyle name="Linked Cell 653" xfId="15016" xr:uid="{00000000-0005-0000-0000-0000533A0000}"/>
    <cellStyle name="Linked Cell 654" xfId="15017" xr:uid="{00000000-0005-0000-0000-0000543A0000}"/>
    <cellStyle name="Linked Cell 655" xfId="15018" xr:uid="{00000000-0005-0000-0000-0000553A0000}"/>
    <cellStyle name="Linked Cell 656" xfId="15019" xr:uid="{00000000-0005-0000-0000-0000563A0000}"/>
    <cellStyle name="Linked Cell 657" xfId="15020" xr:uid="{00000000-0005-0000-0000-0000573A0000}"/>
    <cellStyle name="Linked Cell 658" xfId="15021" xr:uid="{00000000-0005-0000-0000-0000583A0000}"/>
    <cellStyle name="Linked Cell 659" xfId="15022" xr:uid="{00000000-0005-0000-0000-0000593A0000}"/>
    <cellStyle name="Linked Cell 66" xfId="15023" xr:uid="{00000000-0005-0000-0000-00005A3A0000}"/>
    <cellStyle name="Linked Cell 660" xfId="15024" xr:uid="{00000000-0005-0000-0000-00005B3A0000}"/>
    <cellStyle name="Linked Cell 661" xfId="15025" xr:uid="{00000000-0005-0000-0000-00005C3A0000}"/>
    <cellStyle name="Linked Cell 662" xfId="15026" xr:uid="{00000000-0005-0000-0000-00005D3A0000}"/>
    <cellStyle name="Linked Cell 663" xfId="15027" xr:uid="{00000000-0005-0000-0000-00005E3A0000}"/>
    <cellStyle name="Linked Cell 664" xfId="15028" xr:uid="{00000000-0005-0000-0000-00005F3A0000}"/>
    <cellStyle name="Linked Cell 665" xfId="15029" xr:uid="{00000000-0005-0000-0000-0000603A0000}"/>
    <cellStyle name="Linked Cell 666" xfId="15030" xr:uid="{00000000-0005-0000-0000-0000613A0000}"/>
    <cellStyle name="Linked Cell 667" xfId="15031" xr:uid="{00000000-0005-0000-0000-0000623A0000}"/>
    <cellStyle name="Linked Cell 668" xfId="15032" xr:uid="{00000000-0005-0000-0000-0000633A0000}"/>
    <cellStyle name="Linked Cell 669" xfId="15033" xr:uid="{00000000-0005-0000-0000-0000643A0000}"/>
    <cellStyle name="Linked Cell 67" xfId="15034" xr:uid="{00000000-0005-0000-0000-0000653A0000}"/>
    <cellStyle name="Linked Cell 670" xfId="15035" xr:uid="{00000000-0005-0000-0000-0000663A0000}"/>
    <cellStyle name="Linked Cell 671" xfId="15036" xr:uid="{00000000-0005-0000-0000-0000673A0000}"/>
    <cellStyle name="Linked Cell 672" xfId="15037" xr:uid="{00000000-0005-0000-0000-0000683A0000}"/>
    <cellStyle name="Linked Cell 673" xfId="15038" xr:uid="{00000000-0005-0000-0000-0000693A0000}"/>
    <cellStyle name="Linked Cell 674" xfId="15039" xr:uid="{00000000-0005-0000-0000-00006A3A0000}"/>
    <cellStyle name="Linked Cell 675" xfId="15040" xr:uid="{00000000-0005-0000-0000-00006B3A0000}"/>
    <cellStyle name="Linked Cell 676" xfId="15041" xr:uid="{00000000-0005-0000-0000-00006C3A0000}"/>
    <cellStyle name="Linked Cell 677" xfId="15042" xr:uid="{00000000-0005-0000-0000-00006D3A0000}"/>
    <cellStyle name="Linked Cell 678" xfId="15043" xr:uid="{00000000-0005-0000-0000-00006E3A0000}"/>
    <cellStyle name="Linked Cell 679" xfId="15044" xr:uid="{00000000-0005-0000-0000-00006F3A0000}"/>
    <cellStyle name="Linked Cell 68" xfId="15045" xr:uid="{00000000-0005-0000-0000-0000703A0000}"/>
    <cellStyle name="Linked Cell 680" xfId="15046" xr:uid="{00000000-0005-0000-0000-0000713A0000}"/>
    <cellStyle name="Linked Cell 681" xfId="15047" xr:uid="{00000000-0005-0000-0000-0000723A0000}"/>
    <cellStyle name="Linked Cell 682" xfId="15048" xr:uid="{00000000-0005-0000-0000-0000733A0000}"/>
    <cellStyle name="Linked Cell 683" xfId="15049" xr:uid="{00000000-0005-0000-0000-0000743A0000}"/>
    <cellStyle name="Linked Cell 684" xfId="15050" xr:uid="{00000000-0005-0000-0000-0000753A0000}"/>
    <cellStyle name="Linked Cell 685" xfId="15051" xr:uid="{00000000-0005-0000-0000-0000763A0000}"/>
    <cellStyle name="Linked Cell 686" xfId="15052" xr:uid="{00000000-0005-0000-0000-0000773A0000}"/>
    <cellStyle name="Linked Cell 687" xfId="15053" xr:uid="{00000000-0005-0000-0000-0000783A0000}"/>
    <cellStyle name="Linked Cell 688" xfId="15054" xr:uid="{00000000-0005-0000-0000-0000793A0000}"/>
    <cellStyle name="Linked Cell 689" xfId="15055" xr:uid="{00000000-0005-0000-0000-00007A3A0000}"/>
    <cellStyle name="Linked Cell 69" xfId="15056" xr:uid="{00000000-0005-0000-0000-00007B3A0000}"/>
    <cellStyle name="Linked Cell 690" xfId="15057" xr:uid="{00000000-0005-0000-0000-00007C3A0000}"/>
    <cellStyle name="Linked Cell 691" xfId="15058" xr:uid="{00000000-0005-0000-0000-00007D3A0000}"/>
    <cellStyle name="Linked Cell 692" xfId="15059" xr:uid="{00000000-0005-0000-0000-00007E3A0000}"/>
    <cellStyle name="Linked Cell 693" xfId="15060" xr:uid="{00000000-0005-0000-0000-00007F3A0000}"/>
    <cellStyle name="Linked Cell 694" xfId="15061" xr:uid="{00000000-0005-0000-0000-0000803A0000}"/>
    <cellStyle name="Linked Cell 695" xfId="15062" xr:uid="{00000000-0005-0000-0000-0000813A0000}"/>
    <cellStyle name="Linked Cell 696" xfId="15063" xr:uid="{00000000-0005-0000-0000-0000823A0000}"/>
    <cellStyle name="Linked Cell 697" xfId="15064" xr:uid="{00000000-0005-0000-0000-0000833A0000}"/>
    <cellStyle name="Linked Cell 698" xfId="15065" xr:uid="{00000000-0005-0000-0000-0000843A0000}"/>
    <cellStyle name="Linked Cell 699" xfId="15066" xr:uid="{00000000-0005-0000-0000-0000853A0000}"/>
    <cellStyle name="Linked Cell 7" xfId="15067" xr:uid="{00000000-0005-0000-0000-0000863A0000}"/>
    <cellStyle name="Linked Cell 70" xfId="15068" xr:uid="{00000000-0005-0000-0000-0000873A0000}"/>
    <cellStyle name="Linked Cell 700" xfId="15069" xr:uid="{00000000-0005-0000-0000-0000883A0000}"/>
    <cellStyle name="Linked Cell 701" xfId="15070" xr:uid="{00000000-0005-0000-0000-0000893A0000}"/>
    <cellStyle name="Linked Cell 702" xfId="15071" xr:uid="{00000000-0005-0000-0000-00008A3A0000}"/>
    <cellStyle name="Linked Cell 703" xfId="15072" xr:uid="{00000000-0005-0000-0000-00008B3A0000}"/>
    <cellStyle name="Linked Cell 704" xfId="15073" xr:uid="{00000000-0005-0000-0000-00008C3A0000}"/>
    <cellStyle name="Linked Cell 705" xfId="15074" xr:uid="{00000000-0005-0000-0000-00008D3A0000}"/>
    <cellStyle name="Linked Cell 706" xfId="15075" xr:uid="{00000000-0005-0000-0000-00008E3A0000}"/>
    <cellStyle name="Linked Cell 707" xfId="15076" xr:uid="{00000000-0005-0000-0000-00008F3A0000}"/>
    <cellStyle name="Linked Cell 708" xfId="15077" xr:uid="{00000000-0005-0000-0000-0000903A0000}"/>
    <cellStyle name="Linked Cell 709" xfId="15078" xr:uid="{00000000-0005-0000-0000-0000913A0000}"/>
    <cellStyle name="Linked Cell 71" xfId="15079" xr:uid="{00000000-0005-0000-0000-0000923A0000}"/>
    <cellStyle name="Linked Cell 710" xfId="15080" xr:uid="{00000000-0005-0000-0000-0000933A0000}"/>
    <cellStyle name="Linked Cell 711" xfId="15081" xr:uid="{00000000-0005-0000-0000-0000943A0000}"/>
    <cellStyle name="Linked Cell 712" xfId="15082" xr:uid="{00000000-0005-0000-0000-0000953A0000}"/>
    <cellStyle name="Linked Cell 713" xfId="15083" xr:uid="{00000000-0005-0000-0000-0000963A0000}"/>
    <cellStyle name="Linked Cell 714" xfId="15084" xr:uid="{00000000-0005-0000-0000-0000973A0000}"/>
    <cellStyle name="Linked Cell 715" xfId="15085" xr:uid="{00000000-0005-0000-0000-0000983A0000}"/>
    <cellStyle name="Linked Cell 716" xfId="15086" xr:uid="{00000000-0005-0000-0000-0000993A0000}"/>
    <cellStyle name="Linked Cell 717" xfId="15087" xr:uid="{00000000-0005-0000-0000-00009A3A0000}"/>
    <cellStyle name="Linked Cell 718" xfId="15088" xr:uid="{00000000-0005-0000-0000-00009B3A0000}"/>
    <cellStyle name="Linked Cell 719" xfId="15089" xr:uid="{00000000-0005-0000-0000-00009C3A0000}"/>
    <cellStyle name="Linked Cell 72" xfId="15090" xr:uid="{00000000-0005-0000-0000-00009D3A0000}"/>
    <cellStyle name="Linked Cell 720" xfId="15091" xr:uid="{00000000-0005-0000-0000-00009E3A0000}"/>
    <cellStyle name="Linked Cell 721" xfId="15092" xr:uid="{00000000-0005-0000-0000-00009F3A0000}"/>
    <cellStyle name="Linked Cell 722" xfId="15093" xr:uid="{00000000-0005-0000-0000-0000A03A0000}"/>
    <cellStyle name="Linked Cell 723" xfId="15094" xr:uid="{00000000-0005-0000-0000-0000A13A0000}"/>
    <cellStyle name="Linked Cell 724" xfId="15095" xr:uid="{00000000-0005-0000-0000-0000A23A0000}"/>
    <cellStyle name="Linked Cell 725" xfId="15096" xr:uid="{00000000-0005-0000-0000-0000A33A0000}"/>
    <cellStyle name="Linked Cell 726" xfId="15097" xr:uid="{00000000-0005-0000-0000-0000A43A0000}"/>
    <cellStyle name="Linked Cell 727" xfId="15098" xr:uid="{00000000-0005-0000-0000-0000A53A0000}"/>
    <cellStyle name="Linked Cell 728" xfId="15099" xr:uid="{00000000-0005-0000-0000-0000A63A0000}"/>
    <cellStyle name="Linked Cell 729" xfId="15100" xr:uid="{00000000-0005-0000-0000-0000A73A0000}"/>
    <cellStyle name="Linked Cell 73" xfId="15101" xr:uid="{00000000-0005-0000-0000-0000A83A0000}"/>
    <cellStyle name="Linked Cell 730" xfId="15102" xr:uid="{00000000-0005-0000-0000-0000A93A0000}"/>
    <cellStyle name="Linked Cell 731" xfId="15103" xr:uid="{00000000-0005-0000-0000-0000AA3A0000}"/>
    <cellStyle name="Linked Cell 732" xfId="15104" xr:uid="{00000000-0005-0000-0000-0000AB3A0000}"/>
    <cellStyle name="Linked Cell 733" xfId="15105" xr:uid="{00000000-0005-0000-0000-0000AC3A0000}"/>
    <cellStyle name="Linked Cell 734" xfId="15106" xr:uid="{00000000-0005-0000-0000-0000AD3A0000}"/>
    <cellStyle name="Linked Cell 735" xfId="15107" xr:uid="{00000000-0005-0000-0000-0000AE3A0000}"/>
    <cellStyle name="Linked Cell 736" xfId="15108" xr:uid="{00000000-0005-0000-0000-0000AF3A0000}"/>
    <cellStyle name="Linked Cell 737" xfId="15109" xr:uid="{00000000-0005-0000-0000-0000B03A0000}"/>
    <cellStyle name="Linked Cell 738" xfId="15110" xr:uid="{00000000-0005-0000-0000-0000B13A0000}"/>
    <cellStyle name="Linked Cell 739" xfId="15111" xr:uid="{00000000-0005-0000-0000-0000B23A0000}"/>
    <cellStyle name="Linked Cell 74" xfId="15112" xr:uid="{00000000-0005-0000-0000-0000B33A0000}"/>
    <cellStyle name="Linked Cell 740" xfId="15113" xr:uid="{00000000-0005-0000-0000-0000B43A0000}"/>
    <cellStyle name="Linked Cell 741" xfId="15114" xr:uid="{00000000-0005-0000-0000-0000B53A0000}"/>
    <cellStyle name="Linked Cell 742" xfId="15115" xr:uid="{00000000-0005-0000-0000-0000B63A0000}"/>
    <cellStyle name="Linked Cell 743" xfId="15116" xr:uid="{00000000-0005-0000-0000-0000B73A0000}"/>
    <cellStyle name="Linked Cell 744" xfId="15117" xr:uid="{00000000-0005-0000-0000-0000B83A0000}"/>
    <cellStyle name="Linked Cell 745" xfId="15118" xr:uid="{00000000-0005-0000-0000-0000B93A0000}"/>
    <cellStyle name="Linked Cell 746" xfId="15119" xr:uid="{00000000-0005-0000-0000-0000BA3A0000}"/>
    <cellStyle name="Linked Cell 747" xfId="15120" xr:uid="{00000000-0005-0000-0000-0000BB3A0000}"/>
    <cellStyle name="Linked Cell 748" xfId="15121" xr:uid="{00000000-0005-0000-0000-0000BC3A0000}"/>
    <cellStyle name="Linked Cell 749" xfId="15122" xr:uid="{00000000-0005-0000-0000-0000BD3A0000}"/>
    <cellStyle name="Linked Cell 75" xfId="15123" xr:uid="{00000000-0005-0000-0000-0000BE3A0000}"/>
    <cellStyle name="Linked Cell 750" xfId="15124" xr:uid="{00000000-0005-0000-0000-0000BF3A0000}"/>
    <cellStyle name="Linked Cell 751" xfId="15125" xr:uid="{00000000-0005-0000-0000-0000C03A0000}"/>
    <cellStyle name="Linked Cell 752" xfId="15126" xr:uid="{00000000-0005-0000-0000-0000C13A0000}"/>
    <cellStyle name="Linked Cell 753" xfId="15127" xr:uid="{00000000-0005-0000-0000-0000C23A0000}"/>
    <cellStyle name="Linked Cell 754" xfId="15128" xr:uid="{00000000-0005-0000-0000-0000C33A0000}"/>
    <cellStyle name="Linked Cell 755" xfId="15129" xr:uid="{00000000-0005-0000-0000-0000C43A0000}"/>
    <cellStyle name="Linked Cell 756" xfId="15130" xr:uid="{00000000-0005-0000-0000-0000C53A0000}"/>
    <cellStyle name="Linked Cell 757" xfId="15131" xr:uid="{00000000-0005-0000-0000-0000C63A0000}"/>
    <cellStyle name="Linked Cell 758" xfId="15132" xr:uid="{00000000-0005-0000-0000-0000C73A0000}"/>
    <cellStyle name="Linked Cell 759" xfId="15133" xr:uid="{00000000-0005-0000-0000-0000C83A0000}"/>
    <cellStyle name="Linked Cell 76" xfId="15134" xr:uid="{00000000-0005-0000-0000-0000C93A0000}"/>
    <cellStyle name="Linked Cell 760" xfId="15135" xr:uid="{00000000-0005-0000-0000-0000CA3A0000}"/>
    <cellStyle name="Linked Cell 761" xfId="15136" xr:uid="{00000000-0005-0000-0000-0000CB3A0000}"/>
    <cellStyle name="Linked Cell 762" xfId="15137" xr:uid="{00000000-0005-0000-0000-0000CC3A0000}"/>
    <cellStyle name="Linked Cell 763" xfId="15138" xr:uid="{00000000-0005-0000-0000-0000CD3A0000}"/>
    <cellStyle name="Linked Cell 764" xfId="15139" xr:uid="{00000000-0005-0000-0000-0000CE3A0000}"/>
    <cellStyle name="Linked Cell 765" xfId="15140" xr:uid="{00000000-0005-0000-0000-0000CF3A0000}"/>
    <cellStyle name="Linked Cell 766" xfId="15141" xr:uid="{00000000-0005-0000-0000-0000D03A0000}"/>
    <cellStyle name="Linked Cell 767" xfId="15142" xr:uid="{00000000-0005-0000-0000-0000D13A0000}"/>
    <cellStyle name="Linked Cell 768" xfId="15143" xr:uid="{00000000-0005-0000-0000-0000D23A0000}"/>
    <cellStyle name="Linked Cell 769" xfId="15144" xr:uid="{00000000-0005-0000-0000-0000D33A0000}"/>
    <cellStyle name="Linked Cell 77" xfId="15145" xr:uid="{00000000-0005-0000-0000-0000D43A0000}"/>
    <cellStyle name="Linked Cell 770" xfId="15146" xr:uid="{00000000-0005-0000-0000-0000D53A0000}"/>
    <cellStyle name="Linked Cell 771" xfId="15147" xr:uid="{00000000-0005-0000-0000-0000D63A0000}"/>
    <cellStyle name="Linked Cell 772" xfId="15148" xr:uid="{00000000-0005-0000-0000-0000D73A0000}"/>
    <cellStyle name="Linked Cell 773" xfId="15149" xr:uid="{00000000-0005-0000-0000-0000D83A0000}"/>
    <cellStyle name="Linked Cell 774" xfId="15150" xr:uid="{00000000-0005-0000-0000-0000D93A0000}"/>
    <cellStyle name="Linked Cell 775" xfId="15151" xr:uid="{00000000-0005-0000-0000-0000DA3A0000}"/>
    <cellStyle name="Linked Cell 776" xfId="15152" xr:uid="{00000000-0005-0000-0000-0000DB3A0000}"/>
    <cellStyle name="Linked Cell 777" xfId="15153" xr:uid="{00000000-0005-0000-0000-0000DC3A0000}"/>
    <cellStyle name="Linked Cell 778" xfId="15154" xr:uid="{00000000-0005-0000-0000-0000DD3A0000}"/>
    <cellStyle name="Linked Cell 779" xfId="15155" xr:uid="{00000000-0005-0000-0000-0000DE3A0000}"/>
    <cellStyle name="Linked Cell 78" xfId="15156" xr:uid="{00000000-0005-0000-0000-0000DF3A0000}"/>
    <cellStyle name="Linked Cell 780" xfId="15157" xr:uid="{00000000-0005-0000-0000-0000E03A0000}"/>
    <cellStyle name="Linked Cell 781" xfId="15158" xr:uid="{00000000-0005-0000-0000-0000E13A0000}"/>
    <cellStyle name="Linked Cell 782" xfId="15159" xr:uid="{00000000-0005-0000-0000-0000E23A0000}"/>
    <cellStyle name="Linked Cell 783" xfId="15160" xr:uid="{00000000-0005-0000-0000-0000E33A0000}"/>
    <cellStyle name="Linked Cell 784" xfId="15161" xr:uid="{00000000-0005-0000-0000-0000E43A0000}"/>
    <cellStyle name="Linked Cell 785" xfId="15162" xr:uid="{00000000-0005-0000-0000-0000E53A0000}"/>
    <cellStyle name="Linked Cell 786" xfId="15163" xr:uid="{00000000-0005-0000-0000-0000E63A0000}"/>
    <cellStyle name="Linked Cell 787" xfId="15164" xr:uid="{00000000-0005-0000-0000-0000E73A0000}"/>
    <cellStyle name="Linked Cell 788" xfId="15165" xr:uid="{00000000-0005-0000-0000-0000E83A0000}"/>
    <cellStyle name="Linked Cell 789" xfId="15166" xr:uid="{00000000-0005-0000-0000-0000E93A0000}"/>
    <cellStyle name="Linked Cell 79" xfId="15167" xr:uid="{00000000-0005-0000-0000-0000EA3A0000}"/>
    <cellStyle name="Linked Cell 790" xfId="15168" xr:uid="{00000000-0005-0000-0000-0000EB3A0000}"/>
    <cellStyle name="Linked Cell 791" xfId="15169" xr:uid="{00000000-0005-0000-0000-0000EC3A0000}"/>
    <cellStyle name="Linked Cell 792" xfId="15170" xr:uid="{00000000-0005-0000-0000-0000ED3A0000}"/>
    <cellStyle name="Linked Cell 793" xfId="15171" xr:uid="{00000000-0005-0000-0000-0000EE3A0000}"/>
    <cellStyle name="Linked Cell 794" xfId="15172" xr:uid="{00000000-0005-0000-0000-0000EF3A0000}"/>
    <cellStyle name="Linked Cell 795" xfId="15173" xr:uid="{00000000-0005-0000-0000-0000F03A0000}"/>
    <cellStyle name="Linked Cell 796" xfId="15174" xr:uid="{00000000-0005-0000-0000-0000F13A0000}"/>
    <cellStyle name="Linked Cell 797" xfId="15175" xr:uid="{00000000-0005-0000-0000-0000F23A0000}"/>
    <cellStyle name="Linked Cell 798" xfId="15176" xr:uid="{00000000-0005-0000-0000-0000F33A0000}"/>
    <cellStyle name="Linked Cell 799" xfId="15177" xr:uid="{00000000-0005-0000-0000-0000F43A0000}"/>
    <cellStyle name="Linked Cell 8" xfId="15178" xr:uid="{00000000-0005-0000-0000-0000F53A0000}"/>
    <cellStyle name="Linked Cell 80" xfId="15179" xr:uid="{00000000-0005-0000-0000-0000F63A0000}"/>
    <cellStyle name="Linked Cell 800" xfId="15180" xr:uid="{00000000-0005-0000-0000-0000F73A0000}"/>
    <cellStyle name="Linked Cell 801" xfId="15181" xr:uid="{00000000-0005-0000-0000-0000F83A0000}"/>
    <cellStyle name="Linked Cell 802" xfId="15182" xr:uid="{00000000-0005-0000-0000-0000F93A0000}"/>
    <cellStyle name="Linked Cell 803" xfId="15183" xr:uid="{00000000-0005-0000-0000-0000FA3A0000}"/>
    <cellStyle name="Linked Cell 804" xfId="15184" xr:uid="{00000000-0005-0000-0000-0000FB3A0000}"/>
    <cellStyle name="Linked Cell 805" xfId="15185" xr:uid="{00000000-0005-0000-0000-0000FC3A0000}"/>
    <cellStyle name="Linked Cell 806" xfId="15186" xr:uid="{00000000-0005-0000-0000-0000FD3A0000}"/>
    <cellStyle name="Linked Cell 807" xfId="15187" xr:uid="{00000000-0005-0000-0000-0000FE3A0000}"/>
    <cellStyle name="Linked Cell 808" xfId="15188" xr:uid="{00000000-0005-0000-0000-0000FF3A0000}"/>
    <cellStyle name="Linked Cell 809" xfId="15189" xr:uid="{00000000-0005-0000-0000-0000003B0000}"/>
    <cellStyle name="Linked Cell 81" xfId="15190" xr:uid="{00000000-0005-0000-0000-0000013B0000}"/>
    <cellStyle name="Linked Cell 810" xfId="15191" xr:uid="{00000000-0005-0000-0000-0000023B0000}"/>
    <cellStyle name="Linked Cell 811" xfId="15192" xr:uid="{00000000-0005-0000-0000-0000033B0000}"/>
    <cellStyle name="Linked Cell 812" xfId="15193" xr:uid="{00000000-0005-0000-0000-0000043B0000}"/>
    <cellStyle name="Linked Cell 813" xfId="15194" xr:uid="{00000000-0005-0000-0000-0000053B0000}"/>
    <cellStyle name="Linked Cell 814" xfId="15195" xr:uid="{00000000-0005-0000-0000-0000063B0000}"/>
    <cellStyle name="Linked Cell 815" xfId="15196" xr:uid="{00000000-0005-0000-0000-0000073B0000}"/>
    <cellStyle name="Linked Cell 816" xfId="15197" xr:uid="{00000000-0005-0000-0000-0000083B0000}"/>
    <cellStyle name="Linked Cell 817" xfId="15198" xr:uid="{00000000-0005-0000-0000-0000093B0000}"/>
    <cellStyle name="Linked Cell 818" xfId="15199" xr:uid="{00000000-0005-0000-0000-00000A3B0000}"/>
    <cellStyle name="Linked Cell 819" xfId="15200" xr:uid="{00000000-0005-0000-0000-00000B3B0000}"/>
    <cellStyle name="Linked Cell 82" xfId="15201" xr:uid="{00000000-0005-0000-0000-00000C3B0000}"/>
    <cellStyle name="Linked Cell 820" xfId="15202" xr:uid="{00000000-0005-0000-0000-00000D3B0000}"/>
    <cellStyle name="Linked Cell 821" xfId="15203" xr:uid="{00000000-0005-0000-0000-00000E3B0000}"/>
    <cellStyle name="Linked Cell 822" xfId="15204" xr:uid="{00000000-0005-0000-0000-00000F3B0000}"/>
    <cellStyle name="Linked Cell 823" xfId="15205" xr:uid="{00000000-0005-0000-0000-0000103B0000}"/>
    <cellStyle name="Linked Cell 824" xfId="15206" xr:uid="{00000000-0005-0000-0000-0000113B0000}"/>
    <cellStyle name="Linked Cell 825" xfId="15207" xr:uid="{00000000-0005-0000-0000-0000123B0000}"/>
    <cellStyle name="Linked Cell 826" xfId="15208" xr:uid="{00000000-0005-0000-0000-0000133B0000}"/>
    <cellStyle name="Linked Cell 827" xfId="15209" xr:uid="{00000000-0005-0000-0000-0000143B0000}"/>
    <cellStyle name="Linked Cell 828" xfId="15210" xr:uid="{00000000-0005-0000-0000-0000153B0000}"/>
    <cellStyle name="Linked Cell 829" xfId="15211" xr:uid="{00000000-0005-0000-0000-0000163B0000}"/>
    <cellStyle name="Linked Cell 83" xfId="15212" xr:uid="{00000000-0005-0000-0000-0000173B0000}"/>
    <cellStyle name="Linked Cell 830" xfId="15213" xr:uid="{00000000-0005-0000-0000-0000183B0000}"/>
    <cellStyle name="Linked Cell 831" xfId="15214" xr:uid="{00000000-0005-0000-0000-0000193B0000}"/>
    <cellStyle name="Linked Cell 832" xfId="15215" xr:uid="{00000000-0005-0000-0000-00001A3B0000}"/>
    <cellStyle name="Linked Cell 833" xfId="15216" xr:uid="{00000000-0005-0000-0000-00001B3B0000}"/>
    <cellStyle name="Linked Cell 834" xfId="15217" xr:uid="{00000000-0005-0000-0000-00001C3B0000}"/>
    <cellStyle name="Linked Cell 835" xfId="15218" xr:uid="{00000000-0005-0000-0000-00001D3B0000}"/>
    <cellStyle name="Linked Cell 836" xfId="15219" xr:uid="{00000000-0005-0000-0000-00001E3B0000}"/>
    <cellStyle name="Linked Cell 837" xfId="15220" xr:uid="{00000000-0005-0000-0000-00001F3B0000}"/>
    <cellStyle name="Linked Cell 838" xfId="15221" xr:uid="{00000000-0005-0000-0000-0000203B0000}"/>
    <cellStyle name="Linked Cell 839" xfId="15222" xr:uid="{00000000-0005-0000-0000-0000213B0000}"/>
    <cellStyle name="Linked Cell 84" xfId="15223" xr:uid="{00000000-0005-0000-0000-0000223B0000}"/>
    <cellStyle name="Linked Cell 840" xfId="15224" xr:uid="{00000000-0005-0000-0000-0000233B0000}"/>
    <cellStyle name="Linked Cell 841" xfId="15225" xr:uid="{00000000-0005-0000-0000-0000243B0000}"/>
    <cellStyle name="Linked Cell 842" xfId="15226" xr:uid="{00000000-0005-0000-0000-0000253B0000}"/>
    <cellStyle name="Linked Cell 843" xfId="15227" xr:uid="{00000000-0005-0000-0000-0000263B0000}"/>
    <cellStyle name="Linked Cell 844" xfId="15228" xr:uid="{00000000-0005-0000-0000-0000273B0000}"/>
    <cellStyle name="Linked Cell 845" xfId="15229" xr:uid="{00000000-0005-0000-0000-0000283B0000}"/>
    <cellStyle name="Linked Cell 846" xfId="15230" xr:uid="{00000000-0005-0000-0000-0000293B0000}"/>
    <cellStyle name="Linked Cell 847" xfId="15231" xr:uid="{00000000-0005-0000-0000-00002A3B0000}"/>
    <cellStyle name="Linked Cell 848" xfId="15232" xr:uid="{00000000-0005-0000-0000-00002B3B0000}"/>
    <cellStyle name="Linked Cell 849" xfId="15233" xr:uid="{00000000-0005-0000-0000-00002C3B0000}"/>
    <cellStyle name="Linked Cell 85" xfId="15234" xr:uid="{00000000-0005-0000-0000-00002D3B0000}"/>
    <cellStyle name="Linked Cell 850" xfId="15235" xr:uid="{00000000-0005-0000-0000-00002E3B0000}"/>
    <cellStyle name="Linked Cell 851" xfId="15236" xr:uid="{00000000-0005-0000-0000-00002F3B0000}"/>
    <cellStyle name="Linked Cell 852" xfId="15237" xr:uid="{00000000-0005-0000-0000-0000303B0000}"/>
    <cellStyle name="Linked Cell 853" xfId="15238" xr:uid="{00000000-0005-0000-0000-0000313B0000}"/>
    <cellStyle name="Linked Cell 854" xfId="15239" xr:uid="{00000000-0005-0000-0000-0000323B0000}"/>
    <cellStyle name="Linked Cell 855" xfId="15240" xr:uid="{00000000-0005-0000-0000-0000333B0000}"/>
    <cellStyle name="Linked Cell 856" xfId="15241" xr:uid="{00000000-0005-0000-0000-0000343B0000}"/>
    <cellStyle name="Linked Cell 857" xfId="15242" xr:uid="{00000000-0005-0000-0000-0000353B0000}"/>
    <cellStyle name="Linked Cell 858" xfId="15243" xr:uid="{00000000-0005-0000-0000-0000363B0000}"/>
    <cellStyle name="Linked Cell 859" xfId="15244" xr:uid="{00000000-0005-0000-0000-0000373B0000}"/>
    <cellStyle name="Linked Cell 86" xfId="15245" xr:uid="{00000000-0005-0000-0000-0000383B0000}"/>
    <cellStyle name="Linked Cell 860" xfId="15246" xr:uid="{00000000-0005-0000-0000-0000393B0000}"/>
    <cellStyle name="Linked Cell 861" xfId="15247" xr:uid="{00000000-0005-0000-0000-00003A3B0000}"/>
    <cellStyle name="Linked Cell 862" xfId="15248" xr:uid="{00000000-0005-0000-0000-00003B3B0000}"/>
    <cellStyle name="Linked Cell 863" xfId="15249" xr:uid="{00000000-0005-0000-0000-00003C3B0000}"/>
    <cellStyle name="Linked Cell 864" xfId="15250" xr:uid="{00000000-0005-0000-0000-00003D3B0000}"/>
    <cellStyle name="Linked Cell 865" xfId="15251" xr:uid="{00000000-0005-0000-0000-00003E3B0000}"/>
    <cellStyle name="Linked Cell 866" xfId="15252" xr:uid="{00000000-0005-0000-0000-00003F3B0000}"/>
    <cellStyle name="Linked Cell 867" xfId="15253" xr:uid="{00000000-0005-0000-0000-0000403B0000}"/>
    <cellStyle name="Linked Cell 868" xfId="15254" xr:uid="{00000000-0005-0000-0000-0000413B0000}"/>
    <cellStyle name="Linked Cell 869" xfId="15255" xr:uid="{00000000-0005-0000-0000-0000423B0000}"/>
    <cellStyle name="Linked Cell 87" xfId="15256" xr:uid="{00000000-0005-0000-0000-0000433B0000}"/>
    <cellStyle name="Linked Cell 870" xfId="15257" xr:uid="{00000000-0005-0000-0000-0000443B0000}"/>
    <cellStyle name="Linked Cell 871" xfId="15258" xr:uid="{00000000-0005-0000-0000-0000453B0000}"/>
    <cellStyle name="Linked Cell 872" xfId="15259" xr:uid="{00000000-0005-0000-0000-0000463B0000}"/>
    <cellStyle name="Linked Cell 873" xfId="15260" xr:uid="{00000000-0005-0000-0000-0000473B0000}"/>
    <cellStyle name="Linked Cell 874" xfId="15261" xr:uid="{00000000-0005-0000-0000-0000483B0000}"/>
    <cellStyle name="Linked Cell 875" xfId="15262" xr:uid="{00000000-0005-0000-0000-0000493B0000}"/>
    <cellStyle name="Linked Cell 876" xfId="15263" xr:uid="{00000000-0005-0000-0000-00004A3B0000}"/>
    <cellStyle name="Linked Cell 877" xfId="15264" xr:uid="{00000000-0005-0000-0000-00004B3B0000}"/>
    <cellStyle name="Linked Cell 878" xfId="15265" xr:uid="{00000000-0005-0000-0000-00004C3B0000}"/>
    <cellStyle name="Linked Cell 879" xfId="15266" xr:uid="{00000000-0005-0000-0000-00004D3B0000}"/>
    <cellStyle name="Linked Cell 88" xfId="15267" xr:uid="{00000000-0005-0000-0000-00004E3B0000}"/>
    <cellStyle name="Linked Cell 880" xfId="15268" xr:uid="{00000000-0005-0000-0000-00004F3B0000}"/>
    <cellStyle name="Linked Cell 881" xfId="15269" xr:uid="{00000000-0005-0000-0000-0000503B0000}"/>
    <cellStyle name="Linked Cell 882" xfId="15270" xr:uid="{00000000-0005-0000-0000-0000513B0000}"/>
    <cellStyle name="Linked Cell 883" xfId="15271" xr:uid="{00000000-0005-0000-0000-0000523B0000}"/>
    <cellStyle name="Linked Cell 884" xfId="15272" xr:uid="{00000000-0005-0000-0000-0000533B0000}"/>
    <cellStyle name="Linked Cell 885" xfId="15273" xr:uid="{00000000-0005-0000-0000-0000543B0000}"/>
    <cellStyle name="Linked Cell 886" xfId="15274" xr:uid="{00000000-0005-0000-0000-0000553B0000}"/>
    <cellStyle name="Linked Cell 887" xfId="15275" xr:uid="{00000000-0005-0000-0000-0000563B0000}"/>
    <cellStyle name="Linked Cell 888" xfId="15276" xr:uid="{00000000-0005-0000-0000-0000573B0000}"/>
    <cellStyle name="Linked Cell 889" xfId="15277" xr:uid="{00000000-0005-0000-0000-0000583B0000}"/>
    <cellStyle name="Linked Cell 89" xfId="15278" xr:uid="{00000000-0005-0000-0000-0000593B0000}"/>
    <cellStyle name="Linked Cell 890" xfId="15279" xr:uid="{00000000-0005-0000-0000-00005A3B0000}"/>
    <cellStyle name="Linked Cell 891" xfId="15280" xr:uid="{00000000-0005-0000-0000-00005B3B0000}"/>
    <cellStyle name="Linked Cell 892" xfId="15281" xr:uid="{00000000-0005-0000-0000-00005C3B0000}"/>
    <cellStyle name="Linked Cell 893" xfId="15282" xr:uid="{00000000-0005-0000-0000-00005D3B0000}"/>
    <cellStyle name="Linked Cell 894" xfId="15283" xr:uid="{00000000-0005-0000-0000-00005E3B0000}"/>
    <cellStyle name="Linked Cell 895" xfId="15284" xr:uid="{00000000-0005-0000-0000-00005F3B0000}"/>
    <cellStyle name="Linked Cell 896" xfId="15285" xr:uid="{00000000-0005-0000-0000-0000603B0000}"/>
    <cellStyle name="Linked Cell 897" xfId="15286" xr:uid="{00000000-0005-0000-0000-0000613B0000}"/>
    <cellStyle name="Linked Cell 898" xfId="15287" xr:uid="{00000000-0005-0000-0000-0000623B0000}"/>
    <cellStyle name="Linked Cell 899" xfId="15288" xr:uid="{00000000-0005-0000-0000-0000633B0000}"/>
    <cellStyle name="Linked Cell 9" xfId="15289" xr:uid="{00000000-0005-0000-0000-0000643B0000}"/>
    <cellStyle name="Linked Cell 90" xfId="15290" xr:uid="{00000000-0005-0000-0000-0000653B0000}"/>
    <cellStyle name="Linked Cell 900" xfId="15291" xr:uid="{00000000-0005-0000-0000-0000663B0000}"/>
    <cellStyle name="Linked Cell 901" xfId="15292" xr:uid="{00000000-0005-0000-0000-0000673B0000}"/>
    <cellStyle name="Linked Cell 902" xfId="15293" xr:uid="{00000000-0005-0000-0000-0000683B0000}"/>
    <cellStyle name="Linked Cell 903" xfId="15294" xr:uid="{00000000-0005-0000-0000-0000693B0000}"/>
    <cellStyle name="Linked Cell 904" xfId="15295" xr:uid="{00000000-0005-0000-0000-00006A3B0000}"/>
    <cellStyle name="Linked Cell 905" xfId="15296" xr:uid="{00000000-0005-0000-0000-00006B3B0000}"/>
    <cellStyle name="Linked Cell 906" xfId="15297" xr:uid="{00000000-0005-0000-0000-00006C3B0000}"/>
    <cellStyle name="Linked Cell 907" xfId="15298" xr:uid="{00000000-0005-0000-0000-00006D3B0000}"/>
    <cellStyle name="Linked Cell 908" xfId="15299" xr:uid="{00000000-0005-0000-0000-00006E3B0000}"/>
    <cellStyle name="Linked Cell 909" xfId="15300" xr:uid="{00000000-0005-0000-0000-00006F3B0000}"/>
    <cellStyle name="Linked Cell 91" xfId="15301" xr:uid="{00000000-0005-0000-0000-0000703B0000}"/>
    <cellStyle name="Linked Cell 910" xfId="15302" xr:uid="{00000000-0005-0000-0000-0000713B0000}"/>
    <cellStyle name="Linked Cell 911" xfId="15303" xr:uid="{00000000-0005-0000-0000-0000723B0000}"/>
    <cellStyle name="Linked Cell 912" xfId="15304" xr:uid="{00000000-0005-0000-0000-0000733B0000}"/>
    <cellStyle name="Linked Cell 913" xfId="15305" xr:uid="{00000000-0005-0000-0000-0000743B0000}"/>
    <cellStyle name="Linked Cell 914" xfId="15306" xr:uid="{00000000-0005-0000-0000-0000753B0000}"/>
    <cellStyle name="Linked Cell 915" xfId="15307" xr:uid="{00000000-0005-0000-0000-0000763B0000}"/>
    <cellStyle name="Linked Cell 916" xfId="15308" xr:uid="{00000000-0005-0000-0000-0000773B0000}"/>
    <cellStyle name="Linked Cell 917" xfId="15309" xr:uid="{00000000-0005-0000-0000-0000783B0000}"/>
    <cellStyle name="Linked Cell 918" xfId="15310" xr:uid="{00000000-0005-0000-0000-0000793B0000}"/>
    <cellStyle name="Linked Cell 919" xfId="15311" xr:uid="{00000000-0005-0000-0000-00007A3B0000}"/>
    <cellStyle name="Linked Cell 92" xfId="15312" xr:uid="{00000000-0005-0000-0000-00007B3B0000}"/>
    <cellStyle name="Linked Cell 920" xfId="15313" xr:uid="{00000000-0005-0000-0000-00007C3B0000}"/>
    <cellStyle name="Linked Cell 921" xfId="15314" xr:uid="{00000000-0005-0000-0000-00007D3B0000}"/>
    <cellStyle name="Linked Cell 922" xfId="15315" xr:uid="{00000000-0005-0000-0000-00007E3B0000}"/>
    <cellStyle name="Linked Cell 923" xfId="15316" xr:uid="{00000000-0005-0000-0000-00007F3B0000}"/>
    <cellStyle name="Linked Cell 924" xfId="15317" xr:uid="{00000000-0005-0000-0000-0000803B0000}"/>
    <cellStyle name="Linked Cell 925" xfId="15318" xr:uid="{00000000-0005-0000-0000-0000813B0000}"/>
    <cellStyle name="Linked Cell 926" xfId="15319" xr:uid="{00000000-0005-0000-0000-0000823B0000}"/>
    <cellStyle name="Linked Cell 927" xfId="15320" xr:uid="{00000000-0005-0000-0000-0000833B0000}"/>
    <cellStyle name="Linked Cell 928" xfId="15321" xr:uid="{00000000-0005-0000-0000-0000843B0000}"/>
    <cellStyle name="Linked Cell 929" xfId="15322" xr:uid="{00000000-0005-0000-0000-0000853B0000}"/>
    <cellStyle name="Linked Cell 93" xfId="15323" xr:uid="{00000000-0005-0000-0000-0000863B0000}"/>
    <cellStyle name="Linked Cell 930" xfId="15324" xr:uid="{00000000-0005-0000-0000-0000873B0000}"/>
    <cellStyle name="Linked Cell 931" xfId="15325" xr:uid="{00000000-0005-0000-0000-0000883B0000}"/>
    <cellStyle name="Linked Cell 932" xfId="15326" xr:uid="{00000000-0005-0000-0000-0000893B0000}"/>
    <cellStyle name="Linked Cell 933" xfId="15327" xr:uid="{00000000-0005-0000-0000-00008A3B0000}"/>
    <cellStyle name="Linked Cell 934" xfId="15328" xr:uid="{00000000-0005-0000-0000-00008B3B0000}"/>
    <cellStyle name="Linked Cell 935" xfId="15329" xr:uid="{00000000-0005-0000-0000-00008C3B0000}"/>
    <cellStyle name="Linked Cell 936" xfId="15330" xr:uid="{00000000-0005-0000-0000-00008D3B0000}"/>
    <cellStyle name="Linked Cell 937" xfId="15331" xr:uid="{00000000-0005-0000-0000-00008E3B0000}"/>
    <cellStyle name="Linked Cell 938" xfId="15332" xr:uid="{00000000-0005-0000-0000-00008F3B0000}"/>
    <cellStyle name="Linked Cell 939" xfId="15333" xr:uid="{00000000-0005-0000-0000-0000903B0000}"/>
    <cellStyle name="Linked Cell 94" xfId="15334" xr:uid="{00000000-0005-0000-0000-0000913B0000}"/>
    <cellStyle name="Linked Cell 940" xfId="15335" xr:uid="{00000000-0005-0000-0000-0000923B0000}"/>
    <cellStyle name="Linked Cell 941" xfId="15336" xr:uid="{00000000-0005-0000-0000-0000933B0000}"/>
    <cellStyle name="Linked Cell 942" xfId="15337" xr:uid="{00000000-0005-0000-0000-0000943B0000}"/>
    <cellStyle name="Linked Cell 943" xfId="15338" xr:uid="{00000000-0005-0000-0000-0000953B0000}"/>
    <cellStyle name="Linked Cell 944" xfId="15339" xr:uid="{00000000-0005-0000-0000-0000963B0000}"/>
    <cellStyle name="Linked Cell 945" xfId="15340" xr:uid="{00000000-0005-0000-0000-0000973B0000}"/>
    <cellStyle name="Linked Cell 946" xfId="15341" xr:uid="{00000000-0005-0000-0000-0000983B0000}"/>
    <cellStyle name="Linked Cell 947" xfId="15342" xr:uid="{00000000-0005-0000-0000-0000993B0000}"/>
    <cellStyle name="Linked Cell 948" xfId="15343" xr:uid="{00000000-0005-0000-0000-00009A3B0000}"/>
    <cellStyle name="Linked Cell 949" xfId="15344" xr:uid="{00000000-0005-0000-0000-00009B3B0000}"/>
    <cellStyle name="Linked Cell 95" xfId="15345" xr:uid="{00000000-0005-0000-0000-00009C3B0000}"/>
    <cellStyle name="Linked Cell 950" xfId="15346" xr:uid="{00000000-0005-0000-0000-00009D3B0000}"/>
    <cellStyle name="Linked Cell 951" xfId="15347" xr:uid="{00000000-0005-0000-0000-00009E3B0000}"/>
    <cellStyle name="Linked Cell 952" xfId="15348" xr:uid="{00000000-0005-0000-0000-00009F3B0000}"/>
    <cellStyle name="Linked Cell 953" xfId="15349" xr:uid="{00000000-0005-0000-0000-0000A03B0000}"/>
    <cellStyle name="Linked Cell 954" xfId="15350" xr:uid="{00000000-0005-0000-0000-0000A13B0000}"/>
    <cellStyle name="Linked Cell 955" xfId="15351" xr:uid="{00000000-0005-0000-0000-0000A23B0000}"/>
    <cellStyle name="Linked Cell 956" xfId="15352" xr:uid="{00000000-0005-0000-0000-0000A33B0000}"/>
    <cellStyle name="Linked Cell 957" xfId="15353" xr:uid="{00000000-0005-0000-0000-0000A43B0000}"/>
    <cellStyle name="Linked Cell 958" xfId="15354" xr:uid="{00000000-0005-0000-0000-0000A53B0000}"/>
    <cellStyle name="Linked Cell 959" xfId="15355" xr:uid="{00000000-0005-0000-0000-0000A63B0000}"/>
    <cellStyle name="Linked Cell 96" xfId="15356" xr:uid="{00000000-0005-0000-0000-0000A73B0000}"/>
    <cellStyle name="Linked Cell 960" xfId="15357" xr:uid="{00000000-0005-0000-0000-0000A83B0000}"/>
    <cellStyle name="Linked Cell 961" xfId="15358" xr:uid="{00000000-0005-0000-0000-0000A93B0000}"/>
    <cellStyle name="Linked Cell 962" xfId="15359" xr:uid="{00000000-0005-0000-0000-0000AA3B0000}"/>
    <cellStyle name="Linked Cell 963" xfId="15360" xr:uid="{00000000-0005-0000-0000-0000AB3B0000}"/>
    <cellStyle name="Linked Cell 964" xfId="15361" xr:uid="{00000000-0005-0000-0000-0000AC3B0000}"/>
    <cellStyle name="Linked Cell 965" xfId="15362" xr:uid="{00000000-0005-0000-0000-0000AD3B0000}"/>
    <cellStyle name="Linked Cell 966" xfId="15363" xr:uid="{00000000-0005-0000-0000-0000AE3B0000}"/>
    <cellStyle name="Linked Cell 967" xfId="15364" xr:uid="{00000000-0005-0000-0000-0000AF3B0000}"/>
    <cellStyle name="Linked Cell 968" xfId="15365" xr:uid="{00000000-0005-0000-0000-0000B03B0000}"/>
    <cellStyle name="Linked Cell 969" xfId="15366" xr:uid="{00000000-0005-0000-0000-0000B13B0000}"/>
    <cellStyle name="Linked Cell 97" xfId="15367" xr:uid="{00000000-0005-0000-0000-0000B23B0000}"/>
    <cellStyle name="Linked Cell 970" xfId="15368" xr:uid="{00000000-0005-0000-0000-0000B33B0000}"/>
    <cellStyle name="Linked Cell 971" xfId="15369" xr:uid="{00000000-0005-0000-0000-0000B43B0000}"/>
    <cellStyle name="Linked Cell 972" xfId="15370" xr:uid="{00000000-0005-0000-0000-0000B53B0000}"/>
    <cellStyle name="Linked Cell 973" xfId="15371" xr:uid="{00000000-0005-0000-0000-0000B63B0000}"/>
    <cellStyle name="Linked Cell 974" xfId="15372" xr:uid="{00000000-0005-0000-0000-0000B73B0000}"/>
    <cellStyle name="Linked Cell 975" xfId="15373" xr:uid="{00000000-0005-0000-0000-0000B83B0000}"/>
    <cellStyle name="Linked Cell 976" xfId="15374" xr:uid="{00000000-0005-0000-0000-0000B93B0000}"/>
    <cellStyle name="Linked Cell 977" xfId="15375" xr:uid="{00000000-0005-0000-0000-0000BA3B0000}"/>
    <cellStyle name="Linked Cell 978" xfId="15376" xr:uid="{00000000-0005-0000-0000-0000BB3B0000}"/>
    <cellStyle name="Linked Cell 979" xfId="15377" xr:uid="{00000000-0005-0000-0000-0000BC3B0000}"/>
    <cellStyle name="Linked Cell 98" xfId="15378" xr:uid="{00000000-0005-0000-0000-0000BD3B0000}"/>
    <cellStyle name="Linked Cell 980" xfId="15379" xr:uid="{00000000-0005-0000-0000-0000BE3B0000}"/>
    <cellStyle name="Linked Cell 981" xfId="15380" xr:uid="{00000000-0005-0000-0000-0000BF3B0000}"/>
    <cellStyle name="Linked Cell 982" xfId="15381" xr:uid="{00000000-0005-0000-0000-0000C03B0000}"/>
    <cellStyle name="Linked Cell 983" xfId="15382" xr:uid="{00000000-0005-0000-0000-0000C13B0000}"/>
    <cellStyle name="Linked Cell 984" xfId="15383" xr:uid="{00000000-0005-0000-0000-0000C23B0000}"/>
    <cellStyle name="Linked Cell 985" xfId="15384" xr:uid="{00000000-0005-0000-0000-0000C33B0000}"/>
    <cellStyle name="Linked Cell 986" xfId="15385" xr:uid="{00000000-0005-0000-0000-0000C43B0000}"/>
    <cellStyle name="Linked Cell 987" xfId="15386" xr:uid="{00000000-0005-0000-0000-0000C53B0000}"/>
    <cellStyle name="Linked Cell 988" xfId="15387" xr:uid="{00000000-0005-0000-0000-0000C63B0000}"/>
    <cellStyle name="Linked Cell 989" xfId="15388" xr:uid="{00000000-0005-0000-0000-0000C73B0000}"/>
    <cellStyle name="Linked Cell 99" xfId="15389" xr:uid="{00000000-0005-0000-0000-0000C83B0000}"/>
    <cellStyle name="Linked Cell 990" xfId="15390" xr:uid="{00000000-0005-0000-0000-0000C93B0000}"/>
    <cellStyle name="Linked Cell 991" xfId="15391" xr:uid="{00000000-0005-0000-0000-0000CA3B0000}"/>
    <cellStyle name="Linked Cell 992" xfId="15392" xr:uid="{00000000-0005-0000-0000-0000CB3B0000}"/>
    <cellStyle name="Linked Cell 993" xfId="15393" xr:uid="{00000000-0005-0000-0000-0000CC3B0000}"/>
    <cellStyle name="Linked Cell 994" xfId="15394" xr:uid="{00000000-0005-0000-0000-0000CD3B0000}"/>
    <cellStyle name="Linked Cell 995" xfId="15395" xr:uid="{00000000-0005-0000-0000-0000CE3B0000}"/>
    <cellStyle name="Linked Cell 996" xfId="15396" xr:uid="{00000000-0005-0000-0000-0000CF3B0000}"/>
    <cellStyle name="Linked Cell 997" xfId="15397" xr:uid="{00000000-0005-0000-0000-0000D03B0000}"/>
    <cellStyle name="Linked Cell 998" xfId="15398" xr:uid="{00000000-0005-0000-0000-0000D13B0000}"/>
    <cellStyle name="Linked Cell 999" xfId="15399" xr:uid="{00000000-0005-0000-0000-0000D23B0000}"/>
    <cellStyle name="Linkitetty solu" xfId="117" xr:uid="{00000000-0005-0000-0000-0000D33B0000}"/>
    <cellStyle name="Linkitetty solu 2" xfId="15400" xr:uid="{00000000-0005-0000-0000-0000D43B0000}"/>
    <cellStyle name="Linkitetty solu 3" xfId="15401" xr:uid="{00000000-0005-0000-0000-0000D53B0000}"/>
    <cellStyle name="Linkitetty solu 4" xfId="15402" xr:uid="{00000000-0005-0000-0000-0000D63B0000}"/>
    <cellStyle name="Linkitetty solu_MCEV_activiteiten 2012Q4 gedeeld op 11-1-2012" xfId="15403" xr:uid="{00000000-0005-0000-0000-0000D73B0000}"/>
    <cellStyle name="Millares [0] 2" xfId="15404" xr:uid="{00000000-0005-0000-0000-0000D83B0000}"/>
    <cellStyle name="Millares [0] 2 2" xfId="15405" xr:uid="{00000000-0005-0000-0000-0000D93B0000}"/>
    <cellStyle name="Millares 10" xfId="15406" xr:uid="{00000000-0005-0000-0000-0000DA3B0000}"/>
    <cellStyle name="Millares 10 2" xfId="15407" xr:uid="{00000000-0005-0000-0000-0000DB3B0000}"/>
    <cellStyle name="Millares 11" xfId="15408" xr:uid="{00000000-0005-0000-0000-0000DC3B0000}"/>
    <cellStyle name="Millares 12" xfId="15409" xr:uid="{00000000-0005-0000-0000-0000DD3B0000}"/>
    <cellStyle name="Millares 12 2" xfId="15410" xr:uid="{00000000-0005-0000-0000-0000DE3B0000}"/>
    <cellStyle name="Millares 12 3" xfId="15411" xr:uid="{00000000-0005-0000-0000-0000DF3B0000}"/>
    <cellStyle name="Millares 13" xfId="15412" xr:uid="{00000000-0005-0000-0000-0000E03B0000}"/>
    <cellStyle name="Millares 13 2" xfId="15413" xr:uid="{00000000-0005-0000-0000-0000E13B0000}"/>
    <cellStyle name="Millares 2" xfId="15414" xr:uid="{00000000-0005-0000-0000-0000E23B0000}"/>
    <cellStyle name="Millares 2 2" xfId="15415" xr:uid="{00000000-0005-0000-0000-0000E33B0000}"/>
    <cellStyle name="Millares 2 2 2" xfId="20682" xr:uid="{00000000-0005-0000-0000-0000E43B0000}"/>
    <cellStyle name="Millares 2 3" xfId="15416" xr:uid="{00000000-0005-0000-0000-0000E53B0000}"/>
    <cellStyle name="Millares 2 3 2" xfId="15417" xr:uid="{00000000-0005-0000-0000-0000E63B0000}"/>
    <cellStyle name="Millares 3" xfId="15418" xr:uid="{00000000-0005-0000-0000-0000E73B0000}"/>
    <cellStyle name="Millares 3 2" xfId="15419" xr:uid="{00000000-0005-0000-0000-0000E83B0000}"/>
    <cellStyle name="Millares 3 2 2" xfId="15420" xr:uid="{00000000-0005-0000-0000-0000E93B0000}"/>
    <cellStyle name="Millares 3 3" xfId="15421" xr:uid="{00000000-0005-0000-0000-0000EA3B0000}"/>
    <cellStyle name="Millares 3 3 2" xfId="15422" xr:uid="{00000000-0005-0000-0000-0000EB3B0000}"/>
    <cellStyle name="Millares 3 3 2 2" xfId="15423" xr:uid="{00000000-0005-0000-0000-0000EC3B0000}"/>
    <cellStyle name="Millares 3 3 2 2 2" xfId="15424" xr:uid="{00000000-0005-0000-0000-0000ED3B0000}"/>
    <cellStyle name="Millares 3 3 2 3" xfId="15425" xr:uid="{00000000-0005-0000-0000-0000EE3B0000}"/>
    <cellStyle name="Millares 3 3 3" xfId="15426" xr:uid="{00000000-0005-0000-0000-0000EF3B0000}"/>
    <cellStyle name="Millares 3 3 3 2" xfId="15427" xr:uid="{00000000-0005-0000-0000-0000F03B0000}"/>
    <cellStyle name="Millares 3 3 4" xfId="15428" xr:uid="{00000000-0005-0000-0000-0000F13B0000}"/>
    <cellStyle name="Millares 3 4" xfId="15429" xr:uid="{00000000-0005-0000-0000-0000F23B0000}"/>
    <cellStyle name="Millares 3 4 2" xfId="15430" xr:uid="{00000000-0005-0000-0000-0000F33B0000}"/>
    <cellStyle name="Millares 4" xfId="15431" xr:uid="{00000000-0005-0000-0000-0000F43B0000}"/>
    <cellStyle name="Millares 5" xfId="15432" xr:uid="{00000000-0005-0000-0000-0000F53B0000}"/>
    <cellStyle name="Millares 5 2" xfId="15433" xr:uid="{00000000-0005-0000-0000-0000F63B0000}"/>
    <cellStyle name="Millares 5 2 2" xfId="20684" xr:uid="{00000000-0005-0000-0000-0000F73B0000}"/>
    <cellStyle name="Millares 5 3" xfId="20683" xr:uid="{00000000-0005-0000-0000-0000F83B0000}"/>
    <cellStyle name="Millares 6" xfId="15434" xr:uid="{00000000-0005-0000-0000-0000F93B0000}"/>
    <cellStyle name="Millares 7" xfId="15435" xr:uid="{00000000-0005-0000-0000-0000FA3B0000}"/>
    <cellStyle name="Millares 8" xfId="15436" xr:uid="{00000000-0005-0000-0000-0000FB3B0000}"/>
    <cellStyle name="Millares 8 2" xfId="15437" xr:uid="{00000000-0005-0000-0000-0000FC3B0000}"/>
    <cellStyle name="Millares 9" xfId="15438" xr:uid="{00000000-0005-0000-0000-0000FD3B0000}"/>
    <cellStyle name="Millares 9 2" xfId="15439" xr:uid="{00000000-0005-0000-0000-0000FE3B0000}"/>
    <cellStyle name="Millares 9 2 2" xfId="20686" xr:uid="{00000000-0005-0000-0000-0000FF3B0000}"/>
    <cellStyle name="Millares 9 3" xfId="20685" xr:uid="{00000000-0005-0000-0000-0000003C0000}"/>
    <cellStyle name="Milliers 10" xfId="15440" xr:uid="{00000000-0005-0000-0000-0000013C0000}"/>
    <cellStyle name="Milliers 10 2" xfId="15441" xr:uid="{00000000-0005-0000-0000-0000023C0000}"/>
    <cellStyle name="Milliers 11" xfId="15442" xr:uid="{00000000-0005-0000-0000-0000033C0000}"/>
    <cellStyle name="Milliers 11 2" xfId="15443" xr:uid="{00000000-0005-0000-0000-0000043C0000}"/>
    <cellStyle name="Milliers 2" xfId="15444" xr:uid="{00000000-0005-0000-0000-0000053C0000}"/>
    <cellStyle name="Milliers 2 2" xfId="15445" xr:uid="{00000000-0005-0000-0000-0000063C0000}"/>
    <cellStyle name="Milliers 2 2 2" xfId="15446" xr:uid="{00000000-0005-0000-0000-0000073C0000}"/>
    <cellStyle name="Milliers 2 3" xfId="15447" xr:uid="{00000000-0005-0000-0000-0000083C0000}"/>
    <cellStyle name="Milliers 2 3 2" xfId="15448" xr:uid="{00000000-0005-0000-0000-0000093C0000}"/>
    <cellStyle name="Milliers 2 4" xfId="15449" xr:uid="{00000000-0005-0000-0000-00000A3C0000}"/>
    <cellStyle name="Milliers 2 4 2" xfId="15450" xr:uid="{00000000-0005-0000-0000-00000B3C0000}"/>
    <cellStyle name="Milliers 2 5" xfId="15451" xr:uid="{00000000-0005-0000-0000-00000C3C0000}"/>
    <cellStyle name="Milliers 2_P-AS-D1 - Investments Data v0 1" xfId="15452" xr:uid="{00000000-0005-0000-0000-00000D3C0000}"/>
    <cellStyle name="Milliers 3" xfId="15453" xr:uid="{00000000-0005-0000-0000-00000E3C0000}"/>
    <cellStyle name="Milliers 3 2" xfId="15454" xr:uid="{00000000-0005-0000-0000-00000F3C0000}"/>
    <cellStyle name="Milliers 4" xfId="15455" xr:uid="{00000000-0005-0000-0000-0000103C0000}"/>
    <cellStyle name="Milliers 4 2" xfId="15456" xr:uid="{00000000-0005-0000-0000-0000113C0000}"/>
    <cellStyle name="Milliers 5" xfId="15457" xr:uid="{00000000-0005-0000-0000-0000123C0000}"/>
    <cellStyle name="Milliers 5 2" xfId="15458" xr:uid="{00000000-0005-0000-0000-0000133C0000}"/>
    <cellStyle name="Milliers 6" xfId="15459" xr:uid="{00000000-0005-0000-0000-0000143C0000}"/>
    <cellStyle name="Milliers 6 2" xfId="15460" xr:uid="{00000000-0005-0000-0000-0000153C0000}"/>
    <cellStyle name="Milliers 7" xfId="15461" xr:uid="{00000000-0005-0000-0000-0000163C0000}"/>
    <cellStyle name="Milliers 7 2" xfId="15462" xr:uid="{00000000-0005-0000-0000-0000173C0000}"/>
    <cellStyle name="Milliers 8" xfId="15463" xr:uid="{00000000-0005-0000-0000-0000183C0000}"/>
    <cellStyle name="Milliers 8 2" xfId="15464" xr:uid="{00000000-0005-0000-0000-0000193C0000}"/>
    <cellStyle name="Milliers 9" xfId="15465" xr:uid="{00000000-0005-0000-0000-00001A3C0000}"/>
    <cellStyle name="Milliers 9 2" xfId="15466" xr:uid="{00000000-0005-0000-0000-00001B3C0000}"/>
    <cellStyle name="Milliers_Copie de Equivilent Scenario for QIS4 techncial specification_20070318Locked" xfId="118" xr:uid="{00000000-0005-0000-0000-00001C3C0000}"/>
    <cellStyle name="Moneda 2" xfId="15467" xr:uid="{00000000-0005-0000-0000-00001D3C0000}"/>
    <cellStyle name="Monétaire 2" xfId="15468" xr:uid="{00000000-0005-0000-0000-00001E3C0000}"/>
    <cellStyle name="Monétaire 2 2" xfId="15469" xr:uid="{00000000-0005-0000-0000-00001F3C0000}"/>
    <cellStyle name="Monétaire 2 2 2" xfId="15470" xr:uid="{00000000-0005-0000-0000-0000203C0000}"/>
    <cellStyle name="Neutraal" xfId="15477" builtinId="28" customBuiltin="1"/>
    <cellStyle name="Neutraali" xfId="119" xr:uid="{00000000-0005-0000-0000-0000213C0000}"/>
    <cellStyle name="Neutraali 2" xfId="15471" xr:uid="{00000000-0005-0000-0000-0000223C0000}"/>
    <cellStyle name="Neutraali 2 2" xfId="15472" xr:uid="{00000000-0005-0000-0000-0000233C0000}"/>
    <cellStyle name="Neutraali 3" xfId="15473" xr:uid="{00000000-0005-0000-0000-0000243C0000}"/>
    <cellStyle name="Neutraali 4" xfId="15474" xr:uid="{00000000-0005-0000-0000-0000253C0000}"/>
    <cellStyle name="Neutraali 5" xfId="15475" xr:uid="{00000000-0005-0000-0000-0000263C0000}"/>
    <cellStyle name="Neutraali_MCEV_activiteiten 2012Q4 gedeeld op 11-1-2012" xfId="15476" xr:uid="{00000000-0005-0000-0000-0000273C0000}"/>
    <cellStyle name="Neutral 10" xfId="15478" xr:uid="{00000000-0005-0000-0000-0000293C0000}"/>
    <cellStyle name="Neutral 100" xfId="15479" xr:uid="{00000000-0005-0000-0000-00002A3C0000}"/>
    <cellStyle name="Neutral 1000" xfId="15480" xr:uid="{00000000-0005-0000-0000-00002B3C0000}"/>
    <cellStyle name="Neutral 1001" xfId="15481" xr:uid="{00000000-0005-0000-0000-00002C3C0000}"/>
    <cellStyle name="Neutral 1002" xfId="15482" xr:uid="{00000000-0005-0000-0000-00002D3C0000}"/>
    <cellStyle name="Neutral 1003" xfId="15483" xr:uid="{00000000-0005-0000-0000-00002E3C0000}"/>
    <cellStyle name="Neutral 1004" xfId="15484" xr:uid="{00000000-0005-0000-0000-00002F3C0000}"/>
    <cellStyle name="Neutral 1005" xfId="15485" xr:uid="{00000000-0005-0000-0000-0000303C0000}"/>
    <cellStyle name="Neutral 1006" xfId="15486" xr:uid="{00000000-0005-0000-0000-0000313C0000}"/>
    <cellStyle name="Neutral 1007" xfId="15487" xr:uid="{00000000-0005-0000-0000-0000323C0000}"/>
    <cellStyle name="Neutral 1008" xfId="15488" xr:uid="{00000000-0005-0000-0000-0000333C0000}"/>
    <cellStyle name="Neutral 1009" xfId="15489" xr:uid="{00000000-0005-0000-0000-0000343C0000}"/>
    <cellStyle name="Neutral 101" xfId="15490" xr:uid="{00000000-0005-0000-0000-0000353C0000}"/>
    <cellStyle name="Neutral 1010" xfId="15491" xr:uid="{00000000-0005-0000-0000-0000363C0000}"/>
    <cellStyle name="Neutral 1011" xfId="15492" xr:uid="{00000000-0005-0000-0000-0000373C0000}"/>
    <cellStyle name="Neutral 1012" xfId="15493" xr:uid="{00000000-0005-0000-0000-0000383C0000}"/>
    <cellStyle name="Neutral 1013" xfId="15494" xr:uid="{00000000-0005-0000-0000-0000393C0000}"/>
    <cellStyle name="Neutral 1014" xfId="15495" xr:uid="{00000000-0005-0000-0000-00003A3C0000}"/>
    <cellStyle name="Neutral 1015" xfId="15496" xr:uid="{00000000-0005-0000-0000-00003B3C0000}"/>
    <cellStyle name="Neutral 1016" xfId="15497" xr:uid="{00000000-0005-0000-0000-00003C3C0000}"/>
    <cellStyle name="Neutral 1017" xfId="15498" xr:uid="{00000000-0005-0000-0000-00003D3C0000}"/>
    <cellStyle name="Neutral 1018" xfId="15499" xr:uid="{00000000-0005-0000-0000-00003E3C0000}"/>
    <cellStyle name="Neutral 1019" xfId="15500" xr:uid="{00000000-0005-0000-0000-00003F3C0000}"/>
    <cellStyle name="Neutral 102" xfId="15501" xr:uid="{00000000-0005-0000-0000-0000403C0000}"/>
    <cellStyle name="Neutral 1020" xfId="15502" xr:uid="{00000000-0005-0000-0000-0000413C0000}"/>
    <cellStyle name="Neutral 1021" xfId="15503" xr:uid="{00000000-0005-0000-0000-0000423C0000}"/>
    <cellStyle name="Neutral 1022" xfId="15504" xr:uid="{00000000-0005-0000-0000-0000433C0000}"/>
    <cellStyle name="Neutral 1023" xfId="15505" xr:uid="{00000000-0005-0000-0000-0000443C0000}"/>
    <cellStyle name="Neutral 1024" xfId="15506" xr:uid="{00000000-0005-0000-0000-0000453C0000}"/>
    <cellStyle name="Neutral 1025" xfId="15507" xr:uid="{00000000-0005-0000-0000-0000463C0000}"/>
    <cellStyle name="Neutral 1026" xfId="15508" xr:uid="{00000000-0005-0000-0000-0000473C0000}"/>
    <cellStyle name="Neutral 1027" xfId="15509" xr:uid="{00000000-0005-0000-0000-0000483C0000}"/>
    <cellStyle name="Neutral 1028" xfId="15510" xr:uid="{00000000-0005-0000-0000-0000493C0000}"/>
    <cellStyle name="Neutral 1029" xfId="15511" xr:uid="{00000000-0005-0000-0000-00004A3C0000}"/>
    <cellStyle name="Neutral 103" xfId="15512" xr:uid="{00000000-0005-0000-0000-00004B3C0000}"/>
    <cellStyle name="Neutral 1030" xfId="15513" xr:uid="{00000000-0005-0000-0000-00004C3C0000}"/>
    <cellStyle name="Neutral 1031" xfId="15514" xr:uid="{00000000-0005-0000-0000-00004D3C0000}"/>
    <cellStyle name="Neutral 1032" xfId="15515" xr:uid="{00000000-0005-0000-0000-00004E3C0000}"/>
    <cellStyle name="Neutral 1033" xfId="15516" xr:uid="{00000000-0005-0000-0000-00004F3C0000}"/>
    <cellStyle name="Neutral 1034" xfId="15517" xr:uid="{00000000-0005-0000-0000-0000503C0000}"/>
    <cellStyle name="Neutral 1035" xfId="15518" xr:uid="{00000000-0005-0000-0000-0000513C0000}"/>
    <cellStyle name="Neutral 1036" xfId="15519" xr:uid="{00000000-0005-0000-0000-0000523C0000}"/>
    <cellStyle name="Neutral 1037" xfId="15520" xr:uid="{00000000-0005-0000-0000-0000533C0000}"/>
    <cellStyle name="Neutral 1038" xfId="15521" xr:uid="{00000000-0005-0000-0000-0000543C0000}"/>
    <cellStyle name="Neutral 1039" xfId="15522" xr:uid="{00000000-0005-0000-0000-0000553C0000}"/>
    <cellStyle name="Neutral 104" xfId="15523" xr:uid="{00000000-0005-0000-0000-0000563C0000}"/>
    <cellStyle name="Neutral 1040" xfId="15524" xr:uid="{00000000-0005-0000-0000-0000573C0000}"/>
    <cellStyle name="Neutral 1041" xfId="15525" xr:uid="{00000000-0005-0000-0000-0000583C0000}"/>
    <cellStyle name="Neutral 1042" xfId="15526" xr:uid="{00000000-0005-0000-0000-0000593C0000}"/>
    <cellStyle name="Neutral 1043" xfId="15527" xr:uid="{00000000-0005-0000-0000-00005A3C0000}"/>
    <cellStyle name="Neutral 1044" xfId="15528" xr:uid="{00000000-0005-0000-0000-00005B3C0000}"/>
    <cellStyle name="Neutral 1045" xfId="15529" xr:uid="{00000000-0005-0000-0000-00005C3C0000}"/>
    <cellStyle name="Neutral 1046" xfId="15530" xr:uid="{00000000-0005-0000-0000-00005D3C0000}"/>
    <cellStyle name="Neutral 1047" xfId="15531" xr:uid="{00000000-0005-0000-0000-00005E3C0000}"/>
    <cellStyle name="Neutral 1048" xfId="15532" xr:uid="{00000000-0005-0000-0000-00005F3C0000}"/>
    <cellStyle name="Neutral 1049" xfId="15533" xr:uid="{00000000-0005-0000-0000-0000603C0000}"/>
    <cellStyle name="Neutral 105" xfId="15534" xr:uid="{00000000-0005-0000-0000-0000613C0000}"/>
    <cellStyle name="Neutral 1050" xfId="15535" xr:uid="{00000000-0005-0000-0000-0000623C0000}"/>
    <cellStyle name="Neutral 1051" xfId="15536" xr:uid="{00000000-0005-0000-0000-0000633C0000}"/>
    <cellStyle name="Neutral 1052" xfId="15537" xr:uid="{00000000-0005-0000-0000-0000643C0000}"/>
    <cellStyle name="Neutral 1053" xfId="15538" xr:uid="{00000000-0005-0000-0000-0000653C0000}"/>
    <cellStyle name="Neutral 1054" xfId="15539" xr:uid="{00000000-0005-0000-0000-0000663C0000}"/>
    <cellStyle name="Neutral 1055" xfId="15540" xr:uid="{00000000-0005-0000-0000-0000673C0000}"/>
    <cellStyle name="Neutral 1056" xfId="15541" xr:uid="{00000000-0005-0000-0000-0000683C0000}"/>
    <cellStyle name="Neutral 1057" xfId="15542" xr:uid="{00000000-0005-0000-0000-0000693C0000}"/>
    <cellStyle name="Neutral 1058" xfId="15543" xr:uid="{00000000-0005-0000-0000-00006A3C0000}"/>
    <cellStyle name="Neutral 1059" xfId="15544" xr:uid="{00000000-0005-0000-0000-00006B3C0000}"/>
    <cellStyle name="Neutral 106" xfId="15545" xr:uid="{00000000-0005-0000-0000-00006C3C0000}"/>
    <cellStyle name="Neutral 1060" xfId="15546" xr:uid="{00000000-0005-0000-0000-00006D3C0000}"/>
    <cellStyle name="Neutral 1061" xfId="15547" xr:uid="{00000000-0005-0000-0000-00006E3C0000}"/>
    <cellStyle name="Neutral 1062" xfId="15548" xr:uid="{00000000-0005-0000-0000-00006F3C0000}"/>
    <cellStyle name="Neutral 1063" xfId="15549" xr:uid="{00000000-0005-0000-0000-0000703C0000}"/>
    <cellStyle name="Neutral 1064" xfId="15550" xr:uid="{00000000-0005-0000-0000-0000713C0000}"/>
    <cellStyle name="Neutral 1065" xfId="15551" xr:uid="{00000000-0005-0000-0000-0000723C0000}"/>
    <cellStyle name="Neutral 1066" xfId="15552" xr:uid="{00000000-0005-0000-0000-0000733C0000}"/>
    <cellStyle name="Neutral 1067" xfId="15553" xr:uid="{00000000-0005-0000-0000-0000743C0000}"/>
    <cellStyle name="Neutral 1068" xfId="15554" xr:uid="{00000000-0005-0000-0000-0000753C0000}"/>
    <cellStyle name="Neutral 1069" xfId="15555" xr:uid="{00000000-0005-0000-0000-0000763C0000}"/>
    <cellStyle name="Neutral 107" xfId="15556" xr:uid="{00000000-0005-0000-0000-0000773C0000}"/>
    <cellStyle name="Neutral 1070" xfId="15557" xr:uid="{00000000-0005-0000-0000-0000783C0000}"/>
    <cellStyle name="Neutral 1071" xfId="15558" xr:uid="{00000000-0005-0000-0000-0000793C0000}"/>
    <cellStyle name="Neutral 1072" xfId="15559" xr:uid="{00000000-0005-0000-0000-00007A3C0000}"/>
    <cellStyle name="Neutral 1073" xfId="15560" xr:uid="{00000000-0005-0000-0000-00007B3C0000}"/>
    <cellStyle name="Neutral 1074" xfId="15561" xr:uid="{00000000-0005-0000-0000-00007C3C0000}"/>
    <cellStyle name="Neutral 1075" xfId="15562" xr:uid="{00000000-0005-0000-0000-00007D3C0000}"/>
    <cellStyle name="Neutral 1076" xfId="15563" xr:uid="{00000000-0005-0000-0000-00007E3C0000}"/>
    <cellStyle name="Neutral 1077" xfId="15564" xr:uid="{00000000-0005-0000-0000-00007F3C0000}"/>
    <cellStyle name="Neutral 1078" xfId="15565" xr:uid="{00000000-0005-0000-0000-0000803C0000}"/>
    <cellStyle name="Neutral 1079" xfId="15566" xr:uid="{00000000-0005-0000-0000-0000813C0000}"/>
    <cellStyle name="Neutral 108" xfId="15567" xr:uid="{00000000-0005-0000-0000-0000823C0000}"/>
    <cellStyle name="Neutral 1080" xfId="15568" xr:uid="{00000000-0005-0000-0000-0000833C0000}"/>
    <cellStyle name="Neutral 1081" xfId="15569" xr:uid="{00000000-0005-0000-0000-0000843C0000}"/>
    <cellStyle name="Neutral 1082" xfId="15570" xr:uid="{00000000-0005-0000-0000-0000853C0000}"/>
    <cellStyle name="Neutral 1083" xfId="15571" xr:uid="{00000000-0005-0000-0000-0000863C0000}"/>
    <cellStyle name="Neutral 1084" xfId="15572" xr:uid="{00000000-0005-0000-0000-0000873C0000}"/>
    <cellStyle name="Neutral 1085" xfId="15573" xr:uid="{00000000-0005-0000-0000-0000883C0000}"/>
    <cellStyle name="Neutral 1086" xfId="15574" xr:uid="{00000000-0005-0000-0000-0000893C0000}"/>
    <cellStyle name="Neutral 1087" xfId="15575" xr:uid="{00000000-0005-0000-0000-00008A3C0000}"/>
    <cellStyle name="Neutral 1088" xfId="15576" xr:uid="{00000000-0005-0000-0000-00008B3C0000}"/>
    <cellStyle name="Neutral 1089" xfId="15577" xr:uid="{00000000-0005-0000-0000-00008C3C0000}"/>
    <cellStyle name="Neutral 109" xfId="15578" xr:uid="{00000000-0005-0000-0000-00008D3C0000}"/>
    <cellStyle name="Neutral 1090" xfId="15579" xr:uid="{00000000-0005-0000-0000-00008E3C0000}"/>
    <cellStyle name="Neutral 1091" xfId="15580" xr:uid="{00000000-0005-0000-0000-00008F3C0000}"/>
    <cellStyle name="Neutral 1092" xfId="15581" xr:uid="{00000000-0005-0000-0000-0000903C0000}"/>
    <cellStyle name="Neutral 1093" xfId="15582" xr:uid="{00000000-0005-0000-0000-0000913C0000}"/>
    <cellStyle name="Neutral 1094" xfId="15583" xr:uid="{00000000-0005-0000-0000-0000923C0000}"/>
    <cellStyle name="Neutral 1095" xfId="15584" xr:uid="{00000000-0005-0000-0000-0000933C0000}"/>
    <cellStyle name="Neutral 1096" xfId="15585" xr:uid="{00000000-0005-0000-0000-0000943C0000}"/>
    <cellStyle name="Neutral 1097" xfId="15586" xr:uid="{00000000-0005-0000-0000-0000953C0000}"/>
    <cellStyle name="Neutral 1098" xfId="15587" xr:uid="{00000000-0005-0000-0000-0000963C0000}"/>
    <cellStyle name="Neutral 1099" xfId="15588" xr:uid="{00000000-0005-0000-0000-0000973C0000}"/>
    <cellStyle name="Neutral 11" xfId="15589" xr:uid="{00000000-0005-0000-0000-0000983C0000}"/>
    <cellStyle name="Neutral 110" xfId="15590" xr:uid="{00000000-0005-0000-0000-0000993C0000}"/>
    <cellStyle name="Neutral 1100" xfId="15591" xr:uid="{00000000-0005-0000-0000-00009A3C0000}"/>
    <cellStyle name="Neutral 1101" xfId="15592" xr:uid="{00000000-0005-0000-0000-00009B3C0000}"/>
    <cellStyle name="Neutral 1102" xfId="15593" xr:uid="{00000000-0005-0000-0000-00009C3C0000}"/>
    <cellStyle name="Neutral 1103" xfId="15594" xr:uid="{00000000-0005-0000-0000-00009D3C0000}"/>
    <cellStyle name="Neutral 1104" xfId="15595" xr:uid="{00000000-0005-0000-0000-00009E3C0000}"/>
    <cellStyle name="Neutral 1105" xfId="15596" xr:uid="{00000000-0005-0000-0000-00009F3C0000}"/>
    <cellStyle name="Neutral 1106" xfId="15597" xr:uid="{00000000-0005-0000-0000-0000A03C0000}"/>
    <cellStyle name="Neutral 1107" xfId="15598" xr:uid="{00000000-0005-0000-0000-0000A13C0000}"/>
    <cellStyle name="Neutral 1108" xfId="15599" xr:uid="{00000000-0005-0000-0000-0000A23C0000}"/>
    <cellStyle name="Neutral 1109" xfId="15600" xr:uid="{00000000-0005-0000-0000-0000A33C0000}"/>
    <cellStyle name="Neutral 111" xfId="15601" xr:uid="{00000000-0005-0000-0000-0000A43C0000}"/>
    <cellStyle name="Neutral 1110" xfId="15602" xr:uid="{00000000-0005-0000-0000-0000A53C0000}"/>
    <cellStyle name="Neutral 1111" xfId="15603" xr:uid="{00000000-0005-0000-0000-0000A63C0000}"/>
    <cellStyle name="Neutral 1112" xfId="15604" xr:uid="{00000000-0005-0000-0000-0000A73C0000}"/>
    <cellStyle name="Neutral 1113" xfId="15605" xr:uid="{00000000-0005-0000-0000-0000A83C0000}"/>
    <cellStyle name="Neutral 1114" xfId="15606" xr:uid="{00000000-0005-0000-0000-0000A93C0000}"/>
    <cellStyle name="Neutral 1115" xfId="15607" xr:uid="{00000000-0005-0000-0000-0000AA3C0000}"/>
    <cellStyle name="Neutral 1116" xfId="15608" xr:uid="{00000000-0005-0000-0000-0000AB3C0000}"/>
    <cellStyle name="Neutral 1117" xfId="15609" xr:uid="{00000000-0005-0000-0000-0000AC3C0000}"/>
    <cellStyle name="Neutral 1118" xfId="15610" xr:uid="{00000000-0005-0000-0000-0000AD3C0000}"/>
    <cellStyle name="Neutral 1119" xfId="15611" xr:uid="{00000000-0005-0000-0000-0000AE3C0000}"/>
    <cellStyle name="Neutral 112" xfId="15612" xr:uid="{00000000-0005-0000-0000-0000AF3C0000}"/>
    <cellStyle name="Neutral 1120" xfId="15613" xr:uid="{00000000-0005-0000-0000-0000B03C0000}"/>
    <cellStyle name="Neutral 1121" xfId="15614" xr:uid="{00000000-0005-0000-0000-0000B13C0000}"/>
    <cellStyle name="Neutral 1122" xfId="15615" xr:uid="{00000000-0005-0000-0000-0000B23C0000}"/>
    <cellStyle name="Neutral 1123" xfId="15616" xr:uid="{00000000-0005-0000-0000-0000B33C0000}"/>
    <cellStyle name="Neutral 1124" xfId="15617" xr:uid="{00000000-0005-0000-0000-0000B43C0000}"/>
    <cellStyle name="Neutral 1125" xfId="15618" xr:uid="{00000000-0005-0000-0000-0000B53C0000}"/>
    <cellStyle name="Neutral 1126" xfId="15619" xr:uid="{00000000-0005-0000-0000-0000B63C0000}"/>
    <cellStyle name="Neutral 1127" xfId="15620" xr:uid="{00000000-0005-0000-0000-0000B73C0000}"/>
    <cellStyle name="Neutral 1128" xfId="15621" xr:uid="{00000000-0005-0000-0000-0000B83C0000}"/>
    <cellStyle name="Neutral 1129" xfId="15622" xr:uid="{00000000-0005-0000-0000-0000B93C0000}"/>
    <cellStyle name="Neutral 113" xfId="15623" xr:uid="{00000000-0005-0000-0000-0000BA3C0000}"/>
    <cellStyle name="Neutral 1130" xfId="15624" xr:uid="{00000000-0005-0000-0000-0000BB3C0000}"/>
    <cellStyle name="Neutral 1131" xfId="15625" xr:uid="{00000000-0005-0000-0000-0000BC3C0000}"/>
    <cellStyle name="Neutral 1132" xfId="15626" xr:uid="{00000000-0005-0000-0000-0000BD3C0000}"/>
    <cellStyle name="Neutral 1133" xfId="15627" xr:uid="{00000000-0005-0000-0000-0000BE3C0000}"/>
    <cellStyle name="Neutral 1134" xfId="15628" xr:uid="{00000000-0005-0000-0000-0000BF3C0000}"/>
    <cellStyle name="Neutral 1135" xfId="15629" xr:uid="{00000000-0005-0000-0000-0000C03C0000}"/>
    <cellStyle name="Neutral 1136" xfId="15630" xr:uid="{00000000-0005-0000-0000-0000C13C0000}"/>
    <cellStyle name="Neutral 1137" xfId="15631" xr:uid="{00000000-0005-0000-0000-0000C23C0000}"/>
    <cellStyle name="Neutral 1138" xfId="15632" xr:uid="{00000000-0005-0000-0000-0000C33C0000}"/>
    <cellStyle name="Neutral 1139" xfId="15633" xr:uid="{00000000-0005-0000-0000-0000C43C0000}"/>
    <cellStyle name="Neutral 114" xfId="15634" xr:uid="{00000000-0005-0000-0000-0000C53C0000}"/>
    <cellStyle name="Neutral 1140" xfId="15635" xr:uid="{00000000-0005-0000-0000-0000C63C0000}"/>
    <cellStyle name="Neutral 1141" xfId="15636" xr:uid="{00000000-0005-0000-0000-0000C73C0000}"/>
    <cellStyle name="Neutral 1142" xfId="15637" xr:uid="{00000000-0005-0000-0000-0000C83C0000}"/>
    <cellStyle name="Neutral 1143" xfId="15638" xr:uid="{00000000-0005-0000-0000-0000C93C0000}"/>
    <cellStyle name="Neutral 1144" xfId="15639" xr:uid="{00000000-0005-0000-0000-0000CA3C0000}"/>
    <cellStyle name="Neutral 1145" xfId="15640" xr:uid="{00000000-0005-0000-0000-0000CB3C0000}"/>
    <cellStyle name="Neutral 1146" xfId="15641" xr:uid="{00000000-0005-0000-0000-0000CC3C0000}"/>
    <cellStyle name="Neutral 1147" xfId="15642" xr:uid="{00000000-0005-0000-0000-0000CD3C0000}"/>
    <cellStyle name="Neutral 1148" xfId="15643" xr:uid="{00000000-0005-0000-0000-0000CE3C0000}"/>
    <cellStyle name="Neutral 1149" xfId="15644" xr:uid="{00000000-0005-0000-0000-0000CF3C0000}"/>
    <cellStyle name="Neutral 115" xfId="15645" xr:uid="{00000000-0005-0000-0000-0000D03C0000}"/>
    <cellStyle name="Neutral 1150" xfId="15646" xr:uid="{00000000-0005-0000-0000-0000D13C0000}"/>
    <cellStyle name="Neutral 1151" xfId="15647" xr:uid="{00000000-0005-0000-0000-0000D23C0000}"/>
    <cellStyle name="Neutral 1152" xfId="15648" xr:uid="{00000000-0005-0000-0000-0000D33C0000}"/>
    <cellStyle name="Neutral 1153" xfId="15649" xr:uid="{00000000-0005-0000-0000-0000D43C0000}"/>
    <cellStyle name="Neutral 1154" xfId="15650" xr:uid="{00000000-0005-0000-0000-0000D53C0000}"/>
    <cellStyle name="Neutral 1155" xfId="15651" xr:uid="{00000000-0005-0000-0000-0000D63C0000}"/>
    <cellStyle name="Neutral 1156" xfId="15652" xr:uid="{00000000-0005-0000-0000-0000D73C0000}"/>
    <cellStyle name="Neutral 1157" xfId="15653" xr:uid="{00000000-0005-0000-0000-0000D83C0000}"/>
    <cellStyle name="Neutral 1158" xfId="15654" xr:uid="{00000000-0005-0000-0000-0000D93C0000}"/>
    <cellStyle name="Neutral 1159" xfId="15655" xr:uid="{00000000-0005-0000-0000-0000DA3C0000}"/>
    <cellStyle name="Neutral 116" xfId="15656" xr:uid="{00000000-0005-0000-0000-0000DB3C0000}"/>
    <cellStyle name="Neutral 1160" xfId="15657" xr:uid="{00000000-0005-0000-0000-0000DC3C0000}"/>
    <cellStyle name="Neutral 1161" xfId="15658" xr:uid="{00000000-0005-0000-0000-0000DD3C0000}"/>
    <cellStyle name="Neutral 117" xfId="15659" xr:uid="{00000000-0005-0000-0000-0000DE3C0000}"/>
    <cellStyle name="Neutral 118" xfId="15660" xr:uid="{00000000-0005-0000-0000-0000DF3C0000}"/>
    <cellStyle name="Neutral 119" xfId="15661" xr:uid="{00000000-0005-0000-0000-0000E03C0000}"/>
    <cellStyle name="Neutral 12" xfId="15662" xr:uid="{00000000-0005-0000-0000-0000E13C0000}"/>
    <cellStyle name="Neutral 120" xfId="15663" xr:uid="{00000000-0005-0000-0000-0000E23C0000}"/>
    <cellStyle name="Neutral 121" xfId="15664" xr:uid="{00000000-0005-0000-0000-0000E33C0000}"/>
    <cellStyle name="Neutral 122" xfId="15665" xr:uid="{00000000-0005-0000-0000-0000E43C0000}"/>
    <cellStyle name="Neutral 123" xfId="15666" xr:uid="{00000000-0005-0000-0000-0000E53C0000}"/>
    <cellStyle name="Neutral 124" xfId="15667" xr:uid="{00000000-0005-0000-0000-0000E63C0000}"/>
    <cellStyle name="Neutral 125" xfId="15668" xr:uid="{00000000-0005-0000-0000-0000E73C0000}"/>
    <cellStyle name="Neutral 126" xfId="15669" xr:uid="{00000000-0005-0000-0000-0000E83C0000}"/>
    <cellStyle name="Neutral 127" xfId="15670" xr:uid="{00000000-0005-0000-0000-0000E93C0000}"/>
    <cellStyle name="Neutral 128" xfId="15671" xr:uid="{00000000-0005-0000-0000-0000EA3C0000}"/>
    <cellStyle name="Neutral 129" xfId="15672" xr:uid="{00000000-0005-0000-0000-0000EB3C0000}"/>
    <cellStyle name="Neutral 13" xfId="15673" xr:uid="{00000000-0005-0000-0000-0000EC3C0000}"/>
    <cellStyle name="Neutral 130" xfId="15674" xr:uid="{00000000-0005-0000-0000-0000ED3C0000}"/>
    <cellStyle name="Neutral 131" xfId="15675" xr:uid="{00000000-0005-0000-0000-0000EE3C0000}"/>
    <cellStyle name="Neutral 132" xfId="15676" xr:uid="{00000000-0005-0000-0000-0000EF3C0000}"/>
    <cellStyle name="Neutral 133" xfId="15677" xr:uid="{00000000-0005-0000-0000-0000F03C0000}"/>
    <cellStyle name="Neutral 134" xfId="15678" xr:uid="{00000000-0005-0000-0000-0000F13C0000}"/>
    <cellStyle name="Neutral 135" xfId="15679" xr:uid="{00000000-0005-0000-0000-0000F23C0000}"/>
    <cellStyle name="Neutral 136" xfId="15680" xr:uid="{00000000-0005-0000-0000-0000F33C0000}"/>
    <cellStyle name="Neutral 137" xfId="15681" xr:uid="{00000000-0005-0000-0000-0000F43C0000}"/>
    <cellStyle name="Neutral 138" xfId="15682" xr:uid="{00000000-0005-0000-0000-0000F53C0000}"/>
    <cellStyle name="Neutral 139" xfId="15683" xr:uid="{00000000-0005-0000-0000-0000F63C0000}"/>
    <cellStyle name="Neutral 14" xfId="15684" xr:uid="{00000000-0005-0000-0000-0000F73C0000}"/>
    <cellStyle name="Neutral 140" xfId="15685" xr:uid="{00000000-0005-0000-0000-0000F83C0000}"/>
    <cellStyle name="Neutral 141" xfId="15686" xr:uid="{00000000-0005-0000-0000-0000F93C0000}"/>
    <cellStyle name="Neutral 142" xfId="15687" xr:uid="{00000000-0005-0000-0000-0000FA3C0000}"/>
    <cellStyle name="Neutral 143" xfId="15688" xr:uid="{00000000-0005-0000-0000-0000FB3C0000}"/>
    <cellStyle name="Neutral 144" xfId="15689" xr:uid="{00000000-0005-0000-0000-0000FC3C0000}"/>
    <cellStyle name="Neutral 145" xfId="15690" xr:uid="{00000000-0005-0000-0000-0000FD3C0000}"/>
    <cellStyle name="Neutral 146" xfId="15691" xr:uid="{00000000-0005-0000-0000-0000FE3C0000}"/>
    <cellStyle name="Neutral 147" xfId="15692" xr:uid="{00000000-0005-0000-0000-0000FF3C0000}"/>
    <cellStyle name="Neutral 148" xfId="15693" xr:uid="{00000000-0005-0000-0000-0000003D0000}"/>
    <cellStyle name="Neutral 149" xfId="15694" xr:uid="{00000000-0005-0000-0000-0000013D0000}"/>
    <cellStyle name="Neutral 15" xfId="15695" xr:uid="{00000000-0005-0000-0000-0000023D0000}"/>
    <cellStyle name="Neutral 150" xfId="15696" xr:uid="{00000000-0005-0000-0000-0000033D0000}"/>
    <cellStyle name="Neutral 151" xfId="15697" xr:uid="{00000000-0005-0000-0000-0000043D0000}"/>
    <cellStyle name="Neutral 152" xfId="15698" xr:uid="{00000000-0005-0000-0000-0000053D0000}"/>
    <cellStyle name="Neutral 153" xfId="15699" xr:uid="{00000000-0005-0000-0000-0000063D0000}"/>
    <cellStyle name="Neutral 154" xfId="15700" xr:uid="{00000000-0005-0000-0000-0000073D0000}"/>
    <cellStyle name="Neutral 155" xfId="15701" xr:uid="{00000000-0005-0000-0000-0000083D0000}"/>
    <cellStyle name="Neutral 156" xfId="15702" xr:uid="{00000000-0005-0000-0000-0000093D0000}"/>
    <cellStyle name="Neutral 157" xfId="15703" xr:uid="{00000000-0005-0000-0000-00000A3D0000}"/>
    <cellStyle name="Neutral 158" xfId="15704" xr:uid="{00000000-0005-0000-0000-00000B3D0000}"/>
    <cellStyle name="Neutral 159" xfId="15705" xr:uid="{00000000-0005-0000-0000-00000C3D0000}"/>
    <cellStyle name="Neutral 16" xfId="15706" xr:uid="{00000000-0005-0000-0000-00000D3D0000}"/>
    <cellStyle name="Neutral 160" xfId="15707" xr:uid="{00000000-0005-0000-0000-00000E3D0000}"/>
    <cellStyle name="Neutral 161" xfId="15708" xr:uid="{00000000-0005-0000-0000-00000F3D0000}"/>
    <cellStyle name="Neutral 162" xfId="15709" xr:uid="{00000000-0005-0000-0000-0000103D0000}"/>
    <cellStyle name="Neutral 163" xfId="15710" xr:uid="{00000000-0005-0000-0000-0000113D0000}"/>
    <cellStyle name="Neutral 164" xfId="15711" xr:uid="{00000000-0005-0000-0000-0000123D0000}"/>
    <cellStyle name="Neutral 165" xfId="15712" xr:uid="{00000000-0005-0000-0000-0000133D0000}"/>
    <cellStyle name="Neutral 166" xfId="15713" xr:uid="{00000000-0005-0000-0000-0000143D0000}"/>
    <cellStyle name="Neutral 167" xfId="15714" xr:uid="{00000000-0005-0000-0000-0000153D0000}"/>
    <cellStyle name="Neutral 168" xfId="15715" xr:uid="{00000000-0005-0000-0000-0000163D0000}"/>
    <cellStyle name="Neutral 169" xfId="15716" xr:uid="{00000000-0005-0000-0000-0000173D0000}"/>
    <cellStyle name="Neutral 17" xfId="15717" xr:uid="{00000000-0005-0000-0000-0000183D0000}"/>
    <cellStyle name="Neutral 170" xfId="15718" xr:uid="{00000000-0005-0000-0000-0000193D0000}"/>
    <cellStyle name="Neutral 171" xfId="15719" xr:uid="{00000000-0005-0000-0000-00001A3D0000}"/>
    <cellStyle name="Neutral 172" xfId="15720" xr:uid="{00000000-0005-0000-0000-00001B3D0000}"/>
    <cellStyle name="Neutral 173" xfId="15721" xr:uid="{00000000-0005-0000-0000-00001C3D0000}"/>
    <cellStyle name="Neutral 174" xfId="15722" xr:uid="{00000000-0005-0000-0000-00001D3D0000}"/>
    <cellStyle name="Neutral 175" xfId="15723" xr:uid="{00000000-0005-0000-0000-00001E3D0000}"/>
    <cellStyle name="Neutral 176" xfId="15724" xr:uid="{00000000-0005-0000-0000-00001F3D0000}"/>
    <cellStyle name="Neutral 177" xfId="15725" xr:uid="{00000000-0005-0000-0000-0000203D0000}"/>
    <cellStyle name="Neutral 178" xfId="15726" xr:uid="{00000000-0005-0000-0000-0000213D0000}"/>
    <cellStyle name="Neutral 179" xfId="15727" xr:uid="{00000000-0005-0000-0000-0000223D0000}"/>
    <cellStyle name="Neutral 18" xfId="15728" xr:uid="{00000000-0005-0000-0000-0000233D0000}"/>
    <cellStyle name="Neutral 180" xfId="15729" xr:uid="{00000000-0005-0000-0000-0000243D0000}"/>
    <cellStyle name="Neutral 181" xfId="15730" xr:uid="{00000000-0005-0000-0000-0000253D0000}"/>
    <cellStyle name="Neutral 182" xfId="15731" xr:uid="{00000000-0005-0000-0000-0000263D0000}"/>
    <cellStyle name="Neutral 183" xfId="15732" xr:uid="{00000000-0005-0000-0000-0000273D0000}"/>
    <cellStyle name="Neutral 184" xfId="15733" xr:uid="{00000000-0005-0000-0000-0000283D0000}"/>
    <cellStyle name="Neutral 185" xfId="15734" xr:uid="{00000000-0005-0000-0000-0000293D0000}"/>
    <cellStyle name="Neutral 186" xfId="15735" xr:uid="{00000000-0005-0000-0000-00002A3D0000}"/>
    <cellStyle name="Neutral 187" xfId="15736" xr:uid="{00000000-0005-0000-0000-00002B3D0000}"/>
    <cellStyle name="Neutral 188" xfId="15737" xr:uid="{00000000-0005-0000-0000-00002C3D0000}"/>
    <cellStyle name="Neutral 189" xfId="15738" xr:uid="{00000000-0005-0000-0000-00002D3D0000}"/>
    <cellStyle name="Neutral 19" xfId="15739" xr:uid="{00000000-0005-0000-0000-00002E3D0000}"/>
    <cellStyle name="Neutral 190" xfId="15740" xr:uid="{00000000-0005-0000-0000-00002F3D0000}"/>
    <cellStyle name="Neutral 191" xfId="15741" xr:uid="{00000000-0005-0000-0000-0000303D0000}"/>
    <cellStyle name="Neutral 192" xfId="15742" xr:uid="{00000000-0005-0000-0000-0000313D0000}"/>
    <cellStyle name="Neutral 193" xfId="15743" xr:uid="{00000000-0005-0000-0000-0000323D0000}"/>
    <cellStyle name="Neutral 194" xfId="15744" xr:uid="{00000000-0005-0000-0000-0000333D0000}"/>
    <cellStyle name="Neutral 195" xfId="15745" xr:uid="{00000000-0005-0000-0000-0000343D0000}"/>
    <cellStyle name="Neutral 196" xfId="15746" xr:uid="{00000000-0005-0000-0000-0000353D0000}"/>
    <cellStyle name="Neutral 197" xfId="15747" xr:uid="{00000000-0005-0000-0000-0000363D0000}"/>
    <cellStyle name="Neutral 198" xfId="15748" xr:uid="{00000000-0005-0000-0000-0000373D0000}"/>
    <cellStyle name="Neutral 199" xfId="15749" xr:uid="{00000000-0005-0000-0000-0000383D0000}"/>
    <cellStyle name="Neutral 2" xfId="225" xr:uid="{00000000-0005-0000-0000-0000393D0000}"/>
    <cellStyle name="Neutral 2 2" xfId="15750" xr:uid="{00000000-0005-0000-0000-00003A3D0000}"/>
    <cellStyle name="Neutral 2 3" xfId="15751" xr:uid="{00000000-0005-0000-0000-00003B3D0000}"/>
    <cellStyle name="Neutral 2 4" xfId="15752" xr:uid="{00000000-0005-0000-0000-00003C3D0000}"/>
    <cellStyle name="Neutral 20" xfId="15753" xr:uid="{00000000-0005-0000-0000-00003D3D0000}"/>
    <cellStyle name="Neutral 200" xfId="15754" xr:uid="{00000000-0005-0000-0000-00003E3D0000}"/>
    <cellStyle name="Neutral 201" xfId="15755" xr:uid="{00000000-0005-0000-0000-00003F3D0000}"/>
    <cellStyle name="Neutral 202" xfId="15756" xr:uid="{00000000-0005-0000-0000-0000403D0000}"/>
    <cellStyle name="Neutral 203" xfId="15757" xr:uid="{00000000-0005-0000-0000-0000413D0000}"/>
    <cellStyle name="Neutral 204" xfId="15758" xr:uid="{00000000-0005-0000-0000-0000423D0000}"/>
    <cellStyle name="Neutral 205" xfId="15759" xr:uid="{00000000-0005-0000-0000-0000433D0000}"/>
    <cellStyle name="Neutral 206" xfId="15760" xr:uid="{00000000-0005-0000-0000-0000443D0000}"/>
    <cellStyle name="Neutral 207" xfId="15761" xr:uid="{00000000-0005-0000-0000-0000453D0000}"/>
    <cellStyle name="Neutral 208" xfId="15762" xr:uid="{00000000-0005-0000-0000-0000463D0000}"/>
    <cellStyle name="Neutral 209" xfId="15763" xr:uid="{00000000-0005-0000-0000-0000473D0000}"/>
    <cellStyle name="Neutral 21" xfId="15764" xr:uid="{00000000-0005-0000-0000-0000483D0000}"/>
    <cellStyle name="Neutral 210" xfId="15765" xr:uid="{00000000-0005-0000-0000-0000493D0000}"/>
    <cellStyle name="Neutral 211" xfId="15766" xr:uid="{00000000-0005-0000-0000-00004A3D0000}"/>
    <cellStyle name="Neutral 212" xfId="15767" xr:uid="{00000000-0005-0000-0000-00004B3D0000}"/>
    <cellStyle name="Neutral 213" xfId="15768" xr:uid="{00000000-0005-0000-0000-00004C3D0000}"/>
    <cellStyle name="Neutral 214" xfId="15769" xr:uid="{00000000-0005-0000-0000-00004D3D0000}"/>
    <cellStyle name="Neutral 215" xfId="15770" xr:uid="{00000000-0005-0000-0000-00004E3D0000}"/>
    <cellStyle name="Neutral 216" xfId="15771" xr:uid="{00000000-0005-0000-0000-00004F3D0000}"/>
    <cellStyle name="Neutral 217" xfId="15772" xr:uid="{00000000-0005-0000-0000-0000503D0000}"/>
    <cellStyle name="Neutral 218" xfId="15773" xr:uid="{00000000-0005-0000-0000-0000513D0000}"/>
    <cellStyle name="Neutral 219" xfId="15774" xr:uid="{00000000-0005-0000-0000-0000523D0000}"/>
    <cellStyle name="Neutral 22" xfId="15775" xr:uid="{00000000-0005-0000-0000-0000533D0000}"/>
    <cellStyle name="Neutral 220" xfId="15776" xr:uid="{00000000-0005-0000-0000-0000543D0000}"/>
    <cellStyle name="Neutral 221" xfId="15777" xr:uid="{00000000-0005-0000-0000-0000553D0000}"/>
    <cellStyle name="Neutral 222" xfId="15778" xr:uid="{00000000-0005-0000-0000-0000563D0000}"/>
    <cellStyle name="Neutral 223" xfId="15779" xr:uid="{00000000-0005-0000-0000-0000573D0000}"/>
    <cellStyle name="Neutral 224" xfId="15780" xr:uid="{00000000-0005-0000-0000-0000583D0000}"/>
    <cellStyle name="Neutral 225" xfId="15781" xr:uid="{00000000-0005-0000-0000-0000593D0000}"/>
    <cellStyle name="Neutral 226" xfId="15782" xr:uid="{00000000-0005-0000-0000-00005A3D0000}"/>
    <cellStyle name="Neutral 227" xfId="15783" xr:uid="{00000000-0005-0000-0000-00005B3D0000}"/>
    <cellStyle name="Neutral 228" xfId="15784" xr:uid="{00000000-0005-0000-0000-00005C3D0000}"/>
    <cellStyle name="Neutral 229" xfId="15785" xr:uid="{00000000-0005-0000-0000-00005D3D0000}"/>
    <cellStyle name="Neutral 23" xfId="15786" xr:uid="{00000000-0005-0000-0000-00005E3D0000}"/>
    <cellStyle name="Neutral 230" xfId="15787" xr:uid="{00000000-0005-0000-0000-00005F3D0000}"/>
    <cellStyle name="Neutral 231" xfId="15788" xr:uid="{00000000-0005-0000-0000-0000603D0000}"/>
    <cellStyle name="Neutral 232" xfId="15789" xr:uid="{00000000-0005-0000-0000-0000613D0000}"/>
    <cellStyle name="Neutral 233" xfId="15790" xr:uid="{00000000-0005-0000-0000-0000623D0000}"/>
    <cellStyle name="Neutral 234" xfId="15791" xr:uid="{00000000-0005-0000-0000-0000633D0000}"/>
    <cellStyle name="Neutral 235" xfId="15792" xr:uid="{00000000-0005-0000-0000-0000643D0000}"/>
    <cellStyle name="Neutral 236" xfId="15793" xr:uid="{00000000-0005-0000-0000-0000653D0000}"/>
    <cellStyle name="Neutral 237" xfId="15794" xr:uid="{00000000-0005-0000-0000-0000663D0000}"/>
    <cellStyle name="Neutral 238" xfId="15795" xr:uid="{00000000-0005-0000-0000-0000673D0000}"/>
    <cellStyle name="Neutral 239" xfId="15796" xr:uid="{00000000-0005-0000-0000-0000683D0000}"/>
    <cellStyle name="Neutral 24" xfId="15797" xr:uid="{00000000-0005-0000-0000-0000693D0000}"/>
    <cellStyle name="Neutral 240" xfId="15798" xr:uid="{00000000-0005-0000-0000-00006A3D0000}"/>
    <cellStyle name="Neutral 241" xfId="15799" xr:uid="{00000000-0005-0000-0000-00006B3D0000}"/>
    <cellStyle name="Neutral 242" xfId="15800" xr:uid="{00000000-0005-0000-0000-00006C3D0000}"/>
    <cellStyle name="Neutral 243" xfId="15801" xr:uid="{00000000-0005-0000-0000-00006D3D0000}"/>
    <cellStyle name="Neutral 244" xfId="15802" xr:uid="{00000000-0005-0000-0000-00006E3D0000}"/>
    <cellStyle name="Neutral 245" xfId="15803" xr:uid="{00000000-0005-0000-0000-00006F3D0000}"/>
    <cellStyle name="Neutral 246" xfId="15804" xr:uid="{00000000-0005-0000-0000-0000703D0000}"/>
    <cellStyle name="Neutral 247" xfId="15805" xr:uid="{00000000-0005-0000-0000-0000713D0000}"/>
    <cellStyle name="Neutral 248" xfId="15806" xr:uid="{00000000-0005-0000-0000-0000723D0000}"/>
    <cellStyle name="Neutral 249" xfId="15807" xr:uid="{00000000-0005-0000-0000-0000733D0000}"/>
    <cellStyle name="Neutral 25" xfId="15808" xr:uid="{00000000-0005-0000-0000-0000743D0000}"/>
    <cellStyle name="Neutral 250" xfId="15809" xr:uid="{00000000-0005-0000-0000-0000753D0000}"/>
    <cellStyle name="Neutral 251" xfId="15810" xr:uid="{00000000-0005-0000-0000-0000763D0000}"/>
    <cellStyle name="Neutral 252" xfId="15811" xr:uid="{00000000-0005-0000-0000-0000773D0000}"/>
    <cellStyle name="Neutral 253" xfId="15812" xr:uid="{00000000-0005-0000-0000-0000783D0000}"/>
    <cellStyle name="Neutral 254" xfId="15813" xr:uid="{00000000-0005-0000-0000-0000793D0000}"/>
    <cellStyle name="Neutral 255" xfId="15814" xr:uid="{00000000-0005-0000-0000-00007A3D0000}"/>
    <cellStyle name="Neutral 256" xfId="15815" xr:uid="{00000000-0005-0000-0000-00007B3D0000}"/>
    <cellStyle name="Neutral 257" xfId="15816" xr:uid="{00000000-0005-0000-0000-00007C3D0000}"/>
    <cellStyle name="Neutral 258" xfId="15817" xr:uid="{00000000-0005-0000-0000-00007D3D0000}"/>
    <cellStyle name="Neutral 259" xfId="15818" xr:uid="{00000000-0005-0000-0000-00007E3D0000}"/>
    <cellStyle name="Neutral 26" xfId="15819" xr:uid="{00000000-0005-0000-0000-00007F3D0000}"/>
    <cellStyle name="Neutral 260" xfId="15820" xr:uid="{00000000-0005-0000-0000-0000803D0000}"/>
    <cellStyle name="Neutral 261" xfId="15821" xr:uid="{00000000-0005-0000-0000-0000813D0000}"/>
    <cellStyle name="Neutral 262" xfId="15822" xr:uid="{00000000-0005-0000-0000-0000823D0000}"/>
    <cellStyle name="Neutral 263" xfId="15823" xr:uid="{00000000-0005-0000-0000-0000833D0000}"/>
    <cellStyle name="Neutral 264" xfId="15824" xr:uid="{00000000-0005-0000-0000-0000843D0000}"/>
    <cellStyle name="Neutral 265" xfId="15825" xr:uid="{00000000-0005-0000-0000-0000853D0000}"/>
    <cellStyle name="Neutral 266" xfId="15826" xr:uid="{00000000-0005-0000-0000-0000863D0000}"/>
    <cellStyle name="Neutral 267" xfId="15827" xr:uid="{00000000-0005-0000-0000-0000873D0000}"/>
    <cellStyle name="Neutral 268" xfId="15828" xr:uid="{00000000-0005-0000-0000-0000883D0000}"/>
    <cellStyle name="Neutral 269" xfId="15829" xr:uid="{00000000-0005-0000-0000-0000893D0000}"/>
    <cellStyle name="Neutral 27" xfId="15830" xr:uid="{00000000-0005-0000-0000-00008A3D0000}"/>
    <cellStyle name="Neutral 270" xfId="15831" xr:uid="{00000000-0005-0000-0000-00008B3D0000}"/>
    <cellStyle name="Neutral 271" xfId="15832" xr:uid="{00000000-0005-0000-0000-00008C3D0000}"/>
    <cellStyle name="Neutral 272" xfId="15833" xr:uid="{00000000-0005-0000-0000-00008D3D0000}"/>
    <cellStyle name="Neutral 273" xfId="15834" xr:uid="{00000000-0005-0000-0000-00008E3D0000}"/>
    <cellStyle name="Neutral 274" xfId="15835" xr:uid="{00000000-0005-0000-0000-00008F3D0000}"/>
    <cellStyle name="Neutral 275" xfId="15836" xr:uid="{00000000-0005-0000-0000-0000903D0000}"/>
    <cellStyle name="Neutral 276" xfId="15837" xr:uid="{00000000-0005-0000-0000-0000913D0000}"/>
    <cellStyle name="Neutral 277" xfId="15838" xr:uid="{00000000-0005-0000-0000-0000923D0000}"/>
    <cellStyle name="Neutral 278" xfId="15839" xr:uid="{00000000-0005-0000-0000-0000933D0000}"/>
    <cellStyle name="Neutral 279" xfId="15840" xr:uid="{00000000-0005-0000-0000-0000943D0000}"/>
    <cellStyle name="Neutral 28" xfId="15841" xr:uid="{00000000-0005-0000-0000-0000953D0000}"/>
    <cellStyle name="Neutral 280" xfId="15842" xr:uid="{00000000-0005-0000-0000-0000963D0000}"/>
    <cellStyle name="Neutral 281" xfId="15843" xr:uid="{00000000-0005-0000-0000-0000973D0000}"/>
    <cellStyle name="Neutral 282" xfId="15844" xr:uid="{00000000-0005-0000-0000-0000983D0000}"/>
    <cellStyle name="Neutral 283" xfId="15845" xr:uid="{00000000-0005-0000-0000-0000993D0000}"/>
    <cellStyle name="Neutral 284" xfId="15846" xr:uid="{00000000-0005-0000-0000-00009A3D0000}"/>
    <cellStyle name="Neutral 285" xfId="15847" xr:uid="{00000000-0005-0000-0000-00009B3D0000}"/>
    <cellStyle name="Neutral 286" xfId="15848" xr:uid="{00000000-0005-0000-0000-00009C3D0000}"/>
    <cellStyle name="Neutral 287" xfId="15849" xr:uid="{00000000-0005-0000-0000-00009D3D0000}"/>
    <cellStyle name="Neutral 288" xfId="15850" xr:uid="{00000000-0005-0000-0000-00009E3D0000}"/>
    <cellStyle name="Neutral 289" xfId="15851" xr:uid="{00000000-0005-0000-0000-00009F3D0000}"/>
    <cellStyle name="Neutral 29" xfId="15852" xr:uid="{00000000-0005-0000-0000-0000A03D0000}"/>
    <cellStyle name="Neutral 290" xfId="15853" xr:uid="{00000000-0005-0000-0000-0000A13D0000}"/>
    <cellStyle name="Neutral 291" xfId="15854" xr:uid="{00000000-0005-0000-0000-0000A23D0000}"/>
    <cellStyle name="Neutral 292" xfId="15855" xr:uid="{00000000-0005-0000-0000-0000A33D0000}"/>
    <cellStyle name="Neutral 293" xfId="15856" xr:uid="{00000000-0005-0000-0000-0000A43D0000}"/>
    <cellStyle name="Neutral 294" xfId="15857" xr:uid="{00000000-0005-0000-0000-0000A53D0000}"/>
    <cellStyle name="Neutral 295" xfId="15858" xr:uid="{00000000-0005-0000-0000-0000A63D0000}"/>
    <cellStyle name="Neutral 296" xfId="15859" xr:uid="{00000000-0005-0000-0000-0000A73D0000}"/>
    <cellStyle name="Neutral 297" xfId="15860" xr:uid="{00000000-0005-0000-0000-0000A83D0000}"/>
    <cellStyle name="Neutral 298" xfId="15861" xr:uid="{00000000-0005-0000-0000-0000A93D0000}"/>
    <cellStyle name="Neutral 299" xfId="15862" xr:uid="{00000000-0005-0000-0000-0000AA3D0000}"/>
    <cellStyle name="Neutral 3" xfId="15863" xr:uid="{00000000-0005-0000-0000-0000AB3D0000}"/>
    <cellStyle name="Neutral 3 2" xfId="15864" xr:uid="{00000000-0005-0000-0000-0000AC3D0000}"/>
    <cellStyle name="Neutral 3 3" xfId="15865" xr:uid="{00000000-0005-0000-0000-0000AD3D0000}"/>
    <cellStyle name="Neutral 30" xfId="15866" xr:uid="{00000000-0005-0000-0000-0000AE3D0000}"/>
    <cellStyle name="Neutral 300" xfId="15867" xr:uid="{00000000-0005-0000-0000-0000AF3D0000}"/>
    <cellStyle name="Neutral 301" xfId="15868" xr:uid="{00000000-0005-0000-0000-0000B03D0000}"/>
    <cellStyle name="Neutral 302" xfId="15869" xr:uid="{00000000-0005-0000-0000-0000B13D0000}"/>
    <cellStyle name="Neutral 303" xfId="15870" xr:uid="{00000000-0005-0000-0000-0000B23D0000}"/>
    <cellStyle name="Neutral 304" xfId="15871" xr:uid="{00000000-0005-0000-0000-0000B33D0000}"/>
    <cellStyle name="Neutral 305" xfId="15872" xr:uid="{00000000-0005-0000-0000-0000B43D0000}"/>
    <cellStyle name="Neutral 306" xfId="15873" xr:uid="{00000000-0005-0000-0000-0000B53D0000}"/>
    <cellStyle name="Neutral 307" xfId="15874" xr:uid="{00000000-0005-0000-0000-0000B63D0000}"/>
    <cellStyle name="Neutral 308" xfId="15875" xr:uid="{00000000-0005-0000-0000-0000B73D0000}"/>
    <cellStyle name="Neutral 309" xfId="15876" xr:uid="{00000000-0005-0000-0000-0000B83D0000}"/>
    <cellStyle name="Neutral 31" xfId="15877" xr:uid="{00000000-0005-0000-0000-0000B93D0000}"/>
    <cellStyle name="Neutral 310" xfId="15878" xr:uid="{00000000-0005-0000-0000-0000BA3D0000}"/>
    <cellStyle name="Neutral 311" xfId="15879" xr:uid="{00000000-0005-0000-0000-0000BB3D0000}"/>
    <cellStyle name="Neutral 312" xfId="15880" xr:uid="{00000000-0005-0000-0000-0000BC3D0000}"/>
    <cellStyle name="Neutral 313" xfId="15881" xr:uid="{00000000-0005-0000-0000-0000BD3D0000}"/>
    <cellStyle name="Neutral 314" xfId="15882" xr:uid="{00000000-0005-0000-0000-0000BE3D0000}"/>
    <cellStyle name="Neutral 315" xfId="15883" xr:uid="{00000000-0005-0000-0000-0000BF3D0000}"/>
    <cellStyle name="Neutral 316" xfId="15884" xr:uid="{00000000-0005-0000-0000-0000C03D0000}"/>
    <cellStyle name="Neutral 317" xfId="15885" xr:uid="{00000000-0005-0000-0000-0000C13D0000}"/>
    <cellStyle name="Neutral 318" xfId="15886" xr:uid="{00000000-0005-0000-0000-0000C23D0000}"/>
    <cellStyle name="Neutral 319" xfId="15887" xr:uid="{00000000-0005-0000-0000-0000C33D0000}"/>
    <cellStyle name="Neutral 32" xfId="15888" xr:uid="{00000000-0005-0000-0000-0000C43D0000}"/>
    <cellStyle name="Neutral 320" xfId="15889" xr:uid="{00000000-0005-0000-0000-0000C53D0000}"/>
    <cellStyle name="Neutral 321" xfId="15890" xr:uid="{00000000-0005-0000-0000-0000C63D0000}"/>
    <cellStyle name="Neutral 322" xfId="15891" xr:uid="{00000000-0005-0000-0000-0000C73D0000}"/>
    <cellStyle name="Neutral 323" xfId="15892" xr:uid="{00000000-0005-0000-0000-0000C83D0000}"/>
    <cellStyle name="Neutral 324" xfId="15893" xr:uid="{00000000-0005-0000-0000-0000C93D0000}"/>
    <cellStyle name="Neutral 325" xfId="15894" xr:uid="{00000000-0005-0000-0000-0000CA3D0000}"/>
    <cellStyle name="Neutral 326" xfId="15895" xr:uid="{00000000-0005-0000-0000-0000CB3D0000}"/>
    <cellStyle name="Neutral 327" xfId="15896" xr:uid="{00000000-0005-0000-0000-0000CC3D0000}"/>
    <cellStyle name="Neutral 328" xfId="15897" xr:uid="{00000000-0005-0000-0000-0000CD3D0000}"/>
    <cellStyle name="Neutral 329" xfId="15898" xr:uid="{00000000-0005-0000-0000-0000CE3D0000}"/>
    <cellStyle name="Neutral 33" xfId="15899" xr:uid="{00000000-0005-0000-0000-0000CF3D0000}"/>
    <cellStyle name="Neutral 330" xfId="15900" xr:uid="{00000000-0005-0000-0000-0000D03D0000}"/>
    <cellStyle name="Neutral 331" xfId="15901" xr:uid="{00000000-0005-0000-0000-0000D13D0000}"/>
    <cellStyle name="Neutral 332" xfId="15902" xr:uid="{00000000-0005-0000-0000-0000D23D0000}"/>
    <cellStyle name="Neutral 333" xfId="15903" xr:uid="{00000000-0005-0000-0000-0000D33D0000}"/>
    <cellStyle name="Neutral 334" xfId="15904" xr:uid="{00000000-0005-0000-0000-0000D43D0000}"/>
    <cellStyle name="Neutral 335" xfId="15905" xr:uid="{00000000-0005-0000-0000-0000D53D0000}"/>
    <cellStyle name="Neutral 336" xfId="15906" xr:uid="{00000000-0005-0000-0000-0000D63D0000}"/>
    <cellStyle name="Neutral 337" xfId="15907" xr:uid="{00000000-0005-0000-0000-0000D73D0000}"/>
    <cellStyle name="Neutral 338" xfId="15908" xr:uid="{00000000-0005-0000-0000-0000D83D0000}"/>
    <cellStyle name="Neutral 339" xfId="15909" xr:uid="{00000000-0005-0000-0000-0000D93D0000}"/>
    <cellStyle name="Neutral 34" xfId="15910" xr:uid="{00000000-0005-0000-0000-0000DA3D0000}"/>
    <cellStyle name="Neutral 340" xfId="15911" xr:uid="{00000000-0005-0000-0000-0000DB3D0000}"/>
    <cellStyle name="Neutral 341" xfId="15912" xr:uid="{00000000-0005-0000-0000-0000DC3D0000}"/>
    <cellStyle name="Neutral 342" xfId="15913" xr:uid="{00000000-0005-0000-0000-0000DD3D0000}"/>
    <cellStyle name="Neutral 343" xfId="15914" xr:uid="{00000000-0005-0000-0000-0000DE3D0000}"/>
    <cellStyle name="Neutral 344" xfId="15915" xr:uid="{00000000-0005-0000-0000-0000DF3D0000}"/>
    <cellStyle name="Neutral 345" xfId="15916" xr:uid="{00000000-0005-0000-0000-0000E03D0000}"/>
    <cellStyle name="Neutral 346" xfId="15917" xr:uid="{00000000-0005-0000-0000-0000E13D0000}"/>
    <cellStyle name="Neutral 347" xfId="15918" xr:uid="{00000000-0005-0000-0000-0000E23D0000}"/>
    <cellStyle name="Neutral 348" xfId="15919" xr:uid="{00000000-0005-0000-0000-0000E33D0000}"/>
    <cellStyle name="Neutral 349" xfId="15920" xr:uid="{00000000-0005-0000-0000-0000E43D0000}"/>
    <cellStyle name="Neutral 35" xfId="15921" xr:uid="{00000000-0005-0000-0000-0000E53D0000}"/>
    <cellStyle name="Neutral 350" xfId="15922" xr:uid="{00000000-0005-0000-0000-0000E63D0000}"/>
    <cellStyle name="Neutral 351" xfId="15923" xr:uid="{00000000-0005-0000-0000-0000E73D0000}"/>
    <cellStyle name="Neutral 352" xfId="15924" xr:uid="{00000000-0005-0000-0000-0000E83D0000}"/>
    <cellStyle name="Neutral 353" xfId="15925" xr:uid="{00000000-0005-0000-0000-0000E93D0000}"/>
    <cellStyle name="Neutral 354" xfId="15926" xr:uid="{00000000-0005-0000-0000-0000EA3D0000}"/>
    <cellStyle name="Neutral 355" xfId="15927" xr:uid="{00000000-0005-0000-0000-0000EB3D0000}"/>
    <cellStyle name="Neutral 356" xfId="15928" xr:uid="{00000000-0005-0000-0000-0000EC3D0000}"/>
    <cellStyle name="Neutral 357" xfId="15929" xr:uid="{00000000-0005-0000-0000-0000ED3D0000}"/>
    <cellStyle name="Neutral 358" xfId="15930" xr:uid="{00000000-0005-0000-0000-0000EE3D0000}"/>
    <cellStyle name="Neutral 359" xfId="15931" xr:uid="{00000000-0005-0000-0000-0000EF3D0000}"/>
    <cellStyle name="Neutral 36" xfId="15932" xr:uid="{00000000-0005-0000-0000-0000F03D0000}"/>
    <cellStyle name="Neutral 360" xfId="15933" xr:uid="{00000000-0005-0000-0000-0000F13D0000}"/>
    <cellStyle name="Neutral 361" xfId="15934" xr:uid="{00000000-0005-0000-0000-0000F23D0000}"/>
    <cellStyle name="Neutral 362" xfId="15935" xr:uid="{00000000-0005-0000-0000-0000F33D0000}"/>
    <cellStyle name="Neutral 363" xfId="15936" xr:uid="{00000000-0005-0000-0000-0000F43D0000}"/>
    <cellStyle name="Neutral 364" xfId="15937" xr:uid="{00000000-0005-0000-0000-0000F53D0000}"/>
    <cellStyle name="Neutral 365" xfId="15938" xr:uid="{00000000-0005-0000-0000-0000F63D0000}"/>
    <cellStyle name="Neutral 366" xfId="15939" xr:uid="{00000000-0005-0000-0000-0000F73D0000}"/>
    <cellStyle name="Neutral 367" xfId="15940" xr:uid="{00000000-0005-0000-0000-0000F83D0000}"/>
    <cellStyle name="Neutral 368" xfId="15941" xr:uid="{00000000-0005-0000-0000-0000F93D0000}"/>
    <cellStyle name="Neutral 369" xfId="15942" xr:uid="{00000000-0005-0000-0000-0000FA3D0000}"/>
    <cellStyle name="Neutral 37" xfId="15943" xr:uid="{00000000-0005-0000-0000-0000FB3D0000}"/>
    <cellStyle name="Neutral 370" xfId="15944" xr:uid="{00000000-0005-0000-0000-0000FC3D0000}"/>
    <cellStyle name="Neutral 371" xfId="15945" xr:uid="{00000000-0005-0000-0000-0000FD3D0000}"/>
    <cellStyle name="Neutral 372" xfId="15946" xr:uid="{00000000-0005-0000-0000-0000FE3D0000}"/>
    <cellStyle name="Neutral 373" xfId="15947" xr:uid="{00000000-0005-0000-0000-0000FF3D0000}"/>
    <cellStyle name="Neutral 374" xfId="15948" xr:uid="{00000000-0005-0000-0000-0000003E0000}"/>
    <cellStyle name="Neutral 375" xfId="15949" xr:uid="{00000000-0005-0000-0000-0000013E0000}"/>
    <cellStyle name="Neutral 376" xfId="15950" xr:uid="{00000000-0005-0000-0000-0000023E0000}"/>
    <cellStyle name="Neutral 377" xfId="15951" xr:uid="{00000000-0005-0000-0000-0000033E0000}"/>
    <cellStyle name="Neutral 378" xfId="15952" xr:uid="{00000000-0005-0000-0000-0000043E0000}"/>
    <cellStyle name="Neutral 379" xfId="15953" xr:uid="{00000000-0005-0000-0000-0000053E0000}"/>
    <cellStyle name="Neutral 38" xfId="15954" xr:uid="{00000000-0005-0000-0000-0000063E0000}"/>
    <cellStyle name="Neutral 380" xfId="15955" xr:uid="{00000000-0005-0000-0000-0000073E0000}"/>
    <cellStyle name="Neutral 381" xfId="15956" xr:uid="{00000000-0005-0000-0000-0000083E0000}"/>
    <cellStyle name="Neutral 382" xfId="15957" xr:uid="{00000000-0005-0000-0000-0000093E0000}"/>
    <cellStyle name="Neutral 383" xfId="15958" xr:uid="{00000000-0005-0000-0000-00000A3E0000}"/>
    <cellStyle name="Neutral 384" xfId="15959" xr:uid="{00000000-0005-0000-0000-00000B3E0000}"/>
    <cellStyle name="Neutral 385" xfId="15960" xr:uid="{00000000-0005-0000-0000-00000C3E0000}"/>
    <cellStyle name="Neutral 386" xfId="15961" xr:uid="{00000000-0005-0000-0000-00000D3E0000}"/>
    <cellStyle name="Neutral 387" xfId="15962" xr:uid="{00000000-0005-0000-0000-00000E3E0000}"/>
    <cellStyle name="Neutral 388" xfId="15963" xr:uid="{00000000-0005-0000-0000-00000F3E0000}"/>
    <cellStyle name="Neutral 389" xfId="15964" xr:uid="{00000000-0005-0000-0000-0000103E0000}"/>
    <cellStyle name="Neutral 39" xfId="15965" xr:uid="{00000000-0005-0000-0000-0000113E0000}"/>
    <cellStyle name="Neutral 390" xfId="15966" xr:uid="{00000000-0005-0000-0000-0000123E0000}"/>
    <cellStyle name="Neutral 391" xfId="15967" xr:uid="{00000000-0005-0000-0000-0000133E0000}"/>
    <cellStyle name="Neutral 392" xfId="15968" xr:uid="{00000000-0005-0000-0000-0000143E0000}"/>
    <cellStyle name="Neutral 393" xfId="15969" xr:uid="{00000000-0005-0000-0000-0000153E0000}"/>
    <cellStyle name="Neutral 394" xfId="15970" xr:uid="{00000000-0005-0000-0000-0000163E0000}"/>
    <cellStyle name="Neutral 395" xfId="15971" xr:uid="{00000000-0005-0000-0000-0000173E0000}"/>
    <cellStyle name="Neutral 396" xfId="15972" xr:uid="{00000000-0005-0000-0000-0000183E0000}"/>
    <cellStyle name="Neutral 397" xfId="15973" xr:uid="{00000000-0005-0000-0000-0000193E0000}"/>
    <cellStyle name="Neutral 398" xfId="15974" xr:uid="{00000000-0005-0000-0000-00001A3E0000}"/>
    <cellStyle name="Neutral 399" xfId="15975" xr:uid="{00000000-0005-0000-0000-00001B3E0000}"/>
    <cellStyle name="Neutral 4" xfId="15976" xr:uid="{00000000-0005-0000-0000-00001C3E0000}"/>
    <cellStyle name="Neutral 40" xfId="15977" xr:uid="{00000000-0005-0000-0000-00001D3E0000}"/>
    <cellStyle name="Neutral 400" xfId="15978" xr:uid="{00000000-0005-0000-0000-00001E3E0000}"/>
    <cellStyle name="Neutral 401" xfId="15979" xr:uid="{00000000-0005-0000-0000-00001F3E0000}"/>
    <cellStyle name="Neutral 402" xfId="15980" xr:uid="{00000000-0005-0000-0000-0000203E0000}"/>
    <cellStyle name="Neutral 403" xfId="15981" xr:uid="{00000000-0005-0000-0000-0000213E0000}"/>
    <cellStyle name="Neutral 404" xfId="15982" xr:uid="{00000000-0005-0000-0000-0000223E0000}"/>
    <cellStyle name="Neutral 405" xfId="15983" xr:uid="{00000000-0005-0000-0000-0000233E0000}"/>
    <cellStyle name="Neutral 406" xfId="15984" xr:uid="{00000000-0005-0000-0000-0000243E0000}"/>
    <cellStyle name="Neutral 407" xfId="15985" xr:uid="{00000000-0005-0000-0000-0000253E0000}"/>
    <cellStyle name="Neutral 408" xfId="15986" xr:uid="{00000000-0005-0000-0000-0000263E0000}"/>
    <cellStyle name="Neutral 409" xfId="15987" xr:uid="{00000000-0005-0000-0000-0000273E0000}"/>
    <cellStyle name="Neutral 41" xfId="15988" xr:uid="{00000000-0005-0000-0000-0000283E0000}"/>
    <cellStyle name="Neutral 410" xfId="15989" xr:uid="{00000000-0005-0000-0000-0000293E0000}"/>
    <cellStyle name="Neutral 411" xfId="15990" xr:uid="{00000000-0005-0000-0000-00002A3E0000}"/>
    <cellStyle name="Neutral 412" xfId="15991" xr:uid="{00000000-0005-0000-0000-00002B3E0000}"/>
    <cellStyle name="Neutral 413" xfId="15992" xr:uid="{00000000-0005-0000-0000-00002C3E0000}"/>
    <cellStyle name="Neutral 414" xfId="15993" xr:uid="{00000000-0005-0000-0000-00002D3E0000}"/>
    <cellStyle name="Neutral 415" xfId="15994" xr:uid="{00000000-0005-0000-0000-00002E3E0000}"/>
    <cellStyle name="Neutral 416" xfId="15995" xr:uid="{00000000-0005-0000-0000-00002F3E0000}"/>
    <cellStyle name="Neutral 417" xfId="15996" xr:uid="{00000000-0005-0000-0000-0000303E0000}"/>
    <cellStyle name="Neutral 418" xfId="15997" xr:uid="{00000000-0005-0000-0000-0000313E0000}"/>
    <cellStyle name="Neutral 419" xfId="15998" xr:uid="{00000000-0005-0000-0000-0000323E0000}"/>
    <cellStyle name="Neutral 42" xfId="15999" xr:uid="{00000000-0005-0000-0000-0000333E0000}"/>
    <cellStyle name="Neutral 420" xfId="16000" xr:uid="{00000000-0005-0000-0000-0000343E0000}"/>
    <cellStyle name="Neutral 421" xfId="16001" xr:uid="{00000000-0005-0000-0000-0000353E0000}"/>
    <cellStyle name="Neutral 422" xfId="16002" xr:uid="{00000000-0005-0000-0000-0000363E0000}"/>
    <cellStyle name="Neutral 423" xfId="16003" xr:uid="{00000000-0005-0000-0000-0000373E0000}"/>
    <cellStyle name="Neutral 424" xfId="16004" xr:uid="{00000000-0005-0000-0000-0000383E0000}"/>
    <cellStyle name="Neutral 425" xfId="16005" xr:uid="{00000000-0005-0000-0000-0000393E0000}"/>
    <cellStyle name="Neutral 426" xfId="16006" xr:uid="{00000000-0005-0000-0000-00003A3E0000}"/>
    <cellStyle name="Neutral 427" xfId="16007" xr:uid="{00000000-0005-0000-0000-00003B3E0000}"/>
    <cellStyle name="Neutral 428" xfId="16008" xr:uid="{00000000-0005-0000-0000-00003C3E0000}"/>
    <cellStyle name="Neutral 429" xfId="16009" xr:uid="{00000000-0005-0000-0000-00003D3E0000}"/>
    <cellStyle name="Neutral 43" xfId="16010" xr:uid="{00000000-0005-0000-0000-00003E3E0000}"/>
    <cellStyle name="Neutral 430" xfId="16011" xr:uid="{00000000-0005-0000-0000-00003F3E0000}"/>
    <cellStyle name="Neutral 431" xfId="16012" xr:uid="{00000000-0005-0000-0000-0000403E0000}"/>
    <cellStyle name="Neutral 432" xfId="16013" xr:uid="{00000000-0005-0000-0000-0000413E0000}"/>
    <cellStyle name="Neutral 433" xfId="16014" xr:uid="{00000000-0005-0000-0000-0000423E0000}"/>
    <cellStyle name="Neutral 434" xfId="16015" xr:uid="{00000000-0005-0000-0000-0000433E0000}"/>
    <cellStyle name="Neutral 435" xfId="16016" xr:uid="{00000000-0005-0000-0000-0000443E0000}"/>
    <cellStyle name="Neutral 436" xfId="16017" xr:uid="{00000000-0005-0000-0000-0000453E0000}"/>
    <cellStyle name="Neutral 437" xfId="16018" xr:uid="{00000000-0005-0000-0000-0000463E0000}"/>
    <cellStyle name="Neutral 438" xfId="16019" xr:uid="{00000000-0005-0000-0000-0000473E0000}"/>
    <cellStyle name="Neutral 439" xfId="16020" xr:uid="{00000000-0005-0000-0000-0000483E0000}"/>
    <cellStyle name="Neutral 44" xfId="16021" xr:uid="{00000000-0005-0000-0000-0000493E0000}"/>
    <cellStyle name="Neutral 440" xfId="16022" xr:uid="{00000000-0005-0000-0000-00004A3E0000}"/>
    <cellStyle name="Neutral 441" xfId="16023" xr:uid="{00000000-0005-0000-0000-00004B3E0000}"/>
    <cellStyle name="Neutral 442" xfId="16024" xr:uid="{00000000-0005-0000-0000-00004C3E0000}"/>
    <cellStyle name="Neutral 443" xfId="16025" xr:uid="{00000000-0005-0000-0000-00004D3E0000}"/>
    <cellStyle name="Neutral 444" xfId="16026" xr:uid="{00000000-0005-0000-0000-00004E3E0000}"/>
    <cellStyle name="Neutral 445" xfId="16027" xr:uid="{00000000-0005-0000-0000-00004F3E0000}"/>
    <cellStyle name="Neutral 446" xfId="16028" xr:uid="{00000000-0005-0000-0000-0000503E0000}"/>
    <cellStyle name="Neutral 447" xfId="16029" xr:uid="{00000000-0005-0000-0000-0000513E0000}"/>
    <cellStyle name="Neutral 448" xfId="16030" xr:uid="{00000000-0005-0000-0000-0000523E0000}"/>
    <cellStyle name="Neutral 449" xfId="16031" xr:uid="{00000000-0005-0000-0000-0000533E0000}"/>
    <cellStyle name="Neutral 45" xfId="16032" xr:uid="{00000000-0005-0000-0000-0000543E0000}"/>
    <cellStyle name="Neutral 450" xfId="16033" xr:uid="{00000000-0005-0000-0000-0000553E0000}"/>
    <cellStyle name="Neutral 451" xfId="16034" xr:uid="{00000000-0005-0000-0000-0000563E0000}"/>
    <cellStyle name="Neutral 452" xfId="16035" xr:uid="{00000000-0005-0000-0000-0000573E0000}"/>
    <cellStyle name="Neutral 453" xfId="16036" xr:uid="{00000000-0005-0000-0000-0000583E0000}"/>
    <cellStyle name="Neutral 454" xfId="16037" xr:uid="{00000000-0005-0000-0000-0000593E0000}"/>
    <cellStyle name="Neutral 455" xfId="16038" xr:uid="{00000000-0005-0000-0000-00005A3E0000}"/>
    <cellStyle name="Neutral 456" xfId="16039" xr:uid="{00000000-0005-0000-0000-00005B3E0000}"/>
    <cellStyle name="Neutral 457" xfId="16040" xr:uid="{00000000-0005-0000-0000-00005C3E0000}"/>
    <cellStyle name="Neutral 458" xfId="16041" xr:uid="{00000000-0005-0000-0000-00005D3E0000}"/>
    <cellStyle name="Neutral 459" xfId="16042" xr:uid="{00000000-0005-0000-0000-00005E3E0000}"/>
    <cellStyle name="Neutral 46" xfId="16043" xr:uid="{00000000-0005-0000-0000-00005F3E0000}"/>
    <cellStyle name="Neutral 460" xfId="16044" xr:uid="{00000000-0005-0000-0000-0000603E0000}"/>
    <cellStyle name="Neutral 461" xfId="16045" xr:uid="{00000000-0005-0000-0000-0000613E0000}"/>
    <cellStyle name="Neutral 462" xfId="16046" xr:uid="{00000000-0005-0000-0000-0000623E0000}"/>
    <cellStyle name="Neutral 463" xfId="16047" xr:uid="{00000000-0005-0000-0000-0000633E0000}"/>
    <cellStyle name="Neutral 464" xfId="16048" xr:uid="{00000000-0005-0000-0000-0000643E0000}"/>
    <cellStyle name="Neutral 465" xfId="16049" xr:uid="{00000000-0005-0000-0000-0000653E0000}"/>
    <cellStyle name="Neutral 466" xfId="16050" xr:uid="{00000000-0005-0000-0000-0000663E0000}"/>
    <cellStyle name="Neutral 467" xfId="16051" xr:uid="{00000000-0005-0000-0000-0000673E0000}"/>
    <cellStyle name="Neutral 468" xfId="16052" xr:uid="{00000000-0005-0000-0000-0000683E0000}"/>
    <cellStyle name="Neutral 469" xfId="16053" xr:uid="{00000000-0005-0000-0000-0000693E0000}"/>
    <cellStyle name="Neutral 47" xfId="16054" xr:uid="{00000000-0005-0000-0000-00006A3E0000}"/>
    <cellStyle name="Neutral 470" xfId="16055" xr:uid="{00000000-0005-0000-0000-00006B3E0000}"/>
    <cellStyle name="Neutral 471" xfId="16056" xr:uid="{00000000-0005-0000-0000-00006C3E0000}"/>
    <cellStyle name="Neutral 472" xfId="16057" xr:uid="{00000000-0005-0000-0000-00006D3E0000}"/>
    <cellStyle name="Neutral 473" xfId="16058" xr:uid="{00000000-0005-0000-0000-00006E3E0000}"/>
    <cellStyle name="Neutral 474" xfId="16059" xr:uid="{00000000-0005-0000-0000-00006F3E0000}"/>
    <cellStyle name="Neutral 475" xfId="16060" xr:uid="{00000000-0005-0000-0000-0000703E0000}"/>
    <cellStyle name="Neutral 476" xfId="16061" xr:uid="{00000000-0005-0000-0000-0000713E0000}"/>
    <cellStyle name="Neutral 477" xfId="16062" xr:uid="{00000000-0005-0000-0000-0000723E0000}"/>
    <cellStyle name="Neutral 478" xfId="16063" xr:uid="{00000000-0005-0000-0000-0000733E0000}"/>
    <cellStyle name="Neutral 479" xfId="16064" xr:uid="{00000000-0005-0000-0000-0000743E0000}"/>
    <cellStyle name="Neutral 48" xfId="16065" xr:uid="{00000000-0005-0000-0000-0000753E0000}"/>
    <cellStyle name="Neutral 480" xfId="16066" xr:uid="{00000000-0005-0000-0000-0000763E0000}"/>
    <cellStyle name="Neutral 481" xfId="16067" xr:uid="{00000000-0005-0000-0000-0000773E0000}"/>
    <cellStyle name="Neutral 482" xfId="16068" xr:uid="{00000000-0005-0000-0000-0000783E0000}"/>
    <cellStyle name="Neutral 483" xfId="16069" xr:uid="{00000000-0005-0000-0000-0000793E0000}"/>
    <cellStyle name="Neutral 484" xfId="16070" xr:uid="{00000000-0005-0000-0000-00007A3E0000}"/>
    <cellStyle name="Neutral 485" xfId="16071" xr:uid="{00000000-0005-0000-0000-00007B3E0000}"/>
    <cellStyle name="Neutral 486" xfId="16072" xr:uid="{00000000-0005-0000-0000-00007C3E0000}"/>
    <cellStyle name="Neutral 487" xfId="16073" xr:uid="{00000000-0005-0000-0000-00007D3E0000}"/>
    <cellStyle name="Neutral 488" xfId="16074" xr:uid="{00000000-0005-0000-0000-00007E3E0000}"/>
    <cellStyle name="Neutral 489" xfId="16075" xr:uid="{00000000-0005-0000-0000-00007F3E0000}"/>
    <cellStyle name="Neutral 49" xfId="16076" xr:uid="{00000000-0005-0000-0000-0000803E0000}"/>
    <cellStyle name="Neutral 490" xfId="16077" xr:uid="{00000000-0005-0000-0000-0000813E0000}"/>
    <cellStyle name="Neutral 491" xfId="16078" xr:uid="{00000000-0005-0000-0000-0000823E0000}"/>
    <cellStyle name="Neutral 492" xfId="16079" xr:uid="{00000000-0005-0000-0000-0000833E0000}"/>
    <cellStyle name="Neutral 493" xfId="16080" xr:uid="{00000000-0005-0000-0000-0000843E0000}"/>
    <cellStyle name="Neutral 494" xfId="16081" xr:uid="{00000000-0005-0000-0000-0000853E0000}"/>
    <cellStyle name="Neutral 495" xfId="16082" xr:uid="{00000000-0005-0000-0000-0000863E0000}"/>
    <cellStyle name="Neutral 496" xfId="16083" xr:uid="{00000000-0005-0000-0000-0000873E0000}"/>
    <cellStyle name="Neutral 497" xfId="16084" xr:uid="{00000000-0005-0000-0000-0000883E0000}"/>
    <cellStyle name="Neutral 498" xfId="16085" xr:uid="{00000000-0005-0000-0000-0000893E0000}"/>
    <cellStyle name="Neutral 499" xfId="16086" xr:uid="{00000000-0005-0000-0000-00008A3E0000}"/>
    <cellStyle name="Neutral 5" xfId="16087" xr:uid="{00000000-0005-0000-0000-00008B3E0000}"/>
    <cellStyle name="Neutral 50" xfId="16088" xr:uid="{00000000-0005-0000-0000-00008C3E0000}"/>
    <cellStyle name="Neutral 500" xfId="16089" xr:uid="{00000000-0005-0000-0000-00008D3E0000}"/>
    <cellStyle name="Neutral 501" xfId="16090" xr:uid="{00000000-0005-0000-0000-00008E3E0000}"/>
    <cellStyle name="Neutral 502" xfId="16091" xr:uid="{00000000-0005-0000-0000-00008F3E0000}"/>
    <cellStyle name="Neutral 503" xfId="16092" xr:uid="{00000000-0005-0000-0000-0000903E0000}"/>
    <cellStyle name="Neutral 504" xfId="16093" xr:uid="{00000000-0005-0000-0000-0000913E0000}"/>
    <cellStyle name="Neutral 505" xfId="16094" xr:uid="{00000000-0005-0000-0000-0000923E0000}"/>
    <cellStyle name="Neutral 506" xfId="16095" xr:uid="{00000000-0005-0000-0000-0000933E0000}"/>
    <cellStyle name="Neutral 507" xfId="16096" xr:uid="{00000000-0005-0000-0000-0000943E0000}"/>
    <cellStyle name="Neutral 508" xfId="16097" xr:uid="{00000000-0005-0000-0000-0000953E0000}"/>
    <cellStyle name="Neutral 509" xfId="16098" xr:uid="{00000000-0005-0000-0000-0000963E0000}"/>
    <cellStyle name="Neutral 51" xfId="16099" xr:uid="{00000000-0005-0000-0000-0000973E0000}"/>
    <cellStyle name="Neutral 510" xfId="16100" xr:uid="{00000000-0005-0000-0000-0000983E0000}"/>
    <cellStyle name="Neutral 511" xfId="16101" xr:uid="{00000000-0005-0000-0000-0000993E0000}"/>
    <cellStyle name="Neutral 512" xfId="16102" xr:uid="{00000000-0005-0000-0000-00009A3E0000}"/>
    <cellStyle name="Neutral 513" xfId="16103" xr:uid="{00000000-0005-0000-0000-00009B3E0000}"/>
    <cellStyle name="Neutral 514" xfId="16104" xr:uid="{00000000-0005-0000-0000-00009C3E0000}"/>
    <cellStyle name="Neutral 515" xfId="16105" xr:uid="{00000000-0005-0000-0000-00009D3E0000}"/>
    <cellStyle name="Neutral 516" xfId="16106" xr:uid="{00000000-0005-0000-0000-00009E3E0000}"/>
    <cellStyle name="Neutral 517" xfId="16107" xr:uid="{00000000-0005-0000-0000-00009F3E0000}"/>
    <cellStyle name="Neutral 518" xfId="16108" xr:uid="{00000000-0005-0000-0000-0000A03E0000}"/>
    <cellStyle name="Neutral 519" xfId="16109" xr:uid="{00000000-0005-0000-0000-0000A13E0000}"/>
    <cellStyle name="Neutral 52" xfId="16110" xr:uid="{00000000-0005-0000-0000-0000A23E0000}"/>
    <cellStyle name="Neutral 520" xfId="16111" xr:uid="{00000000-0005-0000-0000-0000A33E0000}"/>
    <cellStyle name="Neutral 521" xfId="16112" xr:uid="{00000000-0005-0000-0000-0000A43E0000}"/>
    <cellStyle name="Neutral 522" xfId="16113" xr:uid="{00000000-0005-0000-0000-0000A53E0000}"/>
    <cellStyle name="Neutral 523" xfId="16114" xr:uid="{00000000-0005-0000-0000-0000A63E0000}"/>
    <cellStyle name="Neutral 524" xfId="16115" xr:uid="{00000000-0005-0000-0000-0000A73E0000}"/>
    <cellStyle name="Neutral 525" xfId="16116" xr:uid="{00000000-0005-0000-0000-0000A83E0000}"/>
    <cellStyle name="Neutral 526" xfId="16117" xr:uid="{00000000-0005-0000-0000-0000A93E0000}"/>
    <cellStyle name="Neutral 527" xfId="16118" xr:uid="{00000000-0005-0000-0000-0000AA3E0000}"/>
    <cellStyle name="Neutral 528" xfId="16119" xr:uid="{00000000-0005-0000-0000-0000AB3E0000}"/>
    <cellStyle name="Neutral 529" xfId="16120" xr:uid="{00000000-0005-0000-0000-0000AC3E0000}"/>
    <cellStyle name="Neutral 53" xfId="16121" xr:uid="{00000000-0005-0000-0000-0000AD3E0000}"/>
    <cellStyle name="Neutral 530" xfId="16122" xr:uid="{00000000-0005-0000-0000-0000AE3E0000}"/>
    <cellStyle name="Neutral 531" xfId="16123" xr:uid="{00000000-0005-0000-0000-0000AF3E0000}"/>
    <cellStyle name="Neutral 532" xfId="16124" xr:uid="{00000000-0005-0000-0000-0000B03E0000}"/>
    <cellStyle name="Neutral 533" xfId="16125" xr:uid="{00000000-0005-0000-0000-0000B13E0000}"/>
    <cellStyle name="Neutral 534" xfId="16126" xr:uid="{00000000-0005-0000-0000-0000B23E0000}"/>
    <cellStyle name="Neutral 535" xfId="16127" xr:uid="{00000000-0005-0000-0000-0000B33E0000}"/>
    <cellStyle name="Neutral 536" xfId="16128" xr:uid="{00000000-0005-0000-0000-0000B43E0000}"/>
    <cellStyle name="Neutral 537" xfId="16129" xr:uid="{00000000-0005-0000-0000-0000B53E0000}"/>
    <cellStyle name="Neutral 538" xfId="16130" xr:uid="{00000000-0005-0000-0000-0000B63E0000}"/>
    <cellStyle name="Neutral 539" xfId="16131" xr:uid="{00000000-0005-0000-0000-0000B73E0000}"/>
    <cellStyle name="Neutral 54" xfId="16132" xr:uid="{00000000-0005-0000-0000-0000B83E0000}"/>
    <cellStyle name="Neutral 540" xfId="16133" xr:uid="{00000000-0005-0000-0000-0000B93E0000}"/>
    <cellStyle name="Neutral 541" xfId="16134" xr:uid="{00000000-0005-0000-0000-0000BA3E0000}"/>
    <cellStyle name="Neutral 542" xfId="16135" xr:uid="{00000000-0005-0000-0000-0000BB3E0000}"/>
    <cellStyle name="Neutral 543" xfId="16136" xr:uid="{00000000-0005-0000-0000-0000BC3E0000}"/>
    <cellStyle name="Neutral 544" xfId="16137" xr:uid="{00000000-0005-0000-0000-0000BD3E0000}"/>
    <cellStyle name="Neutral 545" xfId="16138" xr:uid="{00000000-0005-0000-0000-0000BE3E0000}"/>
    <cellStyle name="Neutral 546" xfId="16139" xr:uid="{00000000-0005-0000-0000-0000BF3E0000}"/>
    <cellStyle name="Neutral 547" xfId="16140" xr:uid="{00000000-0005-0000-0000-0000C03E0000}"/>
    <cellStyle name="Neutral 548" xfId="16141" xr:uid="{00000000-0005-0000-0000-0000C13E0000}"/>
    <cellStyle name="Neutral 549" xfId="16142" xr:uid="{00000000-0005-0000-0000-0000C23E0000}"/>
    <cellStyle name="Neutral 55" xfId="16143" xr:uid="{00000000-0005-0000-0000-0000C33E0000}"/>
    <cellStyle name="Neutral 550" xfId="16144" xr:uid="{00000000-0005-0000-0000-0000C43E0000}"/>
    <cellStyle name="Neutral 551" xfId="16145" xr:uid="{00000000-0005-0000-0000-0000C53E0000}"/>
    <cellStyle name="Neutral 552" xfId="16146" xr:uid="{00000000-0005-0000-0000-0000C63E0000}"/>
    <cellStyle name="Neutral 553" xfId="16147" xr:uid="{00000000-0005-0000-0000-0000C73E0000}"/>
    <cellStyle name="Neutral 554" xfId="16148" xr:uid="{00000000-0005-0000-0000-0000C83E0000}"/>
    <cellStyle name="Neutral 555" xfId="16149" xr:uid="{00000000-0005-0000-0000-0000C93E0000}"/>
    <cellStyle name="Neutral 556" xfId="16150" xr:uid="{00000000-0005-0000-0000-0000CA3E0000}"/>
    <cellStyle name="Neutral 557" xfId="16151" xr:uid="{00000000-0005-0000-0000-0000CB3E0000}"/>
    <cellStyle name="Neutral 558" xfId="16152" xr:uid="{00000000-0005-0000-0000-0000CC3E0000}"/>
    <cellStyle name="Neutral 559" xfId="16153" xr:uid="{00000000-0005-0000-0000-0000CD3E0000}"/>
    <cellStyle name="Neutral 56" xfId="16154" xr:uid="{00000000-0005-0000-0000-0000CE3E0000}"/>
    <cellStyle name="Neutral 560" xfId="16155" xr:uid="{00000000-0005-0000-0000-0000CF3E0000}"/>
    <cellStyle name="Neutral 561" xfId="16156" xr:uid="{00000000-0005-0000-0000-0000D03E0000}"/>
    <cellStyle name="Neutral 562" xfId="16157" xr:uid="{00000000-0005-0000-0000-0000D13E0000}"/>
    <cellStyle name="Neutral 563" xfId="16158" xr:uid="{00000000-0005-0000-0000-0000D23E0000}"/>
    <cellStyle name="Neutral 564" xfId="16159" xr:uid="{00000000-0005-0000-0000-0000D33E0000}"/>
    <cellStyle name="Neutral 565" xfId="16160" xr:uid="{00000000-0005-0000-0000-0000D43E0000}"/>
    <cellStyle name="Neutral 566" xfId="16161" xr:uid="{00000000-0005-0000-0000-0000D53E0000}"/>
    <cellStyle name="Neutral 567" xfId="16162" xr:uid="{00000000-0005-0000-0000-0000D63E0000}"/>
    <cellStyle name="Neutral 568" xfId="16163" xr:uid="{00000000-0005-0000-0000-0000D73E0000}"/>
    <cellStyle name="Neutral 569" xfId="16164" xr:uid="{00000000-0005-0000-0000-0000D83E0000}"/>
    <cellStyle name="Neutral 57" xfId="16165" xr:uid="{00000000-0005-0000-0000-0000D93E0000}"/>
    <cellStyle name="Neutral 570" xfId="16166" xr:uid="{00000000-0005-0000-0000-0000DA3E0000}"/>
    <cellStyle name="Neutral 571" xfId="16167" xr:uid="{00000000-0005-0000-0000-0000DB3E0000}"/>
    <cellStyle name="Neutral 572" xfId="16168" xr:uid="{00000000-0005-0000-0000-0000DC3E0000}"/>
    <cellStyle name="Neutral 573" xfId="16169" xr:uid="{00000000-0005-0000-0000-0000DD3E0000}"/>
    <cellStyle name="Neutral 574" xfId="16170" xr:uid="{00000000-0005-0000-0000-0000DE3E0000}"/>
    <cellStyle name="Neutral 575" xfId="16171" xr:uid="{00000000-0005-0000-0000-0000DF3E0000}"/>
    <cellStyle name="Neutral 576" xfId="16172" xr:uid="{00000000-0005-0000-0000-0000E03E0000}"/>
    <cellStyle name="Neutral 577" xfId="16173" xr:uid="{00000000-0005-0000-0000-0000E13E0000}"/>
    <cellStyle name="Neutral 578" xfId="16174" xr:uid="{00000000-0005-0000-0000-0000E23E0000}"/>
    <cellStyle name="Neutral 579" xfId="16175" xr:uid="{00000000-0005-0000-0000-0000E33E0000}"/>
    <cellStyle name="Neutral 58" xfId="16176" xr:uid="{00000000-0005-0000-0000-0000E43E0000}"/>
    <cellStyle name="Neutral 580" xfId="16177" xr:uid="{00000000-0005-0000-0000-0000E53E0000}"/>
    <cellStyle name="Neutral 581" xfId="16178" xr:uid="{00000000-0005-0000-0000-0000E63E0000}"/>
    <cellStyle name="Neutral 582" xfId="16179" xr:uid="{00000000-0005-0000-0000-0000E73E0000}"/>
    <cellStyle name="Neutral 583" xfId="16180" xr:uid="{00000000-0005-0000-0000-0000E83E0000}"/>
    <cellStyle name="Neutral 584" xfId="16181" xr:uid="{00000000-0005-0000-0000-0000E93E0000}"/>
    <cellStyle name="Neutral 585" xfId="16182" xr:uid="{00000000-0005-0000-0000-0000EA3E0000}"/>
    <cellStyle name="Neutral 586" xfId="16183" xr:uid="{00000000-0005-0000-0000-0000EB3E0000}"/>
    <cellStyle name="Neutral 587" xfId="16184" xr:uid="{00000000-0005-0000-0000-0000EC3E0000}"/>
    <cellStyle name="Neutral 588" xfId="16185" xr:uid="{00000000-0005-0000-0000-0000ED3E0000}"/>
    <cellStyle name="Neutral 589" xfId="16186" xr:uid="{00000000-0005-0000-0000-0000EE3E0000}"/>
    <cellStyle name="Neutral 59" xfId="16187" xr:uid="{00000000-0005-0000-0000-0000EF3E0000}"/>
    <cellStyle name="Neutral 590" xfId="16188" xr:uid="{00000000-0005-0000-0000-0000F03E0000}"/>
    <cellStyle name="Neutral 591" xfId="16189" xr:uid="{00000000-0005-0000-0000-0000F13E0000}"/>
    <cellStyle name="Neutral 592" xfId="16190" xr:uid="{00000000-0005-0000-0000-0000F23E0000}"/>
    <cellStyle name="Neutral 593" xfId="16191" xr:uid="{00000000-0005-0000-0000-0000F33E0000}"/>
    <cellStyle name="Neutral 594" xfId="16192" xr:uid="{00000000-0005-0000-0000-0000F43E0000}"/>
    <cellStyle name="Neutral 595" xfId="16193" xr:uid="{00000000-0005-0000-0000-0000F53E0000}"/>
    <cellStyle name="Neutral 596" xfId="16194" xr:uid="{00000000-0005-0000-0000-0000F63E0000}"/>
    <cellStyle name="Neutral 597" xfId="16195" xr:uid="{00000000-0005-0000-0000-0000F73E0000}"/>
    <cellStyle name="Neutral 598" xfId="16196" xr:uid="{00000000-0005-0000-0000-0000F83E0000}"/>
    <cellStyle name="Neutral 599" xfId="16197" xr:uid="{00000000-0005-0000-0000-0000F93E0000}"/>
    <cellStyle name="Neutral 6" xfId="16198" xr:uid="{00000000-0005-0000-0000-0000FA3E0000}"/>
    <cellStyle name="Neutral 60" xfId="16199" xr:uid="{00000000-0005-0000-0000-0000FB3E0000}"/>
    <cellStyle name="Neutral 600" xfId="16200" xr:uid="{00000000-0005-0000-0000-0000FC3E0000}"/>
    <cellStyle name="Neutral 601" xfId="16201" xr:uid="{00000000-0005-0000-0000-0000FD3E0000}"/>
    <cellStyle name="Neutral 602" xfId="16202" xr:uid="{00000000-0005-0000-0000-0000FE3E0000}"/>
    <cellStyle name="Neutral 603" xfId="16203" xr:uid="{00000000-0005-0000-0000-0000FF3E0000}"/>
    <cellStyle name="Neutral 604" xfId="16204" xr:uid="{00000000-0005-0000-0000-0000003F0000}"/>
    <cellStyle name="Neutral 605" xfId="16205" xr:uid="{00000000-0005-0000-0000-0000013F0000}"/>
    <cellStyle name="Neutral 606" xfId="16206" xr:uid="{00000000-0005-0000-0000-0000023F0000}"/>
    <cellStyle name="Neutral 607" xfId="16207" xr:uid="{00000000-0005-0000-0000-0000033F0000}"/>
    <cellStyle name="Neutral 608" xfId="16208" xr:uid="{00000000-0005-0000-0000-0000043F0000}"/>
    <cellStyle name="Neutral 609" xfId="16209" xr:uid="{00000000-0005-0000-0000-0000053F0000}"/>
    <cellStyle name="Neutral 61" xfId="16210" xr:uid="{00000000-0005-0000-0000-0000063F0000}"/>
    <cellStyle name="Neutral 610" xfId="16211" xr:uid="{00000000-0005-0000-0000-0000073F0000}"/>
    <cellStyle name="Neutral 611" xfId="16212" xr:uid="{00000000-0005-0000-0000-0000083F0000}"/>
    <cellStyle name="Neutral 612" xfId="16213" xr:uid="{00000000-0005-0000-0000-0000093F0000}"/>
    <cellStyle name="Neutral 613" xfId="16214" xr:uid="{00000000-0005-0000-0000-00000A3F0000}"/>
    <cellStyle name="Neutral 614" xfId="16215" xr:uid="{00000000-0005-0000-0000-00000B3F0000}"/>
    <cellStyle name="Neutral 615" xfId="16216" xr:uid="{00000000-0005-0000-0000-00000C3F0000}"/>
    <cellStyle name="Neutral 616" xfId="16217" xr:uid="{00000000-0005-0000-0000-00000D3F0000}"/>
    <cellStyle name="Neutral 617" xfId="16218" xr:uid="{00000000-0005-0000-0000-00000E3F0000}"/>
    <cellStyle name="Neutral 618" xfId="16219" xr:uid="{00000000-0005-0000-0000-00000F3F0000}"/>
    <cellStyle name="Neutral 619" xfId="16220" xr:uid="{00000000-0005-0000-0000-0000103F0000}"/>
    <cellStyle name="Neutral 62" xfId="16221" xr:uid="{00000000-0005-0000-0000-0000113F0000}"/>
    <cellStyle name="Neutral 620" xfId="16222" xr:uid="{00000000-0005-0000-0000-0000123F0000}"/>
    <cellStyle name="Neutral 621" xfId="16223" xr:uid="{00000000-0005-0000-0000-0000133F0000}"/>
    <cellStyle name="Neutral 622" xfId="16224" xr:uid="{00000000-0005-0000-0000-0000143F0000}"/>
    <cellStyle name="Neutral 623" xfId="16225" xr:uid="{00000000-0005-0000-0000-0000153F0000}"/>
    <cellStyle name="Neutral 624" xfId="16226" xr:uid="{00000000-0005-0000-0000-0000163F0000}"/>
    <cellStyle name="Neutral 625" xfId="16227" xr:uid="{00000000-0005-0000-0000-0000173F0000}"/>
    <cellStyle name="Neutral 626" xfId="16228" xr:uid="{00000000-0005-0000-0000-0000183F0000}"/>
    <cellStyle name="Neutral 627" xfId="16229" xr:uid="{00000000-0005-0000-0000-0000193F0000}"/>
    <cellStyle name="Neutral 628" xfId="16230" xr:uid="{00000000-0005-0000-0000-00001A3F0000}"/>
    <cellStyle name="Neutral 629" xfId="16231" xr:uid="{00000000-0005-0000-0000-00001B3F0000}"/>
    <cellStyle name="Neutral 63" xfId="16232" xr:uid="{00000000-0005-0000-0000-00001C3F0000}"/>
    <cellStyle name="Neutral 630" xfId="16233" xr:uid="{00000000-0005-0000-0000-00001D3F0000}"/>
    <cellStyle name="Neutral 631" xfId="16234" xr:uid="{00000000-0005-0000-0000-00001E3F0000}"/>
    <cellStyle name="Neutral 632" xfId="16235" xr:uid="{00000000-0005-0000-0000-00001F3F0000}"/>
    <cellStyle name="Neutral 633" xfId="16236" xr:uid="{00000000-0005-0000-0000-0000203F0000}"/>
    <cellStyle name="Neutral 634" xfId="16237" xr:uid="{00000000-0005-0000-0000-0000213F0000}"/>
    <cellStyle name="Neutral 635" xfId="16238" xr:uid="{00000000-0005-0000-0000-0000223F0000}"/>
    <cellStyle name="Neutral 636" xfId="16239" xr:uid="{00000000-0005-0000-0000-0000233F0000}"/>
    <cellStyle name="Neutral 637" xfId="16240" xr:uid="{00000000-0005-0000-0000-0000243F0000}"/>
    <cellStyle name="Neutral 638" xfId="16241" xr:uid="{00000000-0005-0000-0000-0000253F0000}"/>
    <cellStyle name="Neutral 639" xfId="16242" xr:uid="{00000000-0005-0000-0000-0000263F0000}"/>
    <cellStyle name="Neutral 64" xfId="16243" xr:uid="{00000000-0005-0000-0000-0000273F0000}"/>
    <cellStyle name="Neutral 640" xfId="16244" xr:uid="{00000000-0005-0000-0000-0000283F0000}"/>
    <cellStyle name="Neutral 641" xfId="16245" xr:uid="{00000000-0005-0000-0000-0000293F0000}"/>
    <cellStyle name="Neutral 642" xfId="16246" xr:uid="{00000000-0005-0000-0000-00002A3F0000}"/>
    <cellStyle name="Neutral 643" xfId="16247" xr:uid="{00000000-0005-0000-0000-00002B3F0000}"/>
    <cellStyle name="Neutral 644" xfId="16248" xr:uid="{00000000-0005-0000-0000-00002C3F0000}"/>
    <cellStyle name="Neutral 645" xfId="16249" xr:uid="{00000000-0005-0000-0000-00002D3F0000}"/>
    <cellStyle name="Neutral 646" xfId="16250" xr:uid="{00000000-0005-0000-0000-00002E3F0000}"/>
    <cellStyle name="Neutral 647" xfId="16251" xr:uid="{00000000-0005-0000-0000-00002F3F0000}"/>
    <cellStyle name="Neutral 648" xfId="16252" xr:uid="{00000000-0005-0000-0000-0000303F0000}"/>
    <cellStyle name="Neutral 649" xfId="16253" xr:uid="{00000000-0005-0000-0000-0000313F0000}"/>
    <cellStyle name="Neutral 65" xfId="16254" xr:uid="{00000000-0005-0000-0000-0000323F0000}"/>
    <cellStyle name="Neutral 650" xfId="16255" xr:uid="{00000000-0005-0000-0000-0000333F0000}"/>
    <cellStyle name="Neutral 651" xfId="16256" xr:uid="{00000000-0005-0000-0000-0000343F0000}"/>
    <cellStyle name="Neutral 652" xfId="16257" xr:uid="{00000000-0005-0000-0000-0000353F0000}"/>
    <cellStyle name="Neutral 653" xfId="16258" xr:uid="{00000000-0005-0000-0000-0000363F0000}"/>
    <cellStyle name="Neutral 654" xfId="16259" xr:uid="{00000000-0005-0000-0000-0000373F0000}"/>
    <cellStyle name="Neutral 655" xfId="16260" xr:uid="{00000000-0005-0000-0000-0000383F0000}"/>
    <cellStyle name="Neutral 656" xfId="16261" xr:uid="{00000000-0005-0000-0000-0000393F0000}"/>
    <cellStyle name="Neutral 657" xfId="16262" xr:uid="{00000000-0005-0000-0000-00003A3F0000}"/>
    <cellStyle name="Neutral 658" xfId="16263" xr:uid="{00000000-0005-0000-0000-00003B3F0000}"/>
    <cellStyle name="Neutral 659" xfId="16264" xr:uid="{00000000-0005-0000-0000-00003C3F0000}"/>
    <cellStyle name="Neutral 66" xfId="16265" xr:uid="{00000000-0005-0000-0000-00003D3F0000}"/>
    <cellStyle name="Neutral 660" xfId="16266" xr:uid="{00000000-0005-0000-0000-00003E3F0000}"/>
    <cellStyle name="Neutral 661" xfId="16267" xr:uid="{00000000-0005-0000-0000-00003F3F0000}"/>
    <cellStyle name="Neutral 662" xfId="16268" xr:uid="{00000000-0005-0000-0000-0000403F0000}"/>
    <cellStyle name="Neutral 663" xfId="16269" xr:uid="{00000000-0005-0000-0000-0000413F0000}"/>
    <cellStyle name="Neutral 664" xfId="16270" xr:uid="{00000000-0005-0000-0000-0000423F0000}"/>
    <cellStyle name="Neutral 665" xfId="16271" xr:uid="{00000000-0005-0000-0000-0000433F0000}"/>
    <cellStyle name="Neutral 666" xfId="16272" xr:uid="{00000000-0005-0000-0000-0000443F0000}"/>
    <cellStyle name="Neutral 667" xfId="16273" xr:uid="{00000000-0005-0000-0000-0000453F0000}"/>
    <cellStyle name="Neutral 668" xfId="16274" xr:uid="{00000000-0005-0000-0000-0000463F0000}"/>
    <cellStyle name="Neutral 669" xfId="16275" xr:uid="{00000000-0005-0000-0000-0000473F0000}"/>
    <cellStyle name="Neutral 67" xfId="16276" xr:uid="{00000000-0005-0000-0000-0000483F0000}"/>
    <cellStyle name="Neutral 670" xfId="16277" xr:uid="{00000000-0005-0000-0000-0000493F0000}"/>
    <cellStyle name="Neutral 671" xfId="16278" xr:uid="{00000000-0005-0000-0000-00004A3F0000}"/>
    <cellStyle name="Neutral 672" xfId="16279" xr:uid="{00000000-0005-0000-0000-00004B3F0000}"/>
    <cellStyle name="Neutral 673" xfId="16280" xr:uid="{00000000-0005-0000-0000-00004C3F0000}"/>
    <cellStyle name="Neutral 674" xfId="16281" xr:uid="{00000000-0005-0000-0000-00004D3F0000}"/>
    <cellStyle name="Neutral 675" xfId="16282" xr:uid="{00000000-0005-0000-0000-00004E3F0000}"/>
    <cellStyle name="Neutral 676" xfId="16283" xr:uid="{00000000-0005-0000-0000-00004F3F0000}"/>
    <cellStyle name="Neutral 677" xfId="16284" xr:uid="{00000000-0005-0000-0000-0000503F0000}"/>
    <cellStyle name="Neutral 678" xfId="16285" xr:uid="{00000000-0005-0000-0000-0000513F0000}"/>
    <cellStyle name="Neutral 679" xfId="16286" xr:uid="{00000000-0005-0000-0000-0000523F0000}"/>
    <cellStyle name="Neutral 68" xfId="16287" xr:uid="{00000000-0005-0000-0000-0000533F0000}"/>
    <cellStyle name="Neutral 680" xfId="16288" xr:uid="{00000000-0005-0000-0000-0000543F0000}"/>
    <cellStyle name="Neutral 681" xfId="16289" xr:uid="{00000000-0005-0000-0000-0000553F0000}"/>
    <cellStyle name="Neutral 682" xfId="16290" xr:uid="{00000000-0005-0000-0000-0000563F0000}"/>
    <cellStyle name="Neutral 683" xfId="16291" xr:uid="{00000000-0005-0000-0000-0000573F0000}"/>
    <cellStyle name="Neutral 684" xfId="16292" xr:uid="{00000000-0005-0000-0000-0000583F0000}"/>
    <cellStyle name="Neutral 685" xfId="16293" xr:uid="{00000000-0005-0000-0000-0000593F0000}"/>
    <cellStyle name="Neutral 686" xfId="16294" xr:uid="{00000000-0005-0000-0000-00005A3F0000}"/>
    <cellStyle name="Neutral 687" xfId="16295" xr:uid="{00000000-0005-0000-0000-00005B3F0000}"/>
    <cellStyle name="Neutral 688" xfId="16296" xr:uid="{00000000-0005-0000-0000-00005C3F0000}"/>
    <cellStyle name="Neutral 689" xfId="16297" xr:uid="{00000000-0005-0000-0000-00005D3F0000}"/>
    <cellStyle name="Neutral 69" xfId="16298" xr:uid="{00000000-0005-0000-0000-00005E3F0000}"/>
    <cellStyle name="Neutral 690" xfId="16299" xr:uid="{00000000-0005-0000-0000-00005F3F0000}"/>
    <cellStyle name="Neutral 691" xfId="16300" xr:uid="{00000000-0005-0000-0000-0000603F0000}"/>
    <cellStyle name="Neutral 692" xfId="16301" xr:uid="{00000000-0005-0000-0000-0000613F0000}"/>
    <cellStyle name="Neutral 693" xfId="16302" xr:uid="{00000000-0005-0000-0000-0000623F0000}"/>
    <cellStyle name="Neutral 694" xfId="16303" xr:uid="{00000000-0005-0000-0000-0000633F0000}"/>
    <cellStyle name="Neutral 695" xfId="16304" xr:uid="{00000000-0005-0000-0000-0000643F0000}"/>
    <cellStyle name="Neutral 696" xfId="16305" xr:uid="{00000000-0005-0000-0000-0000653F0000}"/>
    <cellStyle name="Neutral 697" xfId="16306" xr:uid="{00000000-0005-0000-0000-0000663F0000}"/>
    <cellStyle name="Neutral 698" xfId="16307" xr:uid="{00000000-0005-0000-0000-0000673F0000}"/>
    <cellStyle name="Neutral 699" xfId="16308" xr:uid="{00000000-0005-0000-0000-0000683F0000}"/>
    <cellStyle name="Neutral 7" xfId="16309" xr:uid="{00000000-0005-0000-0000-0000693F0000}"/>
    <cellStyle name="Neutral 70" xfId="16310" xr:uid="{00000000-0005-0000-0000-00006A3F0000}"/>
    <cellStyle name="Neutral 700" xfId="16311" xr:uid="{00000000-0005-0000-0000-00006B3F0000}"/>
    <cellStyle name="Neutral 701" xfId="16312" xr:uid="{00000000-0005-0000-0000-00006C3F0000}"/>
    <cellStyle name="Neutral 702" xfId="16313" xr:uid="{00000000-0005-0000-0000-00006D3F0000}"/>
    <cellStyle name="Neutral 703" xfId="16314" xr:uid="{00000000-0005-0000-0000-00006E3F0000}"/>
    <cellStyle name="Neutral 704" xfId="16315" xr:uid="{00000000-0005-0000-0000-00006F3F0000}"/>
    <cellStyle name="Neutral 705" xfId="16316" xr:uid="{00000000-0005-0000-0000-0000703F0000}"/>
    <cellStyle name="Neutral 706" xfId="16317" xr:uid="{00000000-0005-0000-0000-0000713F0000}"/>
    <cellStyle name="Neutral 707" xfId="16318" xr:uid="{00000000-0005-0000-0000-0000723F0000}"/>
    <cellStyle name="Neutral 708" xfId="16319" xr:uid="{00000000-0005-0000-0000-0000733F0000}"/>
    <cellStyle name="Neutral 709" xfId="16320" xr:uid="{00000000-0005-0000-0000-0000743F0000}"/>
    <cellStyle name="Neutral 71" xfId="16321" xr:uid="{00000000-0005-0000-0000-0000753F0000}"/>
    <cellStyle name="Neutral 710" xfId="16322" xr:uid="{00000000-0005-0000-0000-0000763F0000}"/>
    <cellStyle name="Neutral 711" xfId="16323" xr:uid="{00000000-0005-0000-0000-0000773F0000}"/>
    <cellStyle name="Neutral 712" xfId="16324" xr:uid="{00000000-0005-0000-0000-0000783F0000}"/>
    <cellStyle name="Neutral 713" xfId="16325" xr:uid="{00000000-0005-0000-0000-0000793F0000}"/>
    <cellStyle name="Neutral 714" xfId="16326" xr:uid="{00000000-0005-0000-0000-00007A3F0000}"/>
    <cellStyle name="Neutral 715" xfId="16327" xr:uid="{00000000-0005-0000-0000-00007B3F0000}"/>
    <cellStyle name="Neutral 716" xfId="16328" xr:uid="{00000000-0005-0000-0000-00007C3F0000}"/>
    <cellStyle name="Neutral 717" xfId="16329" xr:uid="{00000000-0005-0000-0000-00007D3F0000}"/>
    <cellStyle name="Neutral 718" xfId="16330" xr:uid="{00000000-0005-0000-0000-00007E3F0000}"/>
    <cellStyle name="Neutral 719" xfId="16331" xr:uid="{00000000-0005-0000-0000-00007F3F0000}"/>
    <cellStyle name="Neutral 72" xfId="16332" xr:uid="{00000000-0005-0000-0000-0000803F0000}"/>
    <cellStyle name="Neutral 720" xfId="16333" xr:uid="{00000000-0005-0000-0000-0000813F0000}"/>
    <cellStyle name="Neutral 721" xfId="16334" xr:uid="{00000000-0005-0000-0000-0000823F0000}"/>
    <cellStyle name="Neutral 722" xfId="16335" xr:uid="{00000000-0005-0000-0000-0000833F0000}"/>
    <cellStyle name="Neutral 723" xfId="16336" xr:uid="{00000000-0005-0000-0000-0000843F0000}"/>
    <cellStyle name="Neutral 724" xfId="16337" xr:uid="{00000000-0005-0000-0000-0000853F0000}"/>
    <cellStyle name="Neutral 725" xfId="16338" xr:uid="{00000000-0005-0000-0000-0000863F0000}"/>
    <cellStyle name="Neutral 726" xfId="16339" xr:uid="{00000000-0005-0000-0000-0000873F0000}"/>
    <cellStyle name="Neutral 727" xfId="16340" xr:uid="{00000000-0005-0000-0000-0000883F0000}"/>
    <cellStyle name="Neutral 728" xfId="16341" xr:uid="{00000000-0005-0000-0000-0000893F0000}"/>
    <cellStyle name="Neutral 729" xfId="16342" xr:uid="{00000000-0005-0000-0000-00008A3F0000}"/>
    <cellStyle name="Neutral 73" xfId="16343" xr:uid="{00000000-0005-0000-0000-00008B3F0000}"/>
    <cellStyle name="Neutral 730" xfId="16344" xr:uid="{00000000-0005-0000-0000-00008C3F0000}"/>
    <cellStyle name="Neutral 731" xfId="16345" xr:uid="{00000000-0005-0000-0000-00008D3F0000}"/>
    <cellStyle name="Neutral 732" xfId="16346" xr:uid="{00000000-0005-0000-0000-00008E3F0000}"/>
    <cellStyle name="Neutral 733" xfId="16347" xr:uid="{00000000-0005-0000-0000-00008F3F0000}"/>
    <cellStyle name="Neutral 734" xfId="16348" xr:uid="{00000000-0005-0000-0000-0000903F0000}"/>
    <cellStyle name="Neutral 735" xfId="16349" xr:uid="{00000000-0005-0000-0000-0000913F0000}"/>
    <cellStyle name="Neutral 736" xfId="16350" xr:uid="{00000000-0005-0000-0000-0000923F0000}"/>
    <cellStyle name="Neutral 737" xfId="16351" xr:uid="{00000000-0005-0000-0000-0000933F0000}"/>
    <cellStyle name="Neutral 738" xfId="16352" xr:uid="{00000000-0005-0000-0000-0000943F0000}"/>
    <cellStyle name="Neutral 739" xfId="16353" xr:uid="{00000000-0005-0000-0000-0000953F0000}"/>
    <cellStyle name="Neutral 74" xfId="16354" xr:uid="{00000000-0005-0000-0000-0000963F0000}"/>
    <cellStyle name="Neutral 740" xfId="16355" xr:uid="{00000000-0005-0000-0000-0000973F0000}"/>
    <cellStyle name="Neutral 741" xfId="16356" xr:uid="{00000000-0005-0000-0000-0000983F0000}"/>
    <cellStyle name="Neutral 742" xfId="16357" xr:uid="{00000000-0005-0000-0000-0000993F0000}"/>
    <cellStyle name="Neutral 743" xfId="16358" xr:uid="{00000000-0005-0000-0000-00009A3F0000}"/>
    <cellStyle name="Neutral 744" xfId="16359" xr:uid="{00000000-0005-0000-0000-00009B3F0000}"/>
    <cellStyle name="Neutral 745" xfId="16360" xr:uid="{00000000-0005-0000-0000-00009C3F0000}"/>
    <cellStyle name="Neutral 746" xfId="16361" xr:uid="{00000000-0005-0000-0000-00009D3F0000}"/>
    <cellStyle name="Neutral 747" xfId="16362" xr:uid="{00000000-0005-0000-0000-00009E3F0000}"/>
    <cellStyle name="Neutral 748" xfId="16363" xr:uid="{00000000-0005-0000-0000-00009F3F0000}"/>
    <cellStyle name="Neutral 749" xfId="16364" xr:uid="{00000000-0005-0000-0000-0000A03F0000}"/>
    <cellStyle name="Neutral 75" xfId="16365" xr:uid="{00000000-0005-0000-0000-0000A13F0000}"/>
    <cellStyle name="Neutral 750" xfId="16366" xr:uid="{00000000-0005-0000-0000-0000A23F0000}"/>
    <cellStyle name="Neutral 751" xfId="16367" xr:uid="{00000000-0005-0000-0000-0000A33F0000}"/>
    <cellStyle name="Neutral 752" xfId="16368" xr:uid="{00000000-0005-0000-0000-0000A43F0000}"/>
    <cellStyle name="Neutral 753" xfId="16369" xr:uid="{00000000-0005-0000-0000-0000A53F0000}"/>
    <cellStyle name="Neutral 754" xfId="16370" xr:uid="{00000000-0005-0000-0000-0000A63F0000}"/>
    <cellStyle name="Neutral 755" xfId="16371" xr:uid="{00000000-0005-0000-0000-0000A73F0000}"/>
    <cellStyle name="Neutral 756" xfId="16372" xr:uid="{00000000-0005-0000-0000-0000A83F0000}"/>
    <cellStyle name="Neutral 757" xfId="16373" xr:uid="{00000000-0005-0000-0000-0000A93F0000}"/>
    <cellStyle name="Neutral 758" xfId="16374" xr:uid="{00000000-0005-0000-0000-0000AA3F0000}"/>
    <cellStyle name="Neutral 759" xfId="16375" xr:uid="{00000000-0005-0000-0000-0000AB3F0000}"/>
    <cellStyle name="Neutral 76" xfId="16376" xr:uid="{00000000-0005-0000-0000-0000AC3F0000}"/>
    <cellStyle name="Neutral 760" xfId="16377" xr:uid="{00000000-0005-0000-0000-0000AD3F0000}"/>
    <cellStyle name="Neutral 761" xfId="16378" xr:uid="{00000000-0005-0000-0000-0000AE3F0000}"/>
    <cellStyle name="Neutral 762" xfId="16379" xr:uid="{00000000-0005-0000-0000-0000AF3F0000}"/>
    <cellStyle name="Neutral 763" xfId="16380" xr:uid="{00000000-0005-0000-0000-0000B03F0000}"/>
    <cellStyle name="Neutral 764" xfId="16381" xr:uid="{00000000-0005-0000-0000-0000B13F0000}"/>
    <cellStyle name="Neutral 765" xfId="16382" xr:uid="{00000000-0005-0000-0000-0000B23F0000}"/>
    <cellStyle name="Neutral 766" xfId="16383" xr:uid="{00000000-0005-0000-0000-0000B33F0000}"/>
    <cellStyle name="Neutral 767" xfId="16384" xr:uid="{00000000-0005-0000-0000-0000B43F0000}"/>
    <cellStyle name="Neutral 768" xfId="16385" xr:uid="{00000000-0005-0000-0000-0000B53F0000}"/>
    <cellStyle name="Neutral 769" xfId="16386" xr:uid="{00000000-0005-0000-0000-0000B63F0000}"/>
    <cellStyle name="Neutral 77" xfId="16387" xr:uid="{00000000-0005-0000-0000-0000B73F0000}"/>
    <cellStyle name="Neutral 770" xfId="16388" xr:uid="{00000000-0005-0000-0000-0000B83F0000}"/>
    <cellStyle name="Neutral 771" xfId="16389" xr:uid="{00000000-0005-0000-0000-0000B93F0000}"/>
    <cellStyle name="Neutral 772" xfId="16390" xr:uid="{00000000-0005-0000-0000-0000BA3F0000}"/>
    <cellStyle name="Neutral 773" xfId="16391" xr:uid="{00000000-0005-0000-0000-0000BB3F0000}"/>
    <cellStyle name="Neutral 774" xfId="16392" xr:uid="{00000000-0005-0000-0000-0000BC3F0000}"/>
    <cellStyle name="Neutral 775" xfId="16393" xr:uid="{00000000-0005-0000-0000-0000BD3F0000}"/>
    <cellStyle name="Neutral 776" xfId="16394" xr:uid="{00000000-0005-0000-0000-0000BE3F0000}"/>
    <cellStyle name="Neutral 777" xfId="16395" xr:uid="{00000000-0005-0000-0000-0000BF3F0000}"/>
    <cellStyle name="Neutral 778" xfId="16396" xr:uid="{00000000-0005-0000-0000-0000C03F0000}"/>
    <cellStyle name="Neutral 779" xfId="16397" xr:uid="{00000000-0005-0000-0000-0000C13F0000}"/>
    <cellStyle name="Neutral 78" xfId="16398" xr:uid="{00000000-0005-0000-0000-0000C23F0000}"/>
    <cellStyle name="Neutral 780" xfId="16399" xr:uid="{00000000-0005-0000-0000-0000C33F0000}"/>
    <cellStyle name="Neutral 781" xfId="16400" xr:uid="{00000000-0005-0000-0000-0000C43F0000}"/>
    <cellStyle name="Neutral 782" xfId="16401" xr:uid="{00000000-0005-0000-0000-0000C53F0000}"/>
    <cellStyle name="Neutral 783" xfId="16402" xr:uid="{00000000-0005-0000-0000-0000C63F0000}"/>
    <cellStyle name="Neutral 784" xfId="16403" xr:uid="{00000000-0005-0000-0000-0000C73F0000}"/>
    <cellStyle name="Neutral 785" xfId="16404" xr:uid="{00000000-0005-0000-0000-0000C83F0000}"/>
    <cellStyle name="Neutral 786" xfId="16405" xr:uid="{00000000-0005-0000-0000-0000C93F0000}"/>
    <cellStyle name="Neutral 787" xfId="16406" xr:uid="{00000000-0005-0000-0000-0000CA3F0000}"/>
    <cellStyle name="Neutral 788" xfId="16407" xr:uid="{00000000-0005-0000-0000-0000CB3F0000}"/>
    <cellStyle name="Neutral 789" xfId="16408" xr:uid="{00000000-0005-0000-0000-0000CC3F0000}"/>
    <cellStyle name="Neutral 79" xfId="16409" xr:uid="{00000000-0005-0000-0000-0000CD3F0000}"/>
    <cellStyle name="Neutral 790" xfId="16410" xr:uid="{00000000-0005-0000-0000-0000CE3F0000}"/>
    <cellStyle name="Neutral 791" xfId="16411" xr:uid="{00000000-0005-0000-0000-0000CF3F0000}"/>
    <cellStyle name="Neutral 792" xfId="16412" xr:uid="{00000000-0005-0000-0000-0000D03F0000}"/>
    <cellStyle name="Neutral 793" xfId="16413" xr:uid="{00000000-0005-0000-0000-0000D13F0000}"/>
    <cellStyle name="Neutral 794" xfId="16414" xr:uid="{00000000-0005-0000-0000-0000D23F0000}"/>
    <cellStyle name="Neutral 795" xfId="16415" xr:uid="{00000000-0005-0000-0000-0000D33F0000}"/>
    <cellStyle name="Neutral 796" xfId="16416" xr:uid="{00000000-0005-0000-0000-0000D43F0000}"/>
    <cellStyle name="Neutral 797" xfId="16417" xr:uid="{00000000-0005-0000-0000-0000D53F0000}"/>
    <cellStyle name="Neutral 798" xfId="16418" xr:uid="{00000000-0005-0000-0000-0000D63F0000}"/>
    <cellStyle name="Neutral 799" xfId="16419" xr:uid="{00000000-0005-0000-0000-0000D73F0000}"/>
    <cellStyle name="Neutral 8" xfId="16420" xr:uid="{00000000-0005-0000-0000-0000D83F0000}"/>
    <cellStyle name="Neutral 80" xfId="16421" xr:uid="{00000000-0005-0000-0000-0000D93F0000}"/>
    <cellStyle name="Neutral 800" xfId="16422" xr:uid="{00000000-0005-0000-0000-0000DA3F0000}"/>
    <cellStyle name="Neutral 801" xfId="16423" xr:uid="{00000000-0005-0000-0000-0000DB3F0000}"/>
    <cellStyle name="Neutral 802" xfId="16424" xr:uid="{00000000-0005-0000-0000-0000DC3F0000}"/>
    <cellStyle name="Neutral 803" xfId="16425" xr:uid="{00000000-0005-0000-0000-0000DD3F0000}"/>
    <cellStyle name="Neutral 804" xfId="16426" xr:uid="{00000000-0005-0000-0000-0000DE3F0000}"/>
    <cellStyle name="Neutral 805" xfId="16427" xr:uid="{00000000-0005-0000-0000-0000DF3F0000}"/>
    <cellStyle name="Neutral 806" xfId="16428" xr:uid="{00000000-0005-0000-0000-0000E03F0000}"/>
    <cellStyle name="Neutral 807" xfId="16429" xr:uid="{00000000-0005-0000-0000-0000E13F0000}"/>
    <cellStyle name="Neutral 808" xfId="16430" xr:uid="{00000000-0005-0000-0000-0000E23F0000}"/>
    <cellStyle name="Neutral 809" xfId="16431" xr:uid="{00000000-0005-0000-0000-0000E33F0000}"/>
    <cellStyle name="Neutral 81" xfId="16432" xr:uid="{00000000-0005-0000-0000-0000E43F0000}"/>
    <cellStyle name="Neutral 810" xfId="16433" xr:uid="{00000000-0005-0000-0000-0000E53F0000}"/>
    <cellStyle name="Neutral 811" xfId="16434" xr:uid="{00000000-0005-0000-0000-0000E63F0000}"/>
    <cellStyle name="Neutral 812" xfId="16435" xr:uid="{00000000-0005-0000-0000-0000E73F0000}"/>
    <cellStyle name="Neutral 813" xfId="16436" xr:uid="{00000000-0005-0000-0000-0000E83F0000}"/>
    <cellStyle name="Neutral 814" xfId="16437" xr:uid="{00000000-0005-0000-0000-0000E93F0000}"/>
    <cellStyle name="Neutral 815" xfId="16438" xr:uid="{00000000-0005-0000-0000-0000EA3F0000}"/>
    <cellStyle name="Neutral 816" xfId="16439" xr:uid="{00000000-0005-0000-0000-0000EB3F0000}"/>
    <cellStyle name="Neutral 817" xfId="16440" xr:uid="{00000000-0005-0000-0000-0000EC3F0000}"/>
    <cellStyle name="Neutral 818" xfId="16441" xr:uid="{00000000-0005-0000-0000-0000ED3F0000}"/>
    <cellStyle name="Neutral 819" xfId="16442" xr:uid="{00000000-0005-0000-0000-0000EE3F0000}"/>
    <cellStyle name="Neutral 82" xfId="16443" xr:uid="{00000000-0005-0000-0000-0000EF3F0000}"/>
    <cellStyle name="Neutral 820" xfId="16444" xr:uid="{00000000-0005-0000-0000-0000F03F0000}"/>
    <cellStyle name="Neutral 821" xfId="16445" xr:uid="{00000000-0005-0000-0000-0000F13F0000}"/>
    <cellStyle name="Neutral 822" xfId="16446" xr:uid="{00000000-0005-0000-0000-0000F23F0000}"/>
    <cellStyle name="Neutral 823" xfId="16447" xr:uid="{00000000-0005-0000-0000-0000F33F0000}"/>
    <cellStyle name="Neutral 824" xfId="16448" xr:uid="{00000000-0005-0000-0000-0000F43F0000}"/>
    <cellStyle name="Neutral 825" xfId="16449" xr:uid="{00000000-0005-0000-0000-0000F53F0000}"/>
    <cellStyle name="Neutral 826" xfId="16450" xr:uid="{00000000-0005-0000-0000-0000F63F0000}"/>
    <cellStyle name="Neutral 827" xfId="16451" xr:uid="{00000000-0005-0000-0000-0000F73F0000}"/>
    <cellStyle name="Neutral 828" xfId="16452" xr:uid="{00000000-0005-0000-0000-0000F83F0000}"/>
    <cellStyle name="Neutral 829" xfId="16453" xr:uid="{00000000-0005-0000-0000-0000F93F0000}"/>
    <cellStyle name="Neutral 83" xfId="16454" xr:uid="{00000000-0005-0000-0000-0000FA3F0000}"/>
    <cellStyle name="Neutral 830" xfId="16455" xr:uid="{00000000-0005-0000-0000-0000FB3F0000}"/>
    <cellStyle name="Neutral 831" xfId="16456" xr:uid="{00000000-0005-0000-0000-0000FC3F0000}"/>
    <cellStyle name="Neutral 832" xfId="16457" xr:uid="{00000000-0005-0000-0000-0000FD3F0000}"/>
    <cellStyle name="Neutral 833" xfId="16458" xr:uid="{00000000-0005-0000-0000-0000FE3F0000}"/>
    <cellStyle name="Neutral 834" xfId="16459" xr:uid="{00000000-0005-0000-0000-0000FF3F0000}"/>
    <cellStyle name="Neutral 835" xfId="16460" xr:uid="{00000000-0005-0000-0000-000000400000}"/>
    <cellStyle name="Neutral 836" xfId="16461" xr:uid="{00000000-0005-0000-0000-000001400000}"/>
    <cellStyle name="Neutral 837" xfId="16462" xr:uid="{00000000-0005-0000-0000-000002400000}"/>
    <cellStyle name="Neutral 838" xfId="16463" xr:uid="{00000000-0005-0000-0000-000003400000}"/>
    <cellStyle name="Neutral 839" xfId="16464" xr:uid="{00000000-0005-0000-0000-000004400000}"/>
    <cellStyle name="Neutral 84" xfId="16465" xr:uid="{00000000-0005-0000-0000-000005400000}"/>
    <cellStyle name="Neutral 840" xfId="16466" xr:uid="{00000000-0005-0000-0000-000006400000}"/>
    <cellStyle name="Neutral 841" xfId="16467" xr:uid="{00000000-0005-0000-0000-000007400000}"/>
    <cellStyle name="Neutral 842" xfId="16468" xr:uid="{00000000-0005-0000-0000-000008400000}"/>
    <cellStyle name="Neutral 843" xfId="16469" xr:uid="{00000000-0005-0000-0000-000009400000}"/>
    <cellStyle name="Neutral 844" xfId="16470" xr:uid="{00000000-0005-0000-0000-00000A400000}"/>
    <cellStyle name="Neutral 845" xfId="16471" xr:uid="{00000000-0005-0000-0000-00000B400000}"/>
    <cellStyle name="Neutral 846" xfId="16472" xr:uid="{00000000-0005-0000-0000-00000C400000}"/>
    <cellStyle name="Neutral 847" xfId="16473" xr:uid="{00000000-0005-0000-0000-00000D400000}"/>
    <cellStyle name="Neutral 848" xfId="16474" xr:uid="{00000000-0005-0000-0000-00000E400000}"/>
    <cellStyle name="Neutral 849" xfId="16475" xr:uid="{00000000-0005-0000-0000-00000F400000}"/>
    <cellStyle name="Neutral 85" xfId="16476" xr:uid="{00000000-0005-0000-0000-000010400000}"/>
    <cellStyle name="Neutral 850" xfId="16477" xr:uid="{00000000-0005-0000-0000-000011400000}"/>
    <cellStyle name="Neutral 851" xfId="16478" xr:uid="{00000000-0005-0000-0000-000012400000}"/>
    <cellStyle name="Neutral 852" xfId="16479" xr:uid="{00000000-0005-0000-0000-000013400000}"/>
    <cellStyle name="Neutral 853" xfId="16480" xr:uid="{00000000-0005-0000-0000-000014400000}"/>
    <cellStyle name="Neutral 854" xfId="16481" xr:uid="{00000000-0005-0000-0000-000015400000}"/>
    <cellStyle name="Neutral 855" xfId="16482" xr:uid="{00000000-0005-0000-0000-000016400000}"/>
    <cellStyle name="Neutral 856" xfId="16483" xr:uid="{00000000-0005-0000-0000-000017400000}"/>
    <cellStyle name="Neutral 857" xfId="16484" xr:uid="{00000000-0005-0000-0000-000018400000}"/>
    <cellStyle name="Neutral 858" xfId="16485" xr:uid="{00000000-0005-0000-0000-000019400000}"/>
    <cellStyle name="Neutral 859" xfId="16486" xr:uid="{00000000-0005-0000-0000-00001A400000}"/>
    <cellStyle name="Neutral 86" xfId="16487" xr:uid="{00000000-0005-0000-0000-00001B400000}"/>
    <cellStyle name="Neutral 860" xfId="16488" xr:uid="{00000000-0005-0000-0000-00001C400000}"/>
    <cellStyle name="Neutral 861" xfId="16489" xr:uid="{00000000-0005-0000-0000-00001D400000}"/>
    <cellStyle name="Neutral 862" xfId="16490" xr:uid="{00000000-0005-0000-0000-00001E400000}"/>
    <cellStyle name="Neutral 863" xfId="16491" xr:uid="{00000000-0005-0000-0000-00001F400000}"/>
    <cellStyle name="Neutral 864" xfId="16492" xr:uid="{00000000-0005-0000-0000-000020400000}"/>
    <cellStyle name="Neutral 865" xfId="16493" xr:uid="{00000000-0005-0000-0000-000021400000}"/>
    <cellStyle name="Neutral 866" xfId="16494" xr:uid="{00000000-0005-0000-0000-000022400000}"/>
    <cellStyle name="Neutral 867" xfId="16495" xr:uid="{00000000-0005-0000-0000-000023400000}"/>
    <cellStyle name="Neutral 868" xfId="16496" xr:uid="{00000000-0005-0000-0000-000024400000}"/>
    <cellStyle name="Neutral 869" xfId="16497" xr:uid="{00000000-0005-0000-0000-000025400000}"/>
    <cellStyle name="Neutral 87" xfId="16498" xr:uid="{00000000-0005-0000-0000-000026400000}"/>
    <cellStyle name="Neutral 870" xfId="16499" xr:uid="{00000000-0005-0000-0000-000027400000}"/>
    <cellStyle name="Neutral 871" xfId="16500" xr:uid="{00000000-0005-0000-0000-000028400000}"/>
    <cellStyle name="Neutral 872" xfId="16501" xr:uid="{00000000-0005-0000-0000-000029400000}"/>
    <cellStyle name="Neutral 873" xfId="16502" xr:uid="{00000000-0005-0000-0000-00002A400000}"/>
    <cellStyle name="Neutral 874" xfId="16503" xr:uid="{00000000-0005-0000-0000-00002B400000}"/>
    <cellStyle name="Neutral 875" xfId="16504" xr:uid="{00000000-0005-0000-0000-00002C400000}"/>
    <cellStyle name="Neutral 876" xfId="16505" xr:uid="{00000000-0005-0000-0000-00002D400000}"/>
    <cellStyle name="Neutral 877" xfId="16506" xr:uid="{00000000-0005-0000-0000-00002E400000}"/>
    <cellStyle name="Neutral 878" xfId="16507" xr:uid="{00000000-0005-0000-0000-00002F400000}"/>
    <cellStyle name="Neutral 879" xfId="16508" xr:uid="{00000000-0005-0000-0000-000030400000}"/>
    <cellStyle name="Neutral 88" xfId="16509" xr:uid="{00000000-0005-0000-0000-000031400000}"/>
    <cellStyle name="Neutral 880" xfId="16510" xr:uid="{00000000-0005-0000-0000-000032400000}"/>
    <cellStyle name="Neutral 881" xfId="16511" xr:uid="{00000000-0005-0000-0000-000033400000}"/>
    <cellStyle name="Neutral 882" xfId="16512" xr:uid="{00000000-0005-0000-0000-000034400000}"/>
    <cellStyle name="Neutral 883" xfId="16513" xr:uid="{00000000-0005-0000-0000-000035400000}"/>
    <cellStyle name="Neutral 884" xfId="16514" xr:uid="{00000000-0005-0000-0000-000036400000}"/>
    <cellStyle name="Neutral 885" xfId="16515" xr:uid="{00000000-0005-0000-0000-000037400000}"/>
    <cellStyle name="Neutral 886" xfId="16516" xr:uid="{00000000-0005-0000-0000-000038400000}"/>
    <cellStyle name="Neutral 887" xfId="16517" xr:uid="{00000000-0005-0000-0000-000039400000}"/>
    <cellStyle name="Neutral 888" xfId="16518" xr:uid="{00000000-0005-0000-0000-00003A400000}"/>
    <cellStyle name="Neutral 889" xfId="16519" xr:uid="{00000000-0005-0000-0000-00003B400000}"/>
    <cellStyle name="Neutral 89" xfId="16520" xr:uid="{00000000-0005-0000-0000-00003C400000}"/>
    <cellStyle name="Neutral 890" xfId="16521" xr:uid="{00000000-0005-0000-0000-00003D400000}"/>
    <cellStyle name="Neutral 891" xfId="16522" xr:uid="{00000000-0005-0000-0000-00003E400000}"/>
    <cellStyle name="Neutral 892" xfId="16523" xr:uid="{00000000-0005-0000-0000-00003F400000}"/>
    <cellStyle name="Neutral 893" xfId="16524" xr:uid="{00000000-0005-0000-0000-000040400000}"/>
    <cellStyle name="Neutral 894" xfId="16525" xr:uid="{00000000-0005-0000-0000-000041400000}"/>
    <cellStyle name="Neutral 895" xfId="16526" xr:uid="{00000000-0005-0000-0000-000042400000}"/>
    <cellStyle name="Neutral 896" xfId="16527" xr:uid="{00000000-0005-0000-0000-000043400000}"/>
    <cellStyle name="Neutral 897" xfId="16528" xr:uid="{00000000-0005-0000-0000-000044400000}"/>
    <cellStyle name="Neutral 898" xfId="16529" xr:uid="{00000000-0005-0000-0000-000045400000}"/>
    <cellStyle name="Neutral 899" xfId="16530" xr:uid="{00000000-0005-0000-0000-000046400000}"/>
    <cellStyle name="Neutral 9" xfId="16531" xr:uid="{00000000-0005-0000-0000-000047400000}"/>
    <cellStyle name="Neutral 90" xfId="16532" xr:uid="{00000000-0005-0000-0000-000048400000}"/>
    <cellStyle name="Neutral 900" xfId="16533" xr:uid="{00000000-0005-0000-0000-000049400000}"/>
    <cellStyle name="Neutral 901" xfId="16534" xr:uid="{00000000-0005-0000-0000-00004A400000}"/>
    <cellStyle name="Neutral 902" xfId="16535" xr:uid="{00000000-0005-0000-0000-00004B400000}"/>
    <cellStyle name="Neutral 903" xfId="16536" xr:uid="{00000000-0005-0000-0000-00004C400000}"/>
    <cellStyle name="Neutral 904" xfId="16537" xr:uid="{00000000-0005-0000-0000-00004D400000}"/>
    <cellStyle name="Neutral 905" xfId="16538" xr:uid="{00000000-0005-0000-0000-00004E400000}"/>
    <cellStyle name="Neutral 906" xfId="16539" xr:uid="{00000000-0005-0000-0000-00004F400000}"/>
    <cellStyle name="Neutral 907" xfId="16540" xr:uid="{00000000-0005-0000-0000-000050400000}"/>
    <cellStyle name="Neutral 908" xfId="16541" xr:uid="{00000000-0005-0000-0000-000051400000}"/>
    <cellStyle name="Neutral 909" xfId="16542" xr:uid="{00000000-0005-0000-0000-000052400000}"/>
    <cellStyle name="Neutral 91" xfId="16543" xr:uid="{00000000-0005-0000-0000-000053400000}"/>
    <cellStyle name="Neutral 910" xfId="16544" xr:uid="{00000000-0005-0000-0000-000054400000}"/>
    <cellStyle name="Neutral 911" xfId="16545" xr:uid="{00000000-0005-0000-0000-000055400000}"/>
    <cellStyle name="Neutral 912" xfId="16546" xr:uid="{00000000-0005-0000-0000-000056400000}"/>
    <cellStyle name="Neutral 913" xfId="16547" xr:uid="{00000000-0005-0000-0000-000057400000}"/>
    <cellStyle name="Neutral 914" xfId="16548" xr:uid="{00000000-0005-0000-0000-000058400000}"/>
    <cellStyle name="Neutral 915" xfId="16549" xr:uid="{00000000-0005-0000-0000-000059400000}"/>
    <cellStyle name="Neutral 916" xfId="16550" xr:uid="{00000000-0005-0000-0000-00005A400000}"/>
    <cellStyle name="Neutral 917" xfId="16551" xr:uid="{00000000-0005-0000-0000-00005B400000}"/>
    <cellStyle name="Neutral 918" xfId="16552" xr:uid="{00000000-0005-0000-0000-00005C400000}"/>
    <cellStyle name="Neutral 919" xfId="16553" xr:uid="{00000000-0005-0000-0000-00005D400000}"/>
    <cellStyle name="Neutral 92" xfId="16554" xr:uid="{00000000-0005-0000-0000-00005E400000}"/>
    <cellStyle name="Neutral 920" xfId="16555" xr:uid="{00000000-0005-0000-0000-00005F400000}"/>
    <cellStyle name="Neutral 921" xfId="16556" xr:uid="{00000000-0005-0000-0000-000060400000}"/>
    <cellStyle name="Neutral 922" xfId="16557" xr:uid="{00000000-0005-0000-0000-000061400000}"/>
    <cellStyle name="Neutral 923" xfId="16558" xr:uid="{00000000-0005-0000-0000-000062400000}"/>
    <cellStyle name="Neutral 924" xfId="16559" xr:uid="{00000000-0005-0000-0000-000063400000}"/>
    <cellStyle name="Neutral 925" xfId="16560" xr:uid="{00000000-0005-0000-0000-000064400000}"/>
    <cellStyle name="Neutral 926" xfId="16561" xr:uid="{00000000-0005-0000-0000-000065400000}"/>
    <cellStyle name="Neutral 927" xfId="16562" xr:uid="{00000000-0005-0000-0000-000066400000}"/>
    <cellStyle name="Neutral 928" xfId="16563" xr:uid="{00000000-0005-0000-0000-000067400000}"/>
    <cellStyle name="Neutral 929" xfId="16564" xr:uid="{00000000-0005-0000-0000-000068400000}"/>
    <cellStyle name="Neutral 93" xfId="16565" xr:uid="{00000000-0005-0000-0000-000069400000}"/>
    <cellStyle name="Neutral 930" xfId="16566" xr:uid="{00000000-0005-0000-0000-00006A400000}"/>
    <cellStyle name="Neutral 931" xfId="16567" xr:uid="{00000000-0005-0000-0000-00006B400000}"/>
    <cellStyle name="Neutral 932" xfId="16568" xr:uid="{00000000-0005-0000-0000-00006C400000}"/>
    <cellStyle name="Neutral 933" xfId="16569" xr:uid="{00000000-0005-0000-0000-00006D400000}"/>
    <cellStyle name="Neutral 934" xfId="16570" xr:uid="{00000000-0005-0000-0000-00006E400000}"/>
    <cellStyle name="Neutral 935" xfId="16571" xr:uid="{00000000-0005-0000-0000-00006F400000}"/>
    <cellStyle name="Neutral 936" xfId="16572" xr:uid="{00000000-0005-0000-0000-000070400000}"/>
    <cellStyle name="Neutral 937" xfId="16573" xr:uid="{00000000-0005-0000-0000-000071400000}"/>
    <cellStyle name="Neutral 938" xfId="16574" xr:uid="{00000000-0005-0000-0000-000072400000}"/>
    <cellStyle name="Neutral 939" xfId="16575" xr:uid="{00000000-0005-0000-0000-000073400000}"/>
    <cellStyle name="Neutral 94" xfId="16576" xr:uid="{00000000-0005-0000-0000-000074400000}"/>
    <cellStyle name="Neutral 940" xfId="16577" xr:uid="{00000000-0005-0000-0000-000075400000}"/>
    <cellStyle name="Neutral 941" xfId="16578" xr:uid="{00000000-0005-0000-0000-000076400000}"/>
    <cellStyle name="Neutral 942" xfId="16579" xr:uid="{00000000-0005-0000-0000-000077400000}"/>
    <cellStyle name="Neutral 943" xfId="16580" xr:uid="{00000000-0005-0000-0000-000078400000}"/>
    <cellStyle name="Neutral 944" xfId="16581" xr:uid="{00000000-0005-0000-0000-000079400000}"/>
    <cellStyle name="Neutral 945" xfId="16582" xr:uid="{00000000-0005-0000-0000-00007A400000}"/>
    <cellStyle name="Neutral 946" xfId="16583" xr:uid="{00000000-0005-0000-0000-00007B400000}"/>
    <cellStyle name="Neutral 947" xfId="16584" xr:uid="{00000000-0005-0000-0000-00007C400000}"/>
    <cellStyle name="Neutral 948" xfId="16585" xr:uid="{00000000-0005-0000-0000-00007D400000}"/>
    <cellStyle name="Neutral 949" xfId="16586" xr:uid="{00000000-0005-0000-0000-00007E400000}"/>
    <cellStyle name="Neutral 95" xfId="16587" xr:uid="{00000000-0005-0000-0000-00007F400000}"/>
    <cellStyle name="Neutral 950" xfId="16588" xr:uid="{00000000-0005-0000-0000-000080400000}"/>
    <cellStyle name="Neutral 951" xfId="16589" xr:uid="{00000000-0005-0000-0000-000081400000}"/>
    <cellStyle name="Neutral 952" xfId="16590" xr:uid="{00000000-0005-0000-0000-000082400000}"/>
    <cellStyle name="Neutral 953" xfId="16591" xr:uid="{00000000-0005-0000-0000-000083400000}"/>
    <cellStyle name="Neutral 954" xfId="16592" xr:uid="{00000000-0005-0000-0000-000084400000}"/>
    <cellStyle name="Neutral 955" xfId="16593" xr:uid="{00000000-0005-0000-0000-000085400000}"/>
    <cellStyle name="Neutral 956" xfId="16594" xr:uid="{00000000-0005-0000-0000-000086400000}"/>
    <cellStyle name="Neutral 957" xfId="16595" xr:uid="{00000000-0005-0000-0000-000087400000}"/>
    <cellStyle name="Neutral 958" xfId="16596" xr:uid="{00000000-0005-0000-0000-000088400000}"/>
    <cellStyle name="Neutral 959" xfId="16597" xr:uid="{00000000-0005-0000-0000-000089400000}"/>
    <cellStyle name="Neutral 96" xfId="16598" xr:uid="{00000000-0005-0000-0000-00008A400000}"/>
    <cellStyle name="Neutral 960" xfId="16599" xr:uid="{00000000-0005-0000-0000-00008B400000}"/>
    <cellStyle name="Neutral 961" xfId="16600" xr:uid="{00000000-0005-0000-0000-00008C400000}"/>
    <cellStyle name="Neutral 962" xfId="16601" xr:uid="{00000000-0005-0000-0000-00008D400000}"/>
    <cellStyle name="Neutral 963" xfId="16602" xr:uid="{00000000-0005-0000-0000-00008E400000}"/>
    <cellStyle name="Neutral 964" xfId="16603" xr:uid="{00000000-0005-0000-0000-00008F400000}"/>
    <cellStyle name="Neutral 965" xfId="16604" xr:uid="{00000000-0005-0000-0000-000090400000}"/>
    <cellStyle name="Neutral 966" xfId="16605" xr:uid="{00000000-0005-0000-0000-000091400000}"/>
    <cellStyle name="Neutral 967" xfId="16606" xr:uid="{00000000-0005-0000-0000-000092400000}"/>
    <cellStyle name="Neutral 968" xfId="16607" xr:uid="{00000000-0005-0000-0000-000093400000}"/>
    <cellStyle name="Neutral 969" xfId="16608" xr:uid="{00000000-0005-0000-0000-000094400000}"/>
    <cellStyle name="Neutral 97" xfId="16609" xr:uid="{00000000-0005-0000-0000-000095400000}"/>
    <cellStyle name="Neutral 970" xfId="16610" xr:uid="{00000000-0005-0000-0000-000096400000}"/>
    <cellStyle name="Neutral 971" xfId="16611" xr:uid="{00000000-0005-0000-0000-000097400000}"/>
    <cellStyle name="Neutral 972" xfId="16612" xr:uid="{00000000-0005-0000-0000-000098400000}"/>
    <cellStyle name="Neutral 973" xfId="16613" xr:uid="{00000000-0005-0000-0000-000099400000}"/>
    <cellStyle name="Neutral 974" xfId="16614" xr:uid="{00000000-0005-0000-0000-00009A400000}"/>
    <cellStyle name="Neutral 975" xfId="16615" xr:uid="{00000000-0005-0000-0000-00009B400000}"/>
    <cellStyle name="Neutral 976" xfId="16616" xr:uid="{00000000-0005-0000-0000-00009C400000}"/>
    <cellStyle name="Neutral 977" xfId="16617" xr:uid="{00000000-0005-0000-0000-00009D400000}"/>
    <cellStyle name="Neutral 978" xfId="16618" xr:uid="{00000000-0005-0000-0000-00009E400000}"/>
    <cellStyle name="Neutral 979" xfId="16619" xr:uid="{00000000-0005-0000-0000-00009F400000}"/>
    <cellStyle name="Neutral 98" xfId="16620" xr:uid="{00000000-0005-0000-0000-0000A0400000}"/>
    <cellStyle name="Neutral 980" xfId="16621" xr:uid="{00000000-0005-0000-0000-0000A1400000}"/>
    <cellStyle name="Neutral 981" xfId="16622" xr:uid="{00000000-0005-0000-0000-0000A2400000}"/>
    <cellStyle name="Neutral 982" xfId="16623" xr:uid="{00000000-0005-0000-0000-0000A3400000}"/>
    <cellStyle name="Neutral 983" xfId="16624" xr:uid="{00000000-0005-0000-0000-0000A4400000}"/>
    <cellStyle name="Neutral 984" xfId="16625" xr:uid="{00000000-0005-0000-0000-0000A5400000}"/>
    <cellStyle name="Neutral 985" xfId="16626" xr:uid="{00000000-0005-0000-0000-0000A6400000}"/>
    <cellStyle name="Neutral 986" xfId="16627" xr:uid="{00000000-0005-0000-0000-0000A7400000}"/>
    <cellStyle name="Neutral 987" xfId="16628" xr:uid="{00000000-0005-0000-0000-0000A8400000}"/>
    <cellStyle name="Neutral 988" xfId="16629" xr:uid="{00000000-0005-0000-0000-0000A9400000}"/>
    <cellStyle name="Neutral 989" xfId="16630" xr:uid="{00000000-0005-0000-0000-0000AA400000}"/>
    <cellStyle name="Neutral 99" xfId="16631" xr:uid="{00000000-0005-0000-0000-0000AB400000}"/>
    <cellStyle name="Neutral 990" xfId="16632" xr:uid="{00000000-0005-0000-0000-0000AC400000}"/>
    <cellStyle name="Neutral 991" xfId="16633" xr:uid="{00000000-0005-0000-0000-0000AD400000}"/>
    <cellStyle name="Neutral 992" xfId="16634" xr:uid="{00000000-0005-0000-0000-0000AE400000}"/>
    <cellStyle name="Neutral 993" xfId="16635" xr:uid="{00000000-0005-0000-0000-0000AF400000}"/>
    <cellStyle name="Neutral 994" xfId="16636" xr:uid="{00000000-0005-0000-0000-0000B0400000}"/>
    <cellStyle name="Neutral 995" xfId="16637" xr:uid="{00000000-0005-0000-0000-0000B1400000}"/>
    <cellStyle name="Neutral 996" xfId="16638" xr:uid="{00000000-0005-0000-0000-0000B2400000}"/>
    <cellStyle name="Neutral 997" xfId="16639" xr:uid="{00000000-0005-0000-0000-0000B3400000}"/>
    <cellStyle name="Neutral 998" xfId="16640" xr:uid="{00000000-0005-0000-0000-0000B4400000}"/>
    <cellStyle name="Neutral 999" xfId="16641" xr:uid="{00000000-0005-0000-0000-0000B5400000}"/>
    <cellStyle name="Neutrale" xfId="120" xr:uid="{00000000-0005-0000-0000-0000B6400000}"/>
    <cellStyle name="Neutrale 2" xfId="16642" xr:uid="{00000000-0005-0000-0000-0000B7400000}"/>
    <cellStyle name="Neutrale 2 2" xfId="16643" xr:uid="{00000000-0005-0000-0000-0000B8400000}"/>
    <cellStyle name="Neutrale 3" xfId="16644" xr:uid="{00000000-0005-0000-0000-0000B9400000}"/>
    <cellStyle name="Neutrale 4" xfId="16645" xr:uid="{00000000-0005-0000-0000-0000BA400000}"/>
    <cellStyle name="Neutrale 5" xfId="16646" xr:uid="{00000000-0005-0000-0000-0000BB400000}"/>
    <cellStyle name="Neutrale_MCEV_activiteiten 2012Q4 gedeeld op 11-1-2012" xfId="16647" xr:uid="{00000000-0005-0000-0000-0000BC400000}"/>
    <cellStyle name="Neutre" xfId="121" xr:uid="{00000000-0005-0000-0000-0000BD400000}"/>
    <cellStyle name="Neutre 2" xfId="16648" xr:uid="{00000000-0005-0000-0000-0000BE400000}"/>
    <cellStyle name="Neutre 2 2" xfId="16649" xr:uid="{00000000-0005-0000-0000-0000BF400000}"/>
    <cellStyle name="Neutre 3" xfId="16650" xr:uid="{00000000-0005-0000-0000-0000C0400000}"/>
    <cellStyle name="Neutre 4" xfId="16651" xr:uid="{00000000-0005-0000-0000-0000C1400000}"/>
    <cellStyle name="Neutro" xfId="16652" xr:uid="{00000000-0005-0000-0000-0000C2400000}"/>
    <cellStyle name="Nix" xfId="16653" xr:uid="{00000000-0005-0000-0000-0000C3400000}"/>
    <cellStyle name="Nix 2" xfId="16654" xr:uid="{00000000-0005-0000-0000-0000C4400000}"/>
    <cellStyle name="Nix 2 2" xfId="16655" xr:uid="{00000000-0005-0000-0000-0000C5400000}"/>
    <cellStyle name="Nix 3" xfId="16656" xr:uid="{00000000-0005-0000-0000-0000C6400000}"/>
    <cellStyle name="Nix 3 2" xfId="16657" xr:uid="{00000000-0005-0000-0000-0000C7400000}"/>
    <cellStyle name="Nix 4" xfId="16658" xr:uid="{00000000-0005-0000-0000-0000C8400000}"/>
    <cellStyle name="Nix 4 2" xfId="16659" xr:uid="{00000000-0005-0000-0000-0000C9400000}"/>
    <cellStyle name="Nix 5" xfId="16660" xr:uid="{00000000-0005-0000-0000-0000CA400000}"/>
    <cellStyle name="NoL" xfId="122" xr:uid="{00000000-0005-0000-0000-0000CB400000}"/>
    <cellStyle name="NoL 2" xfId="16661" xr:uid="{00000000-0005-0000-0000-0000CC400000}"/>
    <cellStyle name="NoL 3" xfId="16662" xr:uid="{00000000-0005-0000-0000-0000CD400000}"/>
    <cellStyle name="NoL 4" xfId="16663" xr:uid="{00000000-0005-0000-0000-0000CE400000}"/>
    <cellStyle name="NoL 5" xfId="16664" xr:uid="{00000000-0005-0000-0000-0000CF400000}"/>
    <cellStyle name="NoL 6" xfId="16665" xr:uid="{00000000-0005-0000-0000-0000D0400000}"/>
    <cellStyle name="NoL 7" xfId="16666" xr:uid="{00000000-0005-0000-0000-0000D1400000}"/>
    <cellStyle name="NoL_Reporting template C4_rev_SZP_20090320 (2)" xfId="16667" xr:uid="{00000000-0005-0000-0000-0000D2400000}"/>
    <cellStyle name="Nombre" xfId="16668" xr:uid="{00000000-0005-0000-0000-0000D3400000}"/>
    <cellStyle name="Nombre 2" xfId="16669" xr:uid="{00000000-0005-0000-0000-0000D4400000}"/>
    <cellStyle name="Non_definito" xfId="16670" xr:uid="{00000000-0005-0000-0000-0000D5400000}"/>
    <cellStyle name="Normaali 2" xfId="16671" xr:uid="{00000000-0005-0000-0000-0000D6400000}"/>
    <cellStyle name="Normaali 2 2" xfId="16672" xr:uid="{00000000-0005-0000-0000-0000D7400000}"/>
    <cellStyle name="Normaali_QIS4 Internal model data request templates (DRAFT 4.4.2008)" xfId="16673" xr:uid="{00000000-0005-0000-0000-0000D8400000}"/>
    <cellStyle name="Normal 10" xfId="16674" xr:uid="{00000000-0005-0000-0000-0000DA400000}"/>
    <cellStyle name="Normal 10 2" xfId="16675" xr:uid="{00000000-0005-0000-0000-0000DB400000}"/>
    <cellStyle name="Normal 11" xfId="16676" xr:uid="{00000000-0005-0000-0000-0000DC400000}"/>
    <cellStyle name="Normal 11 2" xfId="16677" xr:uid="{00000000-0005-0000-0000-0000DD400000}"/>
    <cellStyle name="Normal 12" xfId="16678" xr:uid="{00000000-0005-0000-0000-0000DE400000}"/>
    <cellStyle name="Normal 13" xfId="16679" xr:uid="{00000000-0005-0000-0000-0000DF400000}"/>
    <cellStyle name="Normal 13 2" xfId="16680" xr:uid="{00000000-0005-0000-0000-0000E0400000}"/>
    <cellStyle name="Normal 14" xfId="16681" xr:uid="{00000000-0005-0000-0000-0000E1400000}"/>
    <cellStyle name="Normal 14 2" xfId="16682" xr:uid="{00000000-0005-0000-0000-0000E2400000}"/>
    <cellStyle name="Normal 15" xfId="16683" xr:uid="{00000000-0005-0000-0000-0000E3400000}"/>
    <cellStyle name="Normal 15 10" xfId="16684" xr:uid="{00000000-0005-0000-0000-0000E4400000}"/>
    <cellStyle name="Normal 15 11" xfId="16685" xr:uid="{00000000-0005-0000-0000-0000E5400000}"/>
    <cellStyle name="Normal 15 12" xfId="16686" xr:uid="{00000000-0005-0000-0000-0000E6400000}"/>
    <cellStyle name="Normal 15 13" xfId="16687" xr:uid="{00000000-0005-0000-0000-0000E7400000}"/>
    <cellStyle name="Normal 15 14" xfId="16688" xr:uid="{00000000-0005-0000-0000-0000E8400000}"/>
    <cellStyle name="Normal 15 15" xfId="16689" xr:uid="{00000000-0005-0000-0000-0000E9400000}"/>
    <cellStyle name="Normal 15 16" xfId="16690" xr:uid="{00000000-0005-0000-0000-0000EA400000}"/>
    <cellStyle name="Normal 15 17" xfId="16691" xr:uid="{00000000-0005-0000-0000-0000EB400000}"/>
    <cellStyle name="Normal 15 18" xfId="16692" xr:uid="{00000000-0005-0000-0000-0000EC400000}"/>
    <cellStyle name="Normal 15 19" xfId="16693" xr:uid="{00000000-0005-0000-0000-0000ED400000}"/>
    <cellStyle name="Normal 15 2" xfId="16694" xr:uid="{00000000-0005-0000-0000-0000EE400000}"/>
    <cellStyle name="Normal 15 20" xfId="16695" xr:uid="{00000000-0005-0000-0000-0000EF400000}"/>
    <cellStyle name="Normal 15 21" xfId="16696" xr:uid="{00000000-0005-0000-0000-0000F0400000}"/>
    <cellStyle name="Normal 15 22" xfId="16697" xr:uid="{00000000-0005-0000-0000-0000F1400000}"/>
    <cellStyle name="Normal 15 23" xfId="16698" xr:uid="{00000000-0005-0000-0000-0000F2400000}"/>
    <cellStyle name="Normal 15 24" xfId="16699" xr:uid="{00000000-0005-0000-0000-0000F3400000}"/>
    <cellStyle name="Normal 15 25" xfId="16700" xr:uid="{00000000-0005-0000-0000-0000F4400000}"/>
    <cellStyle name="Normal 15 26" xfId="16701" xr:uid="{00000000-0005-0000-0000-0000F5400000}"/>
    <cellStyle name="Normal 15 27" xfId="16702" xr:uid="{00000000-0005-0000-0000-0000F6400000}"/>
    <cellStyle name="Normal 15 28" xfId="16703" xr:uid="{00000000-0005-0000-0000-0000F7400000}"/>
    <cellStyle name="Normal 15 29" xfId="16704" xr:uid="{00000000-0005-0000-0000-0000F8400000}"/>
    <cellStyle name="Normal 15 3" xfId="16705" xr:uid="{00000000-0005-0000-0000-0000F9400000}"/>
    <cellStyle name="Normal 15 30" xfId="16706" xr:uid="{00000000-0005-0000-0000-0000FA400000}"/>
    <cellStyle name="Normal 15 31" xfId="16707" xr:uid="{00000000-0005-0000-0000-0000FB400000}"/>
    <cellStyle name="Normal 15 32" xfId="16708" xr:uid="{00000000-0005-0000-0000-0000FC400000}"/>
    <cellStyle name="Normal 15 33" xfId="16709" xr:uid="{00000000-0005-0000-0000-0000FD400000}"/>
    <cellStyle name="Normal 15 34" xfId="16710" xr:uid="{00000000-0005-0000-0000-0000FE400000}"/>
    <cellStyle name="Normal 15 35" xfId="16711" xr:uid="{00000000-0005-0000-0000-0000FF400000}"/>
    <cellStyle name="Normal 15 36" xfId="16712" xr:uid="{00000000-0005-0000-0000-000000410000}"/>
    <cellStyle name="Normal 15 37" xfId="16713" xr:uid="{00000000-0005-0000-0000-000001410000}"/>
    <cellStyle name="Normal 15 38" xfId="16714" xr:uid="{00000000-0005-0000-0000-000002410000}"/>
    <cellStyle name="Normal 15 39" xfId="16715" xr:uid="{00000000-0005-0000-0000-000003410000}"/>
    <cellStyle name="Normal 15 4" xfId="16716" xr:uid="{00000000-0005-0000-0000-000004410000}"/>
    <cellStyle name="Normal 15 40" xfId="16717" xr:uid="{00000000-0005-0000-0000-000005410000}"/>
    <cellStyle name="Normal 15 41" xfId="16718" xr:uid="{00000000-0005-0000-0000-000006410000}"/>
    <cellStyle name="Normal 15 42" xfId="16719" xr:uid="{00000000-0005-0000-0000-000007410000}"/>
    <cellStyle name="Normal 15 43" xfId="16720" xr:uid="{00000000-0005-0000-0000-000008410000}"/>
    <cellStyle name="Normal 15 44" xfId="16721" xr:uid="{00000000-0005-0000-0000-000009410000}"/>
    <cellStyle name="Normal 15 45" xfId="16722" xr:uid="{00000000-0005-0000-0000-00000A410000}"/>
    <cellStyle name="Normal 15 5" xfId="16723" xr:uid="{00000000-0005-0000-0000-00000B410000}"/>
    <cellStyle name="Normal 15 6" xfId="16724" xr:uid="{00000000-0005-0000-0000-00000C410000}"/>
    <cellStyle name="Normal 15 7" xfId="16725" xr:uid="{00000000-0005-0000-0000-00000D410000}"/>
    <cellStyle name="Normal 15 8" xfId="16726" xr:uid="{00000000-0005-0000-0000-00000E410000}"/>
    <cellStyle name="Normal 15 9" xfId="16727" xr:uid="{00000000-0005-0000-0000-00000F410000}"/>
    <cellStyle name="Normal 16" xfId="16728" xr:uid="{00000000-0005-0000-0000-000010410000}"/>
    <cellStyle name="Normal 16 10" xfId="16729" xr:uid="{00000000-0005-0000-0000-000011410000}"/>
    <cellStyle name="Normal 16 11" xfId="16730" xr:uid="{00000000-0005-0000-0000-000012410000}"/>
    <cellStyle name="Normal 16 12" xfId="16731" xr:uid="{00000000-0005-0000-0000-000013410000}"/>
    <cellStyle name="Normal 16 13" xfId="16732" xr:uid="{00000000-0005-0000-0000-000014410000}"/>
    <cellStyle name="Normal 16 14" xfId="16733" xr:uid="{00000000-0005-0000-0000-000015410000}"/>
    <cellStyle name="Normal 16 15" xfId="16734" xr:uid="{00000000-0005-0000-0000-000016410000}"/>
    <cellStyle name="Normal 16 16" xfId="16735" xr:uid="{00000000-0005-0000-0000-000017410000}"/>
    <cellStyle name="Normal 16 17" xfId="16736" xr:uid="{00000000-0005-0000-0000-000018410000}"/>
    <cellStyle name="Normal 16 18" xfId="16737" xr:uid="{00000000-0005-0000-0000-000019410000}"/>
    <cellStyle name="Normal 16 19" xfId="16738" xr:uid="{00000000-0005-0000-0000-00001A410000}"/>
    <cellStyle name="Normal 16 2" xfId="16739" xr:uid="{00000000-0005-0000-0000-00001B410000}"/>
    <cellStyle name="Normal 16 2 2" xfId="16740" xr:uid="{00000000-0005-0000-0000-00001C410000}"/>
    <cellStyle name="Normal 16 20" xfId="16741" xr:uid="{00000000-0005-0000-0000-00001D410000}"/>
    <cellStyle name="Normal 16 21" xfId="16742" xr:uid="{00000000-0005-0000-0000-00001E410000}"/>
    <cellStyle name="Normal 16 22" xfId="16743" xr:uid="{00000000-0005-0000-0000-00001F410000}"/>
    <cellStyle name="Normal 16 23" xfId="16744" xr:uid="{00000000-0005-0000-0000-000020410000}"/>
    <cellStyle name="Normal 16 24" xfId="16745" xr:uid="{00000000-0005-0000-0000-000021410000}"/>
    <cellStyle name="Normal 16 25" xfId="16746" xr:uid="{00000000-0005-0000-0000-000022410000}"/>
    <cellStyle name="Normal 16 26" xfId="16747" xr:uid="{00000000-0005-0000-0000-000023410000}"/>
    <cellStyle name="Normal 16 27" xfId="16748" xr:uid="{00000000-0005-0000-0000-000024410000}"/>
    <cellStyle name="Normal 16 28" xfId="16749" xr:uid="{00000000-0005-0000-0000-000025410000}"/>
    <cellStyle name="Normal 16 29" xfId="16750" xr:uid="{00000000-0005-0000-0000-000026410000}"/>
    <cellStyle name="Normal 16 3" xfId="16751" xr:uid="{00000000-0005-0000-0000-000027410000}"/>
    <cellStyle name="Normal 16 30" xfId="16752" xr:uid="{00000000-0005-0000-0000-000028410000}"/>
    <cellStyle name="Normal 16 31" xfId="16753" xr:uid="{00000000-0005-0000-0000-000029410000}"/>
    <cellStyle name="Normal 16 32" xfId="16754" xr:uid="{00000000-0005-0000-0000-00002A410000}"/>
    <cellStyle name="Normal 16 33" xfId="16755" xr:uid="{00000000-0005-0000-0000-00002B410000}"/>
    <cellStyle name="Normal 16 34" xfId="16756" xr:uid="{00000000-0005-0000-0000-00002C410000}"/>
    <cellStyle name="Normal 16 35" xfId="16757" xr:uid="{00000000-0005-0000-0000-00002D410000}"/>
    <cellStyle name="Normal 16 36" xfId="16758" xr:uid="{00000000-0005-0000-0000-00002E410000}"/>
    <cellStyle name="Normal 16 37" xfId="16759" xr:uid="{00000000-0005-0000-0000-00002F410000}"/>
    <cellStyle name="Normal 16 38" xfId="16760" xr:uid="{00000000-0005-0000-0000-000030410000}"/>
    <cellStyle name="Normal 16 39" xfId="16761" xr:uid="{00000000-0005-0000-0000-000031410000}"/>
    <cellStyle name="Normal 16 4" xfId="16762" xr:uid="{00000000-0005-0000-0000-000032410000}"/>
    <cellStyle name="Normal 16 40" xfId="16763" xr:uid="{00000000-0005-0000-0000-000033410000}"/>
    <cellStyle name="Normal 16 41" xfId="16764" xr:uid="{00000000-0005-0000-0000-000034410000}"/>
    <cellStyle name="Normal 16 42" xfId="16765" xr:uid="{00000000-0005-0000-0000-000035410000}"/>
    <cellStyle name="Normal 16 43" xfId="16766" xr:uid="{00000000-0005-0000-0000-000036410000}"/>
    <cellStyle name="Normal 16 44" xfId="16767" xr:uid="{00000000-0005-0000-0000-000037410000}"/>
    <cellStyle name="Normal 16 45" xfId="16768" xr:uid="{00000000-0005-0000-0000-000038410000}"/>
    <cellStyle name="Normal 16 5" xfId="16769" xr:uid="{00000000-0005-0000-0000-000039410000}"/>
    <cellStyle name="Normal 16 6" xfId="16770" xr:uid="{00000000-0005-0000-0000-00003A410000}"/>
    <cellStyle name="Normal 16 7" xfId="16771" xr:uid="{00000000-0005-0000-0000-00003B410000}"/>
    <cellStyle name="Normal 16 8" xfId="16772" xr:uid="{00000000-0005-0000-0000-00003C410000}"/>
    <cellStyle name="Normal 16 9" xfId="16773" xr:uid="{00000000-0005-0000-0000-00003D410000}"/>
    <cellStyle name="Normal 17" xfId="16774" xr:uid="{00000000-0005-0000-0000-00003E410000}"/>
    <cellStyle name="Normal 17 10" xfId="16775" xr:uid="{00000000-0005-0000-0000-00003F410000}"/>
    <cellStyle name="Normal 17 11" xfId="16776" xr:uid="{00000000-0005-0000-0000-000040410000}"/>
    <cellStyle name="Normal 17 12" xfId="16777" xr:uid="{00000000-0005-0000-0000-000041410000}"/>
    <cellStyle name="Normal 17 13" xfId="16778" xr:uid="{00000000-0005-0000-0000-000042410000}"/>
    <cellStyle name="Normal 17 14" xfId="16779" xr:uid="{00000000-0005-0000-0000-000043410000}"/>
    <cellStyle name="Normal 17 15" xfId="16780" xr:uid="{00000000-0005-0000-0000-000044410000}"/>
    <cellStyle name="Normal 17 16" xfId="16781" xr:uid="{00000000-0005-0000-0000-000045410000}"/>
    <cellStyle name="Normal 17 17" xfId="16782" xr:uid="{00000000-0005-0000-0000-000046410000}"/>
    <cellStyle name="Normal 17 18" xfId="16783" xr:uid="{00000000-0005-0000-0000-000047410000}"/>
    <cellStyle name="Normal 17 19" xfId="16784" xr:uid="{00000000-0005-0000-0000-000048410000}"/>
    <cellStyle name="Normal 17 2" xfId="16785" xr:uid="{00000000-0005-0000-0000-000049410000}"/>
    <cellStyle name="Normal 17 2 2" xfId="16786" xr:uid="{00000000-0005-0000-0000-00004A410000}"/>
    <cellStyle name="Normal 17 20" xfId="16787" xr:uid="{00000000-0005-0000-0000-00004B410000}"/>
    <cellStyle name="Normal 17 21" xfId="16788" xr:uid="{00000000-0005-0000-0000-00004C410000}"/>
    <cellStyle name="Normal 17 22" xfId="16789" xr:uid="{00000000-0005-0000-0000-00004D410000}"/>
    <cellStyle name="Normal 17 23" xfId="16790" xr:uid="{00000000-0005-0000-0000-00004E410000}"/>
    <cellStyle name="Normal 17 24" xfId="16791" xr:uid="{00000000-0005-0000-0000-00004F410000}"/>
    <cellStyle name="Normal 17 25" xfId="16792" xr:uid="{00000000-0005-0000-0000-000050410000}"/>
    <cellStyle name="Normal 17 26" xfId="16793" xr:uid="{00000000-0005-0000-0000-000051410000}"/>
    <cellStyle name="Normal 17 27" xfId="16794" xr:uid="{00000000-0005-0000-0000-000052410000}"/>
    <cellStyle name="Normal 17 28" xfId="16795" xr:uid="{00000000-0005-0000-0000-000053410000}"/>
    <cellStyle name="Normal 17 29" xfId="16796" xr:uid="{00000000-0005-0000-0000-000054410000}"/>
    <cellStyle name="Normal 17 3" xfId="16797" xr:uid="{00000000-0005-0000-0000-000055410000}"/>
    <cellStyle name="Normal 17 30" xfId="16798" xr:uid="{00000000-0005-0000-0000-000056410000}"/>
    <cellStyle name="Normal 17 31" xfId="16799" xr:uid="{00000000-0005-0000-0000-000057410000}"/>
    <cellStyle name="Normal 17 32" xfId="16800" xr:uid="{00000000-0005-0000-0000-000058410000}"/>
    <cellStyle name="Normal 17 33" xfId="16801" xr:uid="{00000000-0005-0000-0000-000059410000}"/>
    <cellStyle name="Normal 17 34" xfId="16802" xr:uid="{00000000-0005-0000-0000-00005A410000}"/>
    <cellStyle name="Normal 17 35" xfId="16803" xr:uid="{00000000-0005-0000-0000-00005B410000}"/>
    <cellStyle name="Normal 17 36" xfId="16804" xr:uid="{00000000-0005-0000-0000-00005C410000}"/>
    <cellStyle name="Normal 17 37" xfId="16805" xr:uid="{00000000-0005-0000-0000-00005D410000}"/>
    <cellStyle name="Normal 17 38" xfId="16806" xr:uid="{00000000-0005-0000-0000-00005E410000}"/>
    <cellStyle name="Normal 17 39" xfId="16807" xr:uid="{00000000-0005-0000-0000-00005F410000}"/>
    <cellStyle name="Normal 17 4" xfId="16808" xr:uid="{00000000-0005-0000-0000-000060410000}"/>
    <cellStyle name="Normal 17 40" xfId="16809" xr:uid="{00000000-0005-0000-0000-000061410000}"/>
    <cellStyle name="Normal 17 41" xfId="16810" xr:uid="{00000000-0005-0000-0000-000062410000}"/>
    <cellStyle name="Normal 17 42" xfId="16811" xr:uid="{00000000-0005-0000-0000-000063410000}"/>
    <cellStyle name="Normal 17 43" xfId="16812" xr:uid="{00000000-0005-0000-0000-000064410000}"/>
    <cellStyle name="Normal 17 44" xfId="16813" xr:uid="{00000000-0005-0000-0000-000065410000}"/>
    <cellStyle name="Normal 17 45" xfId="16814" xr:uid="{00000000-0005-0000-0000-000066410000}"/>
    <cellStyle name="Normal 17 5" xfId="16815" xr:uid="{00000000-0005-0000-0000-000067410000}"/>
    <cellStyle name="Normal 17 6" xfId="16816" xr:uid="{00000000-0005-0000-0000-000068410000}"/>
    <cellStyle name="Normal 17 7" xfId="16817" xr:uid="{00000000-0005-0000-0000-000069410000}"/>
    <cellStyle name="Normal 17 8" xfId="16818" xr:uid="{00000000-0005-0000-0000-00006A410000}"/>
    <cellStyle name="Normal 17 9" xfId="16819" xr:uid="{00000000-0005-0000-0000-00006B410000}"/>
    <cellStyle name="Normal 18" xfId="16820" xr:uid="{00000000-0005-0000-0000-00006C410000}"/>
    <cellStyle name="Normal 18 10" xfId="16821" xr:uid="{00000000-0005-0000-0000-00006D410000}"/>
    <cellStyle name="Normal 18 11" xfId="16822" xr:uid="{00000000-0005-0000-0000-00006E410000}"/>
    <cellStyle name="Normal 18 12" xfId="16823" xr:uid="{00000000-0005-0000-0000-00006F410000}"/>
    <cellStyle name="Normal 18 13" xfId="16824" xr:uid="{00000000-0005-0000-0000-000070410000}"/>
    <cellStyle name="Normal 18 14" xfId="16825" xr:uid="{00000000-0005-0000-0000-000071410000}"/>
    <cellStyle name="Normal 18 15" xfId="16826" xr:uid="{00000000-0005-0000-0000-000072410000}"/>
    <cellStyle name="Normal 18 16" xfId="16827" xr:uid="{00000000-0005-0000-0000-000073410000}"/>
    <cellStyle name="Normal 18 17" xfId="16828" xr:uid="{00000000-0005-0000-0000-000074410000}"/>
    <cellStyle name="Normal 18 18" xfId="16829" xr:uid="{00000000-0005-0000-0000-000075410000}"/>
    <cellStyle name="Normal 18 19" xfId="16830" xr:uid="{00000000-0005-0000-0000-000076410000}"/>
    <cellStyle name="Normal 18 2" xfId="16831" xr:uid="{00000000-0005-0000-0000-000077410000}"/>
    <cellStyle name="Normal 18 20" xfId="16832" xr:uid="{00000000-0005-0000-0000-000078410000}"/>
    <cellStyle name="Normal 18 21" xfId="16833" xr:uid="{00000000-0005-0000-0000-000079410000}"/>
    <cellStyle name="Normal 18 22" xfId="16834" xr:uid="{00000000-0005-0000-0000-00007A410000}"/>
    <cellStyle name="Normal 18 23" xfId="16835" xr:uid="{00000000-0005-0000-0000-00007B410000}"/>
    <cellStyle name="Normal 18 24" xfId="16836" xr:uid="{00000000-0005-0000-0000-00007C410000}"/>
    <cellStyle name="Normal 18 25" xfId="16837" xr:uid="{00000000-0005-0000-0000-00007D410000}"/>
    <cellStyle name="Normal 18 26" xfId="16838" xr:uid="{00000000-0005-0000-0000-00007E410000}"/>
    <cellStyle name="Normal 18 27" xfId="16839" xr:uid="{00000000-0005-0000-0000-00007F410000}"/>
    <cellStyle name="Normal 18 28" xfId="16840" xr:uid="{00000000-0005-0000-0000-000080410000}"/>
    <cellStyle name="Normal 18 29" xfId="16841" xr:uid="{00000000-0005-0000-0000-000081410000}"/>
    <cellStyle name="Normal 18 3" xfId="16842" xr:uid="{00000000-0005-0000-0000-000082410000}"/>
    <cellStyle name="Normal 18 30" xfId="16843" xr:uid="{00000000-0005-0000-0000-000083410000}"/>
    <cellStyle name="Normal 18 31" xfId="16844" xr:uid="{00000000-0005-0000-0000-000084410000}"/>
    <cellStyle name="Normal 18 32" xfId="16845" xr:uid="{00000000-0005-0000-0000-000085410000}"/>
    <cellStyle name="Normal 18 33" xfId="16846" xr:uid="{00000000-0005-0000-0000-000086410000}"/>
    <cellStyle name="Normal 18 34" xfId="16847" xr:uid="{00000000-0005-0000-0000-000087410000}"/>
    <cellStyle name="Normal 18 35" xfId="16848" xr:uid="{00000000-0005-0000-0000-000088410000}"/>
    <cellStyle name="Normal 18 36" xfId="16849" xr:uid="{00000000-0005-0000-0000-000089410000}"/>
    <cellStyle name="Normal 18 37" xfId="16850" xr:uid="{00000000-0005-0000-0000-00008A410000}"/>
    <cellStyle name="Normal 18 38" xfId="16851" xr:uid="{00000000-0005-0000-0000-00008B410000}"/>
    <cellStyle name="Normal 18 39" xfId="16852" xr:uid="{00000000-0005-0000-0000-00008C410000}"/>
    <cellStyle name="Normal 18 4" xfId="16853" xr:uid="{00000000-0005-0000-0000-00008D410000}"/>
    <cellStyle name="Normal 18 40" xfId="16854" xr:uid="{00000000-0005-0000-0000-00008E410000}"/>
    <cellStyle name="Normal 18 41" xfId="16855" xr:uid="{00000000-0005-0000-0000-00008F410000}"/>
    <cellStyle name="Normal 18 42" xfId="16856" xr:uid="{00000000-0005-0000-0000-000090410000}"/>
    <cellStyle name="Normal 18 43" xfId="16857" xr:uid="{00000000-0005-0000-0000-000091410000}"/>
    <cellStyle name="Normal 18 44" xfId="16858" xr:uid="{00000000-0005-0000-0000-000092410000}"/>
    <cellStyle name="Normal 18 5" xfId="16859" xr:uid="{00000000-0005-0000-0000-000093410000}"/>
    <cellStyle name="Normal 18 6" xfId="16860" xr:uid="{00000000-0005-0000-0000-000094410000}"/>
    <cellStyle name="Normal 18 7" xfId="16861" xr:uid="{00000000-0005-0000-0000-000095410000}"/>
    <cellStyle name="Normal 18 8" xfId="16862" xr:uid="{00000000-0005-0000-0000-000096410000}"/>
    <cellStyle name="Normal 18 9" xfId="16863" xr:uid="{00000000-0005-0000-0000-000097410000}"/>
    <cellStyle name="Normal 19" xfId="16864" xr:uid="{00000000-0005-0000-0000-000098410000}"/>
    <cellStyle name="Normal 19 10" xfId="16865" xr:uid="{00000000-0005-0000-0000-000099410000}"/>
    <cellStyle name="Normal 19 11" xfId="16866" xr:uid="{00000000-0005-0000-0000-00009A410000}"/>
    <cellStyle name="Normal 19 12" xfId="16867" xr:uid="{00000000-0005-0000-0000-00009B410000}"/>
    <cellStyle name="Normal 19 13" xfId="16868" xr:uid="{00000000-0005-0000-0000-00009C410000}"/>
    <cellStyle name="Normal 19 14" xfId="16869" xr:uid="{00000000-0005-0000-0000-00009D410000}"/>
    <cellStyle name="Normal 19 15" xfId="16870" xr:uid="{00000000-0005-0000-0000-00009E410000}"/>
    <cellStyle name="Normal 19 16" xfId="16871" xr:uid="{00000000-0005-0000-0000-00009F410000}"/>
    <cellStyle name="Normal 19 17" xfId="16872" xr:uid="{00000000-0005-0000-0000-0000A0410000}"/>
    <cellStyle name="Normal 19 18" xfId="16873" xr:uid="{00000000-0005-0000-0000-0000A1410000}"/>
    <cellStyle name="Normal 19 19" xfId="16874" xr:uid="{00000000-0005-0000-0000-0000A2410000}"/>
    <cellStyle name="Normal 19 2" xfId="16875" xr:uid="{00000000-0005-0000-0000-0000A3410000}"/>
    <cellStyle name="Normal 19 20" xfId="16876" xr:uid="{00000000-0005-0000-0000-0000A4410000}"/>
    <cellStyle name="Normal 19 21" xfId="16877" xr:uid="{00000000-0005-0000-0000-0000A5410000}"/>
    <cellStyle name="Normal 19 22" xfId="16878" xr:uid="{00000000-0005-0000-0000-0000A6410000}"/>
    <cellStyle name="Normal 19 23" xfId="16879" xr:uid="{00000000-0005-0000-0000-0000A7410000}"/>
    <cellStyle name="Normal 19 24" xfId="16880" xr:uid="{00000000-0005-0000-0000-0000A8410000}"/>
    <cellStyle name="Normal 19 25" xfId="16881" xr:uid="{00000000-0005-0000-0000-0000A9410000}"/>
    <cellStyle name="Normal 19 26" xfId="16882" xr:uid="{00000000-0005-0000-0000-0000AA410000}"/>
    <cellStyle name="Normal 19 27" xfId="16883" xr:uid="{00000000-0005-0000-0000-0000AB410000}"/>
    <cellStyle name="Normal 19 28" xfId="16884" xr:uid="{00000000-0005-0000-0000-0000AC410000}"/>
    <cellStyle name="Normal 19 29" xfId="16885" xr:uid="{00000000-0005-0000-0000-0000AD410000}"/>
    <cellStyle name="Normal 19 3" xfId="16886" xr:uid="{00000000-0005-0000-0000-0000AE410000}"/>
    <cellStyle name="Normal 19 30" xfId="16887" xr:uid="{00000000-0005-0000-0000-0000AF410000}"/>
    <cellStyle name="Normal 19 31" xfId="16888" xr:uid="{00000000-0005-0000-0000-0000B0410000}"/>
    <cellStyle name="Normal 19 32" xfId="16889" xr:uid="{00000000-0005-0000-0000-0000B1410000}"/>
    <cellStyle name="Normal 19 33" xfId="16890" xr:uid="{00000000-0005-0000-0000-0000B2410000}"/>
    <cellStyle name="Normal 19 34" xfId="16891" xr:uid="{00000000-0005-0000-0000-0000B3410000}"/>
    <cellStyle name="Normal 19 35" xfId="16892" xr:uid="{00000000-0005-0000-0000-0000B4410000}"/>
    <cellStyle name="Normal 19 36" xfId="16893" xr:uid="{00000000-0005-0000-0000-0000B5410000}"/>
    <cellStyle name="Normal 19 37" xfId="16894" xr:uid="{00000000-0005-0000-0000-0000B6410000}"/>
    <cellStyle name="Normal 19 38" xfId="16895" xr:uid="{00000000-0005-0000-0000-0000B7410000}"/>
    <cellStyle name="Normal 19 39" xfId="16896" xr:uid="{00000000-0005-0000-0000-0000B8410000}"/>
    <cellStyle name="Normal 19 4" xfId="16897" xr:uid="{00000000-0005-0000-0000-0000B9410000}"/>
    <cellStyle name="Normal 19 40" xfId="16898" xr:uid="{00000000-0005-0000-0000-0000BA410000}"/>
    <cellStyle name="Normal 19 41" xfId="16899" xr:uid="{00000000-0005-0000-0000-0000BB410000}"/>
    <cellStyle name="Normal 19 42" xfId="16900" xr:uid="{00000000-0005-0000-0000-0000BC410000}"/>
    <cellStyle name="Normal 19 43" xfId="16901" xr:uid="{00000000-0005-0000-0000-0000BD410000}"/>
    <cellStyle name="Normal 19 44" xfId="16902" xr:uid="{00000000-0005-0000-0000-0000BE410000}"/>
    <cellStyle name="Normal 19 5" xfId="16903" xr:uid="{00000000-0005-0000-0000-0000BF410000}"/>
    <cellStyle name="Normal 19 6" xfId="16904" xr:uid="{00000000-0005-0000-0000-0000C0410000}"/>
    <cellStyle name="Normal 19 7" xfId="16905" xr:uid="{00000000-0005-0000-0000-0000C1410000}"/>
    <cellStyle name="Normal 19 8" xfId="16906" xr:uid="{00000000-0005-0000-0000-0000C2410000}"/>
    <cellStyle name="Normal 19 9" xfId="16907" xr:uid="{00000000-0005-0000-0000-0000C3410000}"/>
    <cellStyle name="Normal 2" xfId="123" xr:uid="{00000000-0005-0000-0000-0000C4410000}"/>
    <cellStyle name="Normal 2 10" xfId="16908" xr:uid="{00000000-0005-0000-0000-0000C5410000}"/>
    <cellStyle name="Normal 2 10 2" xfId="16909" xr:uid="{00000000-0005-0000-0000-0000C6410000}"/>
    <cellStyle name="Normal 2 10 3" xfId="16910" xr:uid="{00000000-0005-0000-0000-0000C7410000}"/>
    <cellStyle name="Normal 2 11" xfId="16911" xr:uid="{00000000-0005-0000-0000-0000C8410000}"/>
    <cellStyle name="Normal 2 11 2" xfId="16912" xr:uid="{00000000-0005-0000-0000-0000C9410000}"/>
    <cellStyle name="Normal 2 11 3" xfId="16913" xr:uid="{00000000-0005-0000-0000-0000CA410000}"/>
    <cellStyle name="Normal 2 12" xfId="16914" xr:uid="{00000000-0005-0000-0000-0000CB410000}"/>
    <cellStyle name="Normal 2 12 2" xfId="16915" xr:uid="{00000000-0005-0000-0000-0000CC410000}"/>
    <cellStyle name="Normal 2 12 3" xfId="16916" xr:uid="{00000000-0005-0000-0000-0000CD410000}"/>
    <cellStyle name="Normal 2 13" xfId="16917" xr:uid="{00000000-0005-0000-0000-0000CE410000}"/>
    <cellStyle name="Normal 2 13 2" xfId="16918" xr:uid="{00000000-0005-0000-0000-0000CF410000}"/>
    <cellStyle name="Normal 2 13 3" xfId="16919" xr:uid="{00000000-0005-0000-0000-0000D0410000}"/>
    <cellStyle name="Normal 2 14" xfId="16920" xr:uid="{00000000-0005-0000-0000-0000D1410000}"/>
    <cellStyle name="Normal 2 14 2" xfId="16921" xr:uid="{00000000-0005-0000-0000-0000D2410000}"/>
    <cellStyle name="Normal 2 14 3" xfId="16922" xr:uid="{00000000-0005-0000-0000-0000D3410000}"/>
    <cellStyle name="Normal 2 15" xfId="16923" xr:uid="{00000000-0005-0000-0000-0000D4410000}"/>
    <cellStyle name="Normal 2 15 2" xfId="16924" xr:uid="{00000000-0005-0000-0000-0000D5410000}"/>
    <cellStyle name="Normal 2 16" xfId="16925" xr:uid="{00000000-0005-0000-0000-0000D6410000}"/>
    <cellStyle name="Normal 2 17" xfId="16926" xr:uid="{00000000-0005-0000-0000-0000D7410000}"/>
    <cellStyle name="Normal 2 18" xfId="16927" xr:uid="{00000000-0005-0000-0000-0000D8410000}"/>
    <cellStyle name="Normal 2 19" xfId="16928" xr:uid="{00000000-0005-0000-0000-0000D9410000}"/>
    <cellStyle name="Normal 2 2" xfId="226" xr:uid="{00000000-0005-0000-0000-0000DA410000}"/>
    <cellStyle name="Normal 2 2 10" xfId="16929" xr:uid="{00000000-0005-0000-0000-0000DB410000}"/>
    <cellStyle name="Normal 2 2 11" xfId="16930" xr:uid="{00000000-0005-0000-0000-0000DC410000}"/>
    <cellStyle name="Normal 2 2 12" xfId="16931" xr:uid="{00000000-0005-0000-0000-0000DD410000}"/>
    <cellStyle name="Normal 2 2 13" xfId="16932" xr:uid="{00000000-0005-0000-0000-0000DE410000}"/>
    <cellStyle name="Normal 2 2 14" xfId="16933" xr:uid="{00000000-0005-0000-0000-0000DF410000}"/>
    <cellStyle name="Normal 2 2 14 2" xfId="16934" xr:uid="{00000000-0005-0000-0000-0000E0410000}"/>
    <cellStyle name="Normal 2 2 2" xfId="16935" xr:uid="{00000000-0005-0000-0000-0000E1410000}"/>
    <cellStyle name="Normal 2 2 2 2" xfId="16936" xr:uid="{00000000-0005-0000-0000-0000E2410000}"/>
    <cellStyle name="Normal 2 2 2 2 2" xfId="16937" xr:uid="{00000000-0005-0000-0000-0000E3410000}"/>
    <cellStyle name="Normal 2 2 2 2 3" xfId="16938" xr:uid="{00000000-0005-0000-0000-0000E4410000}"/>
    <cellStyle name="Normal 2 2 3" xfId="16939" xr:uid="{00000000-0005-0000-0000-0000E5410000}"/>
    <cellStyle name="Normal 2 2 3 2" xfId="16940" xr:uid="{00000000-0005-0000-0000-0000E6410000}"/>
    <cellStyle name="Normal 2 2 3 2 2" xfId="16941" xr:uid="{00000000-0005-0000-0000-0000E7410000}"/>
    <cellStyle name="Normal 2 2 3 3" xfId="16942" xr:uid="{00000000-0005-0000-0000-0000E8410000}"/>
    <cellStyle name="Normal 2 2 3 4" xfId="16943" xr:uid="{00000000-0005-0000-0000-0000E9410000}"/>
    <cellStyle name="Normal 2 2 4" xfId="16944" xr:uid="{00000000-0005-0000-0000-0000EA410000}"/>
    <cellStyle name="Normal 2 2 4 2" xfId="16945" xr:uid="{00000000-0005-0000-0000-0000EB410000}"/>
    <cellStyle name="Normal 2 2 4 2 2" xfId="16946" xr:uid="{00000000-0005-0000-0000-0000EC410000}"/>
    <cellStyle name="Normal 2 2 4 3" xfId="16947" xr:uid="{00000000-0005-0000-0000-0000ED410000}"/>
    <cellStyle name="Normal 2 2 5" xfId="16948" xr:uid="{00000000-0005-0000-0000-0000EE410000}"/>
    <cellStyle name="Normal 2 2 5 2" xfId="16949" xr:uid="{00000000-0005-0000-0000-0000EF410000}"/>
    <cellStyle name="Normal 2 2 6" xfId="16950" xr:uid="{00000000-0005-0000-0000-0000F0410000}"/>
    <cellStyle name="Normal 2 2 6 2" xfId="16951" xr:uid="{00000000-0005-0000-0000-0000F1410000}"/>
    <cellStyle name="Normal 2 2 6 2 2" xfId="16952" xr:uid="{00000000-0005-0000-0000-0000F2410000}"/>
    <cellStyle name="Normal 2 2 6 3" xfId="16953" xr:uid="{00000000-0005-0000-0000-0000F3410000}"/>
    <cellStyle name="Normal 2 2 7" xfId="16954" xr:uid="{00000000-0005-0000-0000-0000F4410000}"/>
    <cellStyle name="Normal 2 2 8" xfId="16955" xr:uid="{00000000-0005-0000-0000-0000F5410000}"/>
    <cellStyle name="Normal 2 2 9" xfId="16956" xr:uid="{00000000-0005-0000-0000-0000F6410000}"/>
    <cellStyle name="Normal 2 2_Map2" xfId="16957" xr:uid="{00000000-0005-0000-0000-0000F7410000}"/>
    <cellStyle name="Normal 2 20" xfId="16958" xr:uid="{00000000-0005-0000-0000-0000F8410000}"/>
    <cellStyle name="Normal 2 21" xfId="16959" xr:uid="{00000000-0005-0000-0000-0000F9410000}"/>
    <cellStyle name="Normal 2 22" xfId="16960" xr:uid="{00000000-0005-0000-0000-0000FA410000}"/>
    <cellStyle name="Normal 2 23" xfId="16961" xr:uid="{00000000-0005-0000-0000-0000FB410000}"/>
    <cellStyle name="Normal 2 24" xfId="16962" xr:uid="{00000000-0005-0000-0000-0000FC410000}"/>
    <cellStyle name="Normal 2 25" xfId="16963" xr:uid="{00000000-0005-0000-0000-0000FD410000}"/>
    <cellStyle name="Normal 2 26" xfId="16964" xr:uid="{00000000-0005-0000-0000-0000FE410000}"/>
    <cellStyle name="Normal 2 27" xfId="16965" xr:uid="{00000000-0005-0000-0000-0000FF410000}"/>
    <cellStyle name="Normal 2 28" xfId="16966" xr:uid="{00000000-0005-0000-0000-000000420000}"/>
    <cellStyle name="Normal 2 29" xfId="16967" xr:uid="{00000000-0005-0000-0000-000001420000}"/>
    <cellStyle name="Normal 2 3" xfId="16968" xr:uid="{00000000-0005-0000-0000-000002420000}"/>
    <cellStyle name="Normal 2 3 2" xfId="16969" xr:uid="{00000000-0005-0000-0000-000003420000}"/>
    <cellStyle name="Normal 2 3 3" xfId="16970" xr:uid="{00000000-0005-0000-0000-000004420000}"/>
    <cellStyle name="Normal 2 3 4" xfId="16971" xr:uid="{00000000-0005-0000-0000-000005420000}"/>
    <cellStyle name="Normal 2 30" xfId="16972" xr:uid="{00000000-0005-0000-0000-000006420000}"/>
    <cellStyle name="Normal 2 31" xfId="16973" xr:uid="{00000000-0005-0000-0000-000007420000}"/>
    <cellStyle name="Normal 2 32" xfId="16974" xr:uid="{00000000-0005-0000-0000-000008420000}"/>
    <cellStyle name="Normal 2 33" xfId="16975" xr:uid="{00000000-0005-0000-0000-000009420000}"/>
    <cellStyle name="Normal 2 34" xfId="16976" xr:uid="{00000000-0005-0000-0000-00000A420000}"/>
    <cellStyle name="Normal 2 35" xfId="16977" xr:uid="{00000000-0005-0000-0000-00000B420000}"/>
    <cellStyle name="Normal 2 36" xfId="16978" xr:uid="{00000000-0005-0000-0000-00000C420000}"/>
    <cellStyle name="Normal 2 37" xfId="16979" xr:uid="{00000000-0005-0000-0000-00000D420000}"/>
    <cellStyle name="Normal 2 38" xfId="16980" xr:uid="{00000000-0005-0000-0000-00000E420000}"/>
    <cellStyle name="Normal 2 39" xfId="16981" xr:uid="{00000000-0005-0000-0000-00000F420000}"/>
    <cellStyle name="Normal 2 4" xfId="16982" xr:uid="{00000000-0005-0000-0000-000010420000}"/>
    <cellStyle name="Normal 2 4 2" xfId="16983" xr:uid="{00000000-0005-0000-0000-000011420000}"/>
    <cellStyle name="Normal 2 4 2 2" xfId="16984" xr:uid="{00000000-0005-0000-0000-000012420000}"/>
    <cellStyle name="Normal 2 4 3" xfId="16985" xr:uid="{00000000-0005-0000-0000-000013420000}"/>
    <cellStyle name="Normal 2 4 3 2" xfId="16986" xr:uid="{00000000-0005-0000-0000-000014420000}"/>
    <cellStyle name="Normal 2 4 4" xfId="16987" xr:uid="{00000000-0005-0000-0000-000015420000}"/>
    <cellStyle name="Normal 2 4 5" xfId="16988" xr:uid="{00000000-0005-0000-0000-000016420000}"/>
    <cellStyle name="Normal 2 40" xfId="16989" xr:uid="{00000000-0005-0000-0000-000017420000}"/>
    <cellStyle name="Normal 2 41" xfId="16990" xr:uid="{00000000-0005-0000-0000-000018420000}"/>
    <cellStyle name="Normal 2 42" xfId="16991" xr:uid="{00000000-0005-0000-0000-000019420000}"/>
    <cellStyle name="Normal 2 43" xfId="16992" xr:uid="{00000000-0005-0000-0000-00001A420000}"/>
    <cellStyle name="Normal 2 44" xfId="16993" xr:uid="{00000000-0005-0000-0000-00001B420000}"/>
    <cellStyle name="Normal 2 45" xfId="16994" xr:uid="{00000000-0005-0000-0000-00001C420000}"/>
    <cellStyle name="Normal 2 46" xfId="16995" xr:uid="{00000000-0005-0000-0000-00001D420000}"/>
    <cellStyle name="Normal 2 47" xfId="16996" xr:uid="{00000000-0005-0000-0000-00001E420000}"/>
    <cellStyle name="Normal 2 48" xfId="16997" xr:uid="{00000000-0005-0000-0000-00001F420000}"/>
    <cellStyle name="Normal 2 49" xfId="16998" xr:uid="{00000000-0005-0000-0000-000020420000}"/>
    <cellStyle name="Normal 2 5" xfId="16999" xr:uid="{00000000-0005-0000-0000-000021420000}"/>
    <cellStyle name="Normal 2 5 2" xfId="17000" xr:uid="{00000000-0005-0000-0000-000022420000}"/>
    <cellStyle name="Normal 2 5 2 2" xfId="17001" xr:uid="{00000000-0005-0000-0000-000023420000}"/>
    <cellStyle name="Normal 2 5 3" xfId="17002" xr:uid="{00000000-0005-0000-0000-000024420000}"/>
    <cellStyle name="Normal 2 5 4" xfId="17003" xr:uid="{00000000-0005-0000-0000-000025420000}"/>
    <cellStyle name="Normal 2 50" xfId="17004" xr:uid="{00000000-0005-0000-0000-000026420000}"/>
    <cellStyle name="Normal 2 51" xfId="17005" xr:uid="{00000000-0005-0000-0000-000027420000}"/>
    <cellStyle name="Normal 2 52" xfId="17006" xr:uid="{00000000-0005-0000-0000-000028420000}"/>
    <cellStyle name="Normal 2 53" xfId="17007" xr:uid="{00000000-0005-0000-0000-000029420000}"/>
    <cellStyle name="Normal 2 54" xfId="17008" xr:uid="{00000000-0005-0000-0000-00002A420000}"/>
    <cellStyle name="Normal 2 6" xfId="17009" xr:uid="{00000000-0005-0000-0000-00002B420000}"/>
    <cellStyle name="Normal 2 6 2" xfId="17010" xr:uid="{00000000-0005-0000-0000-00002C420000}"/>
    <cellStyle name="Normal 2 6 2 2" xfId="17011" xr:uid="{00000000-0005-0000-0000-00002D420000}"/>
    <cellStyle name="Normal 2 6 3" xfId="17012" xr:uid="{00000000-0005-0000-0000-00002E420000}"/>
    <cellStyle name="Normal 2 7" xfId="17013" xr:uid="{00000000-0005-0000-0000-00002F420000}"/>
    <cellStyle name="Normal 2 7 2" xfId="17014" xr:uid="{00000000-0005-0000-0000-000030420000}"/>
    <cellStyle name="Normal 2 7 2 2" xfId="17015" xr:uid="{00000000-0005-0000-0000-000031420000}"/>
    <cellStyle name="Normal 2 7 3" xfId="17016" xr:uid="{00000000-0005-0000-0000-000032420000}"/>
    <cellStyle name="Normal 2 8" xfId="17017" xr:uid="{00000000-0005-0000-0000-000033420000}"/>
    <cellStyle name="Normal 2 8 2" xfId="17018" xr:uid="{00000000-0005-0000-0000-000034420000}"/>
    <cellStyle name="Normal 2 9" xfId="17019" xr:uid="{00000000-0005-0000-0000-000035420000}"/>
    <cellStyle name="Normal 2 9 2" xfId="17020" xr:uid="{00000000-0005-0000-0000-000036420000}"/>
    <cellStyle name="Normal 2 9 2 2" xfId="17021" xr:uid="{00000000-0005-0000-0000-000037420000}"/>
    <cellStyle name="Normal 2 9 3" xfId="17022" xr:uid="{00000000-0005-0000-0000-000038420000}"/>
    <cellStyle name="Normal 2 9 4" xfId="17023" xr:uid="{00000000-0005-0000-0000-000039420000}"/>
    <cellStyle name="Normal 2_Chainage IG Passif" xfId="17024" xr:uid="{00000000-0005-0000-0000-00003A420000}"/>
    <cellStyle name="Normal 20" xfId="17025" xr:uid="{00000000-0005-0000-0000-00003B420000}"/>
    <cellStyle name="Normal 20 10" xfId="17026" xr:uid="{00000000-0005-0000-0000-00003C420000}"/>
    <cellStyle name="Normal 20 11" xfId="17027" xr:uid="{00000000-0005-0000-0000-00003D420000}"/>
    <cellStyle name="Normal 20 12" xfId="17028" xr:uid="{00000000-0005-0000-0000-00003E420000}"/>
    <cellStyle name="Normal 20 13" xfId="17029" xr:uid="{00000000-0005-0000-0000-00003F420000}"/>
    <cellStyle name="Normal 20 14" xfId="17030" xr:uid="{00000000-0005-0000-0000-000040420000}"/>
    <cellStyle name="Normal 20 15" xfId="17031" xr:uid="{00000000-0005-0000-0000-000041420000}"/>
    <cellStyle name="Normal 20 16" xfId="17032" xr:uid="{00000000-0005-0000-0000-000042420000}"/>
    <cellStyle name="Normal 20 17" xfId="17033" xr:uid="{00000000-0005-0000-0000-000043420000}"/>
    <cellStyle name="Normal 20 18" xfId="17034" xr:uid="{00000000-0005-0000-0000-000044420000}"/>
    <cellStyle name="Normal 20 19" xfId="17035" xr:uid="{00000000-0005-0000-0000-000045420000}"/>
    <cellStyle name="Normal 20 2" xfId="17036" xr:uid="{00000000-0005-0000-0000-000046420000}"/>
    <cellStyle name="Normal 20 20" xfId="17037" xr:uid="{00000000-0005-0000-0000-000047420000}"/>
    <cellStyle name="Normal 20 21" xfId="17038" xr:uid="{00000000-0005-0000-0000-000048420000}"/>
    <cellStyle name="Normal 20 22" xfId="17039" xr:uid="{00000000-0005-0000-0000-000049420000}"/>
    <cellStyle name="Normal 20 23" xfId="17040" xr:uid="{00000000-0005-0000-0000-00004A420000}"/>
    <cellStyle name="Normal 20 24" xfId="17041" xr:uid="{00000000-0005-0000-0000-00004B420000}"/>
    <cellStyle name="Normal 20 25" xfId="17042" xr:uid="{00000000-0005-0000-0000-00004C420000}"/>
    <cellStyle name="Normal 20 26" xfId="17043" xr:uid="{00000000-0005-0000-0000-00004D420000}"/>
    <cellStyle name="Normal 20 27" xfId="17044" xr:uid="{00000000-0005-0000-0000-00004E420000}"/>
    <cellStyle name="Normal 20 28" xfId="17045" xr:uid="{00000000-0005-0000-0000-00004F420000}"/>
    <cellStyle name="Normal 20 29" xfId="17046" xr:uid="{00000000-0005-0000-0000-000050420000}"/>
    <cellStyle name="Normal 20 3" xfId="17047" xr:uid="{00000000-0005-0000-0000-000051420000}"/>
    <cellStyle name="Normal 20 30" xfId="17048" xr:uid="{00000000-0005-0000-0000-000052420000}"/>
    <cellStyle name="Normal 20 31" xfId="17049" xr:uid="{00000000-0005-0000-0000-000053420000}"/>
    <cellStyle name="Normal 20 32" xfId="17050" xr:uid="{00000000-0005-0000-0000-000054420000}"/>
    <cellStyle name="Normal 20 33" xfId="17051" xr:uid="{00000000-0005-0000-0000-000055420000}"/>
    <cellStyle name="Normal 20 34" xfId="17052" xr:uid="{00000000-0005-0000-0000-000056420000}"/>
    <cellStyle name="Normal 20 35" xfId="17053" xr:uid="{00000000-0005-0000-0000-000057420000}"/>
    <cellStyle name="Normal 20 36" xfId="17054" xr:uid="{00000000-0005-0000-0000-000058420000}"/>
    <cellStyle name="Normal 20 37" xfId="17055" xr:uid="{00000000-0005-0000-0000-000059420000}"/>
    <cellStyle name="Normal 20 38" xfId="17056" xr:uid="{00000000-0005-0000-0000-00005A420000}"/>
    <cellStyle name="Normal 20 39" xfId="17057" xr:uid="{00000000-0005-0000-0000-00005B420000}"/>
    <cellStyle name="Normal 20 4" xfId="17058" xr:uid="{00000000-0005-0000-0000-00005C420000}"/>
    <cellStyle name="Normal 20 40" xfId="17059" xr:uid="{00000000-0005-0000-0000-00005D420000}"/>
    <cellStyle name="Normal 20 41" xfId="17060" xr:uid="{00000000-0005-0000-0000-00005E420000}"/>
    <cellStyle name="Normal 20 42" xfId="17061" xr:uid="{00000000-0005-0000-0000-00005F420000}"/>
    <cellStyle name="Normal 20 43" xfId="17062" xr:uid="{00000000-0005-0000-0000-000060420000}"/>
    <cellStyle name="Normal 20 44" xfId="17063" xr:uid="{00000000-0005-0000-0000-000061420000}"/>
    <cellStyle name="Normal 20 5" xfId="17064" xr:uid="{00000000-0005-0000-0000-000062420000}"/>
    <cellStyle name="Normal 20 6" xfId="17065" xr:uid="{00000000-0005-0000-0000-000063420000}"/>
    <cellStyle name="Normal 20 7" xfId="17066" xr:uid="{00000000-0005-0000-0000-000064420000}"/>
    <cellStyle name="Normal 20 8" xfId="17067" xr:uid="{00000000-0005-0000-0000-000065420000}"/>
    <cellStyle name="Normal 20 9" xfId="17068" xr:uid="{00000000-0005-0000-0000-000066420000}"/>
    <cellStyle name="Normal 21" xfId="17069" xr:uid="{00000000-0005-0000-0000-000067420000}"/>
    <cellStyle name="Normal 21 10" xfId="17070" xr:uid="{00000000-0005-0000-0000-000068420000}"/>
    <cellStyle name="Normal 21 11" xfId="17071" xr:uid="{00000000-0005-0000-0000-000069420000}"/>
    <cellStyle name="Normal 21 12" xfId="17072" xr:uid="{00000000-0005-0000-0000-00006A420000}"/>
    <cellStyle name="Normal 21 13" xfId="17073" xr:uid="{00000000-0005-0000-0000-00006B420000}"/>
    <cellStyle name="Normal 21 14" xfId="17074" xr:uid="{00000000-0005-0000-0000-00006C420000}"/>
    <cellStyle name="Normal 21 15" xfId="17075" xr:uid="{00000000-0005-0000-0000-00006D420000}"/>
    <cellStyle name="Normal 21 16" xfId="17076" xr:uid="{00000000-0005-0000-0000-00006E420000}"/>
    <cellStyle name="Normal 21 17" xfId="17077" xr:uid="{00000000-0005-0000-0000-00006F420000}"/>
    <cellStyle name="Normal 21 18" xfId="17078" xr:uid="{00000000-0005-0000-0000-000070420000}"/>
    <cellStyle name="Normal 21 19" xfId="17079" xr:uid="{00000000-0005-0000-0000-000071420000}"/>
    <cellStyle name="Normal 21 2" xfId="17080" xr:uid="{00000000-0005-0000-0000-000072420000}"/>
    <cellStyle name="Normal 21 20" xfId="17081" xr:uid="{00000000-0005-0000-0000-000073420000}"/>
    <cellStyle name="Normal 21 21" xfId="17082" xr:uid="{00000000-0005-0000-0000-000074420000}"/>
    <cellStyle name="Normal 21 22" xfId="17083" xr:uid="{00000000-0005-0000-0000-000075420000}"/>
    <cellStyle name="Normal 21 23" xfId="17084" xr:uid="{00000000-0005-0000-0000-000076420000}"/>
    <cellStyle name="Normal 21 24" xfId="17085" xr:uid="{00000000-0005-0000-0000-000077420000}"/>
    <cellStyle name="Normal 21 25" xfId="17086" xr:uid="{00000000-0005-0000-0000-000078420000}"/>
    <cellStyle name="Normal 21 26" xfId="17087" xr:uid="{00000000-0005-0000-0000-000079420000}"/>
    <cellStyle name="Normal 21 27" xfId="17088" xr:uid="{00000000-0005-0000-0000-00007A420000}"/>
    <cellStyle name="Normal 21 28" xfId="17089" xr:uid="{00000000-0005-0000-0000-00007B420000}"/>
    <cellStyle name="Normal 21 29" xfId="17090" xr:uid="{00000000-0005-0000-0000-00007C420000}"/>
    <cellStyle name="Normal 21 3" xfId="17091" xr:uid="{00000000-0005-0000-0000-00007D420000}"/>
    <cellStyle name="Normal 21 30" xfId="17092" xr:uid="{00000000-0005-0000-0000-00007E420000}"/>
    <cellStyle name="Normal 21 31" xfId="17093" xr:uid="{00000000-0005-0000-0000-00007F420000}"/>
    <cellStyle name="Normal 21 32" xfId="17094" xr:uid="{00000000-0005-0000-0000-000080420000}"/>
    <cellStyle name="Normal 21 33" xfId="17095" xr:uid="{00000000-0005-0000-0000-000081420000}"/>
    <cellStyle name="Normal 21 34" xfId="17096" xr:uid="{00000000-0005-0000-0000-000082420000}"/>
    <cellStyle name="Normal 21 35" xfId="17097" xr:uid="{00000000-0005-0000-0000-000083420000}"/>
    <cellStyle name="Normal 21 36" xfId="17098" xr:uid="{00000000-0005-0000-0000-000084420000}"/>
    <cellStyle name="Normal 21 37" xfId="17099" xr:uid="{00000000-0005-0000-0000-000085420000}"/>
    <cellStyle name="Normal 21 38" xfId="17100" xr:uid="{00000000-0005-0000-0000-000086420000}"/>
    <cellStyle name="Normal 21 39" xfId="17101" xr:uid="{00000000-0005-0000-0000-000087420000}"/>
    <cellStyle name="Normal 21 4" xfId="17102" xr:uid="{00000000-0005-0000-0000-000088420000}"/>
    <cellStyle name="Normal 21 40" xfId="17103" xr:uid="{00000000-0005-0000-0000-000089420000}"/>
    <cellStyle name="Normal 21 41" xfId="17104" xr:uid="{00000000-0005-0000-0000-00008A420000}"/>
    <cellStyle name="Normal 21 42" xfId="17105" xr:uid="{00000000-0005-0000-0000-00008B420000}"/>
    <cellStyle name="Normal 21 43" xfId="17106" xr:uid="{00000000-0005-0000-0000-00008C420000}"/>
    <cellStyle name="Normal 21 44" xfId="17107" xr:uid="{00000000-0005-0000-0000-00008D420000}"/>
    <cellStyle name="Normal 21 5" xfId="17108" xr:uid="{00000000-0005-0000-0000-00008E420000}"/>
    <cellStyle name="Normal 21 6" xfId="17109" xr:uid="{00000000-0005-0000-0000-00008F420000}"/>
    <cellStyle name="Normal 21 7" xfId="17110" xr:uid="{00000000-0005-0000-0000-000090420000}"/>
    <cellStyle name="Normal 21 8" xfId="17111" xr:uid="{00000000-0005-0000-0000-000091420000}"/>
    <cellStyle name="Normal 21 9" xfId="17112" xr:uid="{00000000-0005-0000-0000-000092420000}"/>
    <cellStyle name="Normal 22" xfId="17113" xr:uid="{00000000-0005-0000-0000-000093420000}"/>
    <cellStyle name="Normal 22 10" xfId="17114" xr:uid="{00000000-0005-0000-0000-000094420000}"/>
    <cellStyle name="Normal 22 11" xfId="17115" xr:uid="{00000000-0005-0000-0000-000095420000}"/>
    <cellStyle name="Normal 22 12" xfId="17116" xr:uid="{00000000-0005-0000-0000-000096420000}"/>
    <cellStyle name="Normal 22 13" xfId="17117" xr:uid="{00000000-0005-0000-0000-000097420000}"/>
    <cellStyle name="Normal 22 14" xfId="17118" xr:uid="{00000000-0005-0000-0000-000098420000}"/>
    <cellStyle name="Normal 22 15" xfId="17119" xr:uid="{00000000-0005-0000-0000-000099420000}"/>
    <cellStyle name="Normal 22 16" xfId="17120" xr:uid="{00000000-0005-0000-0000-00009A420000}"/>
    <cellStyle name="Normal 22 17" xfId="17121" xr:uid="{00000000-0005-0000-0000-00009B420000}"/>
    <cellStyle name="Normal 22 18" xfId="17122" xr:uid="{00000000-0005-0000-0000-00009C420000}"/>
    <cellStyle name="Normal 22 19" xfId="17123" xr:uid="{00000000-0005-0000-0000-00009D420000}"/>
    <cellStyle name="Normal 22 2" xfId="17124" xr:uid="{00000000-0005-0000-0000-00009E420000}"/>
    <cellStyle name="Normal 22 20" xfId="17125" xr:uid="{00000000-0005-0000-0000-00009F420000}"/>
    <cellStyle name="Normal 22 21" xfId="17126" xr:uid="{00000000-0005-0000-0000-0000A0420000}"/>
    <cellStyle name="Normal 22 22" xfId="17127" xr:uid="{00000000-0005-0000-0000-0000A1420000}"/>
    <cellStyle name="Normal 22 23" xfId="17128" xr:uid="{00000000-0005-0000-0000-0000A2420000}"/>
    <cellStyle name="Normal 22 24" xfId="17129" xr:uid="{00000000-0005-0000-0000-0000A3420000}"/>
    <cellStyle name="Normal 22 25" xfId="17130" xr:uid="{00000000-0005-0000-0000-0000A4420000}"/>
    <cellStyle name="Normal 22 26" xfId="17131" xr:uid="{00000000-0005-0000-0000-0000A5420000}"/>
    <cellStyle name="Normal 22 27" xfId="17132" xr:uid="{00000000-0005-0000-0000-0000A6420000}"/>
    <cellStyle name="Normal 22 28" xfId="17133" xr:uid="{00000000-0005-0000-0000-0000A7420000}"/>
    <cellStyle name="Normal 22 29" xfId="17134" xr:uid="{00000000-0005-0000-0000-0000A8420000}"/>
    <cellStyle name="Normal 22 3" xfId="17135" xr:uid="{00000000-0005-0000-0000-0000A9420000}"/>
    <cellStyle name="Normal 22 30" xfId="17136" xr:uid="{00000000-0005-0000-0000-0000AA420000}"/>
    <cellStyle name="Normal 22 31" xfId="17137" xr:uid="{00000000-0005-0000-0000-0000AB420000}"/>
    <cellStyle name="Normal 22 32" xfId="17138" xr:uid="{00000000-0005-0000-0000-0000AC420000}"/>
    <cellStyle name="Normal 22 33" xfId="17139" xr:uid="{00000000-0005-0000-0000-0000AD420000}"/>
    <cellStyle name="Normal 22 34" xfId="17140" xr:uid="{00000000-0005-0000-0000-0000AE420000}"/>
    <cellStyle name="Normal 22 35" xfId="17141" xr:uid="{00000000-0005-0000-0000-0000AF420000}"/>
    <cellStyle name="Normal 22 36" xfId="17142" xr:uid="{00000000-0005-0000-0000-0000B0420000}"/>
    <cellStyle name="Normal 22 37" xfId="17143" xr:uid="{00000000-0005-0000-0000-0000B1420000}"/>
    <cellStyle name="Normal 22 38" xfId="17144" xr:uid="{00000000-0005-0000-0000-0000B2420000}"/>
    <cellStyle name="Normal 22 39" xfId="17145" xr:uid="{00000000-0005-0000-0000-0000B3420000}"/>
    <cellStyle name="Normal 22 4" xfId="17146" xr:uid="{00000000-0005-0000-0000-0000B4420000}"/>
    <cellStyle name="Normal 22 40" xfId="17147" xr:uid="{00000000-0005-0000-0000-0000B5420000}"/>
    <cellStyle name="Normal 22 41" xfId="17148" xr:uid="{00000000-0005-0000-0000-0000B6420000}"/>
    <cellStyle name="Normal 22 42" xfId="17149" xr:uid="{00000000-0005-0000-0000-0000B7420000}"/>
    <cellStyle name="Normal 22 43" xfId="17150" xr:uid="{00000000-0005-0000-0000-0000B8420000}"/>
    <cellStyle name="Normal 22 44" xfId="17151" xr:uid="{00000000-0005-0000-0000-0000B9420000}"/>
    <cellStyle name="Normal 22 45" xfId="17152" xr:uid="{00000000-0005-0000-0000-0000BA420000}"/>
    <cellStyle name="Normal 22 5" xfId="17153" xr:uid="{00000000-0005-0000-0000-0000BB420000}"/>
    <cellStyle name="Normal 22 6" xfId="17154" xr:uid="{00000000-0005-0000-0000-0000BC420000}"/>
    <cellStyle name="Normal 22 7" xfId="17155" xr:uid="{00000000-0005-0000-0000-0000BD420000}"/>
    <cellStyle name="Normal 22 8" xfId="17156" xr:uid="{00000000-0005-0000-0000-0000BE420000}"/>
    <cellStyle name="Normal 22 9" xfId="17157" xr:uid="{00000000-0005-0000-0000-0000BF420000}"/>
    <cellStyle name="Normal 22_Arpege_Phase_C_Annexes_v0 EL" xfId="17158" xr:uid="{00000000-0005-0000-0000-0000C0420000}"/>
    <cellStyle name="Normal 23" xfId="20674" xr:uid="{00000000-0005-0000-0000-0000C1420000}"/>
    <cellStyle name="Normal 24" xfId="20698" xr:uid="{00000000-0005-0000-0000-0000C2420000}"/>
    <cellStyle name="Normal 25" xfId="20700" xr:uid="{00000000-0005-0000-0000-0000C3420000}"/>
    <cellStyle name="Normal 3" xfId="124" xr:uid="{00000000-0005-0000-0000-0000C4420000}"/>
    <cellStyle name="Normal 3 10" xfId="17159" xr:uid="{00000000-0005-0000-0000-0000C5420000}"/>
    <cellStyle name="Normal 3 11" xfId="17160" xr:uid="{00000000-0005-0000-0000-0000C6420000}"/>
    <cellStyle name="Normal 3 12" xfId="17161" xr:uid="{00000000-0005-0000-0000-0000C7420000}"/>
    <cellStyle name="Normal 3 13" xfId="17162" xr:uid="{00000000-0005-0000-0000-0000C8420000}"/>
    <cellStyle name="Normal 3 14" xfId="17163" xr:uid="{00000000-0005-0000-0000-0000C9420000}"/>
    <cellStyle name="Normal 3 15" xfId="17164" xr:uid="{00000000-0005-0000-0000-0000CA420000}"/>
    <cellStyle name="Normal 3 16" xfId="17165" xr:uid="{00000000-0005-0000-0000-0000CB420000}"/>
    <cellStyle name="Normal 3 17" xfId="17166" xr:uid="{00000000-0005-0000-0000-0000CC420000}"/>
    <cellStyle name="Normal 3 18" xfId="17167" xr:uid="{00000000-0005-0000-0000-0000CD420000}"/>
    <cellStyle name="Normal 3 19" xfId="17168" xr:uid="{00000000-0005-0000-0000-0000CE420000}"/>
    <cellStyle name="Normal 3 2" xfId="227" xr:uid="{00000000-0005-0000-0000-0000CF420000}"/>
    <cellStyle name="Normal 3 2 2" xfId="17169" xr:uid="{00000000-0005-0000-0000-0000D0420000}"/>
    <cellStyle name="Normal 3 2 2 2" xfId="17170" xr:uid="{00000000-0005-0000-0000-0000D1420000}"/>
    <cellStyle name="Normal 3 2 2 2 2" xfId="17171" xr:uid="{00000000-0005-0000-0000-0000D2420000}"/>
    <cellStyle name="Normal 3 2 2 2 3" xfId="17172" xr:uid="{00000000-0005-0000-0000-0000D3420000}"/>
    <cellStyle name="Normal 3 2 3" xfId="17173" xr:uid="{00000000-0005-0000-0000-0000D4420000}"/>
    <cellStyle name="Normal 3 2 4" xfId="17174" xr:uid="{00000000-0005-0000-0000-0000D5420000}"/>
    <cellStyle name="Normal 3 2 4 2" xfId="17175" xr:uid="{00000000-0005-0000-0000-0000D6420000}"/>
    <cellStyle name="Normal 3 2 5" xfId="17176" xr:uid="{00000000-0005-0000-0000-0000D7420000}"/>
    <cellStyle name="Normal 3 2_Bilan -Fonds propres - SCR - Solo Reporting Templates v12 - Revu SAP" xfId="17177" xr:uid="{00000000-0005-0000-0000-0000D8420000}"/>
    <cellStyle name="Normal 3 20" xfId="17178" xr:uid="{00000000-0005-0000-0000-0000D9420000}"/>
    <cellStyle name="Normal 3 21" xfId="17179" xr:uid="{00000000-0005-0000-0000-0000DA420000}"/>
    <cellStyle name="Normal 3 22" xfId="17180" xr:uid="{00000000-0005-0000-0000-0000DB420000}"/>
    <cellStyle name="Normal 3 23" xfId="17181" xr:uid="{00000000-0005-0000-0000-0000DC420000}"/>
    <cellStyle name="Normal 3 24" xfId="17182" xr:uid="{00000000-0005-0000-0000-0000DD420000}"/>
    <cellStyle name="Normal 3 25" xfId="17183" xr:uid="{00000000-0005-0000-0000-0000DE420000}"/>
    <cellStyle name="Normal 3 26" xfId="17184" xr:uid="{00000000-0005-0000-0000-0000DF420000}"/>
    <cellStyle name="Normal 3 27" xfId="17185" xr:uid="{00000000-0005-0000-0000-0000E0420000}"/>
    <cellStyle name="Normal 3 28" xfId="17186" xr:uid="{00000000-0005-0000-0000-0000E1420000}"/>
    <cellStyle name="Normal 3 29" xfId="17187" xr:uid="{00000000-0005-0000-0000-0000E2420000}"/>
    <cellStyle name="Normal 3 3" xfId="17188" xr:uid="{00000000-0005-0000-0000-0000E3420000}"/>
    <cellStyle name="Normal 3 3 2" xfId="17189" xr:uid="{00000000-0005-0000-0000-0000E4420000}"/>
    <cellStyle name="Normal 3 3 2 2" xfId="17190" xr:uid="{00000000-0005-0000-0000-0000E5420000}"/>
    <cellStyle name="Normal 3 3 2 2 2" xfId="17191" xr:uid="{00000000-0005-0000-0000-0000E6420000}"/>
    <cellStyle name="Normal 3 3 2 3" xfId="17192" xr:uid="{00000000-0005-0000-0000-0000E7420000}"/>
    <cellStyle name="Normal 3 3 3" xfId="17193" xr:uid="{00000000-0005-0000-0000-0000E8420000}"/>
    <cellStyle name="Normal 3 3 3 2" xfId="17194" xr:uid="{00000000-0005-0000-0000-0000E9420000}"/>
    <cellStyle name="Normal 3 3 4" xfId="17195" xr:uid="{00000000-0005-0000-0000-0000EA420000}"/>
    <cellStyle name="Normal 3 30" xfId="17196" xr:uid="{00000000-0005-0000-0000-0000EB420000}"/>
    <cellStyle name="Normal 3 31" xfId="17197" xr:uid="{00000000-0005-0000-0000-0000EC420000}"/>
    <cellStyle name="Normal 3 32" xfId="17198" xr:uid="{00000000-0005-0000-0000-0000ED420000}"/>
    <cellStyle name="Normal 3 4" xfId="17199" xr:uid="{00000000-0005-0000-0000-0000EE420000}"/>
    <cellStyle name="Normal 3 4 2" xfId="17200" xr:uid="{00000000-0005-0000-0000-0000EF420000}"/>
    <cellStyle name="Normal 3 4 3" xfId="17201" xr:uid="{00000000-0005-0000-0000-0000F0420000}"/>
    <cellStyle name="Normal 3 5" xfId="17202" xr:uid="{00000000-0005-0000-0000-0000F1420000}"/>
    <cellStyle name="Normal 3 6" xfId="17203" xr:uid="{00000000-0005-0000-0000-0000F2420000}"/>
    <cellStyle name="Normal 3 6 2" xfId="17204" xr:uid="{00000000-0005-0000-0000-0000F3420000}"/>
    <cellStyle name="Normal 3 7" xfId="17205" xr:uid="{00000000-0005-0000-0000-0000F4420000}"/>
    <cellStyle name="Normal 3 8" xfId="17206" xr:uid="{00000000-0005-0000-0000-0000F5420000}"/>
    <cellStyle name="Normal 3 8 2" xfId="17207" xr:uid="{00000000-0005-0000-0000-0000F6420000}"/>
    <cellStyle name="Normal 3 8 3" xfId="17208" xr:uid="{00000000-0005-0000-0000-0000F7420000}"/>
    <cellStyle name="Normal 3 9" xfId="17209" xr:uid="{00000000-0005-0000-0000-0000F8420000}"/>
    <cellStyle name="Normal 3_Dummy RTS EY+CCF 20100818" xfId="17210" xr:uid="{00000000-0005-0000-0000-0000F9420000}"/>
    <cellStyle name="Normal 4" xfId="125" xr:uid="{00000000-0005-0000-0000-0000FA420000}"/>
    <cellStyle name="Normal 4 2" xfId="228" xr:uid="{00000000-0005-0000-0000-0000FB420000}"/>
    <cellStyle name="Normal 4 2 2" xfId="17211" xr:uid="{00000000-0005-0000-0000-0000FC420000}"/>
    <cellStyle name="Normal 4 2 3" xfId="17212" xr:uid="{00000000-0005-0000-0000-0000FD420000}"/>
    <cellStyle name="Normal 4 3" xfId="17213" xr:uid="{00000000-0005-0000-0000-0000FE420000}"/>
    <cellStyle name="Normal 4 3 2" xfId="17214" xr:uid="{00000000-0005-0000-0000-0000FF420000}"/>
    <cellStyle name="Normal 4 3 3" xfId="17215" xr:uid="{00000000-0005-0000-0000-000000430000}"/>
    <cellStyle name="Normal 4 4" xfId="17216" xr:uid="{00000000-0005-0000-0000-000001430000}"/>
    <cellStyle name="Normal 4 4 2" xfId="17217" xr:uid="{00000000-0005-0000-0000-000002430000}"/>
    <cellStyle name="Normal 4 4 3" xfId="17218" xr:uid="{00000000-0005-0000-0000-000003430000}"/>
    <cellStyle name="Normal 4 5" xfId="17219" xr:uid="{00000000-0005-0000-0000-000004430000}"/>
    <cellStyle name="Normal 4 5 2" xfId="17220" xr:uid="{00000000-0005-0000-0000-000005430000}"/>
    <cellStyle name="Normal 4 6" xfId="17221" xr:uid="{00000000-0005-0000-0000-000006430000}"/>
    <cellStyle name="Normal 4 6 2" xfId="17222" xr:uid="{00000000-0005-0000-0000-000007430000}"/>
    <cellStyle name="Normal 4 7" xfId="17223" xr:uid="{00000000-0005-0000-0000-000008430000}"/>
    <cellStyle name="Normal 4 7 2" xfId="17224" xr:uid="{00000000-0005-0000-0000-000009430000}"/>
    <cellStyle name="Normal 4 8" xfId="17225" xr:uid="{00000000-0005-0000-0000-00000A430000}"/>
    <cellStyle name="Normal 5" xfId="87" xr:uid="{00000000-0005-0000-0000-00000B430000}"/>
    <cellStyle name="Normal 5 10" xfId="17226" xr:uid="{00000000-0005-0000-0000-00000C430000}"/>
    <cellStyle name="Normal 5 2" xfId="17227" xr:uid="{00000000-0005-0000-0000-00000D430000}"/>
    <cellStyle name="Normal 5 2 2" xfId="17228" xr:uid="{00000000-0005-0000-0000-00000E430000}"/>
    <cellStyle name="Normal 5 2 2 2" xfId="17229" xr:uid="{00000000-0005-0000-0000-00000F430000}"/>
    <cellStyle name="Normal 5 2 3" xfId="17230" xr:uid="{00000000-0005-0000-0000-000010430000}"/>
    <cellStyle name="Normal 5 2 4" xfId="17231" xr:uid="{00000000-0005-0000-0000-000011430000}"/>
    <cellStyle name="Normal 5 2 5" xfId="17232" xr:uid="{00000000-0005-0000-0000-000012430000}"/>
    <cellStyle name="Normal 5 3" xfId="17233" xr:uid="{00000000-0005-0000-0000-000013430000}"/>
    <cellStyle name="Normal 5 3 2" xfId="17234" xr:uid="{00000000-0005-0000-0000-000014430000}"/>
    <cellStyle name="Normal 5 3 2 2" xfId="17235" xr:uid="{00000000-0005-0000-0000-000015430000}"/>
    <cellStyle name="Normal 5 3 2 2 2" xfId="17236" xr:uid="{00000000-0005-0000-0000-000016430000}"/>
    <cellStyle name="Normal 5 3 2 2 2 2" xfId="17237" xr:uid="{00000000-0005-0000-0000-000017430000}"/>
    <cellStyle name="Normal 5 3 2 2 3" xfId="17238" xr:uid="{00000000-0005-0000-0000-000018430000}"/>
    <cellStyle name="Normal 5 3 3" xfId="17239" xr:uid="{00000000-0005-0000-0000-000019430000}"/>
    <cellStyle name="Normal 5 3 3 2" xfId="17240" xr:uid="{00000000-0005-0000-0000-00001A430000}"/>
    <cellStyle name="Normal 5 3 3 2 2" xfId="17241" xr:uid="{00000000-0005-0000-0000-00001B430000}"/>
    <cellStyle name="Normal 5 3 3 3" xfId="17242" xr:uid="{00000000-0005-0000-0000-00001C430000}"/>
    <cellStyle name="Normal 5 4" xfId="17243" xr:uid="{00000000-0005-0000-0000-00001D430000}"/>
    <cellStyle name="Normal 5 4 2" xfId="17244" xr:uid="{00000000-0005-0000-0000-00001E430000}"/>
    <cellStyle name="Normal 5 4 3" xfId="17245" xr:uid="{00000000-0005-0000-0000-00001F430000}"/>
    <cellStyle name="Normal 5 5" xfId="17246" xr:uid="{00000000-0005-0000-0000-000020430000}"/>
    <cellStyle name="Normal 5 5 2" xfId="17247" xr:uid="{00000000-0005-0000-0000-000021430000}"/>
    <cellStyle name="Normal 5 5 3" xfId="17248" xr:uid="{00000000-0005-0000-0000-000022430000}"/>
    <cellStyle name="Normal 5 6" xfId="17249" xr:uid="{00000000-0005-0000-0000-000023430000}"/>
    <cellStyle name="Normal 5 6 2" xfId="17250" xr:uid="{00000000-0005-0000-0000-000024430000}"/>
    <cellStyle name="Normal 5 6 2 2" xfId="17251" xr:uid="{00000000-0005-0000-0000-000025430000}"/>
    <cellStyle name="Normal 5 6 3" xfId="17252" xr:uid="{00000000-0005-0000-0000-000026430000}"/>
    <cellStyle name="Normal 5 7" xfId="17253" xr:uid="{00000000-0005-0000-0000-000027430000}"/>
    <cellStyle name="Normal 5 8" xfId="17254" xr:uid="{00000000-0005-0000-0000-000028430000}"/>
    <cellStyle name="Normal 5 9" xfId="17255" xr:uid="{00000000-0005-0000-0000-000029430000}"/>
    <cellStyle name="Normal 5_draft SPV template" xfId="17256" xr:uid="{00000000-0005-0000-0000-00002A430000}"/>
    <cellStyle name="Normal 6" xfId="187" xr:uid="{00000000-0005-0000-0000-00002B430000}"/>
    <cellStyle name="Normal 6 2" xfId="17257" xr:uid="{00000000-0005-0000-0000-00002C430000}"/>
    <cellStyle name="Normal 6_Assets - Solo Reporting Templates v12 - Revu SAP" xfId="17258" xr:uid="{00000000-0005-0000-0000-00002D430000}"/>
    <cellStyle name="Normal 64" xfId="17259" xr:uid="{00000000-0005-0000-0000-00002E430000}"/>
    <cellStyle name="Normal 65" xfId="17260" xr:uid="{00000000-0005-0000-0000-00002F430000}"/>
    <cellStyle name="Normal 7" xfId="186" xr:uid="{00000000-0005-0000-0000-000030430000}"/>
    <cellStyle name="Normal 7 2" xfId="242" xr:uid="{00000000-0005-0000-0000-000031430000}"/>
    <cellStyle name="Normal 7 2 2" xfId="17261" xr:uid="{00000000-0005-0000-0000-000032430000}"/>
    <cellStyle name="Normal 7 2 2 2" xfId="17262" xr:uid="{00000000-0005-0000-0000-000033430000}"/>
    <cellStyle name="Normal 7 2 2 3" xfId="17263" xr:uid="{00000000-0005-0000-0000-000034430000}"/>
    <cellStyle name="Normal 7 2 2 4" xfId="17264" xr:uid="{00000000-0005-0000-0000-000035430000}"/>
    <cellStyle name="Normal 7 2 3" xfId="20676" xr:uid="{00000000-0005-0000-0000-000036430000}"/>
    <cellStyle name="Normal 7 3" xfId="17265" xr:uid="{00000000-0005-0000-0000-000037430000}"/>
    <cellStyle name="Normal 7 4" xfId="20675" xr:uid="{00000000-0005-0000-0000-000038430000}"/>
    <cellStyle name="Normal 7_Assets - Solo Reporting Templates v12 - Revu SAP" xfId="17266" xr:uid="{00000000-0005-0000-0000-000039430000}"/>
    <cellStyle name="Normal 8" xfId="17267" xr:uid="{00000000-0005-0000-0000-00003A430000}"/>
    <cellStyle name="Normal 8 10" xfId="17268" xr:uid="{00000000-0005-0000-0000-00003B430000}"/>
    <cellStyle name="Normal 8 2" xfId="17269" xr:uid="{00000000-0005-0000-0000-00003C430000}"/>
    <cellStyle name="Normal 8 2 2" xfId="17270" xr:uid="{00000000-0005-0000-0000-00003D430000}"/>
    <cellStyle name="Normal 8 3" xfId="17271" xr:uid="{00000000-0005-0000-0000-00003E430000}"/>
    <cellStyle name="Normal 8 3 2" xfId="17272" xr:uid="{00000000-0005-0000-0000-00003F430000}"/>
    <cellStyle name="Normal 8 4" xfId="17273" xr:uid="{00000000-0005-0000-0000-000040430000}"/>
    <cellStyle name="Normal 8 4 2" xfId="17274" xr:uid="{00000000-0005-0000-0000-000041430000}"/>
    <cellStyle name="Normal 8 5" xfId="17275" xr:uid="{00000000-0005-0000-0000-000042430000}"/>
    <cellStyle name="Normal 8 5 2" xfId="17276" xr:uid="{00000000-0005-0000-0000-000043430000}"/>
    <cellStyle name="Normal 8 6" xfId="17277" xr:uid="{00000000-0005-0000-0000-000044430000}"/>
    <cellStyle name="Normal 8 6 2" xfId="17278" xr:uid="{00000000-0005-0000-0000-000045430000}"/>
    <cellStyle name="Normal 8 7" xfId="17279" xr:uid="{00000000-0005-0000-0000-000046430000}"/>
    <cellStyle name="Normal 8 7 2" xfId="17280" xr:uid="{00000000-0005-0000-0000-000047430000}"/>
    <cellStyle name="Normal 8 8" xfId="17281" xr:uid="{00000000-0005-0000-0000-000048430000}"/>
    <cellStyle name="Normal 8 8 2" xfId="17282" xr:uid="{00000000-0005-0000-0000-000049430000}"/>
    <cellStyle name="Normal 8 9" xfId="17283" xr:uid="{00000000-0005-0000-0000-00004A430000}"/>
    <cellStyle name="Normal 8 9 2" xfId="17284" xr:uid="{00000000-0005-0000-0000-00004B430000}"/>
    <cellStyle name="Normal 9" xfId="17285" xr:uid="{00000000-0005-0000-0000-00004C430000}"/>
    <cellStyle name="Normal 9 2" xfId="17286" xr:uid="{00000000-0005-0000-0000-00004D430000}"/>
    <cellStyle name="Normal 9 2 2" xfId="17287" xr:uid="{00000000-0005-0000-0000-00004E430000}"/>
    <cellStyle name="Normal 9 2 3" xfId="17288" xr:uid="{00000000-0005-0000-0000-00004F430000}"/>
    <cellStyle name="Normal 9 3" xfId="17289" xr:uid="{00000000-0005-0000-0000-000050430000}"/>
    <cellStyle name="Normal gras" xfId="17290" xr:uid="{00000000-0005-0000-0000-000051430000}"/>
    <cellStyle name="Normal souligne" xfId="17291" xr:uid="{00000000-0005-0000-0000-000052430000}"/>
    <cellStyle name="Normale 2" xfId="17292" xr:uid="{00000000-0005-0000-0000-000056430000}"/>
    <cellStyle name="Normale 2 10" xfId="17293" xr:uid="{00000000-0005-0000-0000-000057430000}"/>
    <cellStyle name="Normale 2 2" xfId="17294" xr:uid="{00000000-0005-0000-0000-000058430000}"/>
    <cellStyle name="Normale 2 2 2" xfId="17295" xr:uid="{00000000-0005-0000-0000-000059430000}"/>
    <cellStyle name="Normale 2 2 2 2" xfId="17296" xr:uid="{00000000-0005-0000-0000-00005A430000}"/>
    <cellStyle name="Normale 2 2 3" xfId="17297" xr:uid="{00000000-0005-0000-0000-00005B430000}"/>
    <cellStyle name="Normale 2 2 3 2" xfId="17298" xr:uid="{00000000-0005-0000-0000-00005C430000}"/>
    <cellStyle name="Normale 2 2 4" xfId="17299" xr:uid="{00000000-0005-0000-0000-00005D430000}"/>
    <cellStyle name="Normale 2 2 4 2" xfId="17300" xr:uid="{00000000-0005-0000-0000-00005E430000}"/>
    <cellStyle name="Normale 2 2 5" xfId="17301" xr:uid="{00000000-0005-0000-0000-00005F430000}"/>
    <cellStyle name="Normale 2 3" xfId="17302" xr:uid="{00000000-0005-0000-0000-000060430000}"/>
    <cellStyle name="Normale 2 3 2" xfId="17303" xr:uid="{00000000-0005-0000-0000-000061430000}"/>
    <cellStyle name="Normale 2 4" xfId="17304" xr:uid="{00000000-0005-0000-0000-000062430000}"/>
    <cellStyle name="Normale 2 4 2" xfId="17305" xr:uid="{00000000-0005-0000-0000-000063430000}"/>
    <cellStyle name="Normale 2 4 3" xfId="17306" xr:uid="{00000000-0005-0000-0000-000064430000}"/>
    <cellStyle name="Normale 2 5" xfId="17307" xr:uid="{00000000-0005-0000-0000-000065430000}"/>
    <cellStyle name="Normale 2 5 2" xfId="17308" xr:uid="{00000000-0005-0000-0000-000066430000}"/>
    <cellStyle name="Normale 2 5 3" xfId="17309" xr:uid="{00000000-0005-0000-0000-000067430000}"/>
    <cellStyle name="Normale 2 5 4" xfId="17310" xr:uid="{00000000-0005-0000-0000-000068430000}"/>
    <cellStyle name="Normale 2 6" xfId="17311" xr:uid="{00000000-0005-0000-0000-000069430000}"/>
    <cellStyle name="Normale 2 6 2" xfId="17312" xr:uid="{00000000-0005-0000-0000-00006A430000}"/>
    <cellStyle name="Normale 2 6 3" xfId="17313" xr:uid="{00000000-0005-0000-0000-00006B430000}"/>
    <cellStyle name="Normale 2 6 4" xfId="17314" xr:uid="{00000000-0005-0000-0000-00006C430000}"/>
    <cellStyle name="Normale 2 7" xfId="17315" xr:uid="{00000000-0005-0000-0000-00006D430000}"/>
    <cellStyle name="Normale 2 7 2" xfId="17316" xr:uid="{00000000-0005-0000-0000-00006E430000}"/>
    <cellStyle name="Normale 2 7 3" xfId="17317" xr:uid="{00000000-0005-0000-0000-00006F430000}"/>
    <cellStyle name="Normale 2 8" xfId="17318" xr:uid="{00000000-0005-0000-0000-000070430000}"/>
    <cellStyle name="Normale 2 8 2" xfId="17319" xr:uid="{00000000-0005-0000-0000-000071430000}"/>
    <cellStyle name="Normale 2 9" xfId="17320" xr:uid="{00000000-0005-0000-0000-000072430000}"/>
    <cellStyle name="Normale 2_CommentsTool" xfId="17321" xr:uid="{00000000-0005-0000-0000-000073430000}"/>
    <cellStyle name="Normale 3" xfId="17322" xr:uid="{00000000-0005-0000-0000-000074430000}"/>
    <cellStyle name="Normale 3 2" xfId="17323" xr:uid="{00000000-0005-0000-0000-000075430000}"/>
    <cellStyle name="Normale_allegati al promemoria_v2" xfId="17324" xr:uid="{00000000-0005-0000-0000-000076430000}"/>
    <cellStyle name="normální_20091209 - FR - templates group - v2bis" xfId="17325" xr:uid="{00000000-0005-0000-0000-000077430000}"/>
    <cellStyle name="Normalny 10" xfId="17326" xr:uid="{00000000-0005-0000-0000-000078430000}"/>
    <cellStyle name="Normalny 11" xfId="17327" xr:uid="{00000000-0005-0000-0000-000079430000}"/>
    <cellStyle name="Normalny 12" xfId="17328" xr:uid="{00000000-0005-0000-0000-00007A430000}"/>
    <cellStyle name="Normalny 13" xfId="17329" xr:uid="{00000000-0005-0000-0000-00007B430000}"/>
    <cellStyle name="Normalny 14" xfId="17330" xr:uid="{00000000-0005-0000-0000-00007C430000}"/>
    <cellStyle name="Normalny 14 2" xfId="17331" xr:uid="{00000000-0005-0000-0000-00007D430000}"/>
    <cellStyle name="Normalny 14 2 2" xfId="20688" xr:uid="{00000000-0005-0000-0000-00007E430000}"/>
    <cellStyle name="Normalny 14 3" xfId="20687" xr:uid="{00000000-0005-0000-0000-00007F430000}"/>
    <cellStyle name="Normalny 2" xfId="17332" xr:uid="{00000000-0005-0000-0000-000080430000}"/>
    <cellStyle name="Normalny 2 2" xfId="17333" xr:uid="{00000000-0005-0000-0000-000081430000}"/>
    <cellStyle name="Normalny 2 3" xfId="17334" xr:uid="{00000000-0005-0000-0000-000082430000}"/>
    <cellStyle name="Normalny 2 4" xfId="17335" xr:uid="{00000000-0005-0000-0000-000083430000}"/>
    <cellStyle name="Normalny 3" xfId="17336" xr:uid="{00000000-0005-0000-0000-000084430000}"/>
    <cellStyle name="Normalny 4" xfId="17337" xr:uid="{00000000-0005-0000-0000-000085430000}"/>
    <cellStyle name="Normalny 5" xfId="17338" xr:uid="{00000000-0005-0000-0000-000086430000}"/>
    <cellStyle name="Normalny 6" xfId="17339" xr:uid="{00000000-0005-0000-0000-000087430000}"/>
    <cellStyle name="Normalny 6 2" xfId="17340" xr:uid="{00000000-0005-0000-0000-000088430000}"/>
    <cellStyle name="Normalny 7" xfId="17341" xr:uid="{00000000-0005-0000-0000-000089430000}"/>
    <cellStyle name="Normalny 7 2" xfId="17342" xr:uid="{00000000-0005-0000-0000-00008A430000}"/>
    <cellStyle name="Normalny 8" xfId="17343" xr:uid="{00000000-0005-0000-0000-00008B430000}"/>
    <cellStyle name="Normalny 8 2" xfId="17344" xr:uid="{00000000-0005-0000-0000-00008C430000}"/>
    <cellStyle name="Normalny 9" xfId="17345" xr:uid="{00000000-0005-0000-0000-00008D430000}"/>
    <cellStyle name="Nota" xfId="126" xr:uid="{00000000-0005-0000-0000-00008E430000}"/>
    <cellStyle name="Nota 10" xfId="17346" xr:uid="{00000000-0005-0000-0000-00008F430000}"/>
    <cellStyle name="Nota 2" xfId="17347" xr:uid="{00000000-0005-0000-0000-000090430000}"/>
    <cellStyle name="Nota 2 2" xfId="17348" xr:uid="{00000000-0005-0000-0000-000091430000}"/>
    <cellStyle name="Nota 3" xfId="17349" xr:uid="{00000000-0005-0000-0000-000092430000}"/>
    <cellStyle name="Nota 3 2" xfId="17350" xr:uid="{00000000-0005-0000-0000-000093430000}"/>
    <cellStyle name="Nota 3 3" xfId="17351" xr:uid="{00000000-0005-0000-0000-000094430000}"/>
    <cellStyle name="Nota 4" xfId="17352" xr:uid="{00000000-0005-0000-0000-000095430000}"/>
    <cellStyle name="Nota 4 2" xfId="17353" xr:uid="{00000000-0005-0000-0000-000096430000}"/>
    <cellStyle name="Nota 4 3" xfId="17354" xr:uid="{00000000-0005-0000-0000-000097430000}"/>
    <cellStyle name="Nota 5" xfId="17355" xr:uid="{00000000-0005-0000-0000-000098430000}"/>
    <cellStyle name="Nota 5 2" xfId="17356" xr:uid="{00000000-0005-0000-0000-000099430000}"/>
    <cellStyle name="Nota 6" xfId="17357" xr:uid="{00000000-0005-0000-0000-00009A430000}"/>
    <cellStyle name="Nota 6 2" xfId="17358" xr:uid="{00000000-0005-0000-0000-00009B430000}"/>
    <cellStyle name="Nota 7" xfId="17359" xr:uid="{00000000-0005-0000-0000-00009C430000}"/>
    <cellStyle name="Nota 7 2" xfId="17360" xr:uid="{00000000-0005-0000-0000-00009D430000}"/>
    <cellStyle name="Nota 8" xfId="17361" xr:uid="{00000000-0005-0000-0000-00009E430000}"/>
    <cellStyle name="Nota 8 2" xfId="17362" xr:uid="{00000000-0005-0000-0000-00009F430000}"/>
    <cellStyle name="Nota 9" xfId="17363" xr:uid="{00000000-0005-0000-0000-0000A0430000}"/>
    <cellStyle name="Nota 9 2" xfId="17364" xr:uid="{00000000-0005-0000-0000-0000A1430000}"/>
    <cellStyle name="Nota_MCEV_activiteiten 2012Q4 gedeeld op 11-1-2012" xfId="17365" xr:uid="{00000000-0005-0000-0000-0000A2430000}"/>
    <cellStyle name="Notas" xfId="17366" xr:uid="{00000000-0005-0000-0000-0000A3430000}"/>
    <cellStyle name="Note" xfId="127" xr:uid="{00000000-0005-0000-0000-0000A4430000}"/>
    <cellStyle name="Note 10" xfId="17367" xr:uid="{00000000-0005-0000-0000-0000A5430000}"/>
    <cellStyle name="Note 10 2" xfId="17368" xr:uid="{00000000-0005-0000-0000-0000A6430000}"/>
    <cellStyle name="Note 10 3" xfId="17369" xr:uid="{00000000-0005-0000-0000-0000A7430000}"/>
    <cellStyle name="Note 11" xfId="17370" xr:uid="{00000000-0005-0000-0000-0000A8430000}"/>
    <cellStyle name="Note 11 2" xfId="17371" xr:uid="{00000000-0005-0000-0000-0000A9430000}"/>
    <cellStyle name="Note 11 3" xfId="17372" xr:uid="{00000000-0005-0000-0000-0000AA430000}"/>
    <cellStyle name="Note 12" xfId="17373" xr:uid="{00000000-0005-0000-0000-0000AB430000}"/>
    <cellStyle name="Note 12 2" xfId="17374" xr:uid="{00000000-0005-0000-0000-0000AC430000}"/>
    <cellStyle name="Note 12 3" xfId="17375" xr:uid="{00000000-0005-0000-0000-0000AD430000}"/>
    <cellStyle name="Note 13" xfId="17376" xr:uid="{00000000-0005-0000-0000-0000AE430000}"/>
    <cellStyle name="Note 14" xfId="17377" xr:uid="{00000000-0005-0000-0000-0000AF430000}"/>
    <cellStyle name="Note 15" xfId="17378" xr:uid="{00000000-0005-0000-0000-0000B0430000}"/>
    <cellStyle name="Note 16" xfId="17379" xr:uid="{00000000-0005-0000-0000-0000B1430000}"/>
    <cellStyle name="Note 17" xfId="17380" xr:uid="{00000000-0005-0000-0000-0000B2430000}"/>
    <cellStyle name="Note 18" xfId="17381" xr:uid="{00000000-0005-0000-0000-0000B3430000}"/>
    <cellStyle name="Note 19" xfId="17382" xr:uid="{00000000-0005-0000-0000-0000B4430000}"/>
    <cellStyle name="Note 2" xfId="229" xr:uid="{00000000-0005-0000-0000-0000B5430000}"/>
    <cellStyle name="Note 2 10" xfId="17383" xr:uid="{00000000-0005-0000-0000-0000B6430000}"/>
    <cellStyle name="Note 2 11" xfId="17384" xr:uid="{00000000-0005-0000-0000-0000B7430000}"/>
    <cellStyle name="Note 2 12" xfId="17385" xr:uid="{00000000-0005-0000-0000-0000B8430000}"/>
    <cellStyle name="Note 2 13" xfId="17386" xr:uid="{00000000-0005-0000-0000-0000B9430000}"/>
    <cellStyle name="Note 2 14" xfId="17387" xr:uid="{00000000-0005-0000-0000-0000BA430000}"/>
    <cellStyle name="Note 2 15" xfId="17388" xr:uid="{00000000-0005-0000-0000-0000BB430000}"/>
    <cellStyle name="Note 2 16" xfId="17389" xr:uid="{00000000-0005-0000-0000-0000BC430000}"/>
    <cellStyle name="Note 2 17" xfId="17390" xr:uid="{00000000-0005-0000-0000-0000BD430000}"/>
    <cellStyle name="Note 2 18" xfId="17391" xr:uid="{00000000-0005-0000-0000-0000BE430000}"/>
    <cellStyle name="Note 2 19" xfId="17392" xr:uid="{00000000-0005-0000-0000-0000BF430000}"/>
    <cellStyle name="Note 2 2" xfId="17393" xr:uid="{00000000-0005-0000-0000-0000C0430000}"/>
    <cellStyle name="Note 2 20" xfId="17394" xr:uid="{00000000-0005-0000-0000-0000C1430000}"/>
    <cellStyle name="Note 2 21" xfId="17395" xr:uid="{00000000-0005-0000-0000-0000C2430000}"/>
    <cellStyle name="Note 2 22" xfId="17396" xr:uid="{00000000-0005-0000-0000-0000C3430000}"/>
    <cellStyle name="Note 2 23" xfId="17397" xr:uid="{00000000-0005-0000-0000-0000C4430000}"/>
    <cellStyle name="Note 2 24" xfId="17398" xr:uid="{00000000-0005-0000-0000-0000C5430000}"/>
    <cellStyle name="Note 2 25" xfId="17399" xr:uid="{00000000-0005-0000-0000-0000C6430000}"/>
    <cellStyle name="Note 2 26" xfId="17400" xr:uid="{00000000-0005-0000-0000-0000C7430000}"/>
    <cellStyle name="Note 2 27" xfId="17401" xr:uid="{00000000-0005-0000-0000-0000C8430000}"/>
    <cellStyle name="Note 2 28" xfId="17402" xr:uid="{00000000-0005-0000-0000-0000C9430000}"/>
    <cellStyle name="Note 2 29" xfId="17403" xr:uid="{00000000-0005-0000-0000-0000CA430000}"/>
    <cellStyle name="Note 2 3" xfId="17404" xr:uid="{00000000-0005-0000-0000-0000CB430000}"/>
    <cellStyle name="Note 2 30" xfId="17405" xr:uid="{00000000-0005-0000-0000-0000CC430000}"/>
    <cellStyle name="Note 2 31" xfId="17406" xr:uid="{00000000-0005-0000-0000-0000CD430000}"/>
    <cellStyle name="Note 2 32" xfId="17407" xr:uid="{00000000-0005-0000-0000-0000CE430000}"/>
    <cellStyle name="Note 2 33" xfId="17408" xr:uid="{00000000-0005-0000-0000-0000CF430000}"/>
    <cellStyle name="Note 2 34" xfId="17409" xr:uid="{00000000-0005-0000-0000-0000D0430000}"/>
    <cellStyle name="Note 2 35" xfId="17410" xr:uid="{00000000-0005-0000-0000-0000D1430000}"/>
    <cellStyle name="Note 2 36" xfId="17411" xr:uid="{00000000-0005-0000-0000-0000D2430000}"/>
    <cellStyle name="Note 2 37" xfId="17412" xr:uid="{00000000-0005-0000-0000-0000D3430000}"/>
    <cellStyle name="Note 2 38" xfId="17413" xr:uid="{00000000-0005-0000-0000-0000D4430000}"/>
    <cellStyle name="Note 2 39" xfId="17414" xr:uid="{00000000-0005-0000-0000-0000D5430000}"/>
    <cellStyle name="Note 2 4" xfId="17415" xr:uid="{00000000-0005-0000-0000-0000D6430000}"/>
    <cellStyle name="Note 2 40" xfId="17416" xr:uid="{00000000-0005-0000-0000-0000D7430000}"/>
    <cellStyle name="Note 2 41" xfId="17417" xr:uid="{00000000-0005-0000-0000-0000D8430000}"/>
    <cellStyle name="Note 2 42" xfId="17418" xr:uid="{00000000-0005-0000-0000-0000D9430000}"/>
    <cellStyle name="Note 2 43" xfId="17419" xr:uid="{00000000-0005-0000-0000-0000DA430000}"/>
    <cellStyle name="Note 2 44" xfId="17420" xr:uid="{00000000-0005-0000-0000-0000DB430000}"/>
    <cellStyle name="Note 2 45" xfId="17421" xr:uid="{00000000-0005-0000-0000-0000DC430000}"/>
    <cellStyle name="Note 2 46" xfId="17422" xr:uid="{00000000-0005-0000-0000-0000DD430000}"/>
    <cellStyle name="Note 2 47" xfId="17423" xr:uid="{00000000-0005-0000-0000-0000DE430000}"/>
    <cellStyle name="Note 2 48" xfId="17424" xr:uid="{00000000-0005-0000-0000-0000DF430000}"/>
    <cellStyle name="Note 2 49" xfId="17425" xr:uid="{00000000-0005-0000-0000-0000E0430000}"/>
    <cellStyle name="Note 2 5" xfId="17426" xr:uid="{00000000-0005-0000-0000-0000E1430000}"/>
    <cellStyle name="Note 2 50" xfId="17427" xr:uid="{00000000-0005-0000-0000-0000E2430000}"/>
    <cellStyle name="Note 2 51" xfId="17428" xr:uid="{00000000-0005-0000-0000-0000E3430000}"/>
    <cellStyle name="Note 2 52" xfId="17429" xr:uid="{00000000-0005-0000-0000-0000E4430000}"/>
    <cellStyle name="Note 2 53" xfId="17430" xr:uid="{00000000-0005-0000-0000-0000E5430000}"/>
    <cellStyle name="Note 2 54" xfId="17431" xr:uid="{00000000-0005-0000-0000-0000E6430000}"/>
    <cellStyle name="Note 2 55" xfId="17432" xr:uid="{00000000-0005-0000-0000-0000E7430000}"/>
    <cellStyle name="Note 2 56" xfId="17433" xr:uid="{00000000-0005-0000-0000-0000E8430000}"/>
    <cellStyle name="Note 2 57" xfId="17434" xr:uid="{00000000-0005-0000-0000-0000E9430000}"/>
    <cellStyle name="Note 2 58" xfId="17435" xr:uid="{00000000-0005-0000-0000-0000EA430000}"/>
    <cellStyle name="Note 2 59" xfId="17436" xr:uid="{00000000-0005-0000-0000-0000EB430000}"/>
    <cellStyle name="Note 2 6" xfId="17437" xr:uid="{00000000-0005-0000-0000-0000EC430000}"/>
    <cellStyle name="Note 2 60" xfId="17438" xr:uid="{00000000-0005-0000-0000-0000ED430000}"/>
    <cellStyle name="Note 2 61" xfId="17439" xr:uid="{00000000-0005-0000-0000-0000EE430000}"/>
    <cellStyle name="Note 2 7" xfId="17440" xr:uid="{00000000-0005-0000-0000-0000EF430000}"/>
    <cellStyle name="Note 2 8" xfId="17441" xr:uid="{00000000-0005-0000-0000-0000F0430000}"/>
    <cellStyle name="Note 2 9" xfId="17442" xr:uid="{00000000-0005-0000-0000-0000F1430000}"/>
    <cellStyle name="Note 2_P-AS-D1 - Investments Data v0 1" xfId="17443" xr:uid="{00000000-0005-0000-0000-0000F2430000}"/>
    <cellStyle name="Note 20" xfId="17444" xr:uid="{00000000-0005-0000-0000-0000F3430000}"/>
    <cellStyle name="Note 21" xfId="17445" xr:uid="{00000000-0005-0000-0000-0000F4430000}"/>
    <cellStyle name="Note 22" xfId="17446" xr:uid="{00000000-0005-0000-0000-0000F5430000}"/>
    <cellStyle name="Note 23" xfId="17447" xr:uid="{00000000-0005-0000-0000-0000F6430000}"/>
    <cellStyle name="Note 24" xfId="17448" xr:uid="{00000000-0005-0000-0000-0000F7430000}"/>
    <cellStyle name="Note 25" xfId="17449" xr:uid="{00000000-0005-0000-0000-0000F8430000}"/>
    <cellStyle name="Note 26" xfId="17450" xr:uid="{00000000-0005-0000-0000-0000F9430000}"/>
    <cellStyle name="Note 27" xfId="17451" xr:uid="{00000000-0005-0000-0000-0000FA430000}"/>
    <cellStyle name="Note 28" xfId="17452" xr:uid="{00000000-0005-0000-0000-0000FB430000}"/>
    <cellStyle name="Note 29" xfId="17453" xr:uid="{00000000-0005-0000-0000-0000FC430000}"/>
    <cellStyle name="Note 3" xfId="17454" xr:uid="{00000000-0005-0000-0000-0000FD430000}"/>
    <cellStyle name="Note 3 10" xfId="17455" xr:uid="{00000000-0005-0000-0000-0000FE430000}"/>
    <cellStyle name="Note 3 11" xfId="17456" xr:uid="{00000000-0005-0000-0000-0000FF430000}"/>
    <cellStyle name="Note 3 12" xfId="17457" xr:uid="{00000000-0005-0000-0000-000000440000}"/>
    <cellStyle name="Note 3 13" xfId="17458" xr:uid="{00000000-0005-0000-0000-000001440000}"/>
    <cellStyle name="Note 3 14" xfId="17459" xr:uid="{00000000-0005-0000-0000-000002440000}"/>
    <cellStyle name="Note 3 15" xfId="17460" xr:uid="{00000000-0005-0000-0000-000003440000}"/>
    <cellStyle name="Note 3 16" xfId="17461" xr:uid="{00000000-0005-0000-0000-000004440000}"/>
    <cellStyle name="Note 3 17" xfId="17462" xr:uid="{00000000-0005-0000-0000-000005440000}"/>
    <cellStyle name="Note 3 18" xfId="17463" xr:uid="{00000000-0005-0000-0000-000006440000}"/>
    <cellStyle name="Note 3 19" xfId="17464" xr:uid="{00000000-0005-0000-0000-000007440000}"/>
    <cellStyle name="Note 3 2" xfId="17465" xr:uid="{00000000-0005-0000-0000-000008440000}"/>
    <cellStyle name="Note 3 20" xfId="17466" xr:uid="{00000000-0005-0000-0000-000009440000}"/>
    <cellStyle name="Note 3 21" xfId="17467" xr:uid="{00000000-0005-0000-0000-00000A440000}"/>
    <cellStyle name="Note 3 22" xfId="17468" xr:uid="{00000000-0005-0000-0000-00000B440000}"/>
    <cellStyle name="Note 3 23" xfId="17469" xr:uid="{00000000-0005-0000-0000-00000C440000}"/>
    <cellStyle name="Note 3 24" xfId="17470" xr:uid="{00000000-0005-0000-0000-00000D440000}"/>
    <cellStyle name="Note 3 25" xfId="17471" xr:uid="{00000000-0005-0000-0000-00000E440000}"/>
    <cellStyle name="Note 3 26" xfId="17472" xr:uid="{00000000-0005-0000-0000-00000F440000}"/>
    <cellStyle name="Note 3 27" xfId="17473" xr:uid="{00000000-0005-0000-0000-000010440000}"/>
    <cellStyle name="Note 3 28" xfId="17474" xr:uid="{00000000-0005-0000-0000-000011440000}"/>
    <cellStyle name="Note 3 29" xfId="17475" xr:uid="{00000000-0005-0000-0000-000012440000}"/>
    <cellStyle name="Note 3 3" xfId="17476" xr:uid="{00000000-0005-0000-0000-000013440000}"/>
    <cellStyle name="Note 3 30" xfId="17477" xr:uid="{00000000-0005-0000-0000-000014440000}"/>
    <cellStyle name="Note 3 31" xfId="17478" xr:uid="{00000000-0005-0000-0000-000015440000}"/>
    <cellStyle name="Note 3 32" xfId="17479" xr:uid="{00000000-0005-0000-0000-000016440000}"/>
    <cellStyle name="Note 3 33" xfId="17480" xr:uid="{00000000-0005-0000-0000-000017440000}"/>
    <cellStyle name="Note 3 34" xfId="17481" xr:uid="{00000000-0005-0000-0000-000018440000}"/>
    <cellStyle name="Note 3 35" xfId="17482" xr:uid="{00000000-0005-0000-0000-000019440000}"/>
    <cellStyle name="Note 3 36" xfId="17483" xr:uid="{00000000-0005-0000-0000-00001A440000}"/>
    <cellStyle name="Note 3 37" xfId="17484" xr:uid="{00000000-0005-0000-0000-00001B440000}"/>
    <cellStyle name="Note 3 38" xfId="17485" xr:uid="{00000000-0005-0000-0000-00001C440000}"/>
    <cellStyle name="Note 3 39" xfId="17486" xr:uid="{00000000-0005-0000-0000-00001D440000}"/>
    <cellStyle name="Note 3 4" xfId="17487" xr:uid="{00000000-0005-0000-0000-00001E440000}"/>
    <cellStyle name="Note 3 40" xfId="17488" xr:uid="{00000000-0005-0000-0000-00001F440000}"/>
    <cellStyle name="Note 3 41" xfId="17489" xr:uid="{00000000-0005-0000-0000-000020440000}"/>
    <cellStyle name="Note 3 42" xfId="17490" xr:uid="{00000000-0005-0000-0000-000021440000}"/>
    <cellStyle name="Note 3 43" xfId="17491" xr:uid="{00000000-0005-0000-0000-000022440000}"/>
    <cellStyle name="Note 3 44" xfId="17492" xr:uid="{00000000-0005-0000-0000-000023440000}"/>
    <cellStyle name="Note 3 45" xfId="17493" xr:uid="{00000000-0005-0000-0000-000024440000}"/>
    <cellStyle name="Note 3 46" xfId="17494" xr:uid="{00000000-0005-0000-0000-000025440000}"/>
    <cellStyle name="Note 3 47" xfId="17495" xr:uid="{00000000-0005-0000-0000-000026440000}"/>
    <cellStyle name="Note 3 48" xfId="17496" xr:uid="{00000000-0005-0000-0000-000027440000}"/>
    <cellStyle name="Note 3 49" xfId="17497" xr:uid="{00000000-0005-0000-0000-000028440000}"/>
    <cellStyle name="Note 3 5" xfId="17498" xr:uid="{00000000-0005-0000-0000-000029440000}"/>
    <cellStyle name="Note 3 50" xfId="17499" xr:uid="{00000000-0005-0000-0000-00002A440000}"/>
    <cellStyle name="Note 3 51" xfId="17500" xr:uid="{00000000-0005-0000-0000-00002B440000}"/>
    <cellStyle name="Note 3 52" xfId="17501" xr:uid="{00000000-0005-0000-0000-00002C440000}"/>
    <cellStyle name="Note 3 53" xfId="17502" xr:uid="{00000000-0005-0000-0000-00002D440000}"/>
    <cellStyle name="Note 3 54" xfId="17503" xr:uid="{00000000-0005-0000-0000-00002E440000}"/>
    <cellStyle name="Note 3 55" xfId="17504" xr:uid="{00000000-0005-0000-0000-00002F440000}"/>
    <cellStyle name="Note 3 56" xfId="17505" xr:uid="{00000000-0005-0000-0000-000030440000}"/>
    <cellStyle name="Note 3 57" xfId="17506" xr:uid="{00000000-0005-0000-0000-000031440000}"/>
    <cellStyle name="Note 3 58" xfId="17507" xr:uid="{00000000-0005-0000-0000-000032440000}"/>
    <cellStyle name="Note 3 59" xfId="17508" xr:uid="{00000000-0005-0000-0000-000033440000}"/>
    <cellStyle name="Note 3 6" xfId="17509" xr:uid="{00000000-0005-0000-0000-000034440000}"/>
    <cellStyle name="Note 3 60" xfId="17510" xr:uid="{00000000-0005-0000-0000-000035440000}"/>
    <cellStyle name="Note 3 7" xfId="17511" xr:uid="{00000000-0005-0000-0000-000036440000}"/>
    <cellStyle name="Note 3 8" xfId="17512" xr:uid="{00000000-0005-0000-0000-000037440000}"/>
    <cellStyle name="Note 3 9" xfId="17513" xr:uid="{00000000-0005-0000-0000-000038440000}"/>
    <cellStyle name="Note 3_P-AS-D1 - Investments Data v0 1" xfId="17514" xr:uid="{00000000-0005-0000-0000-000039440000}"/>
    <cellStyle name="Note 30" xfId="17515" xr:uid="{00000000-0005-0000-0000-00003A440000}"/>
    <cellStyle name="Note 31" xfId="17516" xr:uid="{00000000-0005-0000-0000-00003B440000}"/>
    <cellStyle name="Note 32" xfId="17517" xr:uid="{00000000-0005-0000-0000-00003C440000}"/>
    <cellStyle name="Note 33" xfId="17518" xr:uid="{00000000-0005-0000-0000-00003D440000}"/>
    <cellStyle name="Note 34" xfId="17519" xr:uid="{00000000-0005-0000-0000-00003E440000}"/>
    <cellStyle name="Note 35" xfId="17520" xr:uid="{00000000-0005-0000-0000-00003F440000}"/>
    <cellStyle name="Note 36" xfId="17521" xr:uid="{00000000-0005-0000-0000-000040440000}"/>
    <cellStyle name="Note 37" xfId="17522" xr:uid="{00000000-0005-0000-0000-000041440000}"/>
    <cellStyle name="Note 38" xfId="17523" xr:uid="{00000000-0005-0000-0000-000042440000}"/>
    <cellStyle name="Note 39" xfId="17524" xr:uid="{00000000-0005-0000-0000-000043440000}"/>
    <cellStyle name="Note 4" xfId="17525" xr:uid="{00000000-0005-0000-0000-000044440000}"/>
    <cellStyle name="Note 4 10" xfId="17526" xr:uid="{00000000-0005-0000-0000-000045440000}"/>
    <cellStyle name="Note 4 11" xfId="17527" xr:uid="{00000000-0005-0000-0000-000046440000}"/>
    <cellStyle name="Note 4 12" xfId="17528" xr:uid="{00000000-0005-0000-0000-000047440000}"/>
    <cellStyle name="Note 4 13" xfId="17529" xr:uid="{00000000-0005-0000-0000-000048440000}"/>
    <cellStyle name="Note 4 14" xfId="17530" xr:uid="{00000000-0005-0000-0000-000049440000}"/>
    <cellStyle name="Note 4 15" xfId="17531" xr:uid="{00000000-0005-0000-0000-00004A440000}"/>
    <cellStyle name="Note 4 16" xfId="17532" xr:uid="{00000000-0005-0000-0000-00004B440000}"/>
    <cellStyle name="Note 4 17" xfId="17533" xr:uid="{00000000-0005-0000-0000-00004C440000}"/>
    <cellStyle name="Note 4 18" xfId="17534" xr:uid="{00000000-0005-0000-0000-00004D440000}"/>
    <cellStyle name="Note 4 19" xfId="17535" xr:uid="{00000000-0005-0000-0000-00004E440000}"/>
    <cellStyle name="Note 4 2" xfId="17536" xr:uid="{00000000-0005-0000-0000-00004F440000}"/>
    <cellStyle name="Note 4 20" xfId="17537" xr:uid="{00000000-0005-0000-0000-000050440000}"/>
    <cellStyle name="Note 4 21" xfId="17538" xr:uid="{00000000-0005-0000-0000-000051440000}"/>
    <cellStyle name="Note 4 22" xfId="17539" xr:uid="{00000000-0005-0000-0000-000052440000}"/>
    <cellStyle name="Note 4 23" xfId="17540" xr:uid="{00000000-0005-0000-0000-000053440000}"/>
    <cellStyle name="Note 4 24" xfId="17541" xr:uid="{00000000-0005-0000-0000-000054440000}"/>
    <cellStyle name="Note 4 25" xfId="17542" xr:uid="{00000000-0005-0000-0000-000055440000}"/>
    <cellStyle name="Note 4 26" xfId="17543" xr:uid="{00000000-0005-0000-0000-000056440000}"/>
    <cellStyle name="Note 4 27" xfId="17544" xr:uid="{00000000-0005-0000-0000-000057440000}"/>
    <cellStyle name="Note 4 28" xfId="17545" xr:uid="{00000000-0005-0000-0000-000058440000}"/>
    <cellStyle name="Note 4 29" xfId="17546" xr:uid="{00000000-0005-0000-0000-000059440000}"/>
    <cellStyle name="Note 4 3" xfId="17547" xr:uid="{00000000-0005-0000-0000-00005A440000}"/>
    <cellStyle name="Note 4 30" xfId="17548" xr:uid="{00000000-0005-0000-0000-00005B440000}"/>
    <cellStyle name="Note 4 31" xfId="17549" xr:uid="{00000000-0005-0000-0000-00005C440000}"/>
    <cellStyle name="Note 4 32" xfId="17550" xr:uid="{00000000-0005-0000-0000-00005D440000}"/>
    <cellStyle name="Note 4 33" xfId="17551" xr:uid="{00000000-0005-0000-0000-00005E440000}"/>
    <cellStyle name="Note 4 34" xfId="17552" xr:uid="{00000000-0005-0000-0000-00005F440000}"/>
    <cellStyle name="Note 4 35" xfId="17553" xr:uid="{00000000-0005-0000-0000-000060440000}"/>
    <cellStyle name="Note 4 36" xfId="17554" xr:uid="{00000000-0005-0000-0000-000061440000}"/>
    <cellStyle name="Note 4 37" xfId="17555" xr:uid="{00000000-0005-0000-0000-000062440000}"/>
    <cellStyle name="Note 4 38" xfId="17556" xr:uid="{00000000-0005-0000-0000-000063440000}"/>
    <cellStyle name="Note 4 39" xfId="17557" xr:uid="{00000000-0005-0000-0000-000064440000}"/>
    <cellStyle name="Note 4 4" xfId="17558" xr:uid="{00000000-0005-0000-0000-000065440000}"/>
    <cellStyle name="Note 4 40" xfId="17559" xr:uid="{00000000-0005-0000-0000-000066440000}"/>
    <cellStyle name="Note 4 41" xfId="17560" xr:uid="{00000000-0005-0000-0000-000067440000}"/>
    <cellStyle name="Note 4 42" xfId="17561" xr:uid="{00000000-0005-0000-0000-000068440000}"/>
    <cellStyle name="Note 4 43" xfId="17562" xr:uid="{00000000-0005-0000-0000-000069440000}"/>
    <cellStyle name="Note 4 44" xfId="17563" xr:uid="{00000000-0005-0000-0000-00006A440000}"/>
    <cellStyle name="Note 4 45" xfId="17564" xr:uid="{00000000-0005-0000-0000-00006B440000}"/>
    <cellStyle name="Note 4 46" xfId="17565" xr:uid="{00000000-0005-0000-0000-00006C440000}"/>
    <cellStyle name="Note 4 47" xfId="17566" xr:uid="{00000000-0005-0000-0000-00006D440000}"/>
    <cellStyle name="Note 4 48" xfId="17567" xr:uid="{00000000-0005-0000-0000-00006E440000}"/>
    <cellStyle name="Note 4 49" xfId="17568" xr:uid="{00000000-0005-0000-0000-00006F440000}"/>
    <cellStyle name="Note 4 5" xfId="17569" xr:uid="{00000000-0005-0000-0000-000070440000}"/>
    <cellStyle name="Note 4 50" xfId="17570" xr:uid="{00000000-0005-0000-0000-000071440000}"/>
    <cellStyle name="Note 4 51" xfId="17571" xr:uid="{00000000-0005-0000-0000-000072440000}"/>
    <cellStyle name="Note 4 52" xfId="17572" xr:uid="{00000000-0005-0000-0000-000073440000}"/>
    <cellStyle name="Note 4 53" xfId="17573" xr:uid="{00000000-0005-0000-0000-000074440000}"/>
    <cellStyle name="Note 4 54" xfId="17574" xr:uid="{00000000-0005-0000-0000-000075440000}"/>
    <cellStyle name="Note 4 55" xfId="17575" xr:uid="{00000000-0005-0000-0000-000076440000}"/>
    <cellStyle name="Note 4 56" xfId="17576" xr:uid="{00000000-0005-0000-0000-000077440000}"/>
    <cellStyle name="Note 4 57" xfId="17577" xr:uid="{00000000-0005-0000-0000-000078440000}"/>
    <cellStyle name="Note 4 58" xfId="17578" xr:uid="{00000000-0005-0000-0000-000079440000}"/>
    <cellStyle name="Note 4 59" xfId="17579" xr:uid="{00000000-0005-0000-0000-00007A440000}"/>
    <cellStyle name="Note 4 6" xfId="17580" xr:uid="{00000000-0005-0000-0000-00007B440000}"/>
    <cellStyle name="Note 4 60" xfId="17581" xr:uid="{00000000-0005-0000-0000-00007C440000}"/>
    <cellStyle name="Note 4 7" xfId="17582" xr:uid="{00000000-0005-0000-0000-00007D440000}"/>
    <cellStyle name="Note 4 8" xfId="17583" xr:uid="{00000000-0005-0000-0000-00007E440000}"/>
    <cellStyle name="Note 4 9" xfId="17584" xr:uid="{00000000-0005-0000-0000-00007F440000}"/>
    <cellStyle name="Note 4_P-AS-D1 - Investments Data v0 1" xfId="17585" xr:uid="{00000000-0005-0000-0000-000080440000}"/>
    <cellStyle name="Note 40" xfId="17586" xr:uid="{00000000-0005-0000-0000-000081440000}"/>
    <cellStyle name="Note 41" xfId="17587" xr:uid="{00000000-0005-0000-0000-000082440000}"/>
    <cellStyle name="Note 42" xfId="17588" xr:uid="{00000000-0005-0000-0000-000083440000}"/>
    <cellStyle name="Note 5" xfId="17589" xr:uid="{00000000-0005-0000-0000-000084440000}"/>
    <cellStyle name="Note 5 10" xfId="17590" xr:uid="{00000000-0005-0000-0000-000085440000}"/>
    <cellStyle name="Note 5 11" xfId="17591" xr:uid="{00000000-0005-0000-0000-000086440000}"/>
    <cellStyle name="Note 5 12" xfId="17592" xr:uid="{00000000-0005-0000-0000-000087440000}"/>
    <cellStyle name="Note 5 13" xfId="17593" xr:uid="{00000000-0005-0000-0000-000088440000}"/>
    <cellStyle name="Note 5 14" xfId="17594" xr:uid="{00000000-0005-0000-0000-000089440000}"/>
    <cellStyle name="Note 5 15" xfId="17595" xr:uid="{00000000-0005-0000-0000-00008A440000}"/>
    <cellStyle name="Note 5 16" xfId="17596" xr:uid="{00000000-0005-0000-0000-00008B440000}"/>
    <cellStyle name="Note 5 17" xfId="17597" xr:uid="{00000000-0005-0000-0000-00008C440000}"/>
    <cellStyle name="Note 5 18" xfId="17598" xr:uid="{00000000-0005-0000-0000-00008D440000}"/>
    <cellStyle name="Note 5 19" xfId="17599" xr:uid="{00000000-0005-0000-0000-00008E440000}"/>
    <cellStyle name="Note 5 2" xfId="17600" xr:uid="{00000000-0005-0000-0000-00008F440000}"/>
    <cellStyle name="Note 5 20" xfId="17601" xr:uid="{00000000-0005-0000-0000-000090440000}"/>
    <cellStyle name="Note 5 21" xfId="17602" xr:uid="{00000000-0005-0000-0000-000091440000}"/>
    <cellStyle name="Note 5 22" xfId="17603" xr:uid="{00000000-0005-0000-0000-000092440000}"/>
    <cellStyle name="Note 5 23" xfId="17604" xr:uid="{00000000-0005-0000-0000-000093440000}"/>
    <cellStyle name="Note 5 24" xfId="17605" xr:uid="{00000000-0005-0000-0000-000094440000}"/>
    <cellStyle name="Note 5 25" xfId="17606" xr:uid="{00000000-0005-0000-0000-000095440000}"/>
    <cellStyle name="Note 5 26" xfId="17607" xr:uid="{00000000-0005-0000-0000-000096440000}"/>
    <cellStyle name="Note 5 27" xfId="17608" xr:uid="{00000000-0005-0000-0000-000097440000}"/>
    <cellStyle name="Note 5 28" xfId="17609" xr:uid="{00000000-0005-0000-0000-000098440000}"/>
    <cellStyle name="Note 5 29" xfId="17610" xr:uid="{00000000-0005-0000-0000-000099440000}"/>
    <cellStyle name="Note 5 3" xfId="17611" xr:uid="{00000000-0005-0000-0000-00009A440000}"/>
    <cellStyle name="Note 5 30" xfId="17612" xr:uid="{00000000-0005-0000-0000-00009B440000}"/>
    <cellStyle name="Note 5 31" xfId="17613" xr:uid="{00000000-0005-0000-0000-00009C440000}"/>
    <cellStyle name="Note 5 32" xfId="17614" xr:uid="{00000000-0005-0000-0000-00009D440000}"/>
    <cellStyle name="Note 5 33" xfId="17615" xr:uid="{00000000-0005-0000-0000-00009E440000}"/>
    <cellStyle name="Note 5 34" xfId="17616" xr:uid="{00000000-0005-0000-0000-00009F440000}"/>
    <cellStyle name="Note 5 35" xfId="17617" xr:uid="{00000000-0005-0000-0000-0000A0440000}"/>
    <cellStyle name="Note 5 36" xfId="17618" xr:uid="{00000000-0005-0000-0000-0000A1440000}"/>
    <cellStyle name="Note 5 37" xfId="17619" xr:uid="{00000000-0005-0000-0000-0000A2440000}"/>
    <cellStyle name="Note 5 38" xfId="17620" xr:uid="{00000000-0005-0000-0000-0000A3440000}"/>
    <cellStyle name="Note 5 39" xfId="17621" xr:uid="{00000000-0005-0000-0000-0000A4440000}"/>
    <cellStyle name="Note 5 4" xfId="17622" xr:uid="{00000000-0005-0000-0000-0000A5440000}"/>
    <cellStyle name="Note 5 40" xfId="17623" xr:uid="{00000000-0005-0000-0000-0000A6440000}"/>
    <cellStyle name="Note 5 41" xfId="17624" xr:uid="{00000000-0005-0000-0000-0000A7440000}"/>
    <cellStyle name="Note 5 42" xfId="17625" xr:uid="{00000000-0005-0000-0000-0000A8440000}"/>
    <cellStyle name="Note 5 43" xfId="17626" xr:uid="{00000000-0005-0000-0000-0000A9440000}"/>
    <cellStyle name="Note 5 44" xfId="17627" xr:uid="{00000000-0005-0000-0000-0000AA440000}"/>
    <cellStyle name="Note 5 45" xfId="17628" xr:uid="{00000000-0005-0000-0000-0000AB440000}"/>
    <cellStyle name="Note 5 46" xfId="17629" xr:uid="{00000000-0005-0000-0000-0000AC440000}"/>
    <cellStyle name="Note 5 47" xfId="17630" xr:uid="{00000000-0005-0000-0000-0000AD440000}"/>
    <cellStyle name="Note 5 48" xfId="17631" xr:uid="{00000000-0005-0000-0000-0000AE440000}"/>
    <cellStyle name="Note 5 49" xfId="17632" xr:uid="{00000000-0005-0000-0000-0000AF440000}"/>
    <cellStyle name="Note 5 5" xfId="17633" xr:uid="{00000000-0005-0000-0000-0000B0440000}"/>
    <cellStyle name="Note 5 50" xfId="17634" xr:uid="{00000000-0005-0000-0000-0000B1440000}"/>
    <cellStyle name="Note 5 51" xfId="17635" xr:uid="{00000000-0005-0000-0000-0000B2440000}"/>
    <cellStyle name="Note 5 52" xfId="17636" xr:uid="{00000000-0005-0000-0000-0000B3440000}"/>
    <cellStyle name="Note 5 53" xfId="17637" xr:uid="{00000000-0005-0000-0000-0000B4440000}"/>
    <cellStyle name="Note 5 54" xfId="17638" xr:uid="{00000000-0005-0000-0000-0000B5440000}"/>
    <cellStyle name="Note 5 55" xfId="17639" xr:uid="{00000000-0005-0000-0000-0000B6440000}"/>
    <cellStyle name="Note 5 56" xfId="17640" xr:uid="{00000000-0005-0000-0000-0000B7440000}"/>
    <cellStyle name="Note 5 57" xfId="17641" xr:uid="{00000000-0005-0000-0000-0000B8440000}"/>
    <cellStyle name="Note 5 58" xfId="17642" xr:uid="{00000000-0005-0000-0000-0000B9440000}"/>
    <cellStyle name="Note 5 59" xfId="17643" xr:uid="{00000000-0005-0000-0000-0000BA440000}"/>
    <cellStyle name="Note 5 6" xfId="17644" xr:uid="{00000000-0005-0000-0000-0000BB440000}"/>
    <cellStyle name="Note 5 60" xfId="17645" xr:uid="{00000000-0005-0000-0000-0000BC440000}"/>
    <cellStyle name="Note 5 7" xfId="17646" xr:uid="{00000000-0005-0000-0000-0000BD440000}"/>
    <cellStyle name="Note 5 8" xfId="17647" xr:uid="{00000000-0005-0000-0000-0000BE440000}"/>
    <cellStyle name="Note 5 9" xfId="17648" xr:uid="{00000000-0005-0000-0000-0000BF440000}"/>
    <cellStyle name="Note 5_P-AS-D1 - Investments Data v0 1" xfId="17649" xr:uid="{00000000-0005-0000-0000-0000C0440000}"/>
    <cellStyle name="Note 6" xfId="17650" xr:uid="{00000000-0005-0000-0000-0000C1440000}"/>
    <cellStyle name="Note 6 2" xfId="17651" xr:uid="{00000000-0005-0000-0000-0000C2440000}"/>
    <cellStyle name="Note 6 3" xfId="17652" xr:uid="{00000000-0005-0000-0000-0000C3440000}"/>
    <cellStyle name="Note 6 4" xfId="17653" xr:uid="{00000000-0005-0000-0000-0000C4440000}"/>
    <cellStyle name="Note 6_P-AS-D1 - Investments Data v0 1" xfId="17654" xr:uid="{00000000-0005-0000-0000-0000C5440000}"/>
    <cellStyle name="Note 7" xfId="17655" xr:uid="{00000000-0005-0000-0000-0000C6440000}"/>
    <cellStyle name="Note 7 2" xfId="17656" xr:uid="{00000000-0005-0000-0000-0000C7440000}"/>
    <cellStyle name="Note 7 3" xfId="17657" xr:uid="{00000000-0005-0000-0000-0000C8440000}"/>
    <cellStyle name="Note 7 4" xfId="17658" xr:uid="{00000000-0005-0000-0000-0000C9440000}"/>
    <cellStyle name="Note 7_P-AS-D1 - Investments Data v0 1" xfId="17659" xr:uid="{00000000-0005-0000-0000-0000CA440000}"/>
    <cellStyle name="Note 8" xfId="17660" xr:uid="{00000000-0005-0000-0000-0000CB440000}"/>
    <cellStyle name="Note 8 2" xfId="17661" xr:uid="{00000000-0005-0000-0000-0000CC440000}"/>
    <cellStyle name="Note 8 3" xfId="17662" xr:uid="{00000000-0005-0000-0000-0000CD440000}"/>
    <cellStyle name="Note 8 4" xfId="17663" xr:uid="{00000000-0005-0000-0000-0000CE440000}"/>
    <cellStyle name="Note 8_P-AS-D1 - Investments Data v0 1" xfId="17664" xr:uid="{00000000-0005-0000-0000-0000CF440000}"/>
    <cellStyle name="Note 9" xfId="17665" xr:uid="{00000000-0005-0000-0000-0000D0440000}"/>
    <cellStyle name="Note 9 2" xfId="17666" xr:uid="{00000000-0005-0000-0000-0000D1440000}"/>
    <cellStyle name="Note 9 3" xfId="17667" xr:uid="{00000000-0005-0000-0000-0000D2440000}"/>
    <cellStyle name="Note 9_P-AS-D1 - Investments Data v0 1" xfId="17668" xr:uid="{00000000-0005-0000-0000-0000D3440000}"/>
    <cellStyle name="Note_Annual_Disclosure_Solo" xfId="17669" xr:uid="{00000000-0005-0000-0000-0000D4440000}"/>
    <cellStyle name="Otsikko" xfId="129" xr:uid="{00000000-0005-0000-0000-0000D5440000}"/>
    <cellStyle name="Otsikko 1" xfId="130" xr:uid="{00000000-0005-0000-0000-0000D6440000}"/>
    <cellStyle name="Otsikko 1 2" xfId="17670" xr:uid="{00000000-0005-0000-0000-0000D7440000}"/>
    <cellStyle name="Otsikko 1 3" xfId="17671" xr:uid="{00000000-0005-0000-0000-0000D8440000}"/>
    <cellStyle name="Otsikko 1 4" xfId="17672" xr:uid="{00000000-0005-0000-0000-0000D9440000}"/>
    <cellStyle name="Otsikko 1_MCEV_activiteiten 2012Q4 gedeeld op 11-1-2012" xfId="17673" xr:uid="{00000000-0005-0000-0000-0000DA440000}"/>
    <cellStyle name="Otsikko 2" xfId="131" xr:uid="{00000000-0005-0000-0000-0000DB440000}"/>
    <cellStyle name="Otsikko 2 2" xfId="17674" xr:uid="{00000000-0005-0000-0000-0000DC440000}"/>
    <cellStyle name="Otsikko 2 3" xfId="17675" xr:uid="{00000000-0005-0000-0000-0000DD440000}"/>
    <cellStyle name="Otsikko 2 4" xfId="17676" xr:uid="{00000000-0005-0000-0000-0000DE440000}"/>
    <cellStyle name="Otsikko 2_MCEV_activiteiten 2012Q4 gedeeld op 11-1-2012" xfId="17677" xr:uid="{00000000-0005-0000-0000-0000DF440000}"/>
    <cellStyle name="Otsikko 3" xfId="132" xr:uid="{00000000-0005-0000-0000-0000E0440000}"/>
    <cellStyle name="Otsikko 3 2" xfId="17678" xr:uid="{00000000-0005-0000-0000-0000E1440000}"/>
    <cellStyle name="Otsikko 3 3" xfId="17679" xr:uid="{00000000-0005-0000-0000-0000E2440000}"/>
    <cellStyle name="Otsikko 3 4" xfId="17680" xr:uid="{00000000-0005-0000-0000-0000E3440000}"/>
    <cellStyle name="Otsikko 3_MCEV_activiteiten 2012Q4 gedeeld op 11-1-2012" xfId="17681" xr:uid="{00000000-0005-0000-0000-0000E4440000}"/>
    <cellStyle name="Otsikko 4" xfId="133" xr:uid="{00000000-0005-0000-0000-0000E5440000}"/>
    <cellStyle name="Otsikko 4 2" xfId="17682" xr:uid="{00000000-0005-0000-0000-0000E6440000}"/>
    <cellStyle name="Otsikko 4 3" xfId="17683" xr:uid="{00000000-0005-0000-0000-0000E7440000}"/>
    <cellStyle name="Otsikko 4 4" xfId="17684" xr:uid="{00000000-0005-0000-0000-0000E8440000}"/>
    <cellStyle name="Otsikko 5" xfId="17685" xr:uid="{00000000-0005-0000-0000-0000E9440000}"/>
    <cellStyle name="Otsikko 6" xfId="17686" xr:uid="{00000000-0005-0000-0000-0000EA440000}"/>
    <cellStyle name="Otsikko 7" xfId="17687" xr:uid="{00000000-0005-0000-0000-0000EB440000}"/>
    <cellStyle name="Otsikko_Cat risk" xfId="17688" xr:uid="{00000000-0005-0000-0000-0000EC440000}"/>
    <cellStyle name="Output" xfId="179" xr:uid="{00000000-0005-0000-0000-0000ED440000}"/>
    <cellStyle name="Output 10" xfId="17689" xr:uid="{00000000-0005-0000-0000-0000EE440000}"/>
    <cellStyle name="Output 11" xfId="17690" xr:uid="{00000000-0005-0000-0000-0000EF440000}"/>
    <cellStyle name="Output 12" xfId="17691" xr:uid="{00000000-0005-0000-0000-0000F0440000}"/>
    <cellStyle name="Output 13" xfId="17692" xr:uid="{00000000-0005-0000-0000-0000F1440000}"/>
    <cellStyle name="Output 14" xfId="17693" xr:uid="{00000000-0005-0000-0000-0000F2440000}"/>
    <cellStyle name="Output 15" xfId="17694" xr:uid="{00000000-0005-0000-0000-0000F3440000}"/>
    <cellStyle name="Output 16" xfId="17695" xr:uid="{00000000-0005-0000-0000-0000F4440000}"/>
    <cellStyle name="Output 17" xfId="17696" xr:uid="{00000000-0005-0000-0000-0000F5440000}"/>
    <cellStyle name="Output 18" xfId="17697" xr:uid="{00000000-0005-0000-0000-0000F6440000}"/>
    <cellStyle name="Output 19" xfId="17698" xr:uid="{00000000-0005-0000-0000-0000F7440000}"/>
    <cellStyle name="Output 2" xfId="238" xr:uid="{00000000-0005-0000-0000-0000F8440000}"/>
    <cellStyle name="Output 2 2" xfId="17699" xr:uid="{00000000-0005-0000-0000-0000F9440000}"/>
    <cellStyle name="Output 2 3" xfId="17700" xr:uid="{00000000-0005-0000-0000-0000FA440000}"/>
    <cellStyle name="Output 2 4" xfId="17701" xr:uid="{00000000-0005-0000-0000-0000FB440000}"/>
    <cellStyle name="Output 20" xfId="17702" xr:uid="{00000000-0005-0000-0000-0000FC440000}"/>
    <cellStyle name="Output 21" xfId="17703" xr:uid="{00000000-0005-0000-0000-0000FD440000}"/>
    <cellStyle name="Output 22" xfId="17704" xr:uid="{00000000-0005-0000-0000-0000FE440000}"/>
    <cellStyle name="Output 23" xfId="17705" xr:uid="{00000000-0005-0000-0000-0000FF440000}"/>
    <cellStyle name="Output 24" xfId="17706" xr:uid="{00000000-0005-0000-0000-000000450000}"/>
    <cellStyle name="Output 25" xfId="17707" xr:uid="{00000000-0005-0000-0000-000001450000}"/>
    <cellStyle name="Output 26" xfId="17708" xr:uid="{00000000-0005-0000-0000-000002450000}"/>
    <cellStyle name="Output 27" xfId="17709" xr:uid="{00000000-0005-0000-0000-000003450000}"/>
    <cellStyle name="Output 28" xfId="17710" xr:uid="{00000000-0005-0000-0000-000004450000}"/>
    <cellStyle name="Output 29" xfId="17711" xr:uid="{00000000-0005-0000-0000-000005450000}"/>
    <cellStyle name="Output 3" xfId="17712" xr:uid="{00000000-0005-0000-0000-000006450000}"/>
    <cellStyle name="Output 3 2" xfId="17713" xr:uid="{00000000-0005-0000-0000-000007450000}"/>
    <cellStyle name="Output 3 3" xfId="17714" xr:uid="{00000000-0005-0000-0000-000008450000}"/>
    <cellStyle name="Output 30" xfId="17715" xr:uid="{00000000-0005-0000-0000-000009450000}"/>
    <cellStyle name="Output 31" xfId="17716" xr:uid="{00000000-0005-0000-0000-00000A450000}"/>
    <cellStyle name="Output 32" xfId="17717" xr:uid="{00000000-0005-0000-0000-00000B450000}"/>
    <cellStyle name="Output 33" xfId="17718" xr:uid="{00000000-0005-0000-0000-00000C450000}"/>
    <cellStyle name="Output 34" xfId="17719" xr:uid="{00000000-0005-0000-0000-00000D450000}"/>
    <cellStyle name="Output 35" xfId="17720" xr:uid="{00000000-0005-0000-0000-00000E450000}"/>
    <cellStyle name="Output 36" xfId="17721" xr:uid="{00000000-0005-0000-0000-00000F450000}"/>
    <cellStyle name="Output 37" xfId="17722" xr:uid="{00000000-0005-0000-0000-000010450000}"/>
    <cellStyle name="Output 38" xfId="17723" xr:uid="{00000000-0005-0000-0000-000011450000}"/>
    <cellStyle name="Output 39" xfId="17724" xr:uid="{00000000-0005-0000-0000-000012450000}"/>
    <cellStyle name="Output 4" xfId="17725" xr:uid="{00000000-0005-0000-0000-000013450000}"/>
    <cellStyle name="Output 40" xfId="17726" xr:uid="{00000000-0005-0000-0000-000014450000}"/>
    <cellStyle name="Output 41" xfId="17727" xr:uid="{00000000-0005-0000-0000-000015450000}"/>
    <cellStyle name="Output 42" xfId="17728" xr:uid="{00000000-0005-0000-0000-000016450000}"/>
    <cellStyle name="Output 5" xfId="17729" xr:uid="{00000000-0005-0000-0000-000017450000}"/>
    <cellStyle name="Output 6" xfId="17730" xr:uid="{00000000-0005-0000-0000-000018450000}"/>
    <cellStyle name="Output 7" xfId="17731" xr:uid="{00000000-0005-0000-0000-000019450000}"/>
    <cellStyle name="Output 8" xfId="17732" xr:uid="{00000000-0005-0000-0000-00001A450000}"/>
    <cellStyle name="Output 9" xfId="17733" xr:uid="{00000000-0005-0000-0000-00001B450000}"/>
    <cellStyle name="Output_Annual_Disclosure_Solo" xfId="17734" xr:uid="{00000000-0005-0000-0000-00001C450000}"/>
    <cellStyle name="Percent 2" xfId="232" xr:uid="{00000000-0005-0000-0000-00001E450000}"/>
    <cellStyle name="Percent 2 2" xfId="17735" xr:uid="{00000000-0005-0000-0000-00001F450000}"/>
    <cellStyle name="Percent 3" xfId="17736" xr:uid="{00000000-0005-0000-0000-000020450000}"/>
    <cellStyle name="Percent 3 2" xfId="17737" xr:uid="{00000000-0005-0000-0000-000021450000}"/>
    <cellStyle name="PercentCell" xfId="134" xr:uid="{00000000-0005-0000-0000-000022450000}"/>
    <cellStyle name="PercentCell 2" xfId="17738" xr:uid="{00000000-0005-0000-0000-000023450000}"/>
    <cellStyle name="PercentCell 2 2" xfId="17739" xr:uid="{00000000-0005-0000-0000-000024450000}"/>
    <cellStyle name="PercentCell 3" xfId="17740" xr:uid="{00000000-0005-0000-0000-000025450000}"/>
    <cellStyle name="PercentCell 4" xfId="17741" xr:uid="{00000000-0005-0000-0000-000026450000}"/>
    <cellStyle name="PercentCell 5" xfId="17742" xr:uid="{00000000-0005-0000-0000-000027450000}"/>
    <cellStyle name="PercentCell_Map2" xfId="17743" xr:uid="{00000000-0005-0000-0000-000028450000}"/>
    <cellStyle name="Porcentaje 2" xfId="17744" xr:uid="{00000000-0005-0000-0000-000029450000}"/>
    <cellStyle name="Porcentual 10" xfId="17745" xr:uid="{00000000-0005-0000-0000-00002A450000}"/>
    <cellStyle name="Porcentual 10 2" xfId="17746" xr:uid="{00000000-0005-0000-0000-00002B450000}"/>
    <cellStyle name="Porcentual 2" xfId="17747" xr:uid="{00000000-0005-0000-0000-00002C450000}"/>
    <cellStyle name="Porcentual 2 2" xfId="17748" xr:uid="{00000000-0005-0000-0000-00002D450000}"/>
    <cellStyle name="Porcentual 2 2 2" xfId="17749" xr:uid="{00000000-0005-0000-0000-00002E450000}"/>
    <cellStyle name="Porcentual 2 3" xfId="17750" xr:uid="{00000000-0005-0000-0000-00002F450000}"/>
    <cellStyle name="Porcentual 2 3 2" xfId="17751" xr:uid="{00000000-0005-0000-0000-000030450000}"/>
    <cellStyle name="Porcentual 2 3 2 2" xfId="17752" xr:uid="{00000000-0005-0000-0000-000031450000}"/>
    <cellStyle name="Porcentual 2 3 3" xfId="17753" xr:uid="{00000000-0005-0000-0000-000032450000}"/>
    <cellStyle name="Porcentual 2 4" xfId="17754" xr:uid="{00000000-0005-0000-0000-000033450000}"/>
    <cellStyle name="Porcentual 2 4 2" xfId="17755" xr:uid="{00000000-0005-0000-0000-000034450000}"/>
    <cellStyle name="Porcentual 2 5" xfId="17756" xr:uid="{00000000-0005-0000-0000-000035450000}"/>
    <cellStyle name="Porcentual 2 5 2" xfId="17757" xr:uid="{00000000-0005-0000-0000-000036450000}"/>
    <cellStyle name="Porcentual 2 6" xfId="17758" xr:uid="{00000000-0005-0000-0000-000037450000}"/>
    <cellStyle name="Porcentual 3" xfId="17759" xr:uid="{00000000-0005-0000-0000-000038450000}"/>
    <cellStyle name="Porcentual 3 2" xfId="17760" xr:uid="{00000000-0005-0000-0000-000039450000}"/>
    <cellStyle name="Porcentual 3 2 2" xfId="17761" xr:uid="{00000000-0005-0000-0000-00003A450000}"/>
    <cellStyle name="Porcentual 3 2 2 2" xfId="17762" xr:uid="{00000000-0005-0000-0000-00003B450000}"/>
    <cellStyle name="Porcentual 3 2 3" xfId="17763" xr:uid="{00000000-0005-0000-0000-00003C450000}"/>
    <cellStyle name="Porcentual 3 2 3 2" xfId="17764" xr:uid="{00000000-0005-0000-0000-00003D450000}"/>
    <cellStyle name="Porcentual 3 2 4" xfId="17765" xr:uid="{00000000-0005-0000-0000-00003E450000}"/>
    <cellStyle name="Porcentual 3 3" xfId="17766" xr:uid="{00000000-0005-0000-0000-00003F450000}"/>
    <cellStyle name="Porcentual 4" xfId="17767" xr:uid="{00000000-0005-0000-0000-000040450000}"/>
    <cellStyle name="Porcentual 5" xfId="17768" xr:uid="{00000000-0005-0000-0000-000041450000}"/>
    <cellStyle name="Porcentual 6" xfId="17769" xr:uid="{00000000-0005-0000-0000-000042450000}"/>
    <cellStyle name="Porcentual 7" xfId="17770" xr:uid="{00000000-0005-0000-0000-000043450000}"/>
    <cellStyle name="Porcentual 7 2" xfId="17771" xr:uid="{00000000-0005-0000-0000-000044450000}"/>
    <cellStyle name="Porcentual 8" xfId="17772" xr:uid="{00000000-0005-0000-0000-000045450000}"/>
    <cellStyle name="Porcentual 9" xfId="17773" xr:uid="{00000000-0005-0000-0000-000046450000}"/>
    <cellStyle name="Pourcentage 10" xfId="17774" xr:uid="{00000000-0005-0000-0000-000047450000}"/>
    <cellStyle name="Pourcentage 10 2" xfId="17775" xr:uid="{00000000-0005-0000-0000-000048450000}"/>
    <cellStyle name="Pourcentage 10 2 2" xfId="17776" xr:uid="{00000000-0005-0000-0000-000049450000}"/>
    <cellStyle name="Pourcentage 10 3" xfId="17777" xr:uid="{00000000-0005-0000-0000-00004A450000}"/>
    <cellStyle name="Pourcentage 11" xfId="17778" xr:uid="{00000000-0005-0000-0000-00004B450000}"/>
    <cellStyle name="Pourcentage 11 2" xfId="17779" xr:uid="{00000000-0005-0000-0000-00004C450000}"/>
    <cellStyle name="Pourcentage 11 2 2" xfId="17780" xr:uid="{00000000-0005-0000-0000-00004D450000}"/>
    <cellStyle name="Pourcentage 12" xfId="17781" xr:uid="{00000000-0005-0000-0000-00004E450000}"/>
    <cellStyle name="Pourcentage 12 2" xfId="17782" xr:uid="{00000000-0005-0000-0000-00004F450000}"/>
    <cellStyle name="Pourcentage 2" xfId="135" xr:uid="{00000000-0005-0000-0000-000050450000}"/>
    <cellStyle name="Pourcentage 2 2" xfId="231" xr:uid="{00000000-0005-0000-0000-000051450000}"/>
    <cellStyle name="Pourcentage 2 2 2" xfId="17783" xr:uid="{00000000-0005-0000-0000-000052450000}"/>
    <cellStyle name="Pourcentage 2 2 3" xfId="17784" xr:uid="{00000000-0005-0000-0000-000053450000}"/>
    <cellStyle name="Pourcentage 2 3" xfId="17785" xr:uid="{00000000-0005-0000-0000-000054450000}"/>
    <cellStyle name="Pourcentage 2 3 2" xfId="17786" xr:uid="{00000000-0005-0000-0000-000055450000}"/>
    <cellStyle name="Pourcentage 2 4" xfId="17787" xr:uid="{00000000-0005-0000-0000-000056450000}"/>
    <cellStyle name="Pourcentage 2 4 2" xfId="17788" xr:uid="{00000000-0005-0000-0000-000057450000}"/>
    <cellStyle name="Pourcentage 2 5" xfId="17789" xr:uid="{00000000-0005-0000-0000-000058450000}"/>
    <cellStyle name="Pourcentage 2 5 2" xfId="17790" xr:uid="{00000000-0005-0000-0000-000059450000}"/>
    <cellStyle name="Pourcentage 2 6" xfId="17791" xr:uid="{00000000-0005-0000-0000-00005A450000}"/>
    <cellStyle name="Pourcentage 2_MCEV_activiteiten 2012Q4 gedeeld op 11-1-2012" xfId="17792" xr:uid="{00000000-0005-0000-0000-00005B450000}"/>
    <cellStyle name="Pourcentage 3" xfId="17793" xr:uid="{00000000-0005-0000-0000-00005C450000}"/>
    <cellStyle name="Pourcentage 3 2" xfId="17794" xr:uid="{00000000-0005-0000-0000-00005D450000}"/>
    <cellStyle name="Pourcentage 3 2 2" xfId="17795" xr:uid="{00000000-0005-0000-0000-00005E450000}"/>
    <cellStyle name="Pourcentage 3 3" xfId="17796" xr:uid="{00000000-0005-0000-0000-00005F450000}"/>
    <cellStyle name="Pourcentage 3 3 2" xfId="17797" xr:uid="{00000000-0005-0000-0000-000060450000}"/>
    <cellStyle name="Pourcentage 3 4" xfId="17798" xr:uid="{00000000-0005-0000-0000-000061450000}"/>
    <cellStyle name="Pourcentage 3 4 2" xfId="17799" xr:uid="{00000000-0005-0000-0000-000062450000}"/>
    <cellStyle name="Pourcentage 3 5" xfId="17800" xr:uid="{00000000-0005-0000-0000-000063450000}"/>
    <cellStyle name="Pourcentage 3_Procesplaat tbv QRT rapportage" xfId="17801" xr:uid="{00000000-0005-0000-0000-000064450000}"/>
    <cellStyle name="Pourcentage 4" xfId="17802" xr:uid="{00000000-0005-0000-0000-000065450000}"/>
    <cellStyle name="Pourcentage 4 2" xfId="17803" xr:uid="{00000000-0005-0000-0000-000066450000}"/>
    <cellStyle name="Pourcentage 5" xfId="17804" xr:uid="{00000000-0005-0000-0000-000067450000}"/>
    <cellStyle name="Pourcentage 5 2" xfId="17805" xr:uid="{00000000-0005-0000-0000-000068450000}"/>
    <cellStyle name="Pourcentage 6" xfId="17806" xr:uid="{00000000-0005-0000-0000-000069450000}"/>
    <cellStyle name="Pourcentage 6 2" xfId="17807" xr:uid="{00000000-0005-0000-0000-00006A450000}"/>
    <cellStyle name="Pourcentage 7" xfId="17808" xr:uid="{00000000-0005-0000-0000-00006B450000}"/>
    <cellStyle name="Pourcentage 7 2" xfId="17809" xr:uid="{00000000-0005-0000-0000-00006C450000}"/>
    <cellStyle name="Pourcentage 8" xfId="17810" xr:uid="{00000000-0005-0000-0000-00006D450000}"/>
    <cellStyle name="Pourcentage 8 2" xfId="17811" xr:uid="{00000000-0005-0000-0000-00006E450000}"/>
    <cellStyle name="Pourcentage 9" xfId="17812" xr:uid="{00000000-0005-0000-0000-00006F450000}"/>
    <cellStyle name="Pourcentage 9 2" xfId="17813" xr:uid="{00000000-0005-0000-0000-000070450000}"/>
    <cellStyle name="Procent 2" xfId="246" xr:uid="{00000000-0005-0000-0000-000071450000}"/>
    <cellStyle name="Procent 2 2" xfId="17814" xr:uid="{00000000-0005-0000-0000-000072450000}"/>
    <cellStyle name="Procent 2 3" xfId="17815" xr:uid="{00000000-0005-0000-0000-000073450000}"/>
    <cellStyle name="Procent 2 4" xfId="17816" xr:uid="{00000000-0005-0000-0000-000074450000}"/>
    <cellStyle name="Procent 2 5" xfId="20679" xr:uid="{00000000-0005-0000-0000-000075450000}"/>
    <cellStyle name="Procent 3" xfId="17817" xr:uid="{00000000-0005-0000-0000-000076450000}"/>
    <cellStyle name="Procent 4" xfId="17818" xr:uid="{00000000-0005-0000-0000-000077450000}"/>
    <cellStyle name="Procentowy 2" xfId="17819" xr:uid="{00000000-0005-0000-0000-000078450000}"/>
    <cellStyle name="Procentowy 3" xfId="17820" xr:uid="{00000000-0005-0000-0000-000079450000}"/>
    <cellStyle name="Procentowy 4" xfId="17821" xr:uid="{00000000-0005-0000-0000-00007A450000}"/>
    <cellStyle name="Procentowy 4 2" xfId="17822" xr:uid="{00000000-0005-0000-0000-00007B450000}"/>
    <cellStyle name="Procentowy 5" xfId="17823" xr:uid="{00000000-0005-0000-0000-00007C450000}"/>
    <cellStyle name="Procentowy 5 2" xfId="17824" xr:uid="{00000000-0005-0000-0000-00007D450000}"/>
    <cellStyle name="Procentowy 6" xfId="17825" xr:uid="{00000000-0005-0000-0000-00007E450000}"/>
    <cellStyle name="Prozent+-" xfId="17826" xr:uid="{00000000-0005-0000-0000-00007F450000}"/>
    <cellStyle name="Prozent+- 2" xfId="17827" xr:uid="{00000000-0005-0000-0000-000080450000}"/>
    <cellStyle name="Prozent+- 2 2" xfId="17828" xr:uid="{00000000-0005-0000-0000-000081450000}"/>
    <cellStyle name="Prozent+- 3" xfId="17829" xr:uid="{00000000-0005-0000-0000-000082450000}"/>
    <cellStyle name="Prozent+- 3 2" xfId="17830" xr:uid="{00000000-0005-0000-0000-000083450000}"/>
    <cellStyle name="Prozent+- 4" xfId="17831" xr:uid="{00000000-0005-0000-0000-000084450000}"/>
    <cellStyle name="Prozent+- 4 2" xfId="17832" xr:uid="{00000000-0005-0000-0000-000085450000}"/>
    <cellStyle name="Prozent+- 5" xfId="17833" xr:uid="{00000000-0005-0000-0000-000086450000}"/>
    <cellStyle name="Prozent0" xfId="17834" xr:uid="{00000000-0005-0000-0000-000087450000}"/>
    <cellStyle name="Prozent0 2" xfId="17835" xr:uid="{00000000-0005-0000-0000-000088450000}"/>
    <cellStyle name="Prozent0 2 2" xfId="17836" xr:uid="{00000000-0005-0000-0000-000089450000}"/>
    <cellStyle name="Prozent0 3" xfId="17837" xr:uid="{00000000-0005-0000-0000-00008A450000}"/>
    <cellStyle name="Prozent0 3 2" xfId="17838" xr:uid="{00000000-0005-0000-0000-00008B450000}"/>
    <cellStyle name="Prozent0 4" xfId="17839" xr:uid="{00000000-0005-0000-0000-00008C450000}"/>
    <cellStyle name="Prozent0 4 2" xfId="17840" xr:uid="{00000000-0005-0000-0000-00008D450000}"/>
    <cellStyle name="Prozent0 5" xfId="17841" xr:uid="{00000000-0005-0000-0000-00008E450000}"/>
    <cellStyle name="Prozent0+-" xfId="17842" xr:uid="{00000000-0005-0000-0000-00008F450000}"/>
    <cellStyle name="Prozent0+- 2" xfId="17843" xr:uid="{00000000-0005-0000-0000-000090450000}"/>
    <cellStyle name="Prozent0+- 2 2" xfId="17844" xr:uid="{00000000-0005-0000-0000-000091450000}"/>
    <cellStyle name="Prozent0+- 3" xfId="17845" xr:uid="{00000000-0005-0000-0000-000092450000}"/>
    <cellStyle name="Prozent0+- 3 2" xfId="17846" xr:uid="{00000000-0005-0000-0000-000093450000}"/>
    <cellStyle name="Prozent0+- 4" xfId="17847" xr:uid="{00000000-0005-0000-0000-000094450000}"/>
    <cellStyle name="Prozent0+- 4 2" xfId="17848" xr:uid="{00000000-0005-0000-0000-000095450000}"/>
    <cellStyle name="Prozent0+- 5" xfId="17849" xr:uid="{00000000-0005-0000-0000-000096450000}"/>
    <cellStyle name="QIS2CalcCell" xfId="136" xr:uid="{00000000-0005-0000-0000-000097450000}"/>
    <cellStyle name="QIS2CalcCell 2" xfId="17850" xr:uid="{00000000-0005-0000-0000-000098450000}"/>
    <cellStyle name="QIS2CalcCell 2 2" xfId="17851" xr:uid="{00000000-0005-0000-0000-000099450000}"/>
    <cellStyle name="QIS2CalcCell 3" xfId="17852" xr:uid="{00000000-0005-0000-0000-00009A450000}"/>
    <cellStyle name="QIS2CalcCell 4" xfId="17853" xr:uid="{00000000-0005-0000-0000-00009B450000}"/>
    <cellStyle name="QIS2CalcCell 5" xfId="17854" xr:uid="{00000000-0005-0000-0000-00009C450000}"/>
    <cellStyle name="QIS2CalcCell_Concept Analyse verschillen TS  LTGA en QIS5 v1" xfId="17855" xr:uid="{00000000-0005-0000-0000-00009D450000}"/>
    <cellStyle name="QIS2Filler" xfId="137" xr:uid="{00000000-0005-0000-0000-00009E450000}"/>
    <cellStyle name="QIS2Filler 10" xfId="17856" xr:uid="{00000000-0005-0000-0000-00009F450000}"/>
    <cellStyle name="QIS2Filler 11" xfId="17857" xr:uid="{00000000-0005-0000-0000-0000A0450000}"/>
    <cellStyle name="QIS2Filler 2" xfId="17858" xr:uid="{00000000-0005-0000-0000-0000A1450000}"/>
    <cellStyle name="QIS2Filler 2 2" xfId="17859" xr:uid="{00000000-0005-0000-0000-0000A2450000}"/>
    <cellStyle name="QIS2Filler 2 3" xfId="17860" xr:uid="{00000000-0005-0000-0000-0000A3450000}"/>
    <cellStyle name="QIS2Filler 3" xfId="17861" xr:uid="{00000000-0005-0000-0000-0000A4450000}"/>
    <cellStyle name="QIS2Filler 3 2" xfId="17862" xr:uid="{00000000-0005-0000-0000-0000A5450000}"/>
    <cellStyle name="QIS2Filler 3 3" xfId="17863" xr:uid="{00000000-0005-0000-0000-0000A6450000}"/>
    <cellStyle name="QIS2Filler 4" xfId="17864" xr:uid="{00000000-0005-0000-0000-0000A7450000}"/>
    <cellStyle name="QIS2Filler 4 2" xfId="17865" xr:uid="{00000000-0005-0000-0000-0000A8450000}"/>
    <cellStyle name="QIS2Filler 4 3" xfId="17866" xr:uid="{00000000-0005-0000-0000-0000A9450000}"/>
    <cellStyle name="QIS2Filler 5" xfId="17867" xr:uid="{00000000-0005-0000-0000-0000AA450000}"/>
    <cellStyle name="QIS2Filler 5 2" xfId="17868" xr:uid="{00000000-0005-0000-0000-0000AB450000}"/>
    <cellStyle name="QIS2Filler 5 3" xfId="17869" xr:uid="{00000000-0005-0000-0000-0000AC450000}"/>
    <cellStyle name="QIS2Filler 5 4" xfId="17870" xr:uid="{00000000-0005-0000-0000-0000AD450000}"/>
    <cellStyle name="QIS2Filler 6" xfId="17871" xr:uid="{00000000-0005-0000-0000-0000AE450000}"/>
    <cellStyle name="QIS2Filler 6 2" xfId="17872" xr:uid="{00000000-0005-0000-0000-0000AF450000}"/>
    <cellStyle name="QIS2Filler 6 3" xfId="17873" xr:uid="{00000000-0005-0000-0000-0000B0450000}"/>
    <cellStyle name="QIS2Filler 6 4" xfId="17874" xr:uid="{00000000-0005-0000-0000-0000B1450000}"/>
    <cellStyle name="QIS2Filler 7" xfId="17875" xr:uid="{00000000-0005-0000-0000-0000B2450000}"/>
    <cellStyle name="QIS2Filler 7 2" xfId="17876" xr:uid="{00000000-0005-0000-0000-0000B3450000}"/>
    <cellStyle name="QIS2Filler 7 3" xfId="17877" xr:uid="{00000000-0005-0000-0000-0000B4450000}"/>
    <cellStyle name="QIS2Filler 8" xfId="17878" xr:uid="{00000000-0005-0000-0000-0000B5450000}"/>
    <cellStyle name="QIS2Filler 8 2" xfId="17879" xr:uid="{00000000-0005-0000-0000-0000B6450000}"/>
    <cellStyle name="QIS2Filler 9" xfId="17880" xr:uid="{00000000-0005-0000-0000-0000B7450000}"/>
    <cellStyle name="QIS2Filler_MCEV_activiteiten 2012Q4 gedeeld op 11-1-2012" xfId="17881" xr:uid="{00000000-0005-0000-0000-0000B8450000}"/>
    <cellStyle name="QIS2Heading" xfId="138" xr:uid="{00000000-0005-0000-0000-0000B9450000}"/>
    <cellStyle name="QIS2Heading 10" xfId="17882" xr:uid="{00000000-0005-0000-0000-0000BA450000}"/>
    <cellStyle name="QIS2Heading 11" xfId="17883" xr:uid="{00000000-0005-0000-0000-0000BB450000}"/>
    <cellStyle name="QIS2Heading 2" xfId="17884" xr:uid="{00000000-0005-0000-0000-0000BC450000}"/>
    <cellStyle name="QIS2Heading 2 2" xfId="17885" xr:uid="{00000000-0005-0000-0000-0000BD450000}"/>
    <cellStyle name="QIS2Heading 2 3" xfId="17886" xr:uid="{00000000-0005-0000-0000-0000BE450000}"/>
    <cellStyle name="QIS2Heading 3" xfId="17887" xr:uid="{00000000-0005-0000-0000-0000BF450000}"/>
    <cellStyle name="QIS2Heading 3 2" xfId="17888" xr:uid="{00000000-0005-0000-0000-0000C0450000}"/>
    <cellStyle name="QIS2Heading 3 3" xfId="17889" xr:uid="{00000000-0005-0000-0000-0000C1450000}"/>
    <cellStyle name="QIS2Heading 4" xfId="17890" xr:uid="{00000000-0005-0000-0000-0000C2450000}"/>
    <cellStyle name="QIS2Heading 4 2" xfId="17891" xr:uid="{00000000-0005-0000-0000-0000C3450000}"/>
    <cellStyle name="QIS2Heading 4 3" xfId="17892" xr:uid="{00000000-0005-0000-0000-0000C4450000}"/>
    <cellStyle name="QIS2Heading 5" xfId="17893" xr:uid="{00000000-0005-0000-0000-0000C5450000}"/>
    <cellStyle name="QIS2Heading 5 2" xfId="17894" xr:uid="{00000000-0005-0000-0000-0000C6450000}"/>
    <cellStyle name="QIS2Heading 5 3" xfId="17895" xr:uid="{00000000-0005-0000-0000-0000C7450000}"/>
    <cellStyle name="QIS2Heading 5 4" xfId="17896" xr:uid="{00000000-0005-0000-0000-0000C8450000}"/>
    <cellStyle name="QIS2Heading 6" xfId="17897" xr:uid="{00000000-0005-0000-0000-0000C9450000}"/>
    <cellStyle name="QIS2Heading 6 2" xfId="17898" xr:uid="{00000000-0005-0000-0000-0000CA450000}"/>
    <cellStyle name="QIS2Heading 6 3" xfId="17899" xr:uid="{00000000-0005-0000-0000-0000CB450000}"/>
    <cellStyle name="QIS2Heading 6 4" xfId="17900" xr:uid="{00000000-0005-0000-0000-0000CC450000}"/>
    <cellStyle name="QIS2Heading 7" xfId="17901" xr:uid="{00000000-0005-0000-0000-0000CD450000}"/>
    <cellStyle name="QIS2Heading 7 2" xfId="17902" xr:uid="{00000000-0005-0000-0000-0000CE450000}"/>
    <cellStyle name="QIS2Heading 7 3" xfId="17903" xr:uid="{00000000-0005-0000-0000-0000CF450000}"/>
    <cellStyle name="QIS2Heading 8" xfId="17904" xr:uid="{00000000-0005-0000-0000-0000D0450000}"/>
    <cellStyle name="QIS2Heading 8 2" xfId="17905" xr:uid="{00000000-0005-0000-0000-0000D1450000}"/>
    <cellStyle name="QIS2Heading 9" xfId="17906" xr:uid="{00000000-0005-0000-0000-0000D2450000}"/>
    <cellStyle name="QIS2Heading_G14 - group TPs" xfId="17907" xr:uid="{00000000-0005-0000-0000-0000D3450000}"/>
    <cellStyle name="QIS2InputCell" xfId="139" xr:uid="{00000000-0005-0000-0000-0000D4450000}"/>
    <cellStyle name="QIS2InputCell 2" xfId="17908" xr:uid="{00000000-0005-0000-0000-0000D5450000}"/>
    <cellStyle name="QIS2InputCell 2 2" xfId="17909" xr:uid="{00000000-0005-0000-0000-0000D6450000}"/>
    <cellStyle name="QIS2InputCell 2 3" xfId="17910" xr:uid="{00000000-0005-0000-0000-0000D7450000}"/>
    <cellStyle name="QIS2InputCell 3" xfId="17911" xr:uid="{00000000-0005-0000-0000-0000D8450000}"/>
    <cellStyle name="QIS2InputCell 4" xfId="17912" xr:uid="{00000000-0005-0000-0000-0000D9450000}"/>
    <cellStyle name="QIS2InputCell 5" xfId="17913" xr:uid="{00000000-0005-0000-0000-0000DA450000}"/>
    <cellStyle name="QIS2InputCell 6" xfId="17914" xr:uid="{00000000-0005-0000-0000-0000DB450000}"/>
    <cellStyle name="QIS2InputCell 7" xfId="17915" xr:uid="{00000000-0005-0000-0000-0000DC450000}"/>
    <cellStyle name="QIS2InputCell_Concept Analyse verschillen TS  LTGA en QIS5 v1" xfId="17916" xr:uid="{00000000-0005-0000-0000-0000DD450000}"/>
    <cellStyle name="QIS2Locked" xfId="140" xr:uid="{00000000-0005-0000-0000-0000DE450000}"/>
    <cellStyle name="QIS2Locked 10" xfId="17917" xr:uid="{00000000-0005-0000-0000-0000DF450000}"/>
    <cellStyle name="QIS2Locked 11" xfId="17918" xr:uid="{00000000-0005-0000-0000-0000E0450000}"/>
    <cellStyle name="QIS2Locked 2" xfId="17919" xr:uid="{00000000-0005-0000-0000-0000E1450000}"/>
    <cellStyle name="QIS2Locked 2 2" xfId="17920" xr:uid="{00000000-0005-0000-0000-0000E2450000}"/>
    <cellStyle name="QIS2Locked 2 3" xfId="17921" xr:uid="{00000000-0005-0000-0000-0000E3450000}"/>
    <cellStyle name="QIS2Locked 3" xfId="17922" xr:uid="{00000000-0005-0000-0000-0000E4450000}"/>
    <cellStyle name="QIS2Locked 3 2" xfId="17923" xr:uid="{00000000-0005-0000-0000-0000E5450000}"/>
    <cellStyle name="QIS2Locked 3 3" xfId="17924" xr:uid="{00000000-0005-0000-0000-0000E6450000}"/>
    <cellStyle name="QIS2Locked 4" xfId="17925" xr:uid="{00000000-0005-0000-0000-0000E7450000}"/>
    <cellStyle name="QIS2Locked 4 2" xfId="17926" xr:uid="{00000000-0005-0000-0000-0000E8450000}"/>
    <cellStyle name="QIS2Locked 4 3" xfId="17927" xr:uid="{00000000-0005-0000-0000-0000E9450000}"/>
    <cellStyle name="QIS2Locked 5" xfId="17928" xr:uid="{00000000-0005-0000-0000-0000EA450000}"/>
    <cellStyle name="QIS2Locked 5 2" xfId="17929" xr:uid="{00000000-0005-0000-0000-0000EB450000}"/>
    <cellStyle name="QIS2Locked 5 3" xfId="17930" xr:uid="{00000000-0005-0000-0000-0000EC450000}"/>
    <cellStyle name="QIS2Locked 5 4" xfId="17931" xr:uid="{00000000-0005-0000-0000-0000ED450000}"/>
    <cellStyle name="QIS2Locked 6" xfId="17932" xr:uid="{00000000-0005-0000-0000-0000EE450000}"/>
    <cellStyle name="QIS2Locked 6 2" xfId="17933" xr:uid="{00000000-0005-0000-0000-0000EF450000}"/>
    <cellStyle name="QIS2Locked 6 3" xfId="17934" xr:uid="{00000000-0005-0000-0000-0000F0450000}"/>
    <cellStyle name="QIS2Locked 6 4" xfId="17935" xr:uid="{00000000-0005-0000-0000-0000F1450000}"/>
    <cellStyle name="QIS2Locked 7" xfId="17936" xr:uid="{00000000-0005-0000-0000-0000F2450000}"/>
    <cellStyle name="QIS2Locked 7 2" xfId="17937" xr:uid="{00000000-0005-0000-0000-0000F3450000}"/>
    <cellStyle name="QIS2Locked 7 3" xfId="17938" xr:uid="{00000000-0005-0000-0000-0000F4450000}"/>
    <cellStyle name="QIS2Locked 8" xfId="17939" xr:uid="{00000000-0005-0000-0000-0000F5450000}"/>
    <cellStyle name="QIS2Locked 8 2" xfId="17940" xr:uid="{00000000-0005-0000-0000-0000F6450000}"/>
    <cellStyle name="QIS2Locked 9" xfId="17941" xr:uid="{00000000-0005-0000-0000-0000F7450000}"/>
    <cellStyle name="QIS2Locked_MCEV_activiteiten 2012Q4 gedeeld op 11-1-2012" xfId="17942" xr:uid="{00000000-0005-0000-0000-0000F8450000}"/>
    <cellStyle name="QIS2Para" xfId="141" xr:uid="{00000000-0005-0000-0000-0000F9450000}"/>
    <cellStyle name="QIS2Para 2" xfId="17943" xr:uid="{00000000-0005-0000-0000-0000FA450000}"/>
    <cellStyle name="QIS2Para 2 2" xfId="17944" xr:uid="{00000000-0005-0000-0000-0000FB450000}"/>
    <cellStyle name="QIS2Para 2 3" xfId="17945" xr:uid="{00000000-0005-0000-0000-0000FC450000}"/>
    <cellStyle name="QIS2Para 3" xfId="17946" xr:uid="{00000000-0005-0000-0000-0000FD450000}"/>
    <cellStyle name="QIS2Para 4" xfId="17947" xr:uid="{00000000-0005-0000-0000-0000FE450000}"/>
    <cellStyle name="QIS2Para 5" xfId="17948" xr:uid="{00000000-0005-0000-0000-0000FF450000}"/>
    <cellStyle name="QIS2Para 6" xfId="17949" xr:uid="{00000000-0005-0000-0000-000000460000}"/>
    <cellStyle name="QIS2Param" xfId="142" xr:uid="{00000000-0005-0000-0000-000001460000}"/>
    <cellStyle name="QIS2Param 2" xfId="17950" xr:uid="{00000000-0005-0000-0000-000002460000}"/>
    <cellStyle name="QIS2Param 2 2" xfId="17951" xr:uid="{00000000-0005-0000-0000-000003460000}"/>
    <cellStyle name="QIS2Param 3" xfId="17952" xr:uid="{00000000-0005-0000-0000-000004460000}"/>
    <cellStyle name="QIS2Param 4" xfId="17953" xr:uid="{00000000-0005-0000-0000-000005460000}"/>
    <cellStyle name="QIS2Param 5" xfId="17954" xr:uid="{00000000-0005-0000-0000-000006460000}"/>
    <cellStyle name="QIS4DescrCell1" xfId="17955" xr:uid="{00000000-0005-0000-0000-000007460000}"/>
    <cellStyle name="QIS4DescrCell1 10" xfId="17956" xr:uid="{00000000-0005-0000-0000-000008460000}"/>
    <cellStyle name="QIS4DescrCell1 2" xfId="17957" xr:uid="{00000000-0005-0000-0000-000009460000}"/>
    <cellStyle name="QIS4DescrCell1 2 2" xfId="17958" xr:uid="{00000000-0005-0000-0000-00000A460000}"/>
    <cellStyle name="QIS4DescrCell1 2 3" xfId="17959" xr:uid="{00000000-0005-0000-0000-00000B460000}"/>
    <cellStyle name="QIS4DescrCell1 3" xfId="17960" xr:uid="{00000000-0005-0000-0000-00000C460000}"/>
    <cellStyle name="QIS4DescrCell1 3 2" xfId="17961" xr:uid="{00000000-0005-0000-0000-00000D460000}"/>
    <cellStyle name="QIS4DescrCell1 4" xfId="17962" xr:uid="{00000000-0005-0000-0000-00000E460000}"/>
    <cellStyle name="QIS4DescrCell1 4 2" xfId="17963" xr:uid="{00000000-0005-0000-0000-00000F460000}"/>
    <cellStyle name="QIS4DescrCell1 5" xfId="17964" xr:uid="{00000000-0005-0000-0000-000010460000}"/>
    <cellStyle name="QIS4DescrCell1 5 2" xfId="17965" xr:uid="{00000000-0005-0000-0000-000011460000}"/>
    <cellStyle name="QIS4DescrCell1 6" xfId="17966" xr:uid="{00000000-0005-0000-0000-000012460000}"/>
    <cellStyle name="QIS4DescrCell1 6 2" xfId="17967" xr:uid="{00000000-0005-0000-0000-000013460000}"/>
    <cellStyle name="QIS4DescrCell1 7" xfId="17968" xr:uid="{00000000-0005-0000-0000-000014460000}"/>
    <cellStyle name="QIS4DescrCell1 7 2" xfId="17969" xr:uid="{00000000-0005-0000-0000-000015460000}"/>
    <cellStyle name="QIS4DescrCell1 8" xfId="17970" xr:uid="{00000000-0005-0000-0000-000016460000}"/>
    <cellStyle name="QIS4DescrCell1 8 2" xfId="17971" xr:uid="{00000000-0005-0000-0000-000017460000}"/>
    <cellStyle name="QIS4DescrCell1 9" xfId="17972" xr:uid="{00000000-0005-0000-0000-000018460000}"/>
    <cellStyle name="QIS4DescrCell1 9 2" xfId="17973" xr:uid="{00000000-0005-0000-0000-000019460000}"/>
    <cellStyle name="QIS4DescrCell1_MCEV_activiteiten 2012Q4 gedeeld op 11-1-2012" xfId="17974" xr:uid="{00000000-0005-0000-0000-00001A460000}"/>
    <cellStyle name="QIS4DescrCell2" xfId="17975" xr:uid="{00000000-0005-0000-0000-00001B460000}"/>
    <cellStyle name="QIS4DescrCell2 10" xfId="17976" xr:uid="{00000000-0005-0000-0000-00001C460000}"/>
    <cellStyle name="QIS4DescrCell2 2" xfId="17977" xr:uid="{00000000-0005-0000-0000-00001D460000}"/>
    <cellStyle name="QIS4DescrCell2 2 2" xfId="17978" xr:uid="{00000000-0005-0000-0000-00001E460000}"/>
    <cellStyle name="QIS4DescrCell2 2 3" xfId="17979" xr:uid="{00000000-0005-0000-0000-00001F460000}"/>
    <cellStyle name="QIS4DescrCell2 3" xfId="17980" xr:uid="{00000000-0005-0000-0000-000020460000}"/>
    <cellStyle name="QIS4DescrCell2 3 2" xfId="17981" xr:uid="{00000000-0005-0000-0000-000021460000}"/>
    <cellStyle name="QIS4DescrCell2 4" xfId="17982" xr:uid="{00000000-0005-0000-0000-000022460000}"/>
    <cellStyle name="QIS4DescrCell2 4 2" xfId="17983" xr:uid="{00000000-0005-0000-0000-000023460000}"/>
    <cellStyle name="QIS4DescrCell2 5" xfId="17984" xr:uid="{00000000-0005-0000-0000-000024460000}"/>
    <cellStyle name="QIS4DescrCell2 5 2" xfId="17985" xr:uid="{00000000-0005-0000-0000-000025460000}"/>
    <cellStyle name="QIS4DescrCell2 6" xfId="17986" xr:uid="{00000000-0005-0000-0000-000026460000}"/>
    <cellStyle name="QIS4DescrCell2 6 2" xfId="17987" xr:uid="{00000000-0005-0000-0000-000027460000}"/>
    <cellStyle name="QIS4DescrCell2 7" xfId="17988" xr:uid="{00000000-0005-0000-0000-000028460000}"/>
    <cellStyle name="QIS4DescrCell2 7 2" xfId="17989" xr:uid="{00000000-0005-0000-0000-000029460000}"/>
    <cellStyle name="QIS4DescrCell2 8" xfId="17990" xr:uid="{00000000-0005-0000-0000-00002A460000}"/>
    <cellStyle name="QIS4DescrCell2 8 2" xfId="17991" xr:uid="{00000000-0005-0000-0000-00002B460000}"/>
    <cellStyle name="QIS4DescrCell2 9" xfId="17992" xr:uid="{00000000-0005-0000-0000-00002C460000}"/>
    <cellStyle name="QIS4DescrCell2 9 2" xfId="17993" xr:uid="{00000000-0005-0000-0000-00002D460000}"/>
    <cellStyle name="QIS4DescrCell2_MCEV_activiteiten 2012Q4 gedeeld op 11-1-2012" xfId="17994" xr:uid="{00000000-0005-0000-0000-00002E460000}"/>
    <cellStyle name="QIS4InputCellAbs" xfId="17995" xr:uid="{00000000-0005-0000-0000-00002F460000}"/>
    <cellStyle name="QIS4InputCellAbs 10" xfId="17996" xr:uid="{00000000-0005-0000-0000-000030460000}"/>
    <cellStyle name="QIS4InputCellAbs 2" xfId="17997" xr:uid="{00000000-0005-0000-0000-000031460000}"/>
    <cellStyle name="QIS4InputCellAbs 2 2" xfId="17998" xr:uid="{00000000-0005-0000-0000-000032460000}"/>
    <cellStyle name="QIS4InputCellAbs 3" xfId="17999" xr:uid="{00000000-0005-0000-0000-000033460000}"/>
    <cellStyle name="QIS4InputCellAbs 3 2" xfId="18000" xr:uid="{00000000-0005-0000-0000-000034460000}"/>
    <cellStyle name="QIS4InputCellAbs 4" xfId="18001" xr:uid="{00000000-0005-0000-0000-000035460000}"/>
    <cellStyle name="QIS4InputCellAbs 4 2" xfId="18002" xr:uid="{00000000-0005-0000-0000-000036460000}"/>
    <cellStyle name="QIS4InputCellAbs 5" xfId="18003" xr:uid="{00000000-0005-0000-0000-000037460000}"/>
    <cellStyle name="QIS4InputCellAbs 5 2" xfId="18004" xr:uid="{00000000-0005-0000-0000-000038460000}"/>
    <cellStyle name="QIS4InputCellAbs 6" xfId="18005" xr:uid="{00000000-0005-0000-0000-000039460000}"/>
    <cellStyle name="QIS4InputCellAbs 6 2" xfId="18006" xr:uid="{00000000-0005-0000-0000-00003A460000}"/>
    <cellStyle name="QIS4InputCellAbs 7" xfId="18007" xr:uid="{00000000-0005-0000-0000-00003B460000}"/>
    <cellStyle name="QIS4InputCellAbs 7 2" xfId="18008" xr:uid="{00000000-0005-0000-0000-00003C460000}"/>
    <cellStyle name="QIS4InputCellAbs 8" xfId="18009" xr:uid="{00000000-0005-0000-0000-00003D460000}"/>
    <cellStyle name="QIS4InputCellAbs 8 2" xfId="18010" xr:uid="{00000000-0005-0000-0000-00003E460000}"/>
    <cellStyle name="QIS4InputCellAbs 9" xfId="18011" xr:uid="{00000000-0005-0000-0000-00003F460000}"/>
    <cellStyle name="QIS4InputCellAbs 9 2" xfId="18012" xr:uid="{00000000-0005-0000-0000-000040460000}"/>
    <cellStyle name="QIS4InputCellAbs_MCEV_activiteiten 2012Q4 gedeeld op 11-1-2012" xfId="18013" xr:uid="{00000000-0005-0000-0000-000041460000}"/>
    <cellStyle name="QIS4InputCellPerc" xfId="18014" xr:uid="{00000000-0005-0000-0000-000042460000}"/>
    <cellStyle name="QIS4InputCellPerc 10" xfId="18015" xr:uid="{00000000-0005-0000-0000-000043460000}"/>
    <cellStyle name="QIS4InputCellPerc 2" xfId="18016" xr:uid="{00000000-0005-0000-0000-000044460000}"/>
    <cellStyle name="QIS4InputCellPerc 2 2" xfId="18017" xr:uid="{00000000-0005-0000-0000-000045460000}"/>
    <cellStyle name="QIS4InputCellPerc 3" xfId="18018" xr:uid="{00000000-0005-0000-0000-000046460000}"/>
    <cellStyle name="QIS4InputCellPerc 3 2" xfId="18019" xr:uid="{00000000-0005-0000-0000-000047460000}"/>
    <cellStyle name="QIS4InputCellPerc 4" xfId="18020" xr:uid="{00000000-0005-0000-0000-000048460000}"/>
    <cellStyle name="QIS4InputCellPerc 4 2" xfId="18021" xr:uid="{00000000-0005-0000-0000-000049460000}"/>
    <cellStyle name="QIS4InputCellPerc 5" xfId="18022" xr:uid="{00000000-0005-0000-0000-00004A460000}"/>
    <cellStyle name="QIS4InputCellPerc 5 2" xfId="18023" xr:uid="{00000000-0005-0000-0000-00004B460000}"/>
    <cellStyle name="QIS4InputCellPerc 6" xfId="18024" xr:uid="{00000000-0005-0000-0000-00004C460000}"/>
    <cellStyle name="QIS4InputCellPerc 6 2" xfId="18025" xr:uid="{00000000-0005-0000-0000-00004D460000}"/>
    <cellStyle name="QIS4InputCellPerc 7" xfId="18026" xr:uid="{00000000-0005-0000-0000-00004E460000}"/>
    <cellStyle name="QIS4InputCellPerc 7 2" xfId="18027" xr:uid="{00000000-0005-0000-0000-00004F460000}"/>
    <cellStyle name="QIS4InputCellPerc 8" xfId="18028" xr:uid="{00000000-0005-0000-0000-000050460000}"/>
    <cellStyle name="QIS4InputCellPerc 8 2" xfId="18029" xr:uid="{00000000-0005-0000-0000-000051460000}"/>
    <cellStyle name="QIS4InputCellPerc 9" xfId="18030" xr:uid="{00000000-0005-0000-0000-000052460000}"/>
    <cellStyle name="QIS4InputCellPerc 9 2" xfId="18031" xr:uid="{00000000-0005-0000-0000-000053460000}"/>
    <cellStyle name="QIS4InputCellPerc_MCEV_activiteiten 2012Q4 gedeeld op 11-1-2012" xfId="18032" xr:uid="{00000000-0005-0000-0000-000054460000}"/>
    <cellStyle name="QIS5Area" xfId="143" xr:uid="{00000000-0005-0000-0000-000055460000}"/>
    <cellStyle name="QIS5Area 10" xfId="18033" xr:uid="{00000000-0005-0000-0000-000056460000}"/>
    <cellStyle name="QIS5Area 10 2" xfId="18034" xr:uid="{00000000-0005-0000-0000-000057460000}"/>
    <cellStyle name="QIS5Area 2" xfId="18035" xr:uid="{00000000-0005-0000-0000-000058460000}"/>
    <cellStyle name="QIS5Area 2 2" xfId="18036" xr:uid="{00000000-0005-0000-0000-000059460000}"/>
    <cellStyle name="QIS5Area 2 2 2" xfId="18037" xr:uid="{00000000-0005-0000-0000-00005A460000}"/>
    <cellStyle name="QIS5Area 2 2 2 2" xfId="18038" xr:uid="{00000000-0005-0000-0000-00005B460000}"/>
    <cellStyle name="QIS5Area 2 2 3" xfId="18039" xr:uid="{00000000-0005-0000-0000-00005C460000}"/>
    <cellStyle name="QIS5Area 2 3" xfId="18040" xr:uid="{00000000-0005-0000-0000-00005D460000}"/>
    <cellStyle name="QIS5Area 2 3 2" xfId="18041" xr:uid="{00000000-0005-0000-0000-00005E460000}"/>
    <cellStyle name="QIS5Area 2 4" xfId="18042" xr:uid="{00000000-0005-0000-0000-00005F460000}"/>
    <cellStyle name="QIS5Area 2 4 2" xfId="18043" xr:uid="{00000000-0005-0000-0000-000060460000}"/>
    <cellStyle name="QIS5Area 2 5" xfId="18044" xr:uid="{00000000-0005-0000-0000-000061460000}"/>
    <cellStyle name="QIS5Area 3" xfId="18045" xr:uid="{00000000-0005-0000-0000-000062460000}"/>
    <cellStyle name="QIS5Area 3 2" xfId="18046" xr:uid="{00000000-0005-0000-0000-000063460000}"/>
    <cellStyle name="QIS5Area 3 3" xfId="18047" xr:uid="{00000000-0005-0000-0000-000064460000}"/>
    <cellStyle name="QIS5Area 4" xfId="18048" xr:uid="{00000000-0005-0000-0000-000065460000}"/>
    <cellStyle name="QIS5Area 4 2" xfId="18049" xr:uid="{00000000-0005-0000-0000-000066460000}"/>
    <cellStyle name="QIS5Area 5" xfId="18050" xr:uid="{00000000-0005-0000-0000-000067460000}"/>
    <cellStyle name="QIS5Area 5 2" xfId="18051" xr:uid="{00000000-0005-0000-0000-000068460000}"/>
    <cellStyle name="QIS5Area 6" xfId="18052" xr:uid="{00000000-0005-0000-0000-000069460000}"/>
    <cellStyle name="QIS5Area 6 2" xfId="18053" xr:uid="{00000000-0005-0000-0000-00006A460000}"/>
    <cellStyle name="QIS5Area 7" xfId="18054" xr:uid="{00000000-0005-0000-0000-00006B460000}"/>
    <cellStyle name="QIS5Area 7 2" xfId="18055" xr:uid="{00000000-0005-0000-0000-00006C460000}"/>
    <cellStyle name="QIS5Area 8" xfId="18056" xr:uid="{00000000-0005-0000-0000-00006D460000}"/>
    <cellStyle name="QIS5Area 8 2" xfId="18057" xr:uid="{00000000-0005-0000-0000-00006E460000}"/>
    <cellStyle name="QIS5Area 9" xfId="18058" xr:uid="{00000000-0005-0000-0000-00006F460000}"/>
    <cellStyle name="QIS5Area 9 2" xfId="18059" xr:uid="{00000000-0005-0000-0000-000070460000}"/>
    <cellStyle name="QIS5CalcCell" xfId="144" xr:uid="{00000000-0005-0000-0000-000071460000}"/>
    <cellStyle name="QIS5Check" xfId="145" xr:uid="{00000000-0005-0000-0000-000072460000}"/>
    <cellStyle name="QIS5Check 2" xfId="18060" xr:uid="{00000000-0005-0000-0000-000073460000}"/>
    <cellStyle name="QIS5Empty" xfId="146" xr:uid="{00000000-0005-0000-0000-000074460000}"/>
    <cellStyle name="QIS5Empty 2" xfId="233" xr:uid="{00000000-0005-0000-0000-000075460000}"/>
    <cellStyle name="QIS5Empty 2 2" xfId="18061" xr:uid="{00000000-0005-0000-0000-000076460000}"/>
    <cellStyle name="QIS5Empty 2 2 2" xfId="18062" xr:uid="{00000000-0005-0000-0000-000077460000}"/>
    <cellStyle name="QIS5Empty 2 3" xfId="18063" xr:uid="{00000000-0005-0000-0000-000078460000}"/>
    <cellStyle name="QIS5Empty 3" xfId="18064" xr:uid="{00000000-0005-0000-0000-000079460000}"/>
    <cellStyle name="QIS5Empty 3 2" xfId="18065" xr:uid="{00000000-0005-0000-0000-00007A460000}"/>
    <cellStyle name="QIS5Empty 4" xfId="18066" xr:uid="{00000000-0005-0000-0000-00007B460000}"/>
    <cellStyle name="QIS5Empty 4 2" xfId="18067" xr:uid="{00000000-0005-0000-0000-00007C460000}"/>
    <cellStyle name="QIS5Empty 5" xfId="18068" xr:uid="{00000000-0005-0000-0000-00007D460000}"/>
    <cellStyle name="QIS5Empty_EIOPA Helper tab CAT - ASR Schade" xfId="18069" xr:uid="{00000000-0005-0000-0000-00007E460000}"/>
    <cellStyle name="QIS5EmptyCell" xfId="18070" xr:uid="{00000000-0005-0000-0000-00007F460000}"/>
    <cellStyle name="QIS5EmptyCell 2" xfId="18071" xr:uid="{00000000-0005-0000-0000-000080460000}"/>
    <cellStyle name="QIS5Fix" xfId="18072" xr:uid="{00000000-0005-0000-0000-000081460000}"/>
    <cellStyle name="QIS5Header" xfId="147" xr:uid="{00000000-0005-0000-0000-000082460000}"/>
    <cellStyle name="QIS5Header 2" xfId="234" xr:uid="{00000000-0005-0000-0000-000083460000}"/>
    <cellStyle name="QIS5Header 2 2" xfId="18073" xr:uid="{00000000-0005-0000-0000-000084460000}"/>
    <cellStyle name="QIS5Header 2 2 2" xfId="18074" xr:uid="{00000000-0005-0000-0000-000085460000}"/>
    <cellStyle name="QIS5Header 2 3" xfId="18075" xr:uid="{00000000-0005-0000-0000-000086460000}"/>
    <cellStyle name="QIS5Header 3" xfId="18076" xr:uid="{00000000-0005-0000-0000-000087460000}"/>
    <cellStyle name="QIS5Header 3 2" xfId="18077" xr:uid="{00000000-0005-0000-0000-000088460000}"/>
    <cellStyle name="QIS5Header 4" xfId="18078" xr:uid="{00000000-0005-0000-0000-000089460000}"/>
    <cellStyle name="QIS5Header 4 2" xfId="18079" xr:uid="{00000000-0005-0000-0000-00008A460000}"/>
    <cellStyle name="QIS5Header 5" xfId="18080" xr:uid="{00000000-0005-0000-0000-00008B460000}"/>
    <cellStyle name="QIS5Header 5 2" xfId="18081" xr:uid="{00000000-0005-0000-0000-00008C460000}"/>
    <cellStyle name="QIS5Header 6" xfId="18082" xr:uid="{00000000-0005-0000-0000-00008D460000}"/>
    <cellStyle name="QIS5InputCell" xfId="148" xr:uid="{00000000-0005-0000-0000-00008E460000}"/>
    <cellStyle name="QIS5InputCell 2" xfId="149" xr:uid="{00000000-0005-0000-0000-00008F460000}"/>
    <cellStyle name="QIS5Label" xfId="150" xr:uid="{00000000-0005-0000-0000-000090460000}"/>
    <cellStyle name="QIS5Label 2" xfId="18083" xr:uid="{00000000-0005-0000-0000-000091460000}"/>
    <cellStyle name="QIS5Label 2 2" xfId="18084" xr:uid="{00000000-0005-0000-0000-000092460000}"/>
    <cellStyle name="QIS5Label 2 2 2" xfId="18085" xr:uid="{00000000-0005-0000-0000-000093460000}"/>
    <cellStyle name="QIS5Label 2 2 2 2" xfId="18086" xr:uid="{00000000-0005-0000-0000-000094460000}"/>
    <cellStyle name="QIS5Label 2 2 3" xfId="18087" xr:uid="{00000000-0005-0000-0000-000095460000}"/>
    <cellStyle name="QIS5Label 2 3" xfId="18088" xr:uid="{00000000-0005-0000-0000-000096460000}"/>
    <cellStyle name="QIS5Label 2 3 2" xfId="18089" xr:uid="{00000000-0005-0000-0000-000097460000}"/>
    <cellStyle name="QIS5Label 2 4" xfId="18090" xr:uid="{00000000-0005-0000-0000-000098460000}"/>
    <cellStyle name="QIS5Label 2 5" xfId="18091" xr:uid="{00000000-0005-0000-0000-000099460000}"/>
    <cellStyle name="QIS5Label 3" xfId="18092" xr:uid="{00000000-0005-0000-0000-00009A460000}"/>
    <cellStyle name="QIS5Label 3 2" xfId="18093" xr:uid="{00000000-0005-0000-0000-00009B460000}"/>
    <cellStyle name="QIS5Label 4" xfId="18094" xr:uid="{00000000-0005-0000-0000-00009C460000}"/>
    <cellStyle name="QIS5Label 4 2" xfId="18095" xr:uid="{00000000-0005-0000-0000-00009D460000}"/>
    <cellStyle name="QIS5Locked" xfId="151" xr:uid="{00000000-0005-0000-0000-00009E460000}"/>
    <cellStyle name="QIS5Locked 2" xfId="235" xr:uid="{00000000-0005-0000-0000-00009F460000}"/>
    <cellStyle name="QIS5Output" xfId="152" xr:uid="{00000000-0005-0000-0000-0000A0460000}"/>
    <cellStyle name="QIS5Output 2" xfId="18096" xr:uid="{00000000-0005-0000-0000-0000A1460000}"/>
    <cellStyle name="QIS5Output 3" xfId="18097" xr:uid="{00000000-0005-0000-0000-0000A2460000}"/>
    <cellStyle name="QIS5Param" xfId="153" xr:uid="{00000000-0005-0000-0000-0000A3460000}"/>
    <cellStyle name="QIS5Param 2" xfId="18098" xr:uid="{00000000-0005-0000-0000-0000A4460000}"/>
    <cellStyle name="QIS5SheetHeader" xfId="18099" xr:uid="{00000000-0005-0000-0000-0000A5460000}"/>
    <cellStyle name="QIS5SheetHeader 2" xfId="18100" xr:uid="{00000000-0005-0000-0000-0000A6460000}"/>
    <cellStyle name="QIS5SheetHeader 2 2" xfId="18101" xr:uid="{00000000-0005-0000-0000-0000A7460000}"/>
    <cellStyle name="QIS5SheetHeader 3" xfId="18102" xr:uid="{00000000-0005-0000-0000-0000A8460000}"/>
    <cellStyle name="QIS5SheetHeader 4" xfId="18103" xr:uid="{00000000-0005-0000-0000-0000A9460000}"/>
    <cellStyle name="QIS5XLink" xfId="154" xr:uid="{00000000-0005-0000-0000-0000AA460000}"/>
    <cellStyle name="rand" xfId="18104" xr:uid="{00000000-0005-0000-0000-0000AB460000}"/>
    <cellStyle name="randhoek" xfId="18105" xr:uid="{00000000-0005-0000-0000-0000AC460000}"/>
    <cellStyle name="randhoekrechts" xfId="18106" xr:uid="{00000000-0005-0000-0000-0000AD460000}"/>
    <cellStyle name="Result (intermediate 3)" xfId="18107" xr:uid="{00000000-0005-0000-0000-0000AE460000}"/>
    <cellStyle name="Result (intermediate 3) 2" xfId="18108" xr:uid="{00000000-0005-0000-0000-0000AF460000}"/>
    <cellStyle name="Rossz" xfId="18109" xr:uid="{00000000-0005-0000-0000-0000B0460000}"/>
    <cellStyle name="Rossz 2" xfId="18110" xr:uid="{00000000-0005-0000-0000-0000B1460000}"/>
    <cellStyle name="Rossz 2 2" xfId="18111" xr:uid="{00000000-0005-0000-0000-0000B2460000}"/>
    <cellStyle name="Rossz 3" xfId="18112" xr:uid="{00000000-0005-0000-0000-0000B3460000}"/>
    <cellStyle name="Rossz 4" xfId="18113" xr:uid="{00000000-0005-0000-0000-0000B4460000}"/>
    <cellStyle name="Rossz 5" xfId="18114" xr:uid="{00000000-0005-0000-0000-0000B5460000}"/>
    <cellStyle name="Rossz_Procesplaat tbv QRT rapportage" xfId="18115" xr:uid="{00000000-0005-0000-0000-0000B6460000}"/>
    <cellStyle name="RPInput" xfId="18116" xr:uid="{00000000-0005-0000-0000-0000B7460000}"/>
    <cellStyle name="RPsection" xfId="18117" xr:uid="{00000000-0005-0000-0000-0000B8460000}"/>
    <cellStyle name="Saída" xfId="18118" xr:uid="{00000000-0005-0000-0000-0000B9460000}"/>
    <cellStyle name="Saída 2" xfId="18119" xr:uid="{00000000-0005-0000-0000-0000BA460000}"/>
    <cellStyle name="Saída 3" xfId="18120" xr:uid="{00000000-0005-0000-0000-0000BB460000}"/>
    <cellStyle name="Saída 4" xfId="18121" xr:uid="{00000000-0005-0000-0000-0000BC460000}"/>
    <cellStyle name="Saída 5" xfId="18122" xr:uid="{00000000-0005-0000-0000-0000BD460000}"/>
    <cellStyle name="Salida" xfId="18123" xr:uid="{00000000-0005-0000-0000-0000BE460000}"/>
    <cellStyle name="Satisfaisant" xfId="155" xr:uid="{00000000-0005-0000-0000-0000BF460000}"/>
    <cellStyle name="Satisfaisant 2" xfId="18124" xr:uid="{00000000-0005-0000-0000-0000C0460000}"/>
    <cellStyle name="Satisfaisant 3" xfId="18125" xr:uid="{00000000-0005-0000-0000-0000C1460000}"/>
    <cellStyle name="Selittävä teksti" xfId="156" xr:uid="{00000000-0005-0000-0000-0000C2460000}"/>
    <cellStyle name="Selittävä teksti 2" xfId="18126" xr:uid="{00000000-0005-0000-0000-0000C3460000}"/>
    <cellStyle name="Selittävä teksti 3" xfId="18127" xr:uid="{00000000-0005-0000-0000-0000C4460000}"/>
    <cellStyle name="Selittävä teksti 4" xfId="18128" xr:uid="{00000000-0005-0000-0000-0000C5460000}"/>
    <cellStyle name="Semleges" xfId="18129" xr:uid="{00000000-0005-0000-0000-0000C6460000}"/>
    <cellStyle name="Semleges 2" xfId="18130" xr:uid="{00000000-0005-0000-0000-0000C7460000}"/>
    <cellStyle name="Semleges 2 2" xfId="18131" xr:uid="{00000000-0005-0000-0000-0000C8460000}"/>
    <cellStyle name="Semleges 3" xfId="18132" xr:uid="{00000000-0005-0000-0000-0000C9460000}"/>
    <cellStyle name="Semleges 4" xfId="18133" xr:uid="{00000000-0005-0000-0000-0000CA460000}"/>
    <cellStyle name="Semleges 5" xfId="18134" xr:uid="{00000000-0005-0000-0000-0000CB460000}"/>
    <cellStyle name="Semleges_Procesplaat tbv QRT rapportage" xfId="18135" xr:uid="{00000000-0005-0000-0000-0000CC460000}"/>
    <cellStyle name="Sheet Title" xfId="18136" xr:uid="{00000000-0005-0000-0000-0000CD460000}"/>
    <cellStyle name="Sortie" xfId="157" xr:uid="{00000000-0005-0000-0000-0000CE460000}"/>
    <cellStyle name="Sortie 2" xfId="18137" xr:uid="{00000000-0005-0000-0000-0000CF460000}"/>
    <cellStyle name="Sortie 3" xfId="18138" xr:uid="{00000000-0005-0000-0000-0000D0460000}"/>
    <cellStyle name="Sortie_Concept Analyse verschillen TS  LTGA en QIS5 v1" xfId="18139" xr:uid="{00000000-0005-0000-0000-0000D1460000}"/>
    <cellStyle name="Standaard" xfId="0" builtinId="0"/>
    <cellStyle name="Standaard 10" xfId="18140" xr:uid="{00000000-0005-0000-0000-0000D2460000}"/>
    <cellStyle name="Standaard 11" xfId="243" xr:uid="{00000000-0005-0000-0000-0000D3460000}"/>
    <cellStyle name="Standaard 11 2" xfId="18141" xr:uid="{00000000-0005-0000-0000-0000D4460000}"/>
    <cellStyle name="Standaard 11 2 2" xfId="20689" xr:uid="{00000000-0005-0000-0000-0000D5460000}"/>
    <cellStyle name="Standaard 12" xfId="18142" xr:uid="{00000000-0005-0000-0000-0000D6460000}"/>
    <cellStyle name="Standaard 12 2" xfId="20690" xr:uid="{00000000-0005-0000-0000-0000D7460000}"/>
    <cellStyle name="Standaard 13" xfId="18143" xr:uid="{00000000-0005-0000-0000-0000D8460000}"/>
    <cellStyle name="Standaard 14" xfId="20672" xr:uid="{00000000-0005-0000-0000-0000D9460000}"/>
    <cellStyle name="Standaard 14 2" xfId="20699" xr:uid="{00000000-0005-0000-0000-0000DA460000}"/>
    <cellStyle name="Standaard 15" xfId="20701" xr:uid="{A92FF8FE-0C4B-447A-BA92-7A6C96F22C48}"/>
    <cellStyle name="Standaard 16" xfId="20702" xr:uid="{7D44E2DE-C6E2-40A6-9B9B-B5F8B3DF1315}"/>
    <cellStyle name="Standaard 2" xfId="241" xr:uid="{00000000-0005-0000-0000-0000DB460000}"/>
    <cellStyle name="Standaard 2 2" xfId="18144" xr:uid="{00000000-0005-0000-0000-0000DC460000}"/>
    <cellStyle name="Standaard 2 2 2" xfId="18145" xr:uid="{00000000-0005-0000-0000-0000DD460000}"/>
    <cellStyle name="Standaard 2 2 3" xfId="18146" xr:uid="{00000000-0005-0000-0000-0000DE460000}"/>
    <cellStyle name="Standaard 2 3" xfId="18147" xr:uid="{00000000-0005-0000-0000-0000DF460000}"/>
    <cellStyle name="Standaard 2 4" xfId="18148" xr:uid="{00000000-0005-0000-0000-0000E0460000}"/>
    <cellStyle name="Standaard 2_TP_E1_V0.7" xfId="18149" xr:uid="{00000000-0005-0000-0000-0000E1460000}"/>
    <cellStyle name="Standaard 3" xfId="247" xr:uid="{00000000-0005-0000-0000-0000E2460000}"/>
    <cellStyle name="Standaard 3 2" xfId="18150" xr:uid="{00000000-0005-0000-0000-0000E3460000}"/>
    <cellStyle name="Standaard 3 3" xfId="18151" xr:uid="{00000000-0005-0000-0000-0000E4460000}"/>
    <cellStyle name="Standaard 3 3 2" xfId="20691" xr:uid="{00000000-0005-0000-0000-0000E5460000}"/>
    <cellStyle name="Standaard 3 4" xfId="18152" xr:uid="{00000000-0005-0000-0000-0000E6460000}"/>
    <cellStyle name="Standaard 3 4 2" xfId="20692" xr:uid="{00000000-0005-0000-0000-0000E7460000}"/>
    <cellStyle name="Standaard 4" xfId="244" xr:uid="{00000000-0005-0000-0000-0000E8460000}"/>
    <cellStyle name="Standaard 4 2" xfId="18153" xr:uid="{00000000-0005-0000-0000-0000E9460000}"/>
    <cellStyle name="Standaard 4 2 2" xfId="18154" xr:uid="{00000000-0005-0000-0000-0000EA460000}"/>
    <cellStyle name="Standaard 4 2 2 2" xfId="20693" xr:uid="{00000000-0005-0000-0000-0000EB460000}"/>
    <cellStyle name="Standaard 4 3" xfId="18155" xr:uid="{00000000-0005-0000-0000-0000EC460000}"/>
    <cellStyle name="Standaard 4 3 2" xfId="20694" xr:uid="{00000000-0005-0000-0000-0000ED460000}"/>
    <cellStyle name="Standaard 4 4" xfId="18156" xr:uid="{00000000-0005-0000-0000-0000EE460000}"/>
    <cellStyle name="Standaard 4 4 2" xfId="20695" xr:uid="{00000000-0005-0000-0000-0000EF460000}"/>
    <cellStyle name="Standaard 4 5" xfId="20673" xr:uid="{00000000-0005-0000-0000-0000F0460000}"/>
    <cellStyle name="Standaard 4 6" xfId="20677" xr:uid="{00000000-0005-0000-0000-0000F1460000}"/>
    <cellStyle name="Standaard 5" xfId="248" xr:uid="{00000000-0005-0000-0000-0000F2460000}"/>
    <cellStyle name="Standaard 5 2" xfId="18157" xr:uid="{00000000-0005-0000-0000-0000F3460000}"/>
    <cellStyle name="Standaard 6" xfId="18158" xr:uid="{00000000-0005-0000-0000-0000F4460000}"/>
    <cellStyle name="Standaard 7" xfId="18159" xr:uid="{00000000-0005-0000-0000-0000F5460000}"/>
    <cellStyle name="Standaard 7 2" xfId="18160" xr:uid="{00000000-0005-0000-0000-0000F6460000}"/>
    <cellStyle name="Standaard 8" xfId="18161" xr:uid="{00000000-0005-0000-0000-0000F7460000}"/>
    <cellStyle name="Standaard 8 2" xfId="18162" xr:uid="{00000000-0005-0000-0000-0000F8460000}"/>
    <cellStyle name="Standaard 8 2 2" xfId="20697" xr:uid="{00000000-0005-0000-0000-0000F9460000}"/>
    <cellStyle name="Standaard 8 3" xfId="20696" xr:uid="{00000000-0005-0000-0000-0000FA460000}"/>
    <cellStyle name="Standaard 9" xfId="18163" xr:uid="{00000000-0005-0000-0000-0000FB460000}"/>
    <cellStyle name="Standaard_Inputrapportages jaar" xfId="20704" xr:uid="{182422AD-B7DE-4587-A98E-077B4C9D0862}"/>
    <cellStyle name="Standaard_Opgave_toetsmarge_aan_ARC_T02_jjjjQq" xfId="158" xr:uid="{00000000-0005-0000-0000-000003470000}"/>
    <cellStyle name="Standaard_SCR_ECAP_Life_T01_jjjjQq" xfId="159" xr:uid="{00000000-0005-0000-0000-000007470000}"/>
    <cellStyle name="Standard 2" xfId="18164" xr:uid="{00000000-0005-0000-0000-000009470000}"/>
    <cellStyle name="Standard_20050216 StatusQuoRisikobericht_ALT CL III 2004" xfId="18165" xr:uid="{00000000-0005-0000-0000-00000A470000}"/>
    <cellStyle name="Stijl 1" xfId="160" xr:uid="{00000000-0005-0000-0000-00000B470000}"/>
    <cellStyle name="Stijl 1 2" xfId="18166" xr:uid="{00000000-0005-0000-0000-00000C470000}"/>
    <cellStyle name="Stijl 1 2 2" xfId="18167" xr:uid="{00000000-0005-0000-0000-00000D470000}"/>
    <cellStyle name="Stijl 1 2 3" xfId="18168" xr:uid="{00000000-0005-0000-0000-00000E470000}"/>
    <cellStyle name="Stijl 1 3" xfId="18169" xr:uid="{00000000-0005-0000-0000-00000F470000}"/>
    <cellStyle name="Stijl 2" xfId="18170" xr:uid="{00000000-0005-0000-0000-000010470000}"/>
    <cellStyle name="Stijl 2 2" xfId="18171" xr:uid="{00000000-0005-0000-0000-000011470000}"/>
    <cellStyle name="Style 1" xfId="18172" xr:uid="{00000000-0005-0000-0000-000012470000}"/>
    <cellStyle name="Style 1 2" xfId="18173" xr:uid="{00000000-0005-0000-0000-000013470000}"/>
    <cellStyle name="Style 1 2 2" xfId="18174" xr:uid="{00000000-0005-0000-0000-000014470000}"/>
    <cellStyle name="Style 1 2 3" xfId="18175" xr:uid="{00000000-0005-0000-0000-000015470000}"/>
    <cellStyle name="Style 1 3" xfId="18176" xr:uid="{00000000-0005-0000-0000-000016470000}"/>
    <cellStyle name="Style 1 3 2" xfId="18177" xr:uid="{00000000-0005-0000-0000-000017470000}"/>
    <cellStyle name="Style 1 4" xfId="18178" xr:uid="{00000000-0005-0000-0000-000018470000}"/>
    <cellStyle name="Style 1 4 2" xfId="18179" xr:uid="{00000000-0005-0000-0000-000019470000}"/>
    <cellStyle name="Style 1 5" xfId="18180" xr:uid="{00000000-0005-0000-0000-00001A470000}"/>
    <cellStyle name="Style 1 5 2" xfId="18181" xr:uid="{00000000-0005-0000-0000-00001B470000}"/>
    <cellStyle name="Style 1_Concept Analyse verschillen TS  LTGA en QIS5 v1" xfId="18182" xr:uid="{00000000-0005-0000-0000-00001C470000}"/>
    <cellStyle name="Style 2" xfId="18183" xr:uid="{00000000-0005-0000-0000-00001D470000}"/>
    <cellStyle name="Style 2 2" xfId="18184" xr:uid="{00000000-0005-0000-0000-00001E470000}"/>
    <cellStyle name="Suma 2" xfId="18185" xr:uid="{00000000-0005-0000-0000-00001F470000}"/>
    <cellStyle name="Summa" xfId="161" xr:uid="{00000000-0005-0000-0000-000020470000}"/>
    <cellStyle name="Summa 2" xfId="18186" xr:uid="{00000000-0005-0000-0000-000021470000}"/>
    <cellStyle name="Summa 3" xfId="18187" xr:uid="{00000000-0005-0000-0000-000022470000}"/>
    <cellStyle name="Summa 4" xfId="18188" xr:uid="{00000000-0005-0000-0000-000023470000}"/>
    <cellStyle name="Summa_MCEV_activiteiten 2012Q4 gedeeld op 11-1-2012" xfId="18189" xr:uid="{00000000-0005-0000-0000-000024470000}"/>
    <cellStyle name="Syöttö" xfId="162" xr:uid="{00000000-0005-0000-0000-000025470000}"/>
    <cellStyle name="Syöttö 2" xfId="18190" xr:uid="{00000000-0005-0000-0000-000026470000}"/>
    <cellStyle name="Syöttö 2 2" xfId="18191" xr:uid="{00000000-0005-0000-0000-000027470000}"/>
    <cellStyle name="Syöttö 3" xfId="18192" xr:uid="{00000000-0005-0000-0000-000028470000}"/>
    <cellStyle name="Syöttö 4" xfId="18193" xr:uid="{00000000-0005-0000-0000-000029470000}"/>
    <cellStyle name="Syöttö 5" xfId="18194" xr:uid="{00000000-0005-0000-0000-00002A470000}"/>
    <cellStyle name="Syöttö_Map2" xfId="18195" xr:uid="{00000000-0005-0000-0000-00002B470000}"/>
    <cellStyle name="Számítás" xfId="18196" xr:uid="{00000000-0005-0000-0000-00002C470000}"/>
    <cellStyle name="Számítás 2" xfId="18197" xr:uid="{00000000-0005-0000-0000-00002D470000}"/>
    <cellStyle name="Számítás 2 2" xfId="18198" xr:uid="{00000000-0005-0000-0000-00002E470000}"/>
    <cellStyle name="Számítás 3" xfId="18199" xr:uid="{00000000-0005-0000-0000-00002F470000}"/>
    <cellStyle name="Számítás 4" xfId="18200" xr:uid="{00000000-0005-0000-0000-000030470000}"/>
    <cellStyle name="Számítás 5" xfId="18201" xr:uid="{00000000-0005-0000-0000-000031470000}"/>
    <cellStyle name="Számítás_Map2" xfId="18202" xr:uid="{00000000-0005-0000-0000-000032470000}"/>
    <cellStyle name="TableStyleLight1" xfId="18203" xr:uid="{00000000-0005-0000-0000-000033470000}"/>
    <cellStyle name="TableStyleLight1 2" xfId="18204" xr:uid="{00000000-0005-0000-0000-000034470000}"/>
    <cellStyle name="Tarkistussolu" xfId="163" xr:uid="{00000000-0005-0000-0000-000035470000}"/>
    <cellStyle name="Tarkistussolu 2" xfId="18205" xr:uid="{00000000-0005-0000-0000-000036470000}"/>
    <cellStyle name="Tarkistussolu 2 2" xfId="18206" xr:uid="{00000000-0005-0000-0000-000037470000}"/>
    <cellStyle name="Tarkistussolu 3" xfId="18207" xr:uid="{00000000-0005-0000-0000-000038470000}"/>
    <cellStyle name="Tarkistussolu 4" xfId="18208" xr:uid="{00000000-0005-0000-0000-000039470000}"/>
    <cellStyle name="Tarkistussolu 5" xfId="18209" xr:uid="{00000000-0005-0000-0000-00003A470000}"/>
    <cellStyle name="Tarkistussolu_Map2" xfId="18210" xr:uid="{00000000-0005-0000-0000-00003B470000}"/>
    <cellStyle name="Testo avviso" xfId="164" xr:uid="{00000000-0005-0000-0000-00003C470000}"/>
    <cellStyle name="Testo avviso 2" xfId="18211" xr:uid="{00000000-0005-0000-0000-00003D470000}"/>
    <cellStyle name="Testo avviso 3" xfId="18212" xr:uid="{00000000-0005-0000-0000-00003E470000}"/>
    <cellStyle name="Testo avviso 4" xfId="18213" xr:uid="{00000000-0005-0000-0000-00003F470000}"/>
    <cellStyle name="Testo descrittivo" xfId="165" xr:uid="{00000000-0005-0000-0000-000040470000}"/>
    <cellStyle name="Testo descrittivo 2" xfId="18214" xr:uid="{00000000-0005-0000-0000-000041470000}"/>
    <cellStyle name="Testo descrittivo 3" xfId="18215" xr:uid="{00000000-0005-0000-0000-000042470000}"/>
    <cellStyle name="Testo descrittivo 4" xfId="18216" xr:uid="{00000000-0005-0000-0000-000043470000}"/>
    <cellStyle name="Text" xfId="18217" xr:uid="{00000000-0005-0000-0000-000044470000}"/>
    <cellStyle name="Text 2" xfId="18218" xr:uid="{00000000-0005-0000-0000-000045470000}"/>
    <cellStyle name="Text 2 2" xfId="18219" xr:uid="{00000000-0005-0000-0000-000046470000}"/>
    <cellStyle name="Text 3" xfId="18220" xr:uid="{00000000-0005-0000-0000-000047470000}"/>
    <cellStyle name="Text 3 2" xfId="18221" xr:uid="{00000000-0005-0000-0000-000048470000}"/>
    <cellStyle name="Text 4" xfId="18222" xr:uid="{00000000-0005-0000-0000-000049470000}"/>
    <cellStyle name="Text 4 2" xfId="18223" xr:uid="{00000000-0005-0000-0000-00004A470000}"/>
    <cellStyle name="Text 5" xfId="18224" xr:uid="{00000000-0005-0000-0000-00004B470000}"/>
    <cellStyle name="Texte explicatif" xfId="166" xr:uid="{00000000-0005-0000-0000-00004C470000}"/>
    <cellStyle name="Texte explicatif 2" xfId="18225" xr:uid="{00000000-0005-0000-0000-00004D470000}"/>
    <cellStyle name="Texte explicatif 3" xfId="18226" xr:uid="{00000000-0005-0000-0000-00004E470000}"/>
    <cellStyle name="Texte explicatif 4" xfId="18227" xr:uid="{00000000-0005-0000-0000-00004F470000}"/>
    <cellStyle name="Texto de advertencia" xfId="18228" xr:uid="{00000000-0005-0000-0000-000050470000}"/>
    <cellStyle name="Texto de Aviso" xfId="18229" xr:uid="{00000000-0005-0000-0000-000051470000}"/>
    <cellStyle name="Texto de Aviso 2" xfId="18230" xr:uid="{00000000-0005-0000-0000-000052470000}"/>
    <cellStyle name="Texto Explicativo" xfId="18231" xr:uid="{00000000-0005-0000-0000-000053470000}"/>
    <cellStyle name="Titel" xfId="18232" builtinId="15" customBuiltin="1"/>
    <cellStyle name="Title 10" xfId="18233" xr:uid="{00000000-0005-0000-0000-000055470000}"/>
    <cellStyle name="Title 100" xfId="18234" xr:uid="{00000000-0005-0000-0000-000056470000}"/>
    <cellStyle name="Title 1000" xfId="18235" xr:uid="{00000000-0005-0000-0000-000057470000}"/>
    <cellStyle name="Title 1001" xfId="18236" xr:uid="{00000000-0005-0000-0000-000058470000}"/>
    <cellStyle name="Title 1002" xfId="18237" xr:uid="{00000000-0005-0000-0000-000059470000}"/>
    <cellStyle name="Title 1003" xfId="18238" xr:uid="{00000000-0005-0000-0000-00005A470000}"/>
    <cellStyle name="Title 1004" xfId="18239" xr:uid="{00000000-0005-0000-0000-00005B470000}"/>
    <cellStyle name="Title 1005" xfId="18240" xr:uid="{00000000-0005-0000-0000-00005C470000}"/>
    <cellStyle name="Title 1006" xfId="18241" xr:uid="{00000000-0005-0000-0000-00005D470000}"/>
    <cellStyle name="Title 1007" xfId="18242" xr:uid="{00000000-0005-0000-0000-00005E470000}"/>
    <cellStyle name="Title 1008" xfId="18243" xr:uid="{00000000-0005-0000-0000-00005F470000}"/>
    <cellStyle name="Title 1009" xfId="18244" xr:uid="{00000000-0005-0000-0000-000060470000}"/>
    <cellStyle name="Title 101" xfId="18245" xr:uid="{00000000-0005-0000-0000-000061470000}"/>
    <cellStyle name="Title 1010" xfId="18246" xr:uid="{00000000-0005-0000-0000-000062470000}"/>
    <cellStyle name="Title 1011" xfId="18247" xr:uid="{00000000-0005-0000-0000-000063470000}"/>
    <cellStyle name="Title 1012" xfId="18248" xr:uid="{00000000-0005-0000-0000-000064470000}"/>
    <cellStyle name="Title 1013" xfId="18249" xr:uid="{00000000-0005-0000-0000-000065470000}"/>
    <cellStyle name="Title 1014" xfId="18250" xr:uid="{00000000-0005-0000-0000-000066470000}"/>
    <cellStyle name="Title 1015" xfId="18251" xr:uid="{00000000-0005-0000-0000-000067470000}"/>
    <cellStyle name="Title 1016" xfId="18252" xr:uid="{00000000-0005-0000-0000-000068470000}"/>
    <cellStyle name="Title 1017" xfId="18253" xr:uid="{00000000-0005-0000-0000-000069470000}"/>
    <cellStyle name="Title 1018" xfId="18254" xr:uid="{00000000-0005-0000-0000-00006A470000}"/>
    <cellStyle name="Title 1019" xfId="18255" xr:uid="{00000000-0005-0000-0000-00006B470000}"/>
    <cellStyle name="Title 102" xfId="18256" xr:uid="{00000000-0005-0000-0000-00006C470000}"/>
    <cellStyle name="Title 1020" xfId="18257" xr:uid="{00000000-0005-0000-0000-00006D470000}"/>
    <cellStyle name="Title 1021" xfId="18258" xr:uid="{00000000-0005-0000-0000-00006E470000}"/>
    <cellStyle name="Title 1022" xfId="18259" xr:uid="{00000000-0005-0000-0000-00006F470000}"/>
    <cellStyle name="Title 1023" xfId="18260" xr:uid="{00000000-0005-0000-0000-000070470000}"/>
    <cellStyle name="Title 1024" xfId="18261" xr:uid="{00000000-0005-0000-0000-000071470000}"/>
    <cellStyle name="Title 1025" xfId="18262" xr:uid="{00000000-0005-0000-0000-000072470000}"/>
    <cellStyle name="Title 1026" xfId="18263" xr:uid="{00000000-0005-0000-0000-000073470000}"/>
    <cellStyle name="Title 1027" xfId="18264" xr:uid="{00000000-0005-0000-0000-000074470000}"/>
    <cellStyle name="Title 1028" xfId="18265" xr:uid="{00000000-0005-0000-0000-000075470000}"/>
    <cellStyle name="Title 1029" xfId="18266" xr:uid="{00000000-0005-0000-0000-000076470000}"/>
    <cellStyle name="Title 103" xfId="18267" xr:uid="{00000000-0005-0000-0000-000077470000}"/>
    <cellStyle name="Title 1030" xfId="18268" xr:uid="{00000000-0005-0000-0000-000078470000}"/>
    <cellStyle name="Title 1031" xfId="18269" xr:uid="{00000000-0005-0000-0000-000079470000}"/>
    <cellStyle name="Title 1032" xfId="18270" xr:uid="{00000000-0005-0000-0000-00007A470000}"/>
    <cellStyle name="Title 1033" xfId="18271" xr:uid="{00000000-0005-0000-0000-00007B470000}"/>
    <cellStyle name="Title 1034" xfId="18272" xr:uid="{00000000-0005-0000-0000-00007C470000}"/>
    <cellStyle name="Title 1035" xfId="18273" xr:uid="{00000000-0005-0000-0000-00007D470000}"/>
    <cellStyle name="Title 1036" xfId="18274" xr:uid="{00000000-0005-0000-0000-00007E470000}"/>
    <cellStyle name="Title 1037" xfId="18275" xr:uid="{00000000-0005-0000-0000-00007F470000}"/>
    <cellStyle name="Title 1038" xfId="18276" xr:uid="{00000000-0005-0000-0000-000080470000}"/>
    <cellStyle name="Title 1039" xfId="18277" xr:uid="{00000000-0005-0000-0000-000081470000}"/>
    <cellStyle name="Title 104" xfId="18278" xr:uid="{00000000-0005-0000-0000-000082470000}"/>
    <cellStyle name="Title 1040" xfId="18279" xr:uid="{00000000-0005-0000-0000-000083470000}"/>
    <cellStyle name="Title 1041" xfId="18280" xr:uid="{00000000-0005-0000-0000-000084470000}"/>
    <cellStyle name="Title 1042" xfId="18281" xr:uid="{00000000-0005-0000-0000-000085470000}"/>
    <cellStyle name="Title 1043" xfId="18282" xr:uid="{00000000-0005-0000-0000-000086470000}"/>
    <cellStyle name="Title 1044" xfId="18283" xr:uid="{00000000-0005-0000-0000-000087470000}"/>
    <cellStyle name="Title 1045" xfId="18284" xr:uid="{00000000-0005-0000-0000-000088470000}"/>
    <cellStyle name="Title 1046" xfId="18285" xr:uid="{00000000-0005-0000-0000-000089470000}"/>
    <cellStyle name="Title 1047" xfId="18286" xr:uid="{00000000-0005-0000-0000-00008A470000}"/>
    <cellStyle name="Title 1048" xfId="18287" xr:uid="{00000000-0005-0000-0000-00008B470000}"/>
    <cellStyle name="Title 1049" xfId="18288" xr:uid="{00000000-0005-0000-0000-00008C470000}"/>
    <cellStyle name="Title 105" xfId="18289" xr:uid="{00000000-0005-0000-0000-00008D470000}"/>
    <cellStyle name="Title 1050" xfId="18290" xr:uid="{00000000-0005-0000-0000-00008E470000}"/>
    <cellStyle name="Title 1051" xfId="18291" xr:uid="{00000000-0005-0000-0000-00008F470000}"/>
    <cellStyle name="Title 1052" xfId="18292" xr:uid="{00000000-0005-0000-0000-000090470000}"/>
    <cellStyle name="Title 1053" xfId="18293" xr:uid="{00000000-0005-0000-0000-000091470000}"/>
    <cellStyle name="Title 1054" xfId="18294" xr:uid="{00000000-0005-0000-0000-000092470000}"/>
    <cellStyle name="Title 1055" xfId="18295" xr:uid="{00000000-0005-0000-0000-000093470000}"/>
    <cellStyle name="Title 1056" xfId="18296" xr:uid="{00000000-0005-0000-0000-000094470000}"/>
    <cellStyle name="Title 1057" xfId="18297" xr:uid="{00000000-0005-0000-0000-000095470000}"/>
    <cellStyle name="Title 1058" xfId="18298" xr:uid="{00000000-0005-0000-0000-000096470000}"/>
    <cellStyle name="Title 1059" xfId="18299" xr:uid="{00000000-0005-0000-0000-000097470000}"/>
    <cellStyle name="Title 106" xfId="18300" xr:uid="{00000000-0005-0000-0000-000098470000}"/>
    <cellStyle name="Title 1060" xfId="18301" xr:uid="{00000000-0005-0000-0000-000099470000}"/>
    <cellStyle name="Title 1061" xfId="18302" xr:uid="{00000000-0005-0000-0000-00009A470000}"/>
    <cellStyle name="Title 1062" xfId="18303" xr:uid="{00000000-0005-0000-0000-00009B470000}"/>
    <cellStyle name="Title 1063" xfId="18304" xr:uid="{00000000-0005-0000-0000-00009C470000}"/>
    <cellStyle name="Title 1064" xfId="18305" xr:uid="{00000000-0005-0000-0000-00009D470000}"/>
    <cellStyle name="Title 1065" xfId="18306" xr:uid="{00000000-0005-0000-0000-00009E470000}"/>
    <cellStyle name="Title 1066" xfId="18307" xr:uid="{00000000-0005-0000-0000-00009F470000}"/>
    <cellStyle name="Title 1067" xfId="18308" xr:uid="{00000000-0005-0000-0000-0000A0470000}"/>
    <cellStyle name="Title 1068" xfId="18309" xr:uid="{00000000-0005-0000-0000-0000A1470000}"/>
    <cellStyle name="Title 1069" xfId="18310" xr:uid="{00000000-0005-0000-0000-0000A2470000}"/>
    <cellStyle name="Title 107" xfId="18311" xr:uid="{00000000-0005-0000-0000-0000A3470000}"/>
    <cellStyle name="Title 1070" xfId="18312" xr:uid="{00000000-0005-0000-0000-0000A4470000}"/>
    <cellStyle name="Title 1071" xfId="18313" xr:uid="{00000000-0005-0000-0000-0000A5470000}"/>
    <cellStyle name="Title 1072" xfId="18314" xr:uid="{00000000-0005-0000-0000-0000A6470000}"/>
    <cellStyle name="Title 1073" xfId="18315" xr:uid="{00000000-0005-0000-0000-0000A7470000}"/>
    <cellStyle name="Title 1074" xfId="18316" xr:uid="{00000000-0005-0000-0000-0000A8470000}"/>
    <cellStyle name="Title 1075" xfId="18317" xr:uid="{00000000-0005-0000-0000-0000A9470000}"/>
    <cellStyle name="Title 1076" xfId="18318" xr:uid="{00000000-0005-0000-0000-0000AA470000}"/>
    <cellStyle name="Title 1077" xfId="18319" xr:uid="{00000000-0005-0000-0000-0000AB470000}"/>
    <cellStyle name="Title 1078" xfId="18320" xr:uid="{00000000-0005-0000-0000-0000AC470000}"/>
    <cellStyle name="Title 1079" xfId="18321" xr:uid="{00000000-0005-0000-0000-0000AD470000}"/>
    <cellStyle name="Title 108" xfId="18322" xr:uid="{00000000-0005-0000-0000-0000AE470000}"/>
    <cellStyle name="Title 1080" xfId="18323" xr:uid="{00000000-0005-0000-0000-0000AF470000}"/>
    <cellStyle name="Title 1081" xfId="18324" xr:uid="{00000000-0005-0000-0000-0000B0470000}"/>
    <cellStyle name="Title 1082" xfId="18325" xr:uid="{00000000-0005-0000-0000-0000B1470000}"/>
    <cellStyle name="Title 1083" xfId="18326" xr:uid="{00000000-0005-0000-0000-0000B2470000}"/>
    <cellStyle name="Title 1084" xfId="18327" xr:uid="{00000000-0005-0000-0000-0000B3470000}"/>
    <cellStyle name="Title 1085" xfId="18328" xr:uid="{00000000-0005-0000-0000-0000B4470000}"/>
    <cellStyle name="Title 1086" xfId="18329" xr:uid="{00000000-0005-0000-0000-0000B5470000}"/>
    <cellStyle name="Title 1087" xfId="18330" xr:uid="{00000000-0005-0000-0000-0000B6470000}"/>
    <cellStyle name="Title 1088" xfId="18331" xr:uid="{00000000-0005-0000-0000-0000B7470000}"/>
    <cellStyle name="Title 1089" xfId="18332" xr:uid="{00000000-0005-0000-0000-0000B8470000}"/>
    <cellStyle name="Title 109" xfId="18333" xr:uid="{00000000-0005-0000-0000-0000B9470000}"/>
    <cellStyle name="Title 1090" xfId="18334" xr:uid="{00000000-0005-0000-0000-0000BA470000}"/>
    <cellStyle name="Title 1091" xfId="18335" xr:uid="{00000000-0005-0000-0000-0000BB470000}"/>
    <cellStyle name="Title 1092" xfId="18336" xr:uid="{00000000-0005-0000-0000-0000BC470000}"/>
    <cellStyle name="Title 1093" xfId="18337" xr:uid="{00000000-0005-0000-0000-0000BD470000}"/>
    <cellStyle name="Title 1094" xfId="18338" xr:uid="{00000000-0005-0000-0000-0000BE470000}"/>
    <cellStyle name="Title 1095" xfId="18339" xr:uid="{00000000-0005-0000-0000-0000BF470000}"/>
    <cellStyle name="Title 1096" xfId="18340" xr:uid="{00000000-0005-0000-0000-0000C0470000}"/>
    <cellStyle name="Title 1097" xfId="18341" xr:uid="{00000000-0005-0000-0000-0000C1470000}"/>
    <cellStyle name="Title 1098" xfId="18342" xr:uid="{00000000-0005-0000-0000-0000C2470000}"/>
    <cellStyle name="Title 1099" xfId="18343" xr:uid="{00000000-0005-0000-0000-0000C3470000}"/>
    <cellStyle name="Title 11" xfId="18344" xr:uid="{00000000-0005-0000-0000-0000C4470000}"/>
    <cellStyle name="Title 110" xfId="18345" xr:uid="{00000000-0005-0000-0000-0000C5470000}"/>
    <cellStyle name="Title 1100" xfId="18346" xr:uid="{00000000-0005-0000-0000-0000C6470000}"/>
    <cellStyle name="Title 1101" xfId="18347" xr:uid="{00000000-0005-0000-0000-0000C7470000}"/>
    <cellStyle name="Title 1102" xfId="18348" xr:uid="{00000000-0005-0000-0000-0000C8470000}"/>
    <cellStyle name="Title 1103" xfId="18349" xr:uid="{00000000-0005-0000-0000-0000C9470000}"/>
    <cellStyle name="Title 1104" xfId="18350" xr:uid="{00000000-0005-0000-0000-0000CA470000}"/>
    <cellStyle name="Title 1105" xfId="18351" xr:uid="{00000000-0005-0000-0000-0000CB470000}"/>
    <cellStyle name="Title 1106" xfId="18352" xr:uid="{00000000-0005-0000-0000-0000CC470000}"/>
    <cellStyle name="Title 1107" xfId="18353" xr:uid="{00000000-0005-0000-0000-0000CD470000}"/>
    <cellStyle name="Title 1108" xfId="18354" xr:uid="{00000000-0005-0000-0000-0000CE470000}"/>
    <cellStyle name="Title 1109" xfId="18355" xr:uid="{00000000-0005-0000-0000-0000CF470000}"/>
    <cellStyle name="Title 111" xfId="18356" xr:uid="{00000000-0005-0000-0000-0000D0470000}"/>
    <cellStyle name="Title 1110" xfId="18357" xr:uid="{00000000-0005-0000-0000-0000D1470000}"/>
    <cellStyle name="Title 1111" xfId="18358" xr:uid="{00000000-0005-0000-0000-0000D2470000}"/>
    <cellStyle name="Title 1112" xfId="18359" xr:uid="{00000000-0005-0000-0000-0000D3470000}"/>
    <cellStyle name="Title 1113" xfId="18360" xr:uid="{00000000-0005-0000-0000-0000D4470000}"/>
    <cellStyle name="Title 1114" xfId="18361" xr:uid="{00000000-0005-0000-0000-0000D5470000}"/>
    <cellStyle name="Title 1115" xfId="18362" xr:uid="{00000000-0005-0000-0000-0000D6470000}"/>
    <cellStyle name="Title 1116" xfId="18363" xr:uid="{00000000-0005-0000-0000-0000D7470000}"/>
    <cellStyle name="Title 1117" xfId="18364" xr:uid="{00000000-0005-0000-0000-0000D8470000}"/>
    <cellStyle name="Title 1118" xfId="18365" xr:uid="{00000000-0005-0000-0000-0000D9470000}"/>
    <cellStyle name="Title 1119" xfId="18366" xr:uid="{00000000-0005-0000-0000-0000DA470000}"/>
    <cellStyle name="Title 112" xfId="18367" xr:uid="{00000000-0005-0000-0000-0000DB470000}"/>
    <cellStyle name="Title 1120" xfId="18368" xr:uid="{00000000-0005-0000-0000-0000DC470000}"/>
    <cellStyle name="Title 1121" xfId="18369" xr:uid="{00000000-0005-0000-0000-0000DD470000}"/>
    <cellStyle name="Title 1122" xfId="18370" xr:uid="{00000000-0005-0000-0000-0000DE470000}"/>
    <cellStyle name="Title 1123" xfId="18371" xr:uid="{00000000-0005-0000-0000-0000DF470000}"/>
    <cellStyle name="Title 1124" xfId="18372" xr:uid="{00000000-0005-0000-0000-0000E0470000}"/>
    <cellStyle name="Title 1125" xfId="18373" xr:uid="{00000000-0005-0000-0000-0000E1470000}"/>
    <cellStyle name="Title 1126" xfId="18374" xr:uid="{00000000-0005-0000-0000-0000E2470000}"/>
    <cellStyle name="Title 1127" xfId="18375" xr:uid="{00000000-0005-0000-0000-0000E3470000}"/>
    <cellStyle name="Title 1128" xfId="18376" xr:uid="{00000000-0005-0000-0000-0000E4470000}"/>
    <cellStyle name="Title 1129" xfId="18377" xr:uid="{00000000-0005-0000-0000-0000E5470000}"/>
    <cellStyle name="Title 113" xfId="18378" xr:uid="{00000000-0005-0000-0000-0000E6470000}"/>
    <cellStyle name="Title 1130" xfId="18379" xr:uid="{00000000-0005-0000-0000-0000E7470000}"/>
    <cellStyle name="Title 1131" xfId="18380" xr:uid="{00000000-0005-0000-0000-0000E8470000}"/>
    <cellStyle name="Title 1132" xfId="18381" xr:uid="{00000000-0005-0000-0000-0000E9470000}"/>
    <cellStyle name="Title 1133" xfId="18382" xr:uid="{00000000-0005-0000-0000-0000EA470000}"/>
    <cellStyle name="Title 1134" xfId="18383" xr:uid="{00000000-0005-0000-0000-0000EB470000}"/>
    <cellStyle name="Title 1135" xfId="18384" xr:uid="{00000000-0005-0000-0000-0000EC470000}"/>
    <cellStyle name="Title 1136" xfId="18385" xr:uid="{00000000-0005-0000-0000-0000ED470000}"/>
    <cellStyle name="Title 1137" xfId="18386" xr:uid="{00000000-0005-0000-0000-0000EE470000}"/>
    <cellStyle name="Title 1138" xfId="18387" xr:uid="{00000000-0005-0000-0000-0000EF470000}"/>
    <cellStyle name="Title 1139" xfId="18388" xr:uid="{00000000-0005-0000-0000-0000F0470000}"/>
    <cellStyle name="Title 114" xfId="18389" xr:uid="{00000000-0005-0000-0000-0000F1470000}"/>
    <cellStyle name="Title 1140" xfId="18390" xr:uid="{00000000-0005-0000-0000-0000F2470000}"/>
    <cellStyle name="Title 1141" xfId="18391" xr:uid="{00000000-0005-0000-0000-0000F3470000}"/>
    <cellStyle name="Title 1142" xfId="18392" xr:uid="{00000000-0005-0000-0000-0000F4470000}"/>
    <cellStyle name="Title 1143" xfId="18393" xr:uid="{00000000-0005-0000-0000-0000F5470000}"/>
    <cellStyle name="Title 1144" xfId="18394" xr:uid="{00000000-0005-0000-0000-0000F6470000}"/>
    <cellStyle name="Title 1145" xfId="18395" xr:uid="{00000000-0005-0000-0000-0000F7470000}"/>
    <cellStyle name="Title 1146" xfId="18396" xr:uid="{00000000-0005-0000-0000-0000F8470000}"/>
    <cellStyle name="Title 1147" xfId="18397" xr:uid="{00000000-0005-0000-0000-0000F9470000}"/>
    <cellStyle name="Title 1148" xfId="18398" xr:uid="{00000000-0005-0000-0000-0000FA470000}"/>
    <cellStyle name="Title 1149" xfId="18399" xr:uid="{00000000-0005-0000-0000-0000FB470000}"/>
    <cellStyle name="Title 115" xfId="18400" xr:uid="{00000000-0005-0000-0000-0000FC470000}"/>
    <cellStyle name="Title 1150" xfId="18401" xr:uid="{00000000-0005-0000-0000-0000FD470000}"/>
    <cellStyle name="Title 1151" xfId="18402" xr:uid="{00000000-0005-0000-0000-0000FE470000}"/>
    <cellStyle name="Title 1152" xfId="18403" xr:uid="{00000000-0005-0000-0000-0000FF470000}"/>
    <cellStyle name="Title 1153" xfId="18404" xr:uid="{00000000-0005-0000-0000-000000480000}"/>
    <cellStyle name="Title 1154" xfId="18405" xr:uid="{00000000-0005-0000-0000-000001480000}"/>
    <cellStyle name="Title 1155" xfId="18406" xr:uid="{00000000-0005-0000-0000-000002480000}"/>
    <cellStyle name="Title 1156" xfId="18407" xr:uid="{00000000-0005-0000-0000-000003480000}"/>
    <cellStyle name="Title 1157" xfId="18408" xr:uid="{00000000-0005-0000-0000-000004480000}"/>
    <cellStyle name="Title 1158" xfId="18409" xr:uid="{00000000-0005-0000-0000-000005480000}"/>
    <cellStyle name="Title 1159" xfId="18410" xr:uid="{00000000-0005-0000-0000-000006480000}"/>
    <cellStyle name="Title 116" xfId="18411" xr:uid="{00000000-0005-0000-0000-000007480000}"/>
    <cellStyle name="Title 117" xfId="18412" xr:uid="{00000000-0005-0000-0000-000008480000}"/>
    <cellStyle name="Title 118" xfId="18413" xr:uid="{00000000-0005-0000-0000-000009480000}"/>
    <cellStyle name="Title 119" xfId="18414" xr:uid="{00000000-0005-0000-0000-00000A480000}"/>
    <cellStyle name="Title 12" xfId="18415" xr:uid="{00000000-0005-0000-0000-00000B480000}"/>
    <cellStyle name="Title 120" xfId="18416" xr:uid="{00000000-0005-0000-0000-00000C480000}"/>
    <cellStyle name="Title 121" xfId="18417" xr:uid="{00000000-0005-0000-0000-00000D480000}"/>
    <cellStyle name="Title 122" xfId="18418" xr:uid="{00000000-0005-0000-0000-00000E480000}"/>
    <cellStyle name="Title 123" xfId="18419" xr:uid="{00000000-0005-0000-0000-00000F480000}"/>
    <cellStyle name="Title 124" xfId="18420" xr:uid="{00000000-0005-0000-0000-000010480000}"/>
    <cellStyle name="Title 125" xfId="18421" xr:uid="{00000000-0005-0000-0000-000011480000}"/>
    <cellStyle name="Title 126" xfId="18422" xr:uid="{00000000-0005-0000-0000-000012480000}"/>
    <cellStyle name="Title 127" xfId="18423" xr:uid="{00000000-0005-0000-0000-000013480000}"/>
    <cellStyle name="Title 128" xfId="18424" xr:uid="{00000000-0005-0000-0000-000014480000}"/>
    <cellStyle name="Title 129" xfId="18425" xr:uid="{00000000-0005-0000-0000-000015480000}"/>
    <cellStyle name="Title 13" xfId="18426" xr:uid="{00000000-0005-0000-0000-000016480000}"/>
    <cellStyle name="Title 130" xfId="18427" xr:uid="{00000000-0005-0000-0000-000017480000}"/>
    <cellStyle name="Title 131" xfId="18428" xr:uid="{00000000-0005-0000-0000-000018480000}"/>
    <cellStyle name="Title 132" xfId="18429" xr:uid="{00000000-0005-0000-0000-000019480000}"/>
    <cellStyle name="Title 133" xfId="18430" xr:uid="{00000000-0005-0000-0000-00001A480000}"/>
    <cellStyle name="Title 134" xfId="18431" xr:uid="{00000000-0005-0000-0000-00001B480000}"/>
    <cellStyle name="Title 135" xfId="18432" xr:uid="{00000000-0005-0000-0000-00001C480000}"/>
    <cellStyle name="Title 136" xfId="18433" xr:uid="{00000000-0005-0000-0000-00001D480000}"/>
    <cellStyle name="Title 137" xfId="18434" xr:uid="{00000000-0005-0000-0000-00001E480000}"/>
    <cellStyle name="Title 138" xfId="18435" xr:uid="{00000000-0005-0000-0000-00001F480000}"/>
    <cellStyle name="Title 139" xfId="18436" xr:uid="{00000000-0005-0000-0000-000020480000}"/>
    <cellStyle name="Title 14" xfId="18437" xr:uid="{00000000-0005-0000-0000-000021480000}"/>
    <cellStyle name="Title 140" xfId="18438" xr:uid="{00000000-0005-0000-0000-000022480000}"/>
    <cellStyle name="Title 141" xfId="18439" xr:uid="{00000000-0005-0000-0000-000023480000}"/>
    <cellStyle name="Title 142" xfId="18440" xr:uid="{00000000-0005-0000-0000-000024480000}"/>
    <cellStyle name="Title 143" xfId="18441" xr:uid="{00000000-0005-0000-0000-000025480000}"/>
    <cellStyle name="Title 144" xfId="18442" xr:uid="{00000000-0005-0000-0000-000026480000}"/>
    <cellStyle name="Title 145" xfId="18443" xr:uid="{00000000-0005-0000-0000-000027480000}"/>
    <cellStyle name="Title 146" xfId="18444" xr:uid="{00000000-0005-0000-0000-000028480000}"/>
    <cellStyle name="Title 147" xfId="18445" xr:uid="{00000000-0005-0000-0000-000029480000}"/>
    <cellStyle name="Title 148" xfId="18446" xr:uid="{00000000-0005-0000-0000-00002A480000}"/>
    <cellStyle name="Title 149" xfId="18447" xr:uid="{00000000-0005-0000-0000-00002B480000}"/>
    <cellStyle name="Title 15" xfId="18448" xr:uid="{00000000-0005-0000-0000-00002C480000}"/>
    <cellStyle name="Title 150" xfId="18449" xr:uid="{00000000-0005-0000-0000-00002D480000}"/>
    <cellStyle name="Title 151" xfId="18450" xr:uid="{00000000-0005-0000-0000-00002E480000}"/>
    <cellStyle name="Title 152" xfId="18451" xr:uid="{00000000-0005-0000-0000-00002F480000}"/>
    <cellStyle name="Title 153" xfId="18452" xr:uid="{00000000-0005-0000-0000-000030480000}"/>
    <cellStyle name="Title 154" xfId="18453" xr:uid="{00000000-0005-0000-0000-000031480000}"/>
    <cellStyle name="Title 155" xfId="18454" xr:uid="{00000000-0005-0000-0000-000032480000}"/>
    <cellStyle name="Title 156" xfId="18455" xr:uid="{00000000-0005-0000-0000-000033480000}"/>
    <cellStyle name="Title 157" xfId="18456" xr:uid="{00000000-0005-0000-0000-000034480000}"/>
    <cellStyle name="Title 158" xfId="18457" xr:uid="{00000000-0005-0000-0000-000035480000}"/>
    <cellStyle name="Title 159" xfId="18458" xr:uid="{00000000-0005-0000-0000-000036480000}"/>
    <cellStyle name="Title 16" xfId="18459" xr:uid="{00000000-0005-0000-0000-000037480000}"/>
    <cellStyle name="Title 160" xfId="18460" xr:uid="{00000000-0005-0000-0000-000038480000}"/>
    <cellStyle name="Title 161" xfId="18461" xr:uid="{00000000-0005-0000-0000-000039480000}"/>
    <cellStyle name="Title 162" xfId="18462" xr:uid="{00000000-0005-0000-0000-00003A480000}"/>
    <cellStyle name="Title 163" xfId="18463" xr:uid="{00000000-0005-0000-0000-00003B480000}"/>
    <cellStyle name="Title 164" xfId="18464" xr:uid="{00000000-0005-0000-0000-00003C480000}"/>
    <cellStyle name="Title 165" xfId="18465" xr:uid="{00000000-0005-0000-0000-00003D480000}"/>
    <cellStyle name="Title 166" xfId="18466" xr:uid="{00000000-0005-0000-0000-00003E480000}"/>
    <cellStyle name="Title 167" xfId="18467" xr:uid="{00000000-0005-0000-0000-00003F480000}"/>
    <cellStyle name="Title 168" xfId="18468" xr:uid="{00000000-0005-0000-0000-000040480000}"/>
    <cellStyle name="Title 169" xfId="18469" xr:uid="{00000000-0005-0000-0000-000041480000}"/>
    <cellStyle name="Title 17" xfId="18470" xr:uid="{00000000-0005-0000-0000-000042480000}"/>
    <cellStyle name="Title 170" xfId="18471" xr:uid="{00000000-0005-0000-0000-000043480000}"/>
    <cellStyle name="Title 171" xfId="18472" xr:uid="{00000000-0005-0000-0000-000044480000}"/>
    <cellStyle name="Title 172" xfId="18473" xr:uid="{00000000-0005-0000-0000-000045480000}"/>
    <cellStyle name="Title 173" xfId="18474" xr:uid="{00000000-0005-0000-0000-000046480000}"/>
    <cellStyle name="Title 174" xfId="18475" xr:uid="{00000000-0005-0000-0000-000047480000}"/>
    <cellStyle name="Title 175" xfId="18476" xr:uid="{00000000-0005-0000-0000-000048480000}"/>
    <cellStyle name="Title 176" xfId="18477" xr:uid="{00000000-0005-0000-0000-000049480000}"/>
    <cellStyle name="Title 177" xfId="18478" xr:uid="{00000000-0005-0000-0000-00004A480000}"/>
    <cellStyle name="Title 178" xfId="18479" xr:uid="{00000000-0005-0000-0000-00004B480000}"/>
    <cellStyle name="Title 179" xfId="18480" xr:uid="{00000000-0005-0000-0000-00004C480000}"/>
    <cellStyle name="Title 18" xfId="18481" xr:uid="{00000000-0005-0000-0000-00004D480000}"/>
    <cellStyle name="Title 180" xfId="18482" xr:uid="{00000000-0005-0000-0000-00004E480000}"/>
    <cellStyle name="Title 181" xfId="18483" xr:uid="{00000000-0005-0000-0000-00004F480000}"/>
    <cellStyle name="Title 182" xfId="18484" xr:uid="{00000000-0005-0000-0000-000050480000}"/>
    <cellStyle name="Title 183" xfId="18485" xr:uid="{00000000-0005-0000-0000-000051480000}"/>
    <cellStyle name="Title 184" xfId="18486" xr:uid="{00000000-0005-0000-0000-000052480000}"/>
    <cellStyle name="Title 185" xfId="18487" xr:uid="{00000000-0005-0000-0000-000053480000}"/>
    <cellStyle name="Title 186" xfId="18488" xr:uid="{00000000-0005-0000-0000-000054480000}"/>
    <cellStyle name="Title 187" xfId="18489" xr:uid="{00000000-0005-0000-0000-000055480000}"/>
    <cellStyle name="Title 188" xfId="18490" xr:uid="{00000000-0005-0000-0000-000056480000}"/>
    <cellStyle name="Title 189" xfId="18491" xr:uid="{00000000-0005-0000-0000-000057480000}"/>
    <cellStyle name="Title 19" xfId="18492" xr:uid="{00000000-0005-0000-0000-000058480000}"/>
    <cellStyle name="Title 190" xfId="18493" xr:uid="{00000000-0005-0000-0000-000059480000}"/>
    <cellStyle name="Title 191" xfId="18494" xr:uid="{00000000-0005-0000-0000-00005A480000}"/>
    <cellStyle name="Title 192" xfId="18495" xr:uid="{00000000-0005-0000-0000-00005B480000}"/>
    <cellStyle name="Title 193" xfId="18496" xr:uid="{00000000-0005-0000-0000-00005C480000}"/>
    <cellStyle name="Title 194" xfId="18497" xr:uid="{00000000-0005-0000-0000-00005D480000}"/>
    <cellStyle name="Title 195" xfId="18498" xr:uid="{00000000-0005-0000-0000-00005E480000}"/>
    <cellStyle name="Title 196" xfId="18499" xr:uid="{00000000-0005-0000-0000-00005F480000}"/>
    <cellStyle name="Title 197" xfId="18500" xr:uid="{00000000-0005-0000-0000-000060480000}"/>
    <cellStyle name="Title 198" xfId="18501" xr:uid="{00000000-0005-0000-0000-000061480000}"/>
    <cellStyle name="Title 199" xfId="18502" xr:uid="{00000000-0005-0000-0000-000062480000}"/>
    <cellStyle name="Title 2" xfId="236" xr:uid="{00000000-0005-0000-0000-000063480000}"/>
    <cellStyle name="Title 2 2" xfId="18503" xr:uid="{00000000-0005-0000-0000-000064480000}"/>
    <cellStyle name="Title 2 3" xfId="18504" xr:uid="{00000000-0005-0000-0000-000065480000}"/>
    <cellStyle name="Title 20" xfId="18505" xr:uid="{00000000-0005-0000-0000-000066480000}"/>
    <cellStyle name="Title 200" xfId="18506" xr:uid="{00000000-0005-0000-0000-000067480000}"/>
    <cellStyle name="Title 201" xfId="18507" xr:uid="{00000000-0005-0000-0000-000068480000}"/>
    <cellStyle name="Title 202" xfId="18508" xr:uid="{00000000-0005-0000-0000-000069480000}"/>
    <cellStyle name="Title 203" xfId="18509" xr:uid="{00000000-0005-0000-0000-00006A480000}"/>
    <cellStyle name="Title 204" xfId="18510" xr:uid="{00000000-0005-0000-0000-00006B480000}"/>
    <cellStyle name="Title 205" xfId="18511" xr:uid="{00000000-0005-0000-0000-00006C480000}"/>
    <cellStyle name="Title 206" xfId="18512" xr:uid="{00000000-0005-0000-0000-00006D480000}"/>
    <cellStyle name="Title 207" xfId="18513" xr:uid="{00000000-0005-0000-0000-00006E480000}"/>
    <cellStyle name="Title 208" xfId="18514" xr:uid="{00000000-0005-0000-0000-00006F480000}"/>
    <cellStyle name="Title 209" xfId="18515" xr:uid="{00000000-0005-0000-0000-000070480000}"/>
    <cellStyle name="Title 21" xfId="18516" xr:uid="{00000000-0005-0000-0000-000071480000}"/>
    <cellStyle name="Title 210" xfId="18517" xr:uid="{00000000-0005-0000-0000-000072480000}"/>
    <cellStyle name="Title 211" xfId="18518" xr:uid="{00000000-0005-0000-0000-000073480000}"/>
    <cellStyle name="Title 212" xfId="18519" xr:uid="{00000000-0005-0000-0000-000074480000}"/>
    <cellStyle name="Title 213" xfId="18520" xr:uid="{00000000-0005-0000-0000-000075480000}"/>
    <cellStyle name="Title 214" xfId="18521" xr:uid="{00000000-0005-0000-0000-000076480000}"/>
    <cellStyle name="Title 215" xfId="18522" xr:uid="{00000000-0005-0000-0000-000077480000}"/>
    <cellStyle name="Title 216" xfId="18523" xr:uid="{00000000-0005-0000-0000-000078480000}"/>
    <cellStyle name="Title 217" xfId="18524" xr:uid="{00000000-0005-0000-0000-000079480000}"/>
    <cellStyle name="Title 218" xfId="18525" xr:uid="{00000000-0005-0000-0000-00007A480000}"/>
    <cellStyle name="Title 219" xfId="18526" xr:uid="{00000000-0005-0000-0000-00007B480000}"/>
    <cellStyle name="Title 22" xfId="18527" xr:uid="{00000000-0005-0000-0000-00007C480000}"/>
    <cellStyle name="Title 220" xfId="18528" xr:uid="{00000000-0005-0000-0000-00007D480000}"/>
    <cellStyle name="Title 221" xfId="18529" xr:uid="{00000000-0005-0000-0000-00007E480000}"/>
    <cellStyle name="Title 222" xfId="18530" xr:uid="{00000000-0005-0000-0000-00007F480000}"/>
    <cellStyle name="Title 223" xfId="18531" xr:uid="{00000000-0005-0000-0000-000080480000}"/>
    <cellStyle name="Title 224" xfId="18532" xr:uid="{00000000-0005-0000-0000-000081480000}"/>
    <cellStyle name="Title 225" xfId="18533" xr:uid="{00000000-0005-0000-0000-000082480000}"/>
    <cellStyle name="Title 226" xfId="18534" xr:uid="{00000000-0005-0000-0000-000083480000}"/>
    <cellStyle name="Title 227" xfId="18535" xr:uid="{00000000-0005-0000-0000-000084480000}"/>
    <cellStyle name="Title 228" xfId="18536" xr:uid="{00000000-0005-0000-0000-000085480000}"/>
    <cellStyle name="Title 229" xfId="18537" xr:uid="{00000000-0005-0000-0000-000086480000}"/>
    <cellStyle name="Title 23" xfId="18538" xr:uid="{00000000-0005-0000-0000-000087480000}"/>
    <cellStyle name="Title 230" xfId="18539" xr:uid="{00000000-0005-0000-0000-000088480000}"/>
    <cellStyle name="Title 231" xfId="18540" xr:uid="{00000000-0005-0000-0000-000089480000}"/>
    <cellStyle name="Title 232" xfId="18541" xr:uid="{00000000-0005-0000-0000-00008A480000}"/>
    <cellStyle name="Title 233" xfId="18542" xr:uid="{00000000-0005-0000-0000-00008B480000}"/>
    <cellStyle name="Title 234" xfId="18543" xr:uid="{00000000-0005-0000-0000-00008C480000}"/>
    <cellStyle name="Title 235" xfId="18544" xr:uid="{00000000-0005-0000-0000-00008D480000}"/>
    <cellStyle name="Title 236" xfId="18545" xr:uid="{00000000-0005-0000-0000-00008E480000}"/>
    <cellStyle name="Title 237" xfId="18546" xr:uid="{00000000-0005-0000-0000-00008F480000}"/>
    <cellStyle name="Title 238" xfId="18547" xr:uid="{00000000-0005-0000-0000-000090480000}"/>
    <cellStyle name="Title 239" xfId="18548" xr:uid="{00000000-0005-0000-0000-000091480000}"/>
    <cellStyle name="Title 24" xfId="18549" xr:uid="{00000000-0005-0000-0000-000092480000}"/>
    <cellStyle name="Title 240" xfId="18550" xr:uid="{00000000-0005-0000-0000-000093480000}"/>
    <cellStyle name="Title 241" xfId="18551" xr:uid="{00000000-0005-0000-0000-000094480000}"/>
    <cellStyle name="Title 242" xfId="18552" xr:uid="{00000000-0005-0000-0000-000095480000}"/>
    <cellStyle name="Title 243" xfId="18553" xr:uid="{00000000-0005-0000-0000-000096480000}"/>
    <cellStyle name="Title 244" xfId="18554" xr:uid="{00000000-0005-0000-0000-000097480000}"/>
    <cellStyle name="Title 245" xfId="18555" xr:uid="{00000000-0005-0000-0000-000098480000}"/>
    <cellStyle name="Title 246" xfId="18556" xr:uid="{00000000-0005-0000-0000-000099480000}"/>
    <cellStyle name="Title 247" xfId="18557" xr:uid="{00000000-0005-0000-0000-00009A480000}"/>
    <cellStyle name="Title 248" xfId="18558" xr:uid="{00000000-0005-0000-0000-00009B480000}"/>
    <cellStyle name="Title 249" xfId="18559" xr:uid="{00000000-0005-0000-0000-00009C480000}"/>
    <cellStyle name="Title 25" xfId="18560" xr:uid="{00000000-0005-0000-0000-00009D480000}"/>
    <cellStyle name="Title 250" xfId="18561" xr:uid="{00000000-0005-0000-0000-00009E480000}"/>
    <cellStyle name="Title 251" xfId="18562" xr:uid="{00000000-0005-0000-0000-00009F480000}"/>
    <cellStyle name="Title 252" xfId="18563" xr:uid="{00000000-0005-0000-0000-0000A0480000}"/>
    <cellStyle name="Title 253" xfId="18564" xr:uid="{00000000-0005-0000-0000-0000A1480000}"/>
    <cellStyle name="Title 254" xfId="18565" xr:uid="{00000000-0005-0000-0000-0000A2480000}"/>
    <cellStyle name="Title 255" xfId="18566" xr:uid="{00000000-0005-0000-0000-0000A3480000}"/>
    <cellStyle name="Title 256" xfId="18567" xr:uid="{00000000-0005-0000-0000-0000A4480000}"/>
    <cellStyle name="Title 257" xfId="18568" xr:uid="{00000000-0005-0000-0000-0000A5480000}"/>
    <cellStyle name="Title 258" xfId="18569" xr:uid="{00000000-0005-0000-0000-0000A6480000}"/>
    <cellStyle name="Title 259" xfId="18570" xr:uid="{00000000-0005-0000-0000-0000A7480000}"/>
    <cellStyle name="Title 26" xfId="18571" xr:uid="{00000000-0005-0000-0000-0000A8480000}"/>
    <cellStyle name="Title 260" xfId="18572" xr:uid="{00000000-0005-0000-0000-0000A9480000}"/>
    <cellStyle name="Title 261" xfId="18573" xr:uid="{00000000-0005-0000-0000-0000AA480000}"/>
    <cellStyle name="Title 262" xfId="18574" xr:uid="{00000000-0005-0000-0000-0000AB480000}"/>
    <cellStyle name="Title 263" xfId="18575" xr:uid="{00000000-0005-0000-0000-0000AC480000}"/>
    <cellStyle name="Title 264" xfId="18576" xr:uid="{00000000-0005-0000-0000-0000AD480000}"/>
    <cellStyle name="Title 265" xfId="18577" xr:uid="{00000000-0005-0000-0000-0000AE480000}"/>
    <cellStyle name="Title 266" xfId="18578" xr:uid="{00000000-0005-0000-0000-0000AF480000}"/>
    <cellStyle name="Title 267" xfId="18579" xr:uid="{00000000-0005-0000-0000-0000B0480000}"/>
    <cellStyle name="Title 268" xfId="18580" xr:uid="{00000000-0005-0000-0000-0000B1480000}"/>
    <cellStyle name="Title 269" xfId="18581" xr:uid="{00000000-0005-0000-0000-0000B2480000}"/>
    <cellStyle name="Title 27" xfId="18582" xr:uid="{00000000-0005-0000-0000-0000B3480000}"/>
    <cellStyle name="Title 270" xfId="18583" xr:uid="{00000000-0005-0000-0000-0000B4480000}"/>
    <cellStyle name="Title 271" xfId="18584" xr:uid="{00000000-0005-0000-0000-0000B5480000}"/>
    <cellStyle name="Title 272" xfId="18585" xr:uid="{00000000-0005-0000-0000-0000B6480000}"/>
    <cellStyle name="Title 273" xfId="18586" xr:uid="{00000000-0005-0000-0000-0000B7480000}"/>
    <cellStyle name="Title 274" xfId="18587" xr:uid="{00000000-0005-0000-0000-0000B8480000}"/>
    <cellStyle name="Title 275" xfId="18588" xr:uid="{00000000-0005-0000-0000-0000B9480000}"/>
    <cellStyle name="Title 276" xfId="18589" xr:uid="{00000000-0005-0000-0000-0000BA480000}"/>
    <cellStyle name="Title 277" xfId="18590" xr:uid="{00000000-0005-0000-0000-0000BB480000}"/>
    <cellStyle name="Title 278" xfId="18591" xr:uid="{00000000-0005-0000-0000-0000BC480000}"/>
    <cellStyle name="Title 279" xfId="18592" xr:uid="{00000000-0005-0000-0000-0000BD480000}"/>
    <cellStyle name="Title 28" xfId="18593" xr:uid="{00000000-0005-0000-0000-0000BE480000}"/>
    <cellStyle name="Title 280" xfId="18594" xr:uid="{00000000-0005-0000-0000-0000BF480000}"/>
    <cellStyle name="Title 281" xfId="18595" xr:uid="{00000000-0005-0000-0000-0000C0480000}"/>
    <cellStyle name="Title 282" xfId="18596" xr:uid="{00000000-0005-0000-0000-0000C1480000}"/>
    <cellStyle name="Title 283" xfId="18597" xr:uid="{00000000-0005-0000-0000-0000C2480000}"/>
    <cellStyle name="Title 284" xfId="18598" xr:uid="{00000000-0005-0000-0000-0000C3480000}"/>
    <cellStyle name="Title 285" xfId="18599" xr:uid="{00000000-0005-0000-0000-0000C4480000}"/>
    <cellStyle name="Title 286" xfId="18600" xr:uid="{00000000-0005-0000-0000-0000C5480000}"/>
    <cellStyle name="Title 287" xfId="18601" xr:uid="{00000000-0005-0000-0000-0000C6480000}"/>
    <cellStyle name="Title 288" xfId="18602" xr:uid="{00000000-0005-0000-0000-0000C7480000}"/>
    <cellStyle name="Title 289" xfId="18603" xr:uid="{00000000-0005-0000-0000-0000C8480000}"/>
    <cellStyle name="Title 29" xfId="18604" xr:uid="{00000000-0005-0000-0000-0000C9480000}"/>
    <cellStyle name="Title 290" xfId="18605" xr:uid="{00000000-0005-0000-0000-0000CA480000}"/>
    <cellStyle name="Title 291" xfId="18606" xr:uid="{00000000-0005-0000-0000-0000CB480000}"/>
    <cellStyle name="Title 292" xfId="18607" xr:uid="{00000000-0005-0000-0000-0000CC480000}"/>
    <cellStyle name="Title 293" xfId="18608" xr:uid="{00000000-0005-0000-0000-0000CD480000}"/>
    <cellStyle name="Title 294" xfId="18609" xr:uid="{00000000-0005-0000-0000-0000CE480000}"/>
    <cellStyle name="Title 295" xfId="18610" xr:uid="{00000000-0005-0000-0000-0000CF480000}"/>
    <cellStyle name="Title 296" xfId="18611" xr:uid="{00000000-0005-0000-0000-0000D0480000}"/>
    <cellStyle name="Title 297" xfId="18612" xr:uid="{00000000-0005-0000-0000-0000D1480000}"/>
    <cellStyle name="Title 298" xfId="18613" xr:uid="{00000000-0005-0000-0000-0000D2480000}"/>
    <cellStyle name="Title 299" xfId="18614" xr:uid="{00000000-0005-0000-0000-0000D3480000}"/>
    <cellStyle name="Title 3" xfId="18615" xr:uid="{00000000-0005-0000-0000-0000D4480000}"/>
    <cellStyle name="Title 30" xfId="18616" xr:uid="{00000000-0005-0000-0000-0000D5480000}"/>
    <cellStyle name="Title 300" xfId="18617" xr:uid="{00000000-0005-0000-0000-0000D6480000}"/>
    <cellStyle name="Title 301" xfId="18618" xr:uid="{00000000-0005-0000-0000-0000D7480000}"/>
    <cellStyle name="Title 302" xfId="18619" xr:uid="{00000000-0005-0000-0000-0000D8480000}"/>
    <cellStyle name="Title 303" xfId="18620" xr:uid="{00000000-0005-0000-0000-0000D9480000}"/>
    <cellStyle name="Title 304" xfId="18621" xr:uid="{00000000-0005-0000-0000-0000DA480000}"/>
    <cellStyle name="Title 305" xfId="18622" xr:uid="{00000000-0005-0000-0000-0000DB480000}"/>
    <cellStyle name="Title 306" xfId="18623" xr:uid="{00000000-0005-0000-0000-0000DC480000}"/>
    <cellStyle name="Title 307" xfId="18624" xr:uid="{00000000-0005-0000-0000-0000DD480000}"/>
    <cellStyle name="Title 308" xfId="18625" xr:uid="{00000000-0005-0000-0000-0000DE480000}"/>
    <cellStyle name="Title 309" xfId="18626" xr:uid="{00000000-0005-0000-0000-0000DF480000}"/>
    <cellStyle name="Title 31" xfId="18627" xr:uid="{00000000-0005-0000-0000-0000E0480000}"/>
    <cellStyle name="Title 310" xfId="18628" xr:uid="{00000000-0005-0000-0000-0000E1480000}"/>
    <cellStyle name="Title 311" xfId="18629" xr:uid="{00000000-0005-0000-0000-0000E2480000}"/>
    <cellStyle name="Title 312" xfId="18630" xr:uid="{00000000-0005-0000-0000-0000E3480000}"/>
    <cellStyle name="Title 313" xfId="18631" xr:uid="{00000000-0005-0000-0000-0000E4480000}"/>
    <cellStyle name="Title 314" xfId="18632" xr:uid="{00000000-0005-0000-0000-0000E5480000}"/>
    <cellStyle name="Title 315" xfId="18633" xr:uid="{00000000-0005-0000-0000-0000E6480000}"/>
    <cellStyle name="Title 316" xfId="18634" xr:uid="{00000000-0005-0000-0000-0000E7480000}"/>
    <cellStyle name="Title 317" xfId="18635" xr:uid="{00000000-0005-0000-0000-0000E8480000}"/>
    <cellStyle name="Title 318" xfId="18636" xr:uid="{00000000-0005-0000-0000-0000E9480000}"/>
    <cellStyle name="Title 319" xfId="18637" xr:uid="{00000000-0005-0000-0000-0000EA480000}"/>
    <cellStyle name="Title 32" xfId="18638" xr:uid="{00000000-0005-0000-0000-0000EB480000}"/>
    <cellStyle name="Title 320" xfId="18639" xr:uid="{00000000-0005-0000-0000-0000EC480000}"/>
    <cellStyle name="Title 321" xfId="18640" xr:uid="{00000000-0005-0000-0000-0000ED480000}"/>
    <cellStyle name="Title 322" xfId="18641" xr:uid="{00000000-0005-0000-0000-0000EE480000}"/>
    <cellStyle name="Title 323" xfId="18642" xr:uid="{00000000-0005-0000-0000-0000EF480000}"/>
    <cellStyle name="Title 324" xfId="18643" xr:uid="{00000000-0005-0000-0000-0000F0480000}"/>
    <cellStyle name="Title 325" xfId="18644" xr:uid="{00000000-0005-0000-0000-0000F1480000}"/>
    <cellStyle name="Title 326" xfId="18645" xr:uid="{00000000-0005-0000-0000-0000F2480000}"/>
    <cellStyle name="Title 327" xfId="18646" xr:uid="{00000000-0005-0000-0000-0000F3480000}"/>
    <cellStyle name="Title 328" xfId="18647" xr:uid="{00000000-0005-0000-0000-0000F4480000}"/>
    <cellStyle name="Title 329" xfId="18648" xr:uid="{00000000-0005-0000-0000-0000F5480000}"/>
    <cellStyle name="Title 33" xfId="18649" xr:uid="{00000000-0005-0000-0000-0000F6480000}"/>
    <cellStyle name="Title 330" xfId="18650" xr:uid="{00000000-0005-0000-0000-0000F7480000}"/>
    <cellStyle name="Title 331" xfId="18651" xr:uid="{00000000-0005-0000-0000-0000F8480000}"/>
    <cellStyle name="Title 332" xfId="18652" xr:uid="{00000000-0005-0000-0000-0000F9480000}"/>
    <cellStyle name="Title 333" xfId="18653" xr:uid="{00000000-0005-0000-0000-0000FA480000}"/>
    <cellStyle name="Title 334" xfId="18654" xr:uid="{00000000-0005-0000-0000-0000FB480000}"/>
    <cellStyle name="Title 335" xfId="18655" xr:uid="{00000000-0005-0000-0000-0000FC480000}"/>
    <cellStyle name="Title 336" xfId="18656" xr:uid="{00000000-0005-0000-0000-0000FD480000}"/>
    <cellStyle name="Title 337" xfId="18657" xr:uid="{00000000-0005-0000-0000-0000FE480000}"/>
    <cellStyle name="Title 338" xfId="18658" xr:uid="{00000000-0005-0000-0000-0000FF480000}"/>
    <cellStyle name="Title 339" xfId="18659" xr:uid="{00000000-0005-0000-0000-000000490000}"/>
    <cellStyle name="Title 34" xfId="18660" xr:uid="{00000000-0005-0000-0000-000001490000}"/>
    <cellStyle name="Title 340" xfId="18661" xr:uid="{00000000-0005-0000-0000-000002490000}"/>
    <cellStyle name="Title 341" xfId="18662" xr:uid="{00000000-0005-0000-0000-000003490000}"/>
    <cellStyle name="Title 342" xfId="18663" xr:uid="{00000000-0005-0000-0000-000004490000}"/>
    <cellStyle name="Title 343" xfId="18664" xr:uid="{00000000-0005-0000-0000-000005490000}"/>
    <cellStyle name="Title 344" xfId="18665" xr:uid="{00000000-0005-0000-0000-000006490000}"/>
    <cellStyle name="Title 345" xfId="18666" xr:uid="{00000000-0005-0000-0000-000007490000}"/>
    <cellStyle name="Title 346" xfId="18667" xr:uid="{00000000-0005-0000-0000-000008490000}"/>
    <cellStyle name="Title 347" xfId="18668" xr:uid="{00000000-0005-0000-0000-000009490000}"/>
    <cellStyle name="Title 348" xfId="18669" xr:uid="{00000000-0005-0000-0000-00000A490000}"/>
    <cellStyle name="Title 349" xfId="18670" xr:uid="{00000000-0005-0000-0000-00000B490000}"/>
    <cellStyle name="Title 35" xfId="18671" xr:uid="{00000000-0005-0000-0000-00000C490000}"/>
    <cellStyle name="Title 350" xfId="18672" xr:uid="{00000000-0005-0000-0000-00000D490000}"/>
    <cellStyle name="Title 351" xfId="18673" xr:uid="{00000000-0005-0000-0000-00000E490000}"/>
    <cellStyle name="Title 352" xfId="18674" xr:uid="{00000000-0005-0000-0000-00000F490000}"/>
    <cellStyle name="Title 353" xfId="18675" xr:uid="{00000000-0005-0000-0000-000010490000}"/>
    <cellStyle name="Title 354" xfId="18676" xr:uid="{00000000-0005-0000-0000-000011490000}"/>
    <cellStyle name="Title 355" xfId="18677" xr:uid="{00000000-0005-0000-0000-000012490000}"/>
    <cellStyle name="Title 356" xfId="18678" xr:uid="{00000000-0005-0000-0000-000013490000}"/>
    <cellStyle name="Title 357" xfId="18679" xr:uid="{00000000-0005-0000-0000-000014490000}"/>
    <cellStyle name="Title 358" xfId="18680" xr:uid="{00000000-0005-0000-0000-000015490000}"/>
    <cellStyle name="Title 359" xfId="18681" xr:uid="{00000000-0005-0000-0000-000016490000}"/>
    <cellStyle name="Title 36" xfId="18682" xr:uid="{00000000-0005-0000-0000-000017490000}"/>
    <cellStyle name="Title 360" xfId="18683" xr:uid="{00000000-0005-0000-0000-000018490000}"/>
    <cellStyle name="Title 361" xfId="18684" xr:uid="{00000000-0005-0000-0000-000019490000}"/>
    <cellStyle name="Title 362" xfId="18685" xr:uid="{00000000-0005-0000-0000-00001A490000}"/>
    <cellStyle name="Title 363" xfId="18686" xr:uid="{00000000-0005-0000-0000-00001B490000}"/>
    <cellStyle name="Title 364" xfId="18687" xr:uid="{00000000-0005-0000-0000-00001C490000}"/>
    <cellStyle name="Title 365" xfId="18688" xr:uid="{00000000-0005-0000-0000-00001D490000}"/>
    <cellStyle name="Title 366" xfId="18689" xr:uid="{00000000-0005-0000-0000-00001E490000}"/>
    <cellStyle name="Title 367" xfId="18690" xr:uid="{00000000-0005-0000-0000-00001F490000}"/>
    <cellStyle name="Title 368" xfId="18691" xr:uid="{00000000-0005-0000-0000-000020490000}"/>
    <cellStyle name="Title 369" xfId="18692" xr:uid="{00000000-0005-0000-0000-000021490000}"/>
    <cellStyle name="Title 37" xfId="18693" xr:uid="{00000000-0005-0000-0000-000022490000}"/>
    <cellStyle name="Title 370" xfId="18694" xr:uid="{00000000-0005-0000-0000-000023490000}"/>
    <cellStyle name="Title 371" xfId="18695" xr:uid="{00000000-0005-0000-0000-000024490000}"/>
    <cellStyle name="Title 372" xfId="18696" xr:uid="{00000000-0005-0000-0000-000025490000}"/>
    <cellStyle name="Title 373" xfId="18697" xr:uid="{00000000-0005-0000-0000-000026490000}"/>
    <cellStyle name="Title 374" xfId="18698" xr:uid="{00000000-0005-0000-0000-000027490000}"/>
    <cellStyle name="Title 375" xfId="18699" xr:uid="{00000000-0005-0000-0000-000028490000}"/>
    <cellStyle name="Title 376" xfId="18700" xr:uid="{00000000-0005-0000-0000-000029490000}"/>
    <cellStyle name="Title 377" xfId="18701" xr:uid="{00000000-0005-0000-0000-00002A490000}"/>
    <cellStyle name="Title 378" xfId="18702" xr:uid="{00000000-0005-0000-0000-00002B490000}"/>
    <cellStyle name="Title 379" xfId="18703" xr:uid="{00000000-0005-0000-0000-00002C490000}"/>
    <cellStyle name="Title 38" xfId="18704" xr:uid="{00000000-0005-0000-0000-00002D490000}"/>
    <cellStyle name="Title 380" xfId="18705" xr:uid="{00000000-0005-0000-0000-00002E490000}"/>
    <cellStyle name="Title 381" xfId="18706" xr:uid="{00000000-0005-0000-0000-00002F490000}"/>
    <cellStyle name="Title 382" xfId="18707" xr:uid="{00000000-0005-0000-0000-000030490000}"/>
    <cellStyle name="Title 383" xfId="18708" xr:uid="{00000000-0005-0000-0000-000031490000}"/>
    <cellStyle name="Title 384" xfId="18709" xr:uid="{00000000-0005-0000-0000-000032490000}"/>
    <cellStyle name="Title 385" xfId="18710" xr:uid="{00000000-0005-0000-0000-000033490000}"/>
    <cellStyle name="Title 386" xfId="18711" xr:uid="{00000000-0005-0000-0000-000034490000}"/>
    <cellStyle name="Title 387" xfId="18712" xr:uid="{00000000-0005-0000-0000-000035490000}"/>
    <cellStyle name="Title 388" xfId="18713" xr:uid="{00000000-0005-0000-0000-000036490000}"/>
    <cellStyle name="Title 389" xfId="18714" xr:uid="{00000000-0005-0000-0000-000037490000}"/>
    <cellStyle name="Title 39" xfId="18715" xr:uid="{00000000-0005-0000-0000-000038490000}"/>
    <cellStyle name="Title 390" xfId="18716" xr:uid="{00000000-0005-0000-0000-000039490000}"/>
    <cellStyle name="Title 391" xfId="18717" xr:uid="{00000000-0005-0000-0000-00003A490000}"/>
    <cellStyle name="Title 392" xfId="18718" xr:uid="{00000000-0005-0000-0000-00003B490000}"/>
    <cellStyle name="Title 393" xfId="18719" xr:uid="{00000000-0005-0000-0000-00003C490000}"/>
    <cellStyle name="Title 394" xfId="18720" xr:uid="{00000000-0005-0000-0000-00003D490000}"/>
    <cellStyle name="Title 395" xfId="18721" xr:uid="{00000000-0005-0000-0000-00003E490000}"/>
    <cellStyle name="Title 396" xfId="18722" xr:uid="{00000000-0005-0000-0000-00003F490000}"/>
    <cellStyle name="Title 397" xfId="18723" xr:uid="{00000000-0005-0000-0000-000040490000}"/>
    <cellStyle name="Title 398" xfId="18724" xr:uid="{00000000-0005-0000-0000-000041490000}"/>
    <cellStyle name="Title 399" xfId="18725" xr:uid="{00000000-0005-0000-0000-000042490000}"/>
    <cellStyle name="Title 4" xfId="18726" xr:uid="{00000000-0005-0000-0000-000043490000}"/>
    <cellStyle name="Title 40" xfId="18727" xr:uid="{00000000-0005-0000-0000-000044490000}"/>
    <cellStyle name="Title 400" xfId="18728" xr:uid="{00000000-0005-0000-0000-000045490000}"/>
    <cellStyle name="Title 401" xfId="18729" xr:uid="{00000000-0005-0000-0000-000046490000}"/>
    <cellStyle name="Title 402" xfId="18730" xr:uid="{00000000-0005-0000-0000-000047490000}"/>
    <cellStyle name="Title 403" xfId="18731" xr:uid="{00000000-0005-0000-0000-000048490000}"/>
    <cellStyle name="Title 404" xfId="18732" xr:uid="{00000000-0005-0000-0000-000049490000}"/>
    <cellStyle name="Title 405" xfId="18733" xr:uid="{00000000-0005-0000-0000-00004A490000}"/>
    <cellStyle name="Title 406" xfId="18734" xr:uid="{00000000-0005-0000-0000-00004B490000}"/>
    <cellStyle name="Title 407" xfId="18735" xr:uid="{00000000-0005-0000-0000-00004C490000}"/>
    <cellStyle name="Title 408" xfId="18736" xr:uid="{00000000-0005-0000-0000-00004D490000}"/>
    <cellStyle name="Title 409" xfId="18737" xr:uid="{00000000-0005-0000-0000-00004E490000}"/>
    <cellStyle name="Title 41" xfId="18738" xr:uid="{00000000-0005-0000-0000-00004F490000}"/>
    <cellStyle name="Title 410" xfId="18739" xr:uid="{00000000-0005-0000-0000-000050490000}"/>
    <cellStyle name="Title 411" xfId="18740" xr:uid="{00000000-0005-0000-0000-000051490000}"/>
    <cellStyle name="Title 412" xfId="18741" xr:uid="{00000000-0005-0000-0000-000052490000}"/>
    <cellStyle name="Title 413" xfId="18742" xr:uid="{00000000-0005-0000-0000-000053490000}"/>
    <cellStyle name="Title 414" xfId="18743" xr:uid="{00000000-0005-0000-0000-000054490000}"/>
    <cellStyle name="Title 415" xfId="18744" xr:uid="{00000000-0005-0000-0000-000055490000}"/>
    <cellStyle name="Title 416" xfId="18745" xr:uid="{00000000-0005-0000-0000-000056490000}"/>
    <cellStyle name="Title 417" xfId="18746" xr:uid="{00000000-0005-0000-0000-000057490000}"/>
    <cellStyle name="Title 418" xfId="18747" xr:uid="{00000000-0005-0000-0000-000058490000}"/>
    <cellStyle name="Title 419" xfId="18748" xr:uid="{00000000-0005-0000-0000-000059490000}"/>
    <cellStyle name="Title 42" xfId="18749" xr:uid="{00000000-0005-0000-0000-00005A490000}"/>
    <cellStyle name="Title 420" xfId="18750" xr:uid="{00000000-0005-0000-0000-00005B490000}"/>
    <cellStyle name="Title 421" xfId="18751" xr:uid="{00000000-0005-0000-0000-00005C490000}"/>
    <cellStyle name="Title 422" xfId="18752" xr:uid="{00000000-0005-0000-0000-00005D490000}"/>
    <cellStyle name="Title 423" xfId="18753" xr:uid="{00000000-0005-0000-0000-00005E490000}"/>
    <cellStyle name="Title 424" xfId="18754" xr:uid="{00000000-0005-0000-0000-00005F490000}"/>
    <cellStyle name="Title 425" xfId="18755" xr:uid="{00000000-0005-0000-0000-000060490000}"/>
    <cellStyle name="Title 426" xfId="18756" xr:uid="{00000000-0005-0000-0000-000061490000}"/>
    <cellStyle name="Title 427" xfId="18757" xr:uid="{00000000-0005-0000-0000-000062490000}"/>
    <cellStyle name="Title 428" xfId="18758" xr:uid="{00000000-0005-0000-0000-000063490000}"/>
    <cellStyle name="Title 429" xfId="18759" xr:uid="{00000000-0005-0000-0000-000064490000}"/>
    <cellStyle name="Title 43" xfId="18760" xr:uid="{00000000-0005-0000-0000-000065490000}"/>
    <cellStyle name="Title 430" xfId="18761" xr:uid="{00000000-0005-0000-0000-000066490000}"/>
    <cellStyle name="Title 431" xfId="18762" xr:uid="{00000000-0005-0000-0000-000067490000}"/>
    <cellStyle name="Title 432" xfId="18763" xr:uid="{00000000-0005-0000-0000-000068490000}"/>
    <cellStyle name="Title 433" xfId="18764" xr:uid="{00000000-0005-0000-0000-000069490000}"/>
    <cellStyle name="Title 434" xfId="18765" xr:uid="{00000000-0005-0000-0000-00006A490000}"/>
    <cellStyle name="Title 435" xfId="18766" xr:uid="{00000000-0005-0000-0000-00006B490000}"/>
    <cellStyle name="Title 436" xfId="18767" xr:uid="{00000000-0005-0000-0000-00006C490000}"/>
    <cellStyle name="Title 437" xfId="18768" xr:uid="{00000000-0005-0000-0000-00006D490000}"/>
    <cellStyle name="Title 438" xfId="18769" xr:uid="{00000000-0005-0000-0000-00006E490000}"/>
    <cellStyle name="Title 439" xfId="18770" xr:uid="{00000000-0005-0000-0000-00006F490000}"/>
    <cellStyle name="Title 44" xfId="18771" xr:uid="{00000000-0005-0000-0000-000070490000}"/>
    <cellStyle name="Title 440" xfId="18772" xr:uid="{00000000-0005-0000-0000-000071490000}"/>
    <cellStyle name="Title 441" xfId="18773" xr:uid="{00000000-0005-0000-0000-000072490000}"/>
    <cellStyle name="Title 442" xfId="18774" xr:uid="{00000000-0005-0000-0000-000073490000}"/>
    <cellStyle name="Title 443" xfId="18775" xr:uid="{00000000-0005-0000-0000-000074490000}"/>
    <cellStyle name="Title 444" xfId="18776" xr:uid="{00000000-0005-0000-0000-000075490000}"/>
    <cellStyle name="Title 445" xfId="18777" xr:uid="{00000000-0005-0000-0000-000076490000}"/>
    <cellStyle name="Title 446" xfId="18778" xr:uid="{00000000-0005-0000-0000-000077490000}"/>
    <cellStyle name="Title 447" xfId="18779" xr:uid="{00000000-0005-0000-0000-000078490000}"/>
    <cellStyle name="Title 448" xfId="18780" xr:uid="{00000000-0005-0000-0000-000079490000}"/>
    <cellStyle name="Title 449" xfId="18781" xr:uid="{00000000-0005-0000-0000-00007A490000}"/>
    <cellStyle name="Title 45" xfId="18782" xr:uid="{00000000-0005-0000-0000-00007B490000}"/>
    <cellStyle name="Title 450" xfId="18783" xr:uid="{00000000-0005-0000-0000-00007C490000}"/>
    <cellStyle name="Title 451" xfId="18784" xr:uid="{00000000-0005-0000-0000-00007D490000}"/>
    <cellStyle name="Title 452" xfId="18785" xr:uid="{00000000-0005-0000-0000-00007E490000}"/>
    <cellStyle name="Title 453" xfId="18786" xr:uid="{00000000-0005-0000-0000-00007F490000}"/>
    <cellStyle name="Title 454" xfId="18787" xr:uid="{00000000-0005-0000-0000-000080490000}"/>
    <cellStyle name="Title 455" xfId="18788" xr:uid="{00000000-0005-0000-0000-000081490000}"/>
    <cellStyle name="Title 456" xfId="18789" xr:uid="{00000000-0005-0000-0000-000082490000}"/>
    <cellStyle name="Title 457" xfId="18790" xr:uid="{00000000-0005-0000-0000-000083490000}"/>
    <cellStyle name="Title 458" xfId="18791" xr:uid="{00000000-0005-0000-0000-000084490000}"/>
    <cellStyle name="Title 459" xfId="18792" xr:uid="{00000000-0005-0000-0000-000085490000}"/>
    <cellStyle name="Title 46" xfId="18793" xr:uid="{00000000-0005-0000-0000-000086490000}"/>
    <cellStyle name="Title 460" xfId="18794" xr:uid="{00000000-0005-0000-0000-000087490000}"/>
    <cellStyle name="Title 461" xfId="18795" xr:uid="{00000000-0005-0000-0000-000088490000}"/>
    <cellStyle name="Title 462" xfId="18796" xr:uid="{00000000-0005-0000-0000-000089490000}"/>
    <cellStyle name="Title 463" xfId="18797" xr:uid="{00000000-0005-0000-0000-00008A490000}"/>
    <cellStyle name="Title 464" xfId="18798" xr:uid="{00000000-0005-0000-0000-00008B490000}"/>
    <cellStyle name="Title 465" xfId="18799" xr:uid="{00000000-0005-0000-0000-00008C490000}"/>
    <cellStyle name="Title 466" xfId="18800" xr:uid="{00000000-0005-0000-0000-00008D490000}"/>
    <cellStyle name="Title 467" xfId="18801" xr:uid="{00000000-0005-0000-0000-00008E490000}"/>
    <cellStyle name="Title 468" xfId="18802" xr:uid="{00000000-0005-0000-0000-00008F490000}"/>
    <cellStyle name="Title 469" xfId="18803" xr:uid="{00000000-0005-0000-0000-000090490000}"/>
    <cellStyle name="Title 47" xfId="18804" xr:uid="{00000000-0005-0000-0000-000091490000}"/>
    <cellStyle name="Title 470" xfId="18805" xr:uid="{00000000-0005-0000-0000-000092490000}"/>
    <cellStyle name="Title 471" xfId="18806" xr:uid="{00000000-0005-0000-0000-000093490000}"/>
    <cellStyle name="Title 472" xfId="18807" xr:uid="{00000000-0005-0000-0000-000094490000}"/>
    <cellStyle name="Title 473" xfId="18808" xr:uid="{00000000-0005-0000-0000-000095490000}"/>
    <cellStyle name="Title 474" xfId="18809" xr:uid="{00000000-0005-0000-0000-000096490000}"/>
    <cellStyle name="Title 475" xfId="18810" xr:uid="{00000000-0005-0000-0000-000097490000}"/>
    <cellStyle name="Title 476" xfId="18811" xr:uid="{00000000-0005-0000-0000-000098490000}"/>
    <cellStyle name="Title 477" xfId="18812" xr:uid="{00000000-0005-0000-0000-000099490000}"/>
    <cellStyle name="Title 478" xfId="18813" xr:uid="{00000000-0005-0000-0000-00009A490000}"/>
    <cellStyle name="Title 479" xfId="18814" xr:uid="{00000000-0005-0000-0000-00009B490000}"/>
    <cellStyle name="Title 48" xfId="18815" xr:uid="{00000000-0005-0000-0000-00009C490000}"/>
    <cellStyle name="Title 480" xfId="18816" xr:uid="{00000000-0005-0000-0000-00009D490000}"/>
    <cellStyle name="Title 481" xfId="18817" xr:uid="{00000000-0005-0000-0000-00009E490000}"/>
    <cellStyle name="Title 482" xfId="18818" xr:uid="{00000000-0005-0000-0000-00009F490000}"/>
    <cellStyle name="Title 483" xfId="18819" xr:uid="{00000000-0005-0000-0000-0000A0490000}"/>
    <cellStyle name="Title 484" xfId="18820" xr:uid="{00000000-0005-0000-0000-0000A1490000}"/>
    <cellStyle name="Title 485" xfId="18821" xr:uid="{00000000-0005-0000-0000-0000A2490000}"/>
    <cellStyle name="Title 486" xfId="18822" xr:uid="{00000000-0005-0000-0000-0000A3490000}"/>
    <cellStyle name="Title 487" xfId="18823" xr:uid="{00000000-0005-0000-0000-0000A4490000}"/>
    <cellStyle name="Title 488" xfId="18824" xr:uid="{00000000-0005-0000-0000-0000A5490000}"/>
    <cellStyle name="Title 489" xfId="18825" xr:uid="{00000000-0005-0000-0000-0000A6490000}"/>
    <cellStyle name="Title 49" xfId="18826" xr:uid="{00000000-0005-0000-0000-0000A7490000}"/>
    <cellStyle name="Title 490" xfId="18827" xr:uid="{00000000-0005-0000-0000-0000A8490000}"/>
    <cellStyle name="Title 491" xfId="18828" xr:uid="{00000000-0005-0000-0000-0000A9490000}"/>
    <cellStyle name="Title 492" xfId="18829" xr:uid="{00000000-0005-0000-0000-0000AA490000}"/>
    <cellStyle name="Title 493" xfId="18830" xr:uid="{00000000-0005-0000-0000-0000AB490000}"/>
    <cellStyle name="Title 494" xfId="18831" xr:uid="{00000000-0005-0000-0000-0000AC490000}"/>
    <cellStyle name="Title 495" xfId="18832" xr:uid="{00000000-0005-0000-0000-0000AD490000}"/>
    <cellStyle name="Title 496" xfId="18833" xr:uid="{00000000-0005-0000-0000-0000AE490000}"/>
    <cellStyle name="Title 497" xfId="18834" xr:uid="{00000000-0005-0000-0000-0000AF490000}"/>
    <cellStyle name="Title 498" xfId="18835" xr:uid="{00000000-0005-0000-0000-0000B0490000}"/>
    <cellStyle name="Title 499" xfId="18836" xr:uid="{00000000-0005-0000-0000-0000B1490000}"/>
    <cellStyle name="Title 5" xfId="18837" xr:uid="{00000000-0005-0000-0000-0000B2490000}"/>
    <cellStyle name="Title 50" xfId="18838" xr:uid="{00000000-0005-0000-0000-0000B3490000}"/>
    <cellStyle name="Title 500" xfId="18839" xr:uid="{00000000-0005-0000-0000-0000B4490000}"/>
    <cellStyle name="Title 501" xfId="18840" xr:uid="{00000000-0005-0000-0000-0000B5490000}"/>
    <cellStyle name="Title 502" xfId="18841" xr:uid="{00000000-0005-0000-0000-0000B6490000}"/>
    <cellStyle name="Title 503" xfId="18842" xr:uid="{00000000-0005-0000-0000-0000B7490000}"/>
    <cellStyle name="Title 504" xfId="18843" xr:uid="{00000000-0005-0000-0000-0000B8490000}"/>
    <cellStyle name="Title 505" xfId="18844" xr:uid="{00000000-0005-0000-0000-0000B9490000}"/>
    <cellStyle name="Title 506" xfId="18845" xr:uid="{00000000-0005-0000-0000-0000BA490000}"/>
    <cellStyle name="Title 507" xfId="18846" xr:uid="{00000000-0005-0000-0000-0000BB490000}"/>
    <cellStyle name="Title 508" xfId="18847" xr:uid="{00000000-0005-0000-0000-0000BC490000}"/>
    <cellStyle name="Title 509" xfId="18848" xr:uid="{00000000-0005-0000-0000-0000BD490000}"/>
    <cellStyle name="Title 51" xfId="18849" xr:uid="{00000000-0005-0000-0000-0000BE490000}"/>
    <cellStyle name="Title 510" xfId="18850" xr:uid="{00000000-0005-0000-0000-0000BF490000}"/>
    <cellStyle name="Title 511" xfId="18851" xr:uid="{00000000-0005-0000-0000-0000C0490000}"/>
    <cellStyle name="Title 512" xfId="18852" xr:uid="{00000000-0005-0000-0000-0000C1490000}"/>
    <cellStyle name="Title 513" xfId="18853" xr:uid="{00000000-0005-0000-0000-0000C2490000}"/>
    <cellStyle name="Title 514" xfId="18854" xr:uid="{00000000-0005-0000-0000-0000C3490000}"/>
    <cellStyle name="Title 515" xfId="18855" xr:uid="{00000000-0005-0000-0000-0000C4490000}"/>
    <cellStyle name="Title 516" xfId="18856" xr:uid="{00000000-0005-0000-0000-0000C5490000}"/>
    <cellStyle name="Title 517" xfId="18857" xr:uid="{00000000-0005-0000-0000-0000C6490000}"/>
    <cellStyle name="Title 518" xfId="18858" xr:uid="{00000000-0005-0000-0000-0000C7490000}"/>
    <cellStyle name="Title 519" xfId="18859" xr:uid="{00000000-0005-0000-0000-0000C8490000}"/>
    <cellStyle name="Title 52" xfId="18860" xr:uid="{00000000-0005-0000-0000-0000C9490000}"/>
    <cellStyle name="Title 520" xfId="18861" xr:uid="{00000000-0005-0000-0000-0000CA490000}"/>
    <cellStyle name="Title 521" xfId="18862" xr:uid="{00000000-0005-0000-0000-0000CB490000}"/>
    <cellStyle name="Title 522" xfId="18863" xr:uid="{00000000-0005-0000-0000-0000CC490000}"/>
    <cellStyle name="Title 523" xfId="18864" xr:uid="{00000000-0005-0000-0000-0000CD490000}"/>
    <cellStyle name="Title 524" xfId="18865" xr:uid="{00000000-0005-0000-0000-0000CE490000}"/>
    <cellStyle name="Title 525" xfId="18866" xr:uid="{00000000-0005-0000-0000-0000CF490000}"/>
    <cellStyle name="Title 526" xfId="18867" xr:uid="{00000000-0005-0000-0000-0000D0490000}"/>
    <cellStyle name="Title 527" xfId="18868" xr:uid="{00000000-0005-0000-0000-0000D1490000}"/>
    <cellStyle name="Title 528" xfId="18869" xr:uid="{00000000-0005-0000-0000-0000D2490000}"/>
    <cellStyle name="Title 529" xfId="18870" xr:uid="{00000000-0005-0000-0000-0000D3490000}"/>
    <cellStyle name="Title 53" xfId="18871" xr:uid="{00000000-0005-0000-0000-0000D4490000}"/>
    <cellStyle name="Title 530" xfId="18872" xr:uid="{00000000-0005-0000-0000-0000D5490000}"/>
    <cellStyle name="Title 531" xfId="18873" xr:uid="{00000000-0005-0000-0000-0000D6490000}"/>
    <cellStyle name="Title 532" xfId="18874" xr:uid="{00000000-0005-0000-0000-0000D7490000}"/>
    <cellStyle name="Title 533" xfId="18875" xr:uid="{00000000-0005-0000-0000-0000D8490000}"/>
    <cellStyle name="Title 534" xfId="18876" xr:uid="{00000000-0005-0000-0000-0000D9490000}"/>
    <cellStyle name="Title 535" xfId="18877" xr:uid="{00000000-0005-0000-0000-0000DA490000}"/>
    <cellStyle name="Title 536" xfId="18878" xr:uid="{00000000-0005-0000-0000-0000DB490000}"/>
    <cellStyle name="Title 537" xfId="18879" xr:uid="{00000000-0005-0000-0000-0000DC490000}"/>
    <cellStyle name="Title 538" xfId="18880" xr:uid="{00000000-0005-0000-0000-0000DD490000}"/>
    <cellStyle name="Title 539" xfId="18881" xr:uid="{00000000-0005-0000-0000-0000DE490000}"/>
    <cellStyle name="Title 54" xfId="18882" xr:uid="{00000000-0005-0000-0000-0000DF490000}"/>
    <cellStyle name="Title 540" xfId="18883" xr:uid="{00000000-0005-0000-0000-0000E0490000}"/>
    <cellStyle name="Title 541" xfId="18884" xr:uid="{00000000-0005-0000-0000-0000E1490000}"/>
    <cellStyle name="Title 542" xfId="18885" xr:uid="{00000000-0005-0000-0000-0000E2490000}"/>
    <cellStyle name="Title 543" xfId="18886" xr:uid="{00000000-0005-0000-0000-0000E3490000}"/>
    <cellStyle name="Title 544" xfId="18887" xr:uid="{00000000-0005-0000-0000-0000E4490000}"/>
    <cellStyle name="Title 545" xfId="18888" xr:uid="{00000000-0005-0000-0000-0000E5490000}"/>
    <cellStyle name="Title 546" xfId="18889" xr:uid="{00000000-0005-0000-0000-0000E6490000}"/>
    <cellStyle name="Title 547" xfId="18890" xr:uid="{00000000-0005-0000-0000-0000E7490000}"/>
    <cellStyle name="Title 548" xfId="18891" xr:uid="{00000000-0005-0000-0000-0000E8490000}"/>
    <cellStyle name="Title 549" xfId="18892" xr:uid="{00000000-0005-0000-0000-0000E9490000}"/>
    <cellStyle name="Title 55" xfId="18893" xr:uid="{00000000-0005-0000-0000-0000EA490000}"/>
    <cellStyle name="Title 550" xfId="18894" xr:uid="{00000000-0005-0000-0000-0000EB490000}"/>
    <cellStyle name="Title 551" xfId="18895" xr:uid="{00000000-0005-0000-0000-0000EC490000}"/>
    <cellStyle name="Title 552" xfId="18896" xr:uid="{00000000-0005-0000-0000-0000ED490000}"/>
    <cellStyle name="Title 553" xfId="18897" xr:uid="{00000000-0005-0000-0000-0000EE490000}"/>
    <cellStyle name="Title 554" xfId="18898" xr:uid="{00000000-0005-0000-0000-0000EF490000}"/>
    <cellStyle name="Title 555" xfId="18899" xr:uid="{00000000-0005-0000-0000-0000F0490000}"/>
    <cellStyle name="Title 556" xfId="18900" xr:uid="{00000000-0005-0000-0000-0000F1490000}"/>
    <cellStyle name="Title 557" xfId="18901" xr:uid="{00000000-0005-0000-0000-0000F2490000}"/>
    <cellStyle name="Title 558" xfId="18902" xr:uid="{00000000-0005-0000-0000-0000F3490000}"/>
    <cellStyle name="Title 559" xfId="18903" xr:uid="{00000000-0005-0000-0000-0000F4490000}"/>
    <cellStyle name="Title 56" xfId="18904" xr:uid="{00000000-0005-0000-0000-0000F5490000}"/>
    <cellStyle name="Title 560" xfId="18905" xr:uid="{00000000-0005-0000-0000-0000F6490000}"/>
    <cellStyle name="Title 561" xfId="18906" xr:uid="{00000000-0005-0000-0000-0000F7490000}"/>
    <cellStyle name="Title 562" xfId="18907" xr:uid="{00000000-0005-0000-0000-0000F8490000}"/>
    <cellStyle name="Title 563" xfId="18908" xr:uid="{00000000-0005-0000-0000-0000F9490000}"/>
    <cellStyle name="Title 564" xfId="18909" xr:uid="{00000000-0005-0000-0000-0000FA490000}"/>
    <cellStyle name="Title 565" xfId="18910" xr:uid="{00000000-0005-0000-0000-0000FB490000}"/>
    <cellStyle name="Title 566" xfId="18911" xr:uid="{00000000-0005-0000-0000-0000FC490000}"/>
    <cellStyle name="Title 567" xfId="18912" xr:uid="{00000000-0005-0000-0000-0000FD490000}"/>
    <cellStyle name="Title 568" xfId="18913" xr:uid="{00000000-0005-0000-0000-0000FE490000}"/>
    <cellStyle name="Title 569" xfId="18914" xr:uid="{00000000-0005-0000-0000-0000FF490000}"/>
    <cellStyle name="Title 57" xfId="18915" xr:uid="{00000000-0005-0000-0000-0000004A0000}"/>
    <cellStyle name="Title 570" xfId="18916" xr:uid="{00000000-0005-0000-0000-0000014A0000}"/>
    <cellStyle name="Title 571" xfId="18917" xr:uid="{00000000-0005-0000-0000-0000024A0000}"/>
    <cellStyle name="Title 572" xfId="18918" xr:uid="{00000000-0005-0000-0000-0000034A0000}"/>
    <cellStyle name="Title 573" xfId="18919" xr:uid="{00000000-0005-0000-0000-0000044A0000}"/>
    <cellStyle name="Title 574" xfId="18920" xr:uid="{00000000-0005-0000-0000-0000054A0000}"/>
    <cellStyle name="Title 575" xfId="18921" xr:uid="{00000000-0005-0000-0000-0000064A0000}"/>
    <cellStyle name="Title 576" xfId="18922" xr:uid="{00000000-0005-0000-0000-0000074A0000}"/>
    <cellStyle name="Title 577" xfId="18923" xr:uid="{00000000-0005-0000-0000-0000084A0000}"/>
    <cellStyle name="Title 578" xfId="18924" xr:uid="{00000000-0005-0000-0000-0000094A0000}"/>
    <cellStyle name="Title 579" xfId="18925" xr:uid="{00000000-0005-0000-0000-00000A4A0000}"/>
    <cellStyle name="Title 58" xfId="18926" xr:uid="{00000000-0005-0000-0000-00000B4A0000}"/>
    <cellStyle name="Title 580" xfId="18927" xr:uid="{00000000-0005-0000-0000-00000C4A0000}"/>
    <cellStyle name="Title 581" xfId="18928" xr:uid="{00000000-0005-0000-0000-00000D4A0000}"/>
    <cellStyle name="Title 582" xfId="18929" xr:uid="{00000000-0005-0000-0000-00000E4A0000}"/>
    <cellStyle name="Title 583" xfId="18930" xr:uid="{00000000-0005-0000-0000-00000F4A0000}"/>
    <cellStyle name="Title 584" xfId="18931" xr:uid="{00000000-0005-0000-0000-0000104A0000}"/>
    <cellStyle name="Title 585" xfId="18932" xr:uid="{00000000-0005-0000-0000-0000114A0000}"/>
    <cellStyle name="Title 586" xfId="18933" xr:uid="{00000000-0005-0000-0000-0000124A0000}"/>
    <cellStyle name="Title 587" xfId="18934" xr:uid="{00000000-0005-0000-0000-0000134A0000}"/>
    <cellStyle name="Title 588" xfId="18935" xr:uid="{00000000-0005-0000-0000-0000144A0000}"/>
    <cellStyle name="Title 589" xfId="18936" xr:uid="{00000000-0005-0000-0000-0000154A0000}"/>
    <cellStyle name="Title 59" xfId="18937" xr:uid="{00000000-0005-0000-0000-0000164A0000}"/>
    <cellStyle name="Title 590" xfId="18938" xr:uid="{00000000-0005-0000-0000-0000174A0000}"/>
    <cellStyle name="Title 591" xfId="18939" xr:uid="{00000000-0005-0000-0000-0000184A0000}"/>
    <cellStyle name="Title 592" xfId="18940" xr:uid="{00000000-0005-0000-0000-0000194A0000}"/>
    <cellStyle name="Title 593" xfId="18941" xr:uid="{00000000-0005-0000-0000-00001A4A0000}"/>
    <cellStyle name="Title 594" xfId="18942" xr:uid="{00000000-0005-0000-0000-00001B4A0000}"/>
    <cellStyle name="Title 595" xfId="18943" xr:uid="{00000000-0005-0000-0000-00001C4A0000}"/>
    <cellStyle name="Title 596" xfId="18944" xr:uid="{00000000-0005-0000-0000-00001D4A0000}"/>
    <cellStyle name="Title 597" xfId="18945" xr:uid="{00000000-0005-0000-0000-00001E4A0000}"/>
    <cellStyle name="Title 598" xfId="18946" xr:uid="{00000000-0005-0000-0000-00001F4A0000}"/>
    <cellStyle name="Title 599" xfId="18947" xr:uid="{00000000-0005-0000-0000-0000204A0000}"/>
    <cellStyle name="Title 6" xfId="18948" xr:uid="{00000000-0005-0000-0000-0000214A0000}"/>
    <cellStyle name="Title 60" xfId="18949" xr:uid="{00000000-0005-0000-0000-0000224A0000}"/>
    <cellStyle name="Title 600" xfId="18950" xr:uid="{00000000-0005-0000-0000-0000234A0000}"/>
    <cellStyle name="Title 601" xfId="18951" xr:uid="{00000000-0005-0000-0000-0000244A0000}"/>
    <cellStyle name="Title 602" xfId="18952" xr:uid="{00000000-0005-0000-0000-0000254A0000}"/>
    <cellStyle name="Title 603" xfId="18953" xr:uid="{00000000-0005-0000-0000-0000264A0000}"/>
    <cellStyle name="Title 604" xfId="18954" xr:uid="{00000000-0005-0000-0000-0000274A0000}"/>
    <cellStyle name="Title 605" xfId="18955" xr:uid="{00000000-0005-0000-0000-0000284A0000}"/>
    <cellStyle name="Title 606" xfId="18956" xr:uid="{00000000-0005-0000-0000-0000294A0000}"/>
    <cellStyle name="Title 607" xfId="18957" xr:uid="{00000000-0005-0000-0000-00002A4A0000}"/>
    <cellStyle name="Title 608" xfId="18958" xr:uid="{00000000-0005-0000-0000-00002B4A0000}"/>
    <cellStyle name="Title 609" xfId="18959" xr:uid="{00000000-0005-0000-0000-00002C4A0000}"/>
    <cellStyle name="Title 61" xfId="18960" xr:uid="{00000000-0005-0000-0000-00002D4A0000}"/>
    <cellStyle name="Title 610" xfId="18961" xr:uid="{00000000-0005-0000-0000-00002E4A0000}"/>
    <cellStyle name="Title 611" xfId="18962" xr:uid="{00000000-0005-0000-0000-00002F4A0000}"/>
    <cellStyle name="Title 612" xfId="18963" xr:uid="{00000000-0005-0000-0000-0000304A0000}"/>
    <cellStyle name="Title 613" xfId="18964" xr:uid="{00000000-0005-0000-0000-0000314A0000}"/>
    <cellStyle name="Title 614" xfId="18965" xr:uid="{00000000-0005-0000-0000-0000324A0000}"/>
    <cellStyle name="Title 615" xfId="18966" xr:uid="{00000000-0005-0000-0000-0000334A0000}"/>
    <cellStyle name="Title 616" xfId="18967" xr:uid="{00000000-0005-0000-0000-0000344A0000}"/>
    <cellStyle name="Title 617" xfId="18968" xr:uid="{00000000-0005-0000-0000-0000354A0000}"/>
    <cellStyle name="Title 618" xfId="18969" xr:uid="{00000000-0005-0000-0000-0000364A0000}"/>
    <cellStyle name="Title 619" xfId="18970" xr:uid="{00000000-0005-0000-0000-0000374A0000}"/>
    <cellStyle name="Title 62" xfId="18971" xr:uid="{00000000-0005-0000-0000-0000384A0000}"/>
    <cellStyle name="Title 620" xfId="18972" xr:uid="{00000000-0005-0000-0000-0000394A0000}"/>
    <cellStyle name="Title 621" xfId="18973" xr:uid="{00000000-0005-0000-0000-00003A4A0000}"/>
    <cellStyle name="Title 622" xfId="18974" xr:uid="{00000000-0005-0000-0000-00003B4A0000}"/>
    <cellStyle name="Title 623" xfId="18975" xr:uid="{00000000-0005-0000-0000-00003C4A0000}"/>
    <cellStyle name="Title 624" xfId="18976" xr:uid="{00000000-0005-0000-0000-00003D4A0000}"/>
    <cellStyle name="Title 625" xfId="18977" xr:uid="{00000000-0005-0000-0000-00003E4A0000}"/>
    <cellStyle name="Title 626" xfId="18978" xr:uid="{00000000-0005-0000-0000-00003F4A0000}"/>
    <cellStyle name="Title 627" xfId="18979" xr:uid="{00000000-0005-0000-0000-0000404A0000}"/>
    <cellStyle name="Title 628" xfId="18980" xr:uid="{00000000-0005-0000-0000-0000414A0000}"/>
    <cellStyle name="Title 629" xfId="18981" xr:uid="{00000000-0005-0000-0000-0000424A0000}"/>
    <cellStyle name="Title 63" xfId="18982" xr:uid="{00000000-0005-0000-0000-0000434A0000}"/>
    <cellStyle name="Title 630" xfId="18983" xr:uid="{00000000-0005-0000-0000-0000444A0000}"/>
    <cellStyle name="Title 631" xfId="18984" xr:uid="{00000000-0005-0000-0000-0000454A0000}"/>
    <cellStyle name="Title 632" xfId="18985" xr:uid="{00000000-0005-0000-0000-0000464A0000}"/>
    <cellStyle name="Title 633" xfId="18986" xr:uid="{00000000-0005-0000-0000-0000474A0000}"/>
    <cellStyle name="Title 634" xfId="18987" xr:uid="{00000000-0005-0000-0000-0000484A0000}"/>
    <cellStyle name="Title 635" xfId="18988" xr:uid="{00000000-0005-0000-0000-0000494A0000}"/>
    <cellStyle name="Title 636" xfId="18989" xr:uid="{00000000-0005-0000-0000-00004A4A0000}"/>
    <cellStyle name="Title 637" xfId="18990" xr:uid="{00000000-0005-0000-0000-00004B4A0000}"/>
    <cellStyle name="Title 638" xfId="18991" xr:uid="{00000000-0005-0000-0000-00004C4A0000}"/>
    <cellStyle name="Title 639" xfId="18992" xr:uid="{00000000-0005-0000-0000-00004D4A0000}"/>
    <cellStyle name="Title 64" xfId="18993" xr:uid="{00000000-0005-0000-0000-00004E4A0000}"/>
    <cellStyle name="Title 640" xfId="18994" xr:uid="{00000000-0005-0000-0000-00004F4A0000}"/>
    <cellStyle name="Title 641" xfId="18995" xr:uid="{00000000-0005-0000-0000-0000504A0000}"/>
    <cellStyle name="Title 642" xfId="18996" xr:uid="{00000000-0005-0000-0000-0000514A0000}"/>
    <cellStyle name="Title 643" xfId="18997" xr:uid="{00000000-0005-0000-0000-0000524A0000}"/>
    <cellStyle name="Title 644" xfId="18998" xr:uid="{00000000-0005-0000-0000-0000534A0000}"/>
    <cellStyle name="Title 645" xfId="18999" xr:uid="{00000000-0005-0000-0000-0000544A0000}"/>
    <cellStyle name="Title 646" xfId="19000" xr:uid="{00000000-0005-0000-0000-0000554A0000}"/>
    <cellStyle name="Title 647" xfId="19001" xr:uid="{00000000-0005-0000-0000-0000564A0000}"/>
    <cellStyle name="Title 648" xfId="19002" xr:uid="{00000000-0005-0000-0000-0000574A0000}"/>
    <cellStyle name="Title 649" xfId="19003" xr:uid="{00000000-0005-0000-0000-0000584A0000}"/>
    <cellStyle name="Title 65" xfId="19004" xr:uid="{00000000-0005-0000-0000-0000594A0000}"/>
    <cellStyle name="Title 650" xfId="19005" xr:uid="{00000000-0005-0000-0000-00005A4A0000}"/>
    <cellStyle name="Title 651" xfId="19006" xr:uid="{00000000-0005-0000-0000-00005B4A0000}"/>
    <cellStyle name="Title 652" xfId="19007" xr:uid="{00000000-0005-0000-0000-00005C4A0000}"/>
    <cellStyle name="Title 653" xfId="19008" xr:uid="{00000000-0005-0000-0000-00005D4A0000}"/>
    <cellStyle name="Title 654" xfId="19009" xr:uid="{00000000-0005-0000-0000-00005E4A0000}"/>
    <cellStyle name="Title 655" xfId="19010" xr:uid="{00000000-0005-0000-0000-00005F4A0000}"/>
    <cellStyle name="Title 656" xfId="19011" xr:uid="{00000000-0005-0000-0000-0000604A0000}"/>
    <cellStyle name="Title 657" xfId="19012" xr:uid="{00000000-0005-0000-0000-0000614A0000}"/>
    <cellStyle name="Title 658" xfId="19013" xr:uid="{00000000-0005-0000-0000-0000624A0000}"/>
    <cellStyle name="Title 659" xfId="19014" xr:uid="{00000000-0005-0000-0000-0000634A0000}"/>
    <cellStyle name="Title 66" xfId="19015" xr:uid="{00000000-0005-0000-0000-0000644A0000}"/>
    <cellStyle name="Title 660" xfId="19016" xr:uid="{00000000-0005-0000-0000-0000654A0000}"/>
    <cellStyle name="Title 661" xfId="19017" xr:uid="{00000000-0005-0000-0000-0000664A0000}"/>
    <cellStyle name="Title 662" xfId="19018" xr:uid="{00000000-0005-0000-0000-0000674A0000}"/>
    <cellStyle name="Title 663" xfId="19019" xr:uid="{00000000-0005-0000-0000-0000684A0000}"/>
    <cellStyle name="Title 664" xfId="19020" xr:uid="{00000000-0005-0000-0000-0000694A0000}"/>
    <cellStyle name="Title 665" xfId="19021" xr:uid="{00000000-0005-0000-0000-00006A4A0000}"/>
    <cellStyle name="Title 666" xfId="19022" xr:uid="{00000000-0005-0000-0000-00006B4A0000}"/>
    <cellStyle name="Title 667" xfId="19023" xr:uid="{00000000-0005-0000-0000-00006C4A0000}"/>
    <cellStyle name="Title 668" xfId="19024" xr:uid="{00000000-0005-0000-0000-00006D4A0000}"/>
    <cellStyle name="Title 669" xfId="19025" xr:uid="{00000000-0005-0000-0000-00006E4A0000}"/>
    <cellStyle name="Title 67" xfId="19026" xr:uid="{00000000-0005-0000-0000-00006F4A0000}"/>
    <cellStyle name="Title 670" xfId="19027" xr:uid="{00000000-0005-0000-0000-0000704A0000}"/>
    <cellStyle name="Title 671" xfId="19028" xr:uid="{00000000-0005-0000-0000-0000714A0000}"/>
    <cellStyle name="Title 672" xfId="19029" xr:uid="{00000000-0005-0000-0000-0000724A0000}"/>
    <cellStyle name="Title 673" xfId="19030" xr:uid="{00000000-0005-0000-0000-0000734A0000}"/>
    <cellStyle name="Title 674" xfId="19031" xr:uid="{00000000-0005-0000-0000-0000744A0000}"/>
    <cellStyle name="Title 675" xfId="19032" xr:uid="{00000000-0005-0000-0000-0000754A0000}"/>
    <cellStyle name="Title 676" xfId="19033" xr:uid="{00000000-0005-0000-0000-0000764A0000}"/>
    <cellStyle name="Title 677" xfId="19034" xr:uid="{00000000-0005-0000-0000-0000774A0000}"/>
    <cellStyle name="Title 678" xfId="19035" xr:uid="{00000000-0005-0000-0000-0000784A0000}"/>
    <cellStyle name="Title 679" xfId="19036" xr:uid="{00000000-0005-0000-0000-0000794A0000}"/>
    <cellStyle name="Title 68" xfId="19037" xr:uid="{00000000-0005-0000-0000-00007A4A0000}"/>
    <cellStyle name="Title 680" xfId="19038" xr:uid="{00000000-0005-0000-0000-00007B4A0000}"/>
    <cellStyle name="Title 681" xfId="19039" xr:uid="{00000000-0005-0000-0000-00007C4A0000}"/>
    <cellStyle name="Title 682" xfId="19040" xr:uid="{00000000-0005-0000-0000-00007D4A0000}"/>
    <cellStyle name="Title 683" xfId="19041" xr:uid="{00000000-0005-0000-0000-00007E4A0000}"/>
    <cellStyle name="Title 684" xfId="19042" xr:uid="{00000000-0005-0000-0000-00007F4A0000}"/>
    <cellStyle name="Title 685" xfId="19043" xr:uid="{00000000-0005-0000-0000-0000804A0000}"/>
    <cellStyle name="Title 686" xfId="19044" xr:uid="{00000000-0005-0000-0000-0000814A0000}"/>
    <cellStyle name="Title 687" xfId="19045" xr:uid="{00000000-0005-0000-0000-0000824A0000}"/>
    <cellStyle name="Title 688" xfId="19046" xr:uid="{00000000-0005-0000-0000-0000834A0000}"/>
    <cellStyle name="Title 689" xfId="19047" xr:uid="{00000000-0005-0000-0000-0000844A0000}"/>
    <cellStyle name="Title 69" xfId="19048" xr:uid="{00000000-0005-0000-0000-0000854A0000}"/>
    <cellStyle name="Title 690" xfId="19049" xr:uid="{00000000-0005-0000-0000-0000864A0000}"/>
    <cellStyle name="Title 691" xfId="19050" xr:uid="{00000000-0005-0000-0000-0000874A0000}"/>
    <cellStyle name="Title 692" xfId="19051" xr:uid="{00000000-0005-0000-0000-0000884A0000}"/>
    <cellStyle name="Title 693" xfId="19052" xr:uid="{00000000-0005-0000-0000-0000894A0000}"/>
    <cellStyle name="Title 694" xfId="19053" xr:uid="{00000000-0005-0000-0000-00008A4A0000}"/>
    <cellStyle name="Title 695" xfId="19054" xr:uid="{00000000-0005-0000-0000-00008B4A0000}"/>
    <cellStyle name="Title 696" xfId="19055" xr:uid="{00000000-0005-0000-0000-00008C4A0000}"/>
    <cellStyle name="Title 697" xfId="19056" xr:uid="{00000000-0005-0000-0000-00008D4A0000}"/>
    <cellStyle name="Title 698" xfId="19057" xr:uid="{00000000-0005-0000-0000-00008E4A0000}"/>
    <cellStyle name="Title 699" xfId="19058" xr:uid="{00000000-0005-0000-0000-00008F4A0000}"/>
    <cellStyle name="Title 7" xfId="19059" xr:uid="{00000000-0005-0000-0000-0000904A0000}"/>
    <cellStyle name="Title 70" xfId="19060" xr:uid="{00000000-0005-0000-0000-0000914A0000}"/>
    <cellStyle name="Title 700" xfId="19061" xr:uid="{00000000-0005-0000-0000-0000924A0000}"/>
    <cellStyle name="Title 701" xfId="19062" xr:uid="{00000000-0005-0000-0000-0000934A0000}"/>
    <cellStyle name="Title 702" xfId="19063" xr:uid="{00000000-0005-0000-0000-0000944A0000}"/>
    <cellStyle name="Title 703" xfId="19064" xr:uid="{00000000-0005-0000-0000-0000954A0000}"/>
    <cellStyle name="Title 704" xfId="19065" xr:uid="{00000000-0005-0000-0000-0000964A0000}"/>
    <cellStyle name="Title 705" xfId="19066" xr:uid="{00000000-0005-0000-0000-0000974A0000}"/>
    <cellStyle name="Title 706" xfId="19067" xr:uid="{00000000-0005-0000-0000-0000984A0000}"/>
    <cellStyle name="Title 707" xfId="19068" xr:uid="{00000000-0005-0000-0000-0000994A0000}"/>
    <cellStyle name="Title 708" xfId="19069" xr:uid="{00000000-0005-0000-0000-00009A4A0000}"/>
    <cellStyle name="Title 709" xfId="19070" xr:uid="{00000000-0005-0000-0000-00009B4A0000}"/>
    <cellStyle name="Title 71" xfId="19071" xr:uid="{00000000-0005-0000-0000-00009C4A0000}"/>
    <cellStyle name="Title 710" xfId="19072" xr:uid="{00000000-0005-0000-0000-00009D4A0000}"/>
    <cellStyle name="Title 711" xfId="19073" xr:uid="{00000000-0005-0000-0000-00009E4A0000}"/>
    <cellStyle name="Title 712" xfId="19074" xr:uid="{00000000-0005-0000-0000-00009F4A0000}"/>
    <cellStyle name="Title 713" xfId="19075" xr:uid="{00000000-0005-0000-0000-0000A04A0000}"/>
    <cellStyle name="Title 714" xfId="19076" xr:uid="{00000000-0005-0000-0000-0000A14A0000}"/>
    <cellStyle name="Title 715" xfId="19077" xr:uid="{00000000-0005-0000-0000-0000A24A0000}"/>
    <cellStyle name="Title 716" xfId="19078" xr:uid="{00000000-0005-0000-0000-0000A34A0000}"/>
    <cellStyle name="Title 717" xfId="19079" xr:uid="{00000000-0005-0000-0000-0000A44A0000}"/>
    <cellStyle name="Title 718" xfId="19080" xr:uid="{00000000-0005-0000-0000-0000A54A0000}"/>
    <cellStyle name="Title 719" xfId="19081" xr:uid="{00000000-0005-0000-0000-0000A64A0000}"/>
    <cellStyle name="Title 72" xfId="19082" xr:uid="{00000000-0005-0000-0000-0000A74A0000}"/>
    <cellStyle name="Title 720" xfId="19083" xr:uid="{00000000-0005-0000-0000-0000A84A0000}"/>
    <cellStyle name="Title 721" xfId="19084" xr:uid="{00000000-0005-0000-0000-0000A94A0000}"/>
    <cellStyle name="Title 722" xfId="19085" xr:uid="{00000000-0005-0000-0000-0000AA4A0000}"/>
    <cellStyle name="Title 723" xfId="19086" xr:uid="{00000000-0005-0000-0000-0000AB4A0000}"/>
    <cellStyle name="Title 724" xfId="19087" xr:uid="{00000000-0005-0000-0000-0000AC4A0000}"/>
    <cellStyle name="Title 725" xfId="19088" xr:uid="{00000000-0005-0000-0000-0000AD4A0000}"/>
    <cellStyle name="Title 726" xfId="19089" xr:uid="{00000000-0005-0000-0000-0000AE4A0000}"/>
    <cellStyle name="Title 727" xfId="19090" xr:uid="{00000000-0005-0000-0000-0000AF4A0000}"/>
    <cellStyle name="Title 728" xfId="19091" xr:uid="{00000000-0005-0000-0000-0000B04A0000}"/>
    <cellStyle name="Title 729" xfId="19092" xr:uid="{00000000-0005-0000-0000-0000B14A0000}"/>
    <cellStyle name="Title 73" xfId="19093" xr:uid="{00000000-0005-0000-0000-0000B24A0000}"/>
    <cellStyle name="Title 730" xfId="19094" xr:uid="{00000000-0005-0000-0000-0000B34A0000}"/>
    <cellStyle name="Title 731" xfId="19095" xr:uid="{00000000-0005-0000-0000-0000B44A0000}"/>
    <cellStyle name="Title 732" xfId="19096" xr:uid="{00000000-0005-0000-0000-0000B54A0000}"/>
    <cellStyle name="Title 733" xfId="19097" xr:uid="{00000000-0005-0000-0000-0000B64A0000}"/>
    <cellStyle name="Title 734" xfId="19098" xr:uid="{00000000-0005-0000-0000-0000B74A0000}"/>
    <cellStyle name="Title 735" xfId="19099" xr:uid="{00000000-0005-0000-0000-0000B84A0000}"/>
    <cellStyle name="Title 736" xfId="19100" xr:uid="{00000000-0005-0000-0000-0000B94A0000}"/>
    <cellStyle name="Title 737" xfId="19101" xr:uid="{00000000-0005-0000-0000-0000BA4A0000}"/>
    <cellStyle name="Title 738" xfId="19102" xr:uid="{00000000-0005-0000-0000-0000BB4A0000}"/>
    <cellStyle name="Title 739" xfId="19103" xr:uid="{00000000-0005-0000-0000-0000BC4A0000}"/>
    <cellStyle name="Title 74" xfId="19104" xr:uid="{00000000-0005-0000-0000-0000BD4A0000}"/>
    <cellStyle name="Title 740" xfId="19105" xr:uid="{00000000-0005-0000-0000-0000BE4A0000}"/>
    <cellStyle name="Title 741" xfId="19106" xr:uid="{00000000-0005-0000-0000-0000BF4A0000}"/>
    <cellStyle name="Title 742" xfId="19107" xr:uid="{00000000-0005-0000-0000-0000C04A0000}"/>
    <cellStyle name="Title 743" xfId="19108" xr:uid="{00000000-0005-0000-0000-0000C14A0000}"/>
    <cellStyle name="Title 744" xfId="19109" xr:uid="{00000000-0005-0000-0000-0000C24A0000}"/>
    <cellStyle name="Title 745" xfId="19110" xr:uid="{00000000-0005-0000-0000-0000C34A0000}"/>
    <cellStyle name="Title 746" xfId="19111" xr:uid="{00000000-0005-0000-0000-0000C44A0000}"/>
    <cellStyle name="Title 747" xfId="19112" xr:uid="{00000000-0005-0000-0000-0000C54A0000}"/>
    <cellStyle name="Title 748" xfId="19113" xr:uid="{00000000-0005-0000-0000-0000C64A0000}"/>
    <cellStyle name="Title 749" xfId="19114" xr:uid="{00000000-0005-0000-0000-0000C74A0000}"/>
    <cellStyle name="Title 75" xfId="19115" xr:uid="{00000000-0005-0000-0000-0000C84A0000}"/>
    <cellStyle name="Title 750" xfId="19116" xr:uid="{00000000-0005-0000-0000-0000C94A0000}"/>
    <cellStyle name="Title 751" xfId="19117" xr:uid="{00000000-0005-0000-0000-0000CA4A0000}"/>
    <cellStyle name="Title 752" xfId="19118" xr:uid="{00000000-0005-0000-0000-0000CB4A0000}"/>
    <cellStyle name="Title 753" xfId="19119" xr:uid="{00000000-0005-0000-0000-0000CC4A0000}"/>
    <cellStyle name="Title 754" xfId="19120" xr:uid="{00000000-0005-0000-0000-0000CD4A0000}"/>
    <cellStyle name="Title 755" xfId="19121" xr:uid="{00000000-0005-0000-0000-0000CE4A0000}"/>
    <cellStyle name="Title 756" xfId="19122" xr:uid="{00000000-0005-0000-0000-0000CF4A0000}"/>
    <cellStyle name="Title 757" xfId="19123" xr:uid="{00000000-0005-0000-0000-0000D04A0000}"/>
    <cellStyle name="Title 758" xfId="19124" xr:uid="{00000000-0005-0000-0000-0000D14A0000}"/>
    <cellStyle name="Title 759" xfId="19125" xr:uid="{00000000-0005-0000-0000-0000D24A0000}"/>
    <cellStyle name="Title 76" xfId="19126" xr:uid="{00000000-0005-0000-0000-0000D34A0000}"/>
    <cellStyle name="Title 760" xfId="19127" xr:uid="{00000000-0005-0000-0000-0000D44A0000}"/>
    <cellStyle name="Title 761" xfId="19128" xr:uid="{00000000-0005-0000-0000-0000D54A0000}"/>
    <cellStyle name="Title 762" xfId="19129" xr:uid="{00000000-0005-0000-0000-0000D64A0000}"/>
    <cellStyle name="Title 763" xfId="19130" xr:uid="{00000000-0005-0000-0000-0000D74A0000}"/>
    <cellStyle name="Title 764" xfId="19131" xr:uid="{00000000-0005-0000-0000-0000D84A0000}"/>
    <cellStyle name="Title 765" xfId="19132" xr:uid="{00000000-0005-0000-0000-0000D94A0000}"/>
    <cellStyle name="Title 766" xfId="19133" xr:uid="{00000000-0005-0000-0000-0000DA4A0000}"/>
    <cellStyle name="Title 767" xfId="19134" xr:uid="{00000000-0005-0000-0000-0000DB4A0000}"/>
    <cellStyle name="Title 768" xfId="19135" xr:uid="{00000000-0005-0000-0000-0000DC4A0000}"/>
    <cellStyle name="Title 769" xfId="19136" xr:uid="{00000000-0005-0000-0000-0000DD4A0000}"/>
    <cellStyle name="Title 77" xfId="19137" xr:uid="{00000000-0005-0000-0000-0000DE4A0000}"/>
    <cellStyle name="Title 770" xfId="19138" xr:uid="{00000000-0005-0000-0000-0000DF4A0000}"/>
    <cellStyle name="Title 771" xfId="19139" xr:uid="{00000000-0005-0000-0000-0000E04A0000}"/>
    <cellStyle name="Title 772" xfId="19140" xr:uid="{00000000-0005-0000-0000-0000E14A0000}"/>
    <cellStyle name="Title 773" xfId="19141" xr:uid="{00000000-0005-0000-0000-0000E24A0000}"/>
    <cellStyle name="Title 774" xfId="19142" xr:uid="{00000000-0005-0000-0000-0000E34A0000}"/>
    <cellStyle name="Title 775" xfId="19143" xr:uid="{00000000-0005-0000-0000-0000E44A0000}"/>
    <cellStyle name="Title 776" xfId="19144" xr:uid="{00000000-0005-0000-0000-0000E54A0000}"/>
    <cellStyle name="Title 777" xfId="19145" xr:uid="{00000000-0005-0000-0000-0000E64A0000}"/>
    <cellStyle name="Title 778" xfId="19146" xr:uid="{00000000-0005-0000-0000-0000E74A0000}"/>
    <cellStyle name="Title 779" xfId="19147" xr:uid="{00000000-0005-0000-0000-0000E84A0000}"/>
    <cellStyle name="Title 78" xfId="19148" xr:uid="{00000000-0005-0000-0000-0000E94A0000}"/>
    <cellStyle name="Title 780" xfId="19149" xr:uid="{00000000-0005-0000-0000-0000EA4A0000}"/>
    <cellStyle name="Title 781" xfId="19150" xr:uid="{00000000-0005-0000-0000-0000EB4A0000}"/>
    <cellStyle name="Title 782" xfId="19151" xr:uid="{00000000-0005-0000-0000-0000EC4A0000}"/>
    <cellStyle name="Title 783" xfId="19152" xr:uid="{00000000-0005-0000-0000-0000ED4A0000}"/>
    <cellStyle name="Title 784" xfId="19153" xr:uid="{00000000-0005-0000-0000-0000EE4A0000}"/>
    <cellStyle name="Title 785" xfId="19154" xr:uid="{00000000-0005-0000-0000-0000EF4A0000}"/>
    <cellStyle name="Title 786" xfId="19155" xr:uid="{00000000-0005-0000-0000-0000F04A0000}"/>
    <cellStyle name="Title 787" xfId="19156" xr:uid="{00000000-0005-0000-0000-0000F14A0000}"/>
    <cellStyle name="Title 788" xfId="19157" xr:uid="{00000000-0005-0000-0000-0000F24A0000}"/>
    <cellStyle name="Title 789" xfId="19158" xr:uid="{00000000-0005-0000-0000-0000F34A0000}"/>
    <cellStyle name="Title 79" xfId="19159" xr:uid="{00000000-0005-0000-0000-0000F44A0000}"/>
    <cellStyle name="Title 790" xfId="19160" xr:uid="{00000000-0005-0000-0000-0000F54A0000}"/>
    <cellStyle name="Title 791" xfId="19161" xr:uid="{00000000-0005-0000-0000-0000F64A0000}"/>
    <cellStyle name="Title 792" xfId="19162" xr:uid="{00000000-0005-0000-0000-0000F74A0000}"/>
    <cellStyle name="Title 793" xfId="19163" xr:uid="{00000000-0005-0000-0000-0000F84A0000}"/>
    <cellStyle name="Title 794" xfId="19164" xr:uid="{00000000-0005-0000-0000-0000F94A0000}"/>
    <cellStyle name="Title 795" xfId="19165" xr:uid="{00000000-0005-0000-0000-0000FA4A0000}"/>
    <cellStyle name="Title 796" xfId="19166" xr:uid="{00000000-0005-0000-0000-0000FB4A0000}"/>
    <cellStyle name="Title 797" xfId="19167" xr:uid="{00000000-0005-0000-0000-0000FC4A0000}"/>
    <cellStyle name="Title 798" xfId="19168" xr:uid="{00000000-0005-0000-0000-0000FD4A0000}"/>
    <cellStyle name="Title 799" xfId="19169" xr:uid="{00000000-0005-0000-0000-0000FE4A0000}"/>
    <cellStyle name="Title 8" xfId="19170" xr:uid="{00000000-0005-0000-0000-0000FF4A0000}"/>
    <cellStyle name="Title 80" xfId="19171" xr:uid="{00000000-0005-0000-0000-0000004B0000}"/>
    <cellStyle name="Title 800" xfId="19172" xr:uid="{00000000-0005-0000-0000-0000014B0000}"/>
    <cellStyle name="Title 801" xfId="19173" xr:uid="{00000000-0005-0000-0000-0000024B0000}"/>
    <cellStyle name="Title 802" xfId="19174" xr:uid="{00000000-0005-0000-0000-0000034B0000}"/>
    <cellStyle name="Title 803" xfId="19175" xr:uid="{00000000-0005-0000-0000-0000044B0000}"/>
    <cellStyle name="Title 804" xfId="19176" xr:uid="{00000000-0005-0000-0000-0000054B0000}"/>
    <cellStyle name="Title 805" xfId="19177" xr:uid="{00000000-0005-0000-0000-0000064B0000}"/>
    <cellStyle name="Title 806" xfId="19178" xr:uid="{00000000-0005-0000-0000-0000074B0000}"/>
    <cellStyle name="Title 807" xfId="19179" xr:uid="{00000000-0005-0000-0000-0000084B0000}"/>
    <cellStyle name="Title 808" xfId="19180" xr:uid="{00000000-0005-0000-0000-0000094B0000}"/>
    <cellStyle name="Title 809" xfId="19181" xr:uid="{00000000-0005-0000-0000-00000A4B0000}"/>
    <cellStyle name="Title 81" xfId="19182" xr:uid="{00000000-0005-0000-0000-00000B4B0000}"/>
    <cellStyle name="Title 810" xfId="19183" xr:uid="{00000000-0005-0000-0000-00000C4B0000}"/>
    <cellStyle name="Title 811" xfId="19184" xr:uid="{00000000-0005-0000-0000-00000D4B0000}"/>
    <cellStyle name="Title 812" xfId="19185" xr:uid="{00000000-0005-0000-0000-00000E4B0000}"/>
    <cellStyle name="Title 813" xfId="19186" xr:uid="{00000000-0005-0000-0000-00000F4B0000}"/>
    <cellStyle name="Title 814" xfId="19187" xr:uid="{00000000-0005-0000-0000-0000104B0000}"/>
    <cellStyle name="Title 815" xfId="19188" xr:uid="{00000000-0005-0000-0000-0000114B0000}"/>
    <cellStyle name="Title 816" xfId="19189" xr:uid="{00000000-0005-0000-0000-0000124B0000}"/>
    <cellStyle name="Title 817" xfId="19190" xr:uid="{00000000-0005-0000-0000-0000134B0000}"/>
    <cellStyle name="Title 818" xfId="19191" xr:uid="{00000000-0005-0000-0000-0000144B0000}"/>
    <cellStyle name="Title 819" xfId="19192" xr:uid="{00000000-0005-0000-0000-0000154B0000}"/>
    <cellStyle name="Title 82" xfId="19193" xr:uid="{00000000-0005-0000-0000-0000164B0000}"/>
    <cellStyle name="Title 820" xfId="19194" xr:uid="{00000000-0005-0000-0000-0000174B0000}"/>
    <cellStyle name="Title 821" xfId="19195" xr:uid="{00000000-0005-0000-0000-0000184B0000}"/>
    <cellStyle name="Title 822" xfId="19196" xr:uid="{00000000-0005-0000-0000-0000194B0000}"/>
    <cellStyle name="Title 823" xfId="19197" xr:uid="{00000000-0005-0000-0000-00001A4B0000}"/>
    <cellStyle name="Title 824" xfId="19198" xr:uid="{00000000-0005-0000-0000-00001B4B0000}"/>
    <cellStyle name="Title 825" xfId="19199" xr:uid="{00000000-0005-0000-0000-00001C4B0000}"/>
    <cellStyle name="Title 826" xfId="19200" xr:uid="{00000000-0005-0000-0000-00001D4B0000}"/>
    <cellStyle name="Title 827" xfId="19201" xr:uid="{00000000-0005-0000-0000-00001E4B0000}"/>
    <cellStyle name="Title 828" xfId="19202" xr:uid="{00000000-0005-0000-0000-00001F4B0000}"/>
    <cellStyle name="Title 829" xfId="19203" xr:uid="{00000000-0005-0000-0000-0000204B0000}"/>
    <cellStyle name="Title 83" xfId="19204" xr:uid="{00000000-0005-0000-0000-0000214B0000}"/>
    <cellStyle name="Title 830" xfId="19205" xr:uid="{00000000-0005-0000-0000-0000224B0000}"/>
    <cellStyle name="Title 831" xfId="19206" xr:uid="{00000000-0005-0000-0000-0000234B0000}"/>
    <cellStyle name="Title 832" xfId="19207" xr:uid="{00000000-0005-0000-0000-0000244B0000}"/>
    <cellStyle name="Title 833" xfId="19208" xr:uid="{00000000-0005-0000-0000-0000254B0000}"/>
    <cellStyle name="Title 834" xfId="19209" xr:uid="{00000000-0005-0000-0000-0000264B0000}"/>
    <cellStyle name="Title 835" xfId="19210" xr:uid="{00000000-0005-0000-0000-0000274B0000}"/>
    <cellStyle name="Title 836" xfId="19211" xr:uid="{00000000-0005-0000-0000-0000284B0000}"/>
    <cellStyle name="Title 837" xfId="19212" xr:uid="{00000000-0005-0000-0000-0000294B0000}"/>
    <cellStyle name="Title 838" xfId="19213" xr:uid="{00000000-0005-0000-0000-00002A4B0000}"/>
    <cellStyle name="Title 839" xfId="19214" xr:uid="{00000000-0005-0000-0000-00002B4B0000}"/>
    <cellStyle name="Title 84" xfId="19215" xr:uid="{00000000-0005-0000-0000-00002C4B0000}"/>
    <cellStyle name="Title 840" xfId="19216" xr:uid="{00000000-0005-0000-0000-00002D4B0000}"/>
    <cellStyle name="Title 841" xfId="19217" xr:uid="{00000000-0005-0000-0000-00002E4B0000}"/>
    <cellStyle name="Title 842" xfId="19218" xr:uid="{00000000-0005-0000-0000-00002F4B0000}"/>
    <cellStyle name="Title 843" xfId="19219" xr:uid="{00000000-0005-0000-0000-0000304B0000}"/>
    <cellStyle name="Title 844" xfId="19220" xr:uid="{00000000-0005-0000-0000-0000314B0000}"/>
    <cellStyle name="Title 845" xfId="19221" xr:uid="{00000000-0005-0000-0000-0000324B0000}"/>
    <cellStyle name="Title 846" xfId="19222" xr:uid="{00000000-0005-0000-0000-0000334B0000}"/>
    <cellStyle name="Title 847" xfId="19223" xr:uid="{00000000-0005-0000-0000-0000344B0000}"/>
    <cellStyle name="Title 848" xfId="19224" xr:uid="{00000000-0005-0000-0000-0000354B0000}"/>
    <cellStyle name="Title 849" xfId="19225" xr:uid="{00000000-0005-0000-0000-0000364B0000}"/>
    <cellStyle name="Title 85" xfId="19226" xr:uid="{00000000-0005-0000-0000-0000374B0000}"/>
    <cellStyle name="Title 850" xfId="19227" xr:uid="{00000000-0005-0000-0000-0000384B0000}"/>
    <cellStyle name="Title 851" xfId="19228" xr:uid="{00000000-0005-0000-0000-0000394B0000}"/>
    <cellStyle name="Title 852" xfId="19229" xr:uid="{00000000-0005-0000-0000-00003A4B0000}"/>
    <cellStyle name="Title 853" xfId="19230" xr:uid="{00000000-0005-0000-0000-00003B4B0000}"/>
    <cellStyle name="Title 854" xfId="19231" xr:uid="{00000000-0005-0000-0000-00003C4B0000}"/>
    <cellStyle name="Title 855" xfId="19232" xr:uid="{00000000-0005-0000-0000-00003D4B0000}"/>
    <cellStyle name="Title 856" xfId="19233" xr:uid="{00000000-0005-0000-0000-00003E4B0000}"/>
    <cellStyle name="Title 857" xfId="19234" xr:uid="{00000000-0005-0000-0000-00003F4B0000}"/>
    <cellStyle name="Title 858" xfId="19235" xr:uid="{00000000-0005-0000-0000-0000404B0000}"/>
    <cellStyle name="Title 859" xfId="19236" xr:uid="{00000000-0005-0000-0000-0000414B0000}"/>
    <cellStyle name="Title 86" xfId="19237" xr:uid="{00000000-0005-0000-0000-0000424B0000}"/>
    <cellStyle name="Title 860" xfId="19238" xr:uid="{00000000-0005-0000-0000-0000434B0000}"/>
    <cellStyle name="Title 861" xfId="19239" xr:uid="{00000000-0005-0000-0000-0000444B0000}"/>
    <cellStyle name="Title 862" xfId="19240" xr:uid="{00000000-0005-0000-0000-0000454B0000}"/>
    <cellStyle name="Title 863" xfId="19241" xr:uid="{00000000-0005-0000-0000-0000464B0000}"/>
    <cellStyle name="Title 864" xfId="19242" xr:uid="{00000000-0005-0000-0000-0000474B0000}"/>
    <cellStyle name="Title 865" xfId="19243" xr:uid="{00000000-0005-0000-0000-0000484B0000}"/>
    <cellStyle name="Title 866" xfId="19244" xr:uid="{00000000-0005-0000-0000-0000494B0000}"/>
    <cellStyle name="Title 867" xfId="19245" xr:uid="{00000000-0005-0000-0000-00004A4B0000}"/>
    <cellStyle name="Title 868" xfId="19246" xr:uid="{00000000-0005-0000-0000-00004B4B0000}"/>
    <cellStyle name="Title 869" xfId="19247" xr:uid="{00000000-0005-0000-0000-00004C4B0000}"/>
    <cellStyle name="Title 87" xfId="19248" xr:uid="{00000000-0005-0000-0000-00004D4B0000}"/>
    <cellStyle name="Title 870" xfId="19249" xr:uid="{00000000-0005-0000-0000-00004E4B0000}"/>
    <cellStyle name="Title 871" xfId="19250" xr:uid="{00000000-0005-0000-0000-00004F4B0000}"/>
    <cellStyle name="Title 872" xfId="19251" xr:uid="{00000000-0005-0000-0000-0000504B0000}"/>
    <cellStyle name="Title 873" xfId="19252" xr:uid="{00000000-0005-0000-0000-0000514B0000}"/>
    <cellStyle name="Title 874" xfId="19253" xr:uid="{00000000-0005-0000-0000-0000524B0000}"/>
    <cellStyle name="Title 875" xfId="19254" xr:uid="{00000000-0005-0000-0000-0000534B0000}"/>
    <cellStyle name="Title 876" xfId="19255" xr:uid="{00000000-0005-0000-0000-0000544B0000}"/>
    <cellStyle name="Title 877" xfId="19256" xr:uid="{00000000-0005-0000-0000-0000554B0000}"/>
    <cellStyle name="Title 878" xfId="19257" xr:uid="{00000000-0005-0000-0000-0000564B0000}"/>
    <cellStyle name="Title 879" xfId="19258" xr:uid="{00000000-0005-0000-0000-0000574B0000}"/>
    <cellStyle name="Title 88" xfId="19259" xr:uid="{00000000-0005-0000-0000-0000584B0000}"/>
    <cellStyle name="Title 880" xfId="19260" xr:uid="{00000000-0005-0000-0000-0000594B0000}"/>
    <cellStyle name="Title 881" xfId="19261" xr:uid="{00000000-0005-0000-0000-00005A4B0000}"/>
    <cellStyle name="Title 882" xfId="19262" xr:uid="{00000000-0005-0000-0000-00005B4B0000}"/>
    <cellStyle name="Title 883" xfId="19263" xr:uid="{00000000-0005-0000-0000-00005C4B0000}"/>
    <cellStyle name="Title 884" xfId="19264" xr:uid="{00000000-0005-0000-0000-00005D4B0000}"/>
    <cellStyle name="Title 885" xfId="19265" xr:uid="{00000000-0005-0000-0000-00005E4B0000}"/>
    <cellStyle name="Title 886" xfId="19266" xr:uid="{00000000-0005-0000-0000-00005F4B0000}"/>
    <cellStyle name="Title 887" xfId="19267" xr:uid="{00000000-0005-0000-0000-0000604B0000}"/>
    <cellStyle name="Title 888" xfId="19268" xr:uid="{00000000-0005-0000-0000-0000614B0000}"/>
    <cellStyle name="Title 889" xfId="19269" xr:uid="{00000000-0005-0000-0000-0000624B0000}"/>
    <cellStyle name="Title 89" xfId="19270" xr:uid="{00000000-0005-0000-0000-0000634B0000}"/>
    <cellStyle name="Title 890" xfId="19271" xr:uid="{00000000-0005-0000-0000-0000644B0000}"/>
    <cellStyle name="Title 891" xfId="19272" xr:uid="{00000000-0005-0000-0000-0000654B0000}"/>
    <cellStyle name="Title 892" xfId="19273" xr:uid="{00000000-0005-0000-0000-0000664B0000}"/>
    <cellStyle name="Title 893" xfId="19274" xr:uid="{00000000-0005-0000-0000-0000674B0000}"/>
    <cellStyle name="Title 894" xfId="19275" xr:uid="{00000000-0005-0000-0000-0000684B0000}"/>
    <cellStyle name="Title 895" xfId="19276" xr:uid="{00000000-0005-0000-0000-0000694B0000}"/>
    <cellStyle name="Title 896" xfId="19277" xr:uid="{00000000-0005-0000-0000-00006A4B0000}"/>
    <cellStyle name="Title 897" xfId="19278" xr:uid="{00000000-0005-0000-0000-00006B4B0000}"/>
    <cellStyle name="Title 898" xfId="19279" xr:uid="{00000000-0005-0000-0000-00006C4B0000}"/>
    <cellStyle name="Title 899" xfId="19280" xr:uid="{00000000-0005-0000-0000-00006D4B0000}"/>
    <cellStyle name="Title 9" xfId="19281" xr:uid="{00000000-0005-0000-0000-00006E4B0000}"/>
    <cellStyle name="Title 90" xfId="19282" xr:uid="{00000000-0005-0000-0000-00006F4B0000}"/>
    <cellStyle name="Title 900" xfId="19283" xr:uid="{00000000-0005-0000-0000-0000704B0000}"/>
    <cellStyle name="Title 901" xfId="19284" xr:uid="{00000000-0005-0000-0000-0000714B0000}"/>
    <cellStyle name="Title 902" xfId="19285" xr:uid="{00000000-0005-0000-0000-0000724B0000}"/>
    <cellStyle name="Title 903" xfId="19286" xr:uid="{00000000-0005-0000-0000-0000734B0000}"/>
    <cellStyle name="Title 904" xfId="19287" xr:uid="{00000000-0005-0000-0000-0000744B0000}"/>
    <cellStyle name="Title 905" xfId="19288" xr:uid="{00000000-0005-0000-0000-0000754B0000}"/>
    <cellStyle name="Title 906" xfId="19289" xr:uid="{00000000-0005-0000-0000-0000764B0000}"/>
    <cellStyle name="Title 907" xfId="19290" xr:uid="{00000000-0005-0000-0000-0000774B0000}"/>
    <cellStyle name="Title 908" xfId="19291" xr:uid="{00000000-0005-0000-0000-0000784B0000}"/>
    <cellStyle name="Title 909" xfId="19292" xr:uid="{00000000-0005-0000-0000-0000794B0000}"/>
    <cellStyle name="Title 91" xfId="19293" xr:uid="{00000000-0005-0000-0000-00007A4B0000}"/>
    <cellStyle name="Title 910" xfId="19294" xr:uid="{00000000-0005-0000-0000-00007B4B0000}"/>
    <cellStyle name="Title 911" xfId="19295" xr:uid="{00000000-0005-0000-0000-00007C4B0000}"/>
    <cellStyle name="Title 912" xfId="19296" xr:uid="{00000000-0005-0000-0000-00007D4B0000}"/>
    <cellStyle name="Title 913" xfId="19297" xr:uid="{00000000-0005-0000-0000-00007E4B0000}"/>
    <cellStyle name="Title 914" xfId="19298" xr:uid="{00000000-0005-0000-0000-00007F4B0000}"/>
    <cellStyle name="Title 915" xfId="19299" xr:uid="{00000000-0005-0000-0000-0000804B0000}"/>
    <cellStyle name="Title 916" xfId="19300" xr:uid="{00000000-0005-0000-0000-0000814B0000}"/>
    <cellStyle name="Title 917" xfId="19301" xr:uid="{00000000-0005-0000-0000-0000824B0000}"/>
    <cellStyle name="Title 918" xfId="19302" xr:uid="{00000000-0005-0000-0000-0000834B0000}"/>
    <cellStyle name="Title 919" xfId="19303" xr:uid="{00000000-0005-0000-0000-0000844B0000}"/>
    <cellStyle name="Title 92" xfId="19304" xr:uid="{00000000-0005-0000-0000-0000854B0000}"/>
    <cellStyle name="Title 920" xfId="19305" xr:uid="{00000000-0005-0000-0000-0000864B0000}"/>
    <cellStyle name="Title 921" xfId="19306" xr:uid="{00000000-0005-0000-0000-0000874B0000}"/>
    <cellStyle name="Title 922" xfId="19307" xr:uid="{00000000-0005-0000-0000-0000884B0000}"/>
    <cellStyle name="Title 923" xfId="19308" xr:uid="{00000000-0005-0000-0000-0000894B0000}"/>
    <cellStyle name="Title 924" xfId="19309" xr:uid="{00000000-0005-0000-0000-00008A4B0000}"/>
    <cellStyle name="Title 925" xfId="19310" xr:uid="{00000000-0005-0000-0000-00008B4B0000}"/>
    <cellStyle name="Title 926" xfId="19311" xr:uid="{00000000-0005-0000-0000-00008C4B0000}"/>
    <cellStyle name="Title 927" xfId="19312" xr:uid="{00000000-0005-0000-0000-00008D4B0000}"/>
    <cellStyle name="Title 928" xfId="19313" xr:uid="{00000000-0005-0000-0000-00008E4B0000}"/>
    <cellStyle name="Title 929" xfId="19314" xr:uid="{00000000-0005-0000-0000-00008F4B0000}"/>
    <cellStyle name="Title 93" xfId="19315" xr:uid="{00000000-0005-0000-0000-0000904B0000}"/>
    <cellStyle name="Title 930" xfId="19316" xr:uid="{00000000-0005-0000-0000-0000914B0000}"/>
    <cellStyle name="Title 931" xfId="19317" xr:uid="{00000000-0005-0000-0000-0000924B0000}"/>
    <cellStyle name="Title 932" xfId="19318" xr:uid="{00000000-0005-0000-0000-0000934B0000}"/>
    <cellStyle name="Title 933" xfId="19319" xr:uid="{00000000-0005-0000-0000-0000944B0000}"/>
    <cellStyle name="Title 934" xfId="19320" xr:uid="{00000000-0005-0000-0000-0000954B0000}"/>
    <cellStyle name="Title 935" xfId="19321" xr:uid="{00000000-0005-0000-0000-0000964B0000}"/>
    <cellStyle name="Title 936" xfId="19322" xr:uid="{00000000-0005-0000-0000-0000974B0000}"/>
    <cellStyle name="Title 937" xfId="19323" xr:uid="{00000000-0005-0000-0000-0000984B0000}"/>
    <cellStyle name="Title 938" xfId="19324" xr:uid="{00000000-0005-0000-0000-0000994B0000}"/>
    <cellStyle name="Title 939" xfId="19325" xr:uid="{00000000-0005-0000-0000-00009A4B0000}"/>
    <cellStyle name="Title 94" xfId="19326" xr:uid="{00000000-0005-0000-0000-00009B4B0000}"/>
    <cellStyle name="Title 940" xfId="19327" xr:uid="{00000000-0005-0000-0000-00009C4B0000}"/>
    <cellStyle name="Title 941" xfId="19328" xr:uid="{00000000-0005-0000-0000-00009D4B0000}"/>
    <cellStyle name="Title 942" xfId="19329" xr:uid="{00000000-0005-0000-0000-00009E4B0000}"/>
    <cellStyle name="Title 943" xfId="19330" xr:uid="{00000000-0005-0000-0000-00009F4B0000}"/>
    <cellStyle name="Title 944" xfId="19331" xr:uid="{00000000-0005-0000-0000-0000A04B0000}"/>
    <cellStyle name="Title 945" xfId="19332" xr:uid="{00000000-0005-0000-0000-0000A14B0000}"/>
    <cellStyle name="Title 946" xfId="19333" xr:uid="{00000000-0005-0000-0000-0000A24B0000}"/>
    <cellStyle name="Title 947" xfId="19334" xr:uid="{00000000-0005-0000-0000-0000A34B0000}"/>
    <cellStyle name="Title 948" xfId="19335" xr:uid="{00000000-0005-0000-0000-0000A44B0000}"/>
    <cellStyle name="Title 949" xfId="19336" xr:uid="{00000000-0005-0000-0000-0000A54B0000}"/>
    <cellStyle name="Title 95" xfId="19337" xr:uid="{00000000-0005-0000-0000-0000A64B0000}"/>
    <cellStyle name="Title 950" xfId="19338" xr:uid="{00000000-0005-0000-0000-0000A74B0000}"/>
    <cellStyle name="Title 951" xfId="19339" xr:uid="{00000000-0005-0000-0000-0000A84B0000}"/>
    <cellStyle name="Title 952" xfId="19340" xr:uid="{00000000-0005-0000-0000-0000A94B0000}"/>
    <cellStyle name="Title 953" xfId="19341" xr:uid="{00000000-0005-0000-0000-0000AA4B0000}"/>
    <cellStyle name="Title 954" xfId="19342" xr:uid="{00000000-0005-0000-0000-0000AB4B0000}"/>
    <cellStyle name="Title 955" xfId="19343" xr:uid="{00000000-0005-0000-0000-0000AC4B0000}"/>
    <cellStyle name="Title 956" xfId="19344" xr:uid="{00000000-0005-0000-0000-0000AD4B0000}"/>
    <cellStyle name="Title 957" xfId="19345" xr:uid="{00000000-0005-0000-0000-0000AE4B0000}"/>
    <cellStyle name="Title 958" xfId="19346" xr:uid="{00000000-0005-0000-0000-0000AF4B0000}"/>
    <cellStyle name="Title 959" xfId="19347" xr:uid="{00000000-0005-0000-0000-0000B04B0000}"/>
    <cellStyle name="Title 96" xfId="19348" xr:uid="{00000000-0005-0000-0000-0000B14B0000}"/>
    <cellStyle name="Title 960" xfId="19349" xr:uid="{00000000-0005-0000-0000-0000B24B0000}"/>
    <cellStyle name="Title 961" xfId="19350" xr:uid="{00000000-0005-0000-0000-0000B34B0000}"/>
    <cellStyle name="Title 962" xfId="19351" xr:uid="{00000000-0005-0000-0000-0000B44B0000}"/>
    <cellStyle name="Title 963" xfId="19352" xr:uid="{00000000-0005-0000-0000-0000B54B0000}"/>
    <cellStyle name="Title 964" xfId="19353" xr:uid="{00000000-0005-0000-0000-0000B64B0000}"/>
    <cellStyle name="Title 965" xfId="19354" xr:uid="{00000000-0005-0000-0000-0000B74B0000}"/>
    <cellStyle name="Title 966" xfId="19355" xr:uid="{00000000-0005-0000-0000-0000B84B0000}"/>
    <cellStyle name="Title 967" xfId="19356" xr:uid="{00000000-0005-0000-0000-0000B94B0000}"/>
    <cellStyle name="Title 968" xfId="19357" xr:uid="{00000000-0005-0000-0000-0000BA4B0000}"/>
    <cellStyle name="Title 969" xfId="19358" xr:uid="{00000000-0005-0000-0000-0000BB4B0000}"/>
    <cellStyle name="Title 97" xfId="19359" xr:uid="{00000000-0005-0000-0000-0000BC4B0000}"/>
    <cellStyle name="Title 970" xfId="19360" xr:uid="{00000000-0005-0000-0000-0000BD4B0000}"/>
    <cellStyle name="Title 971" xfId="19361" xr:uid="{00000000-0005-0000-0000-0000BE4B0000}"/>
    <cellStyle name="Title 972" xfId="19362" xr:uid="{00000000-0005-0000-0000-0000BF4B0000}"/>
    <cellStyle name="Title 973" xfId="19363" xr:uid="{00000000-0005-0000-0000-0000C04B0000}"/>
    <cellStyle name="Title 974" xfId="19364" xr:uid="{00000000-0005-0000-0000-0000C14B0000}"/>
    <cellStyle name="Title 975" xfId="19365" xr:uid="{00000000-0005-0000-0000-0000C24B0000}"/>
    <cellStyle name="Title 976" xfId="19366" xr:uid="{00000000-0005-0000-0000-0000C34B0000}"/>
    <cellStyle name="Title 977" xfId="19367" xr:uid="{00000000-0005-0000-0000-0000C44B0000}"/>
    <cellStyle name="Title 978" xfId="19368" xr:uid="{00000000-0005-0000-0000-0000C54B0000}"/>
    <cellStyle name="Title 979" xfId="19369" xr:uid="{00000000-0005-0000-0000-0000C64B0000}"/>
    <cellStyle name="Title 98" xfId="19370" xr:uid="{00000000-0005-0000-0000-0000C74B0000}"/>
    <cellStyle name="Title 980" xfId="19371" xr:uid="{00000000-0005-0000-0000-0000C84B0000}"/>
    <cellStyle name="Title 981" xfId="19372" xr:uid="{00000000-0005-0000-0000-0000C94B0000}"/>
    <cellStyle name="Title 982" xfId="19373" xr:uid="{00000000-0005-0000-0000-0000CA4B0000}"/>
    <cellStyle name="Title 983" xfId="19374" xr:uid="{00000000-0005-0000-0000-0000CB4B0000}"/>
    <cellStyle name="Title 984" xfId="19375" xr:uid="{00000000-0005-0000-0000-0000CC4B0000}"/>
    <cellStyle name="Title 985" xfId="19376" xr:uid="{00000000-0005-0000-0000-0000CD4B0000}"/>
    <cellStyle name="Title 986" xfId="19377" xr:uid="{00000000-0005-0000-0000-0000CE4B0000}"/>
    <cellStyle name="Title 987" xfId="19378" xr:uid="{00000000-0005-0000-0000-0000CF4B0000}"/>
    <cellStyle name="Title 988" xfId="19379" xr:uid="{00000000-0005-0000-0000-0000D04B0000}"/>
    <cellStyle name="Title 989" xfId="19380" xr:uid="{00000000-0005-0000-0000-0000D14B0000}"/>
    <cellStyle name="Title 99" xfId="19381" xr:uid="{00000000-0005-0000-0000-0000D24B0000}"/>
    <cellStyle name="Title 990" xfId="19382" xr:uid="{00000000-0005-0000-0000-0000D34B0000}"/>
    <cellStyle name="Title 991" xfId="19383" xr:uid="{00000000-0005-0000-0000-0000D44B0000}"/>
    <cellStyle name="Title 992" xfId="19384" xr:uid="{00000000-0005-0000-0000-0000D54B0000}"/>
    <cellStyle name="Title 993" xfId="19385" xr:uid="{00000000-0005-0000-0000-0000D64B0000}"/>
    <cellStyle name="Title 994" xfId="19386" xr:uid="{00000000-0005-0000-0000-0000D74B0000}"/>
    <cellStyle name="Title 995" xfId="19387" xr:uid="{00000000-0005-0000-0000-0000D84B0000}"/>
    <cellStyle name="Title 996" xfId="19388" xr:uid="{00000000-0005-0000-0000-0000D94B0000}"/>
    <cellStyle name="Title 997" xfId="19389" xr:uid="{00000000-0005-0000-0000-0000DA4B0000}"/>
    <cellStyle name="Title 998" xfId="19390" xr:uid="{00000000-0005-0000-0000-0000DB4B0000}"/>
    <cellStyle name="Title 999" xfId="19391" xr:uid="{00000000-0005-0000-0000-0000DC4B0000}"/>
    <cellStyle name="Titolo" xfId="167" xr:uid="{00000000-0005-0000-0000-0000DD4B0000}"/>
    <cellStyle name="Titolo 1" xfId="168" xr:uid="{00000000-0005-0000-0000-0000DE4B0000}"/>
    <cellStyle name="Titolo 1 2" xfId="19392" xr:uid="{00000000-0005-0000-0000-0000DF4B0000}"/>
    <cellStyle name="Titolo 1 3" xfId="19393" xr:uid="{00000000-0005-0000-0000-0000E04B0000}"/>
    <cellStyle name="Titolo 1 4" xfId="19394" xr:uid="{00000000-0005-0000-0000-0000E14B0000}"/>
    <cellStyle name="Titolo 1_MCEV_activiteiten 2012Q4 gedeeld op 11-1-2012" xfId="19395" xr:uid="{00000000-0005-0000-0000-0000E24B0000}"/>
    <cellStyle name="Titolo 2" xfId="169" xr:uid="{00000000-0005-0000-0000-0000E34B0000}"/>
    <cellStyle name="Titolo 2 2" xfId="19396" xr:uid="{00000000-0005-0000-0000-0000E44B0000}"/>
    <cellStyle name="Titolo 2 3" xfId="19397" xr:uid="{00000000-0005-0000-0000-0000E54B0000}"/>
    <cellStyle name="Titolo 2 4" xfId="19398" xr:uid="{00000000-0005-0000-0000-0000E64B0000}"/>
    <cellStyle name="Titolo 2_MCEV_activiteiten 2012Q4 gedeeld op 11-1-2012" xfId="19399" xr:uid="{00000000-0005-0000-0000-0000E74B0000}"/>
    <cellStyle name="Titolo 3" xfId="170" xr:uid="{00000000-0005-0000-0000-0000E84B0000}"/>
    <cellStyle name="Titolo 3 2" xfId="19400" xr:uid="{00000000-0005-0000-0000-0000E94B0000}"/>
    <cellStyle name="Titolo 3 3" xfId="19401" xr:uid="{00000000-0005-0000-0000-0000EA4B0000}"/>
    <cellStyle name="Titolo 3 4" xfId="19402" xr:uid="{00000000-0005-0000-0000-0000EB4B0000}"/>
    <cellStyle name="Titolo 3_MCEV_activiteiten 2012Q4 gedeeld op 11-1-2012" xfId="19403" xr:uid="{00000000-0005-0000-0000-0000EC4B0000}"/>
    <cellStyle name="Titolo 4" xfId="171" xr:uid="{00000000-0005-0000-0000-0000ED4B0000}"/>
    <cellStyle name="Titolo 4 2" xfId="19404" xr:uid="{00000000-0005-0000-0000-0000EE4B0000}"/>
    <cellStyle name="Titolo 4 3" xfId="19405" xr:uid="{00000000-0005-0000-0000-0000EF4B0000}"/>
    <cellStyle name="Titolo 4 4" xfId="19406" xr:uid="{00000000-0005-0000-0000-0000F04B0000}"/>
    <cellStyle name="Titolo 5" xfId="19407" xr:uid="{00000000-0005-0000-0000-0000F14B0000}"/>
    <cellStyle name="Titolo 6" xfId="19408" xr:uid="{00000000-0005-0000-0000-0000F24B0000}"/>
    <cellStyle name="Titolo 7" xfId="19409" xr:uid="{00000000-0005-0000-0000-0000F34B0000}"/>
    <cellStyle name="Titolo_Cat risk" xfId="19410" xr:uid="{00000000-0005-0000-0000-0000F44B0000}"/>
    <cellStyle name="Titre" xfId="172" xr:uid="{00000000-0005-0000-0000-0000F54B0000}"/>
    <cellStyle name="Titre 1" xfId="19411" xr:uid="{00000000-0005-0000-0000-0000F64B0000}"/>
    <cellStyle name="Titre 2" xfId="19412" xr:uid="{00000000-0005-0000-0000-0000F74B0000}"/>
    <cellStyle name="Titre 3" xfId="19413" xr:uid="{00000000-0005-0000-0000-0000F84B0000}"/>
    <cellStyle name="Titre 4" xfId="19414" xr:uid="{00000000-0005-0000-0000-0000F94B0000}"/>
    <cellStyle name="Titre 1" xfId="173" xr:uid="{00000000-0005-0000-0000-0000FA4B0000}"/>
    <cellStyle name="Titre 1 2" xfId="19415" xr:uid="{00000000-0005-0000-0000-0000FB4B0000}"/>
    <cellStyle name="Titre 1 3" xfId="19416" xr:uid="{00000000-0005-0000-0000-0000FC4B0000}"/>
    <cellStyle name="Titre 1_Concept Analyse verschillen TS  LTGA en QIS5 v1" xfId="19417" xr:uid="{00000000-0005-0000-0000-0000FD4B0000}"/>
    <cellStyle name="Titre 2" xfId="174" xr:uid="{00000000-0005-0000-0000-0000FE4B0000}"/>
    <cellStyle name="Titre 2 2" xfId="19418" xr:uid="{00000000-0005-0000-0000-0000FF4B0000}"/>
    <cellStyle name="Titre 2 3" xfId="19419" xr:uid="{00000000-0005-0000-0000-0000004C0000}"/>
    <cellStyle name="Titre 2_Concept Analyse verschillen TS  LTGA en QIS5 v1" xfId="19420" xr:uid="{00000000-0005-0000-0000-0000014C0000}"/>
    <cellStyle name="Titre 3" xfId="175" xr:uid="{00000000-0005-0000-0000-0000024C0000}"/>
    <cellStyle name="Titre 3 2" xfId="19421" xr:uid="{00000000-0005-0000-0000-0000034C0000}"/>
    <cellStyle name="Titre 3 3" xfId="19422" xr:uid="{00000000-0005-0000-0000-0000044C0000}"/>
    <cellStyle name="Titre 3_Concept Analyse verschillen TS  LTGA en QIS5 v1" xfId="19423" xr:uid="{00000000-0005-0000-0000-0000054C0000}"/>
    <cellStyle name="Titre 4" xfId="176" xr:uid="{00000000-0005-0000-0000-0000064C0000}"/>
    <cellStyle name="Titre 4 2" xfId="19424" xr:uid="{00000000-0005-0000-0000-0000074C0000}"/>
    <cellStyle name="Titre 4 3" xfId="19425" xr:uid="{00000000-0005-0000-0000-0000084C0000}"/>
    <cellStyle name="Titre_20080609 QIS4 Helper tabs" xfId="19426" xr:uid="{00000000-0005-0000-0000-0000094C0000}"/>
    <cellStyle name="Título" xfId="19427" xr:uid="{00000000-0005-0000-0000-00000A4C0000}"/>
    <cellStyle name="Título 1" xfId="19428" xr:uid="{00000000-0005-0000-0000-00000B4C0000}"/>
    <cellStyle name="Título 2" xfId="19429" xr:uid="{00000000-0005-0000-0000-00000C4C0000}"/>
    <cellStyle name="Título 3" xfId="19430" xr:uid="{00000000-0005-0000-0000-00000D4C0000}"/>
    <cellStyle name="Título 4" xfId="19431" xr:uid="{00000000-0005-0000-0000-00000E4C0000}"/>
    <cellStyle name="Totaal" xfId="19432" builtinId="25" customBuiltin="1"/>
    <cellStyle name="Total 10" xfId="19433" xr:uid="{00000000-0005-0000-0000-0000104C0000}"/>
    <cellStyle name="Total 11" xfId="19434" xr:uid="{00000000-0005-0000-0000-0000114C0000}"/>
    <cellStyle name="Total 12" xfId="19435" xr:uid="{00000000-0005-0000-0000-0000124C0000}"/>
    <cellStyle name="Total 13" xfId="19436" xr:uid="{00000000-0005-0000-0000-0000134C0000}"/>
    <cellStyle name="Total 14" xfId="19437" xr:uid="{00000000-0005-0000-0000-0000144C0000}"/>
    <cellStyle name="Total 15" xfId="19438" xr:uid="{00000000-0005-0000-0000-0000154C0000}"/>
    <cellStyle name="Total 16" xfId="19439" xr:uid="{00000000-0005-0000-0000-0000164C0000}"/>
    <cellStyle name="Total 17" xfId="19440" xr:uid="{00000000-0005-0000-0000-0000174C0000}"/>
    <cellStyle name="Total 18" xfId="19441" xr:uid="{00000000-0005-0000-0000-0000184C0000}"/>
    <cellStyle name="Total 19" xfId="19442" xr:uid="{00000000-0005-0000-0000-0000194C0000}"/>
    <cellStyle name="Total 2" xfId="237" xr:uid="{00000000-0005-0000-0000-00001A4C0000}"/>
    <cellStyle name="Total 20" xfId="19443" xr:uid="{00000000-0005-0000-0000-00001B4C0000}"/>
    <cellStyle name="Total 21" xfId="19444" xr:uid="{00000000-0005-0000-0000-00001C4C0000}"/>
    <cellStyle name="Total 22" xfId="19445" xr:uid="{00000000-0005-0000-0000-00001D4C0000}"/>
    <cellStyle name="Total 23" xfId="19446" xr:uid="{00000000-0005-0000-0000-00001E4C0000}"/>
    <cellStyle name="Total 24" xfId="19447" xr:uid="{00000000-0005-0000-0000-00001F4C0000}"/>
    <cellStyle name="Total 25" xfId="19448" xr:uid="{00000000-0005-0000-0000-0000204C0000}"/>
    <cellStyle name="Total 26" xfId="19449" xr:uid="{00000000-0005-0000-0000-0000214C0000}"/>
    <cellStyle name="Total 27" xfId="19450" xr:uid="{00000000-0005-0000-0000-0000224C0000}"/>
    <cellStyle name="Total 28" xfId="19451" xr:uid="{00000000-0005-0000-0000-0000234C0000}"/>
    <cellStyle name="Total 29" xfId="19452" xr:uid="{00000000-0005-0000-0000-0000244C0000}"/>
    <cellStyle name="Total 3" xfId="19453" xr:uid="{00000000-0005-0000-0000-0000254C0000}"/>
    <cellStyle name="Total 30" xfId="19454" xr:uid="{00000000-0005-0000-0000-0000264C0000}"/>
    <cellStyle name="Total 31" xfId="19455" xr:uid="{00000000-0005-0000-0000-0000274C0000}"/>
    <cellStyle name="Total 32" xfId="19456" xr:uid="{00000000-0005-0000-0000-0000284C0000}"/>
    <cellStyle name="Total 33" xfId="19457" xr:uid="{00000000-0005-0000-0000-0000294C0000}"/>
    <cellStyle name="Total 34" xfId="19458" xr:uid="{00000000-0005-0000-0000-00002A4C0000}"/>
    <cellStyle name="Total 35" xfId="19459" xr:uid="{00000000-0005-0000-0000-00002B4C0000}"/>
    <cellStyle name="Total 36" xfId="19460" xr:uid="{00000000-0005-0000-0000-00002C4C0000}"/>
    <cellStyle name="Total 37" xfId="19461" xr:uid="{00000000-0005-0000-0000-00002D4C0000}"/>
    <cellStyle name="Total 38" xfId="19462" xr:uid="{00000000-0005-0000-0000-00002E4C0000}"/>
    <cellStyle name="Total 39" xfId="19463" xr:uid="{00000000-0005-0000-0000-00002F4C0000}"/>
    <cellStyle name="Total 4" xfId="19464" xr:uid="{00000000-0005-0000-0000-0000304C0000}"/>
    <cellStyle name="Total 40" xfId="19465" xr:uid="{00000000-0005-0000-0000-0000314C0000}"/>
    <cellStyle name="Total 41" xfId="19466" xr:uid="{00000000-0005-0000-0000-0000324C0000}"/>
    <cellStyle name="Total 42" xfId="19467" xr:uid="{00000000-0005-0000-0000-0000334C0000}"/>
    <cellStyle name="Total 5" xfId="19468" xr:uid="{00000000-0005-0000-0000-0000344C0000}"/>
    <cellStyle name="Total 6" xfId="19469" xr:uid="{00000000-0005-0000-0000-0000354C0000}"/>
    <cellStyle name="Total 7" xfId="19470" xr:uid="{00000000-0005-0000-0000-0000364C0000}"/>
    <cellStyle name="Total 8" xfId="19471" xr:uid="{00000000-0005-0000-0000-0000374C0000}"/>
    <cellStyle name="Total 9" xfId="19472" xr:uid="{00000000-0005-0000-0000-0000384C0000}"/>
    <cellStyle name="Totale" xfId="177" xr:uid="{00000000-0005-0000-0000-0000394C0000}"/>
    <cellStyle name="Totale 2" xfId="19473" xr:uid="{00000000-0005-0000-0000-00003A4C0000}"/>
    <cellStyle name="Totale 3" xfId="19474" xr:uid="{00000000-0005-0000-0000-00003B4C0000}"/>
    <cellStyle name="Totale 4" xfId="19475" xr:uid="{00000000-0005-0000-0000-00003C4C0000}"/>
    <cellStyle name="Totale_MCEV_activiteiten 2012Q4 gedeeld op 11-1-2012" xfId="19476" xr:uid="{00000000-0005-0000-0000-00003D4C0000}"/>
    <cellStyle name="Tulostus" xfId="178" xr:uid="{00000000-0005-0000-0000-00003E4C0000}"/>
    <cellStyle name="Tulostus 2" xfId="19477" xr:uid="{00000000-0005-0000-0000-00003F4C0000}"/>
    <cellStyle name="Tulostus 2 2" xfId="19478" xr:uid="{00000000-0005-0000-0000-0000404C0000}"/>
    <cellStyle name="Tulostus 3" xfId="19479" xr:uid="{00000000-0005-0000-0000-0000414C0000}"/>
    <cellStyle name="Tulostus 4" xfId="19480" xr:uid="{00000000-0005-0000-0000-0000424C0000}"/>
    <cellStyle name="Tulostus 5" xfId="19481" xr:uid="{00000000-0005-0000-0000-0000434C0000}"/>
    <cellStyle name="Tulostus_Map2" xfId="19482" xr:uid="{00000000-0005-0000-0000-0000444C0000}"/>
    <cellStyle name="VALOR" xfId="19483" xr:uid="{00000000-0005-0000-0000-0000454C0000}"/>
    <cellStyle name="VALOR 2" xfId="19484" xr:uid="{00000000-0005-0000-0000-0000464C0000}"/>
    <cellStyle name="VALOR 3" xfId="19485" xr:uid="{00000000-0005-0000-0000-0000474C0000}"/>
    <cellStyle name="VALOR 4" xfId="19486" xr:uid="{00000000-0005-0000-0000-0000484C0000}"/>
    <cellStyle name="Valore non valido" xfId="180" xr:uid="{00000000-0005-0000-0000-0000494C0000}"/>
    <cellStyle name="Valore non valido 2" xfId="19487" xr:uid="{00000000-0005-0000-0000-00004A4C0000}"/>
    <cellStyle name="Valore non valido 2 2" xfId="19488" xr:uid="{00000000-0005-0000-0000-00004B4C0000}"/>
    <cellStyle name="Valore non valido 3" xfId="19489" xr:uid="{00000000-0005-0000-0000-00004C4C0000}"/>
    <cellStyle name="Valore non valido 4" xfId="19490" xr:uid="{00000000-0005-0000-0000-00004D4C0000}"/>
    <cellStyle name="Valore non valido 5" xfId="19491" xr:uid="{00000000-0005-0000-0000-00004E4C0000}"/>
    <cellStyle name="Valore non valido_MCEV_activiteiten 2012Q4 gedeeld op 11-1-2012" xfId="19492" xr:uid="{00000000-0005-0000-0000-00004F4C0000}"/>
    <cellStyle name="Valore valido" xfId="181" xr:uid="{00000000-0005-0000-0000-0000504C0000}"/>
    <cellStyle name="Valore valido 2" xfId="19493" xr:uid="{00000000-0005-0000-0000-0000514C0000}"/>
    <cellStyle name="Valore valido 2 2" xfId="19494" xr:uid="{00000000-0005-0000-0000-0000524C0000}"/>
    <cellStyle name="Valore valido 3" xfId="19495" xr:uid="{00000000-0005-0000-0000-0000534C0000}"/>
    <cellStyle name="Valore valido 4" xfId="19496" xr:uid="{00000000-0005-0000-0000-0000544C0000}"/>
    <cellStyle name="Valore valido 5" xfId="19497" xr:uid="{00000000-0005-0000-0000-0000554C0000}"/>
    <cellStyle name="Valore valido_MCEV_activiteiten 2012Q4 gedeeld op 11-1-2012" xfId="19498" xr:uid="{00000000-0005-0000-0000-0000564C0000}"/>
    <cellStyle name="Valuta (0)_dati2001" xfId="19499" xr:uid="{00000000-0005-0000-0000-0000574C0000}"/>
    <cellStyle name="Varoitusteksti" xfId="182" xr:uid="{00000000-0005-0000-0000-0000584C0000}"/>
    <cellStyle name="Varoitusteksti 2" xfId="19500" xr:uid="{00000000-0005-0000-0000-0000594C0000}"/>
    <cellStyle name="Varoitusteksti 3" xfId="19501" xr:uid="{00000000-0005-0000-0000-00005A4C0000}"/>
    <cellStyle name="Varoitusteksti 4" xfId="19502" xr:uid="{00000000-0005-0000-0000-00005B4C0000}"/>
    <cellStyle name="Verificar Célula" xfId="19503" xr:uid="{00000000-0005-0000-0000-00005C4C0000}"/>
    <cellStyle name="Verificar Célula 2" xfId="19504" xr:uid="{00000000-0005-0000-0000-00005D4C0000}"/>
    <cellStyle name="Verificar Célula 3" xfId="19505" xr:uid="{00000000-0005-0000-0000-00005E4C0000}"/>
    <cellStyle name="Verificar Célula 4" xfId="19506" xr:uid="{00000000-0005-0000-0000-00005F4C0000}"/>
    <cellStyle name="Verificar Célula 5" xfId="19507" xr:uid="{00000000-0005-0000-0000-0000604C0000}"/>
    <cellStyle name="Vérification" xfId="183" xr:uid="{00000000-0005-0000-0000-0000614C0000}"/>
    <cellStyle name="Vérification 2" xfId="19508" xr:uid="{00000000-0005-0000-0000-0000624C0000}"/>
    <cellStyle name="Vérification 3" xfId="19509" xr:uid="{00000000-0005-0000-0000-0000634C0000}"/>
    <cellStyle name="Vérification_Concept Analyse verschillen TS  LTGA en QIS5 v1" xfId="19510" xr:uid="{00000000-0005-0000-0000-0000644C0000}"/>
    <cellStyle name="Waarschuwingstekst" xfId="19511" builtinId="11" customBuiltin="1"/>
    <cellStyle name="Warning Text 10" xfId="19512" xr:uid="{00000000-0005-0000-0000-0000664C0000}"/>
    <cellStyle name="Warning Text 100" xfId="19513" xr:uid="{00000000-0005-0000-0000-0000674C0000}"/>
    <cellStyle name="Warning Text 1000" xfId="19514" xr:uid="{00000000-0005-0000-0000-0000684C0000}"/>
    <cellStyle name="Warning Text 1001" xfId="19515" xr:uid="{00000000-0005-0000-0000-0000694C0000}"/>
    <cellStyle name="Warning Text 1002" xfId="19516" xr:uid="{00000000-0005-0000-0000-00006A4C0000}"/>
    <cellStyle name="Warning Text 1003" xfId="19517" xr:uid="{00000000-0005-0000-0000-00006B4C0000}"/>
    <cellStyle name="Warning Text 1004" xfId="19518" xr:uid="{00000000-0005-0000-0000-00006C4C0000}"/>
    <cellStyle name="Warning Text 1005" xfId="19519" xr:uid="{00000000-0005-0000-0000-00006D4C0000}"/>
    <cellStyle name="Warning Text 1006" xfId="19520" xr:uid="{00000000-0005-0000-0000-00006E4C0000}"/>
    <cellStyle name="Warning Text 1007" xfId="19521" xr:uid="{00000000-0005-0000-0000-00006F4C0000}"/>
    <cellStyle name="Warning Text 1008" xfId="19522" xr:uid="{00000000-0005-0000-0000-0000704C0000}"/>
    <cellStyle name="Warning Text 1009" xfId="19523" xr:uid="{00000000-0005-0000-0000-0000714C0000}"/>
    <cellStyle name="Warning Text 101" xfId="19524" xr:uid="{00000000-0005-0000-0000-0000724C0000}"/>
    <cellStyle name="Warning Text 1010" xfId="19525" xr:uid="{00000000-0005-0000-0000-0000734C0000}"/>
    <cellStyle name="Warning Text 1011" xfId="19526" xr:uid="{00000000-0005-0000-0000-0000744C0000}"/>
    <cellStyle name="Warning Text 1012" xfId="19527" xr:uid="{00000000-0005-0000-0000-0000754C0000}"/>
    <cellStyle name="Warning Text 1013" xfId="19528" xr:uid="{00000000-0005-0000-0000-0000764C0000}"/>
    <cellStyle name="Warning Text 1014" xfId="19529" xr:uid="{00000000-0005-0000-0000-0000774C0000}"/>
    <cellStyle name="Warning Text 1015" xfId="19530" xr:uid="{00000000-0005-0000-0000-0000784C0000}"/>
    <cellStyle name="Warning Text 1016" xfId="19531" xr:uid="{00000000-0005-0000-0000-0000794C0000}"/>
    <cellStyle name="Warning Text 1017" xfId="19532" xr:uid="{00000000-0005-0000-0000-00007A4C0000}"/>
    <cellStyle name="Warning Text 1018" xfId="19533" xr:uid="{00000000-0005-0000-0000-00007B4C0000}"/>
    <cellStyle name="Warning Text 1019" xfId="19534" xr:uid="{00000000-0005-0000-0000-00007C4C0000}"/>
    <cellStyle name="Warning Text 102" xfId="19535" xr:uid="{00000000-0005-0000-0000-00007D4C0000}"/>
    <cellStyle name="Warning Text 1020" xfId="19536" xr:uid="{00000000-0005-0000-0000-00007E4C0000}"/>
    <cellStyle name="Warning Text 1021" xfId="19537" xr:uid="{00000000-0005-0000-0000-00007F4C0000}"/>
    <cellStyle name="Warning Text 1022" xfId="19538" xr:uid="{00000000-0005-0000-0000-0000804C0000}"/>
    <cellStyle name="Warning Text 1023" xfId="19539" xr:uid="{00000000-0005-0000-0000-0000814C0000}"/>
    <cellStyle name="Warning Text 1024" xfId="19540" xr:uid="{00000000-0005-0000-0000-0000824C0000}"/>
    <cellStyle name="Warning Text 1025" xfId="19541" xr:uid="{00000000-0005-0000-0000-0000834C0000}"/>
    <cellStyle name="Warning Text 1026" xfId="19542" xr:uid="{00000000-0005-0000-0000-0000844C0000}"/>
    <cellStyle name="Warning Text 1027" xfId="19543" xr:uid="{00000000-0005-0000-0000-0000854C0000}"/>
    <cellStyle name="Warning Text 1028" xfId="19544" xr:uid="{00000000-0005-0000-0000-0000864C0000}"/>
    <cellStyle name="Warning Text 1029" xfId="19545" xr:uid="{00000000-0005-0000-0000-0000874C0000}"/>
    <cellStyle name="Warning Text 103" xfId="19546" xr:uid="{00000000-0005-0000-0000-0000884C0000}"/>
    <cellStyle name="Warning Text 1030" xfId="19547" xr:uid="{00000000-0005-0000-0000-0000894C0000}"/>
    <cellStyle name="Warning Text 1031" xfId="19548" xr:uid="{00000000-0005-0000-0000-00008A4C0000}"/>
    <cellStyle name="Warning Text 1032" xfId="19549" xr:uid="{00000000-0005-0000-0000-00008B4C0000}"/>
    <cellStyle name="Warning Text 1033" xfId="19550" xr:uid="{00000000-0005-0000-0000-00008C4C0000}"/>
    <cellStyle name="Warning Text 1034" xfId="19551" xr:uid="{00000000-0005-0000-0000-00008D4C0000}"/>
    <cellStyle name="Warning Text 1035" xfId="19552" xr:uid="{00000000-0005-0000-0000-00008E4C0000}"/>
    <cellStyle name="Warning Text 1036" xfId="19553" xr:uid="{00000000-0005-0000-0000-00008F4C0000}"/>
    <cellStyle name="Warning Text 1037" xfId="19554" xr:uid="{00000000-0005-0000-0000-0000904C0000}"/>
    <cellStyle name="Warning Text 1038" xfId="19555" xr:uid="{00000000-0005-0000-0000-0000914C0000}"/>
    <cellStyle name="Warning Text 1039" xfId="19556" xr:uid="{00000000-0005-0000-0000-0000924C0000}"/>
    <cellStyle name="Warning Text 104" xfId="19557" xr:uid="{00000000-0005-0000-0000-0000934C0000}"/>
    <cellStyle name="Warning Text 1040" xfId="19558" xr:uid="{00000000-0005-0000-0000-0000944C0000}"/>
    <cellStyle name="Warning Text 1041" xfId="19559" xr:uid="{00000000-0005-0000-0000-0000954C0000}"/>
    <cellStyle name="Warning Text 1042" xfId="19560" xr:uid="{00000000-0005-0000-0000-0000964C0000}"/>
    <cellStyle name="Warning Text 1043" xfId="19561" xr:uid="{00000000-0005-0000-0000-0000974C0000}"/>
    <cellStyle name="Warning Text 1044" xfId="19562" xr:uid="{00000000-0005-0000-0000-0000984C0000}"/>
    <cellStyle name="Warning Text 1045" xfId="19563" xr:uid="{00000000-0005-0000-0000-0000994C0000}"/>
    <cellStyle name="Warning Text 1046" xfId="19564" xr:uid="{00000000-0005-0000-0000-00009A4C0000}"/>
    <cellStyle name="Warning Text 1047" xfId="19565" xr:uid="{00000000-0005-0000-0000-00009B4C0000}"/>
    <cellStyle name="Warning Text 1048" xfId="19566" xr:uid="{00000000-0005-0000-0000-00009C4C0000}"/>
    <cellStyle name="Warning Text 1049" xfId="19567" xr:uid="{00000000-0005-0000-0000-00009D4C0000}"/>
    <cellStyle name="Warning Text 105" xfId="19568" xr:uid="{00000000-0005-0000-0000-00009E4C0000}"/>
    <cellStyle name="Warning Text 1050" xfId="19569" xr:uid="{00000000-0005-0000-0000-00009F4C0000}"/>
    <cellStyle name="Warning Text 1051" xfId="19570" xr:uid="{00000000-0005-0000-0000-0000A04C0000}"/>
    <cellStyle name="Warning Text 1052" xfId="19571" xr:uid="{00000000-0005-0000-0000-0000A14C0000}"/>
    <cellStyle name="Warning Text 1053" xfId="19572" xr:uid="{00000000-0005-0000-0000-0000A24C0000}"/>
    <cellStyle name="Warning Text 1054" xfId="19573" xr:uid="{00000000-0005-0000-0000-0000A34C0000}"/>
    <cellStyle name="Warning Text 1055" xfId="19574" xr:uid="{00000000-0005-0000-0000-0000A44C0000}"/>
    <cellStyle name="Warning Text 1056" xfId="19575" xr:uid="{00000000-0005-0000-0000-0000A54C0000}"/>
    <cellStyle name="Warning Text 1057" xfId="19576" xr:uid="{00000000-0005-0000-0000-0000A64C0000}"/>
    <cellStyle name="Warning Text 1058" xfId="19577" xr:uid="{00000000-0005-0000-0000-0000A74C0000}"/>
    <cellStyle name="Warning Text 1059" xfId="19578" xr:uid="{00000000-0005-0000-0000-0000A84C0000}"/>
    <cellStyle name="Warning Text 106" xfId="19579" xr:uid="{00000000-0005-0000-0000-0000A94C0000}"/>
    <cellStyle name="Warning Text 1060" xfId="19580" xr:uid="{00000000-0005-0000-0000-0000AA4C0000}"/>
    <cellStyle name="Warning Text 1061" xfId="19581" xr:uid="{00000000-0005-0000-0000-0000AB4C0000}"/>
    <cellStyle name="Warning Text 1062" xfId="19582" xr:uid="{00000000-0005-0000-0000-0000AC4C0000}"/>
    <cellStyle name="Warning Text 1063" xfId="19583" xr:uid="{00000000-0005-0000-0000-0000AD4C0000}"/>
    <cellStyle name="Warning Text 1064" xfId="19584" xr:uid="{00000000-0005-0000-0000-0000AE4C0000}"/>
    <cellStyle name="Warning Text 1065" xfId="19585" xr:uid="{00000000-0005-0000-0000-0000AF4C0000}"/>
    <cellStyle name="Warning Text 1066" xfId="19586" xr:uid="{00000000-0005-0000-0000-0000B04C0000}"/>
    <cellStyle name="Warning Text 1067" xfId="19587" xr:uid="{00000000-0005-0000-0000-0000B14C0000}"/>
    <cellStyle name="Warning Text 1068" xfId="19588" xr:uid="{00000000-0005-0000-0000-0000B24C0000}"/>
    <cellStyle name="Warning Text 1069" xfId="19589" xr:uid="{00000000-0005-0000-0000-0000B34C0000}"/>
    <cellStyle name="Warning Text 107" xfId="19590" xr:uid="{00000000-0005-0000-0000-0000B44C0000}"/>
    <cellStyle name="Warning Text 1070" xfId="19591" xr:uid="{00000000-0005-0000-0000-0000B54C0000}"/>
    <cellStyle name="Warning Text 1071" xfId="19592" xr:uid="{00000000-0005-0000-0000-0000B64C0000}"/>
    <cellStyle name="Warning Text 1072" xfId="19593" xr:uid="{00000000-0005-0000-0000-0000B74C0000}"/>
    <cellStyle name="Warning Text 1073" xfId="19594" xr:uid="{00000000-0005-0000-0000-0000B84C0000}"/>
    <cellStyle name="Warning Text 1074" xfId="19595" xr:uid="{00000000-0005-0000-0000-0000B94C0000}"/>
    <cellStyle name="Warning Text 1075" xfId="19596" xr:uid="{00000000-0005-0000-0000-0000BA4C0000}"/>
    <cellStyle name="Warning Text 1076" xfId="19597" xr:uid="{00000000-0005-0000-0000-0000BB4C0000}"/>
    <cellStyle name="Warning Text 1077" xfId="19598" xr:uid="{00000000-0005-0000-0000-0000BC4C0000}"/>
    <cellStyle name="Warning Text 1078" xfId="19599" xr:uid="{00000000-0005-0000-0000-0000BD4C0000}"/>
    <cellStyle name="Warning Text 1079" xfId="19600" xr:uid="{00000000-0005-0000-0000-0000BE4C0000}"/>
    <cellStyle name="Warning Text 108" xfId="19601" xr:uid="{00000000-0005-0000-0000-0000BF4C0000}"/>
    <cellStyle name="Warning Text 1080" xfId="19602" xr:uid="{00000000-0005-0000-0000-0000C04C0000}"/>
    <cellStyle name="Warning Text 1081" xfId="19603" xr:uid="{00000000-0005-0000-0000-0000C14C0000}"/>
    <cellStyle name="Warning Text 1082" xfId="19604" xr:uid="{00000000-0005-0000-0000-0000C24C0000}"/>
    <cellStyle name="Warning Text 1083" xfId="19605" xr:uid="{00000000-0005-0000-0000-0000C34C0000}"/>
    <cellStyle name="Warning Text 1084" xfId="19606" xr:uid="{00000000-0005-0000-0000-0000C44C0000}"/>
    <cellStyle name="Warning Text 1085" xfId="19607" xr:uid="{00000000-0005-0000-0000-0000C54C0000}"/>
    <cellStyle name="Warning Text 1086" xfId="19608" xr:uid="{00000000-0005-0000-0000-0000C64C0000}"/>
    <cellStyle name="Warning Text 1087" xfId="19609" xr:uid="{00000000-0005-0000-0000-0000C74C0000}"/>
    <cellStyle name="Warning Text 1088" xfId="19610" xr:uid="{00000000-0005-0000-0000-0000C84C0000}"/>
    <cellStyle name="Warning Text 1089" xfId="19611" xr:uid="{00000000-0005-0000-0000-0000C94C0000}"/>
    <cellStyle name="Warning Text 109" xfId="19612" xr:uid="{00000000-0005-0000-0000-0000CA4C0000}"/>
    <cellStyle name="Warning Text 1090" xfId="19613" xr:uid="{00000000-0005-0000-0000-0000CB4C0000}"/>
    <cellStyle name="Warning Text 1091" xfId="19614" xr:uid="{00000000-0005-0000-0000-0000CC4C0000}"/>
    <cellStyle name="Warning Text 1092" xfId="19615" xr:uid="{00000000-0005-0000-0000-0000CD4C0000}"/>
    <cellStyle name="Warning Text 1093" xfId="19616" xr:uid="{00000000-0005-0000-0000-0000CE4C0000}"/>
    <cellStyle name="Warning Text 1094" xfId="19617" xr:uid="{00000000-0005-0000-0000-0000CF4C0000}"/>
    <cellStyle name="Warning Text 1095" xfId="19618" xr:uid="{00000000-0005-0000-0000-0000D04C0000}"/>
    <cellStyle name="Warning Text 1096" xfId="19619" xr:uid="{00000000-0005-0000-0000-0000D14C0000}"/>
    <cellStyle name="Warning Text 1097" xfId="19620" xr:uid="{00000000-0005-0000-0000-0000D24C0000}"/>
    <cellStyle name="Warning Text 1098" xfId="19621" xr:uid="{00000000-0005-0000-0000-0000D34C0000}"/>
    <cellStyle name="Warning Text 1099" xfId="19622" xr:uid="{00000000-0005-0000-0000-0000D44C0000}"/>
    <cellStyle name="Warning Text 11" xfId="19623" xr:uid="{00000000-0005-0000-0000-0000D54C0000}"/>
    <cellStyle name="Warning Text 110" xfId="19624" xr:uid="{00000000-0005-0000-0000-0000D64C0000}"/>
    <cellStyle name="Warning Text 1100" xfId="19625" xr:uid="{00000000-0005-0000-0000-0000D74C0000}"/>
    <cellStyle name="Warning Text 1101" xfId="19626" xr:uid="{00000000-0005-0000-0000-0000D84C0000}"/>
    <cellStyle name="Warning Text 1102" xfId="19627" xr:uid="{00000000-0005-0000-0000-0000D94C0000}"/>
    <cellStyle name="Warning Text 1103" xfId="19628" xr:uid="{00000000-0005-0000-0000-0000DA4C0000}"/>
    <cellStyle name="Warning Text 1104" xfId="19629" xr:uid="{00000000-0005-0000-0000-0000DB4C0000}"/>
    <cellStyle name="Warning Text 1105" xfId="19630" xr:uid="{00000000-0005-0000-0000-0000DC4C0000}"/>
    <cellStyle name="Warning Text 1106" xfId="19631" xr:uid="{00000000-0005-0000-0000-0000DD4C0000}"/>
    <cellStyle name="Warning Text 1107" xfId="19632" xr:uid="{00000000-0005-0000-0000-0000DE4C0000}"/>
    <cellStyle name="Warning Text 1108" xfId="19633" xr:uid="{00000000-0005-0000-0000-0000DF4C0000}"/>
    <cellStyle name="Warning Text 1109" xfId="19634" xr:uid="{00000000-0005-0000-0000-0000E04C0000}"/>
    <cellStyle name="Warning Text 111" xfId="19635" xr:uid="{00000000-0005-0000-0000-0000E14C0000}"/>
    <cellStyle name="Warning Text 1110" xfId="19636" xr:uid="{00000000-0005-0000-0000-0000E24C0000}"/>
    <cellStyle name="Warning Text 1111" xfId="19637" xr:uid="{00000000-0005-0000-0000-0000E34C0000}"/>
    <cellStyle name="Warning Text 1112" xfId="19638" xr:uid="{00000000-0005-0000-0000-0000E44C0000}"/>
    <cellStyle name="Warning Text 1113" xfId="19639" xr:uid="{00000000-0005-0000-0000-0000E54C0000}"/>
    <cellStyle name="Warning Text 1114" xfId="19640" xr:uid="{00000000-0005-0000-0000-0000E64C0000}"/>
    <cellStyle name="Warning Text 1115" xfId="19641" xr:uid="{00000000-0005-0000-0000-0000E74C0000}"/>
    <cellStyle name="Warning Text 1116" xfId="19642" xr:uid="{00000000-0005-0000-0000-0000E84C0000}"/>
    <cellStyle name="Warning Text 1117" xfId="19643" xr:uid="{00000000-0005-0000-0000-0000E94C0000}"/>
    <cellStyle name="Warning Text 1118" xfId="19644" xr:uid="{00000000-0005-0000-0000-0000EA4C0000}"/>
    <cellStyle name="Warning Text 1119" xfId="19645" xr:uid="{00000000-0005-0000-0000-0000EB4C0000}"/>
    <cellStyle name="Warning Text 112" xfId="19646" xr:uid="{00000000-0005-0000-0000-0000EC4C0000}"/>
    <cellStyle name="Warning Text 1120" xfId="19647" xr:uid="{00000000-0005-0000-0000-0000ED4C0000}"/>
    <cellStyle name="Warning Text 1121" xfId="19648" xr:uid="{00000000-0005-0000-0000-0000EE4C0000}"/>
    <cellStyle name="Warning Text 1122" xfId="19649" xr:uid="{00000000-0005-0000-0000-0000EF4C0000}"/>
    <cellStyle name="Warning Text 1123" xfId="19650" xr:uid="{00000000-0005-0000-0000-0000F04C0000}"/>
    <cellStyle name="Warning Text 1124" xfId="19651" xr:uid="{00000000-0005-0000-0000-0000F14C0000}"/>
    <cellStyle name="Warning Text 1125" xfId="19652" xr:uid="{00000000-0005-0000-0000-0000F24C0000}"/>
    <cellStyle name="Warning Text 1126" xfId="19653" xr:uid="{00000000-0005-0000-0000-0000F34C0000}"/>
    <cellStyle name="Warning Text 1127" xfId="19654" xr:uid="{00000000-0005-0000-0000-0000F44C0000}"/>
    <cellStyle name="Warning Text 1128" xfId="19655" xr:uid="{00000000-0005-0000-0000-0000F54C0000}"/>
    <cellStyle name="Warning Text 1129" xfId="19656" xr:uid="{00000000-0005-0000-0000-0000F64C0000}"/>
    <cellStyle name="Warning Text 113" xfId="19657" xr:uid="{00000000-0005-0000-0000-0000F74C0000}"/>
    <cellStyle name="Warning Text 1130" xfId="19658" xr:uid="{00000000-0005-0000-0000-0000F84C0000}"/>
    <cellStyle name="Warning Text 1131" xfId="19659" xr:uid="{00000000-0005-0000-0000-0000F94C0000}"/>
    <cellStyle name="Warning Text 1132" xfId="19660" xr:uid="{00000000-0005-0000-0000-0000FA4C0000}"/>
    <cellStyle name="Warning Text 1133" xfId="19661" xr:uid="{00000000-0005-0000-0000-0000FB4C0000}"/>
    <cellStyle name="Warning Text 1134" xfId="19662" xr:uid="{00000000-0005-0000-0000-0000FC4C0000}"/>
    <cellStyle name="Warning Text 1135" xfId="19663" xr:uid="{00000000-0005-0000-0000-0000FD4C0000}"/>
    <cellStyle name="Warning Text 1136" xfId="19664" xr:uid="{00000000-0005-0000-0000-0000FE4C0000}"/>
    <cellStyle name="Warning Text 1137" xfId="19665" xr:uid="{00000000-0005-0000-0000-0000FF4C0000}"/>
    <cellStyle name="Warning Text 1138" xfId="19666" xr:uid="{00000000-0005-0000-0000-0000004D0000}"/>
    <cellStyle name="Warning Text 1139" xfId="19667" xr:uid="{00000000-0005-0000-0000-0000014D0000}"/>
    <cellStyle name="Warning Text 114" xfId="19668" xr:uid="{00000000-0005-0000-0000-0000024D0000}"/>
    <cellStyle name="Warning Text 1140" xfId="19669" xr:uid="{00000000-0005-0000-0000-0000034D0000}"/>
    <cellStyle name="Warning Text 1141" xfId="19670" xr:uid="{00000000-0005-0000-0000-0000044D0000}"/>
    <cellStyle name="Warning Text 1142" xfId="19671" xr:uid="{00000000-0005-0000-0000-0000054D0000}"/>
    <cellStyle name="Warning Text 1143" xfId="19672" xr:uid="{00000000-0005-0000-0000-0000064D0000}"/>
    <cellStyle name="Warning Text 1144" xfId="19673" xr:uid="{00000000-0005-0000-0000-0000074D0000}"/>
    <cellStyle name="Warning Text 1145" xfId="19674" xr:uid="{00000000-0005-0000-0000-0000084D0000}"/>
    <cellStyle name="Warning Text 1146" xfId="19675" xr:uid="{00000000-0005-0000-0000-0000094D0000}"/>
    <cellStyle name="Warning Text 1147" xfId="19676" xr:uid="{00000000-0005-0000-0000-00000A4D0000}"/>
    <cellStyle name="Warning Text 1148" xfId="19677" xr:uid="{00000000-0005-0000-0000-00000B4D0000}"/>
    <cellStyle name="Warning Text 1149" xfId="19678" xr:uid="{00000000-0005-0000-0000-00000C4D0000}"/>
    <cellStyle name="Warning Text 115" xfId="19679" xr:uid="{00000000-0005-0000-0000-00000D4D0000}"/>
    <cellStyle name="Warning Text 1150" xfId="19680" xr:uid="{00000000-0005-0000-0000-00000E4D0000}"/>
    <cellStyle name="Warning Text 1151" xfId="19681" xr:uid="{00000000-0005-0000-0000-00000F4D0000}"/>
    <cellStyle name="Warning Text 1152" xfId="19682" xr:uid="{00000000-0005-0000-0000-0000104D0000}"/>
    <cellStyle name="Warning Text 1153" xfId="19683" xr:uid="{00000000-0005-0000-0000-0000114D0000}"/>
    <cellStyle name="Warning Text 1154" xfId="19684" xr:uid="{00000000-0005-0000-0000-0000124D0000}"/>
    <cellStyle name="Warning Text 1155" xfId="19685" xr:uid="{00000000-0005-0000-0000-0000134D0000}"/>
    <cellStyle name="Warning Text 1156" xfId="19686" xr:uid="{00000000-0005-0000-0000-0000144D0000}"/>
    <cellStyle name="Warning Text 1157" xfId="19687" xr:uid="{00000000-0005-0000-0000-0000154D0000}"/>
    <cellStyle name="Warning Text 1158" xfId="19688" xr:uid="{00000000-0005-0000-0000-0000164D0000}"/>
    <cellStyle name="Warning Text 1159" xfId="19689" xr:uid="{00000000-0005-0000-0000-0000174D0000}"/>
    <cellStyle name="Warning Text 116" xfId="19690" xr:uid="{00000000-0005-0000-0000-0000184D0000}"/>
    <cellStyle name="Warning Text 1160" xfId="19691" xr:uid="{00000000-0005-0000-0000-0000194D0000}"/>
    <cellStyle name="Warning Text 117" xfId="19692" xr:uid="{00000000-0005-0000-0000-00001A4D0000}"/>
    <cellStyle name="Warning Text 118" xfId="19693" xr:uid="{00000000-0005-0000-0000-00001B4D0000}"/>
    <cellStyle name="Warning Text 119" xfId="19694" xr:uid="{00000000-0005-0000-0000-00001C4D0000}"/>
    <cellStyle name="Warning Text 12" xfId="19695" xr:uid="{00000000-0005-0000-0000-00001D4D0000}"/>
    <cellStyle name="Warning Text 120" xfId="19696" xr:uid="{00000000-0005-0000-0000-00001E4D0000}"/>
    <cellStyle name="Warning Text 121" xfId="19697" xr:uid="{00000000-0005-0000-0000-00001F4D0000}"/>
    <cellStyle name="Warning Text 122" xfId="19698" xr:uid="{00000000-0005-0000-0000-0000204D0000}"/>
    <cellStyle name="Warning Text 123" xfId="19699" xr:uid="{00000000-0005-0000-0000-0000214D0000}"/>
    <cellStyle name="Warning Text 124" xfId="19700" xr:uid="{00000000-0005-0000-0000-0000224D0000}"/>
    <cellStyle name="Warning Text 125" xfId="19701" xr:uid="{00000000-0005-0000-0000-0000234D0000}"/>
    <cellStyle name="Warning Text 126" xfId="19702" xr:uid="{00000000-0005-0000-0000-0000244D0000}"/>
    <cellStyle name="Warning Text 127" xfId="19703" xr:uid="{00000000-0005-0000-0000-0000254D0000}"/>
    <cellStyle name="Warning Text 128" xfId="19704" xr:uid="{00000000-0005-0000-0000-0000264D0000}"/>
    <cellStyle name="Warning Text 129" xfId="19705" xr:uid="{00000000-0005-0000-0000-0000274D0000}"/>
    <cellStyle name="Warning Text 13" xfId="19706" xr:uid="{00000000-0005-0000-0000-0000284D0000}"/>
    <cellStyle name="Warning Text 130" xfId="19707" xr:uid="{00000000-0005-0000-0000-0000294D0000}"/>
    <cellStyle name="Warning Text 131" xfId="19708" xr:uid="{00000000-0005-0000-0000-00002A4D0000}"/>
    <cellStyle name="Warning Text 132" xfId="19709" xr:uid="{00000000-0005-0000-0000-00002B4D0000}"/>
    <cellStyle name="Warning Text 133" xfId="19710" xr:uid="{00000000-0005-0000-0000-00002C4D0000}"/>
    <cellStyle name="Warning Text 134" xfId="19711" xr:uid="{00000000-0005-0000-0000-00002D4D0000}"/>
    <cellStyle name="Warning Text 135" xfId="19712" xr:uid="{00000000-0005-0000-0000-00002E4D0000}"/>
    <cellStyle name="Warning Text 136" xfId="19713" xr:uid="{00000000-0005-0000-0000-00002F4D0000}"/>
    <cellStyle name="Warning Text 137" xfId="19714" xr:uid="{00000000-0005-0000-0000-0000304D0000}"/>
    <cellStyle name="Warning Text 138" xfId="19715" xr:uid="{00000000-0005-0000-0000-0000314D0000}"/>
    <cellStyle name="Warning Text 139" xfId="19716" xr:uid="{00000000-0005-0000-0000-0000324D0000}"/>
    <cellStyle name="Warning Text 14" xfId="19717" xr:uid="{00000000-0005-0000-0000-0000334D0000}"/>
    <cellStyle name="Warning Text 140" xfId="19718" xr:uid="{00000000-0005-0000-0000-0000344D0000}"/>
    <cellStyle name="Warning Text 141" xfId="19719" xr:uid="{00000000-0005-0000-0000-0000354D0000}"/>
    <cellStyle name="Warning Text 142" xfId="19720" xr:uid="{00000000-0005-0000-0000-0000364D0000}"/>
    <cellStyle name="Warning Text 143" xfId="19721" xr:uid="{00000000-0005-0000-0000-0000374D0000}"/>
    <cellStyle name="Warning Text 144" xfId="19722" xr:uid="{00000000-0005-0000-0000-0000384D0000}"/>
    <cellStyle name="Warning Text 145" xfId="19723" xr:uid="{00000000-0005-0000-0000-0000394D0000}"/>
    <cellStyle name="Warning Text 146" xfId="19724" xr:uid="{00000000-0005-0000-0000-00003A4D0000}"/>
    <cellStyle name="Warning Text 147" xfId="19725" xr:uid="{00000000-0005-0000-0000-00003B4D0000}"/>
    <cellStyle name="Warning Text 148" xfId="19726" xr:uid="{00000000-0005-0000-0000-00003C4D0000}"/>
    <cellStyle name="Warning Text 149" xfId="19727" xr:uid="{00000000-0005-0000-0000-00003D4D0000}"/>
    <cellStyle name="Warning Text 15" xfId="19728" xr:uid="{00000000-0005-0000-0000-00003E4D0000}"/>
    <cellStyle name="Warning Text 150" xfId="19729" xr:uid="{00000000-0005-0000-0000-00003F4D0000}"/>
    <cellStyle name="Warning Text 151" xfId="19730" xr:uid="{00000000-0005-0000-0000-0000404D0000}"/>
    <cellStyle name="Warning Text 152" xfId="19731" xr:uid="{00000000-0005-0000-0000-0000414D0000}"/>
    <cellStyle name="Warning Text 153" xfId="19732" xr:uid="{00000000-0005-0000-0000-0000424D0000}"/>
    <cellStyle name="Warning Text 154" xfId="19733" xr:uid="{00000000-0005-0000-0000-0000434D0000}"/>
    <cellStyle name="Warning Text 155" xfId="19734" xr:uid="{00000000-0005-0000-0000-0000444D0000}"/>
    <cellStyle name="Warning Text 156" xfId="19735" xr:uid="{00000000-0005-0000-0000-0000454D0000}"/>
    <cellStyle name="Warning Text 157" xfId="19736" xr:uid="{00000000-0005-0000-0000-0000464D0000}"/>
    <cellStyle name="Warning Text 158" xfId="19737" xr:uid="{00000000-0005-0000-0000-0000474D0000}"/>
    <cellStyle name="Warning Text 159" xfId="19738" xr:uid="{00000000-0005-0000-0000-0000484D0000}"/>
    <cellStyle name="Warning Text 16" xfId="19739" xr:uid="{00000000-0005-0000-0000-0000494D0000}"/>
    <cellStyle name="Warning Text 160" xfId="19740" xr:uid="{00000000-0005-0000-0000-00004A4D0000}"/>
    <cellStyle name="Warning Text 161" xfId="19741" xr:uid="{00000000-0005-0000-0000-00004B4D0000}"/>
    <cellStyle name="Warning Text 162" xfId="19742" xr:uid="{00000000-0005-0000-0000-00004C4D0000}"/>
    <cellStyle name="Warning Text 163" xfId="19743" xr:uid="{00000000-0005-0000-0000-00004D4D0000}"/>
    <cellStyle name="Warning Text 164" xfId="19744" xr:uid="{00000000-0005-0000-0000-00004E4D0000}"/>
    <cellStyle name="Warning Text 165" xfId="19745" xr:uid="{00000000-0005-0000-0000-00004F4D0000}"/>
    <cellStyle name="Warning Text 166" xfId="19746" xr:uid="{00000000-0005-0000-0000-0000504D0000}"/>
    <cellStyle name="Warning Text 167" xfId="19747" xr:uid="{00000000-0005-0000-0000-0000514D0000}"/>
    <cellStyle name="Warning Text 168" xfId="19748" xr:uid="{00000000-0005-0000-0000-0000524D0000}"/>
    <cellStyle name="Warning Text 169" xfId="19749" xr:uid="{00000000-0005-0000-0000-0000534D0000}"/>
    <cellStyle name="Warning Text 17" xfId="19750" xr:uid="{00000000-0005-0000-0000-0000544D0000}"/>
    <cellStyle name="Warning Text 170" xfId="19751" xr:uid="{00000000-0005-0000-0000-0000554D0000}"/>
    <cellStyle name="Warning Text 171" xfId="19752" xr:uid="{00000000-0005-0000-0000-0000564D0000}"/>
    <cellStyle name="Warning Text 172" xfId="19753" xr:uid="{00000000-0005-0000-0000-0000574D0000}"/>
    <cellStyle name="Warning Text 173" xfId="19754" xr:uid="{00000000-0005-0000-0000-0000584D0000}"/>
    <cellStyle name="Warning Text 174" xfId="19755" xr:uid="{00000000-0005-0000-0000-0000594D0000}"/>
    <cellStyle name="Warning Text 175" xfId="19756" xr:uid="{00000000-0005-0000-0000-00005A4D0000}"/>
    <cellStyle name="Warning Text 176" xfId="19757" xr:uid="{00000000-0005-0000-0000-00005B4D0000}"/>
    <cellStyle name="Warning Text 177" xfId="19758" xr:uid="{00000000-0005-0000-0000-00005C4D0000}"/>
    <cellStyle name="Warning Text 178" xfId="19759" xr:uid="{00000000-0005-0000-0000-00005D4D0000}"/>
    <cellStyle name="Warning Text 179" xfId="19760" xr:uid="{00000000-0005-0000-0000-00005E4D0000}"/>
    <cellStyle name="Warning Text 18" xfId="19761" xr:uid="{00000000-0005-0000-0000-00005F4D0000}"/>
    <cellStyle name="Warning Text 180" xfId="19762" xr:uid="{00000000-0005-0000-0000-0000604D0000}"/>
    <cellStyle name="Warning Text 181" xfId="19763" xr:uid="{00000000-0005-0000-0000-0000614D0000}"/>
    <cellStyle name="Warning Text 182" xfId="19764" xr:uid="{00000000-0005-0000-0000-0000624D0000}"/>
    <cellStyle name="Warning Text 183" xfId="19765" xr:uid="{00000000-0005-0000-0000-0000634D0000}"/>
    <cellStyle name="Warning Text 184" xfId="19766" xr:uid="{00000000-0005-0000-0000-0000644D0000}"/>
    <cellStyle name="Warning Text 185" xfId="19767" xr:uid="{00000000-0005-0000-0000-0000654D0000}"/>
    <cellStyle name="Warning Text 186" xfId="19768" xr:uid="{00000000-0005-0000-0000-0000664D0000}"/>
    <cellStyle name="Warning Text 187" xfId="19769" xr:uid="{00000000-0005-0000-0000-0000674D0000}"/>
    <cellStyle name="Warning Text 188" xfId="19770" xr:uid="{00000000-0005-0000-0000-0000684D0000}"/>
    <cellStyle name="Warning Text 189" xfId="19771" xr:uid="{00000000-0005-0000-0000-0000694D0000}"/>
    <cellStyle name="Warning Text 19" xfId="19772" xr:uid="{00000000-0005-0000-0000-00006A4D0000}"/>
    <cellStyle name="Warning Text 190" xfId="19773" xr:uid="{00000000-0005-0000-0000-00006B4D0000}"/>
    <cellStyle name="Warning Text 191" xfId="19774" xr:uid="{00000000-0005-0000-0000-00006C4D0000}"/>
    <cellStyle name="Warning Text 192" xfId="19775" xr:uid="{00000000-0005-0000-0000-00006D4D0000}"/>
    <cellStyle name="Warning Text 193" xfId="19776" xr:uid="{00000000-0005-0000-0000-00006E4D0000}"/>
    <cellStyle name="Warning Text 194" xfId="19777" xr:uid="{00000000-0005-0000-0000-00006F4D0000}"/>
    <cellStyle name="Warning Text 195" xfId="19778" xr:uid="{00000000-0005-0000-0000-0000704D0000}"/>
    <cellStyle name="Warning Text 196" xfId="19779" xr:uid="{00000000-0005-0000-0000-0000714D0000}"/>
    <cellStyle name="Warning Text 197" xfId="19780" xr:uid="{00000000-0005-0000-0000-0000724D0000}"/>
    <cellStyle name="Warning Text 198" xfId="19781" xr:uid="{00000000-0005-0000-0000-0000734D0000}"/>
    <cellStyle name="Warning Text 199" xfId="19782" xr:uid="{00000000-0005-0000-0000-0000744D0000}"/>
    <cellStyle name="Warning Text 2" xfId="240" xr:uid="{00000000-0005-0000-0000-0000754D0000}"/>
    <cellStyle name="Warning Text 2 2" xfId="19783" xr:uid="{00000000-0005-0000-0000-0000764D0000}"/>
    <cellStyle name="Warning Text 2 3" xfId="19784" xr:uid="{00000000-0005-0000-0000-0000774D0000}"/>
    <cellStyle name="Warning Text 20" xfId="19785" xr:uid="{00000000-0005-0000-0000-0000784D0000}"/>
    <cellStyle name="Warning Text 200" xfId="19786" xr:uid="{00000000-0005-0000-0000-0000794D0000}"/>
    <cellStyle name="Warning Text 201" xfId="19787" xr:uid="{00000000-0005-0000-0000-00007A4D0000}"/>
    <cellStyle name="Warning Text 202" xfId="19788" xr:uid="{00000000-0005-0000-0000-00007B4D0000}"/>
    <cellStyle name="Warning Text 203" xfId="19789" xr:uid="{00000000-0005-0000-0000-00007C4D0000}"/>
    <cellStyle name="Warning Text 204" xfId="19790" xr:uid="{00000000-0005-0000-0000-00007D4D0000}"/>
    <cellStyle name="Warning Text 205" xfId="19791" xr:uid="{00000000-0005-0000-0000-00007E4D0000}"/>
    <cellStyle name="Warning Text 206" xfId="19792" xr:uid="{00000000-0005-0000-0000-00007F4D0000}"/>
    <cellStyle name="Warning Text 207" xfId="19793" xr:uid="{00000000-0005-0000-0000-0000804D0000}"/>
    <cellStyle name="Warning Text 208" xfId="19794" xr:uid="{00000000-0005-0000-0000-0000814D0000}"/>
    <cellStyle name="Warning Text 209" xfId="19795" xr:uid="{00000000-0005-0000-0000-0000824D0000}"/>
    <cellStyle name="Warning Text 21" xfId="19796" xr:uid="{00000000-0005-0000-0000-0000834D0000}"/>
    <cellStyle name="Warning Text 210" xfId="19797" xr:uid="{00000000-0005-0000-0000-0000844D0000}"/>
    <cellStyle name="Warning Text 211" xfId="19798" xr:uid="{00000000-0005-0000-0000-0000854D0000}"/>
    <cellStyle name="Warning Text 212" xfId="19799" xr:uid="{00000000-0005-0000-0000-0000864D0000}"/>
    <cellStyle name="Warning Text 213" xfId="19800" xr:uid="{00000000-0005-0000-0000-0000874D0000}"/>
    <cellStyle name="Warning Text 214" xfId="19801" xr:uid="{00000000-0005-0000-0000-0000884D0000}"/>
    <cellStyle name="Warning Text 215" xfId="19802" xr:uid="{00000000-0005-0000-0000-0000894D0000}"/>
    <cellStyle name="Warning Text 216" xfId="19803" xr:uid="{00000000-0005-0000-0000-00008A4D0000}"/>
    <cellStyle name="Warning Text 217" xfId="19804" xr:uid="{00000000-0005-0000-0000-00008B4D0000}"/>
    <cellStyle name="Warning Text 218" xfId="19805" xr:uid="{00000000-0005-0000-0000-00008C4D0000}"/>
    <cellStyle name="Warning Text 219" xfId="19806" xr:uid="{00000000-0005-0000-0000-00008D4D0000}"/>
    <cellStyle name="Warning Text 22" xfId="19807" xr:uid="{00000000-0005-0000-0000-00008E4D0000}"/>
    <cellStyle name="Warning Text 220" xfId="19808" xr:uid="{00000000-0005-0000-0000-00008F4D0000}"/>
    <cellStyle name="Warning Text 221" xfId="19809" xr:uid="{00000000-0005-0000-0000-0000904D0000}"/>
    <cellStyle name="Warning Text 222" xfId="19810" xr:uid="{00000000-0005-0000-0000-0000914D0000}"/>
    <cellStyle name="Warning Text 223" xfId="19811" xr:uid="{00000000-0005-0000-0000-0000924D0000}"/>
    <cellStyle name="Warning Text 224" xfId="19812" xr:uid="{00000000-0005-0000-0000-0000934D0000}"/>
    <cellStyle name="Warning Text 225" xfId="19813" xr:uid="{00000000-0005-0000-0000-0000944D0000}"/>
    <cellStyle name="Warning Text 226" xfId="19814" xr:uid="{00000000-0005-0000-0000-0000954D0000}"/>
    <cellStyle name="Warning Text 227" xfId="19815" xr:uid="{00000000-0005-0000-0000-0000964D0000}"/>
    <cellStyle name="Warning Text 228" xfId="19816" xr:uid="{00000000-0005-0000-0000-0000974D0000}"/>
    <cellStyle name="Warning Text 229" xfId="19817" xr:uid="{00000000-0005-0000-0000-0000984D0000}"/>
    <cellStyle name="Warning Text 23" xfId="19818" xr:uid="{00000000-0005-0000-0000-0000994D0000}"/>
    <cellStyle name="Warning Text 230" xfId="19819" xr:uid="{00000000-0005-0000-0000-00009A4D0000}"/>
    <cellStyle name="Warning Text 231" xfId="19820" xr:uid="{00000000-0005-0000-0000-00009B4D0000}"/>
    <cellStyle name="Warning Text 232" xfId="19821" xr:uid="{00000000-0005-0000-0000-00009C4D0000}"/>
    <cellStyle name="Warning Text 233" xfId="19822" xr:uid="{00000000-0005-0000-0000-00009D4D0000}"/>
    <cellStyle name="Warning Text 234" xfId="19823" xr:uid="{00000000-0005-0000-0000-00009E4D0000}"/>
    <cellStyle name="Warning Text 235" xfId="19824" xr:uid="{00000000-0005-0000-0000-00009F4D0000}"/>
    <cellStyle name="Warning Text 236" xfId="19825" xr:uid="{00000000-0005-0000-0000-0000A04D0000}"/>
    <cellStyle name="Warning Text 237" xfId="19826" xr:uid="{00000000-0005-0000-0000-0000A14D0000}"/>
    <cellStyle name="Warning Text 238" xfId="19827" xr:uid="{00000000-0005-0000-0000-0000A24D0000}"/>
    <cellStyle name="Warning Text 239" xfId="19828" xr:uid="{00000000-0005-0000-0000-0000A34D0000}"/>
    <cellStyle name="Warning Text 24" xfId="19829" xr:uid="{00000000-0005-0000-0000-0000A44D0000}"/>
    <cellStyle name="Warning Text 240" xfId="19830" xr:uid="{00000000-0005-0000-0000-0000A54D0000}"/>
    <cellStyle name="Warning Text 241" xfId="19831" xr:uid="{00000000-0005-0000-0000-0000A64D0000}"/>
    <cellStyle name="Warning Text 242" xfId="19832" xr:uid="{00000000-0005-0000-0000-0000A74D0000}"/>
    <cellStyle name="Warning Text 243" xfId="19833" xr:uid="{00000000-0005-0000-0000-0000A84D0000}"/>
    <cellStyle name="Warning Text 244" xfId="19834" xr:uid="{00000000-0005-0000-0000-0000A94D0000}"/>
    <cellStyle name="Warning Text 245" xfId="19835" xr:uid="{00000000-0005-0000-0000-0000AA4D0000}"/>
    <cellStyle name="Warning Text 246" xfId="19836" xr:uid="{00000000-0005-0000-0000-0000AB4D0000}"/>
    <cellStyle name="Warning Text 247" xfId="19837" xr:uid="{00000000-0005-0000-0000-0000AC4D0000}"/>
    <cellStyle name="Warning Text 248" xfId="19838" xr:uid="{00000000-0005-0000-0000-0000AD4D0000}"/>
    <cellStyle name="Warning Text 249" xfId="19839" xr:uid="{00000000-0005-0000-0000-0000AE4D0000}"/>
    <cellStyle name="Warning Text 25" xfId="19840" xr:uid="{00000000-0005-0000-0000-0000AF4D0000}"/>
    <cellStyle name="Warning Text 250" xfId="19841" xr:uid="{00000000-0005-0000-0000-0000B04D0000}"/>
    <cellStyle name="Warning Text 251" xfId="19842" xr:uid="{00000000-0005-0000-0000-0000B14D0000}"/>
    <cellStyle name="Warning Text 252" xfId="19843" xr:uid="{00000000-0005-0000-0000-0000B24D0000}"/>
    <cellStyle name="Warning Text 253" xfId="19844" xr:uid="{00000000-0005-0000-0000-0000B34D0000}"/>
    <cellStyle name="Warning Text 254" xfId="19845" xr:uid="{00000000-0005-0000-0000-0000B44D0000}"/>
    <cellStyle name="Warning Text 255" xfId="19846" xr:uid="{00000000-0005-0000-0000-0000B54D0000}"/>
    <cellStyle name="Warning Text 256" xfId="19847" xr:uid="{00000000-0005-0000-0000-0000B64D0000}"/>
    <cellStyle name="Warning Text 257" xfId="19848" xr:uid="{00000000-0005-0000-0000-0000B74D0000}"/>
    <cellStyle name="Warning Text 258" xfId="19849" xr:uid="{00000000-0005-0000-0000-0000B84D0000}"/>
    <cellStyle name="Warning Text 259" xfId="19850" xr:uid="{00000000-0005-0000-0000-0000B94D0000}"/>
    <cellStyle name="Warning Text 26" xfId="19851" xr:uid="{00000000-0005-0000-0000-0000BA4D0000}"/>
    <cellStyle name="Warning Text 260" xfId="19852" xr:uid="{00000000-0005-0000-0000-0000BB4D0000}"/>
    <cellStyle name="Warning Text 261" xfId="19853" xr:uid="{00000000-0005-0000-0000-0000BC4D0000}"/>
    <cellStyle name="Warning Text 262" xfId="19854" xr:uid="{00000000-0005-0000-0000-0000BD4D0000}"/>
    <cellStyle name="Warning Text 263" xfId="19855" xr:uid="{00000000-0005-0000-0000-0000BE4D0000}"/>
    <cellStyle name="Warning Text 264" xfId="19856" xr:uid="{00000000-0005-0000-0000-0000BF4D0000}"/>
    <cellStyle name="Warning Text 265" xfId="19857" xr:uid="{00000000-0005-0000-0000-0000C04D0000}"/>
    <cellStyle name="Warning Text 266" xfId="19858" xr:uid="{00000000-0005-0000-0000-0000C14D0000}"/>
    <cellStyle name="Warning Text 267" xfId="19859" xr:uid="{00000000-0005-0000-0000-0000C24D0000}"/>
    <cellStyle name="Warning Text 268" xfId="19860" xr:uid="{00000000-0005-0000-0000-0000C34D0000}"/>
    <cellStyle name="Warning Text 269" xfId="19861" xr:uid="{00000000-0005-0000-0000-0000C44D0000}"/>
    <cellStyle name="Warning Text 27" xfId="19862" xr:uid="{00000000-0005-0000-0000-0000C54D0000}"/>
    <cellStyle name="Warning Text 270" xfId="19863" xr:uid="{00000000-0005-0000-0000-0000C64D0000}"/>
    <cellStyle name="Warning Text 271" xfId="19864" xr:uid="{00000000-0005-0000-0000-0000C74D0000}"/>
    <cellStyle name="Warning Text 272" xfId="19865" xr:uid="{00000000-0005-0000-0000-0000C84D0000}"/>
    <cellStyle name="Warning Text 273" xfId="19866" xr:uid="{00000000-0005-0000-0000-0000C94D0000}"/>
    <cellStyle name="Warning Text 274" xfId="19867" xr:uid="{00000000-0005-0000-0000-0000CA4D0000}"/>
    <cellStyle name="Warning Text 275" xfId="19868" xr:uid="{00000000-0005-0000-0000-0000CB4D0000}"/>
    <cellStyle name="Warning Text 276" xfId="19869" xr:uid="{00000000-0005-0000-0000-0000CC4D0000}"/>
    <cellStyle name="Warning Text 277" xfId="19870" xr:uid="{00000000-0005-0000-0000-0000CD4D0000}"/>
    <cellStyle name="Warning Text 278" xfId="19871" xr:uid="{00000000-0005-0000-0000-0000CE4D0000}"/>
    <cellStyle name="Warning Text 279" xfId="19872" xr:uid="{00000000-0005-0000-0000-0000CF4D0000}"/>
    <cellStyle name="Warning Text 28" xfId="19873" xr:uid="{00000000-0005-0000-0000-0000D04D0000}"/>
    <cellStyle name="Warning Text 280" xfId="19874" xr:uid="{00000000-0005-0000-0000-0000D14D0000}"/>
    <cellStyle name="Warning Text 281" xfId="19875" xr:uid="{00000000-0005-0000-0000-0000D24D0000}"/>
    <cellStyle name="Warning Text 282" xfId="19876" xr:uid="{00000000-0005-0000-0000-0000D34D0000}"/>
    <cellStyle name="Warning Text 283" xfId="19877" xr:uid="{00000000-0005-0000-0000-0000D44D0000}"/>
    <cellStyle name="Warning Text 284" xfId="19878" xr:uid="{00000000-0005-0000-0000-0000D54D0000}"/>
    <cellStyle name="Warning Text 285" xfId="19879" xr:uid="{00000000-0005-0000-0000-0000D64D0000}"/>
    <cellStyle name="Warning Text 286" xfId="19880" xr:uid="{00000000-0005-0000-0000-0000D74D0000}"/>
    <cellStyle name="Warning Text 287" xfId="19881" xr:uid="{00000000-0005-0000-0000-0000D84D0000}"/>
    <cellStyle name="Warning Text 288" xfId="19882" xr:uid="{00000000-0005-0000-0000-0000D94D0000}"/>
    <cellStyle name="Warning Text 289" xfId="19883" xr:uid="{00000000-0005-0000-0000-0000DA4D0000}"/>
    <cellStyle name="Warning Text 29" xfId="19884" xr:uid="{00000000-0005-0000-0000-0000DB4D0000}"/>
    <cellStyle name="Warning Text 290" xfId="19885" xr:uid="{00000000-0005-0000-0000-0000DC4D0000}"/>
    <cellStyle name="Warning Text 291" xfId="19886" xr:uid="{00000000-0005-0000-0000-0000DD4D0000}"/>
    <cellStyle name="Warning Text 292" xfId="19887" xr:uid="{00000000-0005-0000-0000-0000DE4D0000}"/>
    <cellStyle name="Warning Text 293" xfId="19888" xr:uid="{00000000-0005-0000-0000-0000DF4D0000}"/>
    <cellStyle name="Warning Text 294" xfId="19889" xr:uid="{00000000-0005-0000-0000-0000E04D0000}"/>
    <cellStyle name="Warning Text 295" xfId="19890" xr:uid="{00000000-0005-0000-0000-0000E14D0000}"/>
    <cellStyle name="Warning Text 296" xfId="19891" xr:uid="{00000000-0005-0000-0000-0000E24D0000}"/>
    <cellStyle name="Warning Text 297" xfId="19892" xr:uid="{00000000-0005-0000-0000-0000E34D0000}"/>
    <cellStyle name="Warning Text 298" xfId="19893" xr:uid="{00000000-0005-0000-0000-0000E44D0000}"/>
    <cellStyle name="Warning Text 299" xfId="19894" xr:uid="{00000000-0005-0000-0000-0000E54D0000}"/>
    <cellStyle name="Warning Text 3" xfId="19895" xr:uid="{00000000-0005-0000-0000-0000E64D0000}"/>
    <cellStyle name="Warning Text 30" xfId="19896" xr:uid="{00000000-0005-0000-0000-0000E74D0000}"/>
    <cellStyle name="Warning Text 300" xfId="19897" xr:uid="{00000000-0005-0000-0000-0000E84D0000}"/>
    <cellStyle name="Warning Text 301" xfId="19898" xr:uid="{00000000-0005-0000-0000-0000E94D0000}"/>
    <cellStyle name="Warning Text 302" xfId="19899" xr:uid="{00000000-0005-0000-0000-0000EA4D0000}"/>
    <cellStyle name="Warning Text 303" xfId="19900" xr:uid="{00000000-0005-0000-0000-0000EB4D0000}"/>
    <cellStyle name="Warning Text 304" xfId="19901" xr:uid="{00000000-0005-0000-0000-0000EC4D0000}"/>
    <cellStyle name="Warning Text 305" xfId="19902" xr:uid="{00000000-0005-0000-0000-0000ED4D0000}"/>
    <cellStyle name="Warning Text 306" xfId="19903" xr:uid="{00000000-0005-0000-0000-0000EE4D0000}"/>
    <cellStyle name="Warning Text 307" xfId="19904" xr:uid="{00000000-0005-0000-0000-0000EF4D0000}"/>
    <cellStyle name="Warning Text 308" xfId="19905" xr:uid="{00000000-0005-0000-0000-0000F04D0000}"/>
    <cellStyle name="Warning Text 309" xfId="19906" xr:uid="{00000000-0005-0000-0000-0000F14D0000}"/>
    <cellStyle name="Warning Text 31" xfId="19907" xr:uid="{00000000-0005-0000-0000-0000F24D0000}"/>
    <cellStyle name="Warning Text 310" xfId="19908" xr:uid="{00000000-0005-0000-0000-0000F34D0000}"/>
    <cellStyle name="Warning Text 311" xfId="19909" xr:uid="{00000000-0005-0000-0000-0000F44D0000}"/>
    <cellStyle name="Warning Text 312" xfId="19910" xr:uid="{00000000-0005-0000-0000-0000F54D0000}"/>
    <cellStyle name="Warning Text 313" xfId="19911" xr:uid="{00000000-0005-0000-0000-0000F64D0000}"/>
    <cellStyle name="Warning Text 314" xfId="19912" xr:uid="{00000000-0005-0000-0000-0000F74D0000}"/>
    <cellStyle name="Warning Text 315" xfId="19913" xr:uid="{00000000-0005-0000-0000-0000F84D0000}"/>
    <cellStyle name="Warning Text 316" xfId="19914" xr:uid="{00000000-0005-0000-0000-0000F94D0000}"/>
    <cellStyle name="Warning Text 317" xfId="19915" xr:uid="{00000000-0005-0000-0000-0000FA4D0000}"/>
    <cellStyle name="Warning Text 318" xfId="19916" xr:uid="{00000000-0005-0000-0000-0000FB4D0000}"/>
    <cellStyle name="Warning Text 319" xfId="19917" xr:uid="{00000000-0005-0000-0000-0000FC4D0000}"/>
    <cellStyle name="Warning Text 32" xfId="19918" xr:uid="{00000000-0005-0000-0000-0000FD4D0000}"/>
    <cellStyle name="Warning Text 320" xfId="19919" xr:uid="{00000000-0005-0000-0000-0000FE4D0000}"/>
    <cellStyle name="Warning Text 321" xfId="19920" xr:uid="{00000000-0005-0000-0000-0000FF4D0000}"/>
    <cellStyle name="Warning Text 322" xfId="19921" xr:uid="{00000000-0005-0000-0000-0000004E0000}"/>
    <cellStyle name="Warning Text 323" xfId="19922" xr:uid="{00000000-0005-0000-0000-0000014E0000}"/>
    <cellStyle name="Warning Text 324" xfId="19923" xr:uid="{00000000-0005-0000-0000-0000024E0000}"/>
    <cellStyle name="Warning Text 325" xfId="19924" xr:uid="{00000000-0005-0000-0000-0000034E0000}"/>
    <cellStyle name="Warning Text 326" xfId="19925" xr:uid="{00000000-0005-0000-0000-0000044E0000}"/>
    <cellStyle name="Warning Text 327" xfId="19926" xr:uid="{00000000-0005-0000-0000-0000054E0000}"/>
    <cellStyle name="Warning Text 328" xfId="19927" xr:uid="{00000000-0005-0000-0000-0000064E0000}"/>
    <cellStyle name="Warning Text 329" xfId="19928" xr:uid="{00000000-0005-0000-0000-0000074E0000}"/>
    <cellStyle name="Warning Text 33" xfId="19929" xr:uid="{00000000-0005-0000-0000-0000084E0000}"/>
    <cellStyle name="Warning Text 330" xfId="19930" xr:uid="{00000000-0005-0000-0000-0000094E0000}"/>
    <cellStyle name="Warning Text 331" xfId="19931" xr:uid="{00000000-0005-0000-0000-00000A4E0000}"/>
    <cellStyle name="Warning Text 332" xfId="19932" xr:uid="{00000000-0005-0000-0000-00000B4E0000}"/>
    <cellStyle name="Warning Text 333" xfId="19933" xr:uid="{00000000-0005-0000-0000-00000C4E0000}"/>
    <cellStyle name="Warning Text 334" xfId="19934" xr:uid="{00000000-0005-0000-0000-00000D4E0000}"/>
    <cellStyle name="Warning Text 335" xfId="19935" xr:uid="{00000000-0005-0000-0000-00000E4E0000}"/>
    <cellStyle name="Warning Text 336" xfId="19936" xr:uid="{00000000-0005-0000-0000-00000F4E0000}"/>
    <cellStyle name="Warning Text 337" xfId="19937" xr:uid="{00000000-0005-0000-0000-0000104E0000}"/>
    <cellStyle name="Warning Text 338" xfId="19938" xr:uid="{00000000-0005-0000-0000-0000114E0000}"/>
    <cellStyle name="Warning Text 339" xfId="19939" xr:uid="{00000000-0005-0000-0000-0000124E0000}"/>
    <cellStyle name="Warning Text 34" xfId="19940" xr:uid="{00000000-0005-0000-0000-0000134E0000}"/>
    <cellStyle name="Warning Text 340" xfId="19941" xr:uid="{00000000-0005-0000-0000-0000144E0000}"/>
    <cellStyle name="Warning Text 341" xfId="19942" xr:uid="{00000000-0005-0000-0000-0000154E0000}"/>
    <cellStyle name="Warning Text 342" xfId="19943" xr:uid="{00000000-0005-0000-0000-0000164E0000}"/>
    <cellStyle name="Warning Text 343" xfId="19944" xr:uid="{00000000-0005-0000-0000-0000174E0000}"/>
    <cellStyle name="Warning Text 344" xfId="19945" xr:uid="{00000000-0005-0000-0000-0000184E0000}"/>
    <cellStyle name="Warning Text 345" xfId="19946" xr:uid="{00000000-0005-0000-0000-0000194E0000}"/>
    <cellStyle name="Warning Text 346" xfId="19947" xr:uid="{00000000-0005-0000-0000-00001A4E0000}"/>
    <cellStyle name="Warning Text 347" xfId="19948" xr:uid="{00000000-0005-0000-0000-00001B4E0000}"/>
    <cellStyle name="Warning Text 348" xfId="19949" xr:uid="{00000000-0005-0000-0000-00001C4E0000}"/>
    <cellStyle name="Warning Text 349" xfId="19950" xr:uid="{00000000-0005-0000-0000-00001D4E0000}"/>
    <cellStyle name="Warning Text 35" xfId="19951" xr:uid="{00000000-0005-0000-0000-00001E4E0000}"/>
    <cellStyle name="Warning Text 350" xfId="19952" xr:uid="{00000000-0005-0000-0000-00001F4E0000}"/>
    <cellStyle name="Warning Text 351" xfId="19953" xr:uid="{00000000-0005-0000-0000-0000204E0000}"/>
    <cellStyle name="Warning Text 352" xfId="19954" xr:uid="{00000000-0005-0000-0000-0000214E0000}"/>
    <cellStyle name="Warning Text 353" xfId="19955" xr:uid="{00000000-0005-0000-0000-0000224E0000}"/>
    <cellStyle name="Warning Text 354" xfId="19956" xr:uid="{00000000-0005-0000-0000-0000234E0000}"/>
    <cellStyle name="Warning Text 355" xfId="19957" xr:uid="{00000000-0005-0000-0000-0000244E0000}"/>
    <cellStyle name="Warning Text 356" xfId="19958" xr:uid="{00000000-0005-0000-0000-0000254E0000}"/>
    <cellStyle name="Warning Text 357" xfId="19959" xr:uid="{00000000-0005-0000-0000-0000264E0000}"/>
    <cellStyle name="Warning Text 358" xfId="19960" xr:uid="{00000000-0005-0000-0000-0000274E0000}"/>
    <cellStyle name="Warning Text 359" xfId="19961" xr:uid="{00000000-0005-0000-0000-0000284E0000}"/>
    <cellStyle name="Warning Text 36" xfId="19962" xr:uid="{00000000-0005-0000-0000-0000294E0000}"/>
    <cellStyle name="Warning Text 360" xfId="19963" xr:uid="{00000000-0005-0000-0000-00002A4E0000}"/>
    <cellStyle name="Warning Text 361" xfId="19964" xr:uid="{00000000-0005-0000-0000-00002B4E0000}"/>
    <cellStyle name="Warning Text 362" xfId="19965" xr:uid="{00000000-0005-0000-0000-00002C4E0000}"/>
    <cellStyle name="Warning Text 363" xfId="19966" xr:uid="{00000000-0005-0000-0000-00002D4E0000}"/>
    <cellStyle name="Warning Text 364" xfId="19967" xr:uid="{00000000-0005-0000-0000-00002E4E0000}"/>
    <cellStyle name="Warning Text 365" xfId="19968" xr:uid="{00000000-0005-0000-0000-00002F4E0000}"/>
    <cellStyle name="Warning Text 366" xfId="19969" xr:uid="{00000000-0005-0000-0000-0000304E0000}"/>
    <cellStyle name="Warning Text 367" xfId="19970" xr:uid="{00000000-0005-0000-0000-0000314E0000}"/>
    <cellStyle name="Warning Text 368" xfId="19971" xr:uid="{00000000-0005-0000-0000-0000324E0000}"/>
    <cellStyle name="Warning Text 369" xfId="19972" xr:uid="{00000000-0005-0000-0000-0000334E0000}"/>
    <cellStyle name="Warning Text 37" xfId="19973" xr:uid="{00000000-0005-0000-0000-0000344E0000}"/>
    <cellStyle name="Warning Text 370" xfId="19974" xr:uid="{00000000-0005-0000-0000-0000354E0000}"/>
    <cellStyle name="Warning Text 371" xfId="19975" xr:uid="{00000000-0005-0000-0000-0000364E0000}"/>
    <cellStyle name="Warning Text 372" xfId="19976" xr:uid="{00000000-0005-0000-0000-0000374E0000}"/>
    <cellStyle name="Warning Text 373" xfId="19977" xr:uid="{00000000-0005-0000-0000-0000384E0000}"/>
    <cellStyle name="Warning Text 374" xfId="19978" xr:uid="{00000000-0005-0000-0000-0000394E0000}"/>
    <cellStyle name="Warning Text 375" xfId="19979" xr:uid="{00000000-0005-0000-0000-00003A4E0000}"/>
    <cellStyle name="Warning Text 376" xfId="19980" xr:uid="{00000000-0005-0000-0000-00003B4E0000}"/>
    <cellStyle name="Warning Text 377" xfId="19981" xr:uid="{00000000-0005-0000-0000-00003C4E0000}"/>
    <cellStyle name="Warning Text 378" xfId="19982" xr:uid="{00000000-0005-0000-0000-00003D4E0000}"/>
    <cellStyle name="Warning Text 379" xfId="19983" xr:uid="{00000000-0005-0000-0000-00003E4E0000}"/>
    <cellStyle name="Warning Text 38" xfId="19984" xr:uid="{00000000-0005-0000-0000-00003F4E0000}"/>
    <cellStyle name="Warning Text 380" xfId="19985" xr:uid="{00000000-0005-0000-0000-0000404E0000}"/>
    <cellStyle name="Warning Text 381" xfId="19986" xr:uid="{00000000-0005-0000-0000-0000414E0000}"/>
    <cellStyle name="Warning Text 382" xfId="19987" xr:uid="{00000000-0005-0000-0000-0000424E0000}"/>
    <cellStyle name="Warning Text 383" xfId="19988" xr:uid="{00000000-0005-0000-0000-0000434E0000}"/>
    <cellStyle name="Warning Text 384" xfId="19989" xr:uid="{00000000-0005-0000-0000-0000444E0000}"/>
    <cellStyle name="Warning Text 385" xfId="19990" xr:uid="{00000000-0005-0000-0000-0000454E0000}"/>
    <cellStyle name="Warning Text 386" xfId="19991" xr:uid="{00000000-0005-0000-0000-0000464E0000}"/>
    <cellStyle name="Warning Text 387" xfId="19992" xr:uid="{00000000-0005-0000-0000-0000474E0000}"/>
    <cellStyle name="Warning Text 388" xfId="19993" xr:uid="{00000000-0005-0000-0000-0000484E0000}"/>
    <cellStyle name="Warning Text 389" xfId="19994" xr:uid="{00000000-0005-0000-0000-0000494E0000}"/>
    <cellStyle name="Warning Text 39" xfId="19995" xr:uid="{00000000-0005-0000-0000-00004A4E0000}"/>
    <cellStyle name="Warning Text 390" xfId="19996" xr:uid="{00000000-0005-0000-0000-00004B4E0000}"/>
    <cellStyle name="Warning Text 391" xfId="19997" xr:uid="{00000000-0005-0000-0000-00004C4E0000}"/>
    <cellStyle name="Warning Text 392" xfId="19998" xr:uid="{00000000-0005-0000-0000-00004D4E0000}"/>
    <cellStyle name="Warning Text 393" xfId="19999" xr:uid="{00000000-0005-0000-0000-00004E4E0000}"/>
    <cellStyle name="Warning Text 394" xfId="20000" xr:uid="{00000000-0005-0000-0000-00004F4E0000}"/>
    <cellStyle name="Warning Text 395" xfId="20001" xr:uid="{00000000-0005-0000-0000-0000504E0000}"/>
    <cellStyle name="Warning Text 396" xfId="20002" xr:uid="{00000000-0005-0000-0000-0000514E0000}"/>
    <cellStyle name="Warning Text 397" xfId="20003" xr:uid="{00000000-0005-0000-0000-0000524E0000}"/>
    <cellStyle name="Warning Text 398" xfId="20004" xr:uid="{00000000-0005-0000-0000-0000534E0000}"/>
    <cellStyle name="Warning Text 399" xfId="20005" xr:uid="{00000000-0005-0000-0000-0000544E0000}"/>
    <cellStyle name="Warning Text 4" xfId="20006" xr:uid="{00000000-0005-0000-0000-0000554E0000}"/>
    <cellStyle name="Warning Text 40" xfId="20007" xr:uid="{00000000-0005-0000-0000-0000564E0000}"/>
    <cellStyle name="Warning Text 400" xfId="20008" xr:uid="{00000000-0005-0000-0000-0000574E0000}"/>
    <cellStyle name="Warning Text 401" xfId="20009" xr:uid="{00000000-0005-0000-0000-0000584E0000}"/>
    <cellStyle name="Warning Text 402" xfId="20010" xr:uid="{00000000-0005-0000-0000-0000594E0000}"/>
    <cellStyle name="Warning Text 403" xfId="20011" xr:uid="{00000000-0005-0000-0000-00005A4E0000}"/>
    <cellStyle name="Warning Text 404" xfId="20012" xr:uid="{00000000-0005-0000-0000-00005B4E0000}"/>
    <cellStyle name="Warning Text 405" xfId="20013" xr:uid="{00000000-0005-0000-0000-00005C4E0000}"/>
    <cellStyle name="Warning Text 406" xfId="20014" xr:uid="{00000000-0005-0000-0000-00005D4E0000}"/>
    <cellStyle name="Warning Text 407" xfId="20015" xr:uid="{00000000-0005-0000-0000-00005E4E0000}"/>
    <cellStyle name="Warning Text 408" xfId="20016" xr:uid="{00000000-0005-0000-0000-00005F4E0000}"/>
    <cellStyle name="Warning Text 409" xfId="20017" xr:uid="{00000000-0005-0000-0000-0000604E0000}"/>
    <cellStyle name="Warning Text 41" xfId="20018" xr:uid="{00000000-0005-0000-0000-0000614E0000}"/>
    <cellStyle name="Warning Text 410" xfId="20019" xr:uid="{00000000-0005-0000-0000-0000624E0000}"/>
    <cellStyle name="Warning Text 411" xfId="20020" xr:uid="{00000000-0005-0000-0000-0000634E0000}"/>
    <cellStyle name="Warning Text 412" xfId="20021" xr:uid="{00000000-0005-0000-0000-0000644E0000}"/>
    <cellStyle name="Warning Text 413" xfId="20022" xr:uid="{00000000-0005-0000-0000-0000654E0000}"/>
    <cellStyle name="Warning Text 414" xfId="20023" xr:uid="{00000000-0005-0000-0000-0000664E0000}"/>
    <cellStyle name="Warning Text 415" xfId="20024" xr:uid="{00000000-0005-0000-0000-0000674E0000}"/>
    <cellStyle name="Warning Text 416" xfId="20025" xr:uid="{00000000-0005-0000-0000-0000684E0000}"/>
    <cellStyle name="Warning Text 417" xfId="20026" xr:uid="{00000000-0005-0000-0000-0000694E0000}"/>
    <cellStyle name="Warning Text 418" xfId="20027" xr:uid="{00000000-0005-0000-0000-00006A4E0000}"/>
    <cellStyle name="Warning Text 419" xfId="20028" xr:uid="{00000000-0005-0000-0000-00006B4E0000}"/>
    <cellStyle name="Warning Text 42" xfId="20029" xr:uid="{00000000-0005-0000-0000-00006C4E0000}"/>
    <cellStyle name="Warning Text 420" xfId="20030" xr:uid="{00000000-0005-0000-0000-00006D4E0000}"/>
    <cellStyle name="Warning Text 421" xfId="20031" xr:uid="{00000000-0005-0000-0000-00006E4E0000}"/>
    <cellStyle name="Warning Text 422" xfId="20032" xr:uid="{00000000-0005-0000-0000-00006F4E0000}"/>
    <cellStyle name="Warning Text 423" xfId="20033" xr:uid="{00000000-0005-0000-0000-0000704E0000}"/>
    <cellStyle name="Warning Text 424" xfId="20034" xr:uid="{00000000-0005-0000-0000-0000714E0000}"/>
    <cellStyle name="Warning Text 425" xfId="20035" xr:uid="{00000000-0005-0000-0000-0000724E0000}"/>
    <cellStyle name="Warning Text 426" xfId="20036" xr:uid="{00000000-0005-0000-0000-0000734E0000}"/>
    <cellStyle name="Warning Text 427" xfId="20037" xr:uid="{00000000-0005-0000-0000-0000744E0000}"/>
    <cellStyle name="Warning Text 428" xfId="20038" xr:uid="{00000000-0005-0000-0000-0000754E0000}"/>
    <cellStyle name="Warning Text 429" xfId="20039" xr:uid="{00000000-0005-0000-0000-0000764E0000}"/>
    <cellStyle name="Warning Text 43" xfId="20040" xr:uid="{00000000-0005-0000-0000-0000774E0000}"/>
    <cellStyle name="Warning Text 430" xfId="20041" xr:uid="{00000000-0005-0000-0000-0000784E0000}"/>
    <cellStyle name="Warning Text 431" xfId="20042" xr:uid="{00000000-0005-0000-0000-0000794E0000}"/>
    <cellStyle name="Warning Text 432" xfId="20043" xr:uid="{00000000-0005-0000-0000-00007A4E0000}"/>
    <cellStyle name="Warning Text 433" xfId="20044" xr:uid="{00000000-0005-0000-0000-00007B4E0000}"/>
    <cellStyle name="Warning Text 434" xfId="20045" xr:uid="{00000000-0005-0000-0000-00007C4E0000}"/>
    <cellStyle name="Warning Text 435" xfId="20046" xr:uid="{00000000-0005-0000-0000-00007D4E0000}"/>
    <cellStyle name="Warning Text 436" xfId="20047" xr:uid="{00000000-0005-0000-0000-00007E4E0000}"/>
    <cellStyle name="Warning Text 437" xfId="20048" xr:uid="{00000000-0005-0000-0000-00007F4E0000}"/>
    <cellStyle name="Warning Text 438" xfId="20049" xr:uid="{00000000-0005-0000-0000-0000804E0000}"/>
    <cellStyle name="Warning Text 439" xfId="20050" xr:uid="{00000000-0005-0000-0000-0000814E0000}"/>
    <cellStyle name="Warning Text 44" xfId="20051" xr:uid="{00000000-0005-0000-0000-0000824E0000}"/>
    <cellStyle name="Warning Text 440" xfId="20052" xr:uid="{00000000-0005-0000-0000-0000834E0000}"/>
    <cellStyle name="Warning Text 441" xfId="20053" xr:uid="{00000000-0005-0000-0000-0000844E0000}"/>
    <cellStyle name="Warning Text 442" xfId="20054" xr:uid="{00000000-0005-0000-0000-0000854E0000}"/>
    <cellStyle name="Warning Text 443" xfId="20055" xr:uid="{00000000-0005-0000-0000-0000864E0000}"/>
    <cellStyle name="Warning Text 444" xfId="20056" xr:uid="{00000000-0005-0000-0000-0000874E0000}"/>
    <cellStyle name="Warning Text 445" xfId="20057" xr:uid="{00000000-0005-0000-0000-0000884E0000}"/>
    <cellStyle name="Warning Text 446" xfId="20058" xr:uid="{00000000-0005-0000-0000-0000894E0000}"/>
    <cellStyle name="Warning Text 447" xfId="20059" xr:uid="{00000000-0005-0000-0000-00008A4E0000}"/>
    <cellStyle name="Warning Text 448" xfId="20060" xr:uid="{00000000-0005-0000-0000-00008B4E0000}"/>
    <cellStyle name="Warning Text 449" xfId="20061" xr:uid="{00000000-0005-0000-0000-00008C4E0000}"/>
    <cellStyle name="Warning Text 45" xfId="20062" xr:uid="{00000000-0005-0000-0000-00008D4E0000}"/>
    <cellStyle name="Warning Text 450" xfId="20063" xr:uid="{00000000-0005-0000-0000-00008E4E0000}"/>
    <cellStyle name="Warning Text 451" xfId="20064" xr:uid="{00000000-0005-0000-0000-00008F4E0000}"/>
    <cellStyle name="Warning Text 452" xfId="20065" xr:uid="{00000000-0005-0000-0000-0000904E0000}"/>
    <cellStyle name="Warning Text 453" xfId="20066" xr:uid="{00000000-0005-0000-0000-0000914E0000}"/>
    <cellStyle name="Warning Text 454" xfId="20067" xr:uid="{00000000-0005-0000-0000-0000924E0000}"/>
    <cellStyle name="Warning Text 455" xfId="20068" xr:uid="{00000000-0005-0000-0000-0000934E0000}"/>
    <cellStyle name="Warning Text 456" xfId="20069" xr:uid="{00000000-0005-0000-0000-0000944E0000}"/>
    <cellStyle name="Warning Text 457" xfId="20070" xr:uid="{00000000-0005-0000-0000-0000954E0000}"/>
    <cellStyle name="Warning Text 458" xfId="20071" xr:uid="{00000000-0005-0000-0000-0000964E0000}"/>
    <cellStyle name="Warning Text 459" xfId="20072" xr:uid="{00000000-0005-0000-0000-0000974E0000}"/>
    <cellStyle name="Warning Text 46" xfId="20073" xr:uid="{00000000-0005-0000-0000-0000984E0000}"/>
    <cellStyle name="Warning Text 460" xfId="20074" xr:uid="{00000000-0005-0000-0000-0000994E0000}"/>
    <cellStyle name="Warning Text 461" xfId="20075" xr:uid="{00000000-0005-0000-0000-00009A4E0000}"/>
    <cellStyle name="Warning Text 462" xfId="20076" xr:uid="{00000000-0005-0000-0000-00009B4E0000}"/>
    <cellStyle name="Warning Text 463" xfId="20077" xr:uid="{00000000-0005-0000-0000-00009C4E0000}"/>
    <cellStyle name="Warning Text 464" xfId="20078" xr:uid="{00000000-0005-0000-0000-00009D4E0000}"/>
    <cellStyle name="Warning Text 465" xfId="20079" xr:uid="{00000000-0005-0000-0000-00009E4E0000}"/>
    <cellStyle name="Warning Text 466" xfId="20080" xr:uid="{00000000-0005-0000-0000-00009F4E0000}"/>
    <cellStyle name="Warning Text 467" xfId="20081" xr:uid="{00000000-0005-0000-0000-0000A04E0000}"/>
    <cellStyle name="Warning Text 468" xfId="20082" xr:uid="{00000000-0005-0000-0000-0000A14E0000}"/>
    <cellStyle name="Warning Text 469" xfId="20083" xr:uid="{00000000-0005-0000-0000-0000A24E0000}"/>
    <cellStyle name="Warning Text 47" xfId="20084" xr:uid="{00000000-0005-0000-0000-0000A34E0000}"/>
    <cellStyle name="Warning Text 470" xfId="20085" xr:uid="{00000000-0005-0000-0000-0000A44E0000}"/>
    <cellStyle name="Warning Text 471" xfId="20086" xr:uid="{00000000-0005-0000-0000-0000A54E0000}"/>
    <cellStyle name="Warning Text 472" xfId="20087" xr:uid="{00000000-0005-0000-0000-0000A64E0000}"/>
    <cellStyle name="Warning Text 473" xfId="20088" xr:uid="{00000000-0005-0000-0000-0000A74E0000}"/>
    <cellStyle name="Warning Text 474" xfId="20089" xr:uid="{00000000-0005-0000-0000-0000A84E0000}"/>
    <cellStyle name="Warning Text 475" xfId="20090" xr:uid="{00000000-0005-0000-0000-0000A94E0000}"/>
    <cellStyle name="Warning Text 476" xfId="20091" xr:uid="{00000000-0005-0000-0000-0000AA4E0000}"/>
    <cellStyle name="Warning Text 477" xfId="20092" xr:uid="{00000000-0005-0000-0000-0000AB4E0000}"/>
    <cellStyle name="Warning Text 478" xfId="20093" xr:uid="{00000000-0005-0000-0000-0000AC4E0000}"/>
    <cellStyle name="Warning Text 479" xfId="20094" xr:uid="{00000000-0005-0000-0000-0000AD4E0000}"/>
    <cellStyle name="Warning Text 48" xfId="20095" xr:uid="{00000000-0005-0000-0000-0000AE4E0000}"/>
    <cellStyle name="Warning Text 480" xfId="20096" xr:uid="{00000000-0005-0000-0000-0000AF4E0000}"/>
    <cellStyle name="Warning Text 481" xfId="20097" xr:uid="{00000000-0005-0000-0000-0000B04E0000}"/>
    <cellStyle name="Warning Text 482" xfId="20098" xr:uid="{00000000-0005-0000-0000-0000B14E0000}"/>
    <cellStyle name="Warning Text 483" xfId="20099" xr:uid="{00000000-0005-0000-0000-0000B24E0000}"/>
    <cellStyle name="Warning Text 484" xfId="20100" xr:uid="{00000000-0005-0000-0000-0000B34E0000}"/>
    <cellStyle name="Warning Text 485" xfId="20101" xr:uid="{00000000-0005-0000-0000-0000B44E0000}"/>
    <cellStyle name="Warning Text 486" xfId="20102" xr:uid="{00000000-0005-0000-0000-0000B54E0000}"/>
    <cellStyle name="Warning Text 487" xfId="20103" xr:uid="{00000000-0005-0000-0000-0000B64E0000}"/>
    <cellStyle name="Warning Text 488" xfId="20104" xr:uid="{00000000-0005-0000-0000-0000B74E0000}"/>
    <cellStyle name="Warning Text 489" xfId="20105" xr:uid="{00000000-0005-0000-0000-0000B84E0000}"/>
    <cellStyle name="Warning Text 49" xfId="20106" xr:uid="{00000000-0005-0000-0000-0000B94E0000}"/>
    <cellStyle name="Warning Text 490" xfId="20107" xr:uid="{00000000-0005-0000-0000-0000BA4E0000}"/>
    <cellStyle name="Warning Text 491" xfId="20108" xr:uid="{00000000-0005-0000-0000-0000BB4E0000}"/>
    <cellStyle name="Warning Text 492" xfId="20109" xr:uid="{00000000-0005-0000-0000-0000BC4E0000}"/>
    <cellStyle name="Warning Text 493" xfId="20110" xr:uid="{00000000-0005-0000-0000-0000BD4E0000}"/>
    <cellStyle name="Warning Text 494" xfId="20111" xr:uid="{00000000-0005-0000-0000-0000BE4E0000}"/>
    <cellStyle name="Warning Text 495" xfId="20112" xr:uid="{00000000-0005-0000-0000-0000BF4E0000}"/>
    <cellStyle name="Warning Text 496" xfId="20113" xr:uid="{00000000-0005-0000-0000-0000C04E0000}"/>
    <cellStyle name="Warning Text 497" xfId="20114" xr:uid="{00000000-0005-0000-0000-0000C14E0000}"/>
    <cellStyle name="Warning Text 498" xfId="20115" xr:uid="{00000000-0005-0000-0000-0000C24E0000}"/>
    <cellStyle name="Warning Text 499" xfId="20116" xr:uid="{00000000-0005-0000-0000-0000C34E0000}"/>
    <cellStyle name="Warning Text 5" xfId="20117" xr:uid="{00000000-0005-0000-0000-0000C44E0000}"/>
    <cellStyle name="Warning Text 50" xfId="20118" xr:uid="{00000000-0005-0000-0000-0000C54E0000}"/>
    <cellStyle name="Warning Text 500" xfId="20119" xr:uid="{00000000-0005-0000-0000-0000C64E0000}"/>
    <cellStyle name="Warning Text 501" xfId="20120" xr:uid="{00000000-0005-0000-0000-0000C74E0000}"/>
    <cellStyle name="Warning Text 502" xfId="20121" xr:uid="{00000000-0005-0000-0000-0000C84E0000}"/>
    <cellStyle name="Warning Text 503" xfId="20122" xr:uid="{00000000-0005-0000-0000-0000C94E0000}"/>
    <cellStyle name="Warning Text 504" xfId="20123" xr:uid="{00000000-0005-0000-0000-0000CA4E0000}"/>
    <cellStyle name="Warning Text 505" xfId="20124" xr:uid="{00000000-0005-0000-0000-0000CB4E0000}"/>
    <cellStyle name="Warning Text 506" xfId="20125" xr:uid="{00000000-0005-0000-0000-0000CC4E0000}"/>
    <cellStyle name="Warning Text 507" xfId="20126" xr:uid="{00000000-0005-0000-0000-0000CD4E0000}"/>
    <cellStyle name="Warning Text 508" xfId="20127" xr:uid="{00000000-0005-0000-0000-0000CE4E0000}"/>
    <cellStyle name="Warning Text 509" xfId="20128" xr:uid="{00000000-0005-0000-0000-0000CF4E0000}"/>
    <cellStyle name="Warning Text 51" xfId="20129" xr:uid="{00000000-0005-0000-0000-0000D04E0000}"/>
    <cellStyle name="Warning Text 510" xfId="20130" xr:uid="{00000000-0005-0000-0000-0000D14E0000}"/>
    <cellStyle name="Warning Text 511" xfId="20131" xr:uid="{00000000-0005-0000-0000-0000D24E0000}"/>
    <cellStyle name="Warning Text 512" xfId="20132" xr:uid="{00000000-0005-0000-0000-0000D34E0000}"/>
    <cellStyle name="Warning Text 513" xfId="20133" xr:uid="{00000000-0005-0000-0000-0000D44E0000}"/>
    <cellStyle name="Warning Text 514" xfId="20134" xr:uid="{00000000-0005-0000-0000-0000D54E0000}"/>
    <cellStyle name="Warning Text 515" xfId="20135" xr:uid="{00000000-0005-0000-0000-0000D64E0000}"/>
    <cellStyle name="Warning Text 516" xfId="20136" xr:uid="{00000000-0005-0000-0000-0000D74E0000}"/>
    <cellStyle name="Warning Text 517" xfId="20137" xr:uid="{00000000-0005-0000-0000-0000D84E0000}"/>
    <cellStyle name="Warning Text 518" xfId="20138" xr:uid="{00000000-0005-0000-0000-0000D94E0000}"/>
    <cellStyle name="Warning Text 519" xfId="20139" xr:uid="{00000000-0005-0000-0000-0000DA4E0000}"/>
    <cellStyle name="Warning Text 52" xfId="20140" xr:uid="{00000000-0005-0000-0000-0000DB4E0000}"/>
    <cellStyle name="Warning Text 520" xfId="20141" xr:uid="{00000000-0005-0000-0000-0000DC4E0000}"/>
    <cellStyle name="Warning Text 521" xfId="20142" xr:uid="{00000000-0005-0000-0000-0000DD4E0000}"/>
    <cellStyle name="Warning Text 522" xfId="20143" xr:uid="{00000000-0005-0000-0000-0000DE4E0000}"/>
    <cellStyle name="Warning Text 523" xfId="20144" xr:uid="{00000000-0005-0000-0000-0000DF4E0000}"/>
    <cellStyle name="Warning Text 524" xfId="20145" xr:uid="{00000000-0005-0000-0000-0000E04E0000}"/>
    <cellStyle name="Warning Text 525" xfId="20146" xr:uid="{00000000-0005-0000-0000-0000E14E0000}"/>
    <cellStyle name="Warning Text 526" xfId="20147" xr:uid="{00000000-0005-0000-0000-0000E24E0000}"/>
    <cellStyle name="Warning Text 527" xfId="20148" xr:uid="{00000000-0005-0000-0000-0000E34E0000}"/>
    <cellStyle name="Warning Text 528" xfId="20149" xr:uid="{00000000-0005-0000-0000-0000E44E0000}"/>
    <cellStyle name="Warning Text 529" xfId="20150" xr:uid="{00000000-0005-0000-0000-0000E54E0000}"/>
    <cellStyle name="Warning Text 53" xfId="20151" xr:uid="{00000000-0005-0000-0000-0000E64E0000}"/>
    <cellStyle name="Warning Text 530" xfId="20152" xr:uid="{00000000-0005-0000-0000-0000E74E0000}"/>
    <cellStyle name="Warning Text 531" xfId="20153" xr:uid="{00000000-0005-0000-0000-0000E84E0000}"/>
    <cellStyle name="Warning Text 532" xfId="20154" xr:uid="{00000000-0005-0000-0000-0000E94E0000}"/>
    <cellStyle name="Warning Text 533" xfId="20155" xr:uid="{00000000-0005-0000-0000-0000EA4E0000}"/>
    <cellStyle name="Warning Text 534" xfId="20156" xr:uid="{00000000-0005-0000-0000-0000EB4E0000}"/>
    <cellStyle name="Warning Text 535" xfId="20157" xr:uid="{00000000-0005-0000-0000-0000EC4E0000}"/>
    <cellStyle name="Warning Text 536" xfId="20158" xr:uid="{00000000-0005-0000-0000-0000ED4E0000}"/>
    <cellStyle name="Warning Text 537" xfId="20159" xr:uid="{00000000-0005-0000-0000-0000EE4E0000}"/>
    <cellStyle name="Warning Text 538" xfId="20160" xr:uid="{00000000-0005-0000-0000-0000EF4E0000}"/>
    <cellStyle name="Warning Text 539" xfId="20161" xr:uid="{00000000-0005-0000-0000-0000F04E0000}"/>
    <cellStyle name="Warning Text 54" xfId="20162" xr:uid="{00000000-0005-0000-0000-0000F14E0000}"/>
    <cellStyle name="Warning Text 540" xfId="20163" xr:uid="{00000000-0005-0000-0000-0000F24E0000}"/>
    <cellStyle name="Warning Text 541" xfId="20164" xr:uid="{00000000-0005-0000-0000-0000F34E0000}"/>
    <cellStyle name="Warning Text 542" xfId="20165" xr:uid="{00000000-0005-0000-0000-0000F44E0000}"/>
    <cellStyle name="Warning Text 543" xfId="20166" xr:uid="{00000000-0005-0000-0000-0000F54E0000}"/>
    <cellStyle name="Warning Text 544" xfId="20167" xr:uid="{00000000-0005-0000-0000-0000F64E0000}"/>
    <cellStyle name="Warning Text 545" xfId="20168" xr:uid="{00000000-0005-0000-0000-0000F74E0000}"/>
    <cellStyle name="Warning Text 546" xfId="20169" xr:uid="{00000000-0005-0000-0000-0000F84E0000}"/>
    <cellStyle name="Warning Text 547" xfId="20170" xr:uid="{00000000-0005-0000-0000-0000F94E0000}"/>
    <cellStyle name="Warning Text 548" xfId="20171" xr:uid="{00000000-0005-0000-0000-0000FA4E0000}"/>
    <cellStyle name="Warning Text 549" xfId="20172" xr:uid="{00000000-0005-0000-0000-0000FB4E0000}"/>
    <cellStyle name="Warning Text 55" xfId="20173" xr:uid="{00000000-0005-0000-0000-0000FC4E0000}"/>
    <cellStyle name="Warning Text 550" xfId="20174" xr:uid="{00000000-0005-0000-0000-0000FD4E0000}"/>
    <cellStyle name="Warning Text 551" xfId="20175" xr:uid="{00000000-0005-0000-0000-0000FE4E0000}"/>
    <cellStyle name="Warning Text 552" xfId="20176" xr:uid="{00000000-0005-0000-0000-0000FF4E0000}"/>
    <cellStyle name="Warning Text 553" xfId="20177" xr:uid="{00000000-0005-0000-0000-0000004F0000}"/>
    <cellStyle name="Warning Text 554" xfId="20178" xr:uid="{00000000-0005-0000-0000-0000014F0000}"/>
    <cellStyle name="Warning Text 555" xfId="20179" xr:uid="{00000000-0005-0000-0000-0000024F0000}"/>
    <cellStyle name="Warning Text 556" xfId="20180" xr:uid="{00000000-0005-0000-0000-0000034F0000}"/>
    <cellStyle name="Warning Text 557" xfId="20181" xr:uid="{00000000-0005-0000-0000-0000044F0000}"/>
    <cellStyle name="Warning Text 558" xfId="20182" xr:uid="{00000000-0005-0000-0000-0000054F0000}"/>
    <cellStyle name="Warning Text 559" xfId="20183" xr:uid="{00000000-0005-0000-0000-0000064F0000}"/>
    <cellStyle name="Warning Text 56" xfId="20184" xr:uid="{00000000-0005-0000-0000-0000074F0000}"/>
    <cellStyle name="Warning Text 560" xfId="20185" xr:uid="{00000000-0005-0000-0000-0000084F0000}"/>
    <cellStyle name="Warning Text 561" xfId="20186" xr:uid="{00000000-0005-0000-0000-0000094F0000}"/>
    <cellStyle name="Warning Text 562" xfId="20187" xr:uid="{00000000-0005-0000-0000-00000A4F0000}"/>
    <cellStyle name="Warning Text 563" xfId="20188" xr:uid="{00000000-0005-0000-0000-00000B4F0000}"/>
    <cellStyle name="Warning Text 564" xfId="20189" xr:uid="{00000000-0005-0000-0000-00000C4F0000}"/>
    <cellStyle name="Warning Text 565" xfId="20190" xr:uid="{00000000-0005-0000-0000-00000D4F0000}"/>
    <cellStyle name="Warning Text 566" xfId="20191" xr:uid="{00000000-0005-0000-0000-00000E4F0000}"/>
    <cellStyle name="Warning Text 567" xfId="20192" xr:uid="{00000000-0005-0000-0000-00000F4F0000}"/>
    <cellStyle name="Warning Text 568" xfId="20193" xr:uid="{00000000-0005-0000-0000-0000104F0000}"/>
    <cellStyle name="Warning Text 569" xfId="20194" xr:uid="{00000000-0005-0000-0000-0000114F0000}"/>
    <cellStyle name="Warning Text 57" xfId="20195" xr:uid="{00000000-0005-0000-0000-0000124F0000}"/>
    <cellStyle name="Warning Text 570" xfId="20196" xr:uid="{00000000-0005-0000-0000-0000134F0000}"/>
    <cellStyle name="Warning Text 571" xfId="20197" xr:uid="{00000000-0005-0000-0000-0000144F0000}"/>
    <cellStyle name="Warning Text 572" xfId="20198" xr:uid="{00000000-0005-0000-0000-0000154F0000}"/>
    <cellStyle name="Warning Text 573" xfId="20199" xr:uid="{00000000-0005-0000-0000-0000164F0000}"/>
    <cellStyle name="Warning Text 574" xfId="20200" xr:uid="{00000000-0005-0000-0000-0000174F0000}"/>
    <cellStyle name="Warning Text 575" xfId="20201" xr:uid="{00000000-0005-0000-0000-0000184F0000}"/>
    <cellStyle name="Warning Text 576" xfId="20202" xr:uid="{00000000-0005-0000-0000-0000194F0000}"/>
    <cellStyle name="Warning Text 577" xfId="20203" xr:uid="{00000000-0005-0000-0000-00001A4F0000}"/>
    <cellStyle name="Warning Text 578" xfId="20204" xr:uid="{00000000-0005-0000-0000-00001B4F0000}"/>
    <cellStyle name="Warning Text 579" xfId="20205" xr:uid="{00000000-0005-0000-0000-00001C4F0000}"/>
    <cellStyle name="Warning Text 58" xfId="20206" xr:uid="{00000000-0005-0000-0000-00001D4F0000}"/>
    <cellStyle name="Warning Text 580" xfId="20207" xr:uid="{00000000-0005-0000-0000-00001E4F0000}"/>
    <cellStyle name="Warning Text 581" xfId="20208" xr:uid="{00000000-0005-0000-0000-00001F4F0000}"/>
    <cellStyle name="Warning Text 582" xfId="20209" xr:uid="{00000000-0005-0000-0000-0000204F0000}"/>
    <cellStyle name="Warning Text 583" xfId="20210" xr:uid="{00000000-0005-0000-0000-0000214F0000}"/>
    <cellStyle name="Warning Text 584" xfId="20211" xr:uid="{00000000-0005-0000-0000-0000224F0000}"/>
    <cellStyle name="Warning Text 585" xfId="20212" xr:uid="{00000000-0005-0000-0000-0000234F0000}"/>
    <cellStyle name="Warning Text 586" xfId="20213" xr:uid="{00000000-0005-0000-0000-0000244F0000}"/>
    <cellStyle name="Warning Text 587" xfId="20214" xr:uid="{00000000-0005-0000-0000-0000254F0000}"/>
    <cellStyle name="Warning Text 588" xfId="20215" xr:uid="{00000000-0005-0000-0000-0000264F0000}"/>
    <cellStyle name="Warning Text 589" xfId="20216" xr:uid="{00000000-0005-0000-0000-0000274F0000}"/>
    <cellStyle name="Warning Text 59" xfId="20217" xr:uid="{00000000-0005-0000-0000-0000284F0000}"/>
    <cellStyle name="Warning Text 590" xfId="20218" xr:uid="{00000000-0005-0000-0000-0000294F0000}"/>
    <cellStyle name="Warning Text 591" xfId="20219" xr:uid="{00000000-0005-0000-0000-00002A4F0000}"/>
    <cellStyle name="Warning Text 592" xfId="20220" xr:uid="{00000000-0005-0000-0000-00002B4F0000}"/>
    <cellStyle name="Warning Text 593" xfId="20221" xr:uid="{00000000-0005-0000-0000-00002C4F0000}"/>
    <cellStyle name="Warning Text 594" xfId="20222" xr:uid="{00000000-0005-0000-0000-00002D4F0000}"/>
    <cellStyle name="Warning Text 595" xfId="20223" xr:uid="{00000000-0005-0000-0000-00002E4F0000}"/>
    <cellStyle name="Warning Text 596" xfId="20224" xr:uid="{00000000-0005-0000-0000-00002F4F0000}"/>
    <cellStyle name="Warning Text 597" xfId="20225" xr:uid="{00000000-0005-0000-0000-0000304F0000}"/>
    <cellStyle name="Warning Text 598" xfId="20226" xr:uid="{00000000-0005-0000-0000-0000314F0000}"/>
    <cellStyle name="Warning Text 599" xfId="20227" xr:uid="{00000000-0005-0000-0000-0000324F0000}"/>
    <cellStyle name="Warning Text 6" xfId="20228" xr:uid="{00000000-0005-0000-0000-0000334F0000}"/>
    <cellStyle name="Warning Text 60" xfId="20229" xr:uid="{00000000-0005-0000-0000-0000344F0000}"/>
    <cellStyle name="Warning Text 600" xfId="20230" xr:uid="{00000000-0005-0000-0000-0000354F0000}"/>
    <cellStyle name="Warning Text 601" xfId="20231" xr:uid="{00000000-0005-0000-0000-0000364F0000}"/>
    <cellStyle name="Warning Text 602" xfId="20232" xr:uid="{00000000-0005-0000-0000-0000374F0000}"/>
    <cellStyle name="Warning Text 603" xfId="20233" xr:uid="{00000000-0005-0000-0000-0000384F0000}"/>
    <cellStyle name="Warning Text 604" xfId="20234" xr:uid="{00000000-0005-0000-0000-0000394F0000}"/>
    <cellStyle name="Warning Text 605" xfId="20235" xr:uid="{00000000-0005-0000-0000-00003A4F0000}"/>
    <cellStyle name="Warning Text 606" xfId="20236" xr:uid="{00000000-0005-0000-0000-00003B4F0000}"/>
    <cellStyle name="Warning Text 607" xfId="20237" xr:uid="{00000000-0005-0000-0000-00003C4F0000}"/>
    <cellStyle name="Warning Text 608" xfId="20238" xr:uid="{00000000-0005-0000-0000-00003D4F0000}"/>
    <cellStyle name="Warning Text 609" xfId="20239" xr:uid="{00000000-0005-0000-0000-00003E4F0000}"/>
    <cellStyle name="Warning Text 61" xfId="20240" xr:uid="{00000000-0005-0000-0000-00003F4F0000}"/>
    <cellStyle name="Warning Text 610" xfId="20241" xr:uid="{00000000-0005-0000-0000-0000404F0000}"/>
    <cellStyle name="Warning Text 611" xfId="20242" xr:uid="{00000000-0005-0000-0000-0000414F0000}"/>
    <cellStyle name="Warning Text 612" xfId="20243" xr:uid="{00000000-0005-0000-0000-0000424F0000}"/>
    <cellStyle name="Warning Text 613" xfId="20244" xr:uid="{00000000-0005-0000-0000-0000434F0000}"/>
    <cellStyle name="Warning Text 614" xfId="20245" xr:uid="{00000000-0005-0000-0000-0000444F0000}"/>
    <cellStyle name="Warning Text 615" xfId="20246" xr:uid="{00000000-0005-0000-0000-0000454F0000}"/>
    <cellStyle name="Warning Text 616" xfId="20247" xr:uid="{00000000-0005-0000-0000-0000464F0000}"/>
    <cellStyle name="Warning Text 617" xfId="20248" xr:uid="{00000000-0005-0000-0000-0000474F0000}"/>
    <cellStyle name="Warning Text 618" xfId="20249" xr:uid="{00000000-0005-0000-0000-0000484F0000}"/>
    <cellStyle name="Warning Text 619" xfId="20250" xr:uid="{00000000-0005-0000-0000-0000494F0000}"/>
    <cellStyle name="Warning Text 62" xfId="20251" xr:uid="{00000000-0005-0000-0000-00004A4F0000}"/>
    <cellStyle name="Warning Text 620" xfId="20252" xr:uid="{00000000-0005-0000-0000-00004B4F0000}"/>
    <cellStyle name="Warning Text 621" xfId="20253" xr:uid="{00000000-0005-0000-0000-00004C4F0000}"/>
    <cellStyle name="Warning Text 622" xfId="20254" xr:uid="{00000000-0005-0000-0000-00004D4F0000}"/>
    <cellStyle name="Warning Text 623" xfId="20255" xr:uid="{00000000-0005-0000-0000-00004E4F0000}"/>
    <cellStyle name="Warning Text 624" xfId="20256" xr:uid="{00000000-0005-0000-0000-00004F4F0000}"/>
    <cellStyle name="Warning Text 625" xfId="20257" xr:uid="{00000000-0005-0000-0000-0000504F0000}"/>
    <cellStyle name="Warning Text 626" xfId="20258" xr:uid="{00000000-0005-0000-0000-0000514F0000}"/>
    <cellStyle name="Warning Text 627" xfId="20259" xr:uid="{00000000-0005-0000-0000-0000524F0000}"/>
    <cellStyle name="Warning Text 628" xfId="20260" xr:uid="{00000000-0005-0000-0000-0000534F0000}"/>
    <cellStyle name="Warning Text 629" xfId="20261" xr:uid="{00000000-0005-0000-0000-0000544F0000}"/>
    <cellStyle name="Warning Text 63" xfId="20262" xr:uid="{00000000-0005-0000-0000-0000554F0000}"/>
    <cellStyle name="Warning Text 630" xfId="20263" xr:uid="{00000000-0005-0000-0000-0000564F0000}"/>
    <cellStyle name="Warning Text 631" xfId="20264" xr:uid="{00000000-0005-0000-0000-0000574F0000}"/>
    <cellStyle name="Warning Text 632" xfId="20265" xr:uid="{00000000-0005-0000-0000-0000584F0000}"/>
    <cellStyle name="Warning Text 633" xfId="20266" xr:uid="{00000000-0005-0000-0000-0000594F0000}"/>
    <cellStyle name="Warning Text 634" xfId="20267" xr:uid="{00000000-0005-0000-0000-00005A4F0000}"/>
    <cellStyle name="Warning Text 635" xfId="20268" xr:uid="{00000000-0005-0000-0000-00005B4F0000}"/>
    <cellStyle name="Warning Text 636" xfId="20269" xr:uid="{00000000-0005-0000-0000-00005C4F0000}"/>
    <cellStyle name="Warning Text 637" xfId="20270" xr:uid="{00000000-0005-0000-0000-00005D4F0000}"/>
    <cellStyle name="Warning Text 638" xfId="20271" xr:uid="{00000000-0005-0000-0000-00005E4F0000}"/>
    <cellStyle name="Warning Text 639" xfId="20272" xr:uid="{00000000-0005-0000-0000-00005F4F0000}"/>
    <cellStyle name="Warning Text 64" xfId="20273" xr:uid="{00000000-0005-0000-0000-0000604F0000}"/>
    <cellStyle name="Warning Text 640" xfId="20274" xr:uid="{00000000-0005-0000-0000-0000614F0000}"/>
    <cellStyle name="Warning Text 641" xfId="20275" xr:uid="{00000000-0005-0000-0000-0000624F0000}"/>
    <cellStyle name="Warning Text 642" xfId="20276" xr:uid="{00000000-0005-0000-0000-0000634F0000}"/>
    <cellStyle name="Warning Text 643" xfId="20277" xr:uid="{00000000-0005-0000-0000-0000644F0000}"/>
    <cellStyle name="Warning Text 644" xfId="20278" xr:uid="{00000000-0005-0000-0000-0000654F0000}"/>
    <cellStyle name="Warning Text 645" xfId="20279" xr:uid="{00000000-0005-0000-0000-0000664F0000}"/>
    <cellStyle name="Warning Text 646" xfId="20280" xr:uid="{00000000-0005-0000-0000-0000674F0000}"/>
    <cellStyle name="Warning Text 647" xfId="20281" xr:uid="{00000000-0005-0000-0000-0000684F0000}"/>
    <cellStyle name="Warning Text 648" xfId="20282" xr:uid="{00000000-0005-0000-0000-0000694F0000}"/>
    <cellStyle name="Warning Text 649" xfId="20283" xr:uid="{00000000-0005-0000-0000-00006A4F0000}"/>
    <cellStyle name="Warning Text 65" xfId="20284" xr:uid="{00000000-0005-0000-0000-00006B4F0000}"/>
    <cellStyle name="Warning Text 650" xfId="20285" xr:uid="{00000000-0005-0000-0000-00006C4F0000}"/>
    <cellStyle name="Warning Text 651" xfId="20286" xr:uid="{00000000-0005-0000-0000-00006D4F0000}"/>
    <cellStyle name="Warning Text 652" xfId="20287" xr:uid="{00000000-0005-0000-0000-00006E4F0000}"/>
    <cellStyle name="Warning Text 653" xfId="20288" xr:uid="{00000000-0005-0000-0000-00006F4F0000}"/>
    <cellStyle name="Warning Text 654" xfId="20289" xr:uid="{00000000-0005-0000-0000-0000704F0000}"/>
    <cellStyle name="Warning Text 655" xfId="20290" xr:uid="{00000000-0005-0000-0000-0000714F0000}"/>
    <cellStyle name="Warning Text 656" xfId="20291" xr:uid="{00000000-0005-0000-0000-0000724F0000}"/>
    <cellStyle name="Warning Text 657" xfId="20292" xr:uid="{00000000-0005-0000-0000-0000734F0000}"/>
    <cellStyle name="Warning Text 658" xfId="20293" xr:uid="{00000000-0005-0000-0000-0000744F0000}"/>
    <cellStyle name="Warning Text 659" xfId="20294" xr:uid="{00000000-0005-0000-0000-0000754F0000}"/>
    <cellStyle name="Warning Text 66" xfId="20295" xr:uid="{00000000-0005-0000-0000-0000764F0000}"/>
    <cellStyle name="Warning Text 660" xfId="20296" xr:uid="{00000000-0005-0000-0000-0000774F0000}"/>
    <cellStyle name="Warning Text 661" xfId="20297" xr:uid="{00000000-0005-0000-0000-0000784F0000}"/>
    <cellStyle name="Warning Text 662" xfId="20298" xr:uid="{00000000-0005-0000-0000-0000794F0000}"/>
    <cellStyle name="Warning Text 663" xfId="20299" xr:uid="{00000000-0005-0000-0000-00007A4F0000}"/>
    <cellStyle name="Warning Text 664" xfId="20300" xr:uid="{00000000-0005-0000-0000-00007B4F0000}"/>
    <cellStyle name="Warning Text 665" xfId="20301" xr:uid="{00000000-0005-0000-0000-00007C4F0000}"/>
    <cellStyle name="Warning Text 666" xfId="20302" xr:uid="{00000000-0005-0000-0000-00007D4F0000}"/>
    <cellStyle name="Warning Text 667" xfId="20303" xr:uid="{00000000-0005-0000-0000-00007E4F0000}"/>
    <cellStyle name="Warning Text 668" xfId="20304" xr:uid="{00000000-0005-0000-0000-00007F4F0000}"/>
    <cellStyle name="Warning Text 669" xfId="20305" xr:uid="{00000000-0005-0000-0000-0000804F0000}"/>
    <cellStyle name="Warning Text 67" xfId="20306" xr:uid="{00000000-0005-0000-0000-0000814F0000}"/>
    <cellStyle name="Warning Text 670" xfId="20307" xr:uid="{00000000-0005-0000-0000-0000824F0000}"/>
    <cellStyle name="Warning Text 671" xfId="20308" xr:uid="{00000000-0005-0000-0000-0000834F0000}"/>
    <cellStyle name="Warning Text 672" xfId="20309" xr:uid="{00000000-0005-0000-0000-0000844F0000}"/>
    <cellStyle name="Warning Text 673" xfId="20310" xr:uid="{00000000-0005-0000-0000-0000854F0000}"/>
    <cellStyle name="Warning Text 674" xfId="20311" xr:uid="{00000000-0005-0000-0000-0000864F0000}"/>
    <cellStyle name="Warning Text 675" xfId="20312" xr:uid="{00000000-0005-0000-0000-0000874F0000}"/>
    <cellStyle name="Warning Text 676" xfId="20313" xr:uid="{00000000-0005-0000-0000-0000884F0000}"/>
    <cellStyle name="Warning Text 677" xfId="20314" xr:uid="{00000000-0005-0000-0000-0000894F0000}"/>
    <cellStyle name="Warning Text 678" xfId="20315" xr:uid="{00000000-0005-0000-0000-00008A4F0000}"/>
    <cellStyle name="Warning Text 679" xfId="20316" xr:uid="{00000000-0005-0000-0000-00008B4F0000}"/>
    <cellStyle name="Warning Text 68" xfId="20317" xr:uid="{00000000-0005-0000-0000-00008C4F0000}"/>
    <cellStyle name="Warning Text 680" xfId="20318" xr:uid="{00000000-0005-0000-0000-00008D4F0000}"/>
    <cellStyle name="Warning Text 681" xfId="20319" xr:uid="{00000000-0005-0000-0000-00008E4F0000}"/>
    <cellStyle name="Warning Text 682" xfId="20320" xr:uid="{00000000-0005-0000-0000-00008F4F0000}"/>
    <cellStyle name="Warning Text 683" xfId="20321" xr:uid="{00000000-0005-0000-0000-0000904F0000}"/>
    <cellStyle name="Warning Text 684" xfId="20322" xr:uid="{00000000-0005-0000-0000-0000914F0000}"/>
    <cellStyle name="Warning Text 685" xfId="20323" xr:uid="{00000000-0005-0000-0000-0000924F0000}"/>
    <cellStyle name="Warning Text 686" xfId="20324" xr:uid="{00000000-0005-0000-0000-0000934F0000}"/>
    <cellStyle name="Warning Text 687" xfId="20325" xr:uid="{00000000-0005-0000-0000-0000944F0000}"/>
    <cellStyle name="Warning Text 688" xfId="20326" xr:uid="{00000000-0005-0000-0000-0000954F0000}"/>
    <cellStyle name="Warning Text 689" xfId="20327" xr:uid="{00000000-0005-0000-0000-0000964F0000}"/>
    <cellStyle name="Warning Text 69" xfId="20328" xr:uid="{00000000-0005-0000-0000-0000974F0000}"/>
    <cellStyle name="Warning Text 690" xfId="20329" xr:uid="{00000000-0005-0000-0000-0000984F0000}"/>
    <cellStyle name="Warning Text 691" xfId="20330" xr:uid="{00000000-0005-0000-0000-0000994F0000}"/>
    <cellStyle name="Warning Text 692" xfId="20331" xr:uid="{00000000-0005-0000-0000-00009A4F0000}"/>
    <cellStyle name="Warning Text 693" xfId="20332" xr:uid="{00000000-0005-0000-0000-00009B4F0000}"/>
    <cellStyle name="Warning Text 694" xfId="20333" xr:uid="{00000000-0005-0000-0000-00009C4F0000}"/>
    <cellStyle name="Warning Text 695" xfId="20334" xr:uid="{00000000-0005-0000-0000-00009D4F0000}"/>
    <cellStyle name="Warning Text 696" xfId="20335" xr:uid="{00000000-0005-0000-0000-00009E4F0000}"/>
    <cellStyle name="Warning Text 697" xfId="20336" xr:uid="{00000000-0005-0000-0000-00009F4F0000}"/>
    <cellStyle name="Warning Text 698" xfId="20337" xr:uid="{00000000-0005-0000-0000-0000A04F0000}"/>
    <cellStyle name="Warning Text 699" xfId="20338" xr:uid="{00000000-0005-0000-0000-0000A14F0000}"/>
    <cellStyle name="Warning Text 7" xfId="20339" xr:uid="{00000000-0005-0000-0000-0000A24F0000}"/>
    <cellStyle name="Warning Text 70" xfId="20340" xr:uid="{00000000-0005-0000-0000-0000A34F0000}"/>
    <cellStyle name="Warning Text 700" xfId="20341" xr:uid="{00000000-0005-0000-0000-0000A44F0000}"/>
    <cellStyle name="Warning Text 701" xfId="20342" xr:uid="{00000000-0005-0000-0000-0000A54F0000}"/>
    <cellStyle name="Warning Text 702" xfId="20343" xr:uid="{00000000-0005-0000-0000-0000A64F0000}"/>
    <cellStyle name="Warning Text 703" xfId="20344" xr:uid="{00000000-0005-0000-0000-0000A74F0000}"/>
    <cellStyle name="Warning Text 704" xfId="20345" xr:uid="{00000000-0005-0000-0000-0000A84F0000}"/>
    <cellStyle name="Warning Text 705" xfId="20346" xr:uid="{00000000-0005-0000-0000-0000A94F0000}"/>
    <cellStyle name="Warning Text 706" xfId="20347" xr:uid="{00000000-0005-0000-0000-0000AA4F0000}"/>
    <cellStyle name="Warning Text 707" xfId="20348" xr:uid="{00000000-0005-0000-0000-0000AB4F0000}"/>
    <cellStyle name="Warning Text 708" xfId="20349" xr:uid="{00000000-0005-0000-0000-0000AC4F0000}"/>
    <cellStyle name="Warning Text 709" xfId="20350" xr:uid="{00000000-0005-0000-0000-0000AD4F0000}"/>
    <cellStyle name="Warning Text 71" xfId="20351" xr:uid="{00000000-0005-0000-0000-0000AE4F0000}"/>
    <cellStyle name="Warning Text 710" xfId="20352" xr:uid="{00000000-0005-0000-0000-0000AF4F0000}"/>
    <cellStyle name="Warning Text 711" xfId="20353" xr:uid="{00000000-0005-0000-0000-0000B04F0000}"/>
    <cellStyle name="Warning Text 712" xfId="20354" xr:uid="{00000000-0005-0000-0000-0000B14F0000}"/>
    <cellStyle name="Warning Text 713" xfId="20355" xr:uid="{00000000-0005-0000-0000-0000B24F0000}"/>
    <cellStyle name="Warning Text 714" xfId="20356" xr:uid="{00000000-0005-0000-0000-0000B34F0000}"/>
    <cellStyle name="Warning Text 715" xfId="20357" xr:uid="{00000000-0005-0000-0000-0000B44F0000}"/>
    <cellStyle name="Warning Text 716" xfId="20358" xr:uid="{00000000-0005-0000-0000-0000B54F0000}"/>
    <cellStyle name="Warning Text 717" xfId="20359" xr:uid="{00000000-0005-0000-0000-0000B64F0000}"/>
    <cellStyle name="Warning Text 718" xfId="20360" xr:uid="{00000000-0005-0000-0000-0000B74F0000}"/>
    <cellStyle name="Warning Text 719" xfId="20361" xr:uid="{00000000-0005-0000-0000-0000B84F0000}"/>
    <cellStyle name="Warning Text 72" xfId="20362" xr:uid="{00000000-0005-0000-0000-0000B94F0000}"/>
    <cellStyle name="Warning Text 720" xfId="20363" xr:uid="{00000000-0005-0000-0000-0000BA4F0000}"/>
    <cellStyle name="Warning Text 721" xfId="20364" xr:uid="{00000000-0005-0000-0000-0000BB4F0000}"/>
    <cellStyle name="Warning Text 722" xfId="20365" xr:uid="{00000000-0005-0000-0000-0000BC4F0000}"/>
    <cellStyle name="Warning Text 723" xfId="20366" xr:uid="{00000000-0005-0000-0000-0000BD4F0000}"/>
    <cellStyle name="Warning Text 724" xfId="20367" xr:uid="{00000000-0005-0000-0000-0000BE4F0000}"/>
    <cellStyle name="Warning Text 725" xfId="20368" xr:uid="{00000000-0005-0000-0000-0000BF4F0000}"/>
    <cellStyle name="Warning Text 726" xfId="20369" xr:uid="{00000000-0005-0000-0000-0000C04F0000}"/>
    <cellStyle name="Warning Text 727" xfId="20370" xr:uid="{00000000-0005-0000-0000-0000C14F0000}"/>
    <cellStyle name="Warning Text 728" xfId="20371" xr:uid="{00000000-0005-0000-0000-0000C24F0000}"/>
    <cellStyle name="Warning Text 729" xfId="20372" xr:uid="{00000000-0005-0000-0000-0000C34F0000}"/>
    <cellStyle name="Warning Text 73" xfId="20373" xr:uid="{00000000-0005-0000-0000-0000C44F0000}"/>
    <cellStyle name="Warning Text 730" xfId="20374" xr:uid="{00000000-0005-0000-0000-0000C54F0000}"/>
    <cellStyle name="Warning Text 731" xfId="20375" xr:uid="{00000000-0005-0000-0000-0000C64F0000}"/>
    <cellStyle name="Warning Text 732" xfId="20376" xr:uid="{00000000-0005-0000-0000-0000C74F0000}"/>
    <cellStyle name="Warning Text 733" xfId="20377" xr:uid="{00000000-0005-0000-0000-0000C84F0000}"/>
    <cellStyle name="Warning Text 734" xfId="20378" xr:uid="{00000000-0005-0000-0000-0000C94F0000}"/>
    <cellStyle name="Warning Text 735" xfId="20379" xr:uid="{00000000-0005-0000-0000-0000CA4F0000}"/>
    <cellStyle name="Warning Text 736" xfId="20380" xr:uid="{00000000-0005-0000-0000-0000CB4F0000}"/>
    <cellStyle name="Warning Text 737" xfId="20381" xr:uid="{00000000-0005-0000-0000-0000CC4F0000}"/>
    <cellStyle name="Warning Text 738" xfId="20382" xr:uid="{00000000-0005-0000-0000-0000CD4F0000}"/>
    <cellStyle name="Warning Text 739" xfId="20383" xr:uid="{00000000-0005-0000-0000-0000CE4F0000}"/>
    <cellStyle name="Warning Text 74" xfId="20384" xr:uid="{00000000-0005-0000-0000-0000CF4F0000}"/>
    <cellStyle name="Warning Text 740" xfId="20385" xr:uid="{00000000-0005-0000-0000-0000D04F0000}"/>
    <cellStyle name="Warning Text 741" xfId="20386" xr:uid="{00000000-0005-0000-0000-0000D14F0000}"/>
    <cellStyle name="Warning Text 742" xfId="20387" xr:uid="{00000000-0005-0000-0000-0000D24F0000}"/>
    <cellStyle name="Warning Text 743" xfId="20388" xr:uid="{00000000-0005-0000-0000-0000D34F0000}"/>
    <cellStyle name="Warning Text 744" xfId="20389" xr:uid="{00000000-0005-0000-0000-0000D44F0000}"/>
    <cellStyle name="Warning Text 745" xfId="20390" xr:uid="{00000000-0005-0000-0000-0000D54F0000}"/>
    <cellStyle name="Warning Text 746" xfId="20391" xr:uid="{00000000-0005-0000-0000-0000D64F0000}"/>
    <cellStyle name="Warning Text 747" xfId="20392" xr:uid="{00000000-0005-0000-0000-0000D74F0000}"/>
    <cellStyle name="Warning Text 748" xfId="20393" xr:uid="{00000000-0005-0000-0000-0000D84F0000}"/>
    <cellStyle name="Warning Text 749" xfId="20394" xr:uid="{00000000-0005-0000-0000-0000D94F0000}"/>
    <cellStyle name="Warning Text 75" xfId="20395" xr:uid="{00000000-0005-0000-0000-0000DA4F0000}"/>
    <cellStyle name="Warning Text 750" xfId="20396" xr:uid="{00000000-0005-0000-0000-0000DB4F0000}"/>
    <cellStyle name="Warning Text 751" xfId="20397" xr:uid="{00000000-0005-0000-0000-0000DC4F0000}"/>
    <cellStyle name="Warning Text 752" xfId="20398" xr:uid="{00000000-0005-0000-0000-0000DD4F0000}"/>
    <cellStyle name="Warning Text 753" xfId="20399" xr:uid="{00000000-0005-0000-0000-0000DE4F0000}"/>
    <cellStyle name="Warning Text 754" xfId="20400" xr:uid="{00000000-0005-0000-0000-0000DF4F0000}"/>
    <cellStyle name="Warning Text 755" xfId="20401" xr:uid="{00000000-0005-0000-0000-0000E04F0000}"/>
    <cellStyle name="Warning Text 756" xfId="20402" xr:uid="{00000000-0005-0000-0000-0000E14F0000}"/>
    <cellStyle name="Warning Text 757" xfId="20403" xr:uid="{00000000-0005-0000-0000-0000E24F0000}"/>
    <cellStyle name="Warning Text 758" xfId="20404" xr:uid="{00000000-0005-0000-0000-0000E34F0000}"/>
    <cellStyle name="Warning Text 759" xfId="20405" xr:uid="{00000000-0005-0000-0000-0000E44F0000}"/>
    <cellStyle name="Warning Text 76" xfId="20406" xr:uid="{00000000-0005-0000-0000-0000E54F0000}"/>
    <cellStyle name="Warning Text 760" xfId="20407" xr:uid="{00000000-0005-0000-0000-0000E64F0000}"/>
    <cellStyle name="Warning Text 761" xfId="20408" xr:uid="{00000000-0005-0000-0000-0000E74F0000}"/>
    <cellStyle name="Warning Text 762" xfId="20409" xr:uid="{00000000-0005-0000-0000-0000E84F0000}"/>
    <cellStyle name="Warning Text 763" xfId="20410" xr:uid="{00000000-0005-0000-0000-0000E94F0000}"/>
    <cellStyle name="Warning Text 764" xfId="20411" xr:uid="{00000000-0005-0000-0000-0000EA4F0000}"/>
    <cellStyle name="Warning Text 765" xfId="20412" xr:uid="{00000000-0005-0000-0000-0000EB4F0000}"/>
    <cellStyle name="Warning Text 766" xfId="20413" xr:uid="{00000000-0005-0000-0000-0000EC4F0000}"/>
    <cellStyle name="Warning Text 767" xfId="20414" xr:uid="{00000000-0005-0000-0000-0000ED4F0000}"/>
    <cellStyle name="Warning Text 768" xfId="20415" xr:uid="{00000000-0005-0000-0000-0000EE4F0000}"/>
    <cellStyle name="Warning Text 769" xfId="20416" xr:uid="{00000000-0005-0000-0000-0000EF4F0000}"/>
    <cellStyle name="Warning Text 77" xfId="20417" xr:uid="{00000000-0005-0000-0000-0000F04F0000}"/>
    <cellStyle name="Warning Text 770" xfId="20418" xr:uid="{00000000-0005-0000-0000-0000F14F0000}"/>
    <cellStyle name="Warning Text 771" xfId="20419" xr:uid="{00000000-0005-0000-0000-0000F24F0000}"/>
    <cellStyle name="Warning Text 772" xfId="20420" xr:uid="{00000000-0005-0000-0000-0000F34F0000}"/>
    <cellStyle name="Warning Text 773" xfId="20421" xr:uid="{00000000-0005-0000-0000-0000F44F0000}"/>
    <cellStyle name="Warning Text 774" xfId="20422" xr:uid="{00000000-0005-0000-0000-0000F54F0000}"/>
    <cellStyle name="Warning Text 775" xfId="20423" xr:uid="{00000000-0005-0000-0000-0000F64F0000}"/>
    <cellStyle name="Warning Text 776" xfId="20424" xr:uid="{00000000-0005-0000-0000-0000F74F0000}"/>
    <cellStyle name="Warning Text 777" xfId="20425" xr:uid="{00000000-0005-0000-0000-0000F84F0000}"/>
    <cellStyle name="Warning Text 778" xfId="20426" xr:uid="{00000000-0005-0000-0000-0000F94F0000}"/>
    <cellStyle name="Warning Text 779" xfId="20427" xr:uid="{00000000-0005-0000-0000-0000FA4F0000}"/>
    <cellStyle name="Warning Text 78" xfId="20428" xr:uid="{00000000-0005-0000-0000-0000FB4F0000}"/>
    <cellStyle name="Warning Text 780" xfId="20429" xr:uid="{00000000-0005-0000-0000-0000FC4F0000}"/>
    <cellStyle name="Warning Text 781" xfId="20430" xr:uid="{00000000-0005-0000-0000-0000FD4F0000}"/>
    <cellStyle name="Warning Text 782" xfId="20431" xr:uid="{00000000-0005-0000-0000-0000FE4F0000}"/>
    <cellStyle name="Warning Text 783" xfId="20432" xr:uid="{00000000-0005-0000-0000-0000FF4F0000}"/>
    <cellStyle name="Warning Text 784" xfId="20433" xr:uid="{00000000-0005-0000-0000-000000500000}"/>
    <cellStyle name="Warning Text 785" xfId="20434" xr:uid="{00000000-0005-0000-0000-000001500000}"/>
    <cellStyle name="Warning Text 786" xfId="20435" xr:uid="{00000000-0005-0000-0000-000002500000}"/>
    <cellStyle name="Warning Text 787" xfId="20436" xr:uid="{00000000-0005-0000-0000-000003500000}"/>
    <cellStyle name="Warning Text 788" xfId="20437" xr:uid="{00000000-0005-0000-0000-000004500000}"/>
    <cellStyle name="Warning Text 789" xfId="20438" xr:uid="{00000000-0005-0000-0000-000005500000}"/>
    <cellStyle name="Warning Text 79" xfId="20439" xr:uid="{00000000-0005-0000-0000-000006500000}"/>
    <cellStyle name="Warning Text 790" xfId="20440" xr:uid="{00000000-0005-0000-0000-000007500000}"/>
    <cellStyle name="Warning Text 791" xfId="20441" xr:uid="{00000000-0005-0000-0000-000008500000}"/>
    <cellStyle name="Warning Text 792" xfId="20442" xr:uid="{00000000-0005-0000-0000-000009500000}"/>
    <cellStyle name="Warning Text 793" xfId="20443" xr:uid="{00000000-0005-0000-0000-00000A500000}"/>
    <cellStyle name="Warning Text 794" xfId="20444" xr:uid="{00000000-0005-0000-0000-00000B500000}"/>
    <cellStyle name="Warning Text 795" xfId="20445" xr:uid="{00000000-0005-0000-0000-00000C500000}"/>
    <cellStyle name="Warning Text 796" xfId="20446" xr:uid="{00000000-0005-0000-0000-00000D500000}"/>
    <cellStyle name="Warning Text 797" xfId="20447" xr:uid="{00000000-0005-0000-0000-00000E500000}"/>
    <cellStyle name="Warning Text 798" xfId="20448" xr:uid="{00000000-0005-0000-0000-00000F500000}"/>
    <cellStyle name="Warning Text 799" xfId="20449" xr:uid="{00000000-0005-0000-0000-000010500000}"/>
    <cellStyle name="Warning Text 8" xfId="20450" xr:uid="{00000000-0005-0000-0000-000011500000}"/>
    <cellStyle name="Warning Text 80" xfId="20451" xr:uid="{00000000-0005-0000-0000-000012500000}"/>
    <cellStyle name="Warning Text 800" xfId="20452" xr:uid="{00000000-0005-0000-0000-000013500000}"/>
    <cellStyle name="Warning Text 801" xfId="20453" xr:uid="{00000000-0005-0000-0000-000014500000}"/>
    <cellStyle name="Warning Text 802" xfId="20454" xr:uid="{00000000-0005-0000-0000-000015500000}"/>
    <cellStyle name="Warning Text 803" xfId="20455" xr:uid="{00000000-0005-0000-0000-000016500000}"/>
    <cellStyle name="Warning Text 804" xfId="20456" xr:uid="{00000000-0005-0000-0000-000017500000}"/>
    <cellStyle name="Warning Text 805" xfId="20457" xr:uid="{00000000-0005-0000-0000-000018500000}"/>
    <cellStyle name="Warning Text 806" xfId="20458" xr:uid="{00000000-0005-0000-0000-000019500000}"/>
    <cellStyle name="Warning Text 807" xfId="20459" xr:uid="{00000000-0005-0000-0000-00001A500000}"/>
    <cellStyle name="Warning Text 808" xfId="20460" xr:uid="{00000000-0005-0000-0000-00001B500000}"/>
    <cellStyle name="Warning Text 809" xfId="20461" xr:uid="{00000000-0005-0000-0000-00001C500000}"/>
    <cellStyle name="Warning Text 81" xfId="20462" xr:uid="{00000000-0005-0000-0000-00001D500000}"/>
    <cellStyle name="Warning Text 810" xfId="20463" xr:uid="{00000000-0005-0000-0000-00001E500000}"/>
    <cellStyle name="Warning Text 811" xfId="20464" xr:uid="{00000000-0005-0000-0000-00001F500000}"/>
    <cellStyle name="Warning Text 812" xfId="20465" xr:uid="{00000000-0005-0000-0000-000020500000}"/>
    <cellStyle name="Warning Text 813" xfId="20466" xr:uid="{00000000-0005-0000-0000-000021500000}"/>
    <cellStyle name="Warning Text 814" xfId="20467" xr:uid="{00000000-0005-0000-0000-000022500000}"/>
    <cellStyle name="Warning Text 815" xfId="20468" xr:uid="{00000000-0005-0000-0000-000023500000}"/>
    <cellStyle name="Warning Text 816" xfId="20469" xr:uid="{00000000-0005-0000-0000-000024500000}"/>
    <cellStyle name="Warning Text 817" xfId="20470" xr:uid="{00000000-0005-0000-0000-000025500000}"/>
    <cellStyle name="Warning Text 818" xfId="20471" xr:uid="{00000000-0005-0000-0000-000026500000}"/>
    <cellStyle name="Warning Text 819" xfId="20472" xr:uid="{00000000-0005-0000-0000-000027500000}"/>
    <cellStyle name="Warning Text 82" xfId="20473" xr:uid="{00000000-0005-0000-0000-000028500000}"/>
    <cellStyle name="Warning Text 820" xfId="20474" xr:uid="{00000000-0005-0000-0000-000029500000}"/>
    <cellStyle name="Warning Text 821" xfId="20475" xr:uid="{00000000-0005-0000-0000-00002A500000}"/>
    <cellStyle name="Warning Text 822" xfId="20476" xr:uid="{00000000-0005-0000-0000-00002B500000}"/>
    <cellStyle name="Warning Text 823" xfId="20477" xr:uid="{00000000-0005-0000-0000-00002C500000}"/>
    <cellStyle name="Warning Text 824" xfId="20478" xr:uid="{00000000-0005-0000-0000-00002D500000}"/>
    <cellStyle name="Warning Text 825" xfId="20479" xr:uid="{00000000-0005-0000-0000-00002E500000}"/>
    <cellStyle name="Warning Text 826" xfId="20480" xr:uid="{00000000-0005-0000-0000-00002F500000}"/>
    <cellStyle name="Warning Text 827" xfId="20481" xr:uid="{00000000-0005-0000-0000-000030500000}"/>
    <cellStyle name="Warning Text 828" xfId="20482" xr:uid="{00000000-0005-0000-0000-000031500000}"/>
    <cellStyle name="Warning Text 829" xfId="20483" xr:uid="{00000000-0005-0000-0000-000032500000}"/>
    <cellStyle name="Warning Text 83" xfId="20484" xr:uid="{00000000-0005-0000-0000-000033500000}"/>
    <cellStyle name="Warning Text 830" xfId="20485" xr:uid="{00000000-0005-0000-0000-000034500000}"/>
    <cellStyle name="Warning Text 831" xfId="20486" xr:uid="{00000000-0005-0000-0000-000035500000}"/>
    <cellStyle name="Warning Text 832" xfId="20487" xr:uid="{00000000-0005-0000-0000-000036500000}"/>
    <cellStyle name="Warning Text 833" xfId="20488" xr:uid="{00000000-0005-0000-0000-000037500000}"/>
    <cellStyle name="Warning Text 834" xfId="20489" xr:uid="{00000000-0005-0000-0000-000038500000}"/>
    <cellStyle name="Warning Text 835" xfId="20490" xr:uid="{00000000-0005-0000-0000-000039500000}"/>
    <cellStyle name="Warning Text 836" xfId="20491" xr:uid="{00000000-0005-0000-0000-00003A500000}"/>
    <cellStyle name="Warning Text 837" xfId="20492" xr:uid="{00000000-0005-0000-0000-00003B500000}"/>
    <cellStyle name="Warning Text 838" xfId="20493" xr:uid="{00000000-0005-0000-0000-00003C500000}"/>
    <cellStyle name="Warning Text 839" xfId="20494" xr:uid="{00000000-0005-0000-0000-00003D500000}"/>
    <cellStyle name="Warning Text 84" xfId="20495" xr:uid="{00000000-0005-0000-0000-00003E500000}"/>
    <cellStyle name="Warning Text 840" xfId="20496" xr:uid="{00000000-0005-0000-0000-00003F500000}"/>
    <cellStyle name="Warning Text 841" xfId="20497" xr:uid="{00000000-0005-0000-0000-000040500000}"/>
    <cellStyle name="Warning Text 842" xfId="20498" xr:uid="{00000000-0005-0000-0000-000041500000}"/>
    <cellStyle name="Warning Text 843" xfId="20499" xr:uid="{00000000-0005-0000-0000-000042500000}"/>
    <cellStyle name="Warning Text 844" xfId="20500" xr:uid="{00000000-0005-0000-0000-000043500000}"/>
    <cellStyle name="Warning Text 845" xfId="20501" xr:uid="{00000000-0005-0000-0000-000044500000}"/>
    <cellStyle name="Warning Text 846" xfId="20502" xr:uid="{00000000-0005-0000-0000-000045500000}"/>
    <cellStyle name="Warning Text 847" xfId="20503" xr:uid="{00000000-0005-0000-0000-000046500000}"/>
    <cellStyle name="Warning Text 848" xfId="20504" xr:uid="{00000000-0005-0000-0000-000047500000}"/>
    <cellStyle name="Warning Text 849" xfId="20505" xr:uid="{00000000-0005-0000-0000-000048500000}"/>
    <cellStyle name="Warning Text 85" xfId="20506" xr:uid="{00000000-0005-0000-0000-000049500000}"/>
    <cellStyle name="Warning Text 850" xfId="20507" xr:uid="{00000000-0005-0000-0000-00004A500000}"/>
    <cellStyle name="Warning Text 851" xfId="20508" xr:uid="{00000000-0005-0000-0000-00004B500000}"/>
    <cellStyle name="Warning Text 852" xfId="20509" xr:uid="{00000000-0005-0000-0000-00004C500000}"/>
    <cellStyle name="Warning Text 853" xfId="20510" xr:uid="{00000000-0005-0000-0000-00004D500000}"/>
    <cellStyle name="Warning Text 854" xfId="20511" xr:uid="{00000000-0005-0000-0000-00004E500000}"/>
    <cellStyle name="Warning Text 855" xfId="20512" xr:uid="{00000000-0005-0000-0000-00004F500000}"/>
    <cellStyle name="Warning Text 856" xfId="20513" xr:uid="{00000000-0005-0000-0000-000050500000}"/>
    <cellStyle name="Warning Text 857" xfId="20514" xr:uid="{00000000-0005-0000-0000-000051500000}"/>
    <cellStyle name="Warning Text 858" xfId="20515" xr:uid="{00000000-0005-0000-0000-000052500000}"/>
    <cellStyle name="Warning Text 859" xfId="20516" xr:uid="{00000000-0005-0000-0000-000053500000}"/>
    <cellStyle name="Warning Text 86" xfId="20517" xr:uid="{00000000-0005-0000-0000-000054500000}"/>
    <cellStyle name="Warning Text 860" xfId="20518" xr:uid="{00000000-0005-0000-0000-000055500000}"/>
    <cellStyle name="Warning Text 861" xfId="20519" xr:uid="{00000000-0005-0000-0000-000056500000}"/>
    <cellStyle name="Warning Text 862" xfId="20520" xr:uid="{00000000-0005-0000-0000-000057500000}"/>
    <cellStyle name="Warning Text 863" xfId="20521" xr:uid="{00000000-0005-0000-0000-000058500000}"/>
    <cellStyle name="Warning Text 864" xfId="20522" xr:uid="{00000000-0005-0000-0000-000059500000}"/>
    <cellStyle name="Warning Text 865" xfId="20523" xr:uid="{00000000-0005-0000-0000-00005A500000}"/>
    <cellStyle name="Warning Text 866" xfId="20524" xr:uid="{00000000-0005-0000-0000-00005B500000}"/>
    <cellStyle name="Warning Text 867" xfId="20525" xr:uid="{00000000-0005-0000-0000-00005C500000}"/>
    <cellStyle name="Warning Text 868" xfId="20526" xr:uid="{00000000-0005-0000-0000-00005D500000}"/>
    <cellStyle name="Warning Text 869" xfId="20527" xr:uid="{00000000-0005-0000-0000-00005E500000}"/>
    <cellStyle name="Warning Text 87" xfId="20528" xr:uid="{00000000-0005-0000-0000-00005F500000}"/>
    <cellStyle name="Warning Text 870" xfId="20529" xr:uid="{00000000-0005-0000-0000-000060500000}"/>
    <cellStyle name="Warning Text 871" xfId="20530" xr:uid="{00000000-0005-0000-0000-000061500000}"/>
    <cellStyle name="Warning Text 872" xfId="20531" xr:uid="{00000000-0005-0000-0000-000062500000}"/>
    <cellStyle name="Warning Text 873" xfId="20532" xr:uid="{00000000-0005-0000-0000-000063500000}"/>
    <cellStyle name="Warning Text 874" xfId="20533" xr:uid="{00000000-0005-0000-0000-000064500000}"/>
    <cellStyle name="Warning Text 875" xfId="20534" xr:uid="{00000000-0005-0000-0000-000065500000}"/>
    <cellStyle name="Warning Text 876" xfId="20535" xr:uid="{00000000-0005-0000-0000-000066500000}"/>
    <cellStyle name="Warning Text 877" xfId="20536" xr:uid="{00000000-0005-0000-0000-000067500000}"/>
    <cellStyle name="Warning Text 878" xfId="20537" xr:uid="{00000000-0005-0000-0000-000068500000}"/>
    <cellStyle name="Warning Text 879" xfId="20538" xr:uid="{00000000-0005-0000-0000-000069500000}"/>
    <cellStyle name="Warning Text 88" xfId="20539" xr:uid="{00000000-0005-0000-0000-00006A500000}"/>
    <cellStyle name="Warning Text 880" xfId="20540" xr:uid="{00000000-0005-0000-0000-00006B500000}"/>
    <cellStyle name="Warning Text 881" xfId="20541" xr:uid="{00000000-0005-0000-0000-00006C500000}"/>
    <cellStyle name="Warning Text 882" xfId="20542" xr:uid="{00000000-0005-0000-0000-00006D500000}"/>
    <cellStyle name="Warning Text 883" xfId="20543" xr:uid="{00000000-0005-0000-0000-00006E500000}"/>
    <cellStyle name="Warning Text 884" xfId="20544" xr:uid="{00000000-0005-0000-0000-00006F500000}"/>
    <cellStyle name="Warning Text 885" xfId="20545" xr:uid="{00000000-0005-0000-0000-000070500000}"/>
    <cellStyle name="Warning Text 886" xfId="20546" xr:uid="{00000000-0005-0000-0000-000071500000}"/>
    <cellStyle name="Warning Text 887" xfId="20547" xr:uid="{00000000-0005-0000-0000-000072500000}"/>
    <cellStyle name="Warning Text 888" xfId="20548" xr:uid="{00000000-0005-0000-0000-000073500000}"/>
    <cellStyle name="Warning Text 889" xfId="20549" xr:uid="{00000000-0005-0000-0000-000074500000}"/>
    <cellStyle name="Warning Text 89" xfId="20550" xr:uid="{00000000-0005-0000-0000-000075500000}"/>
    <cellStyle name="Warning Text 890" xfId="20551" xr:uid="{00000000-0005-0000-0000-000076500000}"/>
    <cellStyle name="Warning Text 891" xfId="20552" xr:uid="{00000000-0005-0000-0000-000077500000}"/>
    <cellStyle name="Warning Text 892" xfId="20553" xr:uid="{00000000-0005-0000-0000-000078500000}"/>
    <cellStyle name="Warning Text 893" xfId="20554" xr:uid="{00000000-0005-0000-0000-000079500000}"/>
    <cellStyle name="Warning Text 894" xfId="20555" xr:uid="{00000000-0005-0000-0000-00007A500000}"/>
    <cellStyle name="Warning Text 895" xfId="20556" xr:uid="{00000000-0005-0000-0000-00007B500000}"/>
    <cellStyle name="Warning Text 896" xfId="20557" xr:uid="{00000000-0005-0000-0000-00007C500000}"/>
    <cellStyle name="Warning Text 897" xfId="20558" xr:uid="{00000000-0005-0000-0000-00007D500000}"/>
    <cellStyle name="Warning Text 898" xfId="20559" xr:uid="{00000000-0005-0000-0000-00007E500000}"/>
    <cellStyle name="Warning Text 899" xfId="20560" xr:uid="{00000000-0005-0000-0000-00007F500000}"/>
    <cellStyle name="Warning Text 9" xfId="20561" xr:uid="{00000000-0005-0000-0000-000080500000}"/>
    <cellStyle name="Warning Text 90" xfId="20562" xr:uid="{00000000-0005-0000-0000-000081500000}"/>
    <cellStyle name="Warning Text 900" xfId="20563" xr:uid="{00000000-0005-0000-0000-000082500000}"/>
    <cellStyle name="Warning Text 901" xfId="20564" xr:uid="{00000000-0005-0000-0000-000083500000}"/>
    <cellStyle name="Warning Text 902" xfId="20565" xr:uid="{00000000-0005-0000-0000-000084500000}"/>
    <cellStyle name="Warning Text 903" xfId="20566" xr:uid="{00000000-0005-0000-0000-000085500000}"/>
    <cellStyle name="Warning Text 904" xfId="20567" xr:uid="{00000000-0005-0000-0000-000086500000}"/>
    <cellStyle name="Warning Text 905" xfId="20568" xr:uid="{00000000-0005-0000-0000-000087500000}"/>
    <cellStyle name="Warning Text 906" xfId="20569" xr:uid="{00000000-0005-0000-0000-000088500000}"/>
    <cellStyle name="Warning Text 907" xfId="20570" xr:uid="{00000000-0005-0000-0000-000089500000}"/>
    <cellStyle name="Warning Text 908" xfId="20571" xr:uid="{00000000-0005-0000-0000-00008A500000}"/>
    <cellStyle name="Warning Text 909" xfId="20572" xr:uid="{00000000-0005-0000-0000-00008B500000}"/>
    <cellStyle name="Warning Text 91" xfId="20573" xr:uid="{00000000-0005-0000-0000-00008C500000}"/>
    <cellStyle name="Warning Text 910" xfId="20574" xr:uid="{00000000-0005-0000-0000-00008D500000}"/>
    <cellStyle name="Warning Text 911" xfId="20575" xr:uid="{00000000-0005-0000-0000-00008E500000}"/>
    <cellStyle name="Warning Text 912" xfId="20576" xr:uid="{00000000-0005-0000-0000-00008F500000}"/>
    <cellStyle name="Warning Text 913" xfId="20577" xr:uid="{00000000-0005-0000-0000-000090500000}"/>
    <cellStyle name="Warning Text 914" xfId="20578" xr:uid="{00000000-0005-0000-0000-000091500000}"/>
    <cellStyle name="Warning Text 915" xfId="20579" xr:uid="{00000000-0005-0000-0000-000092500000}"/>
    <cellStyle name="Warning Text 916" xfId="20580" xr:uid="{00000000-0005-0000-0000-000093500000}"/>
    <cellStyle name="Warning Text 917" xfId="20581" xr:uid="{00000000-0005-0000-0000-000094500000}"/>
    <cellStyle name="Warning Text 918" xfId="20582" xr:uid="{00000000-0005-0000-0000-000095500000}"/>
    <cellStyle name="Warning Text 919" xfId="20583" xr:uid="{00000000-0005-0000-0000-000096500000}"/>
    <cellStyle name="Warning Text 92" xfId="20584" xr:uid="{00000000-0005-0000-0000-000097500000}"/>
    <cellStyle name="Warning Text 920" xfId="20585" xr:uid="{00000000-0005-0000-0000-000098500000}"/>
    <cellStyle name="Warning Text 921" xfId="20586" xr:uid="{00000000-0005-0000-0000-000099500000}"/>
    <cellStyle name="Warning Text 922" xfId="20587" xr:uid="{00000000-0005-0000-0000-00009A500000}"/>
    <cellStyle name="Warning Text 923" xfId="20588" xr:uid="{00000000-0005-0000-0000-00009B500000}"/>
    <cellStyle name="Warning Text 924" xfId="20589" xr:uid="{00000000-0005-0000-0000-00009C500000}"/>
    <cellStyle name="Warning Text 925" xfId="20590" xr:uid="{00000000-0005-0000-0000-00009D500000}"/>
    <cellStyle name="Warning Text 926" xfId="20591" xr:uid="{00000000-0005-0000-0000-00009E500000}"/>
    <cellStyle name="Warning Text 927" xfId="20592" xr:uid="{00000000-0005-0000-0000-00009F500000}"/>
    <cellStyle name="Warning Text 928" xfId="20593" xr:uid="{00000000-0005-0000-0000-0000A0500000}"/>
    <cellStyle name="Warning Text 929" xfId="20594" xr:uid="{00000000-0005-0000-0000-0000A1500000}"/>
    <cellStyle name="Warning Text 93" xfId="20595" xr:uid="{00000000-0005-0000-0000-0000A2500000}"/>
    <cellStyle name="Warning Text 930" xfId="20596" xr:uid="{00000000-0005-0000-0000-0000A3500000}"/>
    <cellStyle name="Warning Text 931" xfId="20597" xr:uid="{00000000-0005-0000-0000-0000A4500000}"/>
    <cellStyle name="Warning Text 932" xfId="20598" xr:uid="{00000000-0005-0000-0000-0000A5500000}"/>
    <cellStyle name="Warning Text 933" xfId="20599" xr:uid="{00000000-0005-0000-0000-0000A6500000}"/>
    <cellStyle name="Warning Text 934" xfId="20600" xr:uid="{00000000-0005-0000-0000-0000A7500000}"/>
    <cellStyle name="Warning Text 935" xfId="20601" xr:uid="{00000000-0005-0000-0000-0000A8500000}"/>
    <cellStyle name="Warning Text 936" xfId="20602" xr:uid="{00000000-0005-0000-0000-0000A9500000}"/>
    <cellStyle name="Warning Text 937" xfId="20603" xr:uid="{00000000-0005-0000-0000-0000AA500000}"/>
    <cellStyle name="Warning Text 938" xfId="20604" xr:uid="{00000000-0005-0000-0000-0000AB500000}"/>
    <cellStyle name="Warning Text 939" xfId="20605" xr:uid="{00000000-0005-0000-0000-0000AC500000}"/>
    <cellStyle name="Warning Text 94" xfId="20606" xr:uid="{00000000-0005-0000-0000-0000AD500000}"/>
    <cellStyle name="Warning Text 940" xfId="20607" xr:uid="{00000000-0005-0000-0000-0000AE500000}"/>
    <cellStyle name="Warning Text 941" xfId="20608" xr:uid="{00000000-0005-0000-0000-0000AF500000}"/>
    <cellStyle name="Warning Text 942" xfId="20609" xr:uid="{00000000-0005-0000-0000-0000B0500000}"/>
    <cellStyle name="Warning Text 943" xfId="20610" xr:uid="{00000000-0005-0000-0000-0000B1500000}"/>
    <cellStyle name="Warning Text 944" xfId="20611" xr:uid="{00000000-0005-0000-0000-0000B2500000}"/>
    <cellStyle name="Warning Text 945" xfId="20612" xr:uid="{00000000-0005-0000-0000-0000B3500000}"/>
    <cellStyle name="Warning Text 946" xfId="20613" xr:uid="{00000000-0005-0000-0000-0000B4500000}"/>
    <cellStyle name="Warning Text 947" xfId="20614" xr:uid="{00000000-0005-0000-0000-0000B5500000}"/>
    <cellStyle name="Warning Text 948" xfId="20615" xr:uid="{00000000-0005-0000-0000-0000B6500000}"/>
    <cellStyle name="Warning Text 949" xfId="20616" xr:uid="{00000000-0005-0000-0000-0000B7500000}"/>
    <cellStyle name="Warning Text 95" xfId="20617" xr:uid="{00000000-0005-0000-0000-0000B8500000}"/>
    <cellStyle name="Warning Text 950" xfId="20618" xr:uid="{00000000-0005-0000-0000-0000B9500000}"/>
    <cellStyle name="Warning Text 951" xfId="20619" xr:uid="{00000000-0005-0000-0000-0000BA500000}"/>
    <cellStyle name="Warning Text 952" xfId="20620" xr:uid="{00000000-0005-0000-0000-0000BB500000}"/>
    <cellStyle name="Warning Text 953" xfId="20621" xr:uid="{00000000-0005-0000-0000-0000BC500000}"/>
    <cellStyle name="Warning Text 954" xfId="20622" xr:uid="{00000000-0005-0000-0000-0000BD500000}"/>
    <cellStyle name="Warning Text 955" xfId="20623" xr:uid="{00000000-0005-0000-0000-0000BE500000}"/>
    <cellStyle name="Warning Text 956" xfId="20624" xr:uid="{00000000-0005-0000-0000-0000BF500000}"/>
    <cellStyle name="Warning Text 957" xfId="20625" xr:uid="{00000000-0005-0000-0000-0000C0500000}"/>
    <cellStyle name="Warning Text 958" xfId="20626" xr:uid="{00000000-0005-0000-0000-0000C1500000}"/>
    <cellStyle name="Warning Text 959" xfId="20627" xr:uid="{00000000-0005-0000-0000-0000C2500000}"/>
    <cellStyle name="Warning Text 96" xfId="20628" xr:uid="{00000000-0005-0000-0000-0000C3500000}"/>
    <cellStyle name="Warning Text 960" xfId="20629" xr:uid="{00000000-0005-0000-0000-0000C4500000}"/>
    <cellStyle name="Warning Text 961" xfId="20630" xr:uid="{00000000-0005-0000-0000-0000C5500000}"/>
    <cellStyle name="Warning Text 962" xfId="20631" xr:uid="{00000000-0005-0000-0000-0000C6500000}"/>
    <cellStyle name="Warning Text 963" xfId="20632" xr:uid="{00000000-0005-0000-0000-0000C7500000}"/>
    <cellStyle name="Warning Text 964" xfId="20633" xr:uid="{00000000-0005-0000-0000-0000C8500000}"/>
    <cellStyle name="Warning Text 965" xfId="20634" xr:uid="{00000000-0005-0000-0000-0000C9500000}"/>
    <cellStyle name="Warning Text 966" xfId="20635" xr:uid="{00000000-0005-0000-0000-0000CA500000}"/>
    <cellStyle name="Warning Text 967" xfId="20636" xr:uid="{00000000-0005-0000-0000-0000CB500000}"/>
    <cellStyle name="Warning Text 968" xfId="20637" xr:uid="{00000000-0005-0000-0000-0000CC500000}"/>
    <cellStyle name="Warning Text 969" xfId="20638" xr:uid="{00000000-0005-0000-0000-0000CD500000}"/>
    <cellStyle name="Warning Text 97" xfId="20639" xr:uid="{00000000-0005-0000-0000-0000CE500000}"/>
    <cellStyle name="Warning Text 970" xfId="20640" xr:uid="{00000000-0005-0000-0000-0000CF500000}"/>
    <cellStyle name="Warning Text 971" xfId="20641" xr:uid="{00000000-0005-0000-0000-0000D0500000}"/>
    <cellStyle name="Warning Text 972" xfId="20642" xr:uid="{00000000-0005-0000-0000-0000D1500000}"/>
    <cellStyle name="Warning Text 973" xfId="20643" xr:uid="{00000000-0005-0000-0000-0000D2500000}"/>
    <cellStyle name="Warning Text 974" xfId="20644" xr:uid="{00000000-0005-0000-0000-0000D3500000}"/>
    <cellStyle name="Warning Text 975" xfId="20645" xr:uid="{00000000-0005-0000-0000-0000D4500000}"/>
    <cellStyle name="Warning Text 976" xfId="20646" xr:uid="{00000000-0005-0000-0000-0000D5500000}"/>
    <cellStyle name="Warning Text 977" xfId="20647" xr:uid="{00000000-0005-0000-0000-0000D6500000}"/>
    <cellStyle name="Warning Text 978" xfId="20648" xr:uid="{00000000-0005-0000-0000-0000D7500000}"/>
    <cellStyle name="Warning Text 979" xfId="20649" xr:uid="{00000000-0005-0000-0000-0000D8500000}"/>
    <cellStyle name="Warning Text 98" xfId="20650" xr:uid="{00000000-0005-0000-0000-0000D9500000}"/>
    <cellStyle name="Warning Text 980" xfId="20651" xr:uid="{00000000-0005-0000-0000-0000DA500000}"/>
    <cellStyle name="Warning Text 981" xfId="20652" xr:uid="{00000000-0005-0000-0000-0000DB500000}"/>
    <cellStyle name="Warning Text 982" xfId="20653" xr:uid="{00000000-0005-0000-0000-0000DC500000}"/>
    <cellStyle name="Warning Text 983" xfId="20654" xr:uid="{00000000-0005-0000-0000-0000DD500000}"/>
    <cellStyle name="Warning Text 984" xfId="20655" xr:uid="{00000000-0005-0000-0000-0000DE500000}"/>
    <cellStyle name="Warning Text 985" xfId="20656" xr:uid="{00000000-0005-0000-0000-0000DF500000}"/>
    <cellStyle name="Warning Text 986" xfId="20657" xr:uid="{00000000-0005-0000-0000-0000E0500000}"/>
    <cellStyle name="Warning Text 987" xfId="20658" xr:uid="{00000000-0005-0000-0000-0000E1500000}"/>
    <cellStyle name="Warning Text 988" xfId="20659" xr:uid="{00000000-0005-0000-0000-0000E2500000}"/>
    <cellStyle name="Warning Text 989" xfId="20660" xr:uid="{00000000-0005-0000-0000-0000E3500000}"/>
    <cellStyle name="Warning Text 99" xfId="20661" xr:uid="{00000000-0005-0000-0000-0000E4500000}"/>
    <cellStyle name="Warning Text 990" xfId="20662" xr:uid="{00000000-0005-0000-0000-0000E5500000}"/>
    <cellStyle name="Warning Text 991" xfId="20663" xr:uid="{00000000-0005-0000-0000-0000E6500000}"/>
    <cellStyle name="Warning Text 992" xfId="20664" xr:uid="{00000000-0005-0000-0000-0000E7500000}"/>
    <cellStyle name="Warning Text 993" xfId="20665" xr:uid="{00000000-0005-0000-0000-0000E8500000}"/>
    <cellStyle name="Warning Text 994" xfId="20666" xr:uid="{00000000-0005-0000-0000-0000E9500000}"/>
    <cellStyle name="Warning Text 995" xfId="20667" xr:uid="{00000000-0005-0000-0000-0000EA500000}"/>
    <cellStyle name="Warning Text 996" xfId="20668" xr:uid="{00000000-0005-0000-0000-0000EB500000}"/>
    <cellStyle name="Warning Text 997" xfId="20669" xr:uid="{00000000-0005-0000-0000-0000EC500000}"/>
    <cellStyle name="Warning Text 998" xfId="20670" xr:uid="{00000000-0005-0000-0000-0000ED500000}"/>
    <cellStyle name="Warning Text 999" xfId="20671" xr:uid="{00000000-0005-0000-0000-0000EE500000}"/>
  </cellStyles>
  <dxfs count="229">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b val="0"/>
        <i val="0"/>
        <condense val="0"/>
        <extend val="0"/>
        <color auto="1"/>
      </font>
      <fill>
        <patternFill>
          <bgColor indexed="11"/>
        </patternFill>
      </fill>
    </dxf>
    <dxf>
      <font>
        <color theme="1"/>
      </font>
      <fill>
        <patternFill>
          <bgColor rgb="FF66FF33"/>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006100"/>
      </font>
      <fill>
        <patternFill>
          <bgColor rgb="FFC6EFCE"/>
        </patternFill>
      </fill>
    </dxf>
    <dxf>
      <font>
        <color rgb="FF9C6500"/>
      </font>
      <fill>
        <patternFill>
          <bgColor rgb="FFFFEB9C"/>
        </patternFill>
      </fill>
    </dxf>
    <dxf>
      <font>
        <color rgb="FF9C0000"/>
      </font>
      <fill>
        <patternFill>
          <bgColor rgb="FFFFC7CE"/>
        </patternFill>
      </fill>
    </dxf>
  </dxfs>
  <tableStyles count="0" defaultTableStyle="TableStyleMedium2" defaultPivotStyle="PivotStyleLight16"/>
  <colors>
    <mruColors>
      <color rgb="FFFFFFCC"/>
      <color rgb="FFCCFFCC"/>
      <color rgb="FFCCFFFF"/>
      <color rgb="FFFF0000"/>
      <color rgb="FF22FA2C"/>
      <color rgb="FF0066CC"/>
      <color rgb="FF00FFFF"/>
      <color rgb="FF66FF33"/>
      <color rgb="FF00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customXml" Target="../customXml/item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5.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xdr:row>
          <xdr:rowOff>0</xdr:rowOff>
        </xdr:from>
        <xdr:to>
          <xdr:col>2</xdr:col>
          <xdr:colOff>5219700</xdr:colOff>
          <xdr:row>4</xdr:row>
          <xdr:rowOff>0</xdr:rowOff>
        </xdr:to>
        <xdr:sp macro="" textlink="">
          <xdr:nvSpPr>
            <xdr:cNvPr id="20716" name="Button 236" hidden="1">
              <a:extLst>
                <a:ext uri="{63B3BB69-23CF-44E3-9099-C40C66FF867C}">
                  <a14:compatExt spid="_x0000_s20716"/>
                </a:ext>
                <a:ext uri="{FF2B5EF4-FFF2-40B4-BE49-F238E27FC236}">
                  <a16:creationId xmlns:a16="http://schemas.microsoft.com/office/drawing/2014/main" id="{00000000-0008-0000-0400-0000EC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1" i="0" u="none" strike="noStrike" baseline="0">
                  <a:solidFill>
                    <a:srgbClr val="0000FF"/>
                  </a:solidFill>
                  <a:latin typeface="Arial"/>
                  <a:cs typeface="Arial"/>
                </a:rPr>
                <a:t>Macro Inlezen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0</xdr:rowOff>
        </xdr:from>
        <xdr:to>
          <xdr:col>10</xdr:col>
          <xdr:colOff>0</xdr:colOff>
          <xdr:row>2</xdr:row>
          <xdr:rowOff>0</xdr:rowOff>
        </xdr:to>
        <xdr:sp macro="" textlink="">
          <xdr:nvSpPr>
            <xdr:cNvPr id="20718" name="Button 238" hidden="1">
              <a:extLst>
                <a:ext uri="{63B3BB69-23CF-44E3-9099-C40C66FF867C}">
                  <a14:compatExt spid="_x0000_s20718"/>
                </a:ext>
                <a:ext uri="{FF2B5EF4-FFF2-40B4-BE49-F238E27FC236}">
                  <a16:creationId xmlns:a16="http://schemas.microsoft.com/office/drawing/2014/main" id="{00000000-0008-0000-0400-0000EE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1" i="0" u="none" strike="noStrike" baseline="0">
                  <a:solidFill>
                    <a:srgbClr val="0000FF"/>
                  </a:solidFill>
                  <a:latin typeface="Arial"/>
                  <a:cs typeface="Arial"/>
                </a:rPr>
                <a:t>Blank timestamps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171450</xdr:colOff>
          <xdr:row>5</xdr:row>
          <xdr:rowOff>76200</xdr:rowOff>
        </xdr:from>
        <xdr:to>
          <xdr:col>6</xdr:col>
          <xdr:colOff>495300</xdr:colOff>
          <xdr:row>7</xdr:row>
          <xdr:rowOff>95250</xdr:rowOff>
        </xdr:to>
        <xdr:sp macro="" textlink="">
          <xdr:nvSpPr>
            <xdr:cNvPr id="323587" name="Button 3" hidden="1">
              <a:extLst>
                <a:ext uri="{63B3BB69-23CF-44E3-9099-C40C66FF867C}">
                  <a14:compatExt spid="_x0000_s323587"/>
                </a:ext>
                <a:ext uri="{FF2B5EF4-FFF2-40B4-BE49-F238E27FC236}">
                  <a16:creationId xmlns:a16="http://schemas.microsoft.com/office/drawing/2014/main" id="{00000000-0008-0000-0500-000003F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Update attributen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ctuariaat/SSC%20Marktwaarde%20Verslaglegging/2018/2018Q4/06.%20ECAP_SCR_QRT/8%20-%20Lifesheet/SCR_ECAP_Life_T26D_2018Q4_20%20-%20kopie.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ctuariaat\SSC%20Marktwaarde%20Verslaglegging\2018\2018Q4\06.%20ECAP_SCR_QRT\8%20-%20Lifesheet\SCR_ECAP_Life_T26D_2018Q4_20%20-%20kopi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orblad"/>
      <sheetName val="Toel. Werkmap"/>
      <sheetName val="Versiebeheer"/>
      <sheetName val="Controle+Aftekening"/>
      <sheetName val="Modelcorrecties"/>
      <sheetName val="Invoer"/>
      <sheetName val="Invoer Overig"/>
      <sheetName val="SCR ASR Leven MINUS PnsRgAsr"/>
      <sheetName val="Te elimineren PnsRgAsr"/>
      <sheetName val="SCR ASR Leven NV"/>
      <sheetName val="Input gevoeligheden"/>
      <sheetName val="SCR PL Ardanta"/>
      <sheetName val="SCR PL Leven"/>
      <sheetName val="SCR PL Pensioenen"/>
      <sheetName val="SCR Life voor RM"/>
      <sheetName val="Data SCR-lapse ECAP"/>
      <sheetName val="Aansluiting balans"/>
      <sheetName val="ALM levering IP shock"/>
      <sheetName val="Input Power BI"/>
      <sheetName val="Toedeling handinvoer naar MP"/>
      <sheetName val="Toedeling handinvoer naar MP RM"/>
      <sheetName val="Lapse Voorziening Coll"/>
      <sheetName val="extra"/>
      <sheetName val="Risicokapitalen"/>
      <sheetName val="LoC Recap"/>
      <sheetName val="Overview MP Life"/>
      <sheetName val="LoC Overview MP Life"/>
      <sheetName val="HAND"/>
      <sheetName val="LoC HAND"/>
      <sheetName val="Afkoopwaarde per MP"/>
      <sheetName val="LoC Afkoopwaarde per MP"/>
      <sheetName val="MMcolnom"/>
      <sheetName val="LoC MMcolnom"/>
      <sheetName val="MMdavcolnom"/>
      <sheetName val="LoC MMdavcolnom"/>
      <sheetName val="Balansvoorzieningen"/>
      <sheetName val="LoC Balansvoorzieningen"/>
      <sheetName val="Meerwrd spaarLOS"/>
      <sheetName val="LoC Meerwrd spaarLOS"/>
      <sheetName val="RUN_Balans"/>
      <sheetName val="RUN_Basis"/>
      <sheetName val="RUN_Sterfte"/>
      <sheetName val="RUN_Langleven"/>
      <sheetName val="RUN_ArbeidsO"/>
      <sheetName val="RUN_LapseDown"/>
      <sheetName val="RUN_LapseUp"/>
      <sheetName val="RUN_LapseMass"/>
      <sheetName val="RUN_Expens"/>
      <sheetName val="RUN_CAT"/>
      <sheetName val="RUN_excl_VA"/>
      <sheetName val="LoC RUNx"/>
      <sheetName val="RUN Risicokapitalen"/>
      <sheetName val="LoC Run Ris.kap."/>
      <sheetName val="Schaling VA"/>
      <sheetName val="LoC Schaling VA"/>
      <sheetName val="Herv_Chevron"/>
      <sheetName val="LoC Herv_Chevron"/>
      <sheetName val="Herv_Generali"/>
      <sheetName val="LoC Herv_Generali"/>
      <sheetName val="MassLapseCover"/>
      <sheetName val="LoC MassLapse"/>
      <sheetName val="Invoer_DEP"/>
      <sheetName val="LoC Invoer_DEP"/>
      <sheetName val="Aanpassing_vloer"/>
      <sheetName val="Todo VB"/>
      <sheetName val="Namen"/>
      <sheetName val="Outp_Macro_Vindkoppel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410">
          <cell r="A410" t="str">
            <v>Einde tabel</v>
          </cell>
          <cell r="B410"/>
          <cell r="C410"/>
          <cell r="D410"/>
          <cell r="E410"/>
          <cell r="F410"/>
          <cell r="G410"/>
          <cell r="H410"/>
          <cell r="I410"/>
          <cell r="J410"/>
          <cell r="K410"/>
          <cell r="L410"/>
          <cell r="M410"/>
          <cell r="N410"/>
          <cell r="O410"/>
          <cell r="P410"/>
          <cell r="Q410"/>
          <cell r="R410"/>
          <cell r="S410"/>
          <cell r="T410"/>
          <cell r="U410"/>
          <cell r="V410"/>
          <cell r="W410"/>
          <cell r="X410"/>
          <cell r="Y410"/>
          <cell r="Z410"/>
          <cell r="AA410"/>
          <cell r="AB410"/>
          <cell r="AC410"/>
          <cell r="AD410"/>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MP Life"/>
    </sheetNames>
    <sheetDataSet>
      <sheetData sheetId="0" refreshError="1"/>
    </sheetDataSet>
  </externalBook>
</externalLink>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10.bin"/><Relationship Id="rId7"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11" Type="http://schemas.openxmlformats.org/officeDocument/2006/relationships/comments" Target="../comments1.xml"/><Relationship Id="rId5" Type="http://schemas.openxmlformats.org/officeDocument/2006/relationships/printerSettings" Target="../printerSettings/printerSettings12.bin"/><Relationship Id="rId10" Type="http://schemas.openxmlformats.org/officeDocument/2006/relationships/ctrlProp" Target="../ctrlProps/ctrlProp2.xml"/><Relationship Id="rId4" Type="http://schemas.openxmlformats.org/officeDocument/2006/relationships/printerSettings" Target="../printerSettings/printerSettings11.bin"/><Relationship Id="rId9"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printerSettings" Target="../printerSettings/printerSettings18.bin"/><Relationship Id="rId7" Type="http://schemas.openxmlformats.org/officeDocument/2006/relationships/vmlDrawing" Target="../drawings/vmlDrawing3.v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474-D073-41FD-B62C-C1690161414D}">
  <sheetPr codeName="Blad54">
    <tabColor theme="0" tint="-0.249977111117893"/>
  </sheetPr>
  <dimension ref="A2:J148"/>
  <sheetViews>
    <sheetView topLeftCell="H11" workbookViewId="0">
      <selection activeCell="C36" sqref="C36:C42"/>
    </sheetView>
  </sheetViews>
  <sheetFormatPr defaultColWidth="9.140625" defaultRowHeight="12.75"/>
  <cols>
    <col min="1" max="1" width="9.140625" style="8" collapsed="1"/>
    <col min="2" max="2" width="20.28515625" style="8" customWidth="1" collapsed="1"/>
    <col min="3" max="3" width="56.7109375" style="8" customWidth="1" collapsed="1"/>
    <col min="4" max="4" width="9.140625" style="8" collapsed="1"/>
    <col min="5" max="5" width="34.140625" style="8" bestFit="1" customWidth="1" collapsed="1"/>
    <col min="6" max="6" width="13.7109375" style="8" customWidth="1" collapsed="1"/>
    <col min="7" max="16384" width="9.140625" style="8" collapsed="1"/>
  </cols>
  <sheetData>
    <row r="2" spans="2:6" ht="21">
      <c r="B2" s="7" t="s">
        <v>45</v>
      </c>
      <c r="E2" s="7" t="s">
        <v>46</v>
      </c>
      <c r="F2" s="9" t="str">
        <f>I111</f>
        <v>C</v>
      </c>
    </row>
    <row r="4" spans="2:6">
      <c r="B4" s="10" t="s">
        <v>47</v>
      </c>
      <c r="C4" s="11" t="s">
        <v>48</v>
      </c>
      <c r="E4" s="8" t="s">
        <v>49</v>
      </c>
      <c r="F4" s="19" t="s">
        <v>75</v>
      </c>
    </row>
    <row r="5" spans="2:6">
      <c r="E5" s="8" t="s">
        <v>50</v>
      </c>
      <c r="F5" s="20" t="s">
        <v>73</v>
      </c>
    </row>
    <row r="6" spans="2:6">
      <c r="B6" s="10" t="s">
        <v>51</v>
      </c>
      <c r="C6" s="11" t="s">
        <v>52</v>
      </c>
      <c r="E6" s="8" t="s">
        <v>53</v>
      </c>
      <c r="F6" s="21" t="s">
        <v>65</v>
      </c>
    </row>
    <row r="8" spans="2:6">
      <c r="B8" s="10" t="s">
        <v>54</v>
      </c>
      <c r="C8" s="11" t="s">
        <v>1071</v>
      </c>
    </row>
    <row r="10" spans="2:6">
      <c r="B10" s="10" t="s">
        <v>55</v>
      </c>
      <c r="C10" s="11" t="s">
        <v>1072</v>
      </c>
    </row>
    <row r="12" spans="2:6">
      <c r="B12" s="10" t="s">
        <v>56</v>
      </c>
      <c r="C12" s="11" t="s">
        <v>1073</v>
      </c>
    </row>
    <row r="14" spans="2:6">
      <c r="B14" s="8" t="s">
        <v>58</v>
      </c>
      <c r="C14" s="11" t="s">
        <v>1074</v>
      </c>
    </row>
    <row r="18" spans="2:4" ht="20.25">
      <c r="B18" s="12" t="s">
        <v>59</v>
      </c>
      <c r="D18" s="13" t="s">
        <v>60</v>
      </c>
    </row>
    <row r="20" spans="2:4">
      <c r="B20" s="10" t="s">
        <v>61</v>
      </c>
      <c r="C20" s="276" t="s">
        <v>316</v>
      </c>
    </row>
    <row r="21" spans="2:4">
      <c r="C21" s="277"/>
    </row>
    <row r="22" spans="2:4">
      <c r="C22" s="277"/>
    </row>
    <row r="23" spans="2:4">
      <c r="C23" s="277"/>
    </row>
    <row r="24" spans="2:4">
      <c r="C24" s="277"/>
    </row>
    <row r="25" spans="2:4">
      <c r="C25" s="277"/>
    </row>
    <row r="26" spans="2:4">
      <c r="C26" s="278"/>
    </row>
    <row r="28" spans="2:4">
      <c r="B28" s="10" t="s">
        <v>62</v>
      </c>
      <c r="C28" s="276" t="s">
        <v>1075</v>
      </c>
    </row>
    <row r="29" spans="2:4">
      <c r="C29" s="277"/>
    </row>
    <row r="30" spans="2:4">
      <c r="C30" s="277"/>
    </row>
    <row r="31" spans="2:4">
      <c r="C31" s="277"/>
    </row>
    <row r="32" spans="2:4">
      <c r="C32" s="277"/>
    </row>
    <row r="33" spans="2:3">
      <c r="C33" s="277"/>
    </row>
    <row r="34" spans="2:3">
      <c r="C34" s="278"/>
    </row>
    <row r="36" spans="2:3">
      <c r="B36" s="10" t="s">
        <v>63</v>
      </c>
      <c r="C36" s="279" t="s">
        <v>1076</v>
      </c>
    </row>
    <row r="37" spans="2:3">
      <c r="C37" s="280"/>
    </row>
    <row r="38" spans="2:3">
      <c r="C38" s="280"/>
    </row>
    <row r="39" spans="2:3">
      <c r="C39" s="280"/>
    </row>
    <row r="40" spans="2:3">
      <c r="C40" s="280"/>
    </row>
    <row r="41" spans="2:3">
      <c r="C41" s="280"/>
    </row>
    <row r="42" spans="2:3">
      <c r="C42" s="281"/>
    </row>
    <row r="99" spans="1:10" s="15" customFormat="1" hidden="1">
      <c r="A99" s="14"/>
      <c r="B99" s="14"/>
      <c r="C99" s="14"/>
      <c r="D99" s="14"/>
      <c r="E99" s="14"/>
      <c r="F99" s="14"/>
    </row>
    <row r="100" spans="1:10" s="15" customFormat="1" hidden="1">
      <c r="A100" s="16" t="s">
        <v>69</v>
      </c>
      <c r="B100" s="16" t="s">
        <v>70</v>
      </c>
      <c r="C100" s="16" t="s">
        <v>71</v>
      </c>
      <c r="D100" s="16"/>
      <c r="E100" s="16"/>
      <c r="F100" s="16"/>
      <c r="G100" s="16"/>
      <c r="H100" s="16"/>
      <c r="I100" s="16"/>
      <c r="J100" s="16"/>
    </row>
    <row r="101" spans="1:10" s="15" customFormat="1" hidden="1">
      <c r="A101" s="16" t="s">
        <v>72</v>
      </c>
      <c r="B101" s="16" t="s">
        <v>73</v>
      </c>
      <c r="C101" s="16" t="s">
        <v>74</v>
      </c>
      <c r="D101" s="16"/>
      <c r="E101" s="16"/>
      <c r="F101" s="16"/>
      <c r="G101" s="16"/>
      <c r="H101" s="16"/>
      <c r="I101" s="16"/>
      <c r="J101" s="16"/>
    </row>
    <row r="102" spans="1:10" s="15" customFormat="1" hidden="1">
      <c r="A102" s="16" t="s">
        <v>73</v>
      </c>
      <c r="B102" s="16" t="s">
        <v>64</v>
      </c>
      <c r="C102" s="16" t="s">
        <v>65</v>
      </c>
      <c r="D102" s="16"/>
      <c r="E102" s="16"/>
      <c r="F102" s="16"/>
      <c r="G102" s="16"/>
      <c r="H102" s="16"/>
      <c r="I102" s="16"/>
      <c r="J102" s="16"/>
    </row>
    <row r="103" spans="1:10" s="15" customFormat="1" hidden="1">
      <c r="A103" s="16" t="s">
        <v>75</v>
      </c>
      <c r="B103" s="16"/>
      <c r="C103" s="16" t="s">
        <v>76</v>
      </c>
      <c r="D103" s="16"/>
      <c r="E103" s="16"/>
      <c r="F103" s="16"/>
      <c r="G103" s="16"/>
      <c r="H103" s="16"/>
      <c r="I103" s="16"/>
      <c r="J103" s="16"/>
    </row>
    <row r="104" spans="1:10" s="15" customFormat="1" hidden="1">
      <c r="A104" s="16" t="s">
        <v>66</v>
      </c>
      <c r="B104" s="16"/>
      <c r="C104" s="16"/>
      <c r="D104" s="16"/>
      <c r="E104" s="16"/>
      <c r="F104" s="16"/>
      <c r="G104" s="16"/>
      <c r="H104" s="16"/>
      <c r="I104" s="16"/>
      <c r="J104" s="16"/>
    </row>
    <row r="105" spans="1:10" s="15" customFormat="1" hidden="1">
      <c r="A105" s="16"/>
      <c r="B105" s="16"/>
      <c r="C105" s="16"/>
      <c r="D105" s="16"/>
      <c r="E105" s="16"/>
      <c r="F105" s="16"/>
      <c r="G105" s="16"/>
      <c r="H105" s="16"/>
      <c r="I105" s="16"/>
      <c r="J105" s="16"/>
    </row>
    <row r="106" spans="1:10" s="15" customFormat="1" hidden="1">
      <c r="A106" s="16"/>
      <c r="B106" s="16"/>
      <c r="C106" s="16"/>
      <c r="D106" s="16"/>
      <c r="E106" s="16"/>
      <c r="F106" s="16"/>
      <c r="G106" s="16"/>
      <c r="H106" s="16"/>
      <c r="I106" s="16"/>
      <c r="J106" s="16"/>
    </row>
    <row r="107" spans="1:10" s="15" customFormat="1" hidden="1">
      <c r="A107" s="16"/>
      <c r="B107" s="16"/>
      <c r="C107" s="16"/>
      <c r="D107" s="16"/>
      <c r="E107" s="16"/>
      <c r="F107" s="16"/>
      <c r="G107" s="16"/>
      <c r="H107" s="16"/>
      <c r="I107" s="16"/>
      <c r="J107" s="16"/>
    </row>
    <row r="108" spans="1:10" s="15" customFormat="1" hidden="1">
      <c r="A108" s="16"/>
      <c r="B108" s="16"/>
      <c r="C108" s="16"/>
      <c r="D108" s="16"/>
      <c r="E108" s="16"/>
      <c r="F108" s="16"/>
      <c r="G108" s="16"/>
      <c r="H108" s="16"/>
      <c r="I108" s="16"/>
      <c r="J108" s="16"/>
    </row>
    <row r="109" spans="1:10" s="15" customFormat="1" hidden="1">
      <c r="A109" s="16"/>
      <c r="B109" s="16"/>
      <c r="C109" s="16"/>
      <c r="D109" s="16"/>
      <c r="E109" s="16"/>
      <c r="F109" s="16"/>
      <c r="G109" s="16"/>
      <c r="H109" s="16"/>
      <c r="I109" s="16"/>
      <c r="J109" s="16"/>
    </row>
    <row r="110" spans="1:10" s="15" customFormat="1" hidden="1">
      <c r="A110" s="16"/>
      <c r="B110" s="16"/>
      <c r="C110" s="16"/>
      <c r="D110" s="16"/>
      <c r="E110" s="16"/>
      <c r="F110" s="16" t="s">
        <v>77</v>
      </c>
      <c r="G110" s="16" t="s">
        <v>78</v>
      </c>
      <c r="H110" s="16" t="s">
        <v>79</v>
      </c>
      <c r="I110" s="16" t="s">
        <v>80</v>
      </c>
      <c r="J110" s="16"/>
    </row>
    <row r="111" spans="1:10" s="15" customFormat="1" hidden="1">
      <c r="A111" s="16"/>
      <c r="B111" s="16"/>
      <c r="C111" s="16"/>
      <c r="D111" s="16"/>
      <c r="E111" s="16"/>
      <c r="F111" s="16"/>
      <c r="G111" s="16" t="str">
        <f>VLOOKUP(F$4,$A$120:$D$125,VLOOKUP(F$5,$A$129:$B$132,2,FALSE),FALSE)</f>
        <v>Niveau_3</v>
      </c>
      <c r="H111" s="16" t="str">
        <f>F6</f>
        <v xml:space="preserve">Financieel </v>
      </c>
      <c r="I111" s="16" t="str">
        <f>VLOOKUP(H111,$A$137:$D$141,VLOOKUP(G111,$A$144:$B$147,2,FALSE),FALSE)</f>
        <v>C</v>
      </c>
      <c r="J111" s="16"/>
    </row>
    <row r="112" spans="1:10" s="15" customFormat="1" hidden="1">
      <c r="A112" s="16"/>
      <c r="B112" s="16"/>
      <c r="C112" s="16"/>
      <c r="D112" s="16"/>
      <c r="E112" s="16"/>
      <c r="F112" s="16"/>
      <c r="G112" s="16"/>
      <c r="H112" s="16"/>
      <c r="I112" s="16"/>
      <c r="J112" s="16"/>
    </row>
    <row r="113" spans="1:10" s="15" customFormat="1" hidden="1">
      <c r="A113" s="16"/>
      <c r="B113" s="16"/>
      <c r="C113" s="16"/>
      <c r="D113" s="16"/>
      <c r="E113" s="16"/>
      <c r="F113" s="16"/>
      <c r="G113" s="16"/>
      <c r="H113" s="16"/>
      <c r="I113" s="16"/>
      <c r="J113" s="16"/>
    </row>
    <row r="114" spans="1:10" s="15" customFormat="1" hidden="1">
      <c r="A114" s="16"/>
      <c r="B114" s="16"/>
      <c r="C114" s="16"/>
      <c r="D114" s="16"/>
      <c r="E114" s="16"/>
      <c r="F114" s="16"/>
      <c r="G114" s="16"/>
      <c r="H114" s="16"/>
      <c r="I114" s="16"/>
      <c r="J114" s="16"/>
    </row>
    <row r="115" spans="1:10" s="15" customFormat="1" hidden="1">
      <c r="A115" s="16"/>
      <c r="B115" s="16"/>
      <c r="C115" s="16"/>
      <c r="D115" s="16"/>
      <c r="E115" s="16"/>
      <c r="F115" s="16"/>
      <c r="G115" s="16"/>
      <c r="H115" s="16"/>
      <c r="I115" s="16"/>
      <c r="J115" s="16"/>
    </row>
    <row r="116" spans="1:10" s="15" customFormat="1" hidden="1">
      <c r="A116" s="16"/>
      <c r="B116" s="16"/>
      <c r="C116" s="16"/>
      <c r="D116" s="16"/>
      <c r="E116" s="16"/>
      <c r="F116" s="16"/>
      <c r="G116" s="16"/>
      <c r="H116" s="16"/>
      <c r="I116" s="16"/>
      <c r="J116" s="16"/>
    </row>
    <row r="117" spans="1:10" s="15" customFormat="1" hidden="1">
      <c r="A117" s="16"/>
      <c r="B117" s="16"/>
      <c r="C117" s="16"/>
      <c r="D117" s="16"/>
      <c r="E117" s="16"/>
      <c r="F117" s="16"/>
      <c r="G117" s="16"/>
      <c r="H117" s="16"/>
      <c r="I117" s="16"/>
      <c r="J117" s="16"/>
    </row>
    <row r="118" spans="1:10" s="15" customFormat="1" hidden="1">
      <c r="A118" s="16"/>
      <c r="B118" s="16"/>
      <c r="C118" s="16"/>
      <c r="D118" s="16"/>
      <c r="E118" s="16"/>
      <c r="F118" s="16"/>
      <c r="G118" s="16"/>
      <c r="H118" s="16"/>
      <c r="I118" s="16"/>
      <c r="J118" s="16"/>
    </row>
    <row r="119" spans="1:10" s="15" customFormat="1" hidden="1">
      <c r="A119" s="16"/>
      <c r="B119" s="16" t="s">
        <v>50</v>
      </c>
      <c r="C119" s="16"/>
      <c r="D119" s="16"/>
      <c r="E119" s="16"/>
      <c r="F119" s="16"/>
      <c r="G119" s="16"/>
      <c r="H119" s="16"/>
      <c r="I119" s="16"/>
      <c r="J119" s="16"/>
    </row>
    <row r="120" spans="1:10" s="15" customFormat="1" hidden="1">
      <c r="A120" s="16" t="s">
        <v>49</v>
      </c>
      <c r="B120" s="16" t="s">
        <v>70</v>
      </c>
      <c r="C120" s="16" t="s">
        <v>73</v>
      </c>
      <c r="D120" s="16" t="s">
        <v>64</v>
      </c>
      <c r="E120" s="16"/>
      <c r="F120" s="16"/>
      <c r="G120" s="16"/>
      <c r="H120" s="16"/>
      <c r="I120" s="16"/>
      <c r="J120" s="16"/>
    </row>
    <row r="121" spans="1:10" s="15" customFormat="1" hidden="1">
      <c r="A121" s="16" t="s">
        <v>66</v>
      </c>
      <c r="B121" s="16" t="s">
        <v>81</v>
      </c>
      <c r="C121" s="16" t="s">
        <v>81</v>
      </c>
      <c r="D121" s="16" t="s">
        <v>81</v>
      </c>
      <c r="E121" s="16"/>
      <c r="F121" s="16"/>
      <c r="G121" s="16"/>
      <c r="H121" s="16"/>
      <c r="I121" s="16"/>
      <c r="J121" s="16"/>
    </row>
    <row r="122" spans="1:10" s="15" customFormat="1" hidden="1">
      <c r="A122" s="16" t="s">
        <v>75</v>
      </c>
      <c r="B122" s="16" t="s">
        <v>82</v>
      </c>
      <c r="C122" s="16" t="s">
        <v>81</v>
      </c>
      <c r="D122" s="16" t="s">
        <v>81</v>
      </c>
      <c r="E122" s="16"/>
      <c r="F122" s="16"/>
      <c r="G122" s="16"/>
      <c r="H122" s="16"/>
      <c r="I122" s="16"/>
      <c r="J122" s="16"/>
    </row>
    <row r="123" spans="1:10" s="15" customFormat="1" hidden="1">
      <c r="A123" s="16" t="s">
        <v>73</v>
      </c>
      <c r="B123" s="16" t="s">
        <v>82</v>
      </c>
      <c r="C123" s="16" t="s">
        <v>82</v>
      </c>
      <c r="D123" s="16" t="s">
        <v>81</v>
      </c>
      <c r="E123" s="16"/>
      <c r="F123" s="16"/>
      <c r="G123" s="16"/>
      <c r="H123" s="16"/>
      <c r="I123" s="16"/>
      <c r="J123" s="16"/>
    </row>
    <row r="124" spans="1:10" s="15" customFormat="1" hidden="1">
      <c r="A124" s="16" t="s">
        <v>72</v>
      </c>
      <c r="B124" s="16" t="s">
        <v>83</v>
      </c>
      <c r="C124" s="16" t="s">
        <v>82</v>
      </c>
      <c r="D124" s="16" t="s">
        <v>82</v>
      </c>
      <c r="E124" s="16"/>
      <c r="F124" s="16"/>
      <c r="G124" s="16"/>
      <c r="H124" s="16"/>
      <c r="I124" s="16"/>
      <c r="J124" s="16"/>
    </row>
    <row r="125" spans="1:10" s="15" customFormat="1" hidden="1">
      <c r="A125" s="16" t="s">
        <v>84</v>
      </c>
      <c r="B125" s="16" t="s">
        <v>83</v>
      </c>
      <c r="C125" s="16" t="s">
        <v>83</v>
      </c>
      <c r="D125" s="16" t="s">
        <v>83</v>
      </c>
      <c r="E125" s="16"/>
      <c r="F125" s="16"/>
      <c r="G125" s="16"/>
      <c r="H125" s="16"/>
      <c r="I125" s="16"/>
      <c r="J125" s="16"/>
    </row>
    <row r="126" spans="1:10" s="15" customFormat="1" hidden="1">
      <c r="A126" s="16"/>
      <c r="B126" s="16"/>
      <c r="C126" s="16"/>
      <c r="D126" s="16"/>
      <c r="E126" s="16"/>
      <c r="F126" s="16"/>
      <c r="G126" s="16"/>
      <c r="H126" s="16"/>
      <c r="I126" s="16"/>
      <c r="J126" s="16"/>
    </row>
    <row r="127" spans="1:10" s="15" customFormat="1" hidden="1">
      <c r="A127" s="16"/>
      <c r="B127" s="16"/>
      <c r="C127" s="16"/>
      <c r="D127" s="16"/>
      <c r="E127" s="16"/>
      <c r="F127" s="16"/>
      <c r="G127" s="16"/>
      <c r="H127" s="16"/>
      <c r="I127" s="16"/>
      <c r="J127" s="16"/>
    </row>
    <row r="128" spans="1:10" s="15" customFormat="1" hidden="1">
      <c r="A128" s="16"/>
      <c r="B128" s="16"/>
      <c r="C128" s="16"/>
      <c r="D128" s="16"/>
      <c r="E128" s="16"/>
      <c r="F128" s="16"/>
      <c r="G128" s="16"/>
      <c r="H128" s="16"/>
      <c r="I128" s="16"/>
      <c r="J128" s="16"/>
    </row>
    <row r="129" spans="1:10" s="15" customFormat="1" hidden="1">
      <c r="A129" s="16" t="s">
        <v>85</v>
      </c>
      <c r="B129" s="16"/>
      <c r="C129" s="16"/>
      <c r="D129" s="16"/>
      <c r="E129" s="16"/>
      <c r="F129" s="16"/>
      <c r="G129" s="16"/>
      <c r="H129" s="16"/>
      <c r="I129" s="16"/>
      <c r="J129" s="16"/>
    </row>
    <row r="130" spans="1:10" s="15" customFormat="1" hidden="1">
      <c r="A130" s="16" t="s">
        <v>64</v>
      </c>
      <c r="B130" s="16">
        <v>4</v>
      </c>
      <c r="C130" s="16"/>
      <c r="D130" s="16"/>
      <c r="E130" s="16"/>
      <c r="F130" s="16"/>
      <c r="G130" s="16"/>
      <c r="H130" s="16"/>
      <c r="I130" s="16"/>
      <c r="J130" s="16"/>
    </row>
    <row r="131" spans="1:10" s="15" customFormat="1" hidden="1">
      <c r="A131" s="16" t="s">
        <v>73</v>
      </c>
      <c r="B131" s="16">
        <v>3</v>
      </c>
      <c r="C131" s="16"/>
      <c r="D131" s="16"/>
      <c r="E131" s="16"/>
      <c r="F131" s="16"/>
      <c r="G131" s="16"/>
      <c r="H131" s="16"/>
      <c r="I131" s="16"/>
      <c r="J131" s="16"/>
    </row>
    <row r="132" spans="1:10" s="15" customFormat="1" hidden="1">
      <c r="A132" s="16" t="s">
        <v>70</v>
      </c>
      <c r="B132" s="16">
        <v>2</v>
      </c>
      <c r="C132" s="16"/>
      <c r="D132" s="16"/>
      <c r="E132" s="16"/>
      <c r="F132" s="16"/>
      <c r="G132" s="16"/>
      <c r="H132" s="16"/>
      <c r="I132" s="16"/>
      <c r="J132" s="16"/>
    </row>
    <row r="133" spans="1:10" s="15" customFormat="1" hidden="1">
      <c r="A133" s="16"/>
      <c r="B133" s="16"/>
      <c r="C133" s="16"/>
      <c r="D133" s="16"/>
      <c r="E133" s="16"/>
      <c r="F133" s="16"/>
      <c r="G133" s="16"/>
      <c r="H133" s="16"/>
      <c r="I133" s="16"/>
      <c r="J133" s="16"/>
    </row>
    <row r="134" spans="1:10" s="15" customFormat="1" hidden="1">
      <c r="A134" s="16"/>
      <c r="B134" s="16"/>
      <c r="C134" s="16"/>
      <c r="D134" s="16"/>
      <c r="E134" s="16"/>
      <c r="F134" s="16"/>
      <c r="G134" s="16"/>
      <c r="H134" s="16"/>
      <c r="I134" s="16"/>
      <c r="J134" s="16"/>
    </row>
    <row r="135" spans="1:10" s="15" customFormat="1" hidden="1">
      <c r="A135" s="16"/>
      <c r="B135" s="16"/>
      <c r="C135" s="16"/>
      <c r="D135" s="16"/>
      <c r="E135" s="16"/>
      <c r="F135" s="16"/>
      <c r="G135" s="16"/>
      <c r="H135" s="16"/>
      <c r="I135" s="16"/>
      <c r="J135" s="16"/>
    </row>
    <row r="136" spans="1:10" s="15" customFormat="1" hidden="1">
      <c r="A136" s="16"/>
      <c r="B136" s="16" t="s">
        <v>50</v>
      </c>
      <c r="C136" s="16"/>
      <c r="D136" s="16"/>
      <c r="E136" s="16"/>
      <c r="F136" s="16"/>
      <c r="G136" s="16"/>
      <c r="H136" s="16"/>
      <c r="I136" s="16"/>
      <c r="J136" s="16"/>
    </row>
    <row r="137" spans="1:10" s="15" customFormat="1" hidden="1">
      <c r="A137" s="16" t="s">
        <v>86</v>
      </c>
      <c r="B137" s="16" t="s">
        <v>83</v>
      </c>
      <c r="C137" s="16" t="s">
        <v>82</v>
      </c>
      <c r="D137" s="16" t="s">
        <v>81</v>
      </c>
      <c r="E137" s="16"/>
      <c r="F137" s="16"/>
      <c r="G137" s="16"/>
      <c r="H137" s="16"/>
      <c r="I137" s="16"/>
      <c r="J137" s="16"/>
    </row>
    <row r="138" spans="1:10" s="15" customFormat="1" hidden="1">
      <c r="A138" s="16" t="s">
        <v>74</v>
      </c>
      <c r="B138" s="16" t="s">
        <v>87</v>
      </c>
      <c r="C138" s="16" t="s">
        <v>87</v>
      </c>
      <c r="D138" s="16" t="s">
        <v>88</v>
      </c>
      <c r="E138" s="16"/>
      <c r="F138" s="16"/>
      <c r="G138" s="16"/>
      <c r="H138" s="16"/>
      <c r="I138" s="16"/>
      <c r="J138" s="16"/>
    </row>
    <row r="139" spans="1:10" s="15" customFormat="1" hidden="1">
      <c r="A139" s="16" t="s">
        <v>71</v>
      </c>
      <c r="B139" s="16" t="s">
        <v>87</v>
      </c>
      <c r="C139" s="16" t="s">
        <v>88</v>
      </c>
      <c r="D139" s="16" t="s">
        <v>88</v>
      </c>
      <c r="E139" s="16"/>
      <c r="F139" s="16"/>
      <c r="G139" s="16"/>
      <c r="H139" s="16"/>
      <c r="I139" s="16"/>
      <c r="J139" s="16"/>
    </row>
    <row r="140" spans="1:10" s="15" customFormat="1" hidden="1">
      <c r="A140" s="16" t="s">
        <v>65</v>
      </c>
      <c r="B140" s="16" t="s">
        <v>88</v>
      </c>
      <c r="C140" s="16" t="s">
        <v>89</v>
      </c>
      <c r="D140" s="16" t="s">
        <v>89</v>
      </c>
      <c r="E140" s="16"/>
      <c r="F140" s="16"/>
      <c r="G140" s="16"/>
      <c r="H140" s="16"/>
      <c r="I140" s="16"/>
      <c r="J140" s="16"/>
    </row>
    <row r="141" spans="1:10" s="15" customFormat="1" hidden="1">
      <c r="A141" s="16" t="s">
        <v>76</v>
      </c>
      <c r="B141" s="16" t="s">
        <v>89</v>
      </c>
      <c r="C141" s="16" t="s">
        <v>89</v>
      </c>
      <c r="D141" s="16" t="s">
        <v>89</v>
      </c>
      <c r="E141" s="16"/>
      <c r="F141" s="16"/>
      <c r="G141" s="16"/>
      <c r="H141" s="16"/>
      <c r="I141" s="16"/>
      <c r="J141" s="16"/>
    </row>
    <row r="142" spans="1:10" s="15" customFormat="1" hidden="1">
      <c r="A142" s="16"/>
      <c r="B142" s="16"/>
      <c r="C142" s="16"/>
      <c r="D142" s="16"/>
      <c r="E142" s="16"/>
      <c r="F142" s="16"/>
      <c r="G142" s="16"/>
      <c r="H142" s="16"/>
      <c r="I142" s="16"/>
      <c r="J142" s="16"/>
    </row>
    <row r="143" spans="1:10" s="15" customFormat="1" hidden="1">
      <c r="A143" s="16"/>
      <c r="B143" s="16"/>
      <c r="C143" s="16"/>
      <c r="D143" s="16"/>
      <c r="E143" s="16"/>
      <c r="F143" s="16"/>
      <c r="G143" s="16"/>
      <c r="H143" s="16"/>
      <c r="I143" s="16"/>
      <c r="J143" s="16"/>
    </row>
    <row r="144" spans="1:10" s="15" customFormat="1" hidden="1">
      <c r="A144" s="16" t="s">
        <v>85</v>
      </c>
      <c r="B144" s="16"/>
      <c r="C144" s="16"/>
      <c r="D144" s="16"/>
      <c r="E144" s="16"/>
      <c r="F144" s="16"/>
      <c r="G144" s="16"/>
      <c r="H144" s="16"/>
      <c r="I144" s="16"/>
      <c r="J144" s="16"/>
    </row>
    <row r="145" spans="1:10" s="15" customFormat="1" hidden="1">
      <c r="A145" s="16" t="s">
        <v>83</v>
      </c>
      <c r="B145" s="16">
        <v>2</v>
      </c>
      <c r="C145" s="16"/>
      <c r="D145" s="16"/>
      <c r="E145" s="16"/>
      <c r="F145" s="16"/>
      <c r="G145" s="16"/>
      <c r="H145" s="16"/>
      <c r="I145" s="16"/>
      <c r="J145" s="16"/>
    </row>
    <row r="146" spans="1:10" s="15" customFormat="1" hidden="1">
      <c r="A146" s="16" t="s">
        <v>82</v>
      </c>
      <c r="B146" s="16">
        <v>3</v>
      </c>
      <c r="C146" s="16"/>
      <c r="D146" s="16"/>
      <c r="E146" s="16"/>
      <c r="F146" s="16"/>
      <c r="G146" s="16"/>
      <c r="H146" s="16"/>
      <c r="I146" s="16"/>
      <c r="J146" s="16"/>
    </row>
    <row r="147" spans="1:10" s="15" customFormat="1" hidden="1">
      <c r="A147" s="16" t="s">
        <v>81</v>
      </c>
      <c r="B147" s="16">
        <v>4</v>
      </c>
      <c r="C147" s="16"/>
      <c r="D147" s="16"/>
      <c r="E147" s="16"/>
      <c r="F147" s="16"/>
      <c r="G147" s="16"/>
      <c r="H147" s="16"/>
      <c r="I147" s="16"/>
      <c r="J147" s="16"/>
    </row>
    <row r="148" spans="1:10" s="15" customFormat="1" hidden="1">
      <c r="A148" s="17"/>
      <c r="B148" s="17"/>
      <c r="C148" s="17"/>
      <c r="D148" s="17"/>
      <c r="E148" s="17"/>
      <c r="F148" s="17"/>
    </row>
  </sheetData>
  <sheetProtection algorithmName="SHA-512" hashValue="cd9vsmPkA2NKfpsBYboqm3xxJiF1uYsoaxUFteWar+AGjWqdO0zf4IHqG4+I/ugbQKefsMpS2LZgYHzqxq4Ngg==" saltValue="GPjW+WJGhmvV6QuMDplR7g==" spinCount="100000" sheet="1" autoFilter="0"/>
  <mergeCells count="3">
    <mergeCell ref="C20:C26"/>
    <mergeCell ref="C28:C34"/>
    <mergeCell ref="C36:C42"/>
  </mergeCells>
  <conditionalFormatting sqref="F2">
    <cfRule type="cellIs" dxfId="228" priority="9" operator="equal">
      <formula>"C"</formula>
    </cfRule>
    <cfRule type="cellIs" dxfId="227" priority="10" operator="equal">
      <formula>"B"</formula>
    </cfRule>
    <cfRule type="cellIs" dxfId="226" priority="11" operator="equal">
      <formula>"A"</formula>
    </cfRule>
  </conditionalFormatting>
  <conditionalFormatting sqref="C20:C26">
    <cfRule type="expression" dxfId="225" priority="6">
      <formula>$F$2="C"</formula>
    </cfRule>
    <cfRule type="expression" dxfId="224" priority="7">
      <formula>$F$2="B"</formula>
    </cfRule>
    <cfRule type="expression" dxfId="223" priority="8">
      <formula>$F$2="A"</formula>
    </cfRule>
  </conditionalFormatting>
  <conditionalFormatting sqref="C28:C34">
    <cfRule type="expression" dxfId="222" priority="5">
      <formula>$F$2="C"</formula>
    </cfRule>
  </conditionalFormatting>
  <conditionalFormatting sqref="C36:C42">
    <cfRule type="expression" dxfId="221" priority="1">
      <formula>$F$2="C"</formula>
    </cfRule>
    <cfRule type="expression" dxfId="220" priority="2">
      <formula>$F$2="B"</formula>
    </cfRule>
    <cfRule type="expression" dxfId="219" priority="3">
      <formula>$F$2="A"</formula>
    </cfRule>
  </conditionalFormatting>
  <dataValidations count="3">
    <dataValidation type="list" allowBlank="1" showInputMessage="1" showErrorMessage="1" sqref="F4" xr:uid="{DE91BD57-850A-4D0E-936E-5763008CF0C2}">
      <formula1>$A$100:$A$104</formula1>
    </dataValidation>
    <dataValidation type="list" allowBlank="1" showInputMessage="1" showErrorMessage="1" sqref="F5" xr:uid="{9F751D79-127E-443B-8A2A-95B15ABC1596}">
      <formula1>$B$100:$B$102</formula1>
    </dataValidation>
    <dataValidation type="list" allowBlank="1" showInputMessage="1" showErrorMessage="1" sqref="F6" xr:uid="{AA7F00EF-9843-4B0F-93CD-F3AA303B40E2}">
      <formula1>$C$100:$C$103</formula1>
    </dataValidation>
  </dataValidation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8062-AE18-4C4B-BAAF-7F3135720580}">
  <sheetPr codeName="Blad3">
    <tabColor theme="0" tint="-0.249977111117893"/>
  </sheetPr>
  <dimension ref="A1:C27"/>
  <sheetViews>
    <sheetView workbookViewId="0">
      <selection activeCell="B18" sqref="B18"/>
    </sheetView>
  </sheetViews>
  <sheetFormatPr defaultColWidth="9.140625" defaultRowHeight="12.75"/>
  <cols>
    <col min="1" max="1" width="29.28515625" style="24" customWidth="1" collapsed="1"/>
    <col min="2" max="2" width="26.28515625" style="24" customWidth="1" collapsed="1"/>
    <col min="3" max="3" width="119.7109375" style="24" bestFit="1" customWidth="1" collapsed="1"/>
    <col min="4" max="16384" width="9.140625" style="24" collapsed="1"/>
  </cols>
  <sheetData>
    <row r="1" spans="1:3">
      <c r="A1" s="22" t="s">
        <v>14</v>
      </c>
      <c r="B1" s="23"/>
      <c r="C1" s="23"/>
    </row>
    <row r="2" spans="1:3">
      <c r="A2" s="23"/>
      <c r="B2" s="23"/>
      <c r="C2" s="23"/>
    </row>
    <row r="3" spans="1:3">
      <c r="A3" s="23"/>
      <c r="B3" s="23"/>
      <c r="C3" s="23"/>
    </row>
    <row r="4" spans="1:3">
      <c r="A4" s="25" t="s">
        <v>23</v>
      </c>
      <c r="B4" s="25"/>
      <c r="C4" s="26"/>
    </row>
    <row r="5" spans="1:3">
      <c r="A5" s="23"/>
      <c r="B5" s="27"/>
      <c r="C5" s="28"/>
    </row>
    <row r="6" spans="1:3">
      <c r="A6" s="29" t="s">
        <v>17</v>
      </c>
      <c r="B6" s="23"/>
      <c r="C6" s="28"/>
    </row>
    <row r="7" spans="1:3">
      <c r="A7" s="23"/>
      <c r="B7" s="30" t="s">
        <v>26</v>
      </c>
      <c r="C7" s="23" t="s">
        <v>13</v>
      </c>
    </row>
    <row r="8" spans="1:3">
      <c r="A8" s="23"/>
      <c r="B8" s="31" t="s">
        <v>27</v>
      </c>
      <c r="C8" s="23" t="s">
        <v>93</v>
      </c>
    </row>
    <row r="9" spans="1:3">
      <c r="A9" s="23"/>
      <c r="B9" s="32" t="s">
        <v>28</v>
      </c>
      <c r="C9" s="23" t="s">
        <v>94</v>
      </c>
    </row>
    <row r="10" spans="1:3">
      <c r="A10" s="23"/>
      <c r="B10" s="33" t="s">
        <v>10</v>
      </c>
      <c r="C10" s="34" t="s">
        <v>95</v>
      </c>
    </row>
    <row r="11" spans="1:3">
      <c r="A11" s="23"/>
      <c r="B11" s="35" t="s">
        <v>40</v>
      </c>
      <c r="C11" s="23" t="s">
        <v>96</v>
      </c>
    </row>
    <row r="12" spans="1:3">
      <c r="A12" s="23"/>
      <c r="B12" s="36" t="s">
        <v>31</v>
      </c>
      <c r="C12" s="23" t="s">
        <v>97</v>
      </c>
    </row>
    <row r="13" spans="1:3">
      <c r="A13" s="23"/>
      <c r="B13" s="37" t="s">
        <v>30</v>
      </c>
      <c r="C13" s="23" t="s">
        <v>98</v>
      </c>
    </row>
    <row r="14" spans="1:3">
      <c r="A14" s="23"/>
      <c r="B14" s="38" t="s">
        <v>29</v>
      </c>
      <c r="C14" s="23" t="s">
        <v>20</v>
      </c>
    </row>
    <row r="15" spans="1:3">
      <c r="A15" s="23"/>
      <c r="B15" s="39" t="s">
        <v>38</v>
      </c>
      <c r="C15" s="40" t="s">
        <v>41</v>
      </c>
    </row>
    <row r="16" spans="1:3">
      <c r="A16" s="23"/>
      <c r="B16" s="23"/>
      <c r="C16" s="40"/>
    </row>
    <row r="17" spans="1:3">
      <c r="A17" s="41" t="s">
        <v>32</v>
      </c>
      <c r="B17" s="23"/>
      <c r="C17" s="23"/>
    </row>
    <row r="18" spans="1:3">
      <c r="A18" s="23"/>
      <c r="B18" s="42" t="s">
        <v>99</v>
      </c>
      <c r="C18" s="43" t="s">
        <v>35</v>
      </c>
    </row>
    <row r="19" spans="1:3">
      <c r="A19" s="23"/>
      <c r="B19" s="44" t="s">
        <v>100</v>
      </c>
      <c r="C19" s="43" t="s">
        <v>101</v>
      </c>
    </row>
    <row r="20" spans="1:3">
      <c r="A20" s="23"/>
      <c r="B20" s="45" t="s">
        <v>102</v>
      </c>
      <c r="C20" s="46" t="s">
        <v>103</v>
      </c>
    </row>
    <row r="21" spans="1:3">
      <c r="A21" s="23"/>
      <c r="B21" s="47" t="s">
        <v>30</v>
      </c>
      <c r="C21" s="46" t="s">
        <v>104</v>
      </c>
    </row>
    <row r="22" spans="1:3">
      <c r="A22" s="23"/>
      <c r="B22" s="48" t="s">
        <v>29</v>
      </c>
      <c r="C22" s="43" t="s">
        <v>21</v>
      </c>
    </row>
    <row r="23" spans="1:3">
      <c r="A23" s="23"/>
      <c r="B23" s="49" t="s">
        <v>31</v>
      </c>
      <c r="C23" s="43" t="s">
        <v>34</v>
      </c>
    </row>
    <row r="24" spans="1:3">
      <c r="A24" s="23"/>
      <c r="B24" s="31" t="s">
        <v>27</v>
      </c>
      <c r="C24" s="43" t="s">
        <v>33</v>
      </c>
    </row>
    <row r="25" spans="1:3">
      <c r="A25" s="23"/>
      <c r="B25" s="50" t="s">
        <v>105</v>
      </c>
      <c r="C25" s="43" t="s">
        <v>24</v>
      </c>
    </row>
    <row r="26" spans="1:3">
      <c r="A26" s="23"/>
      <c r="B26" s="51" t="s">
        <v>40</v>
      </c>
      <c r="C26" s="43" t="s">
        <v>25</v>
      </c>
    </row>
    <row r="27" spans="1:3">
      <c r="B27" s="52" t="s">
        <v>26</v>
      </c>
      <c r="C27" s="43" t="s">
        <v>25</v>
      </c>
    </row>
  </sheetData>
  <sheetProtection algorithmName="SHA-512" hashValue="630neF77RrKyuYV8TbFLmfO8EMA2T+ikG656d7pkxiDo96LICHxSWb0+2CndfQsXBQObKv6r0X4bpMnSMTQczA==" saltValue="Z1aNB86hKvpe0kGS7rsNI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1">
    <tabColor theme="0" tint="-0.249977111117893"/>
    <pageSetUpPr autoPageBreaks="0" fitToPage="1"/>
  </sheetPr>
  <dimension ref="B2:I54"/>
  <sheetViews>
    <sheetView showGridLines="0" topLeftCell="A4" zoomScale="85" zoomScaleNormal="85" workbookViewId="0">
      <selection activeCell="B8" sqref="B8"/>
    </sheetView>
  </sheetViews>
  <sheetFormatPr defaultColWidth="9.140625" defaultRowHeight="12.75"/>
  <cols>
    <col min="1" max="2" width="9.140625" style="53" collapsed="1"/>
    <col min="3" max="3" width="15" style="53" customWidth="1" collapsed="1"/>
    <col min="4" max="4" width="45.42578125" style="53" customWidth="1" collapsed="1"/>
    <col min="5" max="5" width="19.5703125" style="53" customWidth="1" collapsed="1"/>
    <col min="6" max="8" width="32.28515625" style="53" customWidth="1" collapsed="1"/>
    <col min="9" max="9" width="45.42578125" style="53" customWidth="1" collapsed="1"/>
    <col min="10" max="16384" width="9.140625" style="53" collapsed="1"/>
  </cols>
  <sheetData>
    <row r="2" spans="2:9" ht="15.75">
      <c r="B2" s="54" t="s">
        <v>106</v>
      </c>
    </row>
    <row r="3" spans="2:9">
      <c r="B3" s="55" t="s">
        <v>107</v>
      </c>
    </row>
    <row r="5" spans="2:9">
      <c r="B5" s="56" t="s">
        <v>58</v>
      </c>
      <c r="C5" s="56" t="s">
        <v>18</v>
      </c>
      <c r="D5" s="56" t="s">
        <v>19</v>
      </c>
      <c r="E5" s="56" t="s">
        <v>108</v>
      </c>
      <c r="F5" s="56" t="s">
        <v>109</v>
      </c>
      <c r="G5" s="56" t="s">
        <v>110</v>
      </c>
      <c r="H5" s="56" t="s">
        <v>56</v>
      </c>
      <c r="I5" s="56" t="s">
        <v>111</v>
      </c>
    </row>
    <row r="6" spans="2:9">
      <c r="B6" s="57">
        <v>1</v>
      </c>
      <c r="C6" s="58">
        <v>43585</v>
      </c>
      <c r="D6" s="57" t="s">
        <v>112</v>
      </c>
      <c r="E6" s="57" t="s">
        <v>327</v>
      </c>
      <c r="F6" s="57" t="s">
        <v>321</v>
      </c>
      <c r="G6" s="57" t="s">
        <v>325</v>
      </c>
      <c r="H6" s="57" t="s">
        <v>57</v>
      </c>
      <c r="I6" s="57"/>
    </row>
    <row r="7" spans="2:9" ht="102">
      <c r="B7" s="57">
        <v>2</v>
      </c>
      <c r="C7" s="58">
        <v>43725</v>
      </c>
      <c r="D7" s="57" t="s">
        <v>1069</v>
      </c>
      <c r="E7" s="57"/>
      <c r="F7" s="57" t="s">
        <v>321</v>
      </c>
      <c r="G7" s="57"/>
      <c r="H7" s="57"/>
      <c r="I7" s="57"/>
    </row>
    <row r="8" spans="2:9">
      <c r="B8" s="57" t="s">
        <v>1077</v>
      </c>
      <c r="C8" s="58">
        <v>44078</v>
      </c>
      <c r="D8" s="57" t="s">
        <v>1078</v>
      </c>
      <c r="E8" s="57" t="s">
        <v>327</v>
      </c>
      <c r="F8" s="57"/>
      <c r="G8" s="57"/>
      <c r="H8" s="57" t="s">
        <v>1073</v>
      </c>
      <c r="I8" s="57"/>
    </row>
    <row r="9" spans="2:9">
      <c r="B9" s="57"/>
      <c r="C9" s="57"/>
      <c r="D9" s="57"/>
      <c r="E9" s="57"/>
      <c r="F9" s="57"/>
      <c r="G9" s="57"/>
      <c r="H9" s="57"/>
      <c r="I9" s="57"/>
    </row>
    <row r="10" spans="2:9">
      <c r="B10" s="57"/>
      <c r="C10" s="57"/>
      <c r="D10" s="57"/>
      <c r="E10" s="57"/>
      <c r="F10" s="57"/>
      <c r="G10" s="57"/>
      <c r="H10" s="57"/>
      <c r="I10" s="57"/>
    </row>
    <row r="11" spans="2:9">
      <c r="B11" s="57"/>
      <c r="C11" s="57"/>
      <c r="D11" s="57"/>
      <c r="E11" s="57"/>
      <c r="F11" s="57"/>
      <c r="G11" s="57"/>
      <c r="H11" s="57"/>
      <c r="I11" s="57"/>
    </row>
    <row r="12" spans="2:9">
      <c r="B12" s="57"/>
      <c r="C12" s="57"/>
      <c r="D12" s="57"/>
      <c r="E12" s="57"/>
      <c r="F12" s="57"/>
      <c r="G12" s="57"/>
      <c r="H12" s="57"/>
      <c r="I12" s="57"/>
    </row>
    <row r="13" spans="2:9">
      <c r="B13" s="57"/>
      <c r="C13" s="57"/>
      <c r="D13" s="57"/>
      <c r="E13" s="57"/>
      <c r="F13" s="57"/>
      <c r="G13" s="57"/>
      <c r="H13" s="57"/>
      <c r="I13" s="57"/>
    </row>
    <row r="14" spans="2:9">
      <c r="B14" s="57"/>
      <c r="C14" s="57"/>
      <c r="D14" s="57"/>
      <c r="E14" s="57"/>
      <c r="F14" s="57"/>
      <c r="G14" s="57"/>
      <c r="H14" s="57"/>
      <c r="I14" s="57"/>
    </row>
    <row r="15" spans="2:9">
      <c r="B15" s="57"/>
      <c r="C15" s="57"/>
      <c r="D15" s="57"/>
      <c r="E15" s="57"/>
      <c r="F15" s="57"/>
      <c r="G15" s="57"/>
      <c r="H15" s="57"/>
      <c r="I15" s="57"/>
    </row>
    <row r="16" spans="2:9">
      <c r="B16" s="57"/>
      <c r="C16" s="57"/>
      <c r="D16" s="57"/>
      <c r="E16" s="57"/>
      <c r="F16" s="57"/>
      <c r="G16" s="57"/>
      <c r="H16" s="57"/>
      <c r="I16" s="57"/>
    </row>
    <row r="17" spans="2:9">
      <c r="B17" s="57"/>
      <c r="C17" s="57"/>
      <c r="D17" s="57"/>
      <c r="E17" s="57"/>
      <c r="F17" s="57"/>
      <c r="G17" s="57"/>
      <c r="H17" s="57"/>
      <c r="I17" s="57"/>
    </row>
    <row r="18" spans="2:9">
      <c r="B18" s="57"/>
      <c r="C18" s="57"/>
      <c r="D18" s="57"/>
      <c r="E18" s="57"/>
      <c r="F18" s="57"/>
      <c r="G18" s="57"/>
      <c r="H18" s="57"/>
      <c r="I18" s="57"/>
    </row>
    <row r="19" spans="2:9">
      <c r="B19" s="57"/>
      <c r="C19" s="57"/>
      <c r="D19" s="57"/>
      <c r="E19" s="57"/>
      <c r="F19" s="57"/>
      <c r="G19" s="57"/>
      <c r="H19" s="57"/>
      <c r="I19" s="57"/>
    </row>
    <row r="20" spans="2:9">
      <c r="B20" s="57"/>
      <c r="C20" s="57"/>
      <c r="D20" s="57"/>
      <c r="E20" s="57"/>
      <c r="F20" s="57"/>
      <c r="G20" s="57"/>
      <c r="H20" s="57"/>
      <c r="I20" s="57"/>
    </row>
    <row r="21" spans="2:9">
      <c r="B21" s="57"/>
      <c r="C21" s="57"/>
      <c r="D21" s="57"/>
      <c r="E21" s="57"/>
      <c r="F21" s="57"/>
      <c r="G21" s="57"/>
      <c r="H21" s="57"/>
      <c r="I21" s="57"/>
    </row>
    <row r="22" spans="2:9">
      <c r="B22" s="57"/>
      <c r="C22" s="57"/>
      <c r="D22" s="57"/>
      <c r="E22" s="57"/>
      <c r="F22" s="57"/>
      <c r="G22" s="57"/>
      <c r="H22" s="57"/>
      <c r="I22" s="57"/>
    </row>
    <row r="23" spans="2:9">
      <c r="B23" s="57"/>
      <c r="C23" s="57"/>
      <c r="D23" s="57"/>
      <c r="E23" s="57"/>
      <c r="F23" s="57"/>
      <c r="G23" s="57"/>
      <c r="H23" s="57"/>
      <c r="I23" s="57"/>
    </row>
    <row r="24" spans="2:9">
      <c r="B24" s="57"/>
      <c r="C24" s="57"/>
      <c r="D24" s="57"/>
      <c r="E24" s="57"/>
      <c r="F24" s="57"/>
      <c r="G24" s="57"/>
      <c r="H24" s="57"/>
      <c r="I24" s="57"/>
    </row>
    <row r="25" spans="2:9">
      <c r="B25" s="57"/>
      <c r="C25" s="57"/>
      <c r="D25" s="57"/>
      <c r="E25" s="57"/>
      <c r="F25" s="57"/>
      <c r="G25" s="57"/>
      <c r="H25" s="57"/>
      <c r="I25" s="57"/>
    </row>
    <row r="26" spans="2:9">
      <c r="B26" s="57"/>
      <c r="C26" s="57"/>
      <c r="D26" s="57"/>
      <c r="E26" s="57"/>
      <c r="F26" s="57"/>
      <c r="G26" s="57"/>
      <c r="H26" s="57"/>
      <c r="I26" s="57"/>
    </row>
    <row r="27" spans="2:9">
      <c r="B27" s="57"/>
      <c r="C27" s="57"/>
      <c r="D27" s="57"/>
      <c r="E27" s="57"/>
      <c r="F27" s="57"/>
      <c r="G27" s="57"/>
      <c r="H27" s="57"/>
      <c r="I27" s="57"/>
    </row>
    <row r="28" spans="2:9">
      <c r="B28" s="57"/>
      <c r="C28" s="57"/>
      <c r="D28" s="57"/>
      <c r="E28" s="57"/>
      <c r="F28" s="57"/>
      <c r="G28" s="57"/>
      <c r="H28" s="57"/>
      <c r="I28" s="57"/>
    </row>
    <row r="29" spans="2:9">
      <c r="B29" s="57"/>
      <c r="C29" s="57"/>
      <c r="D29" s="57"/>
      <c r="E29" s="57"/>
      <c r="F29" s="57"/>
      <c r="G29" s="57"/>
      <c r="H29" s="57"/>
      <c r="I29" s="57"/>
    </row>
    <row r="30" spans="2:9">
      <c r="B30" s="57"/>
      <c r="C30" s="57"/>
      <c r="D30" s="57"/>
      <c r="E30" s="57"/>
      <c r="F30" s="57"/>
      <c r="G30" s="57"/>
      <c r="H30" s="57"/>
      <c r="I30" s="57"/>
    </row>
    <row r="31" spans="2:9">
      <c r="B31" s="57"/>
      <c r="C31" s="57"/>
      <c r="D31" s="57"/>
      <c r="E31" s="57"/>
      <c r="F31" s="57"/>
      <c r="G31" s="57"/>
      <c r="H31" s="57"/>
      <c r="I31" s="57"/>
    </row>
    <row r="32" spans="2:9">
      <c r="B32" s="57"/>
      <c r="C32" s="57"/>
      <c r="D32" s="57"/>
      <c r="E32" s="57"/>
      <c r="F32" s="57"/>
      <c r="G32" s="57"/>
      <c r="H32" s="57"/>
      <c r="I32" s="57"/>
    </row>
    <row r="33" spans="2:9">
      <c r="B33" s="57"/>
      <c r="C33" s="57"/>
      <c r="D33" s="57"/>
      <c r="E33" s="57"/>
      <c r="F33" s="57"/>
      <c r="G33" s="57"/>
      <c r="H33" s="57"/>
      <c r="I33" s="57"/>
    </row>
    <row r="34" spans="2:9">
      <c r="B34" s="57"/>
      <c r="C34" s="57" t="s">
        <v>975</v>
      </c>
      <c r="D34" s="57"/>
      <c r="E34" s="57"/>
      <c r="F34" s="57"/>
      <c r="G34" s="57"/>
      <c r="H34" s="57"/>
      <c r="I34" s="57"/>
    </row>
    <row r="35" spans="2:9">
      <c r="B35" s="57"/>
      <c r="C35" s="57"/>
      <c r="D35" s="57"/>
      <c r="E35" s="57"/>
      <c r="F35" s="57"/>
      <c r="G35" s="57"/>
      <c r="H35" s="57"/>
      <c r="I35" s="57"/>
    </row>
    <row r="36" spans="2:9">
      <c r="B36" s="57"/>
      <c r="C36" s="57"/>
      <c r="D36" s="57"/>
      <c r="E36" s="57"/>
      <c r="F36" s="57"/>
      <c r="G36" s="57"/>
      <c r="H36" s="57"/>
      <c r="I36" s="57"/>
    </row>
    <row r="37" spans="2:9">
      <c r="B37" s="57"/>
      <c r="C37" s="57"/>
      <c r="D37" s="57"/>
      <c r="E37" s="57"/>
      <c r="F37" s="57"/>
      <c r="G37" s="57"/>
      <c r="H37" s="57"/>
      <c r="I37" s="57"/>
    </row>
    <row r="38" spans="2:9">
      <c r="B38" s="57"/>
      <c r="C38" s="57"/>
      <c r="D38" s="57"/>
      <c r="E38" s="57"/>
      <c r="F38" s="57"/>
      <c r="G38" s="57"/>
      <c r="H38" s="57"/>
      <c r="I38" s="57"/>
    </row>
    <row r="39" spans="2:9">
      <c r="B39" s="57"/>
      <c r="C39" s="57"/>
      <c r="D39" s="57"/>
      <c r="E39" s="57"/>
      <c r="F39" s="57"/>
      <c r="G39" s="57"/>
      <c r="H39" s="57"/>
      <c r="I39" s="57"/>
    </row>
    <row r="40" spans="2:9">
      <c r="B40" s="57"/>
      <c r="C40" s="57"/>
      <c r="D40" s="57"/>
      <c r="E40" s="57"/>
      <c r="F40" s="57"/>
      <c r="G40" s="57"/>
      <c r="H40" s="57"/>
      <c r="I40" s="57"/>
    </row>
    <row r="41" spans="2:9">
      <c r="B41" s="57"/>
      <c r="C41" s="57"/>
      <c r="D41" s="57"/>
      <c r="E41" s="57"/>
      <c r="F41" s="57"/>
      <c r="G41" s="57"/>
      <c r="H41" s="57"/>
      <c r="I41" s="57"/>
    </row>
    <row r="42" spans="2:9">
      <c r="B42" s="57"/>
      <c r="C42" s="57"/>
      <c r="D42" s="57"/>
      <c r="E42" s="57"/>
      <c r="F42" s="57"/>
      <c r="G42" s="57"/>
      <c r="H42" s="57"/>
      <c r="I42" s="57"/>
    </row>
    <row r="43" spans="2:9">
      <c r="B43" s="57"/>
      <c r="C43" s="57"/>
      <c r="D43" s="57"/>
      <c r="E43" s="57"/>
      <c r="F43" s="57"/>
      <c r="G43" s="57"/>
      <c r="H43" s="57"/>
      <c r="I43" s="57"/>
    </row>
    <row r="44" spans="2:9">
      <c r="B44" s="57"/>
      <c r="C44" s="57"/>
      <c r="D44" s="57"/>
      <c r="E44" s="57"/>
      <c r="F44" s="57"/>
      <c r="G44" s="57"/>
      <c r="H44" s="57"/>
      <c r="I44" s="57"/>
    </row>
    <row r="45" spans="2:9">
      <c r="B45" s="57"/>
      <c r="C45" s="57"/>
      <c r="D45" s="57"/>
      <c r="E45" s="57"/>
      <c r="F45" s="57"/>
      <c r="G45" s="57"/>
      <c r="H45" s="57"/>
      <c r="I45" s="57"/>
    </row>
    <row r="46" spans="2:9">
      <c r="B46" s="57"/>
      <c r="C46" s="57"/>
      <c r="D46" s="57"/>
      <c r="E46" s="57"/>
      <c r="F46" s="57"/>
      <c r="G46" s="57"/>
      <c r="H46" s="57"/>
      <c r="I46" s="57"/>
    </row>
    <row r="47" spans="2:9">
      <c r="B47" s="57"/>
      <c r="C47" s="57"/>
      <c r="D47" s="57"/>
      <c r="E47" s="57"/>
      <c r="F47" s="57"/>
      <c r="G47" s="57"/>
      <c r="H47" s="57"/>
      <c r="I47" s="57"/>
    </row>
    <row r="48" spans="2:9">
      <c r="B48" s="57"/>
      <c r="C48" s="57"/>
      <c r="D48" s="57"/>
      <c r="E48" s="57"/>
      <c r="F48" s="57"/>
      <c r="G48" s="57"/>
      <c r="H48" s="57"/>
      <c r="I48" s="57"/>
    </row>
    <row r="49" spans="2:9">
      <c r="B49" s="57"/>
      <c r="C49" s="57"/>
      <c r="D49" s="57"/>
      <c r="E49" s="57"/>
      <c r="F49" s="57"/>
      <c r="G49" s="57"/>
      <c r="H49" s="57"/>
      <c r="I49" s="57"/>
    </row>
    <row r="50" spans="2:9">
      <c r="B50" s="57"/>
      <c r="C50" s="57"/>
      <c r="D50" s="57"/>
      <c r="E50" s="57"/>
      <c r="F50" s="57"/>
      <c r="G50" s="57"/>
      <c r="H50" s="57"/>
      <c r="I50" s="57"/>
    </row>
    <row r="51" spans="2:9">
      <c r="B51" s="57"/>
      <c r="C51" s="57"/>
      <c r="D51" s="57"/>
      <c r="E51" s="57"/>
      <c r="F51" s="57"/>
      <c r="G51" s="57"/>
      <c r="H51" s="57"/>
      <c r="I51" s="57"/>
    </row>
    <row r="52" spans="2:9">
      <c r="B52" s="57"/>
      <c r="C52" s="57"/>
      <c r="D52" s="57"/>
      <c r="E52" s="57"/>
      <c r="F52" s="57"/>
      <c r="G52" s="57"/>
      <c r="H52" s="57"/>
      <c r="I52" s="57"/>
    </row>
    <row r="53" spans="2:9">
      <c r="B53" s="57"/>
      <c r="C53" s="57"/>
      <c r="D53" s="57"/>
      <c r="E53" s="57"/>
      <c r="F53" s="57"/>
      <c r="G53" s="57"/>
      <c r="H53" s="57"/>
      <c r="I53" s="57"/>
    </row>
    <row r="54" spans="2:9">
      <c r="B54" s="57"/>
      <c r="C54" s="57"/>
      <c r="D54" s="57"/>
      <c r="E54" s="57"/>
      <c r="F54" s="57"/>
      <c r="G54" s="57"/>
      <c r="H54" s="57"/>
      <c r="I54" s="57"/>
    </row>
  </sheetData>
  <sheetProtection autoFilter="0"/>
  <dataConsolidate/>
  <customSheetViews>
    <customSheetView guid="{6AE763D5-8F55-434E-96B2-971E17BAA2DB}" scale="85" showGridLines="0" fitToPage="1">
      <pane ySplit="4" topLeftCell="A5" activePane="bottomLeft" state="frozen"/>
      <selection pane="bottomLeft"/>
      <pageMargins left="0.75" right="0.75" top="1" bottom="1" header="0.5" footer="0.5"/>
      <pageSetup paperSize="9" scale="58" orientation="landscape" r:id="rId1"/>
      <headerFooter alignWithMargins="0">
        <oddHeader>&amp;LDefintieve cijfers&amp;CVersie 1.0</oddHeader>
        <oddFooter>&amp;L&amp;P van &amp;N&amp;Copgslagen op &amp;D&amp;T&amp;R&amp;Z
&amp;F.xls
&amp;A</oddFooter>
      </headerFooter>
    </customSheetView>
    <customSheetView guid="{EF4B4CDC-758A-4938-83F8-35AA65D8B641}" scale="85" showGridLines="0" fitToPage="1">
      <pane ySplit="4" topLeftCell="A5" activePane="bottomLeft" state="frozen"/>
      <selection pane="bottomLeft"/>
      <pageMargins left="0.75" right="0.75" top="1" bottom="1" header="0.5" footer="0.5"/>
      <pageSetup paperSize="9" scale="58" orientation="landscape" r:id="rId2"/>
      <headerFooter alignWithMargins="0">
        <oddHeader>&amp;LDefintieve cijfers&amp;CVersie 1.0</oddHeader>
        <oddFooter>&amp;L&amp;P van &amp;N&amp;Copgslagen op &amp;D&amp;T&amp;R&amp;Z
&amp;F.xls
&amp;A</oddFooter>
      </headerFooter>
    </customSheetView>
    <customSheetView guid="{A096F828-F848-45A2-860C-032F43C1DD7B}" scale="70" showGridLines="0" fitToPage="1" showRuler="0">
      <pane ySplit="4" topLeftCell="A5" activePane="bottomLeft" state="frozen"/>
      <selection pane="bottomLeft"/>
      <pageMargins left="0.75" right="0.75" top="1" bottom="1" header="0.5" footer="0.5"/>
      <pageSetup paperSize="9" scale="58" orientation="landscape" r:id="rId3"/>
      <headerFooter alignWithMargins="0">
        <oddHeader>&amp;LDefintieve cijfers&amp;CVersie 1.0</oddHeader>
        <oddFooter>&amp;L&amp;P van &amp;N&amp;Copgslagen op &amp;D&amp;T&amp;R&amp;Z
&amp;F.xls
&amp;A</oddFooter>
      </headerFooter>
    </customSheetView>
    <customSheetView guid="{6EC36B47-2B70-4722-AE23-A1EAC28F57E6}" scale="85" showGridLines="0" fitToPage="1">
      <pane ySplit="4" topLeftCell="A5" activePane="bottomLeft" state="frozen"/>
      <selection pane="bottomLeft"/>
      <pageMargins left="0.75" right="0.75" top="1" bottom="1" header="0.5" footer="0.5"/>
      <pageSetup paperSize="9" scale="58" orientation="landscape" r:id="rId4"/>
      <headerFooter alignWithMargins="0">
        <oddHeader>&amp;LDefintieve cijfers&amp;CVersie 1.0</oddHeader>
        <oddFooter>&amp;L&amp;P van &amp;N&amp;Copgslagen op &amp;D&amp;T&amp;R&amp;Z
&amp;F.xls
&amp;A</oddFooter>
      </headerFooter>
    </customSheetView>
    <customSheetView guid="{915D2422-C043-4D06-937E-1A96F53B569A}" scale="85" showGridLines="0" fitToPage="1">
      <pane ySplit="4" topLeftCell="A5" activePane="bottomLeft" state="frozen"/>
      <selection pane="bottomLeft"/>
      <pageMargins left="0.75" right="0.75" top="1" bottom="1" header="0.5" footer="0.5"/>
      <pageSetup paperSize="9" scale="58" orientation="landscape" r:id="rId5"/>
      <headerFooter alignWithMargins="0">
        <oddHeader>&amp;LDefintieve cijfers&amp;CVersie 1.0</oddHeader>
        <oddFooter>&amp;L&amp;P van &amp;N&amp;Copgslagen op &amp;D&amp;T&amp;R&amp;Z
&amp;F.xls
&amp;A</oddFooter>
      </headerFooter>
    </customSheetView>
  </customSheetViews>
  <phoneticPr fontId="11" type="noConversion"/>
  <pageMargins left="0.75" right="0.75" top="1" bottom="1" header="0.5" footer="0.5"/>
  <pageSetup paperSize="9" scale="58" orientation="landscape" r:id="rId6"/>
  <headerFooter alignWithMargins="0">
    <oddHeader>&amp;LDefintieve cijfers&amp;CVersie 1.0</oddHeader>
    <oddFooter>&amp;L&amp;P van &amp;N&amp;Copgslagen op &amp;D&amp;T&amp;R&amp;Z
&amp;F.xls
&amp;A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B5BFE-762C-4B6A-95E7-5CBEF64AEF93}">
  <sheetPr codeName="Blad1">
    <tabColor rgb="FFFFFF00"/>
  </sheetPr>
  <dimension ref="B2:C4"/>
  <sheetViews>
    <sheetView workbookViewId="0">
      <selection activeCell="C34" sqref="C34"/>
    </sheetView>
  </sheetViews>
  <sheetFormatPr defaultRowHeight="12.75"/>
  <sheetData>
    <row r="2" spans="2:3">
      <c r="B2" s="18" t="s">
        <v>90</v>
      </c>
      <c r="C2" s="62">
        <v>2021</v>
      </c>
    </row>
    <row r="3" spans="2:3">
      <c r="B3" s="18" t="s">
        <v>91</v>
      </c>
      <c r="C3" s="63" t="s">
        <v>1190</v>
      </c>
    </row>
    <row r="4" spans="2:3">
      <c r="B4" s="18"/>
      <c r="C4" s="63"/>
    </row>
  </sheetData>
  <sheetProtection algorithmName="SHA-512" hashValue="kT4QBie9OtwNegJ5fNYwFVzhmJickaV4qNSQhSWKFYzscnGkFpX131iDEJQhaOt9Xa0FpKJsIlJ/+Bqc4EbTWg==" saltValue="0POEdP3LrBoteCfXmaK8QA=="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10">
    <tabColor indexed="13"/>
    <pageSetUpPr autoPageBreaks="0" fitToPage="1"/>
  </sheetPr>
  <dimension ref="A1:S15"/>
  <sheetViews>
    <sheetView showGridLines="0" zoomScale="70" zoomScaleNormal="70" workbookViewId="0">
      <selection activeCell="B24" sqref="B24"/>
    </sheetView>
  </sheetViews>
  <sheetFormatPr defaultColWidth="9.140625" defaultRowHeight="12.75"/>
  <cols>
    <col min="1" max="1" width="29" style="1" customWidth="1" collapsed="1"/>
    <col min="2" max="2" width="87.85546875" style="1" bestFit="1" customWidth="1" collapsed="1"/>
    <col min="3" max="3" width="83.85546875" style="1" customWidth="1" collapsed="1"/>
    <col min="4" max="4" width="28.28515625" style="1" customWidth="1" collapsed="1"/>
    <col min="5" max="5" width="15.7109375" style="1" customWidth="1" collapsed="1"/>
    <col min="6" max="8" width="10.5703125" style="1" customWidth="1" collapsed="1"/>
    <col min="9" max="9" width="11.7109375" style="1" customWidth="1" collapsed="1"/>
    <col min="10" max="11" width="16.5703125" style="2" customWidth="1" collapsed="1"/>
    <col min="12" max="12" width="15.7109375" style="1" bestFit="1" customWidth="1" collapsed="1"/>
    <col min="13" max="13" width="160" style="1" bestFit="1" customWidth="1" collapsed="1"/>
    <col min="14" max="14" width="3.7109375" style="1" customWidth="1" collapsed="1"/>
    <col min="15" max="15" width="3.7109375" style="4" customWidth="1" collapsed="1"/>
    <col min="16" max="16" width="3.7109375" style="1" customWidth="1" collapsed="1"/>
    <col min="17" max="17" width="13.85546875" style="5" bestFit="1" customWidth="1" collapsed="1"/>
    <col min="18" max="18" width="3.7109375" style="1" customWidth="1" collapsed="1"/>
    <col min="19" max="19" width="3.7109375" style="4" customWidth="1" collapsed="1"/>
    <col min="20" max="16384" width="9.140625" style="1" collapsed="1"/>
  </cols>
  <sheetData>
    <row r="1" spans="1:19" s="199" customFormat="1">
      <c r="A1" s="197" t="s">
        <v>15</v>
      </c>
      <c r="B1" s="198"/>
      <c r="D1" s="198"/>
      <c r="E1" s="198"/>
      <c r="F1" s="198"/>
      <c r="G1" s="198"/>
      <c r="H1" s="198"/>
      <c r="I1" s="198"/>
      <c r="J1" s="200"/>
      <c r="K1" s="201"/>
      <c r="O1" s="202"/>
      <c r="Q1" s="203"/>
      <c r="S1" s="202"/>
    </row>
    <row r="2" spans="1:19" s="199" customFormat="1">
      <c r="C2" s="198"/>
      <c r="D2" s="198"/>
      <c r="E2" s="198"/>
      <c r="F2" s="198"/>
      <c r="G2" s="198"/>
      <c r="H2" s="198"/>
      <c r="I2" s="198"/>
      <c r="J2" s="201"/>
      <c r="K2" s="201"/>
      <c r="O2" s="202"/>
      <c r="Q2" s="203"/>
      <c r="S2" s="202"/>
    </row>
    <row r="3" spans="1:19" s="199" customFormat="1">
      <c r="A3" s="204" t="s">
        <v>43</v>
      </c>
      <c r="B3" s="205" t="str">
        <f ca="1">IF(L10,"OK","Data verouderd of Onjuiste bestanden")</f>
        <v>Data verouderd of Onjuiste bestanden</v>
      </c>
      <c r="D3" s="204"/>
      <c r="J3" s="206" t="s">
        <v>7</v>
      </c>
      <c r="K3" s="201"/>
      <c r="O3" s="202"/>
      <c r="Q3" s="203"/>
      <c r="S3" s="202"/>
    </row>
    <row r="4" spans="1:19" s="199" customFormat="1">
      <c r="A4" s="207" t="s">
        <v>44</v>
      </c>
      <c r="B4" s="208" t="str">
        <f>IF(ISNA(LOCok),"Foutmelding mbt. invoerlayouts",IF(LOCok,"OK","Invoerlayouts zijn gewijzigd."))</f>
        <v>OK</v>
      </c>
      <c r="C4" s="198"/>
      <c r="D4" s="204"/>
      <c r="E4" s="198"/>
      <c r="F4" s="198"/>
      <c r="G4" s="198"/>
      <c r="H4" s="198"/>
      <c r="I4" s="198"/>
      <c r="J4" s="209">
        <v>44370.715937499997</v>
      </c>
      <c r="K4" s="201"/>
      <c r="O4" s="202"/>
      <c r="Q4" s="203"/>
      <c r="S4" s="202"/>
    </row>
    <row r="5" spans="1:19" s="199" customFormat="1">
      <c r="A5" s="198"/>
      <c r="B5" s="210"/>
      <c r="C5" s="207"/>
      <c r="D5" s="198"/>
      <c r="E5" s="198"/>
      <c r="F5" s="198"/>
      <c r="G5" s="198"/>
      <c r="H5" s="198"/>
      <c r="I5" s="198"/>
      <c r="J5" s="201"/>
      <c r="K5" s="201"/>
      <c r="O5" s="202"/>
      <c r="Q5" s="203"/>
      <c r="S5" s="202"/>
    </row>
    <row r="6" spans="1:19" s="217" customFormat="1" ht="38.25">
      <c r="A6" s="211" t="s">
        <v>19</v>
      </c>
      <c r="B6" s="212" t="s">
        <v>0</v>
      </c>
      <c r="C6" s="212" t="s">
        <v>22</v>
      </c>
      <c r="D6" s="212" t="s">
        <v>1</v>
      </c>
      <c r="E6" s="212" t="s">
        <v>36</v>
      </c>
      <c r="F6" s="213" t="s">
        <v>2</v>
      </c>
      <c r="G6" s="213" t="s">
        <v>3</v>
      </c>
      <c r="H6" s="213" t="s">
        <v>4</v>
      </c>
      <c r="I6" s="213" t="s">
        <v>42</v>
      </c>
      <c r="J6" s="214" t="s">
        <v>11</v>
      </c>
      <c r="K6" s="214" t="s">
        <v>12</v>
      </c>
      <c r="L6" s="215" t="s">
        <v>5</v>
      </c>
      <c r="M6" s="216" t="s">
        <v>6</v>
      </c>
      <c r="O6" s="218"/>
      <c r="Q6" s="219" t="s">
        <v>39</v>
      </c>
      <c r="S6" s="218"/>
    </row>
    <row r="7" spans="1:19" s="199" customFormat="1" ht="25.5">
      <c r="A7" s="220" t="s">
        <v>171</v>
      </c>
      <c r="B7" s="242" t="str">
        <f>"G:\Actuariaat\SSC Marktwaarde Verslaglegging\"&amp;Selectie!$C$2&amp;"\"&amp;Selectie!$C$2&amp;Selectie!$C$3&amp;"\04. Modelberekeningen\OSM Modelpunten"</f>
        <v>G:\Actuariaat\SSC Marktwaarde Verslaglegging\2021\2021Q2\04. Modelberekeningen\OSM Modelpunten</v>
      </c>
      <c r="C7" s="6" t="str">
        <f>"Overview Modelpoints Life "&amp;Selectie!$C$2&amp;Selectie!$C$3&amp;"_Definitief.xlsx"</f>
        <v>Overview Modelpoints Life 2021Q2_Definitief.xlsx</v>
      </c>
      <c r="D7" s="243" t="str">
        <f>"Overview MP Life "&amp;Selectie!$C$2&amp;Selectie!$C$3</f>
        <v>Overview MP Life 2021Q2</v>
      </c>
      <c r="E7" s="243" t="s">
        <v>967</v>
      </c>
      <c r="F7" s="243"/>
      <c r="G7" s="243"/>
      <c r="H7" s="243"/>
      <c r="I7" s="236" t="s">
        <v>978</v>
      </c>
      <c r="J7" s="239">
        <v>44369.34065972222</v>
      </c>
      <c r="K7" s="221" t="e">
        <f ca="1">IF(M7="","",LastSaved2(M7))</f>
        <v>#NAME?</v>
      </c>
      <c r="L7" s="222" t="str">
        <f ca="1">IF(M7="","o.k.",IF(ISERROR(K7),"Fout bestand",IF(OR(J7=K7,ROUND(ABS(J7-K7),5)=0.04167),"o.k.","Nee")))</f>
        <v>Fout bestand</v>
      </c>
      <c r="M7" s="223" t="str">
        <f t="shared" ref="M7:M8" si="0">IF(ISBLANK(B7),"",B7&amp;IF(RIGHT(B7,1)="\","","\")&amp;C7)</f>
        <v>G:\Actuariaat\SSC Marktwaarde Verslaglegging\2021\2021Q2\04. Modelberekeningen\OSM Modelpunten\Overview Modelpoints Life 2021Q2_Definitief.xlsx</v>
      </c>
      <c r="O7" s="202"/>
      <c r="Q7" s="224"/>
      <c r="S7" s="202"/>
    </row>
    <row r="8" spans="1:19" s="199" customFormat="1" ht="25.5">
      <c r="A8" s="220" t="s">
        <v>172</v>
      </c>
      <c r="B8" s="242" t="str">
        <f>B7</f>
        <v>G:\Actuariaat\SSC Marktwaarde Verslaglegging\2021\2021Q2\04. Modelberekeningen\OSM Modelpunten</v>
      </c>
      <c r="C8" s="242" t="str">
        <f>C7</f>
        <v>Overview Modelpoints Life 2021Q2_Definitief.xlsx</v>
      </c>
      <c r="D8" s="243" t="str">
        <f>Selectie!$C$2&amp;Selectie!$C$3&amp;"_OSM nwe stijl"</f>
        <v>2021Q2_OSM nwe stijl</v>
      </c>
      <c r="E8" s="243" t="s">
        <v>208</v>
      </c>
      <c r="F8" s="243"/>
      <c r="G8" s="243"/>
      <c r="H8" s="243"/>
      <c r="I8" s="237" t="s">
        <v>979</v>
      </c>
      <c r="J8" s="239">
        <v>44369.34065972222</v>
      </c>
      <c r="K8" s="221" t="e">
        <f ca="1">IF(M8="","",LastSaved2(M8))</f>
        <v>#NAME?</v>
      </c>
      <c r="L8" s="222" t="str">
        <f ca="1">IF(M8="","o.k.",IF(ISERROR(K8),"Fout bestand",IF(OR(J8=K8,ROUND(ABS(J8-K8),5)=0.04167),"o.k.","Nee")))</f>
        <v>Fout bestand</v>
      </c>
      <c r="M8" s="223" t="str">
        <f t="shared" si="0"/>
        <v>G:\Actuariaat\SSC Marktwaarde Verslaglegging\2021\2021Q2\04. Modelberekeningen\OSM Modelpunten\Overview Modelpoints Life 2021Q2_Definitief.xlsx</v>
      </c>
      <c r="O8" s="202"/>
      <c r="Q8" s="224"/>
      <c r="S8" s="202"/>
    </row>
    <row r="9" spans="1:19" s="199" customFormat="1">
      <c r="A9" s="225"/>
      <c r="B9" s="226"/>
      <c r="C9" s="226"/>
      <c r="D9" s="226"/>
      <c r="E9" s="226"/>
      <c r="F9" s="226"/>
      <c r="G9" s="226"/>
      <c r="H9" s="226"/>
      <c r="I9" s="226"/>
      <c r="J9" s="227"/>
      <c r="K9" s="227"/>
      <c r="L9" s="222" t="str">
        <f t="shared" ref="L9" si="1">IF(M9="","o.k.",IF(ISERROR(K9),"Fout bestand",IF(OR(J9=K9,ROUND(ABS(J9-K9),5)=0.04167),"o.k.","Nee")))</f>
        <v>o.k.</v>
      </c>
      <c r="M9" s="228"/>
      <c r="O9" s="202"/>
      <c r="Q9" s="229"/>
      <c r="S9" s="202"/>
    </row>
    <row r="10" spans="1:19" s="230" customFormat="1">
      <c r="A10" s="230" t="s">
        <v>8</v>
      </c>
      <c r="B10" s="231">
        <f>COUNTA(A6:A9)-1</f>
        <v>2</v>
      </c>
      <c r="J10" s="232"/>
      <c r="K10" s="233" t="s">
        <v>9</v>
      </c>
      <c r="L10" s="234" t="b">
        <f t="array" aca="1" ref="L10" ca="1">AND(L7:L9="o.k.")</f>
        <v>0</v>
      </c>
      <c r="M10" s="231"/>
      <c r="O10" s="235"/>
      <c r="Q10" s="233"/>
      <c r="S10" s="235"/>
    </row>
    <row r="15" spans="1:19">
      <c r="L15" s="241" t="s">
        <v>975</v>
      </c>
    </row>
  </sheetData>
  <sheetProtection formatColumns="0" formatRows="0" autoFilter="0"/>
  <customSheetViews>
    <customSheetView guid="{6AE763D5-8F55-434E-96B2-971E17BAA2DB}" scale="85" showGridLines="0" fitToPage="1">
      <pane ySplit="9" topLeftCell="A10" activePane="bottomLeft" state="frozen"/>
      <selection pane="bottomLeft" activeCell="A10" sqref="A10"/>
      <pageMargins left="0.75" right="0.75" top="1" bottom="1" header="0.5" footer="0.5"/>
      <pageSetup paperSize="9" scale="26" orientation="landscape" r:id="rId1"/>
      <headerFooter alignWithMargins="0">
        <oddHeader>&amp;LDefintieve cijfers&amp;CVersie 1.0</oddHeader>
        <oddFooter>&amp;L&amp;P van &amp;N&amp;Copgslagen op &amp;D&amp;T&amp;R&amp;Z
&amp;F.xls
&amp;A</oddFooter>
      </headerFooter>
    </customSheetView>
    <customSheetView guid="{EF4B4CDC-758A-4938-83F8-35AA65D8B641}" scale="85" showGridLines="0" fitToPage="1">
      <pageMargins left="0.75" right="0.75" top="1" bottom="1" header="0.5" footer="0.5"/>
      <pageSetup paperSize="9" scale="26" orientation="landscape" r:id="rId2"/>
      <headerFooter alignWithMargins="0">
        <oddHeader>&amp;LDefintieve cijfers&amp;CVersie 1.0</oddHeader>
        <oddFooter>&amp;L&amp;P van &amp;N&amp;Copgslagen op &amp;D&amp;T&amp;R&amp;Z
&amp;F.xls
&amp;A</oddFooter>
      </headerFooter>
    </customSheetView>
    <customSheetView guid="{A096F828-F848-45A2-860C-032F43C1DD7B}" scale="70" showGridLines="0" fitToPage="1" printArea="1" showRuler="0" topLeftCell="A21">
      <selection activeCell="A40" sqref="A40"/>
      <pageMargins left="0.75" right="0.75" top="1" bottom="1" header="0.5" footer="0.5"/>
      <pageSetup paperSize="9" scale="25" orientation="landscape" r:id="rId3"/>
      <headerFooter alignWithMargins="0">
        <oddHeader>&amp;LDefintieve cijfers&amp;CVersie 1.0</oddHeader>
        <oddFooter>&amp;L&amp;P van &amp;N&amp;Copgslagen op &amp;D&amp;T&amp;R&amp;Z
&amp;F.xls
&amp;A</oddFooter>
      </headerFooter>
    </customSheetView>
    <customSheetView guid="{6EC36B47-2B70-4722-AE23-A1EAC28F57E6}" scale="85" showGridLines="0" fitToPage="1">
      <pageMargins left="0.75" right="0.75" top="1" bottom="1" header="0.5" footer="0.5"/>
      <pageSetup paperSize="9" scale="26" orientation="landscape" r:id="rId4"/>
      <headerFooter alignWithMargins="0">
        <oddHeader>&amp;LDefintieve cijfers&amp;CVersie 1.0</oddHeader>
        <oddFooter>&amp;L&amp;P van &amp;N&amp;Copgslagen op &amp;D&amp;T&amp;R&amp;Z
&amp;F.xls
&amp;A</oddFooter>
      </headerFooter>
    </customSheetView>
    <customSheetView guid="{915D2422-C043-4D06-937E-1A96F53B569A}" scale="85" showGridLines="0" fitToPage="1">
      <pane ySplit="9" topLeftCell="A10" activePane="bottomLeft" state="frozen"/>
      <selection pane="bottomLeft" activeCell="A3" sqref="A3"/>
      <pageMargins left="0.75" right="0.75" top="1" bottom="1" header="0.5" footer="0.5"/>
      <pageSetup paperSize="9" scale="26" orientation="landscape" r:id="rId5"/>
      <headerFooter alignWithMargins="0">
        <oddHeader>&amp;LDefintieve cijfers&amp;CVersie 1.0</oddHeader>
        <oddFooter>&amp;L&amp;P van &amp;N&amp;Copgslagen op &amp;D&amp;T&amp;R&amp;Z
&amp;F.xls
&amp;A</oddFooter>
      </headerFooter>
    </customSheetView>
  </customSheetViews>
  <phoneticPr fontId="0" type="noConversion"/>
  <conditionalFormatting sqref="L7:L9">
    <cfRule type="expression" dxfId="218" priority="4">
      <formula>OR(ISERROR(K7),L7&lt;&gt;"o.k.")</formula>
    </cfRule>
  </conditionalFormatting>
  <conditionalFormatting sqref="B3">
    <cfRule type="cellIs" dxfId="217" priority="5" operator="notEqual">
      <formula>""</formula>
    </cfRule>
  </conditionalFormatting>
  <conditionalFormatting sqref="B4">
    <cfRule type="cellIs" dxfId="216" priority="2" operator="notEqual">
      <formula>""</formula>
    </cfRule>
  </conditionalFormatting>
  <conditionalFormatting sqref="B3:B4">
    <cfRule type="cellIs" dxfId="215" priority="1" operator="equal">
      <formula>"OK"</formula>
    </cfRule>
  </conditionalFormatting>
  <hyperlinks>
    <hyperlink ref="I8" location="start2" display="start2" xr:uid="{D94B632A-3A23-402F-85CD-7A9485278CDA}"/>
    <hyperlink ref="I7" location="start1" display="start1" xr:uid="{841B78FB-3803-4772-BB7F-C7FF1604633B}"/>
  </hyperlinks>
  <pageMargins left="0.75" right="0.75" top="1" bottom="1" header="0.5" footer="0.5"/>
  <pageSetup paperSize="9" scale="26" orientation="landscape" r:id="rId6"/>
  <headerFooter alignWithMargins="0">
    <oddHeader>&amp;LDefintieve cijfers&amp;CVersie 1.0</oddHeader>
    <oddFooter>&amp;L&amp;P van &amp;N&amp;Copgslagen op &amp;D&amp;T&amp;R&amp;Z
&amp;F.xls
&amp;A</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0716" r:id="rId9" name="Button 236">
              <controlPr defaultSize="0" print="0" autoFill="0" autoPict="0" macro="[0]!Inlezen_Data">
                <anchor moveWithCells="1" sizeWithCells="1">
                  <from>
                    <xdr:col>2</xdr:col>
                    <xdr:colOff>0</xdr:colOff>
                    <xdr:row>2</xdr:row>
                    <xdr:rowOff>0</xdr:rowOff>
                  </from>
                  <to>
                    <xdr:col>2</xdr:col>
                    <xdr:colOff>5219700</xdr:colOff>
                    <xdr:row>4</xdr:row>
                    <xdr:rowOff>0</xdr:rowOff>
                  </to>
                </anchor>
              </controlPr>
            </control>
          </mc:Choice>
        </mc:AlternateContent>
        <mc:AlternateContent xmlns:mc="http://schemas.openxmlformats.org/markup-compatibility/2006">
          <mc:Choice Requires="x14">
            <control shapeId="20718" r:id="rId10" name="Button 238">
              <controlPr defaultSize="0" print="0" autoFill="0" autoPict="0" macro="[0]!Clear_Filestamps">
                <anchor moveWithCells="1" sizeWithCells="1">
                  <from>
                    <xdr:col>9</xdr:col>
                    <xdr:colOff>0</xdr:colOff>
                    <xdr:row>1</xdr:row>
                    <xdr:rowOff>0</xdr:rowOff>
                  </from>
                  <to>
                    <xdr:col>10</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D9423-8CBA-40AE-80A1-D47A03516FC3}">
  <sheetPr codeName="Blad9">
    <tabColor rgb="FFFF0000"/>
  </sheetPr>
  <dimension ref="A1:F34"/>
  <sheetViews>
    <sheetView zoomScaleNormal="100" workbookViewId="0">
      <selection activeCell="F12" sqref="F12"/>
    </sheetView>
  </sheetViews>
  <sheetFormatPr defaultColWidth="9.140625" defaultRowHeight="12.75"/>
  <cols>
    <col min="1" max="1" width="48" style="64" bestFit="1" customWidth="1" collapsed="1"/>
    <col min="2" max="2" width="22.5703125" style="64" customWidth="1" collapsed="1"/>
    <col min="3" max="3" width="14.5703125" style="64" customWidth="1" collapsed="1"/>
    <col min="4" max="16384" width="9.140625" style="64" collapsed="1"/>
  </cols>
  <sheetData>
    <row r="1" spans="1:5" ht="18.75">
      <c r="A1" s="60" t="s">
        <v>231</v>
      </c>
    </row>
    <row r="2" spans="1:5">
      <c r="A2" s="64" t="str">
        <f>ModelpuntInfo!H12</f>
        <v>Rapportagekwartaal</v>
      </c>
      <c r="B2" s="64" t="str">
        <f>ModelpuntInfo!I12</f>
        <v>2021Q2</v>
      </c>
    </row>
    <row r="3" spans="1:5">
      <c r="C3" s="52" t="s">
        <v>317</v>
      </c>
    </row>
    <row r="4" spans="1:5">
      <c r="A4" s="52" t="s">
        <v>230</v>
      </c>
      <c r="B4" s="238" t="s">
        <v>1186</v>
      </c>
      <c r="C4" s="238"/>
    </row>
    <row r="5" spans="1:5">
      <c r="A5" s="52" t="s">
        <v>326</v>
      </c>
      <c r="B5" s="168" t="b">
        <f>AND(B8:B14)</f>
        <v>1</v>
      </c>
    </row>
    <row r="7" spans="1:5">
      <c r="A7" s="52" t="s">
        <v>212</v>
      </c>
      <c r="B7" s="52" t="s">
        <v>322</v>
      </c>
    </row>
    <row r="8" spans="1:5">
      <c r="A8" s="195" t="str">
        <f ca="1">_xlfn.FORMULATEXT(B8)</f>
        <v>=ModelpuntInfo!$J$20</v>
      </c>
      <c r="B8" s="174" t="b">
        <f>ModelpuntInfo!$J$20</f>
        <v>1</v>
      </c>
    </row>
    <row r="9" spans="1:5">
      <c r="A9" s="195" t="str">
        <f t="shared" ref="A9:A14" ca="1" si="0">_xlfn.FORMULATEXT(B9)</f>
        <v>='Controle Indeling HRG'!$G$14</v>
      </c>
      <c r="B9" s="174" t="b">
        <f>'Controle Indeling HRG'!$G$14</f>
        <v>1</v>
      </c>
      <c r="E9" s="64" t="s">
        <v>974</v>
      </c>
    </row>
    <row r="10" spans="1:5">
      <c r="A10" s="195" t="str">
        <f t="shared" ca="1" si="0"/>
        <v>='Controle Indeling PLNomUL'!$G$14</v>
      </c>
      <c r="B10" s="174" t="b">
        <f>'Controle Indeling PLNomUL'!$G$14</f>
        <v>1</v>
      </c>
      <c r="E10" s="64" t="s">
        <v>975</v>
      </c>
    </row>
    <row r="11" spans="1:5">
      <c r="A11" s="195" t="str">
        <f t="shared" ca="1" si="0"/>
        <v>='Controle Indeling Productlijn'!$G$14</v>
      </c>
      <c r="B11" s="174" t="b">
        <f>'Controle Indeling Productlijn'!$G$14</f>
        <v>1</v>
      </c>
    </row>
    <row r="12" spans="1:5">
      <c r="A12" s="195" t="str">
        <f ca="1">_xlfn.FORMULATEXT(B12)</f>
        <v>='Controle Indeling EPR'!$G$14</v>
      </c>
      <c r="B12" s="174" t="b">
        <f>'Controle Indeling EPR'!$G$14</f>
        <v>1</v>
      </c>
    </row>
    <row r="13" spans="1:5">
      <c r="A13" s="195" t="str">
        <f t="shared" ca="1" si="0"/>
        <v>='Controle Indeling QRT Subniveau'!$G$14</v>
      </c>
      <c r="B13" s="174" t="b">
        <f>'Controle Indeling QRT Subniveau'!$G$14</f>
        <v>1</v>
      </c>
    </row>
    <row r="14" spans="1:5">
      <c r="A14" s="195" t="str">
        <f t="shared" ca="1" si="0"/>
        <v>='Controle Indeling QRT Niveau'!$G$14</v>
      </c>
      <c r="B14" s="174" t="b">
        <f>'Controle Indeling QRT Niveau'!$G$14</f>
        <v>1</v>
      </c>
    </row>
    <row r="15" spans="1:5">
      <c r="A15" s="171"/>
    </row>
    <row r="34" spans="6:6">
      <c r="F34" s="64" t="s">
        <v>975</v>
      </c>
    </row>
  </sheetData>
  <sheetProtection algorithmName="SHA-512" hashValue="MC2nIvzJ952QdHgQkAWKYP1WnOBtfJZ9UtIDN9FwYywCyRLhh1zEmRutCy0PGwCJYv2T/VAoae4QE1bzdZNLTA==" saltValue="WCrdUm5gAUsh2ZDV5Dc8aQ==" spinCount="100000" sheet="1" objects="1" scenarios="1" formatColumns="0" formatRows="0"/>
  <conditionalFormatting sqref="B8 B5">
    <cfRule type="cellIs" dxfId="214" priority="5" operator="equal">
      <formula>TRUE</formula>
    </cfRule>
  </conditionalFormatting>
  <conditionalFormatting sqref="B9:B14">
    <cfRule type="cellIs" dxfId="213" priority="4" operator="equal">
      <formula>TRUE</formula>
    </cfRule>
  </conditionalFormatting>
  <dataValidations count="1">
    <dataValidation type="list" allowBlank="1" showInputMessage="1" showErrorMessage="1" sqref="B4" xr:uid="{AB7270EB-7CAE-4276-8B75-19D3A460F309}">
      <formula1>"OK,"</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3587" r:id="rId3" name="Button 3">
              <controlPr defaultSize="0" print="0" autoFill="0" autoPict="0" macro="[0]!CreateAttrib">
                <anchor moveWithCells="1" sizeWithCells="1">
                  <from>
                    <xdr:col>4</xdr:col>
                    <xdr:colOff>171450</xdr:colOff>
                    <xdr:row>5</xdr:row>
                    <xdr:rowOff>76200</xdr:rowOff>
                  </from>
                  <to>
                    <xdr:col>6</xdr:col>
                    <xdr:colOff>495300</xdr:colOff>
                    <xdr:row>7</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7CAD3-7E6C-4853-A1C9-3E26A39EA8D2}">
  <sheetPr codeName="Blad8">
    <tabColor rgb="FFFFFF00"/>
  </sheetPr>
  <dimension ref="A1:AE374"/>
  <sheetViews>
    <sheetView topLeftCell="H11" zoomScaleNormal="100" workbookViewId="0">
      <pane xSplit="1" topLeftCell="I1" activePane="topRight" state="frozen"/>
      <selection activeCell="H11" sqref="H11"/>
      <selection pane="topRight" activeCell="H23" sqref="H23"/>
    </sheetView>
  </sheetViews>
  <sheetFormatPr defaultRowHeight="12.75"/>
  <cols>
    <col min="1" max="2" width="11.140625" hidden="1" customWidth="1" collapsed="1"/>
    <col min="3" max="3" width="18.140625" hidden="1" customWidth="1" collapsed="1"/>
    <col min="4" max="4" width="23.5703125" hidden="1" customWidth="1" collapsed="1"/>
    <col min="5" max="5" width="11.140625" hidden="1" customWidth="1" collapsed="1"/>
    <col min="6" max="6" width="18.140625" hidden="1" customWidth="1" collapsed="1"/>
    <col min="7" max="7" width="23.5703125" hidden="1" customWidth="1" collapsed="1"/>
    <col min="8" max="8" width="26.140625" bestFit="1" customWidth="1" collapsed="1"/>
    <col min="9" max="9" width="27.85546875" customWidth="1" collapsed="1"/>
    <col min="10" max="11" width="11.7109375" bestFit="1" customWidth="1" collapsed="1"/>
    <col min="12" max="12" width="12" bestFit="1" customWidth="1" collapsed="1"/>
    <col min="13" max="13" width="16" bestFit="1" customWidth="1" collapsed="1"/>
    <col min="14" max="14" width="16" customWidth="1" collapsed="1"/>
    <col min="15" max="15" width="10" bestFit="1" customWidth="1" collapsed="1"/>
    <col min="16" max="16" width="19.140625" bestFit="1" customWidth="1" collapsed="1"/>
    <col min="17" max="17" width="11.7109375" bestFit="1" customWidth="1" collapsed="1"/>
    <col min="18" max="18" width="12" bestFit="1" customWidth="1" collapsed="1"/>
    <col min="19" max="19" width="16.7109375" bestFit="1" customWidth="1" collapsed="1"/>
    <col min="20" max="20" width="16" bestFit="1" customWidth="1" collapsed="1"/>
    <col min="21" max="21" width="25" bestFit="1" customWidth="1" collapsed="1"/>
    <col min="22" max="22" width="25.7109375" bestFit="1" customWidth="1" collapsed="1"/>
    <col min="23" max="23" width="26" bestFit="1" customWidth="1" collapsed="1"/>
    <col min="24" max="24" width="25.85546875" customWidth="1" collapsed="1"/>
    <col min="25" max="25" width="27.140625" bestFit="1" customWidth="1" collapsed="1"/>
    <col min="26" max="26" width="24.7109375" bestFit="1" customWidth="1" collapsed="1"/>
    <col min="27" max="27" width="27" bestFit="1" customWidth="1" collapsed="1"/>
    <col min="28" max="28" width="30.85546875" bestFit="1" customWidth="1" collapsed="1"/>
  </cols>
  <sheetData>
    <row r="1" spans="1:12" hidden="1">
      <c r="A1" s="175" t="s">
        <v>113</v>
      </c>
      <c r="B1" s="175" t="s">
        <v>114</v>
      </c>
      <c r="C1" s="175" t="s">
        <v>114</v>
      </c>
      <c r="D1" s="175" t="s">
        <v>114</v>
      </c>
      <c r="E1" s="175" t="s">
        <v>114</v>
      </c>
      <c r="F1" s="175" t="s">
        <v>114</v>
      </c>
      <c r="G1" s="175" t="s">
        <v>114</v>
      </c>
      <c r="H1" s="59"/>
      <c r="I1" s="64"/>
      <c r="J1" s="64"/>
      <c r="K1" s="64"/>
      <c r="L1" s="64"/>
    </row>
    <row r="2" spans="1:12" hidden="1">
      <c r="A2" s="175" t="s">
        <v>113</v>
      </c>
      <c r="B2" s="66" t="s">
        <v>115</v>
      </c>
      <c r="C2" s="66" t="s">
        <v>169</v>
      </c>
      <c r="D2" s="66"/>
      <c r="E2" s="71" t="s">
        <v>115</v>
      </c>
      <c r="F2" s="71" t="s">
        <v>216</v>
      </c>
      <c r="G2" s="71"/>
      <c r="H2" s="59"/>
      <c r="I2" s="64"/>
      <c r="J2" s="64"/>
      <c r="K2" s="64"/>
      <c r="L2" s="64"/>
    </row>
    <row r="3" spans="1:12" hidden="1">
      <c r="A3" s="175" t="s">
        <v>113</v>
      </c>
      <c r="B3" s="67" t="s">
        <v>116</v>
      </c>
      <c r="C3" s="67" t="s">
        <v>117</v>
      </c>
      <c r="D3" s="67" t="s">
        <v>118</v>
      </c>
      <c r="E3" s="72" t="s">
        <v>116</v>
      </c>
      <c r="F3" s="72" t="s">
        <v>117</v>
      </c>
      <c r="G3" s="72" t="s">
        <v>118</v>
      </c>
      <c r="H3" s="59"/>
      <c r="I3" s="64"/>
      <c r="J3" s="64"/>
      <c r="K3" s="64"/>
      <c r="L3" s="64"/>
    </row>
    <row r="4" spans="1:12" hidden="1">
      <c r="A4" s="175" t="s">
        <v>113</v>
      </c>
      <c r="B4" s="66" t="s">
        <v>90</v>
      </c>
      <c r="C4" s="66" t="s">
        <v>119</v>
      </c>
      <c r="D4" s="68">
        <f>Selectie!$C$2</f>
        <v>2021</v>
      </c>
      <c r="E4" s="73" t="s">
        <v>90</v>
      </c>
      <c r="F4" s="73" t="s">
        <v>119</v>
      </c>
      <c r="G4" s="73">
        <f>Selectie!$C$2</f>
        <v>2021</v>
      </c>
      <c r="H4" s="59"/>
      <c r="I4" s="64"/>
      <c r="J4" s="64"/>
      <c r="K4" s="64"/>
      <c r="L4" s="64"/>
    </row>
    <row r="5" spans="1:12" hidden="1">
      <c r="A5" s="175" t="s">
        <v>113</v>
      </c>
      <c r="B5" s="66" t="s">
        <v>91</v>
      </c>
      <c r="C5" s="66" t="s">
        <v>119</v>
      </c>
      <c r="D5" s="68" t="str">
        <f>Selectie!$C$3</f>
        <v>Q2</v>
      </c>
      <c r="E5" s="71" t="s">
        <v>91</v>
      </c>
      <c r="F5" s="71" t="s">
        <v>119</v>
      </c>
      <c r="G5" s="71" t="str">
        <f>Selectie!$C$3</f>
        <v>Q2</v>
      </c>
      <c r="H5" s="59"/>
      <c r="I5" s="64"/>
      <c r="J5" s="64"/>
      <c r="K5" s="64"/>
      <c r="L5" s="64"/>
    </row>
    <row r="6" spans="1:12" hidden="1">
      <c r="A6" s="175" t="s">
        <v>113</v>
      </c>
      <c r="B6" s="66" t="s">
        <v>86</v>
      </c>
      <c r="C6" s="66" t="s">
        <v>122</v>
      </c>
      <c r="D6" s="66"/>
      <c r="E6" s="71" t="s">
        <v>86</v>
      </c>
      <c r="F6" s="71" t="s">
        <v>119</v>
      </c>
      <c r="G6" s="71" t="s">
        <v>127</v>
      </c>
      <c r="H6" s="59"/>
      <c r="I6" s="64"/>
      <c r="J6" s="64"/>
      <c r="K6" s="64"/>
      <c r="L6" s="64"/>
    </row>
    <row r="7" spans="1:12" hidden="1">
      <c r="A7" s="175" t="s">
        <v>113</v>
      </c>
      <c r="B7" s="66" t="s">
        <v>120</v>
      </c>
      <c r="C7" s="66" t="s">
        <v>119</v>
      </c>
      <c r="D7" s="66" t="s">
        <v>125</v>
      </c>
      <c r="E7" s="71" t="s">
        <v>120</v>
      </c>
      <c r="F7" s="71" t="s">
        <v>119</v>
      </c>
      <c r="G7" s="71" t="s">
        <v>125</v>
      </c>
      <c r="H7" s="59"/>
      <c r="I7" s="64"/>
      <c r="J7" s="64"/>
      <c r="K7" s="64"/>
      <c r="L7" s="64"/>
    </row>
    <row r="8" spans="1:12" hidden="1">
      <c r="A8" s="175" t="s">
        <v>113</v>
      </c>
      <c r="B8" s="66" t="s">
        <v>92</v>
      </c>
      <c r="C8" s="66" t="s">
        <v>119</v>
      </c>
      <c r="D8" s="66" t="s">
        <v>170</v>
      </c>
      <c r="E8" s="71" t="s">
        <v>92</v>
      </c>
      <c r="F8" s="71" t="s">
        <v>124</v>
      </c>
      <c r="G8" s="71"/>
      <c r="H8" s="59"/>
      <c r="I8" s="64"/>
      <c r="J8" s="64"/>
      <c r="K8" s="64"/>
      <c r="L8" s="64"/>
    </row>
    <row r="9" spans="1:12" hidden="1">
      <c r="A9" s="175" t="s">
        <v>113</v>
      </c>
      <c r="B9" s="66" t="s">
        <v>121</v>
      </c>
      <c r="C9" s="66" t="s">
        <v>124</v>
      </c>
      <c r="D9" s="66"/>
      <c r="E9" s="71" t="s">
        <v>121</v>
      </c>
      <c r="F9" s="71" t="s">
        <v>122</v>
      </c>
      <c r="G9" s="71"/>
      <c r="H9" s="59"/>
      <c r="I9" s="64"/>
      <c r="J9" s="64"/>
      <c r="K9" s="64"/>
      <c r="L9" s="64"/>
    </row>
    <row r="10" spans="1:12" hidden="1">
      <c r="A10" s="175" t="s">
        <v>113</v>
      </c>
      <c r="B10" s="66" t="s">
        <v>123</v>
      </c>
      <c r="C10" s="66" t="s">
        <v>119</v>
      </c>
      <c r="D10" s="66" t="s">
        <v>126</v>
      </c>
      <c r="E10" s="71" t="s">
        <v>123</v>
      </c>
      <c r="F10" s="71" t="s">
        <v>119</v>
      </c>
      <c r="G10" s="71" t="s">
        <v>126</v>
      </c>
      <c r="H10" s="59"/>
      <c r="I10" s="64"/>
      <c r="J10" s="64"/>
      <c r="K10" s="64"/>
      <c r="L10" s="64"/>
    </row>
    <row r="11" spans="1:12" ht="18.75">
      <c r="A11" s="175" t="s">
        <v>114</v>
      </c>
      <c r="B11" s="59"/>
      <c r="C11" s="59"/>
      <c r="D11" s="59"/>
      <c r="E11" s="59"/>
      <c r="F11" s="59"/>
      <c r="G11" s="59"/>
      <c r="H11" s="60" t="s">
        <v>213</v>
      </c>
      <c r="I11" s="64"/>
      <c r="J11" s="64"/>
      <c r="K11" s="64"/>
      <c r="L11" s="64"/>
    </row>
    <row r="12" spans="1:12" ht="15.75">
      <c r="A12" s="59"/>
      <c r="B12" s="59"/>
      <c r="C12" s="59"/>
      <c r="D12" s="59"/>
      <c r="E12" s="59"/>
      <c r="F12" s="59"/>
      <c r="G12" s="59"/>
      <c r="H12" s="61" t="s">
        <v>67</v>
      </c>
      <c r="I12" s="65" t="str">
        <f>$D$4&amp;$D$5</f>
        <v>2021Q2</v>
      </c>
      <c r="J12" s="64"/>
      <c r="K12" s="64"/>
      <c r="L12" s="64"/>
    </row>
    <row r="13" spans="1:12">
      <c r="A13" s="59"/>
      <c r="B13" s="59"/>
      <c r="C13" s="59"/>
      <c r="D13" s="59"/>
      <c r="E13" s="59"/>
      <c r="F13" s="59"/>
      <c r="G13" s="59"/>
      <c r="H13" s="59"/>
      <c r="I13" s="64"/>
      <c r="J13" s="64"/>
      <c r="K13" s="64"/>
      <c r="L13" s="64"/>
    </row>
    <row r="14" spans="1:12" hidden="1">
      <c r="A14" s="175" t="s">
        <v>113</v>
      </c>
      <c r="B14" s="59"/>
      <c r="C14" s="59"/>
      <c r="D14" s="59"/>
      <c r="E14" s="59"/>
      <c r="F14" s="59"/>
      <c r="G14" s="71"/>
      <c r="H14" s="59"/>
      <c r="I14" s="52" t="str">
        <f>$D$8</f>
        <v>Scenario niet gespecificeerd</v>
      </c>
      <c r="J14" s="64"/>
      <c r="K14" s="64"/>
      <c r="L14" s="64"/>
    </row>
    <row r="15" spans="1:12">
      <c r="A15" s="59"/>
      <c r="B15" s="59"/>
      <c r="C15" s="59"/>
      <c r="D15" s="59"/>
      <c r="E15" s="59"/>
      <c r="F15" s="59"/>
      <c r="G15" s="71"/>
      <c r="H15" s="52" t="s">
        <v>214</v>
      </c>
      <c r="I15" s="69" t="str">
        <f>Invoer!$M$7</f>
        <v>G:\Actuariaat\SSC Marktwaarde Verslaglegging\2021\2021Q2\04. Modelberekeningen\OSM Modelpunten\Overview Modelpoints Life 2021Q2_Definitief.xlsx</v>
      </c>
      <c r="J15" s="64"/>
      <c r="K15" s="64"/>
      <c r="L15" s="64"/>
    </row>
    <row r="16" spans="1:12">
      <c r="A16" s="59"/>
      <c r="B16" s="59"/>
      <c r="C16" s="59"/>
      <c r="D16" s="59"/>
      <c r="E16" s="59"/>
      <c r="F16" s="59"/>
      <c r="G16" s="71"/>
      <c r="H16" s="52" t="s">
        <v>215</v>
      </c>
      <c r="I16" s="70">
        <f>Invoer!$J$7</f>
        <v>44369.34065972222</v>
      </c>
      <c r="J16" s="64"/>
      <c r="K16" s="64"/>
      <c r="L16" s="64"/>
    </row>
    <row r="17" spans="1:31">
      <c r="A17" s="59"/>
      <c r="B17" s="59"/>
      <c r="C17" s="59"/>
      <c r="D17" s="59"/>
      <c r="E17" s="59"/>
      <c r="F17" s="59"/>
      <c r="G17" s="71"/>
      <c r="H17" s="52" t="s">
        <v>324</v>
      </c>
      <c r="I17" s="70" t="str">
        <f>LayoutMelding</f>
        <v>OK</v>
      </c>
      <c r="J17" s="64"/>
      <c r="K17" s="64"/>
      <c r="L17" s="64"/>
    </row>
    <row r="18" spans="1:31">
      <c r="A18" s="59"/>
      <c r="B18" s="59"/>
      <c r="C18" s="59"/>
      <c r="D18" s="59"/>
      <c r="E18" s="59"/>
      <c r="F18" s="59"/>
      <c r="G18" s="71"/>
      <c r="H18" s="52" t="s">
        <v>230</v>
      </c>
      <c r="I18" s="196" t="str">
        <f>IF('MP Controle Recap'!$B$4="OK",'MP Controle Recap'!$B$4,"")</f>
        <v>OK</v>
      </c>
      <c r="J18" s="64"/>
      <c r="K18" s="64"/>
      <c r="L18" s="64"/>
    </row>
    <row r="19" spans="1:31">
      <c r="A19" s="59"/>
      <c r="B19" s="59"/>
      <c r="C19" s="59"/>
      <c r="D19" s="59"/>
      <c r="E19" s="59"/>
      <c r="F19" s="59"/>
      <c r="G19" s="59"/>
      <c r="H19" s="59"/>
      <c r="I19" s="59"/>
      <c r="J19" s="59"/>
      <c r="K19" s="64"/>
      <c r="L19" s="64"/>
    </row>
    <row r="20" spans="1:31">
      <c r="A20" s="59"/>
      <c r="B20" s="59"/>
      <c r="C20" s="59"/>
      <c r="D20" s="59"/>
      <c r="E20" s="59"/>
      <c r="F20" s="59"/>
      <c r="G20" s="59"/>
      <c r="H20" s="52" t="s">
        <v>238</v>
      </c>
      <c r="I20" s="195">
        <f>SUM($I24:$I375)</f>
        <v>242</v>
      </c>
      <c r="J20" s="178" t="b">
        <f>$I$20='Overview MP Life'!$B$5</f>
        <v>1</v>
      </c>
      <c r="K20" s="64"/>
      <c r="L20" s="64"/>
    </row>
    <row r="21" spans="1:31">
      <c r="A21" s="59"/>
      <c r="B21" s="59"/>
      <c r="C21" s="59"/>
      <c r="D21" s="59"/>
      <c r="E21" s="59"/>
      <c r="F21" s="59"/>
      <c r="G21" s="59"/>
      <c r="H21" s="59"/>
      <c r="I21" s="177"/>
      <c r="J21" s="64"/>
      <c r="K21" s="64"/>
    </row>
    <row r="22" spans="1:31" hidden="1">
      <c r="A22" s="175" t="s">
        <v>113</v>
      </c>
      <c r="B22" s="59"/>
      <c r="C22" s="59"/>
      <c r="D22" s="59"/>
      <c r="E22" s="59"/>
      <c r="F22" s="59"/>
      <c r="G22" s="59"/>
      <c r="H22" s="59"/>
      <c r="I22" s="64" t="e">
        <f ca="1">_xll.VenaSetMemberDisplayStyle("InputModelpuntInfo1","B1","name")</f>
        <v>#NAME?</v>
      </c>
      <c r="Q22" s="64"/>
      <c r="R22" s="64"/>
      <c r="S22" s="64"/>
    </row>
    <row r="23" spans="1:31">
      <c r="A23" s="64"/>
      <c r="B23" s="64"/>
      <c r="C23" s="64"/>
      <c r="D23" s="64"/>
      <c r="E23" s="64"/>
      <c r="F23" s="64"/>
      <c r="G23" s="74"/>
      <c r="H23" s="265" t="s">
        <v>228</v>
      </c>
      <c r="I23" s="52" t="s">
        <v>219</v>
      </c>
      <c r="J23" s="52" t="s">
        <v>222</v>
      </c>
      <c r="K23" s="52" t="s">
        <v>223</v>
      </c>
      <c r="L23" s="52" t="s">
        <v>224</v>
      </c>
      <c r="M23" s="52" t="s">
        <v>225</v>
      </c>
      <c r="N23" s="265" t="s">
        <v>969</v>
      </c>
      <c r="O23" s="52" t="s">
        <v>226</v>
      </c>
      <c r="P23" s="265" t="s">
        <v>964</v>
      </c>
      <c r="Q23" s="52" t="s">
        <v>220</v>
      </c>
      <c r="R23" s="52" t="s">
        <v>221</v>
      </c>
      <c r="S23" s="52" t="s">
        <v>988</v>
      </c>
      <c r="T23" s="52" t="s">
        <v>218</v>
      </c>
      <c r="U23" s="52" t="s">
        <v>977</v>
      </c>
      <c r="V23" s="265" t="s">
        <v>958</v>
      </c>
      <c r="W23" s="265" t="s">
        <v>959</v>
      </c>
      <c r="X23" s="265" t="s">
        <v>960</v>
      </c>
      <c r="Y23" s="265" t="s">
        <v>962</v>
      </c>
      <c r="Z23" s="265" t="s">
        <v>961</v>
      </c>
      <c r="AA23" s="265" t="s">
        <v>329</v>
      </c>
      <c r="AB23" s="265" t="s">
        <v>968</v>
      </c>
      <c r="AE23" s="266"/>
    </row>
    <row r="24" spans="1:31">
      <c r="A24" s="175" t="s">
        <v>113</v>
      </c>
      <c r="B24" s="64"/>
      <c r="C24" s="64"/>
      <c r="D24" s="64"/>
      <c r="E24" s="64"/>
      <c r="F24" s="64"/>
      <c r="G24" s="74"/>
      <c r="H24" s="52" t="s">
        <v>229</v>
      </c>
      <c r="I24" s="69">
        <f t="shared" ref="I24:I89" si="0">IF(ISNA(VLOOKUP($H24,Modelpuntoverzicht,1,FALSE)),0,1)</f>
        <v>0</v>
      </c>
      <c r="J24" s="69">
        <f t="shared" ref="J24:J89" si="1">IF($I24=1,VLOOKUP($H24,Modelpuntoverzicht,6,FALSE),0)</f>
        <v>0</v>
      </c>
      <c r="K24" s="69">
        <f t="shared" ref="K24:K89" si="2">IF($I24=1,IF(VLOOKUP($H24,Modelpuntoverzicht,12,FALSE)=1,1,0),0)</f>
        <v>0</v>
      </c>
      <c r="L24" s="69">
        <f t="shared" ref="L24:L89" si="3">IF($I24=1,VLOOKUP($H24,Modelpuntoverzicht,38,FALSE),0)</f>
        <v>0</v>
      </c>
      <c r="M24" s="69">
        <f t="shared" ref="M24:M89" si="4">IF($I24=1,IF(VLOOKUP($H24,Modelpuntoverzicht,30,FALSE)="JA",1,0),0)</f>
        <v>0</v>
      </c>
      <c r="N24" s="69">
        <f t="shared" ref="N24:N89" si="5">IF($I24=1,VLOOKUP($H24,Modelpuntoverzicht,9,FALSE),0)</f>
        <v>0</v>
      </c>
      <c r="O24" s="69">
        <f t="shared" ref="O24:O89" si="6">IF($I24=1,VLOOKUP($H24,Modelpuntoverzicht,11,FALSE),0)</f>
        <v>0</v>
      </c>
      <c r="P24" s="69">
        <f t="shared" ref="P24:P89" si="7">IF($I24=1,VLOOKUP($H24,Modelpuntoverzicht,39,FALSE),0)</f>
        <v>0</v>
      </c>
      <c r="Q24" s="69">
        <f t="shared" ref="Q24:Q89" si="8">IF($I24=1,VLOOKUP($H24,OSM_Info_PerMP,4,FALSE),0)</f>
        <v>0</v>
      </c>
      <c r="R24" s="69">
        <f t="shared" ref="R24:R89" si="9">IF($I24=1,VLOOKUP($H24,OSM_Info_PerMP,6,FALSE),0)</f>
        <v>0</v>
      </c>
      <c r="S24" s="69">
        <f t="shared" ref="S24:S89" si="10">IF($I24=1,VLOOKUP($H24,OSM_Info_PerMP,3,FALSE),0)</f>
        <v>0</v>
      </c>
      <c r="T24" s="69">
        <f t="shared" ref="T24:T89" si="11">IF($I24=1,VLOOKUP($H24,OSM_Info_PerMP,7,FALSE),0)</f>
        <v>0</v>
      </c>
      <c r="U24" s="238">
        <v>0</v>
      </c>
      <c r="V24" s="240" t="s">
        <v>976</v>
      </c>
      <c r="W24" s="240" t="s">
        <v>965</v>
      </c>
      <c r="X24" s="240" t="s">
        <v>966</v>
      </c>
      <c r="Y24" s="238" t="s">
        <v>328</v>
      </c>
      <c r="Z24" s="238" t="s">
        <v>328</v>
      </c>
      <c r="AA24" s="238" t="s">
        <v>328</v>
      </c>
      <c r="AB24" s="238">
        <v>0</v>
      </c>
      <c r="AE24" s="267"/>
    </row>
    <row r="25" spans="1:31">
      <c r="A25" s="175"/>
      <c r="B25" s="64"/>
      <c r="C25" s="64"/>
      <c r="D25" s="64"/>
      <c r="E25" s="64"/>
      <c r="F25" s="64"/>
      <c r="G25" s="74"/>
      <c r="H25" s="52" t="s">
        <v>1191</v>
      </c>
      <c r="I25" s="69">
        <f t="shared" si="0"/>
        <v>1</v>
      </c>
      <c r="J25" s="69">
        <f t="shared" si="1"/>
        <v>3</v>
      </c>
      <c r="K25" s="69">
        <f t="shared" si="2"/>
        <v>0</v>
      </c>
      <c r="L25" s="69">
        <f t="shared" si="3"/>
        <v>1</v>
      </c>
      <c r="M25" s="69">
        <f t="shared" si="4"/>
        <v>0</v>
      </c>
      <c r="N25" s="69">
        <f t="shared" si="5"/>
        <v>3</v>
      </c>
      <c r="O25" s="69">
        <f t="shared" si="6"/>
        <v>0</v>
      </c>
      <c r="P25" s="69">
        <f t="shared" si="7"/>
        <v>0</v>
      </c>
      <c r="Q25" s="69" t="str">
        <f t="shared" si="8"/>
        <v>F_TRAD</v>
      </c>
      <c r="R25" s="69">
        <f t="shared" si="9"/>
        <v>2</v>
      </c>
      <c r="S25" s="69">
        <f t="shared" si="10"/>
        <v>2</v>
      </c>
      <c r="T25" s="69">
        <f t="shared" si="11"/>
        <v>0</v>
      </c>
      <c r="U25" s="238">
        <v>1</v>
      </c>
      <c r="V25" s="240" t="s">
        <v>1063</v>
      </c>
      <c r="W25" s="240" t="s">
        <v>965</v>
      </c>
      <c r="X25" s="240" t="s">
        <v>966</v>
      </c>
      <c r="Y25" s="238" t="s">
        <v>328</v>
      </c>
      <c r="Z25" s="238" t="s">
        <v>328</v>
      </c>
      <c r="AA25" s="238" t="s">
        <v>328</v>
      </c>
      <c r="AB25" s="238"/>
      <c r="AE25" s="267"/>
    </row>
    <row r="26" spans="1:31">
      <c r="A26" s="175"/>
      <c r="B26" s="64"/>
      <c r="C26" s="64"/>
      <c r="D26" s="64"/>
      <c r="E26" s="64"/>
      <c r="F26" s="64"/>
      <c r="G26" s="74"/>
      <c r="H26" s="52" t="s">
        <v>1030</v>
      </c>
      <c r="I26" s="69">
        <f t="shared" si="0"/>
        <v>0</v>
      </c>
      <c r="J26" s="69">
        <f t="shared" si="1"/>
        <v>0</v>
      </c>
      <c r="K26" s="69">
        <f t="shared" si="2"/>
        <v>0</v>
      </c>
      <c r="L26" s="69">
        <f t="shared" si="3"/>
        <v>0</v>
      </c>
      <c r="M26" s="69">
        <f t="shared" si="4"/>
        <v>0</v>
      </c>
      <c r="N26" s="69">
        <f t="shared" si="5"/>
        <v>0</v>
      </c>
      <c r="O26" s="69">
        <f t="shared" si="6"/>
        <v>0</v>
      </c>
      <c r="P26" s="69">
        <f t="shared" si="7"/>
        <v>0</v>
      </c>
      <c r="Q26" s="69">
        <f t="shared" si="8"/>
        <v>0</v>
      </c>
      <c r="R26" s="69">
        <f t="shared" si="9"/>
        <v>0</v>
      </c>
      <c r="S26" s="69">
        <f t="shared" si="10"/>
        <v>0</v>
      </c>
      <c r="T26" s="69">
        <f t="shared" si="11"/>
        <v>0</v>
      </c>
      <c r="U26" s="238"/>
      <c r="V26" s="240"/>
      <c r="W26" s="240"/>
      <c r="X26" s="240"/>
      <c r="Y26" s="238"/>
      <c r="Z26" s="238"/>
      <c r="AA26" s="238"/>
      <c r="AB26" s="238"/>
      <c r="AE26" s="267"/>
    </row>
    <row r="27" spans="1:31">
      <c r="A27" s="175"/>
      <c r="B27" s="64"/>
      <c r="C27" s="64"/>
      <c r="D27" s="64"/>
      <c r="E27" s="64"/>
      <c r="F27" s="64"/>
      <c r="G27" s="74"/>
      <c r="H27" s="52" t="s">
        <v>418</v>
      </c>
      <c r="I27" s="69">
        <f t="shared" si="0"/>
        <v>1</v>
      </c>
      <c r="J27" s="69">
        <f t="shared" si="1"/>
        <v>3</v>
      </c>
      <c r="K27" s="69">
        <f t="shared" si="2"/>
        <v>0</v>
      </c>
      <c r="L27" s="69">
        <f t="shared" si="3"/>
        <v>1</v>
      </c>
      <c r="M27" s="69">
        <f t="shared" si="4"/>
        <v>0</v>
      </c>
      <c r="N27" s="69">
        <f t="shared" si="5"/>
        <v>1</v>
      </c>
      <c r="O27" s="69">
        <f t="shared" si="6"/>
        <v>0</v>
      </c>
      <c r="P27" s="69">
        <f t="shared" si="7"/>
        <v>0</v>
      </c>
      <c r="Q27" s="69" t="str">
        <f t="shared" si="8"/>
        <v>F_FSPD</v>
      </c>
      <c r="R27" s="69">
        <f t="shared" si="9"/>
        <v>3</v>
      </c>
      <c r="S27" s="69">
        <f t="shared" si="10"/>
        <v>19</v>
      </c>
      <c r="T27" s="69">
        <f t="shared" si="11"/>
        <v>2</v>
      </c>
      <c r="U27" s="238"/>
      <c r="V27" s="240" t="s">
        <v>1063</v>
      </c>
      <c r="W27" s="240" t="s">
        <v>965</v>
      </c>
      <c r="X27" s="240" t="s">
        <v>966</v>
      </c>
      <c r="Y27" s="238" t="s">
        <v>328</v>
      </c>
      <c r="Z27" s="238" t="s">
        <v>328</v>
      </c>
      <c r="AA27" s="238" t="s">
        <v>1066</v>
      </c>
      <c r="AB27" s="238"/>
      <c r="AE27" s="267"/>
    </row>
    <row r="28" spans="1:31">
      <c r="A28" s="175"/>
      <c r="B28" s="64"/>
      <c r="C28" s="64"/>
      <c r="D28" s="64"/>
      <c r="E28" s="64"/>
      <c r="F28" s="64"/>
      <c r="G28" s="74"/>
      <c r="H28" s="52" t="s">
        <v>419</v>
      </c>
      <c r="I28" s="69">
        <f t="shared" si="0"/>
        <v>1</v>
      </c>
      <c r="J28" s="69">
        <f t="shared" si="1"/>
        <v>3</v>
      </c>
      <c r="K28" s="69">
        <f t="shared" si="2"/>
        <v>0</v>
      </c>
      <c r="L28" s="69">
        <f t="shared" si="3"/>
        <v>1</v>
      </c>
      <c r="M28" s="69">
        <f t="shared" si="4"/>
        <v>0</v>
      </c>
      <c r="N28" s="69">
        <f t="shared" si="5"/>
        <v>1</v>
      </c>
      <c r="O28" s="69">
        <f t="shared" si="6"/>
        <v>0</v>
      </c>
      <c r="P28" s="69">
        <f t="shared" si="7"/>
        <v>0</v>
      </c>
      <c r="Q28" s="69" t="str">
        <f t="shared" si="8"/>
        <v>F_FSPD</v>
      </c>
      <c r="R28" s="69">
        <f t="shared" si="9"/>
        <v>4</v>
      </c>
      <c r="S28" s="69">
        <f t="shared" si="10"/>
        <v>20</v>
      </c>
      <c r="T28" s="69">
        <f t="shared" si="11"/>
        <v>2</v>
      </c>
      <c r="U28" s="238"/>
      <c r="V28" s="240" t="s">
        <v>1063</v>
      </c>
      <c r="W28" s="240" t="s">
        <v>965</v>
      </c>
      <c r="X28" s="240" t="s">
        <v>966</v>
      </c>
      <c r="Y28" s="238" t="s">
        <v>328</v>
      </c>
      <c r="Z28" s="238" t="s">
        <v>328</v>
      </c>
      <c r="AA28" s="238" t="s">
        <v>1066</v>
      </c>
      <c r="AB28" s="238"/>
      <c r="AE28" s="267"/>
    </row>
    <row r="29" spans="1:31">
      <c r="A29" s="175"/>
      <c r="B29" s="64"/>
      <c r="C29" s="64"/>
      <c r="D29" s="64"/>
      <c r="E29" s="64"/>
      <c r="F29" s="64"/>
      <c r="G29" s="74"/>
      <c r="H29" s="52" t="s">
        <v>420</v>
      </c>
      <c r="I29" s="69">
        <f t="shared" si="0"/>
        <v>1</v>
      </c>
      <c r="J29" s="69">
        <f t="shared" si="1"/>
        <v>3</v>
      </c>
      <c r="K29" s="69">
        <f t="shared" si="2"/>
        <v>0</v>
      </c>
      <c r="L29" s="69">
        <f t="shared" si="3"/>
        <v>1</v>
      </c>
      <c r="M29" s="69">
        <f t="shared" si="4"/>
        <v>0</v>
      </c>
      <c r="N29" s="69">
        <f t="shared" si="5"/>
        <v>1</v>
      </c>
      <c r="O29" s="69">
        <f t="shared" si="6"/>
        <v>0</v>
      </c>
      <c r="P29" s="69">
        <f t="shared" si="7"/>
        <v>0</v>
      </c>
      <c r="Q29" s="69" t="str">
        <f t="shared" si="8"/>
        <v>F_FSPD</v>
      </c>
      <c r="R29" s="69">
        <f t="shared" si="9"/>
        <v>5</v>
      </c>
      <c r="S29" s="69">
        <f t="shared" si="10"/>
        <v>21</v>
      </c>
      <c r="T29" s="69">
        <f t="shared" si="11"/>
        <v>2</v>
      </c>
      <c r="U29" s="238"/>
      <c r="V29" s="240" t="s">
        <v>1063</v>
      </c>
      <c r="W29" s="240" t="s">
        <v>965</v>
      </c>
      <c r="X29" s="240" t="s">
        <v>966</v>
      </c>
      <c r="Y29" s="238" t="s">
        <v>328</v>
      </c>
      <c r="Z29" s="238" t="s">
        <v>328</v>
      </c>
      <c r="AA29" s="238" t="s">
        <v>1066</v>
      </c>
      <c r="AB29" s="238"/>
      <c r="AE29" s="267"/>
    </row>
    <row r="30" spans="1:31">
      <c r="A30" s="175"/>
      <c r="B30" s="64"/>
      <c r="C30" s="64"/>
      <c r="D30" s="64"/>
      <c r="E30" s="64"/>
      <c r="F30" s="64"/>
      <c r="G30" s="74"/>
      <c r="H30" s="52" t="s">
        <v>421</v>
      </c>
      <c r="I30" s="69">
        <f t="shared" si="0"/>
        <v>1</v>
      </c>
      <c r="J30" s="69">
        <f t="shared" si="1"/>
        <v>3</v>
      </c>
      <c r="K30" s="69">
        <f t="shared" si="2"/>
        <v>0</v>
      </c>
      <c r="L30" s="69">
        <f t="shared" si="3"/>
        <v>1</v>
      </c>
      <c r="M30" s="69">
        <f t="shared" si="4"/>
        <v>0</v>
      </c>
      <c r="N30" s="69">
        <f t="shared" si="5"/>
        <v>1</v>
      </c>
      <c r="O30" s="69">
        <f t="shared" si="6"/>
        <v>0</v>
      </c>
      <c r="P30" s="69">
        <f t="shared" si="7"/>
        <v>0</v>
      </c>
      <c r="Q30" s="69" t="str">
        <f t="shared" si="8"/>
        <v>F_FSPD</v>
      </c>
      <c r="R30" s="69">
        <f t="shared" si="9"/>
        <v>6</v>
      </c>
      <c r="S30" s="69">
        <f t="shared" si="10"/>
        <v>22</v>
      </c>
      <c r="T30" s="69">
        <f t="shared" si="11"/>
        <v>2</v>
      </c>
      <c r="U30" s="238"/>
      <c r="V30" s="240" t="s">
        <v>1063</v>
      </c>
      <c r="W30" s="240" t="s">
        <v>965</v>
      </c>
      <c r="X30" s="240" t="s">
        <v>966</v>
      </c>
      <c r="Y30" s="238" t="s">
        <v>328</v>
      </c>
      <c r="Z30" s="238" t="s">
        <v>328</v>
      </c>
      <c r="AA30" s="238" t="s">
        <v>1066</v>
      </c>
      <c r="AB30" s="238"/>
      <c r="AE30" s="267"/>
    </row>
    <row r="31" spans="1:31">
      <c r="A31" s="175"/>
      <c r="B31" s="64"/>
      <c r="C31" s="64"/>
      <c r="D31" s="64"/>
      <c r="E31" s="64"/>
      <c r="F31" s="64"/>
      <c r="G31" s="74"/>
      <c r="H31" s="52" t="s">
        <v>422</v>
      </c>
      <c r="I31" s="69">
        <f t="shared" si="0"/>
        <v>1</v>
      </c>
      <c r="J31" s="69">
        <f t="shared" si="1"/>
        <v>3</v>
      </c>
      <c r="K31" s="69">
        <f t="shared" si="2"/>
        <v>0</v>
      </c>
      <c r="L31" s="69">
        <f t="shared" si="3"/>
        <v>1</v>
      </c>
      <c r="M31" s="69">
        <f t="shared" si="4"/>
        <v>0</v>
      </c>
      <c r="N31" s="69">
        <f t="shared" si="5"/>
        <v>1</v>
      </c>
      <c r="O31" s="69">
        <f t="shared" si="6"/>
        <v>0</v>
      </c>
      <c r="P31" s="69">
        <f t="shared" si="7"/>
        <v>0</v>
      </c>
      <c r="Q31" s="69" t="str">
        <f t="shared" si="8"/>
        <v>F_FSPD</v>
      </c>
      <c r="R31" s="69">
        <f t="shared" si="9"/>
        <v>7</v>
      </c>
      <c r="S31" s="69">
        <f t="shared" si="10"/>
        <v>23</v>
      </c>
      <c r="T31" s="69">
        <f t="shared" si="11"/>
        <v>2</v>
      </c>
      <c r="U31" s="238"/>
      <c r="V31" s="240" t="s">
        <v>1063</v>
      </c>
      <c r="W31" s="240" t="s">
        <v>965</v>
      </c>
      <c r="X31" s="240" t="s">
        <v>966</v>
      </c>
      <c r="Y31" s="238" t="s">
        <v>328</v>
      </c>
      <c r="Z31" s="238" t="s">
        <v>328</v>
      </c>
      <c r="AA31" s="238" t="s">
        <v>1066</v>
      </c>
      <c r="AB31" s="238"/>
      <c r="AE31" s="267"/>
    </row>
    <row r="32" spans="1:31">
      <c r="A32" s="175"/>
      <c r="B32" s="64"/>
      <c r="C32" s="64"/>
      <c r="D32" s="64"/>
      <c r="E32" s="64"/>
      <c r="F32" s="64"/>
      <c r="G32" s="74"/>
      <c r="H32" s="52" t="s">
        <v>423</v>
      </c>
      <c r="I32" s="69">
        <f t="shared" si="0"/>
        <v>1</v>
      </c>
      <c r="J32" s="69">
        <f t="shared" si="1"/>
        <v>3</v>
      </c>
      <c r="K32" s="69">
        <f t="shared" si="2"/>
        <v>0</v>
      </c>
      <c r="L32" s="69">
        <f t="shared" si="3"/>
        <v>1</v>
      </c>
      <c r="M32" s="69">
        <f t="shared" si="4"/>
        <v>0</v>
      </c>
      <c r="N32" s="69">
        <f t="shared" si="5"/>
        <v>1</v>
      </c>
      <c r="O32" s="69">
        <f t="shared" si="6"/>
        <v>0</v>
      </c>
      <c r="P32" s="69">
        <f t="shared" si="7"/>
        <v>0</v>
      </c>
      <c r="Q32" s="69" t="str">
        <f t="shared" si="8"/>
        <v>F_FSPD</v>
      </c>
      <c r="R32" s="69">
        <f t="shared" si="9"/>
        <v>8</v>
      </c>
      <c r="S32" s="69">
        <f t="shared" si="10"/>
        <v>24</v>
      </c>
      <c r="T32" s="69">
        <f t="shared" si="11"/>
        <v>2</v>
      </c>
      <c r="U32" s="238"/>
      <c r="V32" s="240" t="s">
        <v>1063</v>
      </c>
      <c r="W32" s="240" t="s">
        <v>965</v>
      </c>
      <c r="X32" s="240" t="s">
        <v>966</v>
      </c>
      <c r="Y32" s="238" t="s">
        <v>328</v>
      </c>
      <c r="Z32" s="238" t="s">
        <v>328</v>
      </c>
      <c r="AA32" s="238" t="s">
        <v>1066</v>
      </c>
      <c r="AB32" s="238"/>
      <c r="AE32" s="267"/>
    </row>
    <row r="33" spans="1:31">
      <c r="A33" s="175"/>
      <c r="B33" s="64"/>
      <c r="C33" s="64"/>
      <c r="D33" s="64"/>
      <c r="E33" s="64"/>
      <c r="F33" s="64"/>
      <c r="G33" s="74"/>
      <c r="H33" s="52" t="s">
        <v>424</v>
      </c>
      <c r="I33" s="69">
        <f t="shared" si="0"/>
        <v>1</v>
      </c>
      <c r="J33" s="69">
        <f t="shared" si="1"/>
        <v>3</v>
      </c>
      <c r="K33" s="69">
        <f t="shared" si="2"/>
        <v>0</v>
      </c>
      <c r="L33" s="69">
        <f t="shared" si="3"/>
        <v>1</v>
      </c>
      <c r="M33" s="69">
        <f t="shared" si="4"/>
        <v>0</v>
      </c>
      <c r="N33" s="69">
        <f t="shared" si="5"/>
        <v>1</v>
      </c>
      <c r="O33" s="69">
        <f t="shared" si="6"/>
        <v>0</v>
      </c>
      <c r="P33" s="69">
        <f t="shared" si="7"/>
        <v>0</v>
      </c>
      <c r="Q33" s="69" t="str">
        <f t="shared" si="8"/>
        <v>F_FSPD</v>
      </c>
      <c r="R33" s="69">
        <f t="shared" si="9"/>
        <v>9</v>
      </c>
      <c r="S33" s="69">
        <f t="shared" si="10"/>
        <v>25</v>
      </c>
      <c r="T33" s="69">
        <f t="shared" si="11"/>
        <v>2</v>
      </c>
      <c r="U33" s="238"/>
      <c r="V33" s="240" t="s">
        <v>1063</v>
      </c>
      <c r="W33" s="240" t="s">
        <v>965</v>
      </c>
      <c r="X33" s="240" t="s">
        <v>966</v>
      </c>
      <c r="Y33" s="238" t="s">
        <v>328</v>
      </c>
      <c r="Z33" s="238" t="s">
        <v>328</v>
      </c>
      <c r="AA33" s="238" t="s">
        <v>1066</v>
      </c>
      <c r="AB33" s="238"/>
      <c r="AE33" s="267"/>
    </row>
    <row r="34" spans="1:31">
      <c r="A34" s="175"/>
      <c r="B34" s="64"/>
      <c r="C34" s="64"/>
      <c r="D34" s="64"/>
      <c r="E34" s="64"/>
      <c r="F34" s="64"/>
      <c r="G34" s="74"/>
      <c r="H34" s="52" t="s">
        <v>425</v>
      </c>
      <c r="I34" s="69">
        <f t="shared" si="0"/>
        <v>1</v>
      </c>
      <c r="J34" s="69">
        <f t="shared" si="1"/>
        <v>3</v>
      </c>
      <c r="K34" s="69">
        <f t="shared" si="2"/>
        <v>0</v>
      </c>
      <c r="L34" s="69">
        <f t="shared" si="3"/>
        <v>1</v>
      </c>
      <c r="M34" s="69">
        <f t="shared" si="4"/>
        <v>0</v>
      </c>
      <c r="N34" s="69">
        <f t="shared" si="5"/>
        <v>1</v>
      </c>
      <c r="O34" s="69">
        <f t="shared" si="6"/>
        <v>0</v>
      </c>
      <c r="P34" s="69">
        <f t="shared" si="7"/>
        <v>0</v>
      </c>
      <c r="Q34" s="69" t="str">
        <f t="shared" si="8"/>
        <v>F_FSPD</v>
      </c>
      <c r="R34" s="69">
        <f t="shared" si="9"/>
        <v>10</v>
      </c>
      <c r="S34" s="69">
        <f t="shared" si="10"/>
        <v>26</v>
      </c>
      <c r="T34" s="69">
        <f t="shared" si="11"/>
        <v>2</v>
      </c>
      <c r="U34" s="238"/>
      <c r="V34" s="240" t="s">
        <v>1063</v>
      </c>
      <c r="W34" s="240" t="s">
        <v>965</v>
      </c>
      <c r="X34" s="240" t="s">
        <v>966</v>
      </c>
      <c r="Y34" s="238" t="s">
        <v>328</v>
      </c>
      <c r="Z34" s="238" t="s">
        <v>328</v>
      </c>
      <c r="AA34" s="238" t="s">
        <v>1066</v>
      </c>
      <c r="AB34" s="238"/>
      <c r="AE34" s="267"/>
    </row>
    <row r="35" spans="1:31">
      <c r="A35" s="175"/>
      <c r="B35" s="64"/>
      <c r="C35" s="64"/>
      <c r="D35" s="64"/>
      <c r="E35" s="64"/>
      <c r="F35" s="64"/>
      <c r="G35" s="74"/>
      <c r="H35" s="52" t="s">
        <v>426</v>
      </c>
      <c r="I35" s="69">
        <f t="shared" si="0"/>
        <v>1</v>
      </c>
      <c r="J35" s="69">
        <f t="shared" si="1"/>
        <v>3</v>
      </c>
      <c r="K35" s="69">
        <f t="shared" si="2"/>
        <v>0</v>
      </c>
      <c r="L35" s="69">
        <f t="shared" si="3"/>
        <v>1</v>
      </c>
      <c r="M35" s="69">
        <f t="shared" si="4"/>
        <v>0</v>
      </c>
      <c r="N35" s="69">
        <f t="shared" si="5"/>
        <v>1</v>
      </c>
      <c r="O35" s="69">
        <f t="shared" si="6"/>
        <v>0</v>
      </c>
      <c r="P35" s="69">
        <f t="shared" si="7"/>
        <v>0</v>
      </c>
      <c r="Q35" s="69" t="str">
        <f t="shared" si="8"/>
        <v>F_FSPD</v>
      </c>
      <c r="R35" s="69">
        <f t="shared" si="9"/>
        <v>11</v>
      </c>
      <c r="S35" s="69">
        <f t="shared" si="10"/>
        <v>27</v>
      </c>
      <c r="T35" s="69">
        <f t="shared" si="11"/>
        <v>2</v>
      </c>
      <c r="U35" s="238"/>
      <c r="V35" s="240" t="s">
        <v>1063</v>
      </c>
      <c r="W35" s="240" t="s">
        <v>965</v>
      </c>
      <c r="X35" s="240" t="s">
        <v>966</v>
      </c>
      <c r="Y35" s="238" t="s">
        <v>328</v>
      </c>
      <c r="Z35" s="238" t="s">
        <v>328</v>
      </c>
      <c r="AA35" s="238" t="s">
        <v>1066</v>
      </c>
      <c r="AB35" s="238"/>
      <c r="AE35" s="267"/>
    </row>
    <row r="36" spans="1:31">
      <c r="A36" s="175"/>
      <c r="B36" s="64"/>
      <c r="C36" s="64"/>
      <c r="D36" s="64"/>
      <c r="E36" s="64"/>
      <c r="F36" s="64"/>
      <c r="G36" s="74"/>
      <c r="H36" s="52" t="s">
        <v>427</v>
      </c>
      <c r="I36" s="69">
        <f t="shared" si="0"/>
        <v>1</v>
      </c>
      <c r="J36" s="69">
        <f t="shared" si="1"/>
        <v>3</v>
      </c>
      <c r="K36" s="69">
        <f t="shared" si="2"/>
        <v>0</v>
      </c>
      <c r="L36" s="69">
        <f t="shared" si="3"/>
        <v>1</v>
      </c>
      <c r="M36" s="69">
        <f t="shared" si="4"/>
        <v>0</v>
      </c>
      <c r="N36" s="69">
        <f t="shared" si="5"/>
        <v>1</v>
      </c>
      <c r="O36" s="69">
        <f t="shared" si="6"/>
        <v>0</v>
      </c>
      <c r="P36" s="69">
        <f t="shared" si="7"/>
        <v>0</v>
      </c>
      <c r="Q36" s="69" t="str">
        <f t="shared" si="8"/>
        <v>F_FSPD</v>
      </c>
      <c r="R36" s="69">
        <f t="shared" si="9"/>
        <v>12</v>
      </c>
      <c r="S36" s="69">
        <f t="shared" si="10"/>
        <v>28</v>
      </c>
      <c r="T36" s="69">
        <f t="shared" si="11"/>
        <v>2</v>
      </c>
      <c r="U36" s="238"/>
      <c r="V36" s="240" t="s">
        <v>1063</v>
      </c>
      <c r="W36" s="240" t="s">
        <v>965</v>
      </c>
      <c r="X36" s="240" t="s">
        <v>966</v>
      </c>
      <c r="Y36" s="238" t="s">
        <v>328</v>
      </c>
      <c r="Z36" s="238" t="s">
        <v>328</v>
      </c>
      <c r="AA36" s="238" t="s">
        <v>1066</v>
      </c>
      <c r="AB36" s="238"/>
      <c r="AE36" s="267"/>
    </row>
    <row r="37" spans="1:31">
      <c r="A37" s="175"/>
      <c r="B37" s="64"/>
      <c r="C37" s="64"/>
      <c r="D37" s="64"/>
      <c r="E37" s="64"/>
      <c r="F37" s="64"/>
      <c r="G37" s="74"/>
      <c r="H37" s="52" t="s">
        <v>428</v>
      </c>
      <c r="I37" s="69">
        <f t="shared" si="0"/>
        <v>1</v>
      </c>
      <c r="J37" s="69">
        <f t="shared" si="1"/>
        <v>3</v>
      </c>
      <c r="K37" s="69">
        <f t="shared" si="2"/>
        <v>0</v>
      </c>
      <c r="L37" s="69">
        <f t="shared" si="3"/>
        <v>1</v>
      </c>
      <c r="M37" s="69">
        <f t="shared" si="4"/>
        <v>0</v>
      </c>
      <c r="N37" s="69">
        <f t="shared" si="5"/>
        <v>1</v>
      </c>
      <c r="O37" s="69">
        <f t="shared" si="6"/>
        <v>0</v>
      </c>
      <c r="P37" s="69">
        <f t="shared" si="7"/>
        <v>0</v>
      </c>
      <c r="Q37" s="69" t="str">
        <f t="shared" si="8"/>
        <v>F_FSPD</v>
      </c>
      <c r="R37" s="69">
        <f t="shared" si="9"/>
        <v>13</v>
      </c>
      <c r="S37" s="69">
        <f t="shared" si="10"/>
        <v>29</v>
      </c>
      <c r="T37" s="69">
        <f t="shared" si="11"/>
        <v>2</v>
      </c>
      <c r="U37" s="238"/>
      <c r="V37" s="240" t="s">
        <v>1063</v>
      </c>
      <c r="W37" s="240" t="s">
        <v>965</v>
      </c>
      <c r="X37" s="240" t="s">
        <v>966</v>
      </c>
      <c r="Y37" s="238" t="s">
        <v>328</v>
      </c>
      <c r="Z37" s="238" t="s">
        <v>328</v>
      </c>
      <c r="AA37" s="238" t="s">
        <v>1066</v>
      </c>
      <c r="AB37" s="238"/>
      <c r="AE37" s="267"/>
    </row>
    <row r="38" spans="1:31">
      <c r="A38" s="175"/>
      <c r="B38" s="64"/>
      <c r="C38" s="64"/>
      <c r="D38" s="64"/>
      <c r="E38" s="64"/>
      <c r="F38" s="64"/>
      <c r="G38" s="74"/>
      <c r="H38" s="52" t="s">
        <v>429</v>
      </c>
      <c r="I38" s="69">
        <f t="shared" si="0"/>
        <v>1</v>
      </c>
      <c r="J38" s="69">
        <f t="shared" si="1"/>
        <v>3</v>
      </c>
      <c r="K38" s="69">
        <f t="shared" si="2"/>
        <v>0</v>
      </c>
      <c r="L38" s="69">
        <f t="shared" si="3"/>
        <v>1</v>
      </c>
      <c r="M38" s="69">
        <f t="shared" si="4"/>
        <v>0</v>
      </c>
      <c r="N38" s="69">
        <f t="shared" si="5"/>
        <v>1</v>
      </c>
      <c r="O38" s="69">
        <f t="shared" si="6"/>
        <v>0</v>
      </c>
      <c r="P38" s="69">
        <f t="shared" si="7"/>
        <v>0</v>
      </c>
      <c r="Q38" s="69" t="str">
        <f t="shared" si="8"/>
        <v>F_FSPD</v>
      </c>
      <c r="R38" s="69">
        <f t="shared" si="9"/>
        <v>14</v>
      </c>
      <c r="S38" s="69">
        <f t="shared" si="10"/>
        <v>30</v>
      </c>
      <c r="T38" s="69">
        <f t="shared" si="11"/>
        <v>2</v>
      </c>
      <c r="U38" s="238"/>
      <c r="V38" s="240" t="s">
        <v>1063</v>
      </c>
      <c r="W38" s="240" t="s">
        <v>965</v>
      </c>
      <c r="X38" s="240" t="s">
        <v>966</v>
      </c>
      <c r="Y38" s="238" t="s">
        <v>328</v>
      </c>
      <c r="Z38" s="238" t="s">
        <v>328</v>
      </c>
      <c r="AA38" s="238" t="s">
        <v>1066</v>
      </c>
      <c r="AB38" s="238"/>
      <c r="AE38" s="267"/>
    </row>
    <row r="39" spans="1:31">
      <c r="A39" s="175"/>
      <c r="B39" s="64"/>
      <c r="C39" s="64"/>
      <c r="D39" s="64"/>
      <c r="E39" s="64"/>
      <c r="F39" s="64"/>
      <c r="G39" s="74"/>
      <c r="H39" s="52" t="s">
        <v>430</v>
      </c>
      <c r="I39" s="69">
        <f t="shared" si="0"/>
        <v>1</v>
      </c>
      <c r="J39" s="69">
        <f t="shared" si="1"/>
        <v>3</v>
      </c>
      <c r="K39" s="69">
        <f t="shared" si="2"/>
        <v>0</v>
      </c>
      <c r="L39" s="69">
        <f t="shared" si="3"/>
        <v>1</v>
      </c>
      <c r="M39" s="69">
        <f t="shared" si="4"/>
        <v>0</v>
      </c>
      <c r="N39" s="69">
        <f t="shared" si="5"/>
        <v>1</v>
      </c>
      <c r="O39" s="69">
        <f t="shared" si="6"/>
        <v>0</v>
      </c>
      <c r="P39" s="69">
        <f t="shared" si="7"/>
        <v>0</v>
      </c>
      <c r="Q39" s="69" t="str">
        <f t="shared" si="8"/>
        <v>F_FSPD</v>
      </c>
      <c r="R39" s="69">
        <f t="shared" si="9"/>
        <v>15</v>
      </c>
      <c r="S39" s="69">
        <f t="shared" si="10"/>
        <v>31</v>
      </c>
      <c r="T39" s="69">
        <f t="shared" si="11"/>
        <v>2</v>
      </c>
      <c r="U39" s="238"/>
      <c r="V39" s="240" t="s">
        <v>1063</v>
      </c>
      <c r="W39" s="240" t="s">
        <v>965</v>
      </c>
      <c r="X39" s="240" t="s">
        <v>966</v>
      </c>
      <c r="Y39" s="238" t="s">
        <v>328</v>
      </c>
      <c r="Z39" s="238" t="s">
        <v>328</v>
      </c>
      <c r="AA39" s="238" t="s">
        <v>1066</v>
      </c>
      <c r="AB39" s="238"/>
      <c r="AE39" s="267"/>
    </row>
    <row r="40" spans="1:31">
      <c r="A40" s="175"/>
      <c r="B40" s="64"/>
      <c r="C40" s="64"/>
      <c r="D40" s="64"/>
      <c r="E40" s="64"/>
      <c r="F40" s="64"/>
      <c r="G40" s="74"/>
      <c r="H40" s="52" t="s">
        <v>332</v>
      </c>
      <c r="I40" s="69">
        <f t="shared" si="0"/>
        <v>1</v>
      </c>
      <c r="J40" s="69">
        <f t="shared" si="1"/>
        <v>3</v>
      </c>
      <c r="K40" s="69">
        <f t="shared" si="2"/>
        <v>0</v>
      </c>
      <c r="L40" s="69">
        <f t="shared" si="3"/>
        <v>1</v>
      </c>
      <c r="M40" s="69">
        <f t="shared" si="4"/>
        <v>0</v>
      </c>
      <c r="N40" s="69">
        <f t="shared" si="5"/>
        <v>3</v>
      </c>
      <c r="O40" s="69">
        <f t="shared" si="6"/>
        <v>0</v>
      </c>
      <c r="P40" s="69">
        <f t="shared" si="7"/>
        <v>0</v>
      </c>
      <c r="Q40" s="69" t="str">
        <f t="shared" si="8"/>
        <v>F_TRAD</v>
      </c>
      <c r="R40" s="69">
        <f t="shared" si="9"/>
        <v>3</v>
      </c>
      <c r="S40" s="69">
        <f t="shared" si="10"/>
        <v>3</v>
      </c>
      <c r="T40" s="69">
        <f t="shared" si="11"/>
        <v>0</v>
      </c>
      <c r="U40" s="238"/>
      <c r="V40" s="240" t="s">
        <v>1063</v>
      </c>
      <c r="W40" s="240" t="s">
        <v>965</v>
      </c>
      <c r="X40" s="240" t="s">
        <v>966</v>
      </c>
      <c r="Y40" s="238" t="s">
        <v>328</v>
      </c>
      <c r="Z40" s="238" t="s">
        <v>328</v>
      </c>
      <c r="AA40" s="238" t="s">
        <v>1066</v>
      </c>
      <c r="AB40" s="238"/>
      <c r="AE40" s="267"/>
    </row>
    <row r="41" spans="1:31">
      <c r="A41" s="175"/>
      <c r="B41" s="64"/>
      <c r="C41" s="64"/>
      <c r="D41" s="64"/>
      <c r="E41" s="64"/>
      <c r="F41" s="64"/>
      <c r="G41" s="74"/>
      <c r="H41" s="52" t="s">
        <v>333</v>
      </c>
      <c r="I41" s="69">
        <f t="shared" si="0"/>
        <v>1</v>
      </c>
      <c r="J41" s="69">
        <f t="shared" si="1"/>
        <v>3</v>
      </c>
      <c r="K41" s="69">
        <f t="shared" si="2"/>
        <v>0</v>
      </c>
      <c r="L41" s="69">
        <f t="shared" si="3"/>
        <v>3</v>
      </c>
      <c r="M41" s="69">
        <f t="shared" si="4"/>
        <v>0</v>
      </c>
      <c r="N41" s="69">
        <f t="shared" si="5"/>
        <v>3</v>
      </c>
      <c r="O41" s="69">
        <f t="shared" si="6"/>
        <v>0</v>
      </c>
      <c r="P41" s="69">
        <f t="shared" si="7"/>
        <v>0</v>
      </c>
      <c r="Q41" s="69" t="str">
        <f t="shared" si="8"/>
        <v>F_TRAD</v>
      </c>
      <c r="R41" s="69">
        <f t="shared" si="9"/>
        <v>4</v>
      </c>
      <c r="S41" s="69">
        <f t="shared" si="10"/>
        <v>4</v>
      </c>
      <c r="T41" s="69">
        <f t="shared" si="11"/>
        <v>0</v>
      </c>
      <c r="U41" s="238"/>
      <c r="V41" s="240" t="s">
        <v>1063</v>
      </c>
      <c r="W41" s="240" t="s">
        <v>965</v>
      </c>
      <c r="X41" s="240" t="s">
        <v>966</v>
      </c>
      <c r="Y41" s="238" t="s">
        <v>1066</v>
      </c>
      <c r="Z41" s="238" t="s">
        <v>1066</v>
      </c>
      <c r="AA41" s="238" t="s">
        <v>1066</v>
      </c>
      <c r="AB41" s="238"/>
      <c r="AE41" s="267"/>
    </row>
    <row r="42" spans="1:31">
      <c r="A42" s="175"/>
      <c r="B42" s="64"/>
      <c r="C42" s="64"/>
      <c r="D42" s="64"/>
      <c r="E42" s="64"/>
      <c r="F42" s="64"/>
      <c r="G42" s="74"/>
      <c r="H42" s="52" t="s">
        <v>971</v>
      </c>
      <c r="I42" s="69">
        <f t="shared" si="0"/>
        <v>1</v>
      </c>
      <c r="J42" s="69">
        <f t="shared" si="1"/>
        <v>3</v>
      </c>
      <c r="K42" s="69">
        <f t="shared" si="2"/>
        <v>0</v>
      </c>
      <c r="L42" s="69">
        <f t="shared" si="3"/>
        <v>3</v>
      </c>
      <c r="M42" s="69">
        <f t="shared" si="4"/>
        <v>0</v>
      </c>
      <c r="N42" s="69">
        <f t="shared" si="5"/>
        <v>3</v>
      </c>
      <c r="O42" s="69">
        <f t="shared" si="6"/>
        <v>0</v>
      </c>
      <c r="P42" s="69">
        <f t="shared" si="7"/>
        <v>0</v>
      </c>
      <c r="Q42" s="69" t="str">
        <f t="shared" si="8"/>
        <v>F_TRAD</v>
      </c>
      <c r="R42" s="69">
        <f t="shared" si="9"/>
        <v>5</v>
      </c>
      <c r="S42" s="69">
        <f t="shared" si="10"/>
        <v>5</v>
      </c>
      <c r="T42" s="69">
        <f t="shared" si="11"/>
        <v>0</v>
      </c>
      <c r="U42" s="238"/>
      <c r="V42" s="240" t="s">
        <v>1063</v>
      </c>
      <c r="W42" s="240" t="s">
        <v>1064</v>
      </c>
      <c r="X42" s="240" t="s">
        <v>966</v>
      </c>
      <c r="Y42" s="238" t="s">
        <v>328</v>
      </c>
      <c r="Z42" s="238" t="s">
        <v>328</v>
      </c>
      <c r="AA42" s="238" t="s">
        <v>1066</v>
      </c>
      <c r="AB42" s="238"/>
      <c r="AE42" s="267"/>
    </row>
    <row r="43" spans="1:31">
      <c r="A43" s="175"/>
      <c r="B43" s="64"/>
      <c r="C43" s="64"/>
      <c r="D43" s="64"/>
      <c r="E43" s="64"/>
      <c r="F43" s="64"/>
      <c r="G43" s="74"/>
      <c r="H43" s="52" t="s">
        <v>972</v>
      </c>
      <c r="I43" s="69">
        <f t="shared" si="0"/>
        <v>1</v>
      </c>
      <c r="J43" s="69">
        <f t="shared" si="1"/>
        <v>3</v>
      </c>
      <c r="K43" s="69">
        <f t="shared" si="2"/>
        <v>0</v>
      </c>
      <c r="L43" s="69">
        <f t="shared" si="3"/>
        <v>3</v>
      </c>
      <c r="M43" s="69">
        <f t="shared" si="4"/>
        <v>0</v>
      </c>
      <c r="N43" s="69">
        <f t="shared" si="5"/>
        <v>2</v>
      </c>
      <c r="O43" s="69">
        <f t="shared" si="6"/>
        <v>0</v>
      </c>
      <c r="P43" s="69">
        <f t="shared" si="7"/>
        <v>0</v>
      </c>
      <c r="Q43" s="69" t="str">
        <f t="shared" si="8"/>
        <v>F_UNLI</v>
      </c>
      <c r="R43" s="69">
        <f t="shared" si="9"/>
        <v>1</v>
      </c>
      <c r="S43" s="69">
        <f t="shared" si="10"/>
        <v>12</v>
      </c>
      <c r="T43" s="69">
        <f t="shared" si="11"/>
        <v>3</v>
      </c>
      <c r="U43" s="238"/>
      <c r="V43" s="240" t="s">
        <v>1063</v>
      </c>
      <c r="W43" s="240" t="s">
        <v>1064</v>
      </c>
      <c r="X43" s="240" t="s">
        <v>966</v>
      </c>
      <c r="Y43" s="238" t="s">
        <v>328</v>
      </c>
      <c r="Z43" s="238" t="s">
        <v>328</v>
      </c>
      <c r="AA43" s="238" t="s">
        <v>1066</v>
      </c>
      <c r="AB43" s="238"/>
      <c r="AE43" s="267"/>
    </row>
    <row r="44" spans="1:31">
      <c r="A44" s="175"/>
      <c r="B44" s="64"/>
      <c r="C44" s="64"/>
      <c r="D44" s="64"/>
      <c r="E44" s="64"/>
      <c r="F44" s="64"/>
      <c r="G44" s="74"/>
      <c r="H44" s="52" t="s">
        <v>334</v>
      </c>
      <c r="I44" s="69">
        <f t="shared" si="0"/>
        <v>1</v>
      </c>
      <c r="J44" s="69">
        <f t="shared" si="1"/>
        <v>3</v>
      </c>
      <c r="K44" s="69">
        <f t="shared" si="2"/>
        <v>0</v>
      </c>
      <c r="L44" s="69">
        <f t="shared" si="3"/>
        <v>1</v>
      </c>
      <c r="M44" s="69">
        <f t="shared" si="4"/>
        <v>0</v>
      </c>
      <c r="N44" s="69">
        <f t="shared" si="5"/>
        <v>3</v>
      </c>
      <c r="O44" s="69">
        <f t="shared" si="6"/>
        <v>0</v>
      </c>
      <c r="P44" s="69">
        <f t="shared" si="7"/>
        <v>0</v>
      </c>
      <c r="Q44" s="69" t="str">
        <f t="shared" si="8"/>
        <v>F_TRAD</v>
      </c>
      <c r="R44" s="69">
        <f t="shared" si="9"/>
        <v>6</v>
      </c>
      <c r="S44" s="69">
        <f t="shared" si="10"/>
        <v>6</v>
      </c>
      <c r="T44" s="69">
        <f t="shared" si="11"/>
        <v>0</v>
      </c>
      <c r="U44" s="238"/>
      <c r="V44" s="240" t="s">
        <v>1063</v>
      </c>
      <c r="W44" s="240" t="s">
        <v>965</v>
      </c>
      <c r="X44" s="240" t="s">
        <v>966</v>
      </c>
      <c r="Y44" s="238" t="s">
        <v>328</v>
      </c>
      <c r="Z44" s="238" t="s">
        <v>328</v>
      </c>
      <c r="AA44" s="238" t="s">
        <v>1066</v>
      </c>
      <c r="AB44" s="238"/>
      <c r="AE44" s="267"/>
    </row>
    <row r="45" spans="1:31">
      <c r="A45" s="175"/>
      <c r="B45" s="64"/>
      <c r="C45" s="64"/>
      <c r="D45" s="64"/>
      <c r="E45" s="64"/>
      <c r="F45" s="64"/>
      <c r="G45" s="74"/>
      <c r="H45" s="52" t="s">
        <v>431</v>
      </c>
      <c r="I45" s="69">
        <f t="shared" si="0"/>
        <v>1</v>
      </c>
      <c r="J45" s="69">
        <f t="shared" si="1"/>
        <v>3</v>
      </c>
      <c r="K45" s="69">
        <f t="shared" si="2"/>
        <v>0</v>
      </c>
      <c r="L45" s="69">
        <f t="shared" si="3"/>
        <v>1</v>
      </c>
      <c r="M45" s="69">
        <f t="shared" si="4"/>
        <v>0</v>
      </c>
      <c r="N45" s="69">
        <f t="shared" si="5"/>
        <v>1</v>
      </c>
      <c r="O45" s="69">
        <f t="shared" si="6"/>
        <v>0</v>
      </c>
      <c r="P45" s="69">
        <f t="shared" si="7"/>
        <v>0</v>
      </c>
      <c r="Q45" s="69" t="str">
        <f t="shared" si="8"/>
        <v>F_FSPD</v>
      </c>
      <c r="R45" s="69">
        <f t="shared" si="9"/>
        <v>16</v>
      </c>
      <c r="S45" s="69">
        <f t="shared" si="10"/>
        <v>32</v>
      </c>
      <c r="T45" s="69">
        <f t="shared" si="11"/>
        <v>4</v>
      </c>
      <c r="U45" s="238"/>
      <c r="V45" s="240" t="s">
        <v>1063</v>
      </c>
      <c r="W45" s="240" t="s">
        <v>965</v>
      </c>
      <c r="X45" s="240" t="s">
        <v>966</v>
      </c>
      <c r="Y45" s="238" t="s">
        <v>328</v>
      </c>
      <c r="Z45" s="238" t="s">
        <v>328</v>
      </c>
      <c r="AA45" s="238" t="s">
        <v>1066</v>
      </c>
      <c r="AB45" s="238"/>
      <c r="AE45" s="267"/>
    </row>
    <row r="46" spans="1:31">
      <c r="A46" s="175"/>
      <c r="B46" s="64"/>
      <c r="C46" s="64"/>
      <c r="D46" s="64"/>
      <c r="E46" s="64"/>
      <c r="F46" s="64"/>
      <c r="G46" s="74"/>
      <c r="H46" s="52" t="s">
        <v>432</v>
      </c>
      <c r="I46" s="69">
        <f t="shared" si="0"/>
        <v>1</v>
      </c>
      <c r="J46" s="69">
        <f t="shared" si="1"/>
        <v>3</v>
      </c>
      <c r="K46" s="69">
        <f t="shared" si="2"/>
        <v>0</v>
      </c>
      <c r="L46" s="69">
        <f t="shared" si="3"/>
        <v>1</v>
      </c>
      <c r="M46" s="69">
        <f t="shared" si="4"/>
        <v>0</v>
      </c>
      <c r="N46" s="69">
        <f t="shared" si="5"/>
        <v>1</v>
      </c>
      <c r="O46" s="69">
        <f t="shared" si="6"/>
        <v>0</v>
      </c>
      <c r="P46" s="69">
        <f t="shared" si="7"/>
        <v>0</v>
      </c>
      <c r="Q46" s="69" t="str">
        <f t="shared" si="8"/>
        <v>F_FSPD</v>
      </c>
      <c r="R46" s="69">
        <f t="shared" si="9"/>
        <v>17</v>
      </c>
      <c r="S46" s="69">
        <f t="shared" si="10"/>
        <v>33</v>
      </c>
      <c r="T46" s="69">
        <f t="shared" si="11"/>
        <v>4</v>
      </c>
      <c r="U46" s="238"/>
      <c r="V46" s="240" t="s">
        <v>1063</v>
      </c>
      <c r="W46" s="240" t="s">
        <v>965</v>
      </c>
      <c r="X46" s="240" t="s">
        <v>966</v>
      </c>
      <c r="Y46" s="238" t="s">
        <v>328</v>
      </c>
      <c r="Z46" s="238" t="s">
        <v>328</v>
      </c>
      <c r="AA46" s="238" t="s">
        <v>1066</v>
      </c>
      <c r="AB46" s="238"/>
      <c r="AE46" s="267"/>
    </row>
    <row r="47" spans="1:31">
      <c r="A47" s="175"/>
      <c r="B47" s="64"/>
      <c r="C47" s="64"/>
      <c r="D47" s="64"/>
      <c r="E47" s="64"/>
      <c r="F47" s="64"/>
      <c r="G47" s="74"/>
      <c r="H47" s="52" t="s">
        <v>433</v>
      </c>
      <c r="I47" s="69">
        <f t="shared" si="0"/>
        <v>1</v>
      </c>
      <c r="J47" s="69">
        <f t="shared" si="1"/>
        <v>3</v>
      </c>
      <c r="K47" s="69">
        <f t="shared" si="2"/>
        <v>0</v>
      </c>
      <c r="L47" s="69">
        <f t="shared" si="3"/>
        <v>1</v>
      </c>
      <c r="M47" s="69">
        <f t="shared" si="4"/>
        <v>0</v>
      </c>
      <c r="N47" s="69">
        <f t="shared" si="5"/>
        <v>1</v>
      </c>
      <c r="O47" s="69">
        <f t="shared" si="6"/>
        <v>0</v>
      </c>
      <c r="P47" s="69">
        <f t="shared" si="7"/>
        <v>0</v>
      </c>
      <c r="Q47" s="69" t="str">
        <f t="shared" si="8"/>
        <v>F_FSPD</v>
      </c>
      <c r="R47" s="69">
        <f t="shared" si="9"/>
        <v>18</v>
      </c>
      <c r="S47" s="69">
        <f t="shared" si="10"/>
        <v>34</v>
      </c>
      <c r="T47" s="69">
        <f t="shared" si="11"/>
        <v>4</v>
      </c>
      <c r="U47" s="238"/>
      <c r="V47" s="240" t="s">
        <v>1063</v>
      </c>
      <c r="W47" s="240" t="s">
        <v>965</v>
      </c>
      <c r="X47" s="240" t="s">
        <v>966</v>
      </c>
      <c r="Y47" s="238" t="s">
        <v>328</v>
      </c>
      <c r="Z47" s="238" t="s">
        <v>328</v>
      </c>
      <c r="AA47" s="238" t="s">
        <v>1066</v>
      </c>
      <c r="AB47" s="238"/>
      <c r="AE47" s="267"/>
    </row>
    <row r="48" spans="1:31">
      <c r="A48" s="175"/>
      <c r="B48" s="64"/>
      <c r="C48" s="64"/>
      <c r="D48" s="64"/>
      <c r="E48" s="64"/>
      <c r="F48" s="64"/>
      <c r="G48" s="74"/>
      <c r="H48" s="52" t="s">
        <v>434</v>
      </c>
      <c r="I48" s="69">
        <f t="shared" si="0"/>
        <v>1</v>
      </c>
      <c r="J48" s="69">
        <f t="shared" si="1"/>
        <v>3</v>
      </c>
      <c r="K48" s="69">
        <f t="shared" si="2"/>
        <v>0</v>
      </c>
      <c r="L48" s="69">
        <f t="shared" si="3"/>
        <v>1</v>
      </c>
      <c r="M48" s="69">
        <f t="shared" si="4"/>
        <v>0</v>
      </c>
      <c r="N48" s="69">
        <f t="shared" si="5"/>
        <v>1</v>
      </c>
      <c r="O48" s="69">
        <f t="shared" si="6"/>
        <v>0</v>
      </c>
      <c r="P48" s="69">
        <f t="shared" si="7"/>
        <v>0</v>
      </c>
      <c r="Q48" s="69" t="str">
        <f t="shared" si="8"/>
        <v>F_FSPD</v>
      </c>
      <c r="R48" s="69">
        <f t="shared" si="9"/>
        <v>19</v>
      </c>
      <c r="S48" s="69">
        <f t="shared" si="10"/>
        <v>35</v>
      </c>
      <c r="T48" s="69">
        <f t="shared" si="11"/>
        <v>4</v>
      </c>
      <c r="U48" s="238"/>
      <c r="V48" s="240" t="s">
        <v>1063</v>
      </c>
      <c r="W48" s="240" t="s">
        <v>965</v>
      </c>
      <c r="X48" s="240" t="s">
        <v>966</v>
      </c>
      <c r="Y48" s="238" t="s">
        <v>328</v>
      </c>
      <c r="Z48" s="238" t="s">
        <v>328</v>
      </c>
      <c r="AA48" s="238" t="s">
        <v>1066</v>
      </c>
      <c r="AB48" s="238"/>
      <c r="AE48" s="267"/>
    </row>
    <row r="49" spans="1:31">
      <c r="A49" s="175"/>
      <c r="B49" s="64"/>
      <c r="C49" s="64"/>
      <c r="D49" s="64"/>
      <c r="E49" s="64"/>
      <c r="F49" s="64"/>
      <c r="G49" s="74"/>
      <c r="H49" s="52" t="s">
        <v>435</v>
      </c>
      <c r="I49" s="69">
        <f t="shared" si="0"/>
        <v>1</v>
      </c>
      <c r="J49" s="69">
        <f t="shared" si="1"/>
        <v>3</v>
      </c>
      <c r="K49" s="69">
        <f t="shared" si="2"/>
        <v>0</v>
      </c>
      <c r="L49" s="69">
        <f t="shared" si="3"/>
        <v>1</v>
      </c>
      <c r="M49" s="69">
        <f t="shared" si="4"/>
        <v>0</v>
      </c>
      <c r="N49" s="69">
        <f t="shared" si="5"/>
        <v>1</v>
      </c>
      <c r="O49" s="69">
        <f t="shared" si="6"/>
        <v>0</v>
      </c>
      <c r="P49" s="69">
        <f t="shared" si="7"/>
        <v>0</v>
      </c>
      <c r="Q49" s="69" t="str">
        <f t="shared" si="8"/>
        <v>F_FSPD</v>
      </c>
      <c r="R49" s="69">
        <f t="shared" si="9"/>
        <v>20</v>
      </c>
      <c r="S49" s="69">
        <f t="shared" si="10"/>
        <v>36</v>
      </c>
      <c r="T49" s="69">
        <f t="shared" si="11"/>
        <v>4</v>
      </c>
      <c r="U49" s="238"/>
      <c r="V49" s="240" t="s">
        <v>1063</v>
      </c>
      <c r="W49" s="240" t="s">
        <v>965</v>
      </c>
      <c r="X49" s="240" t="s">
        <v>966</v>
      </c>
      <c r="Y49" s="238" t="s">
        <v>328</v>
      </c>
      <c r="Z49" s="238" t="s">
        <v>328</v>
      </c>
      <c r="AA49" s="238" t="s">
        <v>1066</v>
      </c>
      <c r="AB49" s="238"/>
      <c r="AE49" s="267"/>
    </row>
    <row r="50" spans="1:31">
      <c r="A50" s="175"/>
      <c r="B50" s="64"/>
      <c r="C50" s="64"/>
      <c r="D50" s="64"/>
      <c r="E50" s="64"/>
      <c r="F50" s="64"/>
      <c r="G50" s="74"/>
      <c r="H50" s="52" t="s">
        <v>436</v>
      </c>
      <c r="I50" s="69">
        <f t="shared" si="0"/>
        <v>1</v>
      </c>
      <c r="J50" s="69">
        <f t="shared" si="1"/>
        <v>3</v>
      </c>
      <c r="K50" s="69">
        <f t="shared" si="2"/>
        <v>0</v>
      </c>
      <c r="L50" s="69">
        <f t="shared" si="3"/>
        <v>1</v>
      </c>
      <c r="M50" s="69">
        <f t="shared" si="4"/>
        <v>0</v>
      </c>
      <c r="N50" s="69">
        <f t="shared" si="5"/>
        <v>1</v>
      </c>
      <c r="O50" s="69">
        <f t="shared" si="6"/>
        <v>0</v>
      </c>
      <c r="P50" s="69">
        <f t="shared" si="7"/>
        <v>0</v>
      </c>
      <c r="Q50" s="69" t="str">
        <f t="shared" si="8"/>
        <v>F_FSPD</v>
      </c>
      <c r="R50" s="69">
        <f t="shared" si="9"/>
        <v>21</v>
      </c>
      <c r="S50" s="69">
        <f t="shared" si="10"/>
        <v>37</v>
      </c>
      <c r="T50" s="69">
        <f t="shared" si="11"/>
        <v>4</v>
      </c>
      <c r="U50" s="238"/>
      <c r="V50" s="240" t="s">
        <v>1063</v>
      </c>
      <c r="W50" s="240" t="s">
        <v>965</v>
      </c>
      <c r="X50" s="240" t="s">
        <v>966</v>
      </c>
      <c r="Y50" s="238" t="s">
        <v>328</v>
      </c>
      <c r="Z50" s="238" t="s">
        <v>328</v>
      </c>
      <c r="AA50" s="238" t="s">
        <v>1066</v>
      </c>
      <c r="AB50" s="238"/>
      <c r="AE50" s="267"/>
    </row>
    <row r="51" spans="1:31">
      <c r="A51" s="175"/>
      <c r="B51" s="64"/>
      <c r="C51" s="64"/>
      <c r="D51" s="64"/>
      <c r="E51" s="64"/>
      <c r="F51" s="64"/>
      <c r="G51" s="74"/>
      <c r="H51" s="52" t="s">
        <v>437</v>
      </c>
      <c r="I51" s="69">
        <f t="shared" si="0"/>
        <v>1</v>
      </c>
      <c r="J51" s="69">
        <f t="shared" si="1"/>
        <v>3</v>
      </c>
      <c r="K51" s="69">
        <f t="shared" si="2"/>
        <v>0</v>
      </c>
      <c r="L51" s="69">
        <f t="shared" si="3"/>
        <v>3</v>
      </c>
      <c r="M51" s="69">
        <f t="shared" si="4"/>
        <v>0</v>
      </c>
      <c r="N51" s="69">
        <f t="shared" si="5"/>
        <v>1</v>
      </c>
      <c r="O51" s="69">
        <f t="shared" si="6"/>
        <v>0</v>
      </c>
      <c r="P51" s="69">
        <f t="shared" si="7"/>
        <v>0</v>
      </c>
      <c r="Q51" s="69" t="str">
        <f t="shared" si="8"/>
        <v>F_FSPD</v>
      </c>
      <c r="R51" s="69">
        <f t="shared" si="9"/>
        <v>22</v>
      </c>
      <c r="S51" s="69">
        <f t="shared" si="10"/>
        <v>38</v>
      </c>
      <c r="T51" s="69">
        <f t="shared" si="11"/>
        <v>4</v>
      </c>
      <c r="U51" s="238"/>
      <c r="V51" s="240" t="s">
        <v>1063</v>
      </c>
      <c r="W51" s="240" t="s">
        <v>965</v>
      </c>
      <c r="X51" s="240" t="s">
        <v>966</v>
      </c>
      <c r="Y51" s="238" t="s">
        <v>328</v>
      </c>
      <c r="Z51" s="238" t="s">
        <v>328</v>
      </c>
      <c r="AA51" s="238" t="s">
        <v>1066</v>
      </c>
      <c r="AB51" s="238"/>
      <c r="AE51" s="267"/>
    </row>
    <row r="52" spans="1:31">
      <c r="A52" s="175"/>
      <c r="B52" s="64"/>
      <c r="C52" s="64"/>
      <c r="D52" s="64"/>
      <c r="E52" s="64"/>
      <c r="F52" s="64"/>
      <c r="G52" s="74"/>
      <c r="H52" s="52" t="s">
        <v>438</v>
      </c>
      <c r="I52" s="69">
        <f t="shared" si="0"/>
        <v>1</v>
      </c>
      <c r="J52" s="69">
        <f t="shared" si="1"/>
        <v>3</v>
      </c>
      <c r="K52" s="69">
        <f t="shared" si="2"/>
        <v>0</v>
      </c>
      <c r="L52" s="69">
        <f t="shared" si="3"/>
        <v>1</v>
      </c>
      <c r="M52" s="69">
        <f t="shared" si="4"/>
        <v>0</v>
      </c>
      <c r="N52" s="69">
        <f t="shared" si="5"/>
        <v>1</v>
      </c>
      <c r="O52" s="69">
        <f t="shared" si="6"/>
        <v>0</v>
      </c>
      <c r="P52" s="69">
        <f t="shared" si="7"/>
        <v>0</v>
      </c>
      <c r="Q52" s="69" t="str">
        <f t="shared" si="8"/>
        <v>F_FSPD</v>
      </c>
      <c r="R52" s="69">
        <f t="shared" si="9"/>
        <v>23</v>
      </c>
      <c r="S52" s="69">
        <f t="shared" si="10"/>
        <v>39</v>
      </c>
      <c r="T52" s="69">
        <f t="shared" si="11"/>
        <v>4</v>
      </c>
      <c r="U52" s="238"/>
      <c r="V52" s="240" t="s">
        <v>1063</v>
      </c>
      <c r="W52" s="240" t="s">
        <v>965</v>
      </c>
      <c r="X52" s="240" t="s">
        <v>966</v>
      </c>
      <c r="Y52" s="238" t="s">
        <v>328</v>
      </c>
      <c r="Z52" s="238" t="s">
        <v>328</v>
      </c>
      <c r="AA52" s="238" t="s">
        <v>1066</v>
      </c>
      <c r="AB52" s="238"/>
      <c r="AE52" s="267"/>
    </row>
    <row r="53" spans="1:31">
      <c r="A53" s="175"/>
      <c r="B53" s="64"/>
      <c r="C53" s="64"/>
      <c r="D53" s="64"/>
      <c r="E53" s="64"/>
      <c r="F53" s="64"/>
      <c r="G53" s="74"/>
      <c r="H53" s="52" t="s">
        <v>439</v>
      </c>
      <c r="I53" s="69">
        <f t="shared" si="0"/>
        <v>1</v>
      </c>
      <c r="J53" s="69">
        <f t="shared" si="1"/>
        <v>3</v>
      </c>
      <c r="K53" s="69">
        <f t="shared" si="2"/>
        <v>0</v>
      </c>
      <c r="L53" s="69">
        <f t="shared" si="3"/>
        <v>1</v>
      </c>
      <c r="M53" s="69">
        <f t="shared" si="4"/>
        <v>0</v>
      </c>
      <c r="N53" s="69">
        <f t="shared" si="5"/>
        <v>1</v>
      </c>
      <c r="O53" s="69">
        <f t="shared" si="6"/>
        <v>0</v>
      </c>
      <c r="P53" s="69">
        <f t="shared" si="7"/>
        <v>0</v>
      </c>
      <c r="Q53" s="69" t="str">
        <f t="shared" si="8"/>
        <v>F_FSPD</v>
      </c>
      <c r="R53" s="69">
        <f t="shared" si="9"/>
        <v>24</v>
      </c>
      <c r="S53" s="69">
        <f t="shared" si="10"/>
        <v>40</v>
      </c>
      <c r="T53" s="69">
        <f t="shared" si="11"/>
        <v>4</v>
      </c>
      <c r="U53" s="238"/>
      <c r="V53" s="240" t="s">
        <v>1063</v>
      </c>
      <c r="W53" s="240" t="s">
        <v>965</v>
      </c>
      <c r="X53" s="240" t="s">
        <v>966</v>
      </c>
      <c r="Y53" s="238" t="s">
        <v>328</v>
      </c>
      <c r="Z53" s="238" t="s">
        <v>328</v>
      </c>
      <c r="AA53" s="238" t="s">
        <v>1066</v>
      </c>
      <c r="AB53" s="238"/>
      <c r="AE53" s="267"/>
    </row>
    <row r="54" spans="1:31">
      <c r="A54" s="175"/>
      <c r="B54" s="64"/>
      <c r="C54" s="64"/>
      <c r="D54" s="64"/>
      <c r="E54" s="64"/>
      <c r="F54" s="64"/>
      <c r="G54" s="74"/>
      <c r="H54" s="52" t="s">
        <v>440</v>
      </c>
      <c r="I54" s="69">
        <f t="shared" si="0"/>
        <v>1</v>
      </c>
      <c r="J54" s="69">
        <f t="shared" si="1"/>
        <v>3</v>
      </c>
      <c r="K54" s="69">
        <f t="shared" si="2"/>
        <v>0</v>
      </c>
      <c r="L54" s="69">
        <f t="shared" si="3"/>
        <v>1</v>
      </c>
      <c r="M54" s="69">
        <f t="shared" si="4"/>
        <v>0</v>
      </c>
      <c r="N54" s="69">
        <f t="shared" si="5"/>
        <v>1</v>
      </c>
      <c r="O54" s="69">
        <f t="shared" si="6"/>
        <v>0</v>
      </c>
      <c r="P54" s="69">
        <f t="shared" si="7"/>
        <v>0</v>
      </c>
      <c r="Q54" s="69" t="str">
        <f t="shared" si="8"/>
        <v>F_FSPD</v>
      </c>
      <c r="R54" s="69">
        <f t="shared" si="9"/>
        <v>25</v>
      </c>
      <c r="S54" s="69">
        <f t="shared" si="10"/>
        <v>41</v>
      </c>
      <c r="T54" s="69">
        <f t="shared" si="11"/>
        <v>4</v>
      </c>
      <c r="U54" s="238"/>
      <c r="V54" s="240" t="s">
        <v>1063</v>
      </c>
      <c r="W54" s="240" t="s">
        <v>965</v>
      </c>
      <c r="X54" s="240" t="s">
        <v>966</v>
      </c>
      <c r="Y54" s="238" t="s">
        <v>328</v>
      </c>
      <c r="Z54" s="238" t="s">
        <v>328</v>
      </c>
      <c r="AA54" s="238" t="s">
        <v>1066</v>
      </c>
      <c r="AB54" s="238"/>
      <c r="AE54" s="267"/>
    </row>
    <row r="55" spans="1:31">
      <c r="A55" s="175"/>
      <c r="B55" s="64"/>
      <c r="C55" s="64"/>
      <c r="D55" s="64"/>
      <c r="E55" s="64"/>
      <c r="F55" s="64"/>
      <c r="G55" s="74"/>
      <c r="H55" s="52" t="s">
        <v>441</v>
      </c>
      <c r="I55" s="69">
        <f t="shared" si="0"/>
        <v>1</v>
      </c>
      <c r="J55" s="69">
        <f t="shared" si="1"/>
        <v>3</v>
      </c>
      <c r="K55" s="69">
        <f t="shared" si="2"/>
        <v>0</v>
      </c>
      <c r="L55" s="69">
        <f t="shared" si="3"/>
        <v>1</v>
      </c>
      <c r="M55" s="69">
        <f t="shared" si="4"/>
        <v>0</v>
      </c>
      <c r="N55" s="69">
        <f t="shared" si="5"/>
        <v>1</v>
      </c>
      <c r="O55" s="69">
        <f t="shared" si="6"/>
        <v>0</v>
      </c>
      <c r="P55" s="69">
        <f t="shared" si="7"/>
        <v>0</v>
      </c>
      <c r="Q55" s="69" t="str">
        <f t="shared" si="8"/>
        <v>F_FSPD</v>
      </c>
      <c r="R55" s="69">
        <f t="shared" si="9"/>
        <v>26</v>
      </c>
      <c r="S55" s="69">
        <f t="shared" si="10"/>
        <v>42</v>
      </c>
      <c r="T55" s="69">
        <f t="shared" si="11"/>
        <v>4</v>
      </c>
      <c r="U55" s="238"/>
      <c r="V55" s="240" t="s">
        <v>1063</v>
      </c>
      <c r="W55" s="240" t="s">
        <v>965</v>
      </c>
      <c r="X55" s="240" t="s">
        <v>966</v>
      </c>
      <c r="Y55" s="238" t="s">
        <v>328</v>
      </c>
      <c r="Z55" s="238" t="s">
        <v>328</v>
      </c>
      <c r="AA55" s="238" t="s">
        <v>1066</v>
      </c>
      <c r="AB55" s="238"/>
      <c r="AE55" s="267"/>
    </row>
    <row r="56" spans="1:31">
      <c r="A56" s="175"/>
      <c r="B56" s="64"/>
      <c r="C56" s="64"/>
      <c r="D56" s="64"/>
      <c r="E56" s="64"/>
      <c r="F56" s="64"/>
      <c r="G56" s="74"/>
      <c r="H56" s="52" t="s">
        <v>442</v>
      </c>
      <c r="I56" s="69">
        <f t="shared" si="0"/>
        <v>1</v>
      </c>
      <c r="J56" s="69">
        <f t="shared" si="1"/>
        <v>3</v>
      </c>
      <c r="K56" s="69">
        <f t="shared" si="2"/>
        <v>0</v>
      </c>
      <c r="L56" s="69">
        <f t="shared" si="3"/>
        <v>1</v>
      </c>
      <c r="M56" s="69">
        <f t="shared" si="4"/>
        <v>0</v>
      </c>
      <c r="N56" s="69">
        <f t="shared" si="5"/>
        <v>1</v>
      </c>
      <c r="O56" s="69">
        <f t="shared" si="6"/>
        <v>0</v>
      </c>
      <c r="P56" s="69">
        <f t="shared" si="7"/>
        <v>0</v>
      </c>
      <c r="Q56" s="69" t="str">
        <f t="shared" si="8"/>
        <v>F_FSPD</v>
      </c>
      <c r="R56" s="69">
        <f t="shared" si="9"/>
        <v>27</v>
      </c>
      <c r="S56" s="69">
        <f t="shared" si="10"/>
        <v>43</v>
      </c>
      <c r="T56" s="69">
        <f t="shared" si="11"/>
        <v>4</v>
      </c>
      <c r="U56" s="238"/>
      <c r="V56" s="240" t="s">
        <v>1063</v>
      </c>
      <c r="W56" s="240" t="s">
        <v>965</v>
      </c>
      <c r="X56" s="240" t="s">
        <v>966</v>
      </c>
      <c r="Y56" s="238" t="s">
        <v>328</v>
      </c>
      <c r="Z56" s="238" t="s">
        <v>328</v>
      </c>
      <c r="AA56" s="238" t="s">
        <v>1066</v>
      </c>
      <c r="AB56" s="238"/>
      <c r="AE56" s="267"/>
    </row>
    <row r="57" spans="1:31">
      <c r="A57" s="175"/>
      <c r="B57" s="64"/>
      <c r="C57" s="64"/>
      <c r="D57" s="64"/>
      <c r="E57" s="64"/>
      <c r="F57" s="64"/>
      <c r="G57" s="74"/>
      <c r="H57" s="52" t="s">
        <v>443</v>
      </c>
      <c r="I57" s="69">
        <f t="shared" si="0"/>
        <v>1</v>
      </c>
      <c r="J57" s="69">
        <f t="shared" si="1"/>
        <v>3</v>
      </c>
      <c r="K57" s="69">
        <f t="shared" si="2"/>
        <v>0</v>
      </c>
      <c r="L57" s="69">
        <f t="shared" si="3"/>
        <v>1</v>
      </c>
      <c r="M57" s="69">
        <f t="shared" si="4"/>
        <v>0</v>
      </c>
      <c r="N57" s="69">
        <f t="shared" si="5"/>
        <v>1</v>
      </c>
      <c r="O57" s="69">
        <f t="shared" si="6"/>
        <v>0</v>
      </c>
      <c r="P57" s="69">
        <f t="shared" si="7"/>
        <v>0</v>
      </c>
      <c r="Q57" s="69" t="str">
        <f t="shared" si="8"/>
        <v>F_FSPD</v>
      </c>
      <c r="R57" s="69">
        <f t="shared" si="9"/>
        <v>28</v>
      </c>
      <c r="S57" s="69">
        <f t="shared" si="10"/>
        <v>44</v>
      </c>
      <c r="T57" s="69">
        <f t="shared" si="11"/>
        <v>4</v>
      </c>
      <c r="U57" s="238"/>
      <c r="V57" s="240" t="s">
        <v>1063</v>
      </c>
      <c r="W57" s="240" t="s">
        <v>965</v>
      </c>
      <c r="X57" s="240" t="s">
        <v>966</v>
      </c>
      <c r="Y57" s="238" t="s">
        <v>328</v>
      </c>
      <c r="Z57" s="238" t="s">
        <v>328</v>
      </c>
      <c r="AA57" s="238" t="s">
        <v>1066</v>
      </c>
      <c r="AB57" s="238"/>
      <c r="AE57" s="267"/>
    </row>
    <row r="58" spans="1:31">
      <c r="A58" s="175"/>
      <c r="B58" s="64"/>
      <c r="C58" s="64"/>
      <c r="D58" s="64"/>
      <c r="E58" s="64"/>
      <c r="F58" s="64"/>
      <c r="G58" s="74"/>
      <c r="H58" s="52" t="s">
        <v>444</v>
      </c>
      <c r="I58" s="69">
        <f t="shared" si="0"/>
        <v>1</v>
      </c>
      <c r="J58" s="69">
        <f t="shared" si="1"/>
        <v>3</v>
      </c>
      <c r="K58" s="69">
        <f t="shared" si="2"/>
        <v>0</v>
      </c>
      <c r="L58" s="69">
        <f t="shared" si="3"/>
        <v>1</v>
      </c>
      <c r="M58" s="69">
        <f t="shared" si="4"/>
        <v>0</v>
      </c>
      <c r="N58" s="69">
        <f t="shared" si="5"/>
        <v>1</v>
      </c>
      <c r="O58" s="69">
        <f t="shared" si="6"/>
        <v>0</v>
      </c>
      <c r="P58" s="69">
        <f t="shared" si="7"/>
        <v>0</v>
      </c>
      <c r="Q58" s="69" t="str">
        <f t="shared" si="8"/>
        <v>F_RSK_</v>
      </c>
      <c r="R58" s="69">
        <f t="shared" si="9"/>
        <v>14</v>
      </c>
      <c r="S58" s="69">
        <f t="shared" si="10"/>
        <v>77</v>
      </c>
      <c r="T58" s="69">
        <f t="shared" si="11"/>
        <v>0</v>
      </c>
      <c r="U58" s="238"/>
      <c r="V58" s="240" t="s">
        <v>1063</v>
      </c>
      <c r="W58" s="240" t="s">
        <v>965</v>
      </c>
      <c r="X58" s="240" t="s">
        <v>966</v>
      </c>
      <c r="Y58" s="238" t="s">
        <v>328</v>
      </c>
      <c r="Z58" s="238" t="s">
        <v>328</v>
      </c>
      <c r="AA58" s="238" t="s">
        <v>1066</v>
      </c>
      <c r="AB58" s="238"/>
      <c r="AE58" s="267"/>
    </row>
    <row r="59" spans="1:31">
      <c r="A59" s="175"/>
      <c r="B59" s="64"/>
      <c r="C59" s="64"/>
      <c r="D59" s="64"/>
      <c r="E59" s="64"/>
      <c r="F59" s="64"/>
      <c r="G59" s="74"/>
      <c r="H59" s="52" t="s">
        <v>1070</v>
      </c>
      <c r="I59" s="69">
        <f t="shared" si="0"/>
        <v>1</v>
      </c>
      <c r="J59" s="69">
        <f t="shared" si="1"/>
        <v>3</v>
      </c>
      <c r="K59" s="69">
        <f t="shared" si="2"/>
        <v>0</v>
      </c>
      <c r="L59" s="69">
        <f t="shared" si="3"/>
        <v>1</v>
      </c>
      <c r="M59" s="69">
        <f t="shared" si="4"/>
        <v>0</v>
      </c>
      <c r="N59" s="69">
        <f t="shared" si="5"/>
        <v>1</v>
      </c>
      <c r="O59" s="69">
        <f t="shared" si="6"/>
        <v>0</v>
      </c>
      <c r="P59" s="69">
        <f t="shared" si="7"/>
        <v>0</v>
      </c>
      <c r="Q59" s="69" t="str">
        <f t="shared" si="8"/>
        <v>F_FSPD</v>
      </c>
      <c r="R59" s="69">
        <f t="shared" si="9"/>
        <v>47</v>
      </c>
      <c r="S59" s="69">
        <f t="shared" si="10"/>
        <v>63</v>
      </c>
      <c r="T59" s="69">
        <f t="shared" si="11"/>
        <v>4</v>
      </c>
      <c r="U59" s="238"/>
      <c r="V59" s="240" t="s">
        <v>1063</v>
      </c>
      <c r="W59" s="240" t="s">
        <v>965</v>
      </c>
      <c r="X59" s="240" t="s">
        <v>966</v>
      </c>
      <c r="Y59" s="238" t="s">
        <v>328</v>
      </c>
      <c r="Z59" s="238" t="s">
        <v>328</v>
      </c>
      <c r="AA59" s="238" t="s">
        <v>1066</v>
      </c>
      <c r="AB59" s="238"/>
      <c r="AE59" s="267"/>
    </row>
    <row r="60" spans="1:31">
      <c r="A60" s="175"/>
      <c r="B60" s="64"/>
      <c r="C60" s="64"/>
      <c r="D60" s="64"/>
      <c r="E60" s="64"/>
      <c r="F60" s="64"/>
      <c r="G60" s="74"/>
      <c r="H60" s="52" t="s">
        <v>445</v>
      </c>
      <c r="I60" s="69">
        <f t="shared" si="0"/>
        <v>1</v>
      </c>
      <c r="J60" s="69">
        <f t="shared" si="1"/>
        <v>3</v>
      </c>
      <c r="K60" s="69">
        <f t="shared" si="2"/>
        <v>0</v>
      </c>
      <c r="L60" s="69">
        <f t="shared" si="3"/>
        <v>1</v>
      </c>
      <c r="M60" s="69">
        <f t="shared" si="4"/>
        <v>0</v>
      </c>
      <c r="N60" s="69">
        <f t="shared" si="5"/>
        <v>1</v>
      </c>
      <c r="O60" s="69">
        <f t="shared" si="6"/>
        <v>0</v>
      </c>
      <c r="P60" s="69">
        <f t="shared" si="7"/>
        <v>0</v>
      </c>
      <c r="Q60" s="69" t="str">
        <f t="shared" si="8"/>
        <v>F_RSK_</v>
      </c>
      <c r="R60" s="69">
        <f t="shared" si="9"/>
        <v>1</v>
      </c>
      <c r="S60" s="69">
        <f t="shared" si="10"/>
        <v>64</v>
      </c>
      <c r="T60" s="69">
        <f t="shared" si="11"/>
        <v>0</v>
      </c>
      <c r="U60" s="238"/>
      <c r="V60" s="240" t="s">
        <v>1063</v>
      </c>
      <c r="W60" s="240" t="s">
        <v>965</v>
      </c>
      <c r="X60" s="240" t="s">
        <v>966</v>
      </c>
      <c r="Y60" s="238" t="s">
        <v>328</v>
      </c>
      <c r="Z60" s="238" t="s">
        <v>328</v>
      </c>
      <c r="AA60" s="238" t="s">
        <v>1066</v>
      </c>
      <c r="AB60" s="238"/>
      <c r="AE60" s="267"/>
    </row>
    <row r="61" spans="1:31">
      <c r="A61" s="175"/>
      <c r="B61" s="64"/>
      <c r="C61" s="64"/>
      <c r="D61" s="64"/>
      <c r="E61" s="64"/>
      <c r="F61" s="64"/>
      <c r="G61" s="74"/>
      <c r="H61" s="52" t="s">
        <v>446</v>
      </c>
      <c r="I61" s="69">
        <f t="shared" si="0"/>
        <v>1</v>
      </c>
      <c r="J61" s="69">
        <f t="shared" si="1"/>
        <v>3</v>
      </c>
      <c r="K61" s="69">
        <f t="shared" si="2"/>
        <v>0</v>
      </c>
      <c r="L61" s="69">
        <f t="shared" si="3"/>
        <v>1</v>
      </c>
      <c r="M61" s="69">
        <f t="shared" si="4"/>
        <v>0</v>
      </c>
      <c r="N61" s="69">
        <f t="shared" si="5"/>
        <v>1</v>
      </c>
      <c r="O61" s="69">
        <f t="shared" si="6"/>
        <v>0</v>
      </c>
      <c r="P61" s="69">
        <f t="shared" si="7"/>
        <v>0</v>
      </c>
      <c r="Q61" s="69" t="str">
        <f t="shared" si="8"/>
        <v>F_RSK_</v>
      </c>
      <c r="R61" s="69">
        <f t="shared" si="9"/>
        <v>2</v>
      </c>
      <c r="S61" s="69">
        <f t="shared" si="10"/>
        <v>65</v>
      </c>
      <c r="T61" s="69">
        <f t="shared" si="11"/>
        <v>0</v>
      </c>
      <c r="U61" s="238"/>
      <c r="V61" s="240" t="s">
        <v>1063</v>
      </c>
      <c r="W61" s="240" t="s">
        <v>965</v>
      </c>
      <c r="X61" s="240" t="s">
        <v>966</v>
      </c>
      <c r="Y61" s="238" t="s">
        <v>328</v>
      </c>
      <c r="Z61" s="238" t="s">
        <v>328</v>
      </c>
      <c r="AA61" s="238" t="s">
        <v>1066</v>
      </c>
      <c r="AB61" s="238"/>
      <c r="AE61" s="267"/>
    </row>
    <row r="62" spans="1:31">
      <c r="A62" s="175"/>
      <c r="B62" s="64"/>
      <c r="C62" s="64"/>
      <c r="D62" s="64"/>
      <c r="E62" s="64"/>
      <c r="F62" s="64"/>
      <c r="G62" s="74"/>
      <c r="H62" s="52" t="s">
        <v>447</v>
      </c>
      <c r="I62" s="69">
        <f t="shared" si="0"/>
        <v>1</v>
      </c>
      <c r="J62" s="69">
        <f t="shared" si="1"/>
        <v>3</v>
      </c>
      <c r="K62" s="69">
        <f t="shared" si="2"/>
        <v>0</v>
      </c>
      <c r="L62" s="69">
        <f t="shared" si="3"/>
        <v>1</v>
      </c>
      <c r="M62" s="69">
        <f t="shared" si="4"/>
        <v>0</v>
      </c>
      <c r="N62" s="69">
        <f t="shared" si="5"/>
        <v>1</v>
      </c>
      <c r="O62" s="69">
        <f t="shared" si="6"/>
        <v>0</v>
      </c>
      <c r="P62" s="69">
        <f t="shared" si="7"/>
        <v>0</v>
      </c>
      <c r="Q62" s="69" t="str">
        <f t="shared" si="8"/>
        <v>F_RSK_</v>
      </c>
      <c r="R62" s="69">
        <f t="shared" si="9"/>
        <v>3</v>
      </c>
      <c r="S62" s="69">
        <f t="shared" si="10"/>
        <v>66</v>
      </c>
      <c r="T62" s="69">
        <f t="shared" si="11"/>
        <v>0</v>
      </c>
      <c r="U62" s="238"/>
      <c r="V62" s="240" t="s">
        <v>1063</v>
      </c>
      <c r="W62" s="240" t="s">
        <v>965</v>
      </c>
      <c r="X62" s="240" t="s">
        <v>966</v>
      </c>
      <c r="Y62" s="238" t="s">
        <v>328</v>
      </c>
      <c r="Z62" s="238" t="s">
        <v>328</v>
      </c>
      <c r="AA62" s="238" t="s">
        <v>1066</v>
      </c>
      <c r="AB62" s="238"/>
      <c r="AE62" s="267"/>
    </row>
    <row r="63" spans="1:31">
      <c r="A63" s="175"/>
      <c r="B63" s="64"/>
      <c r="C63" s="64"/>
      <c r="D63" s="64"/>
      <c r="E63" s="64"/>
      <c r="F63" s="64"/>
      <c r="G63" s="74"/>
      <c r="H63" s="52" t="s">
        <v>448</v>
      </c>
      <c r="I63" s="69">
        <f t="shared" si="0"/>
        <v>1</v>
      </c>
      <c r="J63" s="69">
        <f t="shared" si="1"/>
        <v>3</v>
      </c>
      <c r="K63" s="69">
        <f t="shared" si="2"/>
        <v>0</v>
      </c>
      <c r="L63" s="69">
        <f t="shared" si="3"/>
        <v>1</v>
      </c>
      <c r="M63" s="69">
        <f t="shared" si="4"/>
        <v>0</v>
      </c>
      <c r="N63" s="69">
        <f t="shared" si="5"/>
        <v>1</v>
      </c>
      <c r="O63" s="69">
        <f t="shared" si="6"/>
        <v>0</v>
      </c>
      <c r="P63" s="69">
        <f t="shared" si="7"/>
        <v>0</v>
      </c>
      <c r="Q63" s="69" t="str">
        <f t="shared" si="8"/>
        <v>F_RSK_</v>
      </c>
      <c r="R63" s="69">
        <f t="shared" si="9"/>
        <v>4</v>
      </c>
      <c r="S63" s="69">
        <f t="shared" si="10"/>
        <v>67</v>
      </c>
      <c r="T63" s="69">
        <f t="shared" si="11"/>
        <v>0</v>
      </c>
      <c r="U63" s="238"/>
      <c r="V63" s="240" t="s">
        <v>1063</v>
      </c>
      <c r="W63" s="240" t="s">
        <v>965</v>
      </c>
      <c r="X63" s="240" t="s">
        <v>966</v>
      </c>
      <c r="Y63" s="238" t="s">
        <v>328</v>
      </c>
      <c r="Z63" s="238" t="s">
        <v>328</v>
      </c>
      <c r="AA63" s="238" t="s">
        <v>1066</v>
      </c>
      <c r="AB63" s="238"/>
      <c r="AE63" s="267"/>
    </row>
    <row r="64" spans="1:31">
      <c r="A64" s="175"/>
      <c r="B64" s="64"/>
      <c r="C64" s="64"/>
      <c r="D64" s="64"/>
      <c r="E64" s="64"/>
      <c r="F64" s="64"/>
      <c r="G64" s="74"/>
      <c r="H64" s="52" t="s">
        <v>449</v>
      </c>
      <c r="I64" s="69">
        <f t="shared" si="0"/>
        <v>1</v>
      </c>
      <c r="J64" s="69">
        <f t="shared" si="1"/>
        <v>3</v>
      </c>
      <c r="K64" s="69">
        <f t="shared" si="2"/>
        <v>0</v>
      </c>
      <c r="L64" s="69">
        <f t="shared" si="3"/>
        <v>1</v>
      </c>
      <c r="M64" s="69">
        <f t="shared" si="4"/>
        <v>0</v>
      </c>
      <c r="N64" s="69">
        <f t="shared" si="5"/>
        <v>1</v>
      </c>
      <c r="O64" s="69">
        <f t="shared" si="6"/>
        <v>0</v>
      </c>
      <c r="P64" s="69">
        <f t="shared" si="7"/>
        <v>0</v>
      </c>
      <c r="Q64" s="69" t="str">
        <f t="shared" si="8"/>
        <v>F_RSK_</v>
      </c>
      <c r="R64" s="69">
        <f t="shared" si="9"/>
        <v>5</v>
      </c>
      <c r="S64" s="69">
        <f t="shared" si="10"/>
        <v>68</v>
      </c>
      <c r="T64" s="69">
        <f t="shared" si="11"/>
        <v>0</v>
      </c>
      <c r="U64" s="238"/>
      <c r="V64" s="240" t="s">
        <v>1063</v>
      </c>
      <c r="W64" s="240" t="s">
        <v>965</v>
      </c>
      <c r="X64" s="240" t="s">
        <v>966</v>
      </c>
      <c r="Y64" s="238" t="s">
        <v>328</v>
      </c>
      <c r="Z64" s="238" t="s">
        <v>328</v>
      </c>
      <c r="AA64" s="238" t="s">
        <v>1066</v>
      </c>
      <c r="AB64" s="238"/>
      <c r="AE64" s="267"/>
    </row>
    <row r="65" spans="1:31">
      <c r="A65" s="175"/>
      <c r="B65" s="64"/>
      <c r="C65" s="64"/>
      <c r="D65" s="64"/>
      <c r="E65" s="64"/>
      <c r="F65" s="64"/>
      <c r="G65" s="74"/>
      <c r="H65" s="52" t="s">
        <v>450</v>
      </c>
      <c r="I65" s="69">
        <f t="shared" si="0"/>
        <v>1</v>
      </c>
      <c r="J65" s="69">
        <f t="shared" si="1"/>
        <v>3</v>
      </c>
      <c r="K65" s="69">
        <f t="shared" si="2"/>
        <v>0</v>
      </c>
      <c r="L65" s="69">
        <f t="shared" si="3"/>
        <v>1</v>
      </c>
      <c r="M65" s="69">
        <f t="shared" si="4"/>
        <v>0</v>
      </c>
      <c r="N65" s="69">
        <f t="shared" si="5"/>
        <v>1</v>
      </c>
      <c r="O65" s="69">
        <f t="shared" si="6"/>
        <v>0</v>
      </c>
      <c r="P65" s="69">
        <f t="shared" si="7"/>
        <v>0</v>
      </c>
      <c r="Q65" s="69" t="str">
        <f t="shared" si="8"/>
        <v>F_RSK_</v>
      </c>
      <c r="R65" s="69">
        <f t="shared" si="9"/>
        <v>6</v>
      </c>
      <c r="S65" s="69">
        <f t="shared" si="10"/>
        <v>69</v>
      </c>
      <c r="T65" s="69">
        <f t="shared" si="11"/>
        <v>0</v>
      </c>
      <c r="U65" s="238"/>
      <c r="V65" s="240" t="s">
        <v>1063</v>
      </c>
      <c r="W65" s="240" t="s">
        <v>965</v>
      </c>
      <c r="X65" s="240" t="s">
        <v>966</v>
      </c>
      <c r="Y65" s="238" t="s">
        <v>1066</v>
      </c>
      <c r="Z65" s="238" t="s">
        <v>1066</v>
      </c>
      <c r="AA65" s="238" t="s">
        <v>1066</v>
      </c>
      <c r="AB65" s="238"/>
      <c r="AE65" s="267"/>
    </row>
    <row r="66" spans="1:31">
      <c r="A66" s="175"/>
      <c r="B66" s="64"/>
      <c r="C66" s="64"/>
      <c r="D66" s="64"/>
      <c r="E66" s="64"/>
      <c r="F66" s="64"/>
      <c r="G66" s="74"/>
      <c r="H66" s="52" t="s">
        <v>451</v>
      </c>
      <c r="I66" s="69">
        <f t="shared" si="0"/>
        <v>1</v>
      </c>
      <c r="J66" s="69">
        <f t="shared" si="1"/>
        <v>3</v>
      </c>
      <c r="K66" s="69">
        <f t="shared" si="2"/>
        <v>0</v>
      </c>
      <c r="L66" s="69">
        <f t="shared" si="3"/>
        <v>1</v>
      </c>
      <c r="M66" s="69">
        <f t="shared" si="4"/>
        <v>0</v>
      </c>
      <c r="N66" s="69">
        <f t="shared" si="5"/>
        <v>1</v>
      </c>
      <c r="O66" s="69">
        <f t="shared" si="6"/>
        <v>0</v>
      </c>
      <c r="P66" s="69">
        <f t="shared" si="7"/>
        <v>0</v>
      </c>
      <c r="Q66" s="69" t="str">
        <f t="shared" si="8"/>
        <v>F_RSK_</v>
      </c>
      <c r="R66" s="69">
        <f t="shared" si="9"/>
        <v>7</v>
      </c>
      <c r="S66" s="69">
        <f t="shared" si="10"/>
        <v>70</v>
      </c>
      <c r="T66" s="69">
        <f t="shared" si="11"/>
        <v>0</v>
      </c>
      <c r="U66" s="238"/>
      <c r="V66" s="240" t="s">
        <v>1063</v>
      </c>
      <c r="W66" s="240" t="s">
        <v>965</v>
      </c>
      <c r="X66" s="240" t="s">
        <v>966</v>
      </c>
      <c r="Y66" s="238" t="s">
        <v>328</v>
      </c>
      <c r="Z66" s="238" t="s">
        <v>328</v>
      </c>
      <c r="AA66" s="238" t="s">
        <v>1066</v>
      </c>
      <c r="AB66" s="238"/>
      <c r="AE66" s="267"/>
    </row>
    <row r="67" spans="1:31">
      <c r="A67" s="175"/>
      <c r="B67" s="64"/>
      <c r="C67" s="64"/>
      <c r="D67" s="64"/>
      <c r="E67" s="64"/>
      <c r="F67" s="64"/>
      <c r="G67" s="74"/>
      <c r="H67" s="52" t="s">
        <v>452</v>
      </c>
      <c r="I67" s="69">
        <f t="shared" si="0"/>
        <v>1</v>
      </c>
      <c r="J67" s="69">
        <f t="shared" si="1"/>
        <v>3</v>
      </c>
      <c r="K67" s="69">
        <f t="shared" si="2"/>
        <v>0</v>
      </c>
      <c r="L67" s="69">
        <f t="shared" si="3"/>
        <v>1</v>
      </c>
      <c r="M67" s="69">
        <f t="shared" si="4"/>
        <v>0</v>
      </c>
      <c r="N67" s="69">
        <f t="shared" si="5"/>
        <v>1</v>
      </c>
      <c r="O67" s="69">
        <f t="shared" si="6"/>
        <v>0</v>
      </c>
      <c r="P67" s="69">
        <f t="shared" si="7"/>
        <v>0</v>
      </c>
      <c r="Q67" s="69" t="str">
        <f t="shared" si="8"/>
        <v>F_RSK_</v>
      </c>
      <c r="R67" s="69">
        <f t="shared" si="9"/>
        <v>8</v>
      </c>
      <c r="S67" s="69">
        <f t="shared" si="10"/>
        <v>71</v>
      </c>
      <c r="T67" s="69">
        <f t="shared" si="11"/>
        <v>0</v>
      </c>
      <c r="U67" s="238"/>
      <c r="V67" s="240" t="s">
        <v>1063</v>
      </c>
      <c r="W67" s="240" t="s">
        <v>965</v>
      </c>
      <c r="X67" s="240" t="s">
        <v>966</v>
      </c>
      <c r="Y67" s="238" t="s">
        <v>328</v>
      </c>
      <c r="Z67" s="238" t="s">
        <v>328</v>
      </c>
      <c r="AA67" s="238" t="s">
        <v>1066</v>
      </c>
      <c r="AB67" s="238"/>
      <c r="AE67" s="267"/>
    </row>
    <row r="68" spans="1:31">
      <c r="A68" s="175"/>
      <c r="B68" s="64"/>
      <c r="C68" s="64"/>
      <c r="D68" s="64"/>
      <c r="E68" s="64"/>
      <c r="F68" s="64"/>
      <c r="G68" s="74"/>
      <c r="H68" s="52" t="s">
        <v>453</v>
      </c>
      <c r="I68" s="69">
        <f t="shared" si="0"/>
        <v>1</v>
      </c>
      <c r="J68" s="69">
        <f t="shared" si="1"/>
        <v>3</v>
      </c>
      <c r="K68" s="69">
        <f t="shared" si="2"/>
        <v>0</v>
      </c>
      <c r="L68" s="69">
        <f t="shared" si="3"/>
        <v>1</v>
      </c>
      <c r="M68" s="69">
        <f t="shared" si="4"/>
        <v>0</v>
      </c>
      <c r="N68" s="69">
        <f t="shared" si="5"/>
        <v>1</v>
      </c>
      <c r="O68" s="69">
        <f t="shared" si="6"/>
        <v>0</v>
      </c>
      <c r="P68" s="69">
        <f t="shared" si="7"/>
        <v>0</v>
      </c>
      <c r="Q68" s="69" t="str">
        <f t="shared" si="8"/>
        <v>F_RSK_</v>
      </c>
      <c r="R68" s="69">
        <f t="shared" si="9"/>
        <v>9</v>
      </c>
      <c r="S68" s="69">
        <f t="shared" si="10"/>
        <v>72</v>
      </c>
      <c r="T68" s="69">
        <f t="shared" si="11"/>
        <v>0</v>
      </c>
      <c r="U68" s="238"/>
      <c r="V68" s="240" t="s">
        <v>1063</v>
      </c>
      <c r="W68" s="240" t="s">
        <v>965</v>
      </c>
      <c r="X68" s="240" t="s">
        <v>966</v>
      </c>
      <c r="Y68" s="238" t="s">
        <v>328</v>
      </c>
      <c r="Z68" s="238" t="s">
        <v>328</v>
      </c>
      <c r="AA68" s="238" t="s">
        <v>1066</v>
      </c>
      <c r="AB68" s="238"/>
      <c r="AE68" s="267"/>
    </row>
    <row r="69" spans="1:31">
      <c r="A69" s="175"/>
      <c r="B69" s="64"/>
      <c r="C69" s="64"/>
      <c r="D69" s="64"/>
      <c r="E69" s="64"/>
      <c r="F69" s="64"/>
      <c r="G69" s="74"/>
      <c r="H69" s="52" t="s">
        <v>454</v>
      </c>
      <c r="I69" s="69">
        <f t="shared" si="0"/>
        <v>1</v>
      </c>
      <c r="J69" s="69">
        <f t="shared" si="1"/>
        <v>3</v>
      </c>
      <c r="K69" s="69">
        <f t="shared" si="2"/>
        <v>0</v>
      </c>
      <c r="L69" s="69">
        <f t="shared" si="3"/>
        <v>1</v>
      </c>
      <c r="M69" s="69">
        <f t="shared" si="4"/>
        <v>0</v>
      </c>
      <c r="N69" s="69">
        <f t="shared" si="5"/>
        <v>1</v>
      </c>
      <c r="O69" s="69">
        <f t="shared" si="6"/>
        <v>0</v>
      </c>
      <c r="P69" s="69">
        <f t="shared" si="7"/>
        <v>0</v>
      </c>
      <c r="Q69" s="69" t="str">
        <f t="shared" si="8"/>
        <v>F_RSK_</v>
      </c>
      <c r="R69" s="69">
        <f t="shared" si="9"/>
        <v>10</v>
      </c>
      <c r="S69" s="69">
        <f t="shared" si="10"/>
        <v>73</v>
      </c>
      <c r="T69" s="69">
        <f t="shared" si="11"/>
        <v>0</v>
      </c>
      <c r="U69" s="238"/>
      <c r="V69" s="240" t="s">
        <v>1063</v>
      </c>
      <c r="W69" s="240" t="s">
        <v>965</v>
      </c>
      <c r="X69" s="240" t="s">
        <v>966</v>
      </c>
      <c r="Y69" s="238" t="s">
        <v>328</v>
      </c>
      <c r="Z69" s="238" t="s">
        <v>328</v>
      </c>
      <c r="AA69" s="238" t="s">
        <v>1066</v>
      </c>
      <c r="AB69" s="238"/>
      <c r="AE69" s="267"/>
    </row>
    <row r="70" spans="1:31">
      <c r="A70" s="175"/>
      <c r="B70" s="64"/>
      <c r="C70" s="64"/>
      <c r="D70" s="64"/>
      <c r="E70" s="64"/>
      <c r="F70" s="64"/>
      <c r="G70" s="74"/>
      <c r="H70" s="52" t="s">
        <v>455</v>
      </c>
      <c r="I70" s="69">
        <f t="shared" si="0"/>
        <v>1</v>
      </c>
      <c r="J70" s="69">
        <f t="shared" si="1"/>
        <v>3</v>
      </c>
      <c r="K70" s="69">
        <f t="shared" si="2"/>
        <v>0</v>
      </c>
      <c r="L70" s="69">
        <f t="shared" si="3"/>
        <v>1</v>
      </c>
      <c r="M70" s="69">
        <f t="shared" si="4"/>
        <v>0</v>
      </c>
      <c r="N70" s="69">
        <f t="shared" si="5"/>
        <v>1</v>
      </c>
      <c r="O70" s="69">
        <f t="shared" si="6"/>
        <v>0</v>
      </c>
      <c r="P70" s="69">
        <f t="shared" si="7"/>
        <v>0</v>
      </c>
      <c r="Q70" s="69" t="str">
        <f t="shared" si="8"/>
        <v>F_RSK_</v>
      </c>
      <c r="R70" s="69">
        <f t="shared" si="9"/>
        <v>11</v>
      </c>
      <c r="S70" s="69">
        <f t="shared" si="10"/>
        <v>74</v>
      </c>
      <c r="T70" s="69">
        <f t="shared" si="11"/>
        <v>0</v>
      </c>
      <c r="U70" s="238"/>
      <c r="V70" s="240" t="s">
        <v>1063</v>
      </c>
      <c r="W70" s="240" t="s">
        <v>965</v>
      </c>
      <c r="X70" s="240" t="s">
        <v>966</v>
      </c>
      <c r="Y70" s="238" t="s">
        <v>328</v>
      </c>
      <c r="Z70" s="238" t="s">
        <v>328</v>
      </c>
      <c r="AA70" s="238" t="s">
        <v>1066</v>
      </c>
      <c r="AB70" s="238"/>
      <c r="AE70" s="267"/>
    </row>
    <row r="71" spans="1:31">
      <c r="A71" s="175"/>
      <c r="B71" s="64"/>
      <c r="C71" s="64"/>
      <c r="D71" s="64"/>
      <c r="E71" s="64"/>
      <c r="F71" s="64"/>
      <c r="G71" s="74"/>
      <c r="H71" s="52" t="s">
        <v>456</v>
      </c>
      <c r="I71" s="69">
        <f t="shared" si="0"/>
        <v>1</v>
      </c>
      <c r="J71" s="69">
        <f t="shared" si="1"/>
        <v>3</v>
      </c>
      <c r="K71" s="69">
        <f t="shared" si="2"/>
        <v>0</v>
      </c>
      <c r="L71" s="69">
        <f t="shared" si="3"/>
        <v>1</v>
      </c>
      <c r="M71" s="69">
        <f t="shared" si="4"/>
        <v>0</v>
      </c>
      <c r="N71" s="69">
        <f t="shared" si="5"/>
        <v>1</v>
      </c>
      <c r="O71" s="69">
        <f t="shared" si="6"/>
        <v>0</v>
      </c>
      <c r="P71" s="69">
        <f t="shared" si="7"/>
        <v>0</v>
      </c>
      <c r="Q71" s="69" t="str">
        <f t="shared" si="8"/>
        <v>F_RSK_</v>
      </c>
      <c r="R71" s="69">
        <f t="shared" si="9"/>
        <v>12</v>
      </c>
      <c r="S71" s="69">
        <f t="shared" si="10"/>
        <v>75</v>
      </c>
      <c r="T71" s="69">
        <f t="shared" si="11"/>
        <v>0</v>
      </c>
      <c r="U71" s="238"/>
      <c r="V71" s="240" t="s">
        <v>1063</v>
      </c>
      <c r="W71" s="240" t="s">
        <v>965</v>
      </c>
      <c r="X71" s="240" t="s">
        <v>966</v>
      </c>
      <c r="Y71" s="238" t="s">
        <v>1066</v>
      </c>
      <c r="Z71" s="238" t="s">
        <v>1066</v>
      </c>
      <c r="AA71" s="238" t="s">
        <v>1066</v>
      </c>
      <c r="AB71" s="238"/>
      <c r="AE71" s="267"/>
    </row>
    <row r="72" spans="1:31">
      <c r="A72" s="175"/>
      <c r="B72" s="64"/>
      <c r="C72" s="64"/>
      <c r="D72" s="64"/>
      <c r="E72" s="64"/>
      <c r="F72" s="64"/>
      <c r="G72" s="74"/>
      <c r="H72" s="52" t="s">
        <v>457</v>
      </c>
      <c r="I72" s="69">
        <f t="shared" si="0"/>
        <v>1</v>
      </c>
      <c r="J72" s="69">
        <f t="shared" si="1"/>
        <v>3</v>
      </c>
      <c r="K72" s="69">
        <f t="shared" si="2"/>
        <v>0</v>
      </c>
      <c r="L72" s="69">
        <f t="shared" si="3"/>
        <v>1</v>
      </c>
      <c r="M72" s="69">
        <f t="shared" si="4"/>
        <v>0</v>
      </c>
      <c r="N72" s="69">
        <f t="shared" si="5"/>
        <v>1</v>
      </c>
      <c r="O72" s="69">
        <f t="shared" si="6"/>
        <v>0</v>
      </c>
      <c r="P72" s="69">
        <f t="shared" si="7"/>
        <v>0</v>
      </c>
      <c r="Q72" s="69" t="str">
        <f t="shared" si="8"/>
        <v>F_RSK_</v>
      </c>
      <c r="R72" s="69">
        <f t="shared" si="9"/>
        <v>13</v>
      </c>
      <c r="S72" s="69">
        <f t="shared" si="10"/>
        <v>76</v>
      </c>
      <c r="T72" s="69">
        <f t="shared" si="11"/>
        <v>0</v>
      </c>
      <c r="U72" s="238"/>
      <c r="V72" s="240" t="s">
        <v>1063</v>
      </c>
      <c r="W72" s="240" t="s">
        <v>965</v>
      </c>
      <c r="X72" s="240" t="s">
        <v>966</v>
      </c>
      <c r="Y72" s="238" t="s">
        <v>328</v>
      </c>
      <c r="Z72" s="238" t="s">
        <v>328</v>
      </c>
      <c r="AA72" s="238" t="s">
        <v>1066</v>
      </c>
      <c r="AB72" s="238"/>
      <c r="AE72" s="267"/>
    </row>
    <row r="73" spans="1:31">
      <c r="A73" s="175"/>
      <c r="B73" s="64"/>
      <c r="C73" s="64"/>
      <c r="D73" s="64"/>
      <c r="E73" s="64"/>
      <c r="F73" s="64"/>
      <c r="G73" s="74"/>
      <c r="H73" s="52" t="s">
        <v>354</v>
      </c>
      <c r="I73" s="69">
        <f t="shared" si="0"/>
        <v>1</v>
      </c>
      <c r="J73" s="69">
        <f t="shared" si="1"/>
        <v>3</v>
      </c>
      <c r="K73" s="69">
        <f t="shared" si="2"/>
        <v>0</v>
      </c>
      <c r="L73" s="69">
        <f t="shared" si="3"/>
        <v>1</v>
      </c>
      <c r="M73" s="69">
        <f t="shared" si="4"/>
        <v>0</v>
      </c>
      <c r="N73" s="69">
        <f t="shared" si="5"/>
        <v>1</v>
      </c>
      <c r="O73" s="69">
        <f t="shared" si="6"/>
        <v>0</v>
      </c>
      <c r="P73" s="69">
        <f t="shared" si="7"/>
        <v>0</v>
      </c>
      <c r="Q73" s="69" t="str">
        <f t="shared" si="8"/>
        <v>F_FSPD</v>
      </c>
      <c r="R73" s="69">
        <f t="shared" si="9"/>
        <v>30</v>
      </c>
      <c r="S73" s="69">
        <f t="shared" si="10"/>
        <v>46</v>
      </c>
      <c r="T73" s="69">
        <f t="shared" si="11"/>
        <v>2</v>
      </c>
      <c r="U73" s="238"/>
      <c r="V73" s="240" t="s">
        <v>1063</v>
      </c>
      <c r="W73" s="240" t="s">
        <v>965</v>
      </c>
      <c r="X73" s="240" t="s">
        <v>966</v>
      </c>
      <c r="Y73" s="238" t="s">
        <v>328</v>
      </c>
      <c r="Z73" s="238" t="s">
        <v>328</v>
      </c>
      <c r="AA73" s="238" t="s">
        <v>1066</v>
      </c>
      <c r="AB73" s="238"/>
      <c r="AE73" s="267"/>
    </row>
    <row r="74" spans="1:31">
      <c r="A74" s="175"/>
      <c r="B74" s="64"/>
      <c r="C74" s="64"/>
      <c r="D74" s="64"/>
      <c r="E74" s="64"/>
      <c r="F74" s="64"/>
      <c r="G74" s="74"/>
      <c r="H74" s="52" t="s">
        <v>355</v>
      </c>
      <c r="I74" s="69">
        <f t="shared" si="0"/>
        <v>1</v>
      </c>
      <c r="J74" s="69">
        <f t="shared" si="1"/>
        <v>3</v>
      </c>
      <c r="K74" s="69">
        <f t="shared" si="2"/>
        <v>0</v>
      </c>
      <c r="L74" s="69">
        <f t="shared" si="3"/>
        <v>1</v>
      </c>
      <c r="M74" s="69">
        <f t="shared" si="4"/>
        <v>0</v>
      </c>
      <c r="N74" s="69">
        <f t="shared" si="5"/>
        <v>1</v>
      </c>
      <c r="O74" s="69">
        <f t="shared" si="6"/>
        <v>0</v>
      </c>
      <c r="P74" s="69">
        <f t="shared" si="7"/>
        <v>0</v>
      </c>
      <c r="Q74" s="69" t="str">
        <f t="shared" si="8"/>
        <v>F_FSPD</v>
      </c>
      <c r="R74" s="69">
        <f t="shared" si="9"/>
        <v>31</v>
      </c>
      <c r="S74" s="69">
        <f t="shared" si="10"/>
        <v>47</v>
      </c>
      <c r="T74" s="69">
        <f t="shared" si="11"/>
        <v>2</v>
      </c>
      <c r="U74" s="238"/>
      <c r="V74" s="240" t="s">
        <v>1063</v>
      </c>
      <c r="W74" s="240" t="s">
        <v>965</v>
      </c>
      <c r="X74" s="240" t="s">
        <v>966</v>
      </c>
      <c r="Y74" s="238" t="s">
        <v>328</v>
      </c>
      <c r="Z74" s="238" t="s">
        <v>328</v>
      </c>
      <c r="AA74" s="238" t="s">
        <v>1066</v>
      </c>
      <c r="AB74" s="238"/>
      <c r="AE74" s="267"/>
    </row>
    <row r="75" spans="1:31">
      <c r="A75" s="175"/>
      <c r="B75" s="64"/>
      <c r="C75" s="64"/>
      <c r="D75" s="64"/>
      <c r="E75" s="64"/>
      <c r="F75" s="64"/>
      <c r="G75" s="74"/>
      <c r="H75" s="52" t="s">
        <v>356</v>
      </c>
      <c r="I75" s="69">
        <f t="shared" si="0"/>
        <v>1</v>
      </c>
      <c r="J75" s="69">
        <f t="shared" si="1"/>
        <v>3</v>
      </c>
      <c r="K75" s="69">
        <f t="shared" si="2"/>
        <v>0</v>
      </c>
      <c r="L75" s="69">
        <f t="shared" si="3"/>
        <v>1</v>
      </c>
      <c r="M75" s="69">
        <f t="shared" si="4"/>
        <v>0</v>
      </c>
      <c r="N75" s="69">
        <f t="shared" si="5"/>
        <v>1</v>
      </c>
      <c r="O75" s="69">
        <f t="shared" si="6"/>
        <v>0</v>
      </c>
      <c r="P75" s="69">
        <f t="shared" si="7"/>
        <v>0</v>
      </c>
      <c r="Q75" s="69" t="str">
        <f t="shared" si="8"/>
        <v>F_FSPD</v>
      </c>
      <c r="R75" s="69">
        <f t="shared" si="9"/>
        <v>32</v>
      </c>
      <c r="S75" s="69">
        <f t="shared" si="10"/>
        <v>48</v>
      </c>
      <c r="T75" s="69">
        <f t="shared" si="11"/>
        <v>2</v>
      </c>
      <c r="U75" s="238"/>
      <c r="V75" s="240" t="s">
        <v>1063</v>
      </c>
      <c r="W75" s="240" t="s">
        <v>965</v>
      </c>
      <c r="X75" s="240" t="s">
        <v>966</v>
      </c>
      <c r="Y75" s="238" t="s">
        <v>328</v>
      </c>
      <c r="Z75" s="238" t="s">
        <v>328</v>
      </c>
      <c r="AA75" s="238" t="s">
        <v>1066</v>
      </c>
      <c r="AB75" s="238"/>
      <c r="AE75" s="267"/>
    </row>
    <row r="76" spans="1:31">
      <c r="A76" s="175"/>
      <c r="B76" s="64"/>
      <c r="C76" s="64"/>
      <c r="D76" s="64"/>
      <c r="E76" s="64"/>
      <c r="F76" s="64"/>
      <c r="G76" s="74"/>
      <c r="H76" s="52" t="s">
        <v>357</v>
      </c>
      <c r="I76" s="69">
        <f t="shared" si="0"/>
        <v>1</v>
      </c>
      <c r="J76" s="69">
        <f t="shared" si="1"/>
        <v>3</v>
      </c>
      <c r="K76" s="69">
        <f t="shared" si="2"/>
        <v>0</v>
      </c>
      <c r="L76" s="69">
        <f t="shared" si="3"/>
        <v>1</v>
      </c>
      <c r="M76" s="69">
        <f t="shared" si="4"/>
        <v>0</v>
      </c>
      <c r="N76" s="69">
        <f t="shared" si="5"/>
        <v>1</v>
      </c>
      <c r="O76" s="69">
        <f t="shared" si="6"/>
        <v>0</v>
      </c>
      <c r="P76" s="69">
        <f t="shared" si="7"/>
        <v>0</v>
      </c>
      <c r="Q76" s="69" t="str">
        <f t="shared" si="8"/>
        <v>F_FSPD</v>
      </c>
      <c r="R76" s="69">
        <f t="shared" si="9"/>
        <v>33</v>
      </c>
      <c r="S76" s="69">
        <f t="shared" si="10"/>
        <v>49</v>
      </c>
      <c r="T76" s="69">
        <f t="shared" si="11"/>
        <v>2</v>
      </c>
      <c r="U76" s="238"/>
      <c r="V76" s="240" t="s">
        <v>1063</v>
      </c>
      <c r="W76" s="240" t="s">
        <v>965</v>
      </c>
      <c r="X76" s="240" t="s">
        <v>966</v>
      </c>
      <c r="Y76" s="238" t="s">
        <v>328</v>
      </c>
      <c r="Z76" s="238" t="s">
        <v>328</v>
      </c>
      <c r="AA76" s="238" t="s">
        <v>1066</v>
      </c>
      <c r="AB76" s="238"/>
      <c r="AE76" s="267"/>
    </row>
    <row r="77" spans="1:31">
      <c r="A77" s="175"/>
      <c r="B77" s="64"/>
      <c r="C77" s="64"/>
      <c r="D77" s="64"/>
      <c r="E77" s="64"/>
      <c r="F77" s="64"/>
      <c r="G77" s="74"/>
      <c r="H77" s="52" t="s">
        <v>358</v>
      </c>
      <c r="I77" s="69">
        <f t="shared" si="0"/>
        <v>1</v>
      </c>
      <c r="J77" s="69">
        <f t="shared" si="1"/>
        <v>3</v>
      </c>
      <c r="K77" s="69">
        <f t="shared" si="2"/>
        <v>0</v>
      </c>
      <c r="L77" s="69">
        <f t="shared" si="3"/>
        <v>1</v>
      </c>
      <c r="M77" s="69">
        <f t="shared" si="4"/>
        <v>0</v>
      </c>
      <c r="N77" s="69">
        <f t="shared" si="5"/>
        <v>1</v>
      </c>
      <c r="O77" s="69">
        <f t="shared" si="6"/>
        <v>0</v>
      </c>
      <c r="P77" s="69">
        <f t="shared" si="7"/>
        <v>0</v>
      </c>
      <c r="Q77" s="69" t="str">
        <f t="shared" si="8"/>
        <v>F_FSPD</v>
      </c>
      <c r="R77" s="69">
        <f t="shared" si="9"/>
        <v>34</v>
      </c>
      <c r="S77" s="69">
        <f t="shared" si="10"/>
        <v>50</v>
      </c>
      <c r="T77" s="69">
        <f t="shared" si="11"/>
        <v>0</v>
      </c>
      <c r="U77" s="238"/>
      <c r="V77" s="240" t="s">
        <v>1063</v>
      </c>
      <c r="W77" s="240" t="s">
        <v>965</v>
      </c>
      <c r="X77" s="240" t="s">
        <v>966</v>
      </c>
      <c r="Y77" s="238" t="s">
        <v>1066</v>
      </c>
      <c r="Z77" s="238" t="s">
        <v>1066</v>
      </c>
      <c r="AA77" s="238" t="s">
        <v>1066</v>
      </c>
      <c r="AB77" s="238"/>
      <c r="AE77" s="267"/>
    </row>
    <row r="78" spans="1:31">
      <c r="A78" s="175"/>
      <c r="B78" s="64"/>
      <c r="C78" s="64"/>
      <c r="D78" s="64"/>
      <c r="E78" s="64"/>
      <c r="F78" s="64"/>
      <c r="G78" s="74"/>
      <c r="H78" s="52" t="s">
        <v>359</v>
      </c>
      <c r="I78" s="69">
        <f t="shared" si="0"/>
        <v>1</v>
      </c>
      <c r="J78" s="69">
        <f t="shared" si="1"/>
        <v>3</v>
      </c>
      <c r="K78" s="69">
        <f t="shared" si="2"/>
        <v>0</v>
      </c>
      <c r="L78" s="69">
        <f t="shared" si="3"/>
        <v>1</v>
      </c>
      <c r="M78" s="69">
        <f t="shared" si="4"/>
        <v>0</v>
      </c>
      <c r="N78" s="69">
        <f t="shared" si="5"/>
        <v>1</v>
      </c>
      <c r="O78" s="69">
        <f t="shared" si="6"/>
        <v>0</v>
      </c>
      <c r="P78" s="69">
        <f t="shared" si="7"/>
        <v>0</v>
      </c>
      <c r="Q78" s="69" t="str">
        <f t="shared" si="8"/>
        <v>F_FSPD</v>
      </c>
      <c r="R78" s="69">
        <f t="shared" si="9"/>
        <v>35</v>
      </c>
      <c r="S78" s="69">
        <f t="shared" si="10"/>
        <v>51</v>
      </c>
      <c r="T78" s="69">
        <f t="shared" si="11"/>
        <v>2</v>
      </c>
      <c r="U78" s="238"/>
      <c r="V78" s="240" t="s">
        <v>1063</v>
      </c>
      <c r="W78" s="240" t="s">
        <v>965</v>
      </c>
      <c r="X78" s="240" t="s">
        <v>966</v>
      </c>
      <c r="Y78" s="238" t="s">
        <v>328</v>
      </c>
      <c r="Z78" s="238" t="s">
        <v>328</v>
      </c>
      <c r="AA78" s="238" t="s">
        <v>1066</v>
      </c>
      <c r="AB78" s="238"/>
      <c r="AE78" s="267"/>
    </row>
    <row r="79" spans="1:31">
      <c r="A79" s="175"/>
      <c r="B79" s="64"/>
      <c r="C79" s="64"/>
      <c r="D79" s="64"/>
      <c r="E79" s="64"/>
      <c r="F79" s="64"/>
      <c r="G79" s="74"/>
      <c r="H79" s="52" t="s">
        <v>360</v>
      </c>
      <c r="I79" s="69">
        <f t="shared" si="0"/>
        <v>1</v>
      </c>
      <c r="J79" s="69">
        <f t="shared" si="1"/>
        <v>3</v>
      </c>
      <c r="K79" s="69">
        <f t="shared" si="2"/>
        <v>0</v>
      </c>
      <c r="L79" s="69">
        <f t="shared" si="3"/>
        <v>1</v>
      </c>
      <c r="M79" s="69">
        <f t="shared" si="4"/>
        <v>0</v>
      </c>
      <c r="N79" s="69">
        <f t="shared" si="5"/>
        <v>1</v>
      </c>
      <c r="O79" s="69">
        <f t="shared" si="6"/>
        <v>0</v>
      </c>
      <c r="P79" s="69">
        <f t="shared" si="7"/>
        <v>0</v>
      </c>
      <c r="Q79" s="69" t="str">
        <f t="shared" si="8"/>
        <v>F_FSPD</v>
      </c>
      <c r="R79" s="69">
        <f t="shared" si="9"/>
        <v>36</v>
      </c>
      <c r="S79" s="69">
        <f t="shared" si="10"/>
        <v>52</v>
      </c>
      <c r="T79" s="69">
        <f t="shared" si="11"/>
        <v>2</v>
      </c>
      <c r="U79" s="238"/>
      <c r="V79" s="240" t="s">
        <v>1063</v>
      </c>
      <c r="W79" s="240" t="s">
        <v>965</v>
      </c>
      <c r="X79" s="240" t="s">
        <v>966</v>
      </c>
      <c r="Y79" s="238" t="s">
        <v>328</v>
      </c>
      <c r="Z79" s="238" t="s">
        <v>328</v>
      </c>
      <c r="AA79" s="238" t="s">
        <v>1066</v>
      </c>
      <c r="AB79" s="238"/>
      <c r="AE79" s="267"/>
    </row>
    <row r="80" spans="1:31">
      <c r="A80" s="175"/>
      <c r="B80" s="64"/>
      <c r="C80" s="64"/>
      <c r="D80" s="64"/>
      <c r="E80" s="64"/>
      <c r="F80" s="64"/>
      <c r="G80" s="74"/>
      <c r="H80" s="52" t="s">
        <v>990</v>
      </c>
      <c r="I80" s="69">
        <f t="shared" si="0"/>
        <v>1</v>
      </c>
      <c r="J80" s="69">
        <f t="shared" si="1"/>
        <v>3</v>
      </c>
      <c r="K80" s="69">
        <f t="shared" si="2"/>
        <v>0</v>
      </c>
      <c r="L80" s="69">
        <f t="shared" si="3"/>
        <v>1</v>
      </c>
      <c r="M80" s="69">
        <f t="shared" si="4"/>
        <v>0</v>
      </c>
      <c r="N80" s="69">
        <f t="shared" si="5"/>
        <v>3</v>
      </c>
      <c r="O80" s="69">
        <f t="shared" si="6"/>
        <v>0</v>
      </c>
      <c r="P80" s="69">
        <f t="shared" si="7"/>
        <v>0</v>
      </c>
      <c r="Q80" s="69" t="str">
        <f t="shared" si="8"/>
        <v>F_TRAD</v>
      </c>
      <c r="R80" s="69">
        <f t="shared" si="9"/>
        <v>11</v>
      </c>
      <c r="S80" s="69">
        <f t="shared" si="10"/>
        <v>11</v>
      </c>
      <c r="T80" s="69">
        <f t="shared" si="11"/>
        <v>0</v>
      </c>
      <c r="U80" s="238">
        <v>1</v>
      </c>
      <c r="V80" s="240" t="s">
        <v>1063</v>
      </c>
      <c r="W80" s="240" t="s">
        <v>965</v>
      </c>
      <c r="X80" s="240" t="s">
        <v>966</v>
      </c>
      <c r="Y80" s="238" t="s">
        <v>328</v>
      </c>
      <c r="Z80" s="238" t="s">
        <v>328</v>
      </c>
      <c r="AA80" s="238" t="s">
        <v>328</v>
      </c>
      <c r="AB80" s="238"/>
      <c r="AE80" s="267"/>
    </row>
    <row r="81" spans="1:31">
      <c r="A81" s="175"/>
      <c r="B81" s="64"/>
      <c r="C81" s="64"/>
      <c r="D81" s="64"/>
      <c r="E81" s="64"/>
      <c r="F81" s="64"/>
      <c r="G81" s="74"/>
      <c r="H81" s="52" t="s">
        <v>1004</v>
      </c>
      <c r="I81" s="69">
        <f t="shared" si="0"/>
        <v>0</v>
      </c>
      <c r="J81" s="69">
        <f t="shared" si="1"/>
        <v>0</v>
      </c>
      <c r="K81" s="69">
        <f t="shared" si="2"/>
        <v>0</v>
      </c>
      <c r="L81" s="69">
        <f t="shared" si="3"/>
        <v>0</v>
      </c>
      <c r="M81" s="69">
        <f t="shared" si="4"/>
        <v>0</v>
      </c>
      <c r="N81" s="69">
        <f t="shared" si="5"/>
        <v>0</v>
      </c>
      <c r="O81" s="69">
        <f t="shared" si="6"/>
        <v>0</v>
      </c>
      <c r="P81" s="69">
        <f t="shared" si="7"/>
        <v>0</v>
      </c>
      <c r="Q81" s="69">
        <f t="shared" si="8"/>
        <v>0</v>
      </c>
      <c r="R81" s="69">
        <f t="shared" si="9"/>
        <v>0</v>
      </c>
      <c r="S81" s="69">
        <f t="shared" si="10"/>
        <v>0</v>
      </c>
      <c r="T81" s="69">
        <f t="shared" si="11"/>
        <v>0</v>
      </c>
      <c r="U81" s="238"/>
      <c r="V81" s="240" t="s">
        <v>1063</v>
      </c>
      <c r="W81" s="240" t="s">
        <v>965</v>
      </c>
      <c r="X81" s="240" t="s">
        <v>966</v>
      </c>
      <c r="Y81" s="238" t="s">
        <v>328</v>
      </c>
      <c r="Z81" s="238" t="s">
        <v>328</v>
      </c>
      <c r="AA81" s="238" t="s">
        <v>328</v>
      </c>
      <c r="AB81" s="238"/>
      <c r="AE81" s="267"/>
    </row>
    <row r="82" spans="1:31">
      <c r="A82" s="175"/>
      <c r="B82" s="64"/>
      <c r="C82" s="64"/>
      <c r="D82" s="64"/>
      <c r="E82" s="64"/>
      <c r="F82" s="64"/>
      <c r="G82" s="74"/>
      <c r="H82" s="52" t="s">
        <v>458</v>
      </c>
      <c r="I82" s="69">
        <f t="shared" si="0"/>
        <v>0</v>
      </c>
      <c r="J82" s="69">
        <f t="shared" si="1"/>
        <v>0</v>
      </c>
      <c r="K82" s="69">
        <f t="shared" si="2"/>
        <v>0</v>
      </c>
      <c r="L82" s="69">
        <f t="shared" si="3"/>
        <v>0</v>
      </c>
      <c r="M82" s="69">
        <f t="shared" si="4"/>
        <v>0</v>
      </c>
      <c r="N82" s="69">
        <f t="shared" si="5"/>
        <v>0</v>
      </c>
      <c r="O82" s="69">
        <f t="shared" si="6"/>
        <v>0</v>
      </c>
      <c r="P82" s="69">
        <f t="shared" si="7"/>
        <v>0</v>
      </c>
      <c r="Q82" s="69">
        <f t="shared" si="8"/>
        <v>0</v>
      </c>
      <c r="R82" s="69">
        <f t="shared" si="9"/>
        <v>0</v>
      </c>
      <c r="S82" s="69">
        <f t="shared" si="10"/>
        <v>0</v>
      </c>
      <c r="T82" s="69">
        <f t="shared" si="11"/>
        <v>0</v>
      </c>
      <c r="U82" s="238"/>
      <c r="V82" s="240" t="s">
        <v>1063</v>
      </c>
      <c r="W82" s="240" t="s">
        <v>965</v>
      </c>
      <c r="X82" s="240" t="s">
        <v>966</v>
      </c>
      <c r="Y82" s="238" t="s">
        <v>328</v>
      </c>
      <c r="Z82" s="238" t="s">
        <v>328</v>
      </c>
      <c r="AA82" s="238" t="s">
        <v>1066</v>
      </c>
      <c r="AB82" s="238"/>
      <c r="AE82" s="267"/>
    </row>
    <row r="83" spans="1:31">
      <c r="A83" s="175"/>
      <c r="B83" s="64"/>
      <c r="C83" s="64"/>
      <c r="D83" s="64"/>
      <c r="E83" s="64"/>
      <c r="F83" s="64"/>
      <c r="G83" s="74"/>
      <c r="H83" s="52" t="s">
        <v>335</v>
      </c>
      <c r="I83" s="69">
        <f t="shared" si="0"/>
        <v>0</v>
      </c>
      <c r="J83" s="69">
        <f t="shared" si="1"/>
        <v>0</v>
      </c>
      <c r="K83" s="69">
        <f t="shared" si="2"/>
        <v>0</v>
      </c>
      <c r="L83" s="69">
        <f t="shared" si="3"/>
        <v>0</v>
      </c>
      <c r="M83" s="69">
        <f t="shared" si="4"/>
        <v>0</v>
      </c>
      <c r="N83" s="69">
        <f t="shared" si="5"/>
        <v>0</v>
      </c>
      <c r="O83" s="69">
        <f t="shared" si="6"/>
        <v>0</v>
      </c>
      <c r="P83" s="69">
        <f t="shared" si="7"/>
        <v>0</v>
      </c>
      <c r="Q83" s="69">
        <f t="shared" si="8"/>
        <v>0</v>
      </c>
      <c r="R83" s="69">
        <f t="shared" si="9"/>
        <v>0</v>
      </c>
      <c r="S83" s="69">
        <f t="shared" si="10"/>
        <v>0</v>
      </c>
      <c r="T83" s="69">
        <f t="shared" si="11"/>
        <v>0</v>
      </c>
      <c r="U83" s="238"/>
      <c r="V83" s="240" t="s">
        <v>1063</v>
      </c>
      <c r="W83" s="240" t="s">
        <v>965</v>
      </c>
      <c r="X83" s="240" t="s">
        <v>966</v>
      </c>
      <c r="Y83" s="238" t="s">
        <v>328</v>
      </c>
      <c r="Z83" s="238" t="s">
        <v>328</v>
      </c>
      <c r="AA83" s="238" t="s">
        <v>1066</v>
      </c>
      <c r="AB83" s="238"/>
      <c r="AE83" s="267"/>
    </row>
    <row r="84" spans="1:31">
      <c r="A84" s="175"/>
      <c r="B84" s="64"/>
      <c r="C84" s="64"/>
      <c r="D84" s="64"/>
      <c r="E84" s="64"/>
      <c r="F84" s="64"/>
      <c r="G84" s="74"/>
      <c r="H84" s="52" t="s">
        <v>459</v>
      </c>
      <c r="I84" s="69">
        <f t="shared" si="0"/>
        <v>0</v>
      </c>
      <c r="J84" s="69">
        <f t="shared" si="1"/>
        <v>0</v>
      </c>
      <c r="K84" s="69">
        <f t="shared" si="2"/>
        <v>0</v>
      </c>
      <c r="L84" s="69">
        <f t="shared" si="3"/>
        <v>0</v>
      </c>
      <c r="M84" s="69">
        <f t="shared" si="4"/>
        <v>0</v>
      </c>
      <c r="N84" s="69">
        <f t="shared" si="5"/>
        <v>0</v>
      </c>
      <c r="O84" s="69">
        <f t="shared" si="6"/>
        <v>0</v>
      </c>
      <c r="P84" s="69">
        <f t="shared" si="7"/>
        <v>0</v>
      </c>
      <c r="Q84" s="69">
        <f t="shared" si="8"/>
        <v>0</v>
      </c>
      <c r="R84" s="69">
        <f t="shared" si="9"/>
        <v>0</v>
      </c>
      <c r="S84" s="69">
        <f t="shared" si="10"/>
        <v>0</v>
      </c>
      <c r="T84" s="69">
        <f t="shared" si="11"/>
        <v>0</v>
      </c>
      <c r="U84" s="238"/>
      <c r="V84" s="240" t="s">
        <v>1063</v>
      </c>
      <c r="W84" s="240" t="s">
        <v>965</v>
      </c>
      <c r="X84" s="240" t="s">
        <v>966</v>
      </c>
      <c r="Y84" s="238" t="s">
        <v>328</v>
      </c>
      <c r="Z84" s="238" t="s">
        <v>328</v>
      </c>
      <c r="AA84" s="238" t="s">
        <v>1066</v>
      </c>
      <c r="AB84" s="238"/>
      <c r="AE84" s="267"/>
    </row>
    <row r="85" spans="1:31">
      <c r="A85" s="175"/>
      <c r="B85" s="64"/>
      <c r="C85" s="64"/>
      <c r="D85" s="64"/>
      <c r="E85" s="64"/>
      <c r="F85" s="64"/>
      <c r="G85" s="74"/>
      <c r="H85" s="52" t="s">
        <v>460</v>
      </c>
      <c r="I85" s="69">
        <f t="shared" si="0"/>
        <v>0</v>
      </c>
      <c r="J85" s="69">
        <f t="shared" si="1"/>
        <v>0</v>
      </c>
      <c r="K85" s="69">
        <f t="shared" si="2"/>
        <v>0</v>
      </c>
      <c r="L85" s="69">
        <f t="shared" si="3"/>
        <v>0</v>
      </c>
      <c r="M85" s="69">
        <f t="shared" si="4"/>
        <v>0</v>
      </c>
      <c r="N85" s="69">
        <f t="shared" si="5"/>
        <v>0</v>
      </c>
      <c r="O85" s="69">
        <f t="shared" si="6"/>
        <v>0</v>
      </c>
      <c r="P85" s="69">
        <f t="shared" si="7"/>
        <v>0</v>
      </c>
      <c r="Q85" s="69">
        <f t="shared" si="8"/>
        <v>0</v>
      </c>
      <c r="R85" s="69">
        <f t="shared" si="9"/>
        <v>0</v>
      </c>
      <c r="S85" s="69">
        <f t="shared" si="10"/>
        <v>0</v>
      </c>
      <c r="T85" s="69">
        <f t="shared" si="11"/>
        <v>0</v>
      </c>
      <c r="U85" s="238"/>
      <c r="V85" s="240" t="s">
        <v>1063</v>
      </c>
      <c r="W85" s="240" t="s">
        <v>965</v>
      </c>
      <c r="X85" s="240" t="s">
        <v>966</v>
      </c>
      <c r="Y85" s="238" t="s">
        <v>328</v>
      </c>
      <c r="Z85" s="238" t="s">
        <v>328</v>
      </c>
      <c r="AA85" s="238" t="s">
        <v>1066</v>
      </c>
      <c r="AB85" s="238"/>
      <c r="AE85" s="267"/>
    </row>
    <row r="86" spans="1:31">
      <c r="A86" s="175"/>
      <c r="B86" s="64"/>
      <c r="C86" s="64"/>
      <c r="D86" s="64"/>
      <c r="E86" s="64"/>
      <c r="F86" s="64"/>
      <c r="G86" s="74"/>
      <c r="H86" s="52" t="s">
        <v>461</v>
      </c>
      <c r="I86" s="69">
        <f t="shared" si="0"/>
        <v>0</v>
      </c>
      <c r="J86" s="69">
        <f t="shared" si="1"/>
        <v>0</v>
      </c>
      <c r="K86" s="69">
        <f t="shared" si="2"/>
        <v>0</v>
      </c>
      <c r="L86" s="69">
        <f t="shared" si="3"/>
        <v>0</v>
      </c>
      <c r="M86" s="69">
        <f t="shared" si="4"/>
        <v>0</v>
      </c>
      <c r="N86" s="69">
        <f t="shared" si="5"/>
        <v>0</v>
      </c>
      <c r="O86" s="69">
        <f t="shared" si="6"/>
        <v>0</v>
      </c>
      <c r="P86" s="69">
        <f t="shared" si="7"/>
        <v>0</v>
      </c>
      <c r="Q86" s="69">
        <f t="shared" si="8"/>
        <v>0</v>
      </c>
      <c r="R86" s="69">
        <f t="shared" si="9"/>
        <v>0</v>
      </c>
      <c r="S86" s="69">
        <f t="shared" si="10"/>
        <v>0</v>
      </c>
      <c r="T86" s="69">
        <f t="shared" si="11"/>
        <v>0</v>
      </c>
      <c r="U86" s="238"/>
      <c r="V86" s="240" t="s">
        <v>1063</v>
      </c>
      <c r="W86" s="240" t="s">
        <v>965</v>
      </c>
      <c r="X86" s="240" t="s">
        <v>966</v>
      </c>
      <c r="Y86" s="238" t="s">
        <v>328</v>
      </c>
      <c r="Z86" s="238" t="s">
        <v>328</v>
      </c>
      <c r="AA86" s="238" t="s">
        <v>1066</v>
      </c>
      <c r="AB86" s="238"/>
      <c r="AE86" s="267"/>
    </row>
    <row r="87" spans="1:31">
      <c r="A87" s="175"/>
      <c r="B87" s="64"/>
      <c r="C87" s="64"/>
      <c r="D87" s="64"/>
      <c r="E87" s="64"/>
      <c r="F87" s="64"/>
      <c r="G87" s="74"/>
      <c r="H87" s="52" t="s">
        <v>462</v>
      </c>
      <c r="I87" s="69">
        <f t="shared" si="0"/>
        <v>0</v>
      </c>
      <c r="J87" s="69">
        <f t="shared" si="1"/>
        <v>0</v>
      </c>
      <c r="K87" s="69">
        <f t="shared" si="2"/>
        <v>0</v>
      </c>
      <c r="L87" s="69">
        <f t="shared" si="3"/>
        <v>0</v>
      </c>
      <c r="M87" s="69">
        <f t="shared" si="4"/>
        <v>0</v>
      </c>
      <c r="N87" s="69">
        <f t="shared" si="5"/>
        <v>0</v>
      </c>
      <c r="O87" s="69">
        <f t="shared" si="6"/>
        <v>0</v>
      </c>
      <c r="P87" s="69">
        <f t="shared" si="7"/>
        <v>0</v>
      </c>
      <c r="Q87" s="69">
        <f t="shared" si="8"/>
        <v>0</v>
      </c>
      <c r="R87" s="69">
        <f t="shared" si="9"/>
        <v>0</v>
      </c>
      <c r="S87" s="69">
        <f t="shared" si="10"/>
        <v>0</v>
      </c>
      <c r="T87" s="69">
        <f t="shared" si="11"/>
        <v>0</v>
      </c>
      <c r="U87" s="238"/>
      <c r="V87" s="240" t="s">
        <v>1063</v>
      </c>
      <c r="W87" s="240" t="s">
        <v>965</v>
      </c>
      <c r="X87" s="240" t="s">
        <v>966</v>
      </c>
      <c r="Y87" s="238" t="s">
        <v>328</v>
      </c>
      <c r="Z87" s="238" t="s">
        <v>328</v>
      </c>
      <c r="AA87" s="238" t="s">
        <v>1066</v>
      </c>
      <c r="AB87" s="238"/>
      <c r="AE87" s="267"/>
    </row>
    <row r="88" spans="1:31">
      <c r="A88" s="175"/>
      <c r="B88" s="64"/>
      <c r="C88" s="64"/>
      <c r="D88" s="64"/>
      <c r="E88" s="64"/>
      <c r="F88" s="64"/>
      <c r="G88" s="74"/>
      <c r="H88" s="52" t="s">
        <v>463</v>
      </c>
      <c r="I88" s="69">
        <f t="shared" si="0"/>
        <v>0</v>
      </c>
      <c r="J88" s="69">
        <f t="shared" si="1"/>
        <v>0</v>
      </c>
      <c r="K88" s="69">
        <f t="shared" si="2"/>
        <v>0</v>
      </c>
      <c r="L88" s="69">
        <f t="shared" si="3"/>
        <v>0</v>
      </c>
      <c r="M88" s="69">
        <f t="shared" si="4"/>
        <v>0</v>
      </c>
      <c r="N88" s="69">
        <f t="shared" si="5"/>
        <v>0</v>
      </c>
      <c r="O88" s="69">
        <f t="shared" si="6"/>
        <v>0</v>
      </c>
      <c r="P88" s="69">
        <f t="shared" si="7"/>
        <v>0</v>
      </c>
      <c r="Q88" s="69">
        <f t="shared" si="8"/>
        <v>0</v>
      </c>
      <c r="R88" s="69">
        <f t="shared" si="9"/>
        <v>0</v>
      </c>
      <c r="S88" s="69">
        <f t="shared" si="10"/>
        <v>0</v>
      </c>
      <c r="T88" s="69">
        <f t="shared" si="11"/>
        <v>0</v>
      </c>
      <c r="U88" s="238"/>
      <c r="V88" s="240" t="s">
        <v>1063</v>
      </c>
      <c r="W88" s="240" t="s">
        <v>965</v>
      </c>
      <c r="X88" s="240" t="s">
        <v>966</v>
      </c>
      <c r="Y88" s="238" t="s">
        <v>328</v>
      </c>
      <c r="Z88" s="238" t="s">
        <v>328</v>
      </c>
      <c r="AA88" s="238" t="s">
        <v>1066</v>
      </c>
      <c r="AB88" s="238"/>
      <c r="AE88" s="267"/>
    </row>
    <row r="89" spans="1:31">
      <c r="A89" s="175"/>
      <c r="B89" s="64"/>
      <c r="C89" s="64"/>
      <c r="D89" s="64"/>
      <c r="E89" s="64"/>
      <c r="F89" s="64"/>
      <c r="G89" s="74"/>
      <c r="H89" s="52" t="s">
        <v>464</v>
      </c>
      <c r="I89" s="69">
        <f t="shared" si="0"/>
        <v>0</v>
      </c>
      <c r="J89" s="69">
        <f t="shared" si="1"/>
        <v>0</v>
      </c>
      <c r="K89" s="69">
        <f t="shared" si="2"/>
        <v>0</v>
      </c>
      <c r="L89" s="69">
        <f t="shared" si="3"/>
        <v>0</v>
      </c>
      <c r="M89" s="69">
        <f t="shared" si="4"/>
        <v>0</v>
      </c>
      <c r="N89" s="69">
        <f t="shared" si="5"/>
        <v>0</v>
      </c>
      <c r="O89" s="69">
        <f t="shared" si="6"/>
        <v>0</v>
      </c>
      <c r="P89" s="69">
        <f t="shared" si="7"/>
        <v>0</v>
      </c>
      <c r="Q89" s="69">
        <f t="shared" si="8"/>
        <v>0</v>
      </c>
      <c r="R89" s="69">
        <f t="shared" si="9"/>
        <v>0</v>
      </c>
      <c r="S89" s="69">
        <f t="shared" si="10"/>
        <v>0</v>
      </c>
      <c r="T89" s="69">
        <f t="shared" si="11"/>
        <v>0</v>
      </c>
      <c r="U89" s="238"/>
      <c r="V89" s="240" t="s">
        <v>1063</v>
      </c>
      <c r="W89" s="240" t="s">
        <v>965</v>
      </c>
      <c r="X89" s="240" t="s">
        <v>966</v>
      </c>
      <c r="Y89" s="238" t="s">
        <v>328</v>
      </c>
      <c r="Z89" s="238" t="s">
        <v>328</v>
      </c>
      <c r="AA89" s="238" t="s">
        <v>1066</v>
      </c>
      <c r="AB89" s="238"/>
      <c r="AE89" s="267"/>
    </row>
    <row r="90" spans="1:31">
      <c r="A90" s="175"/>
      <c r="B90" s="64"/>
      <c r="C90" s="64"/>
      <c r="D90" s="64"/>
      <c r="E90" s="64"/>
      <c r="F90" s="64"/>
      <c r="G90" s="74"/>
      <c r="H90" s="52" t="s">
        <v>465</v>
      </c>
      <c r="I90" s="69">
        <f t="shared" ref="I90:I154" si="12">IF(ISNA(VLOOKUP($H90,Modelpuntoverzicht,1,FALSE)),0,1)</f>
        <v>0</v>
      </c>
      <c r="J90" s="69">
        <f t="shared" ref="J90:J154" si="13">IF($I90=1,VLOOKUP($H90,Modelpuntoverzicht,6,FALSE),0)</f>
        <v>0</v>
      </c>
      <c r="K90" s="69">
        <f t="shared" ref="K90:K154" si="14">IF($I90=1,IF(VLOOKUP($H90,Modelpuntoverzicht,12,FALSE)=1,1,0),0)</f>
        <v>0</v>
      </c>
      <c r="L90" s="69">
        <f t="shared" ref="L90:L154" si="15">IF($I90=1,VLOOKUP($H90,Modelpuntoverzicht,38,FALSE),0)</f>
        <v>0</v>
      </c>
      <c r="M90" s="69">
        <f t="shared" ref="M90:M154" si="16">IF($I90=1,IF(VLOOKUP($H90,Modelpuntoverzicht,30,FALSE)="JA",1,0),0)</f>
        <v>0</v>
      </c>
      <c r="N90" s="69">
        <f t="shared" ref="N90:N154" si="17">IF($I90=1,VLOOKUP($H90,Modelpuntoverzicht,9,FALSE),0)</f>
        <v>0</v>
      </c>
      <c r="O90" s="69">
        <f t="shared" ref="O90:O154" si="18">IF($I90=1,VLOOKUP($H90,Modelpuntoverzicht,11,FALSE),0)</f>
        <v>0</v>
      </c>
      <c r="P90" s="69">
        <f t="shared" ref="P90:P154" si="19">IF($I90=1,VLOOKUP($H90,Modelpuntoverzicht,39,FALSE),0)</f>
        <v>0</v>
      </c>
      <c r="Q90" s="69">
        <f t="shared" ref="Q90:Q154" si="20">IF($I90=1,VLOOKUP($H90,OSM_Info_PerMP,4,FALSE),0)</f>
        <v>0</v>
      </c>
      <c r="R90" s="69">
        <f t="shared" ref="R90:R154" si="21">IF($I90=1,VLOOKUP($H90,OSM_Info_PerMP,6,FALSE),0)</f>
        <v>0</v>
      </c>
      <c r="S90" s="69">
        <f t="shared" ref="S90:S154" si="22">IF($I90=1,VLOOKUP($H90,OSM_Info_PerMP,3,FALSE),0)</f>
        <v>0</v>
      </c>
      <c r="T90" s="69">
        <f t="shared" ref="T90:T154" si="23">IF($I90=1,VLOOKUP($H90,OSM_Info_PerMP,7,FALSE),0)</f>
        <v>0</v>
      </c>
      <c r="U90" s="238"/>
      <c r="V90" s="240" t="s">
        <v>1063</v>
      </c>
      <c r="W90" s="240" t="s">
        <v>965</v>
      </c>
      <c r="X90" s="240" t="s">
        <v>966</v>
      </c>
      <c r="Y90" s="238" t="s">
        <v>328</v>
      </c>
      <c r="Z90" s="238" t="s">
        <v>328</v>
      </c>
      <c r="AA90" s="238" t="s">
        <v>1066</v>
      </c>
      <c r="AB90" s="238"/>
      <c r="AE90" s="267"/>
    </row>
    <row r="91" spans="1:31">
      <c r="A91" s="175"/>
      <c r="B91" s="64"/>
      <c r="C91" s="64"/>
      <c r="D91" s="64"/>
      <c r="E91" s="64"/>
      <c r="F91" s="64"/>
      <c r="G91" s="74"/>
      <c r="H91" s="52" t="s">
        <v>466</v>
      </c>
      <c r="I91" s="69">
        <f t="shared" si="12"/>
        <v>0</v>
      </c>
      <c r="J91" s="69">
        <f t="shared" si="13"/>
        <v>0</v>
      </c>
      <c r="K91" s="69">
        <f t="shared" si="14"/>
        <v>0</v>
      </c>
      <c r="L91" s="69">
        <f t="shared" si="15"/>
        <v>0</v>
      </c>
      <c r="M91" s="69">
        <f t="shared" si="16"/>
        <v>0</v>
      </c>
      <c r="N91" s="69">
        <f t="shared" si="17"/>
        <v>0</v>
      </c>
      <c r="O91" s="69">
        <f t="shared" si="18"/>
        <v>0</v>
      </c>
      <c r="P91" s="69">
        <f t="shared" si="19"/>
        <v>0</v>
      </c>
      <c r="Q91" s="69">
        <f t="shared" si="20"/>
        <v>0</v>
      </c>
      <c r="R91" s="69">
        <f t="shared" si="21"/>
        <v>0</v>
      </c>
      <c r="S91" s="69">
        <f t="shared" si="22"/>
        <v>0</v>
      </c>
      <c r="T91" s="69">
        <f t="shared" si="23"/>
        <v>0</v>
      </c>
      <c r="U91" s="238"/>
      <c r="V91" s="240" t="s">
        <v>1063</v>
      </c>
      <c r="W91" s="240" t="s">
        <v>965</v>
      </c>
      <c r="X91" s="240" t="s">
        <v>966</v>
      </c>
      <c r="Y91" s="238" t="s">
        <v>328</v>
      </c>
      <c r="Z91" s="238" t="s">
        <v>328</v>
      </c>
      <c r="AA91" s="238" t="s">
        <v>1066</v>
      </c>
      <c r="AB91" s="238"/>
      <c r="AE91" s="267"/>
    </row>
    <row r="92" spans="1:31">
      <c r="A92" s="175"/>
      <c r="B92" s="64"/>
      <c r="C92" s="64"/>
      <c r="D92" s="64"/>
      <c r="E92" s="64"/>
      <c r="F92" s="64"/>
      <c r="G92" s="74"/>
      <c r="H92" s="52" t="s">
        <v>330</v>
      </c>
      <c r="I92" s="69">
        <f t="shared" si="12"/>
        <v>1</v>
      </c>
      <c r="J92" s="69">
        <f t="shared" si="13"/>
        <v>3</v>
      </c>
      <c r="K92" s="69">
        <f t="shared" si="14"/>
        <v>0</v>
      </c>
      <c r="L92" s="69">
        <f t="shared" si="15"/>
        <v>1</v>
      </c>
      <c r="M92" s="69">
        <f t="shared" si="16"/>
        <v>0</v>
      </c>
      <c r="N92" s="69">
        <f t="shared" si="17"/>
        <v>3</v>
      </c>
      <c r="O92" s="69">
        <f t="shared" si="18"/>
        <v>0</v>
      </c>
      <c r="P92" s="69">
        <f t="shared" si="19"/>
        <v>1</v>
      </c>
      <c r="Q92" s="69" t="str">
        <f t="shared" si="20"/>
        <v>F_TRAD</v>
      </c>
      <c r="R92" s="69">
        <f t="shared" si="21"/>
        <v>1</v>
      </c>
      <c r="S92" s="69">
        <f t="shared" si="22"/>
        <v>1</v>
      </c>
      <c r="T92" s="69">
        <f t="shared" si="23"/>
        <v>0</v>
      </c>
      <c r="U92" s="238"/>
      <c r="V92" s="240" t="s">
        <v>1063</v>
      </c>
      <c r="W92" s="240" t="s">
        <v>965</v>
      </c>
      <c r="X92" s="240" t="s">
        <v>966</v>
      </c>
      <c r="Y92" s="238" t="s">
        <v>1066</v>
      </c>
      <c r="Z92" s="238" t="s">
        <v>1066</v>
      </c>
      <c r="AA92" s="238" t="s">
        <v>1066</v>
      </c>
      <c r="AB92" s="238"/>
      <c r="AE92" s="267"/>
    </row>
    <row r="93" spans="1:31">
      <c r="A93" s="175"/>
      <c r="B93" s="64"/>
      <c r="C93" s="64"/>
      <c r="D93" s="64"/>
      <c r="E93" s="64"/>
      <c r="F93" s="64"/>
      <c r="G93" s="74"/>
      <c r="H93" s="52" t="s">
        <v>337</v>
      </c>
      <c r="I93" s="69">
        <f t="shared" si="12"/>
        <v>1</v>
      </c>
      <c r="J93" s="69">
        <f t="shared" si="13"/>
        <v>3</v>
      </c>
      <c r="K93" s="69">
        <f t="shared" si="14"/>
        <v>0</v>
      </c>
      <c r="L93" s="69">
        <f t="shared" si="15"/>
        <v>1</v>
      </c>
      <c r="M93" s="69">
        <f t="shared" si="16"/>
        <v>0</v>
      </c>
      <c r="N93" s="69">
        <f t="shared" si="17"/>
        <v>1</v>
      </c>
      <c r="O93" s="69">
        <f t="shared" si="18"/>
        <v>0</v>
      </c>
      <c r="P93" s="69">
        <f t="shared" si="19"/>
        <v>1</v>
      </c>
      <c r="Q93" s="69" t="str">
        <f t="shared" si="20"/>
        <v>F_FSPD</v>
      </c>
      <c r="R93" s="69">
        <f t="shared" si="21"/>
        <v>1</v>
      </c>
      <c r="S93" s="69">
        <f t="shared" si="22"/>
        <v>17</v>
      </c>
      <c r="T93" s="69">
        <f t="shared" si="23"/>
        <v>4</v>
      </c>
      <c r="U93" s="238"/>
      <c r="V93" s="240" t="s">
        <v>1063</v>
      </c>
      <c r="W93" s="240" t="s">
        <v>965</v>
      </c>
      <c r="X93" s="240" t="s">
        <v>966</v>
      </c>
      <c r="Y93" s="238" t="s">
        <v>328</v>
      </c>
      <c r="Z93" s="238" t="s">
        <v>328</v>
      </c>
      <c r="AA93" s="238" t="s">
        <v>1066</v>
      </c>
      <c r="AB93" s="238"/>
      <c r="AE93" s="267"/>
    </row>
    <row r="94" spans="1:31">
      <c r="A94" s="175"/>
      <c r="B94" s="64"/>
      <c r="C94" s="64"/>
      <c r="D94" s="64"/>
      <c r="E94" s="64"/>
      <c r="F94" s="64"/>
      <c r="G94" s="74"/>
      <c r="H94" s="52" t="s">
        <v>338</v>
      </c>
      <c r="I94" s="69">
        <f t="shared" si="12"/>
        <v>1</v>
      </c>
      <c r="J94" s="69">
        <f t="shared" si="13"/>
        <v>3</v>
      </c>
      <c r="K94" s="69">
        <f t="shared" si="14"/>
        <v>0</v>
      </c>
      <c r="L94" s="69">
        <f t="shared" si="15"/>
        <v>1</v>
      </c>
      <c r="M94" s="69">
        <f t="shared" si="16"/>
        <v>0</v>
      </c>
      <c r="N94" s="69">
        <f t="shared" si="17"/>
        <v>1</v>
      </c>
      <c r="O94" s="69">
        <f t="shared" si="18"/>
        <v>0</v>
      </c>
      <c r="P94" s="69">
        <f t="shared" si="19"/>
        <v>1</v>
      </c>
      <c r="Q94" s="69" t="str">
        <f t="shared" si="20"/>
        <v>F_FSPD</v>
      </c>
      <c r="R94" s="69">
        <f t="shared" si="21"/>
        <v>2</v>
      </c>
      <c r="S94" s="69">
        <f t="shared" si="22"/>
        <v>18</v>
      </c>
      <c r="T94" s="69">
        <f t="shared" si="23"/>
        <v>4</v>
      </c>
      <c r="U94" s="238"/>
      <c r="V94" s="240" t="s">
        <v>1063</v>
      </c>
      <c r="W94" s="240" t="s">
        <v>965</v>
      </c>
      <c r="X94" s="240" t="s">
        <v>966</v>
      </c>
      <c r="Y94" s="238" t="s">
        <v>328</v>
      </c>
      <c r="Z94" s="238" t="s">
        <v>328</v>
      </c>
      <c r="AA94" s="238" t="s">
        <v>1066</v>
      </c>
      <c r="AB94" s="238"/>
      <c r="AE94" s="267"/>
    </row>
    <row r="95" spans="1:31">
      <c r="A95" s="175"/>
      <c r="B95" s="64"/>
      <c r="C95" s="64"/>
      <c r="D95" s="64"/>
      <c r="E95" s="64"/>
      <c r="F95" s="64"/>
      <c r="G95" s="74"/>
      <c r="H95" s="52" t="s">
        <v>495</v>
      </c>
      <c r="I95" s="69">
        <f t="shared" si="12"/>
        <v>1</v>
      </c>
      <c r="J95" s="69">
        <f t="shared" si="13"/>
        <v>2</v>
      </c>
      <c r="K95" s="69">
        <f t="shared" si="14"/>
        <v>1</v>
      </c>
      <c r="L95" s="69">
        <f t="shared" si="15"/>
        <v>1</v>
      </c>
      <c r="M95" s="69">
        <f t="shared" si="16"/>
        <v>0</v>
      </c>
      <c r="N95" s="69">
        <f t="shared" si="17"/>
        <v>2</v>
      </c>
      <c r="O95" s="69">
        <f t="shared" si="18"/>
        <v>1</v>
      </c>
      <c r="P95" s="69">
        <f t="shared" si="19"/>
        <v>1</v>
      </c>
      <c r="Q95" s="69" t="str">
        <f t="shared" si="20"/>
        <v>F_UNLI</v>
      </c>
      <c r="R95" s="69">
        <f t="shared" si="21"/>
        <v>29</v>
      </c>
      <c r="S95" s="69">
        <f t="shared" si="22"/>
        <v>158</v>
      </c>
      <c r="T95" s="69">
        <f t="shared" si="23"/>
        <v>3</v>
      </c>
      <c r="U95" s="238"/>
      <c r="V95" s="240" t="s">
        <v>1063</v>
      </c>
      <c r="W95" s="240" t="s">
        <v>1065</v>
      </c>
      <c r="X95" s="240" t="s">
        <v>966</v>
      </c>
      <c r="Y95" s="238" t="s">
        <v>1066</v>
      </c>
      <c r="Z95" s="238" t="s">
        <v>1066</v>
      </c>
      <c r="AA95" s="238" t="s">
        <v>1066</v>
      </c>
      <c r="AB95" s="238"/>
      <c r="AE95" s="267"/>
    </row>
    <row r="96" spans="1:31">
      <c r="A96" s="175"/>
      <c r="B96" s="64"/>
      <c r="C96" s="64"/>
      <c r="D96" s="64"/>
      <c r="E96" s="64"/>
      <c r="F96" s="64"/>
      <c r="G96" s="74"/>
      <c r="H96" s="52" t="s">
        <v>496</v>
      </c>
      <c r="I96" s="69">
        <f t="shared" si="12"/>
        <v>1</v>
      </c>
      <c r="J96" s="69">
        <f t="shared" si="13"/>
        <v>2</v>
      </c>
      <c r="K96" s="69">
        <f t="shared" si="14"/>
        <v>1</v>
      </c>
      <c r="L96" s="69">
        <f t="shared" si="15"/>
        <v>1</v>
      </c>
      <c r="M96" s="69">
        <f t="shared" si="16"/>
        <v>0</v>
      </c>
      <c r="N96" s="69">
        <f t="shared" si="17"/>
        <v>2</v>
      </c>
      <c r="O96" s="69">
        <f t="shared" si="18"/>
        <v>1</v>
      </c>
      <c r="P96" s="69">
        <f t="shared" si="19"/>
        <v>1</v>
      </c>
      <c r="Q96" s="69" t="str">
        <f t="shared" si="20"/>
        <v>F_UNLI</v>
      </c>
      <c r="R96" s="69">
        <f t="shared" si="21"/>
        <v>30</v>
      </c>
      <c r="S96" s="69">
        <f t="shared" si="22"/>
        <v>159</v>
      </c>
      <c r="T96" s="69">
        <f t="shared" si="23"/>
        <v>3</v>
      </c>
      <c r="U96" s="238"/>
      <c r="V96" s="240" t="s">
        <v>1063</v>
      </c>
      <c r="W96" s="240" t="s">
        <v>1065</v>
      </c>
      <c r="X96" s="240" t="s">
        <v>966</v>
      </c>
      <c r="Y96" s="238" t="s">
        <v>1066</v>
      </c>
      <c r="Z96" s="238" t="s">
        <v>1066</v>
      </c>
      <c r="AA96" s="238" t="s">
        <v>1066</v>
      </c>
      <c r="AB96" s="238"/>
      <c r="AE96" s="267"/>
    </row>
    <row r="97" spans="1:31">
      <c r="A97" s="175"/>
      <c r="B97" s="64"/>
      <c r="C97" s="64"/>
      <c r="D97" s="64"/>
      <c r="E97" s="64"/>
      <c r="F97" s="64"/>
      <c r="G97" s="74"/>
      <c r="H97" s="52" t="s">
        <v>513</v>
      </c>
      <c r="I97" s="69">
        <f t="shared" si="12"/>
        <v>1</v>
      </c>
      <c r="J97" s="69">
        <f t="shared" si="13"/>
        <v>2</v>
      </c>
      <c r="K97" s="69">
        <f t="shared" si="14"/>
        <v>1</v>
      </c>
      <c r="L97" s="69">
        <f t="shared" si="15"/>
        <v>1</v>
      </c>
      <c r="M97" s="69">
        <f t="shared" si="16"/>
        <v>0</v>
      </c>
      <c r="N97" s="69">
        <f t="shared" si="17"/>
        <v>2</v>
      </c>
      <c r="O97" s="69">
        <f t="shared" si="18"/>
        <v>0</v>
      </c>
      <c r="P97" s="69">
        <f t="shared" si="19"/>
        <v>0</v>
      </c>
      <c r="Q97" s="69" t="str">
        <f t="shared" si="20"/>
        <v>F_UNLI</v>
      </c>
      <c r="R97" s="69">
        <f t="shared" si="21"/>
        <v>31</v>
      </c>
      <c r="S97" s="69">
        <f t="shared" si="22"/>
        <v>160</v>
      </c>
      <c r="T97" s="69">
        <f t="shared" si="23"/>
        <v>3</v>
      </c>
      <c r="U97" s="238"/>
      <c r="V97" s="240" t="s">
        <v>1063</v>
      </c>
      <c r="W97" s="240" t="s">
        <v>1065</v>
      </c>
      <c r="X97" s="240" t="s">
        <v>966</v>
      </c>
      <c r="Y97" s="238" t="s">
        <v>1066</v>
      </c>
      <c r="Z97" s="238" t="s">
        <v>1066</v>
      </c>
      <c r="AA97" s="238" t="s">
        <v>1066</v>
      </c>
      <c r="AB97" s="238"/>
      <c r="AE97" s="267"/>
    </row>
    <row r="98" spans="1:31">
      <c r="A98" s="175"/>
      <c r="B98" s="64"/>
      <c r="C98" s="64"/>
      <c r="D98" s="64"/>
      <c r="E98" s="64"/>
      <c r="F98" s="64"/>
      <c r="G98" s="74"/>
      <c r="H98" s="52" t="s">
        <v>497</v>
      </c>
      <c r="I98" s="69">
        <f t="shared" si="12"/>
        <v>1</v>
      </c>
      <c r="J98" s="69">
        <f t="shared" si="13"/>
        <v>2</v>
      </c>
      <c r="K98" s="69">
        <f t="shared" si="14"/>
        <v>1</v>
      </c>
      <c r="L98" s="69">
        <f t="shared" si="15"/>
        <v>1</v>
      </c>
      <c r="M98" s="69">
        <f t="shared" si="16"/>
        <v>0</v>
      </c>
      <c r="N98" s="69">
        <f t="shared" si="17"/>
        <v>2</v>
      </c>
      <c r="O98" s="69">
        <f t="shared" si="18"/>
        <v>1</v>
      </c>
      <c r="P98" s="69">
        <f t="shared" si="19"/>
        <v>1</v>
      </c>
      <c r="Q98" s="69" t="str">
        <f t="shared" si="20"/>
        <v>F_UNLI</v>
      </c>
      <c r="R98" s="69">
        <f t="shared" si="21"/>
        <v>32</v>
      </c>
      <c r="S98" s="69">
        <f t="shared" si="22"/>
        <v>161</v>
      </c>
      <c r="T98" s="69">
        <f t="shared" si="23"/>
        <v>3</v>
      </c>
      <c r="U98" s="238"/>
      <c r="V98" s="240" t="s">
        <v>1063</v>
      </c>
      <c r="W98" s="240" t="s">
        <v>1065</v>
      </c>
      <c r="X98" s="240" t="s">
        <v>966</v>
      </c>
      <c r="Y98" s="238" t="s">
        <v>1066</v>
      </c>
      <c r="Z98" s="238" t="s">
        <v>1066</v>
      </c>
      <c r="AA98" s="238" t="s">
        <v>1066</v>
      </c>
      <c r="AB98" s="238"/>
      <c r="AE98" s="267"/>
    </row>
    <row r="99" spans="1:31">
      <c r="A99" s="175"/>
      <c r="B99" s="64"/>
      <c r="C99" s="64"/>
      <c r="D99" s="64"/>
      <c r="E99" s="64"/>
      <c r="F99" s="64"/>
      <c r="G99" s="74"/>
      <c r="H99" s="52" t="s">
        <v>514</v>
      </c>
      <c r="I99" s="69">
        <f t="shared" si="12"/>
        <v>1</v>
      </c>
      <c r="J99" s="69">
        <f t="shared" si="13"/>
        <v>2</v>
      </c>
      <c r="K99" s="69">
        <f t="shared" si="14"/>
        <v>1</v>
      </c>
      <c r="L99" s="69">
        <f t="shared" si="15"/>
        <v>1</v>
      </c>
      <c r="M99" s="69">
        <f t="shared" si="16"/>
        <v>0</v>
      </c>
      <c r="N99" s="69">
        <f t="shared" si="17"/>
        <v>2</v>
      </c>
      <c r="O99" s="69">
        <f t="shared" si="18"/>
        <v>0</v>
      </c>
      <c r="P99" s="69">
        <f t="shared" si="19"/>
        <v>0</v>
      </c>
      <c r="Q99" s="69" t="str">
        <f t="shared" si="20"/>
        <v>F_UNLI</v>
      </c>
      <c r="R99" s="69">
        <f t="shared" si="21"/>
        <v>33</v>
      </c>
      <c r="S99" s="69">
        <f t="shared" si="22"/>
        <v>162</v>
      </c>
      <c r="T99" s="69">
        <f t="shared" si="23"/>
        <v>3</v>
      </c>
      <c r="U99" s="238"/>
      <c r="V99" s="240" t="s">
        <v>1063</v>
      </c>
      <c r="W99" s="240" t="s">
        <v>1065</v>
      </c>
      <c r="X99" s="240" t="s">
        <v>966</v>
      </c>
      <c r="Y99" s="238" t="s">
        <v>1067</v>
      </c>
      <c r="Z99" s="238" t="s">
        <v>1067</v>
      </c>
      <c r="AA99" s="238" t="s">
        <v>1067</v>
      </c>
      <c r="AB99" s="238"/>
      <c r="AE99" s="267"/>
    </row>
    <row r="100" spans="1:31">
      <c r="A100" s="175"/>
      <c r="B100" s="64"/>
      <c r="C100" s="64"/>
      <c r="D100" s="64"/>
      <c r="E100" s="64"/>
      <c r="F100" s="64"/>
      <c r="G100" s="74"/>
      <c r="H100" s="52" t="s">
        <v>515</v>
      </c>
      <c r="I100" s="69">
        <f t="shared" si="12"/>
        <v>1</v>
      </c>
      <c r="J100" s="69">
        <f t="shared" si="13"/>
        <v>2</v>
      </c>
      <c r="K100" s="69">
        <f t="shared" si="14"/>
        <v>1</v>
      </c>
      <c r="L100" s="69">
        <f t="shared" si="15"/>
        <v>1</v>
      </c>
      <c r="M100" s="69">
        <f t="shared" si="16"/>
        <v>0</v>
      </c>
      <c r="N100" s="69">
        <f t="shared" si="17"/>
        <v>2</v>
      </c>
      <c r="O100" s="69">
        <f t="shared" si="18"/>
        <v>0</v>
      </c>
      <c r="P100" s="69">
        <f t="shared" si="19"/>
        <v>0</v>
      </c>
      <c r="Q100" s="69" t="str">
        <f t="shared" si="20"/>
        <v>F_UNLI</v>
      </c>
      <c r="R100" s="69">
        <f t="shared" si="21"/>
        <v>34</v>
      </c>
      <c r="S100" s="69">
        <f t="shared" si="22"/>
        <v>163</v>
      </c>
      <c r="T100" s="69">
        <f t="shared" si="23"/>
        <v>3</v>
      </c>
      <c r="U100" s="238"/>
      <c r="V100" s="240" t="s">
        <v>1063</v>
      </c>
      <c r="W100" s="240" t="s">
        <v>1065</v>
      </c>
      <c r="X100" s="240" t="s">
        <v>966</v>
      </c>
      <c r="Y100" s="238" t="s">
        <v>1066</v>
      </c>
      <c r="Z100" s="238" t="s">
        <v>1066</v>
      </c>
      <c r="AA100" s="238" t="s">
        <v>1066</v>
      </c>
      <c r="AB100" s="238"/>
      <c r="AE100" s="267"/>
    </row>
    <row r="101" spans="1:31">
      <c r="A101" s="175"/>
      <c r="B101" s="64"/>
      <c r="C101" s="64"/>
      <c r="D101" s="64"/>
      <c r="E101" s="64"/>
      <c r="F101" s="64"/>
      <c r="G101" s="74"/>
      <c r="H101" s="52" t="s">
        <v>498</v>
      </c>
      <c r="I101" s="69">
        <f t="shared" si="12"/>
        <v>1</v>
      </c>
      <c r="J101" s="69">
        <f t="shared" si="13"/>
        <v>2</v>
      </c>
      <c r="K101" s="69">
        <f t="shared" si="14"/>
        <v>1</v>
      </c>
      <c r="L101" s="69">
        <f t="shared" si="15"/>
        <v>1</v>
      </c>
      <c r="M101" s="69">
        <f t="shared" si="16"/>
        <v>0</v>
      </c>
      <c r="N101" s="69">
        <f t="shared" si="17"/>
        <v>2</v>
      </c>
      <c r="O101" s="69">
        <f t="shared" si="18"/>
        <v>1</v>
      </c>
      <c r="P101" s="69">
        <f t="shared" si="19"/>
        <v>1</v>
      </c>
      <c r="Q101" s="69" t="str">
        <f t="shared" si="20"/>
        <v>F_TRAD</v>
      </c>
      <c r="R101" s="69">
        <f t="shared" si="21"/>
        <v>118</v>
      </c>
      <c r="S101" s="69">
        <f t="shared" si="22"/>
        <v>118</v>
      </c>
      <c r="T101" s="69">
        <f t="shared" si="23"/>
        <v>0</v>
      </c>
      <c r="U101" s="238"/>
      <c r="V101" s="240" t="s">
        <v>1063</v>
      </c>
      <c r="W101" s="240" t="s">
        <v>1065</v>
      </c>
      <c r="X101" s="240" t="s">
        <v>966</v>
      </c>
      <c r="Y101" s="238" t="s">
        <v>1066</v>
      </c>
      <c r="Z101" s="238" t="s">
        <v>1066</v>
      </c>
      <c r="AA101" s="238" t="s">
        <v>1066</v>
      </c>
      <c r="AB101" s="238"/>
      <c r="AE101" s="267"/>
    </row>
    <row r="102" spans="1:31">
      <c r="A102" s="175"/>
      <c r="B102" s="64"/>
      <c r="C102" s="64"/>
      <c r="D102" s="64"/>
      <c r="E102" s="64"/>
      <c r="F102" s="64"/>
      <c r="G102" s="74"/>
      <c r="H102" s="52" t="s">
        <v>347</v>
      </c>
      <c r="I102" s="69">
        <f t="shared" si="12"/>
        <v>1</v>
      </c>
      <c r="J102" s="69">
        <f t="shared" si="13"/>
        <v>3</v>
      </c>
      <c r="K102" s="69">
        <f t="shared" si="14"/>
        <v>0</v>
      </c>
      <c r="L102" s="69">
        <f t="shared" si="15"/>
        <v>1</v>
      </c>
      <c r="M102" s="69">
        <f t="shared" si="16"/>
        <v>0</v>
      </c>
      <c r="N102" s="69">
        <f t="shared" si="17"/>
        <v>2</v>
      </c>
      <c r="O102" s="69">
        <f t="shared" si="18"/>
        <v>1</v>
      </c>
      <c r="P102" s="69">
        <f t="shared" si="19"/>
        <v>1</v>
      </c>
      <c r="Q102" s="69" t="str">
        <f t="shared" si="20"/>
        <v>F_UNLI</v>
      </c>
      <c r="R102" s="69">
        <f t="shared" si="21"/>
        <v>2</v>
      </c>
      <c r="S102" s="69">
        <f t="shared" si="22"/>
        <v>13</v>
      </c>
      <c r="T102" s="69">
        <f t="shared" si="23"/>
        <v>3</v>
      </c>
      <c r="U102" s="238"/>
      <c r="V102" s="240" t="s">
        <v>1063</v>
      </c>
      <c r="W102" s="240" t="s">
        <v>965</v>
      </c>
      <c r="X102" s="240" t="s">
        <v>966</v>
      </c>
      <c r="Y102" s="238" t="s">
        <v>1066</v>
      </c>
      <c r="Z102" s="238" t="s">
        <v>1066</v>
      </c>
      <c r="AA102" s="238" t="s">
        <v>1066</v>
      </c>
      <c r="AB102" s="238">
        <v>1</v>
      </c>
      <c r="AE102" s="267"/>
    </row>
    <row r="103" spans="1:31">
      <c r="A103" s="175"/>
      <c r="B103" s="64"/>
      <c r="C103" s="64"/>
      <c r="D103" s="64"/>
      <c r="E103" s="64"/>
      <c r="F103" s="64"/>
      <c r="G103" s="74"/>
      <c r="H103" s="52" t="s">
        <v>349</v>
      </c>
      <c r="I103" s="69">
        <f t="shared" si="12"/>
        <v>1</v>
      </c>
      <c r="J103" s="69">
        <f t="shared" si="13"/>
        <v>3</v>
      </c>
      <c r="K103" s="69">
        <f t="shared" si="14"/>
        <v>0</v>
      </c>
      <c r="L103" s="69">
        <f t="shared" si="15"/>
        <v>1</v>
      </c>
      <c r="M103" s="69">
        <f t="shared" si="16"/>
        <v>0</v>
      </c>
      <c r="N103" s="69">
        <f t="shared" si="17"/>
        <v>2</v>
      </c>
      <c r="O103" s="69">
        <f t="shared" si="18"/>
        <v>0</v>
      </c>
      <c r="P103" s="69">
        <f t="shared" si="19"/>
        <v>0</v>
      </c>
      <c r="Q103" s="69" t="str">
        <f t="shared" si="20"/>
        <v>F_UNLI</v>
      </c>
      <c r="R103" s="69">
        <f t="shared" si="21"/>
        <v>3</v>
      </c>
      <c r="S103" s="69">
        <f t="shared" si="22"/>
        <v>14</v>
      </c>
      <c r="T103" s="69">
        <f t="shared" si="23"/>
        <v>3</v>
      </c>
      <c r="U103" s="238"/>
      <c r="V103" s="240" t="s">
        <v>1063</v>
      </c>
      <c r="W103" s="240" t="s">
        <v>965</v>
      </c>
      <c r="X103" s="240" t="s">
        <v>966</v>
      </c>
      <c r="Y103" s="238" t="s">
        <v>1066</v>
      </c>
      <c r="Z103" s="238" t="s">
        <v>1066</v>
      </c>
      <c r="AA103" s="238" t="s">
        <v>1066</v>
      </c>
      <c r="AB103" s="238">
        <v>1</v>
      </c>
      <c r="AE103" s="267"/>
    </row>
    <row r="104" spans="1:31">
      <c r="A104" s="175"/>
      <c r="B104" s="64"/>
      <c r="C104" s="64"/>
      <c r="D104" s="64"/>
      <c r="E104" s="64"/>
      <c r="F104" s="64"/>
      <c r="G104" s="74"/>
      <c r="H104" s="52" t="s">
        <v>1031</v>
      </c>
      <c r="I104" s="69">
        <f t="shared" si="12"/>
        <v>0</v>
      </c>
      <c r="J104" s="69">
        <f t="shared" si="13"/>
        <v>0</v>
      </c>
      <c r="K104" s="69">
        <f t="shared" si="14"/>
        <v>0</v>
      </c>
      <c r="L104" s="69">
        <f t="shared" si="15"/>
        <v>0</v>
      </c>
      <c r="M104" s="69">
        <f t="shared" si="16"/>
        <v>0</v>
      </c>
      <c r="N104" s="69">
        <f t="shared" si="17"/>
        <v>0</v>
      </c>
      <c r="O104" s="69">
        <f t="shared" si="18"/>
        <v>0</v>
      </c>
      <c r="P104" s="69">
        <f t="shared" si="19"/>
        <v>0</v>
      </c>
      <c r="Q104" s="69">
        <f t="shared" si="20"/>
        <v>0</v>
      </c>
      <c r="R104" s="69">
        <f t="shared" si="21"/>
        <v>0</v>
      </c>
      <c r="S104" s="69">
        <f t="shared" si="22"/>
        <v>0</v>
      </c>
      <c r="T104" s="69">
        <f t="shared" si="23"/>
        <v>0</v>
      </c>
      <c r="U104" s="238"/>
      <c r="V104" s="240"/>
      <c r="W104" s="240"/>
      <c r="X104" s="240"/>
      <c r="Y104" s="238"/>
      <c r="Z104" s="238"/>
      <c r="AA104" s="238"/>
      <c r="AB104" s="238"/>
      <c r="AE104" s="267"/>
    </row>
    <row r="105" spans="1:31">
      <c r="A105" s="175"/>
      <c r="B105" s="64"/>
      <c r="C105" s="64"/>
      <c r="D105" s="64"/>
      <c r="E105" s="64"/>
      <c r="F105" s="64"/>
      <c r="G105" s="74"/>
      <c r="H105" s="52" t="s">
        <v>1032</v>
      </c>
      <c r="I105" s="69">
        <f t="shared" si="12"/>
        <v>0</v>
      </c>
      <c r="J105" s="69">
        <f t="shared" si="13"/>
        <v>0</v>
      </c>
      <c r="K105" s="69">
        <f t="shared" si="14"/>
        <v>0</v>
      </c>
      <c r="L105" s="69">
        <f t="shared" si="15"/>
        <v>0</v>
      </c>
      <c r="M105" s="69">
        <f t="shared" si="16"/>
        <v>0</v>
      </c>
      <c r="N105" s="69">
        <f t="shared" si="17"/>
        <v>0</v>
      </c>
      <c r="O105" s="69">
        <f t="shared" si="18"/>
        <v>0</v>
      </c>
      <c r="P105" s="69">
        <f t="shared" si="19"/>
        <v>0</v>
      </c>
      <c r="Q105" s="69">
        <f t="shared" si="20"/>
        <v>0</v>
      </c>
      <c r="R105" s="69">
        <f t="shared" si="21"/>
        <v>0</v>
      </c>
      <c r="S105" s="69">
        <f t="shared" si="22"/>
        <v>0</v>
      </c>
      <c r="T105" s="69">
        <f t="shared" si="23"/>
        <v>0</v>
      </c>
      <c r="U105" s="238"/>
      <c r="V105" s="240"/>
      <c r="W105" s="240"/>
      <c r="X105" s="240"/>
      <c r="Y105" s="238"/>
      <c r="Z105" s="238"/>
      <c r="AA105" s="238"/>
      <c r="AB105" s="238"/>
      <c r="AE105" s="267"/>
    </row>
    <row r="106" spans="1:31">
      <c r="A106" s="175"/>
      <c r="B106" s="64"/>
      <c r="C106" s="64"/>
      <c r="D106" s="64"/>
      <c r="E106" s="64"/>
      <c r="F106" s="64"/>
      <c r="G106" s="74"/>
      <c r="H106" s="52" t="s">
        <v>1033</v>
      </c>
      <c r="I106" s="69">
        <f t="shared" si="12"/>
        <v>0</v>
      </c>
      <c r="J106" s="69">
        <f t="shared" si="13"/>
        <v>0</v>
      </c>
      <c r="K106" s="69">
        <f t="shared" si="14"/>
        <v>0</v>
      </c>
      <c r="L106" s="69">
        <f t="shared" si="15"/>
        <v>0</v>
      </c>
      <c r="M106" s="69">
        <f t="shared" si="16"/>
        <v>0</v>
      </c>
      <c r="N106" s="69">
        <f t="shared" si="17"/>
        <v>0</v>
      </c>
      <c r="O106" s="69">
        <f t="shared" si="18"/>
        <v>0</v>
      </c>
      <c r="P106" s="69">
        <f t="shared" si="19"/>
        <v>0</v>
      </c>
      <c r="Q106" s="69">
        <f t="shared" si="20"/>
        <v>0</v>
      </c>
      <c r="R106" s="69">
        <f t="shared" si="21"/>
        <v>0</v>
      </c>
      <c r="S106" s="69">
        <f t="shared" si="22"/>
        <v>0</v>
      </c>
      <c r="T106" s="69">
        <f t="shared" si="23"/>
        <v>0</v>
      </c>
      <c r="U106" s="238"/>
      <c r="V106" s="240"/>
      <c r="W106" s="240"/>
      <c r="X106" s="240"/>
      <c r="Y106" s="238"/>
      <c r="Z106" s="238"/>
      <c r="AA106" s="238"/>
      <c r="AB106" s="238"/>
      <c r="AE106" s="267"/>
    </row>
    <row r="107" spans="1:31">
      <c r="A107" s="175"/>
      <c r="B107" s="64"/>
      <c r="C107" s="64"/>
      <c r="D107" s="64"/>
      <c r="E107" s="64"/>
      <c r="F107" s="64"/>
      <c r="G107" s="74"/>
      <c r="H107" s="52" t="s">
        <v>1034</v>
      </c>
      <c r="I107" s="69">
        <f t="shared" si="12"/>
        <v>0</v>
      </c>
      <c r="J107" s="69">
        <f t="shared" si="13"/>
        <v>0</v>
      </c>
      <c r="K107" s="69">
        <f t="shared" si="14"/>
        <v>0</v>
      </c>
      <c r="L107" s="69">
        <f t="shared" si="15"/>
        <v>0</v>
      </c>
      <c r="M107" s="69">
        <f t="shared" si="16"/>
        <v>0</v>
      </c>
      <c r="N107" s="69">
        <f t="shared" si="17"/>
        <v>0</v>
      </c>
      <c r="O107" s="69">
        <f t="shared" si="18"/>
        <v>0</v>
      </c>
      <c r="P107" s="69">
        <f t="shared" si="19"/>
        <v>0</v>
      </c>
      <c r="Q107" s="69">
        <f t="shared" si="20"/>
        <v>0</v>
      </c>
      <c r="R107" s="69">
        <f t="shared" si="21"/>
        <v>0</v>
      </c>
      <c r="S107" s="69">
        <f t="shared" si="22"/>
        <v>0</v>
      </c>
      <c r="T107" s="69">
        <f t="shared" si="23"/>
        <v>0</v>
      </c>
      <c r="U107" s="238"/>
      <c r="V107" s="240"/>
      <c r="W107" s="240"/>
      <c r="X107" s="240"/>
      <c r="Y107" s="238"/>
      <c r="Z107" s="238"/>
      <c r="AA107" s="238"/>
      <c r="AB107" s="238"/>
      <c r="AE107" s="267"/>
    </row>
    <row r="108" spans="1:31">
      <c r="A108" s="175"/>
      <c r="B108" s="64"/>
      <c r="C108" s="64"/>
      <c r="D108" s="64"/>
      <c r="E108" s="64"/>
      <c r="F108" s="64"/>
      <c r="G108" s="74"/>
      <c r="H108" s="52" t="s">
        <v>1035</v>
      </c>
      <c r="I108" s="69">
        <f t="shared" si="12"/>
        <v>0</v>
      </c>
      <c r="J108" s="69">
        <f t="shared" si="13"/>
        <v>0</v>
      </c>
      <c r="K108" s="69">
        <f t="shared" si="14"/>
        <v>0</v>
      </c>
      <c r="L108" s="69">
        <f t="shared" si="15"/>
        <v>0</v>
      </c>
      <c r="M108" s="69">
        <f t="shared" si="16"/>
        <v>0</v>
      </c>
      <c r="N108" s="69">
        <f t="shared" si="17"/>
        <v>0</v>
      </c>
      <c r="O108" s="69">
        <f t="shared" si="18"/>
        <v>0</v>
      </c>
      <c r="P108" s="69">
        <f t="shared" si="19"/>
        <v>0</v>
      </c>
      <c r="Q108" s="69">
        <f t="shared" si="20"/>
        <v>0</v>
      </c>
      <c r="R108" s="69">
        <f t="shared" si="21"/>
        <v>0</v>
      </c>
      <c r="S108" s="69">
        <f t="shared" si="22"/>
        <v>0</v>
      </c>
      <c r="T108" s="69">
        <f t="shared" si="23"/>
        <v>0</v>
      </c>
      <c r="U108" s="238"/>
      <c r="V108" s="240"/>
      <c r="W108" s="240"/>
      <c r="X108" s="240"/>
      <c r="Y108" s="238"/>
      <c r="Z108" s="238"/>
      <c r="AA108" s="238"/>
      <c r="AB108" s="238"/>
      <c r="AE108" s="267"/>
    </row>
    <row r="109" spans="1:31">
      <c r="A109" s="175"/>
      <c r="B109" s="64"/>
      <c r="C109" s="64"/>
      <c r="D109" s="64"/>
      <c r="E109" s="64"/>
      <c r="F109" s="64"/>
      <c r="G109" s="74"/>
      <c r="H109" s="52" t="s">
        <v>1036</v>
      </c>
      <c r="I109" s="69">
        <f t="shared" si="12"/>
        <v>0</v>
      </c>
      <c r="J109" s="69">
        <f t="shared" si="13"/>
        <v>0</v>
      </c>
      <c r="K109" s="69">
        <f t="shared" si="14"/>
        <v>0</v>
      </c>
      <c r="L109" s="69">
        <f t="shared" si="15"/>
        <v>0</v>
      </c>
      <c r="M109" s="69">
        <f t="shared" si="16"/>
        <v>0</v>
      </c>
      <c r="N109" s="69">
        <f t="shared" si="17"/>
        <v>0</v>
      </c>
      <c r="O109" s="69">
        <f t="shared" si="18"/>
        <v>0</v>
      </c>
      <c r="P109" s="69">
        <f t="shared" si="19"/>
        <v>0</v>
      </c>
      <c r="Q109" s="69">
        <f t="shared" si="20"/>
        <v>0</v>
      </c>
      <c r="R109" s="69">
        <f t="shared" si="21"/>
        <v>0</v>
      </c>
      <c r="S109" s="69">
        <f t="shared" si="22"/>
        <v>0</v>
      </c>
      <c r="T109" s="69">
        <f t="shared" si="23"/>
        <v>0</v>
      </c>
      <c r="U109" s="238"/>
      <c r="V109" s="240"/>
      <c r="W109" s="240"/>
      <c r="X109" s="240"/>
      <c r="Y109" s="238"/>
      <c r="Z109" s="238"/>
      <c r="AA109" s="238"/>
      <c r="AB109" s="238"/>
      <c r="AE109" s="267"/>
    </row>
    <row r="110" spans="1:31">
      <c r="A110" s="175"/>
      <c r="B110" s="64"/>
      <c r="C110" s="64"/>
      <c r="D110" s="64"/>
      <c r="E110" s="64"/>
      <c r="F110" s="64"/>
      <c r="G110" s="74"/>
      <c r="H110" s="52" t="s">
        <v>1037</v>
      </c>
      <c r="I110" s="69">
        <f t="shared" si="12"/>
        <v>0</v>
      </c>
      <c r="J110" s="69">
        <f t="shared" si="13"/>
        <v>0</v>
      </c>
      <c r="K110" s="69">
        <f t="shared" si="14"/>
        <v>0</v>
      </c>
      <c r="L110" s="69">
        <f t="shared" si="15"/>
        <v>0</v>
      </c>
      <c r="M110" s="69">
        <f t="shared" si="16"/>
        <v>0</v>
      </c>
      <c r="N110" s="69">
        <f t="shared" si="17"/>
        <v>0</v>
      </c>
      <c r="O110" s="69">
        <f t="shared" si="18"/>
        <v>0</v>
      </c>
      <c r="P110" s="69">
        <f t="shared" si="19"/>
        <v>0</v>
      </c>
      <c r="Q110" s="69">
        <f t="shared" si="20"/>
        <v>0</v>
      </c>
      <c r="R110" s="69">
        <f t="shared" si="21"/>
        <v>0</v>
      </c>
      <c r="S110" s="69">
        <f t="shared" si="22"/>
        <v>0</v>
      </c>
      <c r="T110" s="69">
        <f t="shared" si="23"/>
        <v>0</v>
      </c>
      <c r="U110" s="238"/>
      <c r="V110" s="240"/>
      <c r="W110" s="240"/>
      <c r="X110" s="240"/>
      <c r="Y110" s="238"/>
      <c r="Z110" s="238"/>
      <c r="AA110" s="238"/>
      <c r="AB110" s="238"/>
      <c r="AE110" s="267"/>
    </row>
    <row r="111" spans="1:31">
      <c r="A111" s="175"/>
      <c r="B111" s="64"/>
      <c r="C111" s="64"/>
      <c r="D111" s="64"/>
      <c r="E111" s="64"/>
      <c r="F111" s="64"/>
      <c r="G111" s="74"/>
      <c r="H111" s="52" t="s">
        <v>1038</v>
      </c>
      <c r="I111" s="69">
        <f t="shared" si="12"/>
        <v>0</v>
      </c>
      <c r="J111" s="69">
        <f t="shared" si="13"/>
        <v>0</v>
      </c>
      <c r="K111" s="69">
        <f t="shared" si="14"/>
        <v>0</v>
      </c>
      <c r="L111" s="69">
        <f t="shared" si="15"/>
        <v>0</v>
      </c>
      <c r="M111" s="69">
        <f t="shared" si="16"/>
        <v>0</v>
      </c>
      <c r="N111" s="69">
        <f t="shared" si="17"/>
        <v>0</v>
      </c>
      <c r="O111" s="69">
        <f t="shared" si="18"/>
        <v>0</v>
      </c>
      <c r="P111" s="69">
        <f t="shared" si="19"/>
        <v>0</v>
      </c>
      <c r="Q111" s="69">
        <f t="shared" si="20"/>
        <v>0</v>
      </c>
      <c r="R111" s="69">
        <f t="shared" si="21"/>
        <v>0</v>
      </c>
      <c r="S111" s="69">
        <f t="shared" si="22"/>
        <v>0</v>
      </c>
      <c r="T111" s="69">
        <f t="shared" si="23"/>
        <v>0</v>
      </c>
      <c r="U111" s="238"/>
      <c r="V111" s="240"/>
      <c r="W111" s="240"/>
      <c r="X111" s="240"/>
      <c r="Y111" s="238"/>
      <c r="Z111" s="238"/>
      <c r="AA111" s="238"/>
      <c r="AB111" s="238"/>
      <c r="AE111" s="267"/>
    </row>
    <row r="112" spans="1:31">
      <c r="A112" s="175"/>
      <c r="B112" s="64"/>
      <c r="C112" s="64"/>
      <c r="D112" s="64"/>
      <c r="E112" s="64"/>
      <c r="F112" s="64"/>
      <c r="G112" s="74"/>
      <c r="H112" s="52" t="s">
        <v>1039</v>
      </c>
      <c r="I112" s="69">
        <f t="shared" si="12"/>
        <v>0</v>
      </c>
      <c r="J112" s="69">
        <f t="shared" si="13"/>
        <v>0</v>
      </c>
      <c r="K112" s="69">
        <f t="shared" si="14"/>
        <v>0</v>
      </c>
      <c r="L112" s="69">
        <f t="shared" si="15"/>
        <v>0</v>
      </c>
      <c r="M112" s="69">
        <f t="shared" si="16"/>
        <v>0</v>
      </c>
      <c r="N112" s="69">
        <f t="shared" si="17"/>
        <v>0</v>
      </c>
      <c r="O112" s="69">
        <f t="shared" si="18"/>
        <v>0</v>
      </c>
      <c r="P112" s="69">
        <f t="shared" si="19"/>
        <v>0</v>
      </c>
      <c r="Q112" s="69">
        <f t="shared" si="20"/>
        <v>0</v>
      </c>
      <c r="R112" s="69">
        <f t="shared" si="21"/>
        <v>0</v>
      </c>
      <c r="S112" s="69">
        <f t="shared" si="22"/>
        <v>0</v>
      </c>
      <c r="T112" s="69">
        <f t="shared" si="23"/>
        <v>0</v>
      </c>
      <c r="U112" s="238"/>
      <c r="V112" s="240"/>
      <c r="W112" s="240"/>
      <c r="X112" s="240"/>
      <c r="Y112" s="238"/>
      <c r="Z112" s="238"/>
      <c r="AA112" s="238"/>
      <c r="AB112" s="238"/>
      <c r="AE112" s="267"/>
    </row>
    <row r="113" spans="1:31">
      <c r="A113" s="175"/>
      <c r="B113" s="64"/>
      <c r="C113" s="64"/>
      <c r="D113" s="64"/>
      <c r="E113" s="64"/>
      <c r="F113" s="64"/>
      <c r="G113" s="74"/>
      <c r="H113" s="52" t="s">
        <v>1040</v>
      </c>
      <c r="I113" s="69">
        <f t="shared" si="12"/>
        <v>0</v>
      </c>
      <c r="J113" s="69">
        <f t="shared" si="13"/>
        <v>0</v>
      </c>
      <c r="K113" s="69">
        <f t="shared" si="14"/>
        <v>0</v>
      </c>
      <c r="L113" s="69">
        <f t="shared" si="15"/>
        <v>0</v>
      </c>
      <c r="M113" s="69">
        <f t="shared" si="16"/>
        <v>0</v>
      </c>
      <c r="N113" s="69">
        <f t="shared" si="17"/>
        <v>0</v>
      </c>
      <c r="O113" s="69">
        <f t="shared" si="18"/>
        <v>0</v>
      </c>
      <c r="P113" s="69">
        <f t="shared" si="19"/>
        <v>0</v>
      </c>
      <c r="Q113" s="69">
        <f t="shared" si="20"/>
        <v>0</v>
      </c>
      <c r="R113" s="69">
        <f t="shared" si="21"/>
        <v>0</v>
      </c>
      <c r="S113" s="69">
        <f t="shared" si="22"/>
        <v>0</v>
      </c>
      <c r="T113" s="69">
        <f t="shared" si="23"/>
        <v>0</v>
      </c>
      <c r="U113" s="238"/>
      <c r="V113" s="240"/>
      <c r="W113" s="240"/>
      <c r="X113" s="240"/>
      <c r="Y113" s="238"/>
      <c r="Z113" s="238"/>
      <c r="AA113" s="238"/>
      <c r="AB113" s="238"/>
      <c r="AE113" s="267"/>
    </row>
    <row r="114" spans="1:31">
      <c r="A114" s="175"/>
      <c r="B114" s="64"/>
      <c r="C114" s="64"/>
      <c r="D114" s="64"/>
      <c r="E114" s="64"/>
      <c r="F114" s="64"/>
      <c r="G114" s="74"/>
      <c r="H114" s="52" t="s">
        <v>1041</v>
      </c>
      <c r="I114" s="69">
        <f t="shared" si="12"/>
        <v>0</v>
      </c>
      <c r="J114" s="69">
        <f t="shared" si="13"/>
        <v>0</v>
      </c>
      <c r="K114" s="69">
        <f t="shared" si="14"/>
        <v>0</v>
      </c>
      <c r="L114" s="69">
        <f t="shared" si="15"/>
        <v>0</v>
      </c>
      <c r="M114" s="69">
        <f t="shared" si="16"/>
        <v>0</v>
      </c>
      <c r="N114" s="69">
        <f t="shared" si="17"/>
        <v>0</v>
      </c>
      <c r="O114" s="69">
        <f t="shared" si="18"/>
        <v>0</v>
      </c>
      <c r="P114" s="69">
        <f t="shared" si="19"/>
        <v>0</v>
      </c>
      <c r="Q114" s="69">
        <f t="shared" si="20"/>
        <v>0</v>
      </c>
      <c r="R114" s="69">
        <f t="shared" si="21"/>
        <v>0</v>
      </c>
      <c r="S114" s="69">
        <f t="shared" si="22"/>
        <v>0</v>
      </c>
      <c r="T114" s="69">
        <f t="shared" si="23"/>
        <v>0</v>
      </c>
      <c r="U114" s="238"/>
      <c r="V114" s="240"/>
      <c r="W114" s="240"/>
      <c r="X114" s="240"/>
      <c r="Y114" s="238"/>
      <c r="Z114" s="238"/>
      <c r="AA114" s="238"/>
      <c r="AB114" s="238"/>
      <c r="AE114" s="267"/>
    </row>
    <row r="115" spans="1:31">
      <c r="A115" s="175"/>
      <c r="B115" s="64"/>
      <c r="C115" s="64"/>
      <c r="D115" s="64"/>
      <c r="E115" s="64"/>
      <c r="F115" s="64"/>
      <c r="G115" s="74"/>
      <c r="H115" s="52" t="s">
        <v>1042</v>
      </c>
      <c r="I115" s="69">
        <f t="shared" si="12"/>
        <v>0</v>
      </c>
      <c r="J115" s="69">
        <f t="shared" si="13"/>
        <v>0</v>
      </c>
      <c r="K115" s="69">
        <f t="shared" si="14"/>
        <v>0</v>
      </c>
      <c r="L115" s="69">
        <f t="shared" si="15"/>
        <v>0</v>
      </c>
      <c r="M115" s="69">
        <f t="shared" si="16"/>
        <v>0</v>
      </c>
      <c r="N115" s="69">
        <f t="shared" si="17"/>
        <v>0</v>
      </c>
      <c r="O115" s="69">
        <f t="shared" si="18"/>
        <v>0</v>
      </c>
      <c r="P115" s="69">
        <f t="shared" si="19"/>
        <v>0</v>
      </c>
      <c r="Q115" s="69">
        <f t="shared" si="20"/>
        <v>0</v>
      </c>
      <c r="R115" s="69">
        <f t="shared" si="21"/>
        <v>0</v>
      </c>
      <c r="S115" s="69">
        <f t="shared" si="22"/>
        <v>0</v>
      </c>
      <c r="T115" s="69">
        <f t="shared" si="23"/>
        <v>0</v>
      </c>
      <c r="U115" s="238"/>
      <c r="V115" s="240"/>
      <c r="W115" s="240"/>
      <c r="X115" s="240"/>
      <c r="Y115" s="238"/>
      <c r="Z115" s="238"/>
      <c r="AA115" s="238"/>
      <c r="AB115" s="238"/>
      <c r="AE115" s="267"/>
    </row>
    <row r="116" spans="1:31">
      <c r="A116" s="175"/>
      <c r="B116" s="64"/>
      <c r="C116" s="64"/>
      <c r="D116" s="64"/>
      <c r="E116" s="64"/>
      <c r="F116" s="64"/>
      <c r="G116" s="74"/>
      <c r="H116" s="52" t="s">
        <v>1043</v>
      </c>
      <c r="I116" s="69">
        <f t="shared" si="12"/>
        <v>0</v>
      </c>
      <c r="J116" s="69">
        <f t="shared" si="13"/>
        <v>0</v>
      </c>
      <c r="K116" s="69">
        <f t="shared" si="14"/>
        <v>0</v>
      </c>
      <c r="L116" s="69">
        <f t="shared" si="15"/>
        <v>0</v>
      </c>
      <c r="M116" s="69">
        <f t="shared" si="16"/>
        <v>0</v>
      </c>
      <c r="N116" s="69">
        <f t="shared" si="17"/>
        <v>0</v>
      </c>
      <c r="O116" s="69">
        <f t="shared" si="18"/>
        <v>0</v>
      </c>
      <c r="P116" s="69">
        <f t="shared" si="19"/>
        <v>0</v>
      </c>
      <c r="Q116" s="69">
        <f t="shared" si="20"/>
        <v>0</v>
      </c>
      <c r="R116" s="69">
        <f t="shared" si="21"/>
        <v>0</v>
      </c>
      <c r="S116" s="69">
        <f t="shared" si="22"/>
        <v>0</v>
      </c>
      <c r="T116" s="69">
        <f t="shared" si="23"/>
        <v>0</v>
      </c>
      <c r="U116" s="238"/>
      <c r="V116" s="240"/>
      <c r="W116" s="240"/>
      <c r="X116" s="240"/>
      <c r="Y116" s="238"/>
      <c r="Z116" s="238"/>
      <c r="AA116" s="238"/>
      <c r="AB116" s="238"/>
      <c r="AE116" s="267"/>
    </row>
    <row r="117" spans="1:31">
      <c r="A117" s="175"/>
      <c r="B117" s="64"/>
      <c r="C117" s="64"/>
      <c r="D117" s="64"/>
      <c r="E117" s="64"/>
      <c r="F117" s="64"/>
      <c r="G117" s="74"/>
      <c r="H117" s="52" t="s">
        <v>1044</v>
      </c>
      <c r="I117" s="69">
        <f t="shared" si="12"/>
        <v>0</v>
      </c>
      <c r="J117" s="69">
        <f t="shared" si="13"/>
        <v>0</v>
      </c>
      <c r="K117" s="69">
        <f t="shared" si="14"/>
        <v>0</v>
      </c>
      <c r="L117" s="69">
        <f t="shared" si="15"/>
        <v>0</v>
      </c>
      <c r="M117" s="69">
        <f t="shared" si="16"/>
        <v>0</v>
      </c>
      <c r="N117" s="69">
        <f t="shared" si="17"/>
        <v>0</v>
      </c>
      <c r="O117" s="69">
        <f t="shared" si="18"/>
        <v>0</v>
      </c>
      <c r="P117" s="69">
        <f t="shared" si="19"/>
        <v>0</v>
      </c>
      <c r="Q117" s="69">
        <f t="shared" si="20"/>
        <v>0</v>
      </c>
      <c r="R117" s="69">
        <f t="shared" si="21"/>
        <v>0</v>
      </c>
      <c r="S117" s="69">
        <f t="shared" si="22"/>
        <v>0</v>
      </c>
      <c r="T117" s="69">
        <f t="shared" si="23"/>
        <v>0</v>
      </c>
      <c r="U117" s="238"/>
      <c r="V117" s="240"/>
      <c r="W117" s="240"/>
      <c r="X117" s="240"/>
      <c r="Y117" s="238"/>
      <c r="Z117" s="238"/>
      <c r="AA117" s="238"/>
      <c r="AB117" s="238"/>
      <c r="AE117" s="267"/>
    </row>
    <row r="118" spans="1:31">
      <c r="A118" s="175"/>
      <c r="B118" s="64"/>
      <c r="C118" s="64"/>
      <c r="D118" s="64"/>
      <c r="E118" s="64"/>
      <c r="F118" s="64"/>
      <c r="G118" s="74"/>
      <c r="H118" s="52" t="s">
        <v>1045</v>
      </c>
      <c r="I118" s="69">
        <f t="shared" si="12"/>
        <v>0</v>
      </c>
      <c r="J118" s="69">
        <f t="shared" si="13"/>
        <v>0</v>
      </c>
      <c r="K118" s="69">
        <f t="shared" si="14"/>
        <v>0</v>
      </c>
      <c r="L118" s="69">
        <f t="shared" si="15"/>
        <v>0</v>
      </c>
      <c r="M118" s="69">
        <f t="shared" si="16"/>
        <v>0</v>
      </c>
      <c r="N118" s="69">
        <f t="shared" si="17"/>
        <v>0</v>
      </c>
      <c r="O118" s="69">
        <f t="shared" si="18"/>
        <v>0</v>
      </c>
      <c r="P118" s="69">
        <f t="shared" si="19"/>
        <v>0</v>
      </c>
      <c r="Q118" s="69">
        <f t="shared" si="20"/>
        <v>0</v>
      </c>
      <c r="R118" s="69">
        <f t="shared" si="21"/>
        <v>0</v>
      </c>
      <c r="S118" s="69">
        <f t="shared" si="22"/>
        <v>0</v>
      </c>
      <c r="T118" s="69">
        <f t="shared" si="23"/>
        <v>0</v>
      </c>
      <c r="U118" s="238"/>
      <c r="V118" s="240"/>
      <c r="W118" s="240"/>
      <c r="X118" s="240"/>
      <c r="Y118" s="238"/>
      <c r="Z118" s="238"/>
      <c r="AA118" s="238"/>
      <c r="AB118" s="238"/>
      <c r="AE118" s="267"/>
    </row>
    <row r="119" spans="1:31">
      <c r="A119" s="175"/>
      <c r="B119" s="64"/>
      <c r="C119" s="64"/>
      <c r="D119" s="64"/>
      <c r="E119" s="64"/>
      <c r="F119" s="64"/>
      <c r="G119" s="74"/>
      <c r="H119" s="52" t="s">
        <v>1046</v>
      </c>
      <c r="I119" s="69">
        <f t="shared" si="12"/>
        <v>0</v>
      </c>
      <c r="J119" s="69">
        <f t="shared" si="13"/>
        <v>0</v>
      </c>
      <c r="K119" s="69">
        <f t="shared" si="14"/>
        <v>0</v>
      </c>
      <c r="L119" s="69">
        <f t="shared" si="15"/>
        <v>0</v>
      </c>
      <c r="M119" s="69">
        <f t="shared" si="16"/>
        <v>0</v>
      </c>
      <c r="N119" s="69">
        <f t="shared" si="17"/>
        <v>0</v>
      </c>
      <c r="O119" s="69">
        <f t="shared" si="18"/>
        <v>0</v>
      </c>
      <c r="P119" s="69">
        <f t="shared" si="19"/>
        <v>0</v>
      </c>
      <c r="Q119" s="69">
        <f t="shared" si="20"/>
        <v>0</v>
      </c>
      <c r="R119" s="69">
        <f t="shared" si="21"/>
        <v>0</v>
      </c>
      <c r="S119" s="69">
        <f t="shared" si="22"/>
        <v>0</v>
      </c>
      <c r="T119" s="69">
        <f t="shared" si="23"/>
        <v>0</v>
      </c>
      <c r="U119" s="238"/>
      <c r="V119" s="240"/>
      <c r="W119" s="240"/>
      <c r="X119" s="240"/>
      <c r="Y119" s="238"/>
      <c r="Z119" s="238"/>
      <c r="AA119" s="238"/>
      <c r="AB119" s="238"/>
      <c r="AE119" s="267"/>
    </row>
    <row r="120" spans="1:31">
      <c r="A120" s="175"/>
      <c r="B120" s="64"/>
      <c r="C120" s="64"/>
      <c r="D120" s="64"/>
      <c r="E120" s="64"/>
      <c r="F120" s="64"/>
      <c r="G120" s="74"/>
      <c r="H120" s="52" t="s">
        <v>1047</v>
      </c>
      <c r="I120" s="69">
        <f t="shared" si="12"/>
        <v>0</v>
      </c>
      <c r="J120" s="69">
        <f t="shared" si="13"/>
        <v>0</v>
      </c>
      <c r="K120" s="69">
        <f t="shared" si="14"/>
        <v>0</v>
      </c>
      <c r="L120" s="69">
        <f t="shared" si="15"/>
        <v>0</v>
      </c>
      <c r="M120" s="69">
        <f t="shared" si="16"/>
        <v>0</v>
      </c>
      <c r="N120" s="69">
        <f t="shared" si="17"/>
        <v>0</v>
      </c>
      <c r="O120" s="69">
        <f t="shared" si="18"/>
        <v>0</v>
      </c>
      <c r="P120" s="69">
        <f t="shared" si="19"/>
        <v>0</v>
      </c>
      <c r="Q120" s="69">
        <f t="shared" si="20"/>
        <v>0</v>
      </c>
      <c r="R120" s="69">
        <f t="shared" si="21"/>
        <v>0</v>
      </c>
      <c r="S120" s="69">
        <f t="shared" si="22"/>
        <v>0</v>
      </c>
      <c r="T120" s="69">
        <f t="shared" si="23"/>
        <v>0</v>
      </c>
      <c r="U120" s="238"/>
      <c r="V120" s="240"/>
      <c r="W120" s="240"/>
      <c r="X120" s="240"/>
      <c r="Y120" s="238"/>
      <c r="Z120" s="238"/>
      <c r="AA120" s="238"/>
      <c r="AB120" s="238"/>
      <c r="AE120" s="267"/>
    </row>
    <row r="121" spans="1:31">
      <c r="A121" s="175"/>
      <c r="B121" s="64"/>
      <c r="C121" s="64"/>
      <c r="D121" s="64"/>
      <c r="E121" s="64"/>
      <c r="F121" s="64"/>
      <c r="G121" s="74"/>
      <c r="H121" s="52" t="s">
        <v>1048</v>
      </c>
      <c r="I121" s="69">
        <f t="shared" si="12"/>
        <v>0</v>
      </c>
      <c r="J121" s="69">
        <f t="shared" si="13"/>
        <v>0</v>
      </c>
      <c r="K121" s="69">
        <f t="shared" si="14"/>
        <v>0</v>
      </c>
      <c r="L121" s="69">
        <f t="shared" si="15"/>
        <v>0</v>
      </c>
      <c r="M121" s="69">
        <f t="shared" si="16"/>
        <v>0</v>
      </c>
      <c r="N121" s="69">
        <f t="shared" si="17"/>
        <v>0</v>
      </c>
      <c r="O121" s="69">
        <f t="shared" si="18"/>
        <v>0</v>
      </c>
      <c r="P121" s="69">
        <f t="shared" si="19"/>
        <v>0</v>
      </c>
      <c r="Q121" s="69">
        <f t="shared" si="20"/>
        <v>0</v>
      </c>
      <c r="R121" s="69">
        <f t="shared" si="21"/>
        <v>0</v>
      </c>
      <c r="S121" s="69">
        <f t="shared" si="22"/>
        <v>0</v>
      </c>
      <c r="T121" s="69">
        <f t="shared" si="23"/>
        <v>0</v>
      </c>
      <c r="U121" s="238"/>
      <c r="V121" s="240"/>
      <c r="W121" s="240"/>
      <c r="X121" s="240"/>
      <c r="Y121" s="238"/>
      <c r="Z121" s="238"/>
      <c r="AA121" s="238"/>
      <c r="AB121" s="238"/>
      <c r="AE121" s="267"/>
    </row>
    <row r="122" spans="1:31">
      <c r="A122" s="175"/>
      <c r="B122" s="64"/>
      <c r="C122" s="64"/>
      <c r="D122" s="64"/>
      <c r="E122" s="64"/>
      <c r="F122" s="64"/>
      <c r="G122" s="74"/>
      <c r="H122" s="52" t="s">
        <v>1049</v>
      </c>
      <c r="I122" s="69">
        <f t="shared" si="12"/>
        <v>0</v>
      </c>
      <c r="J122" s="69">
        <f t="shared" si="13"/>
        <v>0</v>
      </c>
      <c r="K122" s="69">
        <f t="shared" si="14"/>
        <v>0</v>
      </c>
      <c r="L122" s="69">
        <f t="shared" si="15"/>
        <v>0</v>
      </c>
      <c r="M122" s="69">
        <f t="shared" si="16"/>
        <v>0</v>
      </c>
      <c r="N122" s="69">
        <f t="shared" si="17"/>
        <v>0</v>
      </c>
      <c r="O122" s="69">
        <f t="shared" si="18"/>
        <v>0</v>
      </c>
      <c r="P122" s="69">
        <f t="shared" si="19"/>
        <v>0</v>
      </c>
      <c r="Q122" s="69">
        <f t="shared" si="20"/>
        <v>0</v>
      </c>
      <c r="R122" s="69">
        <f t="shared" si="21"/>
        <v>0</v>
      </c>
      <c r="S122" s="69">
        <f t="shared" si="22"/>
        <v>0</v>
      </c>
      <c r="T122" s="69">
        <f t="shared" si="23"/>
        <v>0</v>
      </c>
      <c r="U122" s="238"/>
      <c r="V122" s="240"/>
      <c r="W122" s="240"/>
      <c r="X122" s="240"/>
      <c r="Y122" s="238"/>
      <c r="Z122" s="238"/>
      <c r="AA122" s="238"/>
      <c r="AB122" s="238"/>
      <c r="AE122" s="267"/>
    </row>
    <row r="123" spans="1:31">
      <c r="A123" s="175"/>
      <c r="B123" s="64"/>
      <c r="C123" s="64"/>
      <c r="D123" s="64"/>
      <c r="E123" s="64"/>
      <c r="F123" s="64"/>
      <c r="G123" s="74"/>
      <c r="H123" s="52" t="s">
        <v>1050</v>
      </c>
      <c r="I123" s="69">
        <f t="shared" si="12"/>
        <v>0</v>
      </c>
      <c r="J123" s="69">
        <f t="shared" si="13"/>
        <v>0</v>
      </c>
      <c r="K123" s="69">
        <f t="shared" si="14"/>
        <v>0</v>
      </c>
      <c r="L123" s="69">
        <f t="shared" si="15"/>
        <v>0</v>
      </c>
      <c r="M123" s="69">
        <f t="shared" si="16"/>
        <v>0</v>
      </c>
      <c r="N123" s="69">
        <f t="shared" si="17"/>
        <v>0</v>
      </c>
      <c r="O123" s="69">
        <f t="shared" si="18"/>
        <v>0</v>
      </c>
      <c r="P123" s="69">
        <f t="shared" si="19"/>
        <v>0</v>
      </c>
      <c r="Q123" s="69">
        <f t="shared" si="20"/>
        <v>0</v>
      </c>
      <c r="R123" s="69">
        <f t="shared" si="21"/>
        <v>0</v>
      </c>
      <c r="S123" s="69">
        <f t="shared" si="22"/>
        <v>0</v>
      </c>
      <c r="T123" s="69">
        <f t="shared" si="23"/>
        <v>0</v>
      </c>
      <c r="U123" s="238"/>
      <c r="V123" s="240"/>
      <c r="W123" s="240"/>
      <c r="X123" s="240"/>
      <c r="Y123" s="238"/>
      <c r="Z123" s="238"/>
      <c r="AA123" s="238"/>
      <c r="AB123" s="238"/>
      <c r="AE123" s="267"/>
    </row>
    <row r="124" spans="1:31">
      <c r="A124" s="175"/>
      <c r="B124" s="64"/>
      <c r="C124" s="64"/>
      <c r="D124" s="64"/>
      <c r="E124" s="64"/>
      <c r="F124" s="64"/>
      <c r="G124" s="74"/>
      <c r="H124" s="52" t="s">
        <v>1051</v>
      </c>
      <c r="I124" s="69">
        <f t="shared" si="12"/>
        <v>0</v>
      </c>
      <c r="J124" s="69">
        <f t="shared" si="13"/>
        <v>0</v>
      </c>
      <c r="K124" s="69">
        <f t="shared" si="14"/>
        <v>0</v>
      </c>
      <c r="L124" s="69">
        <f t="shared" si="15"/>
        <v>0</v>
      </c>
      <c r="M124" s="69">
        <f t="shared" si="16"/>
        <v>0</v>
      </c>
      <c r="N124" s="69">
        <f t="shared" si="17"/>
        <v>0</v>
      </c>
      <c r="O124" s="69">
        <f t="shared" si="18"/>
        <v>0</v>
      </c>
      <c r="P124" s="69">
        <f t="shared" si="19"/>
        <v>0</v>
      </c>
      <c r="Q124" s="69">
        <f t="shared" si="20"/>
        <v>0</v>
      </c>
      <c r="R124" s="69">
        <f t="shared" si="21"/>
        <v>0</v>
      </c>
      <c r="S124" s="69">
        <f t="shared" si="22"/>
        <v>0</v>
      </c>
      <c r="T124" s="69">
        <f t="shared" si="23"/>
        <v>0</v>
      </c>
      <c r="U124" s="238"/>
      <c r="V124" s="240"/>
      <c r="W124" s="240"/>
      <c r="X124" s="240"/>
      <c r="Y124" s="238"/>
      <c r="Z124" s="238"/>
      <c r="AA124" s="238"/>
      <c r="AB124" s="238"/>
      <c r="AE124" s="267"/>
    </row>
    <row r="125" spans="1:31">
      <c r="A125" s="175"/>
      <c r="B125" s="64"/>
      <c r="C125" s="64"/>
      <c r="D125" s="64"/>
      <c r="E125" s="64"/>
      <c r="F125" s="64"/>
      <c r="G125" s="74"/>
      <c r="H125" s="52" t="s">
        <v>1052</v>
      </c>
      <c r="I125" s="69">
        <f t="shared" si="12"/>
        <v>0</v>
      </c>
      <c r="J125" s="69">
        <f t="shared" si="13"/>
        <v>0</v>
      </c>
      <c r="K125" s="69">
        <f t="shared" si="14"/>
        <v>0</v>
      </c>
      <c r="L125" s="69">
        <f t="shared" si="15"/>
        <v>0</v>
      </c>
      <c r="M125" s="69">
        <f t="shared" si="16"/>
        <v>0</v>
      </c>
      <c r="N125" s="69">
        <f t="shared" si="17"/>
        <v>0</v>
      </c>
      <c r="O125" s="69">
        <f t="shared" si="18"/>
        <v>0</v>
      </c>
      <c r="P125" s="69">
        <f t="shared" si="19"/>
        <v>0</v>
      </c>
      <c r="Q125" s="69">
        <f t="shared" si="20"/>
        <v>0</v>
      </c>
      <c r="R125" s="69">
        <f t="shared" si="21"/>
        <v>0</v>
      </c>
      <c r="S125" s="69">
        <f t="shared" si="22"/>
        <v>0</v>
      </c>
      <c r="T125" s="69">
        <f t="shared" si="23"/>
        <v>0</v>
      </c>
      <c r="U125" s="238"/>
      <c r="V125" s="240"/>
      <c r="W125" s="240"/>
      <c r="X125" s="240"/>
      <c r="Y125" s="238"/>
      <c r="Z125" s="238"/>
      <c r="AA125" s="238"/>
      <c r="AB125" s="238"/>
      <c r="AE125" s="267"/>
    </row>
    <row r="126" spans="1:31">
      <c r="A126" s="175"/>
      <c r="B126" s="64"/>
      <c r="C126" s="64"/>
      <c r="D126" s="64"/>
      <c r="E126" s="64"/>
      <c r="F126" s="64"/>
      <c r="G126" s="74"/>
      <c r="H126" s="52" t="s">
        <v>1053</v>
      </c>
      <c r="I126" s="69">
        <f t="shared" si="12"/>
        <v>0</v>
      </c>
      <c r="J126" s="69">
        <f t="shared" si="13"/>
        <v>0</v>
      </c>
      <c r="K126" s="69">
        <f t="shared" si="14"/>
        <v>0</v>
      </c>
      <c r="L126" s="69">
        <f t="shared" si="15"/>
        <v>0</v>
      </c>
      <c r="M126" s="69">
        <f t="shared" si="16"/>
        <v>0</v>
      </c>
      <c r="N126" s="69">
        <f t="shared" si="17"/>
        <v>0</v>
      </c>
      <c r="O126" s="69">
        <f t="shared" si="18"/>
        <v>0</v>
      </c>
      <c r="P126" s="69">
        <f t="shared" si="19"/>
        <v>0</v>
      </c>
      <c r="Q126" s="69">
        <f t="shared" si="20"/>
        <v>0</v>
      </c>
      <c r="R126" s="69">
        <f t="shared" si="21"/>
        <v>0</v>
      </c>
      <c r="S126" s="69">
        <f t="shared" si="22"/>
        <v>0</v>
      </c>
      <c r="T126" s="69">
        <f t="shared" si="23"/>
        <v>0</v>
      </c>
      <c r="U126" s="238"/>
      <c r="V126" s="240"/>
      <c r="W126" s="240"/>
      <c r="X126" s="240"/>
      <c r="Y126" s="238"/>
      <c r="Z126" s="238"/>
      <c r="AA126" s="238"/>
      <c r="AB126" s="238"/>
      <c r="AE126" s="267"/>
    </row>
    <row r="127" spans="1:31">
      <c r="A127" s="175"/>
      <c r="B127" s="64"/>
      <c r="C127" s="64"/>
      <c r="D127" s="64"/>
      <c r="E127" s="64"/>
      <c r="F127" s="64"/>
      <c r="G127" s="74"/>
      <c r="H127" s="52" t="s">
        <v>1054</v>
      </c>
      <c r="I127" s="69">
        <f t="shared" si="12"/>
        <v>0</v>
      </c>
      <c r="J127" s="69">
        <f t="shared" si="13"/>
        <v>0</v>
      </c>
      <c r="K127" s="69">
        <f t="shared" si="14"/>
        <v>0</v>
      </c>
      <c r="L127" s="69">
        <f t="shared" si="15"/>
        <v>0</v>
      </c>
      <c r="M127" s="69">
        <f t="shared" si="16"/>
        <v>0</v>
      </c>
      <c r="N127" s="69">
        <f t="shared" si="17"/>
        <v>0</v>
      </c>
      <c r="O127" s="69">
        <f t="shared" si="18"/>
        <v>0</v>
      </c>
      <c r="P127" s="69">
        <f t="shared" si="19"/>
        <v>0</v>
      </c>
      <c r="Q127" s="69">
        <f t="shared" si="20"/>
        <v>0</v>
      </c>
      <c r="R127" s="69">
        <f t="shared" si="21"/>
        <v>0</v>
      </c>
      <c r="S127" s="69">
        <f t="shared" si="22"/>
        <v>0</v>
      </c>
      <c r="T127" s="69">
        <f t="shared" si="23"/>
        <v>0</v>
      </c>
      <c r="U127" s="238"/>
      <c r="V127" s="240"/>
      <c r="W127" s="240"/>
      <c r="X127" s="240"/>
      <c r="Y127" s="238"/>
      <c r="Z127" s="238"/>
      <c r="AA127" s="238"/>
      <c r="AB127" s="238"/>
      <c r="AE127" s="267"/>
    </row>
    <row r="128" spans="1:31">
      <c r="A128" s="175"/>
      <c r="B128" s="64"/>
      <c r="C128" s="64"/>
      <c r="D128" s="64"/>
      <c r="E128" s="64"/>
      <c r="F128" s="64"/>
      <c r="G128" s="74"/>
      <c r="H128" s="52" t="s">
        <v>1055</v>
      </c>
      <c r="I128" s="69">
        <f t="shared" si="12"/>
        <v>0</v>
      </c>
      <c r="J128" s="69">
        <f t="shared" si="13"/>
        <v>0</v>
      </c>
      <c r="K128" s="69">
        <f t="shared" si="14"/>
        <v>0</v>
      </c>
      <c r="L128" s="69">
        <f t="shared" si="15"/>
        <v>0</v>
      </c>
      <c r="M128" s="69">
        <f t="shared" si="16"/>
        <v>0</v>
      </c>
      <c r="N128" s="69">
        <f t="shared" si="17"/>
        <v>0</v>
      </c>
      <c r="O128" s="69">
        <f t="shared" si="18"/>
        <v>0</v>
      </c>
      <c r="P128" s="69">
        <f t="shared" si="19"/>
        <v>0</v>
      </c>
      <c r="Q128" s="69">
        <f t="shared" si="20"/>
        <v>0</v>
      </c>
      <c r="R128" s="69">
        <f t="shared" si="21"/>
        <v>0</v>
      </c>
      <c r="S128" s="69">
        <f t="shared" si="22"/>
        <v>0</v>
      </c>
      <c r="T128" s="69">
        <f t="shared" si="23"/>
        <v>0</v>
      </c>
      <c r="U128" s="238"/>
      <c r="V128" s="240"/>
      <c r="W128" s="240"/>
      <c r="X128" s="240"/>
      <c r="Y128" s="238"/>
      <c r="Z128" s="238"/>
      <c r="AA128" s="238"/>
      <c r="AB128" s="238"/>
      <c r="AE128" s="267"/>
    </row>
    <row r="129" spans="1:31">
      <c r="A129" s="175"/>
      <c r="B129" s="64"/>
      <c r="C129" s="64"/>
      <c r="D129" s="64"/>
      <c r="E129" s="64"/>
      <c r="F129" s="64"/>
      <c r="G129" s="74"/>
      <c r="H129" s="52" t="s">
        <v>1056</v>
      </c>
      <c r="I129" s="69">
        <f t="shared" si="12"/>
        <v>0</v>
      </c>
      <c r="J129" s="69">
        <f t="shared" si="13"/>
        <v>0</v>
      </c>
      <c r="K129" s="69">
        <f t="shared" si="14"/>
        <v>0</v>
      </c>
      <c r="L129" s="69">
        <f t="shared" si="15"/>
        <v>0</v>
      </c>
      <c r="M129" s="69">
        <f t="shared" si="16"/>
        <v>0</v>
      </c>
      <c r="N129" s="69">
        <f t="shared" si="17"/>
        <v>0</v>
      </c>
      <c r="O129" s="69">
        <f t="shared" si="18"/>
        <v>0</v>
      </c>
      <c r="P129" s="69">
        <f t="shared" si="19"/>
        <v>0</v>
      </c>
      <c r="Q129" s="69">
        <f t="shared" si="20"/>
        <v>0</v>
      </c>
      <c r="R129" s="69">
        <f t="shared" si="21"/>
        <v>0</v>
      </c>
      <c r="S129" s="69">
        <f t="shared" si="22"/>
        <v>0</v>
      </c>
      <c r="T129" s="69">
        <f t="shared" si="23"/>
        <v>0</v>
      </c>
      <c r="U129" s="238"/>
      <c r="V129" s="240"/>
      <c r="W129" s="240"/>
      <c r="X129" s="240"/>
      <c r="Y129" s="238"/>
      <c r="Z129" s="238"/>
      <c r="AA129" s="238"/>
      <c r="AB129" s="238"/>
      <c r="AE129" s="267"/>
    </row>
    <row r="130" spans="1:31">
      <c r="A130" s="175"/>
      <c r="B130" s="64"/>
      <c r="C130" s="64"/>
      <c r="D130" s="64"/>
      <c r="E130" s="64"/>
      <c r="F130" s="64"/>
      <c r="G130" s="74"/>
      <c r="H130" s="52" t="s">
        <v>1057</v>
      </c>
      <c r="I130" s="69">
        <f t="shared" si="12"/>
        <v>0</v>
      </c>
      <c r="J130" s="69">
        <f t="shared" si="13"/>
        <v>0</v>
      </c>
      <c r="K130" s="69">
        <f t="shared" si="14"/>
        <v>0</v>
      </c>
      <c r="L130" s="69">
        <f t="shared" si="15"/>
        <v>0</v>
      </c>
      <c r="M130" s="69">
        <f t="shared" si="16"/>
        <v>0</v>
      </c>
      <c r="N130" s="69">
        <f t="shared" si="17"/>
        <v>0</v>
      </c>
      <c r="O130" s="69">
        <f t="shared" si="18"/>
        <v>0</v>
      </c>
      <c r="P130" s="69">
        <f t="shared" si="19"/>
        <v>0</v>
      </c>
      <c r="Q130" s="69">
        <f t="shared" si="20"/>
        <v>0</v>
      </c>
      <c r="R130" s="69">
        <f t="shared" si="21"/>
        <v>0</v>
      </c>
      <c r="S130" s="69">
        <f t="shared" si="22"/>
        <v>0</v>
      </c>
      <c r="T130" s="69">
        <f t="shared" si="23"/>
        <v>0</v>
      </c>
      <c r="U130" s="238"/>
      <c r="V130" s="240"/>
      <c r="W130" s="240"/>
      <c r="X130" s="240"/>
      <c r="Y130" s="238"/>
      <c r="Z130" s="238"/>
      <c r="AA130" s="238"/>
      <c r="AB130" s="238"/>
      <c r="AE130" s="267"/>
    </row>
    <row r="131" spans="1:31">
      <c r="A131" s="175"/>
      <c r="B131" s="64"/>
      <c r="C131" s="64"/>
      <c r="D131" s="64"/>
      <c r="E131" s="64"/>
      <c r="F131" s="64"/>
      <c r="G131" s="74"/>
      <c r="H131" s="52" t="s">
        <v>1058</v>
      </c>
      <c r="I131" s="69">
        <f t="shared" si="12"/>
        <v>0</v>
      </c>
      <c r="J131" s="69">
        <f t="shared" si="13"/>
        <v>0</v>
      </c>
      <c r="K131" s="69">
        <f t="shared" si="14"/>
        <v>0</v>
      </c>
      <c r="L131" s="69">
        <f t="shared" si="15"/>
        <v>0</v>
      </c>
      <c r="M131" s="69">
        <f t="shared" si="16"/>
        <v>0</v>
      </c>
      <c r="N131" s="69">
        <f t="shared" si="17"/>
        <v>0</v>
      </c>
      <c r="O131" s="69">
        <f t="shared" si="18"/>
        <v>0</v>
      </c>
      <c r="P131" s="69">
        <f t="shared" si="19"/>
        <v>0</v>
      </c>
      <c r="Q131" s="69">
        <f t="shared" si="20"/>
        <v>0</v>
      </c>
      <c r="R131" s="69">
        <f t="shared" si="21"/>
        <v>0</v>
      </c>
      <c r="S131" s="69">
        <f t="shared" si="22"/>
        <v>0</v>
      </c>
      <c r="T131" s="69">
        <f t="shared" si="23"/>
        <v>0</v>
      </c>
      <c r="U131" s="238"/>
      <c r="V131" s="240"/>
      <c r="W131" s="240"/>
      <c r="X131" s="240"/>
      <c r="Y131" s="238"/>
      <c r="Z131" s="238"/>
      <c r="AA131" s="238"/>
      <c r="AB131" s="238"/>
      <c r="AE131" s="267"/>
    </row>
    <row r="132" spans="1:31">
      <c r="A132" s="175"/>
      <c r="B132" s="64"/>
      <c r="C132" s="64"/>
      <c r="D132" s="64"/>
      <c r="E132" s="64"/>
      <c r="F132" s="64"/>
      <c r="G132" s="74"/>
      <c r="H132" s="52" t="s">
        <v>538</v>
      </c>
      <c r="I132" s="69">
        <f t="shared" si="12"/>
        <v>1</v>
      </c>
      <c r="J132" s="69">
        <f t="shared" si="13"/>
        <v>1</v>
      </c>
      <c r="K132" s="69">
        <f t="shared" si="14"/>
        <v>1</v>
      </c>
      <c r="L132" s="69">
        <f t="shared" si="15"/>
        <v>1</v>
      </c>
      <c r="M132" s="69">
        <f t="shared" si="16"/>
        <v>0</v>
      </c>
      <c r="N132" s="69">
        <f t="shared" si="17"/>
        <v>3</v>
      </c>
      <c r="O132" s="69">
        <f t="shared" si="18"/>
        <v>0</v>
      </c>
      <c r="P132" s="69">
        <f t="shared" si="19"/>
        <v>0</v>
      </c>
      <c r="Q132" s="69" t="str">
        <f t="shared" si="20"/>
        <v>F_TRAD</v>
      </c>
      <c r="R132" s="69">
        <f t="shared" si="21"/>
        <v>1</v>
      </c>
      <c r="S132" s="69">
        <f t="shared" si="22"/>
        <v>1</v>
      </c>
      <c r="T132" s="69">
        <f t="shared" si="23"/>
        <v>0</v>
      </c>
      <c r="U132" s="238"/>
      <c r="V132" s="240" t="s">
        <v>1063</v>
      </c>
      <c r="W132" s="240" t="s">
        <v>1064</v>
      </c>
      <c r="X132" s="240" t="s">
        <v>966</v>
      </c>
      <c r="Y132" s="238" t="s">
        <v>1067</v>
      </c>
      <c r="Z132" s="238" t="s">
        <v>1067</v>
      </c>
      <c r="AA132" s="238" t="s">
        <v>1068</v>
      </c>
      <c r="AB132" s="238"/>
      <c r="AE132" s="267"/>
    </row>
    <row r="133" spans="1:31">
      <c r="A133" s="175"/>
      <c r="B133" s="64"/>
      <c r="C133" s="64"/>
      <c r="D133" s="64"/>
      <c r="E133" s="64"/>
      <c r="F133" s="64"/>
      <c r="G133" s="74"/>
      <c r="H133" s="52" t="s">
        <v>590</v>
      </c>
      <c r="I133" s="69">
        <f t="shared" si="12"/>
        <v>1</v>
      </c>
      <c r="J133" s="69">
        <f t="shared" si="13"/>
        <v>1</v>
      </c>
      <c r="K133" s="69">
        <f t="shared" si="14"/>
        <v>1</v>
      </c>
      <c r="L133" s="69">
        <f t="shared" si="15"/>
        <v>1</v>
      </c>
      <c r="M133" s="69">
        <f t="shared" si="16"/>
        <v>0</v>
      </c>
      <c r="N133" s="69">
        <f t="shared" si="17"/>
        <v>1</v>
      </c>
      <c r="O133" s="69">
        <f t="shared" si="18"/>
        <v>0</v>
      </c>
      <c r="P133" s="69">
        <f t="shared" si="19"/>
        <v>0</v>
      </c>
      <c r="Q133" s="69" t="str">
        <f t="shared" si="20"/>
        <v>F_TRAD</v>
      </c>
      <c r="R133" s="69">
        <f t="shared" si="21"/>
        <v>2</v>
      </c>
      <c r="S133" s="69">
        <f t="shared" si="22"/>
        <v>2</v>
      </c>
      <c r="T133" s="69">
        <f t="shared" si="23"/>
        <v>2</v>
      </c>
      <c r="U133" s="238"/>
      <c r="V133" s="240" t="s">
        <v>1063</v>
      </c>
      <c r="W133" s="240" t="s">
        <v>1064</v>
      </c>
      <c r="X133" s="240" t="s">
        <v>966</v>
      </c>
      <c r="Y133" s="238" t="s">
        <v>1067</v>
      </c>
      <c r="Z133" s="238" t="s">
        <v>1067</v>
      </c>
      <c r="AA133" s="238" t="s">
        <v>1068</v>
      </c>
      <c r="AB133" s="238"/>
      <c r="AE133" s="267"/>
    </row>
    <row r="134" spans="1:31">
      <c r="A134" s="175"/>
      <c r="B134" s="64"/>
      <c r="C134" s="64"/>
      <c r="D134" s="64"/>
      <c r="E134" s="64"/>
      <c r="F134" s="64"/>
      <c r="G134" s="74"/>
      <c r="H134" s="52" t="s">
        <v>591</v>
      </c>
      <c r="I134" s="69">
        <f t="shared" si="12"/>
        <v>1</v>
      </c>
      <c r="J134" s="69">
        <f t="shared" si="13"/>
        <v>1</v>
      </c>
      <c r="K134" s="69">
        <f t="shared" si="14"/>
        <v>1</v>
      </c>
      <c r="L134" s="69">
        <f t="shared" si="15"/>
        <v>1</v>
      </c>
      <c r="M134" s="69">
        <f t="shared" si="16"/>
        <v>0</v>
      </c>
      <c r="N134" s="69">
        <f t="shared" si="17"/>
        <v>1</v>
      </c>
      <c r="O134" s="69">
        <f t="shared" si="18"/>
        <v>0</v>
      </c>
      <c r="P134" s="69">
        <f t="shared" si="19"/>
        <v>0</v>
      </c>
      <c r="Q134" s="69" t="str">
        <f t="shared" si="20"/>
        <v>F_TRAD</v>
      </c>
      <c r="R134" s="69">
        <f t="shared" si="21"/>
        <v>3</v>
      </c>
      <c r="S134" s="69">
        <f t="shared" si="22"/>
        <v>3</v>
      </c>
      <c r="T134" s="69">
        <f t="shared" si="23"/>
        <v>2</v>
      </c>
      <c r="U134" s="238"/>
      <c r="V134" s="240" t="s">
        <v>1063</v>
      </c>
      <c r="W134" s="240" t="s">
        <v>1064</v>
      </c>
      <c r="X134" s="240" t="s">
        <v>966</v>
      </c>
      <c r="Y134" s="238" t="s">
        <v>1067</v>
      </c>
      <c r="Z134" s="238" t="s">
        <v>1067</v>
      </c>
      <c r="AA134" s="238" t="s">
        <v>1068</v>
      </c>
      <c r="AB134" s="238"/>
      <c r="AE134" s="267"/>
    </row>
    <row r="135" spans="1:31">
      <c r="A135" s="175"/>
      <c r="B135" s="64"/>
      <c r="C135" s="64"/>
      <c r="D135" s="64"/>
      <c r="E135" s="64"/>
      <c r="F135" s="64"/>
      <c r="G135" s="74"/>
      <c r="H135" s="52" t="s">
        <v>592</v>
      </c>
      <c r="I135" s="69">
        <f t="shared" si="12"/>
        <v>1</v>
      </c>
      <c r="J135" s="69">
        <f t="shared" si="13"/>
        <v>1</v>
      </c>
      <c r="K135" s="69">
        <f t="shared" si="14"/>
        <v>1</v>
      </c>
      <c r="L135" s="69">
        <f t="shared" si="15"/>
        <v>1</v>
      </c>
      <c r="M135" s="69">
        <f t="shared" si="16"/>
        <v>0</v>
      </c>
      <c r="N135" s="69">
        <f t="shared" si="17"/>
        <v>1</v>
      </c>
      <c r="O135" s="69">
        <f t="shared" si="18"/>
        <v>0</v>
      </c>
      <c r="P135" s="69">
        <f t="shared" si="19"/>
        <v>0</v>
      </c>
      <c r="Q135" s="69" t="str">
        <f t="shared" si="20"/>
        <v>F_TRAD</v>
      </c>
      <c r="R135" s="69">
        <f t="shared" si="21"/>
        <v>19</v>
      </c>
      <c r="S135" s="69">
        <f t="shared" si="22"/>
        <v>19</v>
      </c>
      <c r="T135" s="69">
        <f t="shared" si="23"/>
        <v>4</v>
      </c>
      <c r="U135" s="238"/>
      <c r="V135" s="240" t="s">
        <v>1063</v>
      </c>
      <c r="W135" s="240" t="s">
        <v>1064</v>
      </c>
      <c r="X135" s="240" t="s">
        <v>966</v>
      </c>
      <c r="Y135" s="238" t="s">
        <v>1067</v>
      </c>
      <c r="Z135" s="238" t="s">
        <v>1067</v>
      </c>
      <c r="AA135" s="238" t="s">
        <v>1068</v>
      </c>
      <c r="AB135" s="238"/>
      <c r="AE135" s="267"/>
    </row>
    <row r="136" spans="1:31">
      <c r="A136" s="175"/>
      <c r="B136" s="64"/>
      <c r="C136" s="64"/>
      <c r="D136" s="64"/>
      <c r="E136" s="64"/>
      <c r="F136" s="64"/>
      <c r="G136" s="74"/>
      <c r="H136" s="52" t="s">
        <v>593</v>
      </c>
      <c r="I136" s="69">
        <f t="shared" si="12"/>
        <v>1</v>
      </c>
      <c r="J136" s="69">
        <f t="shared" si="13"/>
        <v>1</v>
      </c>
      <c r="K136" s="69">
        <f t="shared" si="14"/>
        <v>1</v>
      </c>
      <c r="L136" s="69">
        <f t="shared" si="15"/>
        <v>1</v>
      </c>
      <c r="M136" s="69">
        <f t="shared" si="16"/>
        <v>0</v>
      </c>
      <c r="N136" s="69">
        <f t="shared" si="17"/>
        <v>1</v>
      </c>
      <c r="O136" s="69">
        <f t="shared" si="18"/>
        <v>0</v>
      </c>
      <c r="P136" s="69">
        <f t="shared" si="19"/>
        <v>0</v>
      </c>
      <c r="Q136" s="69" t="str">
        <f t="shared" si="20"/>
        <v>F_TRAD</v>
      </c>
      <c r="R136" s="69">
        <f t="shared" si="21"/>
        <v>20</v>
      </c>
      <c r="S136" s="69">
        <f t="shared" si="22"/>
        <v>20</v>
      </c>
      <c r="T136" s="69">
        <f t="shared" si="23"/>
        <v>4</v>
      </c>
      <c r="U136" s="238"/>
      <c r="V136" s="240" t="s">
        <v>1063</v>
      </c>
      <c r="W136" s="240" t="s">
        <v>1064</v>
      </c>
      <c r="X136" s="240" t="s">
        <v>966</v>
      </c>
      <c r="Y136" s="238" t="s">
        <v>1067</v>
      </c>
      <c r="Z136" s="238" t="s">
        <v>1067</v>
      </c>
      <c r="AA136" s="238" t="s">
        <v>1068</v>
      </c>
      <c r="AB136" s="238"/>
      <c r="AE136" s="267"/>
    </row>
    <row r="137" spans="1:31">
      <c r="A137" s="175"/>
      <c r="B137" s="64"/>
      <c r="C137" s="64"/>
      <c r="D137" s="64"/>
      <c r="E137" s="64"/>
      <c r="F137" s="64"/>
      <c r="G137" s="74"/>
      <c r="H137" s="52" t="s">
        <v>594</v>
      </c>
      <c r="I137" s="69">
        <f t="shared" si="12"/>
        <v>1</v>
      </c>
      <c r="J137" s="69">
        <f t="shared" si="13"/>
        <v>1</v>
      </c>
      <c r="K137" s="69">
        <f t="shared" si="14"/>
        <v>0</v>
      </c>
      <c r="L137" s="69">
        <f t="shared" si="15"/>
        <v>2</v>
      </c>
      <c r="M137" s="69">
        <f t="shared" si="16"/>
        <v>0</v>
      </c>
      <c r="N137" s="69">
        <f t="shared" si="17"/>
        <v>1</v>
      </c>
      <c r="O137" s="69">
        <f t="shared" si="18"/>
        <v>0</v>
      </c>
      <c r="P137" s="69">
        <f t="shared" si="19"/>
        <v>0</v>
      </c>
      <c r="Q137" s="69" t="str">
        <f t="shared" si="20"/>
        <v>F_TRAD</v>
      </c>
      <c r="R137" s="69">
        <f t="shared" si="21"/>
        <v>4</v>
      </c>
      <c r="S137" s="69">
        <f t="shared" si="22"/>
        <v>4</v>
      </c>
      <c r="T137" s="69">
        <f t="shared" si="23"/>
        <v>2</v>
      </c>
      <c r="U137" s="238"/>
      <c r="V137" s="240" t="s">
        <v>1063</v>
      </c>
      <c r="W137" s="240" t="s">
        <v>1064</v>
      </c>
      <c r="X137" s="240" t="s">
        <v>966</v>
      </c>
      <c r="Y137" s="238" t="s">
        <v>1067</v>
      </c>
      <c r="Z137" s="238" t="s">
        <v>1067</v>
      </c>
      <c r="AA137" s="238" t="s">
        <v>1068</v>
      </c>
      <c r="AB137" s="238"/>
      <c r="AE137" s="267"/>
    </row>
    <row r="138" spans="1:31">
      <c r="A138" s="175"/>
      <c r="B138" s="64"/>
      <c r="C138" s="64"/>
      <c r="D138" s="64"/>
      <c r="E138" s="64"/>
      <c r="F138" s="64"/>
      <c r="G138" s="74"/>
      <c r="H138" s="52" t="s">
        <v>539</v>
      </c>
      <c r="I138" s="69">
        <f t="shared" si="12"/>
        <v>1</v>
      </c>
      <c r="J138" s="69">
        <f t="shared" si="13"/>
        <v>1</v>
      </c>
      <c r="K138" s="69">
        <f t="shared" si="14"/>
        <v>0</v>
      </c>
      <c r="L138" s="69">
        <f t="shared" si="15"/>
        <v>2</v>
      </c>
      <c r="M138" s="69">
        <f t="shared" si="16"/>
        <v>0</v>
      </c>
      <c r="N138" s="69">
        <f t="shared" si="17"/>
        <v>3</v>
      </c>
      <c r="O138" s="69">
        <f t="shared" si="18"/>
        <v>0</v>
      </c>
      <c r="P138" s="69">
        <f t="shared" si="19"/>
        <v>0</v>
      </c>
      <c r="Q138" s="69" t="str">
        <f t="shared" si="20"/>
        <v>F_TRAD</v>
      </c>
      <c r="R138" s="69">
        <f t="shared" si="21"/>
        <v>5</v>
      </c>
      <c r="S138" s="69">
        <f t="shared" si="22"/>
        <v>5</v>
      </c>
      <c r="T138" s="69">
        <f t="shared" si="23"/>
        <v>0</v>
      </c>
      <c r="U138" s="238"/>
      <c r="V138" s="240" t="s">
        <v>1063</v>
      </c>
      <c r="W138" s="240" t="s">
        <v>1064</v>
      </c>
      <c r="X138" s="240" t="s">
        <v>966</v>
      </c>
      <c r="Y138" s="238" t="s">
        <v>1067</v>
      </c>
      <c r="Z138" s="238" t="s">
        <v>1067</v>
      </c>
      <c r="AA138" s="238" t="s">
        <v>1068</v>
      </c>
      <c r="AB138" s="238"/>
      <c r="AE138" s="267"/>
    </row>
    <row r="139" spans="1:31">
      <c r="A139" s="175"/>
      <c r="B139" s="64"/>
      <c r="C139" s="64"/>
      <c r="D139" s="64"/>
      <c r="E139" s="64"/>
      <c r="F139" s="64"/>
      <c r="G139" s="74"/>
      <c r="H139" s="52" t="s">
        <v>1217</v>
      </c>
      <c r="I139" s="69">
        <f t="shared" si="12"/>
        <v>0</v>
      </c>
      <c r="J139" s="69">
        <f t="shared" si="13"/>
        <v>0</v>
      </c>
      <c r="K139" s="69">
        <f t="shared" si="14"/>
        <v>0</v>
      </c>
      <c r="L139" s="69">
        <f t="shared" si="15"/>
        <v>0</v>
      </c>
      <c r="M139" s="69">
        <f t="shared" si="16"/>
        <v>0</v>
      </c>
      <c r="N139" s="69">
        <f t="shared" si="17"/>
        <v>0</v>
      </c>
      <c r="O139" s="69">
        <f t="shared" si="18"/>
        <v>0</v>
      </c>
      <c r="P139" s="69">
        <f t="shared" si="19"/>
        <v>0</v>
      </c>
      <c r="Q139" s="69">
        <f t="shared" si="20"/>
        <v>0</v>
      </c>
      <c r="R139" s="69">
        <f t="shared" si="21"/>
        <v>0</v>
      </c>
      <c r="S139" s="69">
        <f t="shared" si="22"/>
        <v>0</v>
      </c>
      <c r="T139" s="69">
        <f t="shared" si="23"/>
        <v>0</v>
      </c>
      <c r="U139" s="238"/>
      <c r="V139" s="240"/>
      <c r="W139" s="240"/>
      <c r="X139" s="240"/>
      <c r="Y139" s="238"/>
      <c r="Z139" s="238"/>
      <c r="AA139" s="238"/>
      <c r="AB139" s="238"/>
      <c r="AE139" s="267"/>
    </row>
    <row r="140" spans="1:31">
      <c r="A140" s="175"/>
      <c r="B140" s="64"/>
      <c r="C140" s="64"/>
      <c r="D140" s="64"/>
      <c r="E140" s="64"/>
      <c r="F140" s="64"/>
      <c r="G140" s="74"/>
      <c r="H140" s="52" t="s">
        <v>595</v>
      </c>
      <c r="I140" s="69">
        <f t="shared" si="12"/>
        <v>1</v>
      </c>
      <c r="J140" s="69">
        <f t="shared" si="13"/>
        <v>1</v>
      </c>
      <c r="K140" s="69">
        <f t="shared" si="14"/>
        <v>1</v>
      </c>
      <c r="L140" s="69">
        <f t="shared" si="15"/>
        <v>1</v>
      </c>
      <c r="M140" s="69">
        <f t="shared" si="16"/>
        <v>0</v>
      </c>
      <c r="N140" s="69">
        <f t="shared" si="17"/>
        <v>1</v>
      </c>
      <c r="O140" s="69">
        <f t="shared" si="18"/>
        <v>0</v>
      </c>
      <c r="P140" s="69">
        <f t="shared" si="19"/>
        <v>0</v>
      </c>
      <c r="Q140" s="69" t="str">
        <f t="shared" si="20"/>
        <v>F_TRAD</v>
      </c>
      <c r="R140" s="69">
        <f t="shared" si="21"/>
        <v>6</v>
      </c>
      <c r="S140" s="69">
        <f t="shared" si="22"/>
        <v>6</v>
      </c>
      <c r="T140" s="69">
        <f t="shared" si="23"/>
        <v>4</v>
      </c>
      <c r="U140" s="238"/>
      <c r="V140" s="240" t="s">
        <v>1063</v>
      </c>
      <c r="W140" s="240" t="s">
        <v>1064</v>
      </c>
      <c r="X140" s="240" t="s">
        <v>966</v>
      </c>
      <c r="Y140" s="238" t="s">
        <v>1067</v>
      </c>
      <c r="Z140" s="238" t="s">
        <v>1067</v>
      </c>
      <c r="AA140" s="238" t="s">
        <v>1068</v>
      </c>
      <c r="AB140" s="238"/>
      <c r="AE140" s="267"/>
    </row>
    <row r="141" spans="1:31">
      <c r="A141" s="175"/>
      <c r="B141" s="64"/>
      <c r="C141" s="64"/>
      <c r="D141" s="64"/>
      <c r="E141" s="64"/>
      <c r="F141" s="64"/>
      <c r="G141" s="74"/>
      <c r="H141" s="52" t="s">
        <v>596</v>
      </c>
      <c r="I141" s="69">
        <f t="shared" si="12"/>
        <v>1</v>
      </c>
      <c r="J141" s="69">
        <f t="shared" si="13"/>
        <v>1</v>
      </c>
      <c r="K141" s="69">
        <f t="shared" si="14"/>
        <v>0</v>
      </c>
      <c r="L141" s="69">
        <f t="shared" si="15"/>
        <v>2</v>
      </c>
      <c r="M141" s="69">
        <f t="shared" si="16"/>
        <v>0</v>
      </c>
      <c r="N141" s="69">
        <f t="shared" si="17"/>
        <v>1</v>
      </c>
      <c r="O141" s="69">
        <f t="shared" si="18"/>
        <v>0</v>
      </c>
      <c r="P141" s="69">
        <f t="shared" si="19"/>
        <v>0</v>
      </c>
      <c r="Q141" s="69" t="str">
        <f t="shared" si="20"/>
        <v>F_TRAD</v>
      </c>
      <c r="R141" s="69">
        <f t="shared" si="21"/>
        <v>7</v>
      </c>
      <c r="S141" s="69">
        <f t="shared" si="22"/>
        <v>7</v>
      </c>
      <c r="T141" s="69">
        <f t="shared" si="23"/>
        <v>2</v>
      </c>
      <c r="U141" s="238"/>
      <c r="V141" s="240" t="s">
        <v>1063</v>
      </c>
      <c r="W141" s="240" t="s">
        <v>1064</v>
      </c>
      <c r="X141" s="240" t="s">
        <v>966</v>
      </c>
      <c r="Y141" s="238" t="s">
        <v>1067</v>
      </c>
      <c r="Z141" s="238" t="s">
        <v>1067</v>
      </c>
      <c r="AA141" s="238" t="s">
        <v>1068</v>
      </c>
      <c r="AB141" s="238"/>
      <c r="AE141" s="267"/>
    </row>
    <row r="142" spans="1:31">
      <c r="A142" s="175"/>
      <c r="B142" s="64"/>
      <c r="C142" s="64"/>
      <c r="D142" s="64"/>
      <c r="E142" s="64"/>
      <c r="F142" s="64"/>
      <c r="G142" s="74"/>
      <c r="H142" s="52" t="s">
        <v>540</v>
      </c>
      <c r="I142" s="69">
        <f t="shared" si="12"/>
        <v>1</v>
      </c>
      <c r="J142" s="69">
        <f t="shared" si="13"/>
        <v>1</v>
      </c>
      <c r="K142" s="69">
        <f t="shared" si="14"/>
        <v>1</v>
      </c>
      <c r="L142" s="69">
        <f t="shared" si="15"/>
        <v>1</v>
      </c>
      <c r="M142" s="69">
        <f t="shared" si="16"/>
        <v>0</v>
      </c>
      <c r="N142" s="69">
        <f t="shared" si="17"/>
        <v>3</v>
      </c>
      <c r="O142" s="69">
        <f t="shared" si="18"/>
        <v>0</v>
      </c>
      <c r="P142" s="69">
        <f t="shared" si="19"/>
        <v>0</v>
      </c>
      <c r="Q142" s="69" t="str">
        <f t="shared" si="20"/>
        <v>F_TRAD</v>
      </c>
      <c r="R142" s="69">
        <f t="shared" si="21"/>
        <v>8</v>
      </c>
      <c r="S142" s="69">
        <f t="shared" si="22"/>
        <v>8</v>
      </c>
      <c r="T142" s="69">
        <f t="shared" si="23"/>
        <v>0</v>
      </c>
      <c r="U142" s="238"/>
      <c r="V142" s="240" t="s">
        <v>1063</v>
      </c>
      <c r="W142" s="240" t="s">
        <v>1064</v>
      </c>
      <c r="X142" s="240" t="s">
        <v>966</v>
      </c>
      <c r="Y142" s="238" t="s">
        <v>1067</v>
      </c>
      <c r="Z142" s="238" t="s">
        <v>1067</v>
      </c>
      <c r="AA142" s="238" t="s">
        <v>1068</v>
      </c>
      <c r="AB142" s="238"/>
      <c r="AE142" s="267"/>
    </row>
    <row r="143" spans="1:31">
      <c r="A143" s="175"/>
      <c r="B143" s="64"/>
      <c r="C143" s="64"/>
      <c r="D143" s="64"/>
      <c r="E143" s="64"/>
      <c r="F143" s="64"/>
      <c r="G143" s="74"/>
      <c r="H143" s="52" t="s">
        <v>541</v>
      </c>
      <c r="I143" s="69">
        <f t="shared" si="12"/>
        <v>1</v>
      </c>
      <c r="J143" s="69">
        <f t="shared" si="13"/>
        <v>1</v>
      </c>
      <c r="K143" s="69">
        <f t="shared" si="14"/>
        <v>0</v>
      </c>
      <c r="L143" s="69">
        <f t="shared" si="15"/>
        <v>2</v>
      </c>
      <c r="M143" s="69">
        <f t="shared" si="16"/>
        <v>0</v>
      </c>
      <c r="N143" s="69">
        <f t="shared" si="17"/>
        <v>3</v>
      </c>
      <c r="O143" s="69">
        <f t="shared" si="18"/>
        <v>0</v>
      </c>
      <c r="P143" s="69">
        <f t="shared" si="19"/>
        <v>0</v>
      </c>
      <c r="Q143" s="69" t="str">
        <f t="shared" si="20"/>
        <v>F_TRAD</v>
      </c>
      <c r="R143" s="69">
        <f t="shared" si="21"/>
        <v>9</v>
      </c>
      <c r="S143" s="69">
        <f t="shared" si="22"/>
        <v>9</v>
      </c>
      <c r="T143" s="69">
        <f t="shared" si="23"/>
        <v>0</v>
      </c>
      <c r="U143" s="238"/>
      <c r="V143" s="240" t="s">
        <v>1063</v>
      </c>
      <c r="W143" s="240" t="s">
        <v>1064</v>
      </c>
      <c r="X143" s="240" t="s">
        <v>966</v>
      </c>
      <c r="Y143" s="238" t="s">
        <v>1067</v>
      </c>
      <c r="Z143" s="238" t="s">
        <v>1067</v>
      </c>
      <c r="AA143" s="238" t="s">
        <v>1068</v>
      </c>
      <c r="AB143" s="238"/>
      <c r="AE143" s="267"/>
    </row>
    <row r="144" spans="1:31">
      <c r="A144" s="175"/>
      <c r="B144" s="64"/>
      <c r="C144" s="64"/>
      <c r="D144" s="64"/>
      <c r="E144" s="64"/>
      <c r="F144" s="64"/>
      <c r="G144" s="74"/>
      <c r="H144" s="52" t="s">
        <v>542</v>
      </c>
      <c r="I144" s="69">
        <f t="shared" si="12"/>
        <v>1</v>
      </c>
      <c r="J144" s="69">
        <f t="shared" si="13"/>
        <v>1</v>
      </c>
      <c r="K144" s="69">
        <f t="shared" si="14"/>
        <v>0</v>
      </c>
      <c r="L144" s="69">
        <f t="shared" si="15"/>
        <v>2</v>
      </c>
      <c r="M144" s="69">
        <f t="shared" si="16"/>
        <v>0</v>
      </c>
      <c r="N144" s="69">
        <f t="shared" si="17"/>
        <v>3</v>
      </c>
      <c r="O144" s="69">
        <f t="shared" si="18"/>
        <v>0</v>
      </c>
      <c r="P144" s="69">
        <f t="shared" si="19"/>
        <v>0</v>
      </c>
      <c r="Q144" s="69" t="str">
        <f t="shared" si="20"/>
        <v>F_TRAD</v>
      </c>
      <c r="R144" s="69">
        <f t="shared" si="21"/>
        <v>26</v>
      </c>
      <c r="S144" s="69">
        <f t="shared" si="22"/>
        <v>26</v>
      </c>
      <c r="T144" s="69">
        <f t="shared" si="23"/>
        <v>0</v>
      </c>
      <c r="U144" s="238"/>
      <c r="V144" s="240" t="s">
        <v>1063</v>
      </c>
      <c r="W144" s="240" t="s">
        <v>1065</v>
      </c>
      <c r="X144" s="240" t="s">
        <v>966</v>
      </c>
      <c r="Y144" s="238" t="s">
        <v>1066</v>
      </c>
      <c r="Z144" s="238" t="s">
        <v>1066</v>
      </c>
      <c r="AA144" s="238" t="s">
        <v>1066</v>
      </c>
      <c r="AB144" s="238"/>
      <c r="AE144" s="267"/>
    </row>
    <row r="145" spans="1:31">
      <c r="A145" s="175"/>
      <c r="B145" s="64"/>
      <c r="C145" s="64"/>
      <c r="D145" s="64"/>
      <c r="E145" s="64"/>
      <c r="F145" s="64"/>
      <c r="G145" s="74"/>
      <c r="H145" s="52" t="s">
        <v>597</v>
      </c>
      <c r="I145" s="69">
        <f t="shared" si="12"/>
        <v>1</v>
      </c>
      <c r="J145" s="69">
        <f t="shared" si="13"/>
        <v>1</v>
      </c>
      <c r="K145" s="69">
        <f t="shared" si="14"/>
        <v>0</v>
      </c>
      <c r="L145" s="69">
        <f t="shared" si="15"/>
        <v>2</v>
      </c>
      <c r="M145" s="69">
        <f t="shared" si="16"/>
        <v>1</v>
      </c>
      <c r="N145" s="69">
        <f t="shared" si="17"/>
        <v>1</v>
      </c>
      <c r="O145" s="69">
        <f t="shared" si="18"/>
        <v>0</v>
      </c>
      <c r="P145" s="69">
        <f t="shared" si="19"/>
        <v>0</v>
      </c>
      <c r="Q145" s="69" t="str">
        <f t="shared" si="20"/>
        <v>F_TRAD</v>
      </c>
      <c r="R145" s="69">
        <f t="shared" si="21"/>
        <v>27</v>
      </c>
      <c r="S145" s="69">
        <f t="shared" si="22"/>
        <v>27</v>
      </c>
      <c r="T145" s="69">
        <f t="shared" si="23"/>
        <v>4</v>
      </c>
      <c r="U145" s="238"/>
      <c r="V145" s="240" t="s">
        <v>1063</v>
      </c>
      <c r="W145" s="240" t="s">
        <v>1065</v>
      </c>
      <c r="X145" s="240" t="s">
        <v>966</v>
      </c>
      <c r="Y145" s="238" t="s">
        <v>1066</v>
      </c>
      <c r="Z145" s="238" t="s">
        <v>1066</v>
      </c>
      <c r="AA145" s="238" t="s">
        <v>1066</v>
      </c>
      <c r="AB145" s="238"/>
      <c r="AE145" s="267"/>
    </row>
    <row r="146" spans="1:31">
      <c r="A146" s="175"/>
      <c r="B146" s="64"/>
      <c r="C146" s="64"/>
      <c r="D146" s="64"/>
      <c r="E146" s="64"/>
      <c r="F146" s="64"/>
      <c r="G146" s="74"/>
      <c r="H146" s="52" t="s">
        <v>598</v>
      </c>
      <c r="I146" s="69">
        <f t="shared" si="12"/>
        <v>1</v>
      </c>
      <c r="J146" s="69">
        <f t="shared" si="13"/>
        <v>1</v>
      </c>
      <c r="K146" s="69">
        <f t="shared" si="14"/>
        <v>1</v>
      </c>
      <c r="L146" s="69">
        <f t="shared" si="15"/>
        <v>1</v>
      </c>
      <c r="M146" s="69">
        <f t="shared" si="16"/>
        <v>0</v>
      </c>
      <c r="N146" s="69">
        <f t="shared" si="17"/>
        <v>1</v>
      </c>
      <c r="O146" s="69">
        <f t="shared" si="18"/>
        <v>0</v>
      </c>
      <c r="P146" s="69">
        <f t="shared" si="19"/>
        <v>0</v>
      </c>
      <c r="Q146" s="69" t="str">
        <f t="shared" si="20"/>
        <v>F_TRAD</v>
      </c>
      <c r="R146" s="69">
        <f t="shared" si="21"/>
        <v>21</v>
      </c>
      <c r="S146" s="69">
        <f t="shared" si="22"/>
        <v>21</v>
      </c>
      <c r="T146" s="69">
        <f t="shared" si="23"/>
        <v>4</v>
      </c>
      <c r="U146" s="238"/>
      <c r="V146" s="240" t="s">
        <v>1063</v>
      </c>
      <c r="W146" s="240" t="s">
        <v>1064</v>
      </c>
      <c r="X146" s="240" t="s">
        <v>966</v>
      </c>
      <c r="Y146" s="238" t="s">
        <v>1067</v>
      </c>
      <c r="Z146" s="238" t="s">
        <v>1067</v>
      </c>
      <c r="AA146" s="238" t="s">
        <v>1068</v>
      </c>
      <c r="AB146" s="238"/>
      <c r="AE146" s="267"/>
    </row>
    <row r="147" spans="1:31">
      <c r="A147" s="175"/>
      <c r="B147" s="64"/>
      <c r="C147" s="64"/>
      <c r="D147" s="64"/>
      <c r="E147" s="64"/>
      <c r="F147" s="64"/>
      <c r="G147" s="74"/>
      <c r="H147" s="52" t="s">
        <v>599</v>
      </c>
      <c r="I147" s="69">
        <f t="shared" si="12"/>
        <v>1</v>
      </c>
      <c r="J147" s="69">
        <f t="shared" si="13"/>
        <v>1</v>
      </c>
      <c r="K147" s="69">
        <f t="shared" si="14"/>
        <v>0</v>
      </c>
      <c r="L147" s="69">
        <f t="shared" si="15"/>
        <v>2</v>
      </c>
      <c r="M147" s="69">
        <f t="shared" si="16"/>
        <v>0</v>
      </c>
      <c r="N147" s="69">
        <f t="shared" si="17"/>
        <v>1</v>
      </c>
      <c r="O147" s="69">
        <f t="shared" si="18"/>
        <v>0</v>
      </c>
      <c r="P147" s="69">
        <f t="shared" si="19"/>
        <v>0</v>
      </c>
      <c r="Q147" s="69" t="str">
        <f t="shared" si="20"/>
        <v>F_TRAD</v>
      </c>
      <c r="R147" s="69">
        <f t="shared" si="21"/>
        <v>10</v>
      </c>
      <c r="S147" s="69">
        <f t="shared" si="22"/>
        <v>10</v>
      </c>
      <c r="T147" s="69">
        <f t="shared" si="23"/>
        <v>1</v>
      </c>
      <c r="U147" s="238"/>
      <c r="V147" s="240" t="s">
        <v>1063</v>
      </c>
      <c r="W147" s="240" t="s">
        <v>1064</v>
      </c>
      <c r="X147" s="240" t="s">
        <v>966</v>
      </c>
      <c r="Y147" s="238" t="s">
        <v>1067</v>
      </c>
      <c r="Z147" s="238" t="s">
        <v>1067</v>
      </c>
      <c r="AA147" s="238" t="s">
        <v>1068</v>
      </c>
      <c r="AB147" s="238"/>
      <c r="AE147" s="267"/>
    </row>
    <row r="148" spans="1:31">
      <c r="A148" s="175"/>
      <c r="B148" s="64"/>
      <c r="C148" s="64"/>
      <c r="D148" s="64"/>
      <c r="E148" s="64"/>
      <c r="F148" s="64"/>
      <c r="G148" s="74"/>
      <c r="H148" s="52" t="s">
        <v>543</v>
      </c>
      <c r="I148" s="69">
        <f t="shared" si="12"/>
        <v>1</v>
      </c>
      <c r="J148" s="69">
        <f t="shared" si="13"/>
        <v>1</v>
      </c>
      <c r="K148" s="69">
        <f t="shared" si="14"/>
        <v>1</v>
      </c>
      <c r="L148" s="69">
        <f t="shared" si="15"/>
        <v>2</v>
      </c>
      <c r="M148" s="69">
        <f t="shared" si="16"/>
        <v>0</v>
      </c>
      <c r="N148" s="69">
        <f t="shared" si="17"/>
        <v>3</v>
      </c>
      <c r="O148" s="69">
        <f t="shared" si="18"/>
        <v>0</v>
      </c>
      <c r="P148" s="69">
        <f t="shared" si="19"/>
        <v>0</v>
      </c>
      <c r="Q148" s="69" t="str">
        <f t="shared" si="20"/>
        <v>F_TRAD</v>
      </c>
      <c r="R148" s="69">
        <f t="shared" si="21"/>
        <v>11</v>
      </c>
      <c r="S148" s="69">
        <f t="shared" si="22"/>
        <v>11</v>
      </c>
      <c r="T148" s="69">
        <f t="shared" si="23"/>
        <v>0</v>
      </c>
      <c r="U148" s="238"/>
      <c r="V148" s="240" t="s">
        <v>1063</v>
      </c>
      <c r="W148" s="240" t="s">
        <v>1064</v>
      </c>
      <c r="X148" s="240" t="s">
        <v>966</v>
      </c>
      <c r="Y148" s="238" t="s">
        <v>1067</v>
      </c>
      <c r="Z148" s="238" t="s">
        <v>1067</v>
      </c>
      <c r="AA148" s="238" t="s">
        <v>1068</v>
      </c>
      <c r="AB148" s="238"/>
      <c r="AE148" s="267"/>
    </row>
    <row r="149" spans="1:31">
      <c r="A149" s="175"/>
      <c r="B149" s="64"/>
      <c r="C149" s="64"/>
      <c r="D149" s="64"/>
      <c r="E149" s="64"/>
      <c r="F149" s="64"/>
      <c r="G149" s="74"/>
      <c r="H149" s="52" t="s">
        <v>544</v>
      </c>
      <c r="I149" s="69">
        <f t="shared" si="12"/>
        <v>1</v>
      </c>
      <c r="J149" s="69">
        <f t="shared" si="13"/>
        <v>1</v>
      </c>
      <c r="K149" s="69">
        <f t="shared" si="14"/>
        <v>0</v>
      </c>
      <c r="L149" s="69">
        <f t="shared" si="15"/>
        <v>2</v>
      </c>
      <c r="M149" s="69">
        <f t="shared" si="16"/>
        <v>0</v>
      </c>
      <c r="N149" s="69">
        <f t="shared" si="17"/>
        <v>3</v>
      </c>
      <c r="O149" s="69">
        <f t="shared" si="18"/>
        <v>0</v>
      </c>
      <c r="P149" s="69">
        <f t="shared" si="19"/>
        <v>0</v>
      </c>
      <c r="Q149" s="69" t="str">
        <f t="shared" si="20"/>
        <v>F_TRAD</v>
      </c>
      <c r="R149" s="69">
        <f t="shared" si="21"/>
        <v>12</v>
      </c>
      <c r="S149" s="69">
        <f t="shared" si="22"/>
        <v>12</v>
      </c>
      <c r="T149" s="69">
        <f t="shared" si="23"/>
        <v>0</v>
      </c>
      <c r="U149" s="238"/>
      <c r="V149" s="240" t="s">
        <v>1063</v>
      </c>
      <c r="W149" s="240" t="s">
        <v>1064</v>
      </c>
      <c r="X149" s="240" t="s">
        <v>966</v>
      </c>
      <c r="Y149" s="238" t="s">
        <v>1067</v>
      </c>
      <c r="Z149" s="238" t="s">
        <v>1067</v>
      </c>
      <c r="AA149" s="238" t="s">
        <v>1068</v>
      </c>
      <c r="AB149" s="238"/>
      <c r="AE149" s="267"/>
    </row>
    <row r="150" spans="1:31">
      <c r="A150" s="175"/>
      <c r="B150" s="64"/>
      <c r="C150" s="64"/>
      <c r="D150" s="64"/>
      <c r="E150" s="64"/>
      <c r="F150" s="64"/>
      <c r="G150" s="74"/>
      <c r="H150" s="52" t="s">
        <v>545</v>
      </c>
      <c r="I150" s="69">
        <f t="shared" si="12"/>
        <v>1</v>
      </c>
      <c r="J150" s="69">
        <f t="shared" si="13"/>
        <v>1</v>
      </c>
      <c r="K150" s="69">
        <f t="shared" si="14"/>
        <v>1</v>
      </c>
      <c r="L150" s="69">
        <f t="shared" si="15"/>
        <v>1</v>
      </c>
      <c r="M150" s="69">
        <f t="shared" si="16"/>
        <v>0</v>
      </c>
      <c r="N150" s="69">
        <f t="shared" si="17"/>
        <v>3</v>
      </c>
      <c r="O150" s="69">
        <f t="shared" si="18"/>
        <v>0</v>
      </c>
      <c r="P150" s="69">
        <f t="shared" si="19"/>
        <v>0</v>
      </c>
      <c r="Q150" s="69" t="str">
        <f t="shared" si="20"/>
        <v>F_TRAD</v>
      </c>
      <c r="R150" s="69">
        <f t="shared" si="21"/>
        <v>22</v>
      </c>
      <c r="S150" s="69">
        <f t="shared" si="22"/>
        <v>22</v>
      </c>
      <c r="T150" s="69">
        <f t="shared" si="23"/>
        <v>0</v>
      </c>
      <c r="U150" s="238"/>
      <c r="V150" s="240" t="s">
        <v>1063</v>
      </c>
      <c r="W150" s="240" t="s">
        <v>1064</v>
      </c>
      <c r="X150" s="240" t="s">
        <v>966</v>
      </c>
      <c r="Y150" s="238" t="s">
        <v>1067</v>
      </c>
      <c r="Z150" s="238" t="s">
        <v>1067</v>
      </c>
      <c r="AA150" s="238" t="s">
        <v>1068</v>
      </c>
      <c r="AB150" s="238"/>
      <c r="AE150" s="267"/>
    </row>
    <row r="151" spans="1:31">
      <c r="A151" s="175"/>
      <c r="B151" s="64"/>
      <c r="C151" s="64"/>
      <c r="D151" s="64"/>
      <c r="E151" s="64"/>
      <c r="F151" s="64"/>
      <c r="G151" s="74"/>
      <c r="H151" s="52" t="s">
        <v>546</v>
      </c>
      <c r="I151" s="69">
        <f t="shared" si="12"/>
        <v>1</v>
      </c>
      <c r="J151" s="69">
        <f t="shared" si="13"/>
        <v>1</v>
      </c>
      <c r="K151" s="69">
        <f t="shared" si="14"/>
        <v>1</v>
      </c>
      <c r="L151" s="69">
        <f t="shared" si="15"/>
        <v>1</v>
      </c>
      <c r="M151" s="69">
        <f t="shared" si="16"/>
        <v>0</v>
      </c>
      <c r="N151" s="69">
        <f t="shared" si="17"/>
        <v>3</v>
      </c>
      <c r="O151" s="69">
        <f t="shared" si="18"/>
        <v>0</v>
      </c>
      <c r="P151" s="69">
        <f t="shared" si="19"/>
        <v>0</v>
      </c>
      <c r="Q151" s="69" t="str">
        <f t="shared" si="20"/>
        <v>F_TRAD</v>
      </c>
      <c r="R151" s="69">
        <f t="shared" si="21"/>
        <v>13</v>
      </c>
      <c r="S151" s="69">
        <f t="shared" si="22"/>
        <v>13</v>
      </c>
      <c r="T151" s="69">
        <f t="shared" si="23"/>
        <v>0</v>
      </c>
      <c r="U151" s="238"/>
      <c r="V151" s="240" t="s">
        <v>1063</v>
      </c>
      <c r="W151" s="240" t="s">
        <v>1064</v>
      </c>
      <c r="X151" s="240" t="s">
        <v>966</v>
      </c>
      <c r="Y151" s="238" t="s">
        <v>1067</v>
      </c>
      <c r="Z151" s="238" t="s">
        <v>1067</v>
      </c>
      <c r="AA151" s="238" t="s">
        <v>1068</v>
      </c>
      <c r="AB151" s="238"/>
      <c r="AE151" s="267"/>
    </row>
    <row r="152" spans="1:31">
      <c r="A152" s="175"/>
      <c r="B152" s="64"/>
      <c r="C152" s="64"/>
      <c r="D152" s="64"/>
      <c r="E152" s="64"/>
      <c r="F152" s="64"/>
      <c r="G152" s="74"/>
      <c r="H152" s="52" t="s">
        <v>547</v>
      </c>
      <c r="I152" s="69">
        <f t="shared" si="12"/>
        <v>1</v>
      </c>
      <c r="J152" s="69">
        <f t="shared" si="13"/>
        <v>1</v>
      </c>
      <c r="K152" s="69">
        <f t="shared" si="14"/>
        <v>0</v>
      </c>
      <c r="L152" s="69">
        <f t="shared" si="15"/>
        <v>2</v>
      </c>
      <c r="M152" s="69">
        <f t="shared" si="16"/>
        <v>0</v>
      </c>
      <c r="N152" s="69">
        <f t="shared" si="17"/>
        <v>3</v>
      </c>
      <c r="O152" s="69">
        <f t="shared" si="18"/>
        <v>0</v>
      </c>
      <c r="P152" s="69">
        <f t="shared" si="19"/>
        <v>0</v>
      </c>
      <c r="Q152" s="69" t="str">
        <f t="shared" si="20"/>
        <v>F_TRAD</v>
      </c>
      <c r="R152" s="69">
        <f t="shared" si="21"/>
        <v>14</v>
      </c>
      <c r="S152" s="69">
        <f t="shared" si="22"/>
        <v>14</v>
      </c>
      <c r="T152" s="69">
        <f t="shared" si="23"/>
        <v>0</v>
      </c>
      <c r="U152" s="238"/>
      <c r="V152" s="240" t="s">
        <v>1063</v>
      </c>
      <c r="W152" s="240" t="s">
        <v>1064</v>
      </c>
      <c r="X152" s="240" t="s">
        <v>966</v>
      </c>
      <c r="Y152" s="238" t="s">
        <v>1067</v>
      </c>
      <c r="Z152" s="238" t="s">
        <v>1067</v>
      </c>
      <c r="AA152" s="238" t="s">
        <v>1068</v>
      </c>
      <c r="AB152" s="238"/>
      <c r="AE152" s="267"/>
    </row>
    <row r="153" spans="1:31">
      <c r="A153" s="175"/>
      <c r="B153" s="64"/>
      <c r="C153" s="64"/>
      <c r="D153" s="64"/>
      <c r="E153" s="64"/>
      <c r="F153" s="64"/>
      <c r="G153" s="74"/>
      <c r="H153" s="52" t="s">
        <v>548</v>
      </c>
      <c r="I153" s="69">
        <f t="shared" si="12"/>
        <v>0</v>
      </c>
      <c r="J153" s="69">
        <f t="shared" si="13"/>
        <v>0</v>
      </c>
      <c r="K153" s="69">
        <f t="shared" si="14"/>
        <v>0</v>
      </c>
      <c r="L153" s="69">
        <f t="shared" si="15"/>
        <v>0</v>
      </c>
      <c r="M153" s="69">
        <f t="shared" si="16"/>
        <v>0</v>
      </c>
      <c r="N153" s="69">
        <f t="shared" si="17"/>
        <v>0</v>
      </c>
      <c r="O153" s="69">
        <f t="shared" si="18"/>
        <v>0</v>
      </c>
      <c r="P153" s="69">
        <f t="shared" si="19"/>
        <v>0</v>
      </c>
      <c r="Q153" s="69">
        <f t="shared" si="20"/>
        <v>0</v>
      </c>
      <c r="R153" s="69">
        <f t="shared" si="21"/>
        <v>0</v>
      </c>
      <c r="S153" s="69">
        <f t="shared" si="22"/>
        <v>0</v>
      </c>
      <c r="T153" s="69">
        <f t="shared" si="23"/>
        <v>0</v>
      </c>
      <c r="U153" s="238"/>
      <c r="V153" s="240" t="s">
        <v>1063</v>
      </c>
      <c r="W153" s="240" t="s">
        <v>1064</v>
      </c>
      <c r="X153" s="240" t="s">
        <v>966</v>
      </c>
      <c r="Y153" s="238" t="s">
        <v>1067</v>
      </c>
      <c r="Z153" s="238" t="s">
        <v>1067</v>
      </c>
      <c r="AA153" s="238" t="s">
        <v>1068</v>
      </c>
      <c r="AB153" s="238"/>
      <c r="AE153" s="267"/>
    </row>
    <row r="154" spans="1:31">
      <c r="A154" s="175"/>
      <c r="B154" s="64"/>
      <c r="C154" s="64"/>
      <c r="D154" s="64"/>
      <c r="E154" s="64"/>
      <c r="F154" s="64"/>
      <c r="G154" s="74"/>
      <c r="H154" s="52" t="s">
        <v>600</v>
      </c>
      <c r="I154" s="69">
        <f t="shared" si="12"/>
        <v>0</v>
      </c>
      <c r="J154" s="69">
        <f t="shared" si="13"/>
        <v>0</v>
      </c>
      <c r="K154" s="69">
        <f t="shared" si="14"/>
        <v>0</v>
      </c>
      <c r="L154" s="69">
        <f t="shared" si="15"/>
        <v>0</v>
      </c>
      <c r="M154" s="69">
        <f t="shared" si="16"/>
        <v>0</v>
      </c>
      <c r="N154" s="69">
        <f t="shared" si="17"/>
        <v>0</v>
      </c>
      <c r="O154" s="69">
        <f t="shared" si="18"/>
        <v>0</v>
      </c>
      <c r="P154" s="69">
        <f t="shared" si="19"/>
        <v>0</v>
      </c>
      <c r="Q154" s="69">
        <f t="shared" si="20"/>
        <v>0</v>
      </c>
      <c r="R154" s="69">
        <f t="shared" si="21"/>
        <v>0</v>
      </c>
      <c r="S154" s="69">
        <f t="shared" si="22"/>
        <v>0</v>
      </c>
      <c r="T154" s="69">
        <f t="shared" si="23"/>
        <v>0</v>
      </c>
      <c r="U154" s="238"/>
      <c r="V154" s="240" t="s">
        <v>1063</v>
      </c>
      <c r="W154" s="240" t="s">
        <v>1064</v>
      </c>
      <c r="X154" s="240" t="s">
        <v>966</v>
      </c>
      <c r="Y154" s="238" t="s">
        <v>1067</v>
      </c>
      <c r="Z154" s="238" t="s">
        <v>1067</v>
      </c>
      <c r="AA154" s="238" t="s">
        <v>1068</v>
      </c>
      <c r="AB154" s="238"/>
      <c r="AE154" s="267"/>
    </row>
    <row r="155" spans="1:31">
      <c r="A155" s="175"/>
      <c r="B155" s="64"/>
      <c r="C155" s="64"/>
      <c r="D155" s="64"/>
      <c r="E155" s="64"/>
      <c r="F155" s="64"/>
      <c r="G155" s="74"/>
      <c r="H155" s="52" t="s">
        <v>549</v>
      </c>
      <c r="I155" s="69">
        <f t="shared" ref="I155:I221" si="24">IF(ISNA(VLOOKUP($H155,Modelpuntoverzicht,1,FALSE)),0,1)</f>
        <v>1</v>
      </c>
      <c r="J155" s="69">
        <f t="shared" ref="J155:J221" si="25">IF($I155=1,VLOOKUP($H155,Modelpuntoverzicht,6,FALSE),0)</f>
        <v>1</v>
      </c>
      <c r="K155" s="69">
        <f t="shared" ref="K155:K221" si="26">IF($I155=1,IF(VLOOKUP($H155,Modelpuntoverzicht,12,FALSE)=1,1,0),0)</f>
        <v>1</v>
      </c>
      <c r="L155" s="69">
        <f t="shared" ref="L155:L221" si="27">IF($I155=1,VLOOKUP($H155,Modelpuntoverzicht,38,FALSE),0)</f>
        <v>2</v>
      </c>
      <c r="M155" s="69">
        <f t="shared" ref="M155:M221" si="28">IF($I155=1,IF(VLOOKUP($H155,Modelpuntoverzicht,30,FALSE)="JA",1,0),0)</f>
        <v>0</v>
      </c>
      <c r="N155" s="69">
        <f t="shared" ref="N155:N221" si="29">IF($I155=1,VLOOKUP($H155,Modelpuntoverzicht,9,FALSE),0)</f>
        <v>3</v>
      </c>
      <c r="O155" s="69">
        <f t="shared" ref="O155:O221" si="30">IF($I155=1,VLOOKUP($H155,Modelpuntoverzicht,11,FALSE),0)</f>
        <v>0</v>
      </c>
      <c r="P155" s="69">
        <f t="shared" ref="P155:P221" si="31">IF($I155=1,VLOOKUP($H155,Modelpuntoverzicht,39,FALSE),0)</f>
        <v>0</v>
      </c>
      <c r="Q155" s="69" t="str">
        <f t="shared" ref="Q155:Q221" si="32">IF($I155=1,VLOOKUP($H155,OSM_Info_PerMP,4,FALSE),0)</f>
        <v>F_TRAD</v>
      </c>
      <c r="R155" s="69">
        <f t="shared" ref="R155:R221" si="33">IF($I155=1,VLOOKUP($H155,OSM_Info_PerMP,6,FALSE),0)</f>
        <v>28</v>
      </c>
      <c r="S155" s="69">
        <f t="shared" ref="S155:S221" si="34">IF($I155=1,VLOOKUP($H155,OSM_Info_PerMP,3,FALSE),0)</f>
        <v>28</v>
      </c>
      <c r="T155" s="69">
        <f t="shared" ref="T155:T221" si="35">IF($I155=1,VLOOKUP($H155,OSM_Info_PerMP,7,FALSE),0)</f>
        <v>0</v>
      </c>
      <c r="U155" s="238"/>
      <c r="V155" s="240" t="s">
        <v>1063</v>
      </c>
      <c r="W155" s="240" t="s">
        <v>1064</v>
      </c>
      <c r="X155" s="240" t="s">
        <v>966</v>
      </c>
      <c r="Y155" s="238" t="s">
        <v>1067</v>
      </c>
      <c r="Z155" s="238" t="s">
        <v>1067</v>
      </c>
      <c r="AA155" s="238" t="s">
        <v>1068</v>
      </c>
      <c r="AB155" s="238"/>
      <c r="AE155" s="267"/>
    </row>
    <row r="156" spans="1:31">
      <c r="A156" s="175"/>
      <c r="B156" s="64"/>
      <c r="C156" s="64"/>
      <c r="D156" s="64"/>
      <c r="E156" s="64"/>
      <c r="F156" s="64"/>
      <c r="G156" s="74"/>
      <c r="H156" s="52" t="s">
        <v>601</v>
      </c>
      <c r="I156" s="69">
        <f t="shared" si="24"/>
        <v>1</v>
      </c>
      <c r="J156" s="69">
        <f t="shared" si="25"/>
        <v>1</v>
      </c>
      <c r="K156" s="69">
        <f t="shared" si="26"/>
        <v>1</v>
      </c>
      <c r="L156" s="69">
        <f t="shared" si="27"/>
        <v>2</v>
      </c>
      <c r="M156" s="69">
        <f t="shared" si="28"/>
        <v>0</v>
      </c>
      <c r="N156" s="69">
        <f t="shared" si="29"/>
        <v>1</v>
      </c>
      <c r="O156" s="69">
        <f t="shared" si="30"/>
        <v>0</v>
      </c>
      <c r="P156" s="69">
        <f t="shared" si="31"/>
        <v>0</v>
      </c>
      <c r="Q156" s="69" t="str">
        <f t="shared" si="32"/>
        <v>F_TRAD</v>
      </c>
      <c r="R156" s="69">
        <f t="shared" si="33"/>
        <v>29</v>
      </c>
      <c r="S156" s="69">
        <f t="shared" si="34"/>
        <v>29</v>
      </c>
      <c r="T156" s="69">
        <f t="shared" si="35"/>
        <v>4</v>
      </c>
      <c r="U156" s="238"/>
      <c r="V156" s="240" t="s">
        <v>1063</v>
      </c>
      <c r="W156" s="240" t="s">
        <v>1064</v>
      </c>
      <c r="X156" s="240" t="s">
        <v>966</v>
      </c>
      <c r="Y156" s="238" t="s">
        <v>1067</v>
      </c>
      <c r="Z156" s="238" t="s">
        <v>1067</v>
      </c>
      <c r="AA156" s="238" t="s">
        <v>1068</v>
      </c>
      <c r="AB156" s="238"/>
      <c r="AE156" s="267"/>
    </row>
    <row r="157" spans="1:31">
      <c r="A157" s="175"/>
      <c r="B157" s="64"/>
      <c r="C157" s="64"/>
      <c r="D157" s="64"/>
      <c r="E157" s="64"/>
      <c r="F157" s="64"/>
      <c r="G157" s="74"/>
      <c r="H157" s="52" t="s">
        <v>602</v>
      </c>
      <c r="I157" s="69">
        <f t="shared" si="24"/>
        <v>1</v>
      </c>
      <c r="J157" s="69">
        <f t="shared" si="25"/>
        <v>1</v>
      </c>
      <c r="K157" s="69">
        <f t="shared" si="26"/>
        <v>1</v>
      </c>
      <c r="L157" s="69">
        <f t="shared" si="27"/>
        <v>1</v>
      </c>
      <c r="M157" s="69">
        <f t="shared" si="28"/>
        <v>0</v>
      </c>
      <c r="N157" s="69">
        <f t="shared" si="29"/>
        <v>1</v>
      </c>
      <c r="O157" s="69">
        <f t="shared" si="30"/>
        <v>0</v>
      </c>
      <c r="P157" s="69">
        <f t="shared" si="31"/>
        <v>0</v>
      </c>
      <c r="Q157" s="69" t="str">
        <f t="shared" si="32"/>
        <v>F_TRAD</v>
      </c>
      <c r="R157" s="69">
        <f t="shared" si="33"/>
        <v>23</v>
      </c>
      <c r="S157" s="69">
        <f t="shared" si="34"/>
        <v>23</v>
      </c>
      <c r="T157" s="69">
        <f t="shared" si="35"/>
        <v>4</v>
      </c>
      <c r="U157" s="238"/>
      <c r="V157" s="240" t="s">
        <v>1063</v>
      </c>
      <c r="W157" s="240" t="s">
        <v>1064</v>
      </c>
      <c r="X157" s="240" t="s">
        <v>966</v>
      </c>
      <c r="Y157" s="238" t="s">
        <v>1067</v>
      </c>
      <c r="Z157" s="238" t="s">
        <v>1067</v>
      </c>
      <c r="AA157" s="238" t="s">
        <v>1068</v>
      </c>
      <c r="AB157" s="238"/>
      <c r="AE157" s="267"/>
    </row>
    <row r="158" spans="1:31">
      <c r="A158" s="175"/>
      <c r="B158" s="64"/>
      <c r="C158" s="64"/>
      <c r="D158" s="64"/>
      <c r="E158" s="64"/>
      <c r="F158" s="64"/>
      <c r="G158" s="74"/>
      <c r="H158" s="52" t="s">
        <v>550</v>
      </c>
      <c r="I158" s="69">
        <f t="shared" si="24"/>
        <v>1</v>
      </c>
      <c r="J158" s="69">
        <f t="shared" si="25"/>
        <v>1</v>
      </c>
      <c r="K158" s="69">
        <f t="shared" si="26"/>
        <v>1</v>
      </c>
      <c r="L158" s="69">
        <f t="shared" si="27"/>
        <v>2</v>
      </c>
      <c r="M158" s="69">
        <f t="shared" si="28"/>
        <v>0</v>
      </c>
      <c r="N158" s="69">
        <f t="shared" si="29"/>
        <v>3</v>
      </c>
      <c r="O158" s="69">
        <f t="shared" si="30"/>
        <v>0</v>
      </c>
      <c r="P158" s="69">
        <f t="shared" si="31"/>
        <v>0</v>
      </c>
      <c r="Q158" s="69" t="str">
        <f t="shared" si="32"/>
        <v>F_TRAD</v>
      </c>
      <c r="R158" s="69">
        <f t="shared" si="33"/>
        <v>30</v>
      </c>
      <c r="S158" s="69">
        <f t="shared" si="34"/>
        <v>30</v>
      </c>
      <c r="T158" s="69">
        <f t="shared" si="35"/>
        <v>0</v>
      </c>
      <c r="U158" s="238"/>
      <c r="V158" s="240" t="s">
        <v>1063</v>
      </c>
      <c r="W158" s="240" t="s">
        <v>1064</v>
      </c>
      <c r="X158" s="240" t="s">
        <v>966</v>
      </c>
      <c r="Y158" s="238" t="s">
        <v>1067</v>
      </c>
      <c r="Z158" s="238" t="s">
        <v>1067</v>
      </c>
      <c r="AA158" s="238" t="s">
        <v>1068</v>
      </c>
      <c r="AB158" s="238"/>
      <c r="AE158" s="267"/>
    </row>
    <row r="159" spans="1:31">
      <c r="A159" s="175"/>
      <c r="B159" s="64"/>
      <c r="C159" s="64"/>
      <c r="D159" s="64"/>
      <c r="E159" s="64"/>
      <c r="F159" s="64"/>
      <c r="G159" s="74"/>
      <c r="H159" s="52" t="s">
        <v>551</v>
      </c>
      <c r="I159" s="69">
        <f t="shared" si="24"/>
        <v>1</v>
      </c>
      <c r="J159" s="69">
        <f t="shared" si="25"/>
        <v>1</v>
      </c>
      <c r="K159" s="69">
        <f t="shared" si="26"/>
        <v>0</v>
      </c>
      <c r="L159" s="69">
        <f t="shared" si="27"/>
        <v>2</v>
      </c>
      <c r="M159" s="69">
        <f t="shared" si="28"/>
        <v>0</v>
      </c>
      <c r="N159" s="69">
        <f t="shared" si="29"/>
        <v>3</v>
      </c>
      <c r="O159" s="69">
        <f t="shared" si="30"/>
        <v>0</v>
      </c>
      <c r="P159" s="69">
        <f t="shared" si="31"/>
        <v>0</v>
      </c>
      <c r="Q159" s="69" t="str">
        <f t="shared" si="32"/>
        <v>F_TRAD</v>
      </c>
      <c r="R159" s="69">
        <f t="shared" si="33"/>
        <v>31</v>
      </c>
      <c r="S159" s="69">
        <f t="shared" si="34"/>
        <v>31</v>
      </c>
      <c r="T159" s="69">
        <f t="shared" si="35"/>
        <v>0</v>
      </c>
      <c r="U159" s="238"/>
      <c r="V159" s="240" t="s">
        <v>1063</v>
      </c>
      <c r="W159" s="240" t="s">
        <v>1064</v>
      </c>
      <c r="X159" s="240" t="s">
        <v>966</v>
      </c>
      <c r="Y159" s="238" t="s">
        <v>1067</v>
      </c>
      <c r="Z159" s="238" t="s">
        <v>1067</v>
      </c>
      <c r="AA159" s="238" t="s">
        <v>1068</v>
      </c>
      <c r="AB159" s="238"/>
      <c r="AE159" s="267"/>
    </row>
    <row r="160" spans="1:31">
      <c r="A160" s="175"/>
      <c r="B160" s="64"/>
      <c r="C160" s="64"/>
      <c r="D160" s="64"/>
      <c r="E160" s="64"/>
      <c r="F160" s="64"/>
      <c r="G160" s="74"/>
      <c r="H160" s="52" t="s">
        <v>603</v>
      </c>
      <c r="I160" s="69">
        <f t="shared" si="24"/>
        <v>1</v>
      </c>
      <c r="J160" s="69">
        <f t="shared" si="25"/>
        <v>1</v>
      </c>
      <c r="K160" s="69">
        <f t="shared" si="26"/>
        <v>0</v>
      </c>
      <c r="L160" s="69">
        <f t="shared" si="27"/>
        <v>2</v>
      </c>
      <c r="M160" s="69">
        <f t="shared" si="28"/>
        <v>1</v>
      </c>
      <c r="N160" s="69">
        <f t="shared" si="29"/>
        <v>1</v>
      </c>
      <c r="O160" s="69">
        <f t="shared" si="30"/>
        <v>0</v>
      </c>
      <c r="P160" s="69">
        <f t="shared" si="31"/>
        <v>0</v>
      </c>
      <c r="Q160" s="69" t="str">
        <f t="shared" si="32"/>
        <v>F_TRAD</v>
      </c>
      <c r="R160" s="69">
        <f t="shared" si="33"/>
        <v>32</v>
      </c>
      <c r="S160" s="69">
        <f t="shared" si="34"/>
        <v>32</v>
      </c>
      <c r="T160" s="69">
        <f t="shared" si="35"/>
        <v>4</v>
      </c>
      <c r="U160" s="238"/>
      <c r="V160" s="240" t="s">
        <v>1063</v>
      </c>
      <c r="W160" s="240" t="s">
        <v>1064</v>
      </c>
      <c r="X160" s="240" t="s">
        <v>966</v>
      </c>
      <c r="Y160" s="238" t="s">
        <v>1067</v>
      </c>
      <c r="Z160" s="238" t="s">
        <v>1067</v>
      </c>
      <c r="AA160" s="238" t="s">
        <v>1068</v>
      </c>
      <c r="AB160" s="238"/>
      <c r="AE160" s="267"/>
    </row>
    <row r="161" spans="1:31">
      <c r="A161" s="175"/>
      <c r="B161" s="64"/>
      <c r="C161" s="64"/>
      <c r="D161" s="64"/>
      <c r="E161" s="64"/>
      <c r="F161" s="64"/>
      <c r="G161" s="74"/>
      <c r="H161" s="52" t="s">
        <v>604</v>
      </c>
      <c r="I161" s="69">
        <f t="shared" si="24"/>
        <v>1</v>
      </c>
      <c r="J161" s="69">
        <f t="shared" si="25"/>
        <v>1</v>
      </c>
      <c r="K161" s="69">
        <f t="shared" si="26"/>
        <v>0</v>
      </c>
      <c r="L161" s="69">
        <f t="shared" si="27"/>
        <v>2</v>
      </c>
      <c r="M161" s="69">
        <f t="shared" si="28"/>
        <v>0</v>
      </c>
      <c r="N161" s="69">
        <f t="shared" si="29"/>
        <v>1</v>
      </c>
      <c r="O161" s="69">
        <f t="shared" si="30"/>
        <v>0</v>
      </c>
      <c r="P161" s="69">
        <f t="shared" si="31"/>
        <v>0</v>
      </c>
      <c r="Q161" s="69" t="str">
        <f t="shared" si="32"/>
        <v>F_TRAD</v>
      </c>
      <c r="R161" s="69">
        <f t="shared" si="33"/>
        <v>15</v>
      </c>
      <c r="S161" s="69">
        <f t="shared" si="34"/>
        <v>15</v>
      </c>
      <c r="T161" s="69">
        <f t="shared" si="35"/>
        <v>2</v>
      </c>
      <c r="U161" s="238"/>
      <c r="V161" s="240" t="s">
        <v>1063</v>
      </c>
      <c r="W161" s="240" t="s">
        <v>1064</v>
      </c>
      <c r="X161" s="240" t="s">
        <v>966</v>
      </c>
      <c r="Y161" s="238" t="s">
        <v>1067</v>
      </c>
      <c r="Z161" s="238" t="s">
        <v>1067</v>
      </c>
      <c r="AA161" s="238" t="s">
        <v>1068</v>
      </c>
      <c r="AB161" s="238"/>
      <c r="AE161" s="267"/>
    </row>
    <row r="162" spans="1:31">
      <c r="A162" s="175"/>
      <c r="B162" s="64"/>
      <c r="C162" s="64"/>
      <c r="D162" s="64"/>
      <c r="E162" s="64"/>
      <c r="F162" s="64"/>
      <c r="G162" s="74"/>
      <c r="H162" s="52" t="s">
        <v>605</v>
      </c>
      <c r="I162" s="69">
        <f t="shared" si="24"/>
        <v>1</v>
      </c>
      <c r="J162" s="69">
        <f t="shared" si="25"/>
        <v>1</v>
      </c>
      <c r="K162" s="69">
        <f t="shared" si="26"/>
        <v>1</v>
      </c>
      <c r="L162" s="69">
        <f t="shared" si="27"/>
        <v>1</v>
      </c>
      <c r="M162" s="69">
        <f t="shared" si="28"/>
        <v>0</v>
      </c>
      <c r="N162" s="69">
        <f t="shared" si="29"/>
        <v>1</v>
      </c>
      <c r="O162" s="69">
        <f t="shared" si="30"/>
        <v>0</v>
      </c>
      <c r="P162" s="69">
        <f t="shared" si="31"/>
        <v>0</v>
      </c>
      <c r="Q162" s="69" t="str">
        <f t="shared" si="32"/>
        <v>F_TRAD</v>
      </c>
      <c r="R162" s="69">
        <f t="shared" si="33"/>
        <v>24</v>
      </c>
      <c r="S162" s="69">
        <f t="shared" si="34"/>
        <v>24</v>
      </c>
      <c r="T162" s="69">
        <f t="shared" si="35"/>
        <v>4</v>
      </c>
      <c r="U162" s="238"/>
      <c r="V162" s="240" t="s">
        <v>1063</v>
      </c>
      <c r="W162" s="240" t="s">
        <v>1064</v>
      </c>
      <c r="X162" s="240" t="s">
        <v>966</v>
      </c>
      <c r="Y162" s="238" t="s">
        <v>1067</v>
      </c>
      <c r="Z162" s="238" t="s">
        <v>1067</v>
      </c>
      <c r="AA162" s="238" t="s">
        <v>1068</v>
      </c>
      <c r="AB162" s="238"/>
      <c r="AE162" s="267"/>
    </row>
    <row r="163" spans="1:31">
      <c r="A163" s="175"/>
      <c r="B163" s="64"/>
      <c r="C163" s="64"/>
      <c r="D163" s="64"/>
      <c r="E163" s="64"/>
      <c r="F163" s="64"/>
      <c r="G163" s="74"/>
      <c r="H163" s="52" t="s">
        <v>606</v>
      </c>
      <c r="I163" s="69">
        <f t="shared" si="24"/>
        <v>1</v>
      </c>
      <c r="J163" s="69">
        <f t="shared" si="25"/>
        <v>1</v>
      </c>
      <c r="K163" s="69">
        <f t="shared" si="26"/>
        <v>0</v>
      </c>
      <c r="L163" s="69">
        <f t="shared" si="27"/>
        <v>2</v>
      </c>
      <c r="M163" s="69">
        <f t="shared" si="28"/>
        <v>0</v>
      </c>
      <c r="N163" s="69">
        <f t="shared" si="29"/>
        <v>1</v>
      </c>
      <c r="O163" s="69">
        <f t="shared" si="30"/>
        <v>0</v>
      </c>
      <c r="P163" s="69">
        <f t="shared" si="31"/>
        <v>0</v>
      </c>
      <c r="Q163" s="69" t="str">
        <f t="shared" si="32"/>
        <v>F_TRAD</v>
      </c>
      <c r="R163" s="69">
        <f t="shared" si="33"/>
        <v>16</v>
      </c>
      <c r="S163" s="69">
        <f t="shared" si="34"/>
        <v>16</v>
      </c>
      <c r="T163" s="69">
        <f t="shared" si="35"/>
        <v>2</v>
      </c>
      <c r="U163" s="238"/>
      <c r="V163" s="240" t="s">
        <v>1063</v>
      </c>
      <c r="W163" s="240" t="s">
        <v>1064</v>
      </c>
      <c r="X163" s="240" t="s">
        <v>966</v>
      </c>
      <c r="Y163" s="238" t="s">
        <v>1067</v>
      </c>
      <c r="Z163" s="238" t="s">
        <v>1067</v>
      </c>
      <c r="AA163" s="238" t="s">
        <v>1068</v>
      </c>
      <c r="AB163" s="238"/>
      <c r="AE163" s="267"/>
    </row>
    <row r="164" spans="1:31">
      <c r="A164" s="175"/>
      <c r="B164" s="64"/>
      <c r="C164" s="64"/>
      <c r="D164" s="64"/>
      <c r="E164" s="64"/>
      <c r="F164" s="64"/>
      <c r="G164" s="74"/>
      <c r="H164" s="52" t="s">
        <v>607</v>
      </c>
      <c r="I164" s="69">
        <f t="shared" si="24"/>
        <v>1</v>
      </c>
      <c r="J164" s="69">
        <f t="shared" si="25"/>
        <v>1</v>
      </c>
      <c r="K164" s="69">
        <f t="shared" si="26"/>
        <v>1</v>
      </c>
      <c r="L164" s="69">
        <f t="shared" si="27"/>
        <v>1</v>
      </c>
      <c r="M164" s="69">
        <f t="shared" si="28"/>
        <v>0</v>
      </c>
      <c r="N164" s="69">
        <f t="shared" si="29"/>
        <v>1</v>
      </c>
      <c r="O164" s="69">
        <f t="shared" si="30"/>
        <v>0</v>
      </c>
      <c r="P164" s="69">
        <f t="shared" si="31"/>
        <v>0</v>
      </c>
      <c r="Q164" s="69" t="str">
        <f t="shared" si="32"/>
        <v>F_TRAD</v>
      </c>
      <c r="R164" s="69">
        <f t="shared" si="33"/>
        <v>25</v>
      </c>
      <c r="S164" s="69">
        <f t="shared" si="34"/>
        <v>25</v>
      </c>
      <c r="T164" s="69">
        <f t="shared" si="35"/>
        <v>4</v>
      </c>
      <c r="U164" s="238"/>
      <c r="V164" s="240" t="s">
        <v>1063</v>
      </c>
      <c r="W164" s="240" t="s">
        <v>1064</v>
      </c>
      <c r="X164" s="240" t="s">
        <v>966</v>
      </c>
      <c r="Y164" s="238" t="s">
        <v>1067</v>
      </c>
      <c r="Z164" s="238" t="s">
        <v>1067</v>
      </c>
      <c r="AA164" s="238" t="s">
        <v>1068</v>
      </c>
      <c r="AB164" s="238"/>
      <c r="AE164" s="267"/>
    </row>
    <row r="165" spans="1:31">
      <c r="A165" s="175"/>
      <c r="B165" s="64"/>
      <c r="C165" s="64"/>
      <c r="D165" s="64"/>
      <c r="E165" s="64"/>
      <c r="F165" s="64"/>
      <c r="G165" s="74"/>
      <c r="H165" s="52" t="s">
        <v>608</v>
      </c>
      <c r="I165" s="69">
        <f t="shared" si="24"/>
        <v>1</v>
      </c>
      <c r="J165" s="69">
        <f t="shared" si="25"/>
        <v>1</v>
      </c>
      <c r="K165" s="69">
        <f t="shared" si="26"/>
        <v>1</v>
      </c>
      <c r="L165" s="69">
        <f t="shared" si="27"/>
        <v>2</v>
      </c>
      <c r="M165" s="69">
        <f t="shared" si="28"/>
        <v>0</v>
      </c>
      <c r="N165" s="69">
        <f t="shared" si="29"/>
        <v>1</v>
      </c>
      <c r="O165" s="69">
        <f t="shared" si="30"/>
        <v>0</v>
      </c>
      <c r="P165" s="69">
        <f t="shared" si="31"/>
        <v>0</v>
      </c>
      <c r="Q165" s="69" t="str">
        <f t="shared" si="32"/>
        <v>F_TRAD</v>
      </c>
      <c r="R165" s="69">
        <f t="shared" si="33"/>
        <v>33</v>
      </c>
      <c r="S165" s="69">
        <f t="shared" si="34"/>
        <v>33</v>
      </c>
      <c r="T165" s="69">
        <f t="shared" si="35"/>
        <v>4</v>
      </c>
      <c r="U165" s="238"/>
      <c r="V165" s="240" t="s">
        <v>1063</v>
      </c>
      <c r="W165" s="240" t="s">
        <v>1065</v>
      </c>
      <c r="X165" s="240" t="s">
        <v>966</v>
      </c>
      <c r="Y165" s="238" t="s">
        <v>1067</v>
      </c>
      <c r="Z165" s="238" t="s">
        <v>1067</v>
      </c>
      <c r="AA165" s="238" t="s">
        <v>1068</v>
      </c>
      <c r="AB165" s="238"/>
      <c r="AE165" s="267"/>
    </row>
    <row r="166" spans="1:31">
      <c r="A166" s="175"/>
      <c r="B166" s="64"/>
      <c r="C166" s="64"/>
      <c r="D166" s="64"/>
      <c r="E166" s="64"/>
      <c r="F166" s="64"/>
      <c r="G166" s="74"/>
      <c r="H166" s="52" t="s">
        <v>552</v>
      </c>
      <c r="I166" s="69">
        <f t="shared" si="24"/>
        <v>1</v>
      </c>
      <c r="J166" s="69">
        <f t="shared" si="25"/>
        <v>1</v>
      </c>
      <c r="K166" s="69">
        <f t="shared" si="26"/>
        <v>1</v>
      </c>
      <c r="L166" s="69">
        <f t="shared" si="27"/>
        <v>2</v>
      </c>
      <c r="M166" s="69">
        <f t="shared" si="28"/>
        <v>0</v>
      </c>
      <c r="N166" s="69">
        <f t="shared" si="29"/>
        <v>3</v>
      </c>
      <c r="O166" s="69">
        <f t="shared" si="30"/>
        <v>0</v>
      </c>
      <c r="P166" s="69">
        <f t="shared" si="31"/>
        <v>0</v>
      </c>
      <c r="Q166" s="69" t="str">
        <f t="shared" si="32"/>
        <v>F_TRAD</v>
      </c>
      <c r="R166" s="69">
        <f t="shared" si="33"/>
        <v>34</v>
      </c>
      <c r="S166" s="69">
        <f t="shared" si="34"/>
        <v>34</v>
      </c>
      <c r="T166" s="69">
        <f t="shared" si="35"/>
        <v>0</v>
      </c>
      <c r="U166" s="238"/>
      <c r="V166" s="240" t="s">
        <v>1063</v>
      </c>
      <c r="W166" s="240" t="s">
        <v>1065</v>
      </c>
      <c r="X166" s="240" t="s">
        <v>966</v>
      </c>
      <c r="Y166" s="238" t="s">
        <v>1067</v>
      </c>
      <c r="Z166" s="238" t="s">
        <v>1067</v>
      </c>
      <c r="AA166" s="238" t="s">
        <v>1068</v>
      </c>
      <c r="AB166" s="238"/>
      <c r="AE166" s="267"/>
    </row>
    <row r="167" spans="1:31">
      <c r="A167" s="175"/>
      <c r="B167" s="64"/>
      <c r="C167" s="64"/>
      <c r="D167" s="64"/>
      <c r="E167" s="64"/>
      <c r="F167" s="64"/>
      <c r="G167" s="74"/>
      <c r="H167" s="52" t="s">
        <v>609</v>
      </c>
      <c r="I167" s="69">
        <f t="shared" si="24"/>
        <v>1</v>
      </c>
      <c r="J167" s="69">
        <f t="shared" si="25"/>
        <v>1</v>
      </c>
      <c r="K167" s="69">
        <f t="shared" si="26"/>
        <v>0</v>
      </c>
      <c r="L167" s="69">
        <f t="shared" si="27"/>
        <v>2</v>
      </c>
      <c r="M167" s="69">
        <f t="shared" si="28"/>
        <v>1</v>
      </c>
      <c r="N167" s="69">
        <f t="shared" si="29"/>
        <v>1</v>
      </c>
      <c r="O167" s="69">
        <f t="shared" si="30"/>
        <v>0</v>
      </c>
      <c r="P167" s="69">
        <f t="shared" si="31"/>
        <v>0</v>
      </c>
      <c r="Q167" s="69" t="str">
        <f t="shared" si="32"/>
        <v>F_TRAD</v>
      </c>
      <c r="R167" s="69">
        <f t="shared" si="33"/>
        <v>35</v>
      </c>
      <c r="S167" s="69">
        <f t="shared" si="34"/>
        <v>35</v>
      </c>
      <c r="T167" s="69">
        <f t="shared" si="35"/>
        <v>0</v>
      </c>
      <c r="U167" s="238"/>
      <c r="V167" s="240" t="s">
        <v>1063</v>
      </c>
      <c r="W167" s="240" t="s">
        <v>1065</v>
      </c>
      <c r="X167" s="240" t="s">
        <v>966</v>
      </c>
      <c r="Y167" s="238" t="s">
        <v>1067</v>
      </c>
      <c r="Z167" s="238" t="s">
        <v>1067</v>
      </c>
      <c r="AA167" s="238" t="s">
        <v>1068</v>
      </c>
      <c r="AB167" s="238"/>
      <c r="AE167" s="267"/>
    </row>
    <row r="168" spans="1:31">
      <c r="A168" s="175"/>
      <c r="B168" s="64"/>
      <c r="C168" s="64"/>
      <c r="D168" s="64"/>
      <c r="E168" s="64"/>
      <c r="F168" s="64"/>
      <c r="G168" s="74"/>
      <c r="H168" s="52" t="s">
        <v>610</v>
      </c>
      <c r="I168" s="69">
        <f t="shared" si="24"/>
        <v>1</v>
      </c>
      <c r="J168" s="69">
        <f t="shared" si="25"/>
        <v>1</v>
      </c>
      <c r="K168" s="69">
        <f t="shared" si="26"/>
        <v>0</v>
      </c>
      <c r="L168" s="69">
        <f t="shared" si="27"/>
        <v>2</v>
      </c>
      <c r="M168" s="69">
        <f t="shared" si="28"/>
        <v>0</v>
      </c>
      <c r="N168" s="69">
        <f t="shared" si="29"/>
        <v>1</v>
      </c>
      <c r="O168" s="69">
        <f t="shared" si="30"/>
        <v>0</v>
      </c>
      <c r="P168" s="69">
        <f t="shared" si="31"/>
        <v>0</v>
      </c>
      <c r="Q168" s="69" t="str">
        <f t="shared" si="32"/>
        <v>F_TRAD</v>
      </c>
      <c r="R168" s="69">
        <f t="shared" si="33"/>
        <v>36</v>
      </c>
      <c r="S168" s="69">
        <f t="shared" si="34"/>
        <v>36</v>
      </c>
      <c r="T168" s="69">
        <f t="shared" si="35"/>
        <v>0</v>
      </c>
      <c r="U168" s="238"/>
      <c r="V168" s="240" t="s">
        <v>1063</v>
      </c>
      <c r="W168" s="240" t="s">
        <v>1065</v>
      </c>
      <c r="X168" s="240" t="s">
        <v>966</v>
      </c>
      <c r="Y168" s="238" t="s">
        <v>1067</v>
      </c>
      <c r="Z168" s="238" t="s">
        <v>1067</v>
      </c>
      <c r="AA168" s="238" t="s">
        <v>1068</v>
      </c>
      <c r="AB168" s="238"/>
      <c r="AE168" s="267"/>
    </row>
    <row r="169" spans="1:31">
      <c r="A169" s="175"/>
      <c r="B169" s="64"/>
      <c r="C169" s="64"/>
      <c r="D169" s="64"/>
      <c r="E169" s="64"/>
      <c r="F169" s="64"/>
      <c r="G169" s="74"/>
      <c r="H169" s="52" t="s">
        <v>611</v>
      </c>
      <c r="I169" s="69">
        <f t="shared" si="24"/>
        <v>1</v>
      </c>
      <c r="J169" s="69">
        <f t="shared" si="25"/>
        <v>1</v>
      </c>
      <c r="K169" s="69">
        <f t="shared" si="26"/>
        <v>0</v>
      </c>
      <c r="L169" s="69">
        <f t="shared" si="27"/>
        <v>2</v>
      </c>
      <c r="M169" s="69">
        <f t="shared" si="28"/>
        <v>0</v>
      </c>
      <c r="N169" s="69">
        <f t="shared" si="29"/>
        <v>1</v>
      </c>
      <c r="O169" s="69">
        <f t="shared" si="30"/>
        <v>0</v>
      </c>
      <c r="P169" s="69">
        <f t="shared" si="31"/>
        <v>0</v>
      </c>
      <c r="Q169" s="69" t="str">
        <f t="shared" si="32"/>
        <v>F_TRAD</v>
      </c>
      <c r="R169" s="69">
        <f t="shared" si="33"/>
        <v>37</v>
      </c>
      <c r="S169" s="69">
        <f t="shared" si="34"/>
        <v>37</v>
      </c>
      <c r="T169" s="69">
        <f t="shared" si="35"/>
        <v>4</v>
      </c>
      <c r="U169" s="238"/>
      <c r="V169" s="240" t="s">
        <v>1063</v>
      </c>
      <c r="W169" s="240" t="s">
        <v>1065</v>
      </c>
      <c r="X169" s="240" t="s">
        <v>966</v>
      </c>
      <c r="Y169" s="238" t="s">
        <v>1067</v>
      </c>
      <c r="Z169" s="238" t="s">
        <v>1067</v>
      </c>
      <c r="AA169" s="238" t="s">
        <v>1068</v>
      </c>
      <c r="AB169" s="238"/>
      <c r="AE169" s="267"/>
    </row>
    <row r="170" spans="1:31">
      <c r="A170" s="175"/>
      <c r="B170" s="64"/>
      <c r="C170" s="64"/>
      <c r="D170" s="64"/>
      <c r="E170" s="64"/>
      <c r="F170" s="64"/>
      <c r="G170" s="74"/>
      <c r="H170" s="52" t="s">
        <v>612</v>
      </c>
      <c r="I170" s="69">
        <f t="shared" si="24"/>
        <v>1</v>
      </c>
      <c r="J170" s="69">
        <f t="shared" si="25"/>
        <v>1</v>
      </c>
      <c r="K170" s="69">
        <f t="shared" si="26"/>
        <v>0</v>
      </c>
      <c r="L170" s="69">
        <f t="shared" si="27"/>
        <v>2</v>
      </c>
      <c r="M170" s="69">
        <f t="shared" si="28"/>
        <v>0</v>
      </c>
      <c r="N170" s="69">
        <f t="shared" si="29"/>
        <v>1</v>
      </c>
      <c r="O170" s="69">
        <f t="shared" si="30"/>
        <v>0</v>
      </c>
      <c r="P170" s="69">
        <f t="shared" si="31"/>
        <v>0</v>
      </c>
      <c r="Q170" s="69" t="str">
        <f t="shared" si="32"/>
        <v>F_TRAD</v>
      </c>
      <c r="R170" s="69">
        <f t="shared" si="33"/>
        <v>38</v>
      </c>
      <c r="S170" s="69">
        <f t="shared" si="34"/>
        <v>38</v>
      </c>
      <c r="T170" s="69">
        <f t="shared" si="35"/>
        <v>4</v>
      </c>
      <c r="U170" s="238"/>
      <c r="V170" s="240" t="s">
        <v>1063</v>
      </c>
      <c r="W170" s="240" t="s">
        <v>1065</v>
      </c>
      <c r="X170" s="240" t="s">
        <v>966</v>
      </c>
      <c r="Y170" s="238" t="s">
        <v>1067</v>
      </c>
      <c r="Z170" s="238" t="s">
        <v>1067</v>
      </c>
      <c r="AA170" s="238" t="s">
        <v>1068</v>
      </c>
      <c r="AB170" s="238"/>
      <c r="AE170" s="267"/>
    </row>
    <row r="171" spans="1:31">
      <c r="A171" s="175"/>
      <c r="B171" s="64"/>
      <c r="C171" s="64"/>
      <c r="D171" s="64"/>
      <c r="E171" s="64"/>
      <c r="F171" s="64"/>
      <c r="G171" s="74"/>
      <c r="H171" s="52" t="s">
        <v>553</v>
      </c>
      <c r="I171" s="69">
        <f t="shared" si="24"/>
        <v>1</v>
      </c>
      <c r="J171" s="69">
        <f t="shared" si="25"/>
        <v>1</v>
      </c>
      <c r="K171" s="69">
        <f t="shared" si="26"/>
        <v>0</v>
      </c>
      <c r="L171" s="69">
        <f t="shared" si="27"/>
        <v>2</v>
      </c>
      <c r="M171" s="69">
        <f t="shared" si="28"/>
        <v>0</v>
      </c>
      <c r="N171" s="69">
        <f t="shared" si="29"/>
        <v>3</v>
      </c>
      <c r="O171" s="69">
        <f t="shared" si="30"/>
        <v>0</v>
      </c>
      <c r="P171" s="69">
        <f t="shared" si="31"/>
        <v>0</v>
      </c>
      <c r="Q171" s="69" t="str">
        <f t="shared" si="32"/>
        <v>F_TRAD</v>
      </c>
      <c r="R171" s="69">
        <f t="shared" si="33"/>
        <v>39</v>
      </c>
      <c r="S171" s="69">
        <f t="shared" si="34"/>
        <v>39</v>
      </c>
      <c r="T171" s="69">
        <f t="shared" si="35"/>
        <v>0</v>
      </c>
      <c r="U171" s="238"/>
      <c r="V171" s="240" t="s">
        <v>1063</v>
      </c>
      <c r="W171" s="240" t="s">
        <v>1065</v>
      </c>
      <c r="X171" s="240" t="s">
        <v>966</v>
      </c>
      <c r="Y171" s="238" t="s">
        <v>1067</v>
      </c>
      <c r="Z171" s="238" t="s">
        <v>1067</v>
      </c>
      <c r="AA171" s="238" t="s">
        <v>1068</v>
      </c>
      <c r="AB171" s="238"/>
      <c r="AE171" s="267"/>
    </row>
    <row r="172" spans="1:31">
      <c r="A172" s="175"/>
      <c r="B172" s="64"/>
      <c r="C172" s="64"/>
      <c r="D172" s="64"/>
      <c r="E172" s="64"/>
      <c r="F172" s="64"/>
      <c r="G172" s="74"/>
      <c r="H172" s="52" t="s">
        <v>613</v>
      </c>
      <c r="I172" s="69">
        <f t="shared" si="24"/>
        <v>1</v>
      </c>
      <c r="J172" s="69">
        <f t="shared" si="25"/>
        <v>1</v>
      </c>
      <c r="K172" s="69">
        <f t="shared" si="26"/>
        <v>0</v>
      </c>
      <c r="L172" s="69">
        <f t="shared" si="27"/>
        <v>2</v>
      </c>
      <c r="M172" s="69">
        <f t="shared" si="28"/>
        <v>0</v>
      </c>
      <c r="N172" s="69">
        <f t="shared" si="29"/>
        <v>1</v>
      </c>
      <c r="O172" s="69">
        <f t="shared" si="30"/>
        <v>0</v>
      </c>
      <c r="P172" s="69">
        <f t="shared" si="31"/>
        <v>0</v>
      </c>
      <c r="Q172" s="69" t="str">
        <f t="shared" si="32"/>
        <v>F_TRAD</v>
      </c>
      <c r="R172" s="69">
        <f t="shared" si="33"/>
        <v>40</v>
      </c>
      <c r="S172" s="69">
        <f t="shared" si="34"/>
        <v>40</v>
      </c>
      <c r="T172" s="69">
        <f t="shared" si="35"/>
        <v>0</v>
      </c>
      <c r="U172" s="238"/>
      <c r="V172" s="240" t="s">
        <v>1063</v>
      </c>
      <c r="W172" s="240" t="s">
        <v>1065</v>
      </c>
      <c r="X172" s="240" t="s">
        <v>966</v>
      </c>
      <c r="Y172" s="238" t="s">
        <v>1067</v>
      </c>
      <c r="Z172" s="238" t="s">
        <v>1067</v>
      </c>
      <c r="AA172" s="238" t="s">
        <v>1068</v>
      </c>
      <c r="AB172" s="238"/>
      <c r="AE172" s="267"/>
    </row>
    <row r="173" spans="1:31">
      <c r="A173" s="175"/>
      <c r="B173" s="64"/>
      <c r="C173" s="64"/>
      <c r="D173" s="64"/>
      <c r="E173" s="64"/>
      <c r="F173" s="64"/>
      <c r="G173" s="74"/>
      <c r="H173" s="52" t="s">
        <v>614</v>
      </c>
      <c r="I173" s="69">
        <f t="shared" si="24"/>
        <v>1</v>
      </c>
      <c r="J173" s="69">
        <f t="shared" si="25"/>
        <v>1</v>
      </c>
      <c r="K173" s="69">
        <f t="shared" si="26"/>
        <v>0</v>
      </c>
      <c r="L173" s="69">
        <f t="shared" si="27"/>
        <v>2</v>
      </c>
      <c r="M173" s="69">
        <f t="shared" si="28"/>
        <v>0</v>
      </c>
      <c r="N173" s="69">
        <f t="shared" si="29"/>
        <v>1</v>
      </c>
      <c r="O173" s="69">
        <f t="shared" si="30"/>
        <v>0</v>
      </c>
      <c r="P173" s="69">
        <f t="shared" si="31"/>
        <v>0</v>
      </c>
      <c r="Q173" s="69" t="str">
        <f t="shared" si="32"/>
        <v>F_TRAD</v>
      </c>
      <c r="R173" s="69">
        <f t="shared" si="33"/>
        <v>41</v>
      </c>
      <c r="S173" s="69">
        <f t="shared" si="34"/>
        <v>41</v>
      </c>
      <c r="T173" s="69">
        <f t="shared" si="35"/>
        <v>0</v>
      </c>
      <c r="U173" s="238"/>
      <c r="V173" s="240" t="s">
        <v>1063</v>
      </c>
      <c r="W173" s="240" t="s">
        <v>1065</v>
      </c>
      <c r="X173" s="240" t="s">
        <v>966</v>
      </c>
      <c r="Y173" s="238" t="s">
        <v>1067</v>
      </c>
      <c r="Z173" s="238" t="s">
        <v>1067</v>
      </c>
      <c r="AA173" s="238" t="s">
        <v>1068</v>
      </c>
      <c r="AB173" s="238"/>
      <c r="AE173" s="267"/>
    </row>
    <row r="174" spans="1:31">
      <c r="A174" s="175"/>
      <c r="B174" s="64"/>
      <c r="C174" s="64"/>
      <c r="D174" s="64"/>
      <c r="E174" s="64"/>
      <c r="F174" s="64"/>
      <c r="G174" s="74"/>
      <c r="H174" s="52" t="s">
        <v>554</v>
      </c>
      <c r="I174" s="69">
        <f t="shared" si="24"/>
        <v>1</v>
      </c>
      <c r="J174" s="69">
        <f t="shared" si="25"/>
        <v>1</v>
      </c>
      <c r="K174" s="69">
        <f t="shared" si="26"/>
        <v>1</v>
      </c>
      <c r="L174" s="69">
        <f t="shared" si="27"/>
        <v>2</v>
      </c>
      <c r="M174" s="69">
        <f t="shared" si="28"/>
        <v>0</v>
      </c>
      <c r="N174" s="69">
        <f t="shared" si="29"/>
        <v>3</v>
      </c>
      <c r="O174" s="69">
        <f t="shared" si="30"/>
        <v>0</v>
      </c>
      <c r="P174" s="69">
        <f t="shared" si="31"/>
        <v>0</v>
      </c>
      <c r="Q174" s="69" t="str">
        <f t="shared" si="32"/>
        <v>F_TRAD</v>
      </c>
      <c r="R174" s="69">
        <f t="shared" si="33"/>
        <v>17</v>
      </c>
      <c r="S174" s="69">
        <f t="shared" si="34"/>
        <v>17</v>
      </c>
      <c r="T174" s="69">
        <f t="shared" si="35"/>
        <v>0</v>
      </c>
      <c r="U174" s="238"/>
      <c r="V174" s="240" t="s">
        <v>1063</v>
      </c>
      <c r="W174" s="240" t="s">
        <v>1065</v>
      </c>
      <c r="X174" s="240" t="s">
        <v>966</v>
      </c>
      <c r="Y174" s="238" t="s">
        <v>1067</v>
      </c>
      <c r="Z174" s="238" t="s">
        <v>1067</v>
      </c>
      <c r="AA174" s="238" t="s">
        <v>1068</v>
      </c>
      <c r="AB174" s="238"/>
      <c r="AE174" s="267"/>
    </row>
    <row r="175" spans="1:31">
      <c r="A175" s="175"/>
      <c r="B175" s="64"/>
      <c r="C175" s="64"/>
      <c r="D175" s="64"/>
      <c r="E175" s="64"/>
      <c r="F175" s="64"/>
      <c r="G175" s="74"/>
      <c r="H175" s="52" t="s">
        <v>555</v>
      </c>
      <c r="I175" s="69">
        <f t="shared" si="24"/>
        <v>1</v>
      </c>
      <c r="J175" s="69">
        <f t="shared" si="25"/>
        <v>1</v>
      </c>
      <c r="K175" s="69">
        <f t="shared" si="26"/>
        <v>0</v>
      </c>
      <c r="L175" s="69">
        <f t="shared" si="27"/>
        <v>2</v>
      </c>
      <c r="M175" s="69">
        <f t="shared" si="28"/>
        <v>0</v>
      </c>
      <c r="N175" s="69">
        <f t="shared" si="29"/>
        <v>3</v>
      </c>
      <c r="O175" s="69">
        <f t="shared" si="30"/>
        <v>0</v>
      </c>
      <c r="P175" s="69">
        <f t="shared" si="31"/>
        <v>0</v>
      </c>
      <c r="Q175" s="69" t="str">
        <f t="shared" si="32"/>
        <v>F_TRAD</v>
      </c>
      <c r="R175" s="69">
        <f t="shared" si="33"/>
        <v>18</v>
      </c>
      <c r="S175" s="69">
        <f t="shared" si="34"/>
        <v>18</v>
      </c>
      <c r="T175" s="69">
        <f t="shared" si="35"/>
        <v>0</v>
      </c>
      <c r="U175" s="238"/>
      <c r="V175" s="240" t="s">
        <v>1063</v>
      </c>
      <c r="W175" s="240" t="s">
        <v>1065</v>
      </c>
      <c r="X175" s="240" t="s">
        <v>966</v>
      </c>
      <c r="Y175" s="238" t="s">
        <v>1067</v>
      </c>
      <c r="Z175" s="238" t="s">
        <v>1067</v>
      </c>
      <c r="AA175" s="238" t="s">
        <v>1068</v>
      </c>
      <c r="AB175" s="238"/>
      <c r="AE175" s="267"/>
    </row>
    <row r="176" spans="1:31">
      <c r="A176" s="175"/>
      <c r="B176" s="64"/>
      <c r="C176" s="64"/>
      <c r="D176" s="64"/>
      <c r="E176" s="64"/>
      <c r="F176" s="64"/>
      <c r="G176" s="74"/>
      <c r="H176" s="52" t="s">
        <v>516</v>
      </c>
      <c r="I176" s="69">
        <f t="shared" si="24"/>
        <v>1</v>
      </c>
      <c r="J176" s="69">
        <f t="shared" si="25"/>
        <v>2</v>
      </c>
      <c r="K176" s="69">
        <f t="shared" si="26"/>
        <v>1</v>
      </c>
      <c r="L176" s="69">
        <f t="shared" si="27"/>
        <v>1</v>
      </c>
      <c r="M176" s="69">
        <f t="shared" si="28"/>
        <v>0</v>
      </c>
      <c r="N176" s="69">
        <f t="shared" si="29"/>
        <v>2</v>
      </c>
      <c r="O176" s="69">
        <f t="shared" si="30"/>
        <v>0</v>
      </c>
      <c r="P176" s="69">
        <f t="shared" si="31"/>
        <v>0</v>
      </c>
      <c r="Q176" s="69" t="str">
        <f t="shared" si="32"/>
        <v>F_TRAD</v>
      </c>
      <c r="R176" s="69">
        <f t="shared" si="33"/>
        <v>122</v>
      </c>
      <c r="S176" s="69">
        <f t="shared" si="34"/>
        <v>122</v>
      </c>
      <c r="T176" s="69">
        <f t="shared" si="35"/>
        <v>0</v>
      </c>
      <c r="U176" s="238"/>
      <c r="V176" s="240" t="s">
        <v>1063</v>
      </c>
      <c r="W176" s="240" t="s">
        <v>965</v>
      </c>
      <c r="X176" s="240" t="s">
        <v>966</v>
      </c>
      <c r="Y176" s="238" t="s">
        <v>1066</v>
      </c>
      <c r="Z176" s="238" t="s">
        <v>1066</v>
      </c>
      <c r="AA176" s="238" t="s">
        <v>1066</v>
      </c>
      <c r="AB176" s="238"/>
      <c r="AE176" s="267"/>
    </row>
    <row r="177" spans="1:31">
      <c r="A177" s="175"/>
      <c r="B177" s="64"/>
      <c r="C177" s="64"/>
      <c r="D177" s="64"/>
      <c r="E177" s="64"/>
      <c r="F177" s="64"/>
      <c r="G177" s="74"/>
      <c r="H177" s="52" t="s">
        <v>488</v>
      </c>
      <c r="I177" s="69">
        <f t="shared" si="24"/>
        <v>1</v>
      </c>
      <c r="J177" s="69">
        <f t="shared" si="25"/>
        <v>2</v>
      </c>
      <c r="K177" s="69">
        <f t="shared" si="26"/>
        <v>1</v>
      </c>
      <c r="L177" s="69">
        <f t="shared" si="27"/>
        <v>1</v>
      </c>
      <c r="M177" s="69">
        <f t="shared" si="28"/>
        <v>0</v>
      </c>
      <c r="N177" s="69">
        <f t="shared" si="29"/>
        <v>3</v>
      </c>
      <c r="O177" s="69">
        <f t="shared" si="30"/>
        <v>0</v>
      </c>
      <c r="P177" s="69">
        <f t="shared" si="31"/>
        <v>0</v>
      </c>
      <c r="Q177" s="69" t="str">
        <f t="shared" si="32"/>
        <v>F_TRAD</v>
      </c>
      <c r="R177" s="69">
        <f t="shared" si="33"/>
        <v>119</v>
      </c>
      <c r="S177" s="69">
        <f t="shared" si="34"/>
        <v>119</v>
      </c>
      <c r="T177" s="69">
        <f t="shared" si="35"/>
        <v>0</v>
      </c>
      <c r="U177" s="238"/>
      <c r="V177" s="240" t="s">
        <v>1063</v>
      </c>
      <c r="W177" s="240" t="s">
        <v>965</v>
      </c>
      <c r="X177" s="240" t="s">
        <v>966</v>
      </c>
      <c r="Y177" s="238" t="s">
        <v>1066</v>
      </c>
      <c r="Z177" s="238" t="s">
        <v>1066</v>
      </c>
      <c r="AA177" s="238" t="s">
        <v>1066</v>
      </c>
      <c r="AB177" s="238"/>
      <c r="AE177" s="267"/>
    </row>
    <row r="178" spans="1:31">
      <c r="A178" s="175"/>
      <c r="B178" s="64"/>
      <c r="C178" s="64"/>
      <c r="D178" s="64"/>
      <c r="E178" s="64"/>
      <c r="F178" s="64"/>
      <c r="G178" s="74"/>
      <c r="H178" s="52" t="s">
        <v>478</v>
      </c>
      <c r="I178" s="69">
        <f t="shared" si="24"/>
        <v>1</v>
      </c>
      <c r="J178" s="69">
        <f t="shared" si="25"/>
        <v>2</v>
      </c>
      <c r="K178" s="69">
        <f t="shared" si="26"/>
        <v>1</v>
      </c>
      <c r="L178" s="69">
        <f t="shared" si="27"/>
        <v>1</v>
      </c>
      <c r="M178" s="69">
        <f t="shared" si="28"/>
        <v>0</v>
      </c>
      <c r="N178" s="69">
        <f t="shared" si="29"/>
        <v>3</v>
      </c>
      <c r="O178" s="69">
        <f t="shared" si="30"/>
        <v>0</v>
      </c>
      <c r="P178" s="69">
        <f t="shared" si="31"/>
        <v>0</v>
      </c>
      <c r="Q178" s="69" t="str">
        <f t="shared" si="32"/>
        <v>F_TRAD</v>
      </c>
      <c r="R178" s="69">
        <f t="shared" si="33"/>
        <v>120</v>
      </c>
      <c r="S178" s="69">
        <f t="shared" si="34"/>
        <v>120</v>
      </c>
      <c r="T178" s="69">
        <f t="shared" si="35"/>
        <v>0</v>
      </c>
      <c r="U178" s="238"/>
      <c r="V178" s="240" t="s">
        <v>1063</v>
      </c>
      <c r="W178" s="240" t="s">
        <v>965</v>
      </c>
      <c r="X178" s="240" t="s">
        <v>966</v>
      </c>
      <c r="Y178" s="238" t="s">
        <v>1066</v>
      </c>
      <c r="Z178" s="238" t="s">
        <v>1066</v>
      </c>
      <c r="AA178" s="238" t="s">
        <v>1066</v>
      </c>
      <c r="AB178" s="238"/>
      <c r="AE178" s="267"/>
    </row>
    <row r="179" spans="1:31">
      <c r="A179" s="175"/>
      <c r="B179" s="64"/>
      <c r="C179" s="64"/>
      <c r="D179" s="64"/>
      <c r="E179" s="64"/>
      <c r="F179" s="64"/>
      <c r="G179" s="74"/>
      <c r="H179" s="52" t="s">
        <v>556</v>
      </c>
      <c r="I179" s="69">
        <f t="shared" si="24"/>
        <v>1</v>
      </c>
      <c r="J179" s="69">
        <f t="shared" si="25"/>
        <v>2</v>
      </c>
      <c r="K179" s="69">
        <f t="shared" si="26"/>
        <v>1</v>
      </c>
      <c r="L179" s="69">
        <f t="shared" si="27"/>
        <v>1</v>
      </c>
      <c r="M179" s="69">
        <f t="shared" si="28"/>
        <v>0</v>
      </c>
      <c r="N179" s="69">
        <f t="shared" si="29"/>
        <v>1</v>
      </c>
      <c r="O179" s="69">
        <f t="shared" si="30"/>
        <v>0</v>
      </c>
      <c r="P179" s="69">
        <f t="shared" si="31"/>
        <v>0</v>
      </c>
      <c r="Q179" s="69" t="str">
        <f t="shared" si="32"/>
        <v>F_TRAD</v>
      </c>
      <c r="R179" s="69">
        <f t="shared" si="33"/>
        <v>121</v>
      </c>
      <c r="S179" s="69">
        <f t="shared" si="34"/>
        <v>121</v>
      </c>
      <c r="T179" s="69">
        <f t="shared" si="35"/>
        <v>4</v>
      </c>
      <c r="U179" s="238"/>
      <c r="V179" s="240" t="s">
        <v>1063</v>
      </c>
      <c r="W179" s="240" t="s">
        <v>965</v>
      </c>
      <c r="X179" s="240" t="s">
        <v>966</v>
      </c>
      <c r="Y179" s="238" t="s">
        <v>1066</v>
      </c>
      <c r="Z179" s="238" t="s">
        <v>1066</v>
      </c>
      <c r="AA179" s="238" t="s">
        <v>1066</v>
      </c>
      <c r="AB179" s="238"/>
      <c r="AE179" s="267"/>
    </row>
    <row r="180" spans="1:31">
      <c r="A180" s="175"/>
      <c r="B180" s="64"/>
      <c r="C180" s="64"/>
      <c r="D180" s="64"/>
      <c r="E180" s="64"/>
      <c r="F180" s="64"/>
      <c r="G180" s="74"/>
      <c r="H180" s="52" t="s">
        <v>499</v>
      </c>
      <c r="I180" s="69">
        <f t="shared" si="24"/>
        <v>1</v>
      </c>
      <c r="J180" s="69">
        <f t="shared" si="25"/>
        <v>2</v>
      </c>
      <c r="K180" s="69">
        <f t="shared" si="26"/>
        <v>1</v>
      </c>
      <c r="L180" s="69">
        <f t="shared" si="27"/>
        <v>1</v>
      </c>
      <c r="M180" s="69">
        <f t="shared" si="28"/>
        <v>0</v>
      </c>
      <c r="N180" s="69">
        <f t="shared" si="29"/>
        <v>2</v>
      </c>
      <c r="O180" s="69">
        <f t="shared" si="30"/>
        <v>1</v>
      </c>
      <c r="P180" s="69">
        <f t="shared" si="31"/>
        <v>1</v>
      </c>
      <c r="Q180" s="69" t="str">
        <f t="shared" si="32"/>
        <v>F_TRAD</v>
      </c>
      <c r="R180" s="69">
        <f t="shared" si="33"/>
        <v>53</v>
      </c>
      <c r="S180" s="69">
        <f t="shared" si="34"/>
        <v>53</v>
      </c>
      <c r="T180" s="69">
        <f t="shared" si="35"/>
        <v>0</v>
      </c>
      <c r="U180" s="238"/>
      <c r="V180" s="240" t="s">
        <v>1063</v>
      </c>
      <c r="W180" s="240" t="s">
        <v>965</v>
      </c>
      <c r="X180" s="240" t="s">
        <v>966</v>
      </c>
      <c r="Y180" s="238" t="s">
        <v>1066</v>
      </c>
      <c r="Z180" s="238" t="s">
        <v>1066</v>
      </c>
      <c r="AA180" s="238" t="s">
        <v>1066</v>
      </c>
      <c r="AB180" s="238"/>
      <c r="AE180" s="267"/>
    </row>
    <row r="181" spans="1:31">
      <c r="A181" s="175"/>
      <c r="B181" s="64"/>
      <c r="C181" s="64"/>
      <c r="D181" s="64"/>
      <c r="E181" s="64"/>
      <c r="F181" s="64"/>
      <c r="G181" s="74"/>
      <c r="H181" s="52" t="s">
        <v>584</v>
      </c>
      <c r="I181" s="69">
        <f t="shared" si="24"/>
        <v>1</v>
      </c>
      <c r="J181" s="69">
        <f t="shared" si="25"/>
        <v>2</v>
      </c>
      <c r="K181" s="69">
        <f t="shared" si="26"/>
        <v>0</v>
      </c>
      <c r="L181" s="69">
        <f t="shared" si="27"/>
        <v>3</v>
      </c>
      <c r="M181" s="69">
        <f t="shared" si="28"/>
        <v>0</v>
      </c>
      <c r="N181" s="69">
        <f t="shared" si="29"/>
        <v>1</v>
      </c>
      <c r="O181" s="69">
        <f t="shared" si="30"/>
        <v>0</v>
      </c>
      <c r="P181" s="69">
        <f t="shared" si="31"/>
        <v>0</v>
      </c>
      <c r="Q181" s="69" t="str">
        <f t="shared" si="32"/>
        <v>F_TRAD</v>
      </c>
      <c r="R181" s="69">
        <f t="shared" si="33"/>
        <v>101</v>
      </c>
      <c r="S181" s="69">
        <f t="shared" si="34"/>
        <v>101</v>
      </c>
      <c r="T181" s="69">
        <f t="shared" si="35"/>
        <v>0</v>
      </c>
      <c r="U181" s="238"/>
      <c r="V181" s="240" t="s">
        <v>1063</v>
      </c>
      <c r="W181" s="240" t="s">
        <v>1064</v>
      </c>
      <c r="X181" s="240" t="s">
        <v>966</v>
      </c>
      <c r="Y181" s="238" t="s">
        <v>328</v>
      </c>
      <c r="Z181" s="238" t="s">
        <v>328</v>
      </c>
      <c r="AA181" s="238" t="s">
        <v>328</v>
      </c>
      <c r="AB181" s="238"/>
      <c r="AE181" s="267"/>
    </row>
    <row r="182" spans="1:31">
      <c r="A182" s="175"/>
      <c r="B182" s="64"/>
      <c r="C182" s="64"/>
      <c r="D182" s="64"/>
      <c r="E182" s="64"/>
      <c r="F182" s="64"/>
      <c r="G182" s="74"/>
      <c r="H182" s="52" t="s">
        <v>489</v>
      </c>
      <c r="I182" s="69">
        <f t="shared" si="24"/>
        <v>1</v>
      </c>
      <c r="J182" s="69">
        <f t="shared" si="25"/>
        <v>2</v>
      </c>
      <c r="K182" s="69">
        <f t="shared" si="26"/>
        <v>1</v>
      </c>
      <c r="L182" s="69">
        <f t="shared" si="27"/>
        <v>1</v>
      </c>
      <c r="M182" s="69">
        <f t="shared" si="28"/>
        <v>0</v>
      </c>
      <c r="N182" s="69">
        <f t="shared" si="29"/>
        <v>3</v>
      </c>
      <c r="O182" s="69">
        <f t="shared" si="30"/>
        <v>0</v>
      </c>
      <c r="P182" s="69">
        <f t="shared" si="31"/>
        <v>0</v>
      </c>
      <c r="Q182" s="69" t="str">
        <f t="shared" si="32"/>
        <v>F_TRAD</v>
      </c>
      <c r="R182" s="69">
        <f t="shared" si="33"/>
        <v>102</v>
      </c>
      <c r="S182" s="69">
        <f t="shared" si="34"/>
        <v>102</v>
      </c>
      <c r="T182" s="69">
        <f t="shared" si="35"/>
        <v>0</v>
      </c>
      <c r="U182" s="238"/>
      <c r="V182" s="240" t="s">
        <v>1063</v>
      </c>
      <c r="W182" s="240" t="s">
        <v>965</v>
      </c>
      <c r="X182" s="240" t="s">
        <v>966</v>
      </c>
      <c r="Y182" s="238" t="s">
        <v>1067</v>
      </c>
      <c r="Z182" s="238" t="s">
        <v>1067</v>
      </c>
      <c r="AA182" s="238" t="s">
        <v>1067</v>
      </c>
      <c r="AB182" s="238"/>
      <c r="AE182" s="267"/>
    </row>
    <row r="183" spans="1:31">
      <c r="A183" s="175"/>
      <c r="B183" s="64"/>
      <c r="C183" s="64"/>
      <c r="D183" s="64"/>
      <c r="E183" s="64"/>
      <c r="F183" s="64"/>
      <c r="G183" s="74"/>
      <c r="H183" s="52" t="s">
        <v>500</v>
      </c>
      <c r="I183" s="69">
        <f t="shared" si="24"/>
        <v>1</v>
      </c>
      <c r="J183" s="69">
        <f t="shared" si="25"/>
        <v>2</v>
      </c>
      <c r="K183" s="69">
        <f t="shared" si="26"/>
        <v>1</v>
      </c>
      <c r="L183" s="69">
        <f t="shared" si="27"/>
        <v>1</v>
      </c>
      <c r="M183" s="69">
        <f t="shared" si="28"/>
        <v>0</v>
      </c>
      <c r="N183" s="69">
        <f t="shared" si="29"/>
        <v>2</v>
      </c>
      <c r="O183" s="69">
        <f t="shared" si="30"/>
        <v>1</v>
      </c>
      <c r="P183" s="69">
        <f t="shared" si="31"/>
        <v>1</v>
      </c>
      <c r="Q183" s="69" t="str">
        <f t="shared" si="32"/>
        <v>F_TRAD</v>
      </c>
      <c r="R183" s="69">
        <f t="shared" si="33"/>
        <v>65</v>
      </c>
      <c r="S183" s="69">
        <f t="shared" si="34"/>
        <v>65</v>
      </c>
      <c r="T183" s="69">
        <f t="shared" si="35"/>
        <v>0</v>
      </c>
      <c r="U183" s="238"/>
      <c r="V183" s="240" t="s">
        <v>1063</v>
      </c>
      <c r="W183" s="240" t="s">
        <v>965</v>
      </c>
      <c r="X183" s="240" t="s">
        <v>966</v>
      </c>
      <c r="Y183" s="238" t="s">
        <v>1066</v>
      </c>
      <c r="Z183" s="238" t="s">
        <v>1066</v>
      </c>
      <c r="AA183" s="238" t="s">
        <v>1066</v>
      </c>
      <c r="AB183" s="238"/>
      <c r="AE183" s="267"/>
    </row>
    <row r="184" spans="1:31">
      <c r="A184" s="175"/>
      <c r="B184" s="64"/>
      <c r="C184" s="64"/>
      <c r="D184" s="64"/>
      <c r="E184" s="64"/>
      <c r="F184" s="64"/>
      <c r="G184" s="74"/>
      <c r="H184" s="52" t="s">
        <v>351</v>
      </c>
      <c r="I184" s="69">
        <f t="shared" si="24"/>
        <v>0</v>
      </c>
      <c r="J184" s="69">
        <f t="shared" si="25"/>
        <v>0</v>
      </c>
      <c r="K184" s="69">
        <f t="shared" si="26"/>
        <v>0</v>
      </c>
      <c r="L184" s="69">
        <f t="shared" si="27"/>
        <v>0</v>
      </c>
      <c r="M184" s="69">
        <f t="shared" si="28"/>
        <v>0</v>
      </c>
      <c r="N184" s="69">
        <f t="shared" si="29"/>
        <v>0</v>
      </c>
      <c r="O184" s="69">
        <f t="shared" si="30"/>
        <v>0</v>
      </c>
      <c r="P184" s="69">
        <f t="shared" si="31"/>
        <v>0</v>
      </c>
      <c r="Q184" s="69">
        <f t="shared" si="32"/>
        <v>0</v>
      </c>
      <c r="R184" s="69">
        <f t="shared" si="33"/>
        <v>0</v>
      </c>
      <c r="S184" s="69">
        <f t="shared" si="34"/>
        <v>0</v>
      </c>
      <c r="T184" s="69">
        <f t="shared" si="35"/>
        <v>0</v>
      </c>
      <c r="U184" s="238"/>
      <c r="V184" s="240" t="s">
        <v>1063</v>
      </c>
      <c r="W184" s="240" t="s">
        <v>1065</v>
      </c>
      <c r="X184" s="240" t="s">
        <v>966</v>
      </c>
      <c r="Y184" s="238" t="s">
        <v>1066</v>
      </c>
      <c r="Z184" s="238" t="s">
        <v>1066</v>
      </c>
      <c r="AA184" s="238" t="s">
        <v>1066</v>
      </c>
      <c r="AB184" s="238"/>
      <c r="AE184" s="267"/>
    </row>
    <row r="185" spans="1:31">
      <c r="A185" s="175"/>
      <c r="B185" s="64"/>
      <c r="C185" s="64"/>
      <c r="D185" s="64"/>
      <c r="E185" s="64"/>
      <c r="F185" s="64"/>
      <c r="G185" s="74"/>
      <c r="H185" s="52" t="s">
        <v>352</v>
      </c>
      <c r="I185" s="69">
        <f t="shared" si="24"/>
        <v>0</v>
      </c>
      <c r="J185" s="69">
        <f t="shared" si="25"/>
        <v>0</v>
      </c>
      <c r="K185" s="69">
        <f t="shared" si="26"/>
        <v>0</v>
      </c>
      <c r="L185" s="69">
        <f t="shared" si="27"/>
        <v>0</v>
      </c>
      <c r="M185" s="69">
        <f t="shared" si="28"/>
        <v>0</v>
      </c>
      <c r="N185" s="69">
        <f t="shared" si="29"/>
        <v>0</v>
      </c>
      <c r="O185" s="69">
        <f t="shared" si="30"/>
        <v>0</v>
      </c>
      <c r="P185" s="69">
        <f t="shared" si="31"/>
        <v>0</v>
      </c>
      <c r="Q185" s="69">
        <f t="shared" si="32"/>
        <v>0</v>
      </c>
      <c r="R185" s="69">
        <f t="shared" si="33"/>
        <v>0</v>
      </c>
      <c r="S185" s="69">
        <f t="shared" si="34"/>
        <v>0</v>
      </c>
      <c r="T185" s="69">
        <f t="shared" si="35"/>
        <v>0</v>
      </c>
      <c r="U185" s="238"/>
      <c r="V185" s="240" t="s">
        <v>1063</v>
      </c>
      <c r="W185" s="240" t="s">
        <v>1065</v>
      </c>
      <c r="X185" s="240" t="s">
        <v>966</v>
      </c>
      <c r="Y185" s="238" t="s">
        <v>1066</v>
      </c>
      <c r="Z185" s="238" t="s">
        <v>1066</v>
      </c>
      <c r="AA185" s="238" t="s">
        <v>1066</v>
      </c>
      <c r="AB185" s="238"/>
      <c r="AE185" s="267"/>
    </row>
    <row r="186" spans="1:31">
      <c r="A186" s="175"/>
      <c r="B186" s="64"/>
      <c r="C186" s="64"/>
      <c r="D186" s="64"/>
      <c r="E186" s="64"/>
      <c r="F186" s="64"/>
      <c r="G186" s="74"/>
      <c r="H186" s="52" t="s">
        <v>353</v>
      </c>
      <c r="I186" s="69">
        <f t="shared" si="24"/>
        <v>0</v>
      </c>
      <c r="J186" s="69">
        <f t="shared" si="25"/>
        <v>0</v>
      </c>
      <c r="K186" s="69">
        <f t="shared" si="26"/>
        <v>0</v>
      </c>
      <c r="L186" s="69">
        <f t="shared" si="27"/>
        <v>0</v>
      </c>
      <c r="M186" s="69">
        <f t="shared" si="28"/>
        <v>0</v>
      </c>
      <c r="N186" s="69">
        <f t="shared" si="29"/>
        <v>0</v>
      </c>
      <c r="O186" s="69">
        <f t="shared" si="30"/>
        <v>0</v>
      </c>
      <c r="P186" s="69">
        <f t="shared" si="31"/>
        <v>0</v>
      </c>
      <c r="Q186" s="69">
        <f t="shared" si="32"/>
        <v>0</v>
      </c>
      <c r="R186" s="69">
        <f t="shared" si="33"/>
        <v>0</v>
      </c>
      <c r="S186" s="69">
        <f t="shared" si="34"/>
        <v>0</v>
      </c>
      <c r="T186" s="69">
        <f t="shared" si="35"/>
        <v>0</v>
      </c>
      <c r="U186" s="238"/>
      <c r="V186" s="240" t="s">
        <v>1063</v>
      </c>
      <c r="W186" s="240" t="s">
        <v>1065</v>
      </c>
      <c r="X186" s="240" t="s">
        <v>966</v>
      </c>
      <c r="Y186" s="238" t="s">
        <v>328</v>
      </c>
      <c r="Z186" s="238" t="s">
        <v>328</v>
      </c>
      <c r="AA186" s="238" t="s">
        <v>1066</v>
      </c>
      <c r="AB186" s="238"/>
      <c r="AE186" s="267"/>
    </row>
    <row r="187" spans="1:31">
      <c r="A187" s="175"/>
      <c r="B187" s="64"/>
      <c r="C187" s="64"/>
      <c r="D187" s="64"/>
      <c r="E187" s="64"/>
      <c r="F187" s="64"/>
      <c r="G187" s="74"/>
      <c r="H187" s="52" t="s">
        <v>467</v>
      </c>
      <c r="I187" s="69">
        <f t="shared" si="24"/>
        <v>0</v>
      </c>
      <c r="J187" s="69">
        <f t="shared" si="25"/>
        <v>0</v>
      </c>
      <c r="K187" s="69">
        <f t="shared" si="26"/>
        <v>0</v>
      </c>
      <c r="L187" s="69">
        <f t="shared" si="27"/>
        <v>0</v>
      </c>
      <c r="M187" s="69">
        <f t="shared" si="28"/>
        <v>0</v>
      </c>
      <c r="N187" s="69">
        <f t="shared" si="29"/>
        <v>0</v>
      </c>
      <c r="O187" s="69">
        <f t="shared" si="30"/>
        <v>0</v>
      </c>
      <c r="P187" s="69">
        <f t="shared" si="31"/>
        <v>0</v>
      </c>
      <c r="Q187" s="69">
        <f t="shared" si="32"/>
        <v>0</v>
      </c>
      <c r="R187" s="69">
        <f t="shared" si="33"/>
        <v>0</v>
      </c>
      <c r="S187" s="69">
        <f t="shared" si="34"/>
        <v>0</v>
      </c>
      <c r="T187" s="69">
        <f t="shared" si="35"/>
        <v>0</v>
      </c>
      <c r="U187" s="238"/>
      <c r="V187" s="240" t="s">
        <v>1063</v>
      </c>
      <c r="W187" s="240" t="s">
        <v>1064</v>
      </c>
      <c r="X187" s="240" t="s">
        <v>966</v>
      </c>
      <c r="Y187" s="238" t="s">
        <v>328</v>
      </c>
      <c r="Z187" s="238" t="s">
        <v>328</v>
      </c>
      <c r="AA187" s="238" t="s">
        <v>1066</v>
      </c>
      <c r="AB187" s="238"/>
      <c r="AE187" s="267"/>
    </row>
    <row r="188" spans="1:31">
      <c r="A188" s="175"/>
      <c r="B188" s="64"/>
      <c r="C188" s="64"/>
      <c r="D188" s="64"/>
      <c r="E188" s="64"/>
      <c r="F188" s="64"/>
      <c r="G188" s="74"/>
      <c r="H188" s="52" t="s">
        <v>331</v>
      </c>
      <c r="I188" s="69">
        <f t="shared" si="24"/>
        <v>0</v>
      </c>
      <c r="J188" s="69">
        <f t="shared" si="25"/>
        <v>0</v>
      </c>
      <c r="K188" s="69">
        <f t="shared" si="26"/>
        <v>0</v>
      </c>
      <c r="L188" s="69">
        <f t="shared" si="27"/>
        <v>0</v>
      </c>
      <c r="M188" s="69">
        <f t="shared" si="28"/>
        <v>0</v>
      </c>
      <c r="N188" s="69">
        <f t="shared" si="29"/>
        <v>0</v>
      </c>
      <c r="O188" s="69">
        <f t="shared" si="30"/>
        <v>0</v>
      </c>
      <c r="P188" s="69">
        <f t="shared" si="31"/>
        <v>0</v>
      </c>
      <c r="Q188" s="69">
        <f t="shared" si="32"/>
        <v>0</v>
      </c>
      <c r="R188" s="69">
        <f t="shared" si="33"/>
        <v>0</v>
      </c>
      <c r="S188" s="69">
        <f t="shared" si="34"/>
        <v>0</v>
      </c>
      <c r="T188" s="69">
        <f t="shared" si="35"/>
        <v>0</v>
      </c>
      <c r="U188" s="238"/>
      <c r="V188" s="240" t="s">
        <v>1063</v>
      </c>
      <c r="W188" s="240" t="s">
        <v>1064</v>
      </c>
      <c r="X188" s="240" t="s">
        <v>966</v>
      </c>
      <c r="Y188" s="238" t="s">
        <v>1066</v>
      </c>
      <c r="Z188" s="238" t="s">
        <v>1066</v>
      </c>
      <c r="AA188" s="238" t="s">
        <v>1066</v>
      </c>
      <c r="AB188" s="238"/>
      <c r="AE188" s="267"/>
    </row>
    <row r="189" spans="1:31">
      <c r="A189" s="175"/>
      <c r="B189" s="64"/>
      <c r="C189" s="64"/>
      <c r="D189" s="64"/>
      <c r="E189" s="64"/>
      <c r="F189" s="64"/>
      <c r="G189" s="74"/>
      <c r="H189" s="52" t="s">
        <v>339</v>
      </c>
      <c r="I189" s="69">
        <f t="shared" si="24"/>
        <v>0</v>
      </c>
      <c r="J189" s="69">
        <f t="shared" si="25"/>
        <v>0</v>
      </c>
      <c r="K189" s="69">
        <f t="shared" si="26"/>
        <v>0</v>
      </c>
      <c r="L189" s="69">
        <f t="shared" si="27"/>
        <v>0</v>
      </c>
      <c r="M189" s="69">
        <f t="shared" si="28"/>
        <v>0</v>
      </c>
      <c r="N189" s="69">
        <f t="shared" si="29"/>
        <v>0</v>
      </c>
      <c r="O189" s="69">
        <f t="shared" si="30"/>
        <v>0</v>
      </c>
      <c r="P189" s="69">
        <f t="shared" si="31"/>
        <v>0</v>
      </c>
      <c r="Q189" s="69">
        <f t="shared" si="32"/>
        <v>0</v>
      </c>
      <c r="R189" s="69">
        <f t="shared" si="33"/>
        <v>0</v>
      </c>
      <c r="S189" s="69">
        <f t="shared" si="34"/>
        <v>0</v>
      </c>
      <c r="T189" s="69">
        <f t="shared" si="35"/>
        <v>0</v>
      </c>
      <c r="U189" s="238"/>
      <c r="V189" s="240" t="s">
        <v>1063</v>
      </c>
      <c r="W189" s="240" t="s">
        <v>1065</v>
      </c>
      <c r="X189" s="240" t="s">
        <v>966</v>
      </c>
      <c r="Y189" s="238" t="s">
        <v>1066</v>
      </c>
      <c r="Z189" s="238" t="s">
        <v>1066</v>
      </c>
      <c r="AA189" s="238" t="s">
        <v>1066</v>
      </c>
      <c r="AB189" s="238"/>
      <c r="AE189" s="267"/>
    </row>
    <row r="190" spans="1:31">
      <c r="A190" s="175"/>
      <c r="B190" s="64"/>
      <c r="C190" s="64"/>
      <c r="D190" s="64"/>
      <c r="E190" s="64"/>
      <c r="F190" s="64"/>
      <c r="G190" s="74"/>
      <c r="H190" s="52" t="s">
        <v>517</v>
      </c>
      <c r="I190" s="69">
        <f t="shared" si="24"/>
        <v>1</v>
      </c>
      <c r="J190" s="69">
        <f t="shared" si="25"/>
        <v>2</v>
      </c>
      <c r="K190" s="69">
        <f t="shared" si="26"/>
        <v>1</v>
      </c>
      <c r="L190" s="69">
        <f t="shared" si="27"/>
        <v>1</v>
      </c>
      <c r="M190" s="69">
        <f t="shared" si="28"/>
        <v>0</v>
      </c>
      <c r="N190" s="69">
        <f t="shared" si="29"/>
        <v>2</v>
      </c>
      <c r="O190" s="69">
        <f t="shared" si="30"/>
        <v>0</v>
      </c>
      <c r="P190" s="69">
        <f t="shared" si="31"/>
        <v>0</v>
      </c>
      <c r="Q190" s="69" t="str">
        <f t="shared" si="32"/>
        <v>F_TRAD</v>
      </c>
      <c r="R190" s="69">
        <f t="shared" si="33"/>
        <v>90</v>
      </c>
      <c r="S190" s="69">
        <f t="shared" si="34"/>
        <v>90</v>
      </c>
      <c r="T190" s="69">
        <f t="shared" si="35"/>
        <v>0</v>
      </c>
      <c r="U190" s="238"/>
      <c r="V190" s="240" t="s">
        <v>1063</v>
      </c>
      <c r="W190" s="240" t="s">
        <v>965</v>
      </c>
      <c r="X190" s="240" t="s">
        <v>966</v>
      </c>
      <c r="Y190" s="238" t="s">
        <v>965</v>
      </c>
      <c r="Z190" s="238" t="s">
        <v>965</v>
      </c>
      <c r="AA190" s="238" t="s">
        <v>965</v>
      </c>
      <c r="AB190" s="238"/>
      <c r="AE190" s="267"/>
    </row>
    <row r="191" spans="1:31">
      <c r="A191" s="175"/>
      <c r="B191" s="64"/>
      <c r="C191" s="64"/>
      <c r="D191" s="64"/>
      <c r="E191" s="64"/>
      <c r="F191" s="64"/>
      <c r="G191" s="74"/>
      <c r="H191" s="52" t="s">
        <v>518</v>
      </c>
      <c r="I191" s="69">
        <f t="shared" si="24"/>
        <v>1</v>
      </c>
      <c r="J191" s="69">
        <f t="shared" si="25"/>
        <v>2</v>
      </c>
      <c r="K191" s="69">
        <f t="shared" si="26"/>
        <v>1</v>
      </c>
      <c r="L191" s="69">
        <f t="shared" si="27"/>
        <v>1</v>
      </c>
      <c r="M191" s="69">
        <f t="shared" si="28"/>
        <v>0</v>
      </c>
      <c r="N191" s="69">
        <f t="shared" si="29"/>
        <v>2</v>
      </c>
      <c r="O191" s="69">
        <f t="shared" si="30"/>
        <v>0</v>
      </c>
      <c r="P191" s="69">
        <f t="shared" si="31"/>
        <v>0</v>
      </c>
      <c r="Q191" s="69" t="str">
        <f t="shared" si="32"/>
        <v>F_TRAD</v>
      </c>
      <c r="R191" s="69">
        <f t="shared" si="33"/>
        <v>42</v>
      </c>
      <c r="S191" s="69">
        <f t="shared" si="34"/>
        <v>42</v>
      </c>
      <c r="T191" s="69">
        <f t="shared" si="35"/>
        <v>0</v>
      </c>
      <c r="U191" s="238"/>
      <c r="V191" s="240" t="s">
        <v>1063</v>
      </c>
      <c r="W191" s="240" t="s">
        <v>965</v>
      </c>
      <c r="X191" s="240" t="s">
        <v>966</v>
      </c>
      <c r="Y191" s="238" t="s">
        <v>1066</v>
      </c>
      <c r="Z191" s="238" t="s">
        <v>1066</v>
      </c>
      <c r="AA191" s="238" t="s">
        <v>1066</v>
      </c>
      <c r="AB191" s="238"/>
      <c r="AE191" s="267"/>
    </row>
    <row r="192" spans="1:31">
      <c r="A192" s="175"/>
      <c r="B192" s="64"/>
      <c r="C192" s="64"/>
      <c r="D192" s="64"/>
      <c r="E192" s="64"/>
      <c r="F192" s="64"/>
      <c r="G192" s="74"/>
      <c r="H192" s="52" t="s">
        <v>1024</v>
      </c>
      <c r="I192" s="69">
        <f t="shared" si="24"/>
        <v>1</v>
      </c>
      <c r="J192" s="69">
        <f t="shared" si="25"/>
        <v>2</v>
      </c>
      <c r="K192" s="69">
        <f t="shared" si="26"/>
        <v>0</v>
      </c>
      <c r="L192" s="69">
        <f t="shared" si="27"/>
        <v>3</v>
      </c>
      <c r="M192" s="69">
        <f t="shared" si="28"/>
        <v>0</v>
      </c>
      <c r="N192" s="69">
        <f t="shared" si="29"/>
        <v>1</v>
      </c>
      <c r="O192" s="69">
        <f t="shared" si="30"/>
        <v>0</v>
      </c>
      <c r="P192" s="69">
        <f t="shared" si="31"/>
        <v>0</v>
      </c>
      <c r="Q192" s="69" t="str">
        <f t="shared" si="32"/>
        <v>F_TRAD</v>
      </c>
      <c r="R192" s="69">
        <f t="shared" si="33"/>
        <v>93</v>
      </c>
      <c r="S192" s="69">
        <f t="shared" si="34"/>
        <v>93</v>
      </c>
      <c r="T192" s="69">
        <f t="shared" si="35"/>
        <v>0</v>
      </c>
      <c r="U192" s="238"/>
      <c r="V192" s="240" t="s">
        <v>1063</v>
      </c>
      <c r="W192" s="240" t="s">
        <v>1064</v>
      </c>
      <c r="X192" s="240" t="s">
        <v>966</v>
      </c>
      <c r="Y192" s="238" t="s">
        <v>328</v>
      </c>
      <c r="Z192" s="238" t="s">
        <v>328</v>
      </c>
      <c r="AA192" s="238" t="s">
        <v>328</v>
      </c>
      <c r="AB192" s="238"/>
      <c r="AE192" s="267"/>
    </row>
    <row r="193" spans="1:31">
      <c r="A193" s="175"/>
      <c r="B193" s="64"/>
      <c r="C193" s="64"/>
      <c r="D193" s="64"/>
      <c r="E193" s="64"/>
      <c r="F193" s="64"/>
      <c r="G193" s="74"/>
      <c r="H193" s="52" t="s">
        <v>1025</v>
      </c>
      <c r="I193" s="69">
        <f t="shared" si="24"/>
        <v>1</v>
      </c>
      <c r="J193" s="69">
        <f t="shared" si="25"/>
        <v>2</v>
      </c>
      <c r="K193" s="69">
        <f t="shared" si="26"/>
        <v>0</v>
      </c>
      <c r="L193" s="69">
        <f t="shared" si="27"/>
        <v>3</v>
      </c>
      <c r="M193" s="69">
        <f t="shared" si="28"/>
        <v>0</v>
      </c>
      <c r="N193" s="69">
        <f t="shared" si="29"/>
        <v>1</v>
      </c>
      <c r="O193" s="69">
        <f t="shared" si="30"/>
        <v>0</v>
      </c>
      <c r="P193" s="69">
        <f t="shared" si="31"/>
        <v>0</v>
      </c>
      <c r="Q193" s="69" t="str">
        <f t="shared" si="32"/>
        <v>F_TRAD</v>
      </c>
      <c r="R193" s="69">
        <f t="shared" si="33"/>
        <v>94</v>
      </c>
      <c r="S193" s="69">
        <f t="shared" si="34"/>
        <v>94</v>
      </c>
      <c r="T193" s="69">
        <f t="shared" si="35"/>
        <v>0</v>
      </c>
      <c r="U193" s="238"/>
      <c r="V193" s="240" t="s">
        <v>1063</v>
      </c>
      <c r="W193" s="240" t="s">
        <v>1064</v>
      </c>
      <c r="X193" s="240" t="s">
        <v>966</v>
      </c>
      <c r="Y193" s="238" t="s">
        <v>328</v>
      </c>
      <c r="Z193" s="238" t="s">
        <v>328</v>
      </c>
      <c r="AA193" s="238" t="s">
        <v>328</v>
      </c>
      <c r="AB193" s="238"/>
      <c r="AE193" s="267"/>
    </row>
    <row r="194" spans="1:31">
      <c r="A194" s="175"/>
      <c r="B194" s="64"/>
      <c r="C194" s="64"/>
      <c r="D194" s="64"/>
      <c r="E194" s="64"/>
      <c r="F194" s="64"/>
      <c r="G194" s="74"/>
      <c r="H194" s="52" t="s">
        <v>1079</v>
      </c>
      <c r="I194" s="69">
        <f t="shared" si="24"/>
        <v>1</v>
      </c>
      <c r="J194" s="69">
        <f t="shared" si="25"/>
        <v>2</v>
      </c>
      <c r="K194" s="69">
        <f t="shared" si="26"/>
        <v>1</v>
      </c>
      <c r="L194" s="69">
        <f t="shared" si="27"/>
        <v>1</v>
      </c>
      <c r="M194" s="69">
        <f t="shared" si="28"/>
        <v>0</v>
      </c>
      <c r="N194" s="69">
        <f t="shared" si="29"/>
        <v>3</v>
      </c>
      <c r="O194" s="69">
        <f t="shared" si="30"/>
        <v>0</v>
      </c>
      <c r="P194" s="69">
        <f t="shared" si="31"/>
        <v>0</v>
      </c>
      <c r="Q194" s="69" t="str">
        <f t="shared" si="32"/>
        <v>F_TRAD</v>
      </c>
      <c r="R194" s="69">
        <f t="shared" si="33"/>
        <v>95</v>
      </c>
      <c r="S194" s="69">
        <f t="shared" si="34"/>
        <v>95</v>
      </c>
      <c r="T194" s="69">
        <f t="shared" si="35"/>
        <v>0</v>
      </c>
      <c r="U194" s="238"/>
      <c r="V194" s="240" t="s">
        <v>1063</v>
      </c>
      <c r="W194" s="240" t="s">
        <v>965</v>
      </c>
      <c r="X194" s="240" t="s">
        <v>966</v>
      </c>
      <c r="Y194" s="238" t="s">
        <v>1066</v>
      </c>
      <c r="Z194" s="238" t="s">
        <v>1066</v>
      </c>
      <c r="AA194" s="238" t="s">
        <v>1066</v>
      </c>
      <c r="AB194" s="238"/>
      <c r="AE194" s="267"/>
    </row>
    <row r="195" spans="1:31">
      <c r="A195" s="175"/>
      <c r="B195" s="64"/>
      <c r="C195" s="64"/>
      <c r="D195" s="64"/>
      <c r="E195" s="64"/>
      <c r="F195" s="64"/>
      <c r="G195" s="74"/>
      <c r="H195" s="52" t="s">
        <v>1010</v>
      </c>
      <c r="I195" s="69">
        <f t="shared" si="24"/>
        <v>1</v>
      </c>
      <c r="J195" s="69">
        <f t="shared" si="25"/>
        <v>2</v>
      </c>
      <c r="K195" s="69">
        <f t="shared" si="26"/>
        <v>1</v>
      </c>
      <c r="L195" s="69">
        <f t="shared" si="27"/>
        <v>1</v>
      </c>
      <c r="M195" s="69">
        <f t="shared" si="28"/>
        <v>0</v>
      </c>
      <c r="N195" s="69">
        <f t="shared" si="29"/>
        <v>3</v>
      </c>
      <c r="O195" s="69">
        <f t="shared" si="30"/>
        <v>0</v>
      </c>
      <c r="P195" s="69">
        <f t="shared" si="31"/>
        <v>0</v>
      </c>
      <c r="Q195" s="69" t="str">
        <f t="shared" si="32"/>
        <v>F_TRAD</v>
      </c>
      <c r="R195" s="69">
        <f t="shared" si="33"/>
        <v>96</v>
      </c>
      <c r="S195" s="69">
        <f t="shared" si="34"/>
        <v>96</v>
      </c>
      <c r="T195" s="69">
        <f t="shared" si="35"/>
        <v>0</v>
      </c>
      <c r="U195" s="238"/>
      <c r="V195" s="240" t="s">
        <v>1063</v>
      </c>
      <c r="W195" s="240" t="s">
        <v>965</v>
      </c>
      <c r="X195" s="240" t="s">
        <v>966</v>
      </c>
      <c r="Y195" s="238" t="s">
        <v>1066</v>
      </c>
      <c r="Z195" s="238" t="s">
        <v>1066</v>
      </c>
      <c r="AA195" s="238" t="s">
        <v>1066</v>
      </c>
      <c r="AB195" s="238"/>
      <c r="AE195" s="267"/>
    </row>
    <row r="196" spans="1:31">
      <c r="A196" s="175"/>
      <c r="B196" s="64"/>
      <c r="C196" s="64"/>
      <c r="D196" s="64"/>
      <c r="E196" s="64"/>
      <c r="F196" s="64"/>
      <c r="G196" s="74"/>
      <c r="H196" s="52" t="s">
        <v>1011</v>
      </c>
      <c r="I196" s="69">
        <f t="shared" si="24"/>
        <v>1</v>
      </c>
      <c r="J196" s="69">
        <f t="shared" si="25"/>
        <v>2</v>
      </c>
      <c r="K196" s="69">
        <f t="shared" si="26"/>
        <v>1</v>
      </c>
      <c r="L196" s="69">
        <f t="shared" si="27"/>
        <v>1</v>
      </c>
      <c r="M196" s="69">
        <f t="shared" si="28"/>
        <v>0</v>
      </c>
      <c r="N196" s="69">
        <f t="shared" si="29"/>
        <v>3</v>
      </c>
      <c r="O196" s="69">
        <f t="shared" si="30"/>
        <v>0</v>
      </c>
      <c r="P196" s="69">
        <f t="shared" si="31"/>
        <v>0</v>
      </c>
      <c r="Q196" s="69" t="str">
        <f t="shared" si="32"/>
        <v>F_TRAD</v>
      </c>
      <c r="R196" s="69">
        <f t="shared" si="33"/>
        <v>97</v>
      </c>
      <c r="S196" s="69">
        <f t="shared" si="34"/>
        <v>97</v>
      </c>
      <c r="T196" s="69">
        <f t="shared" si="35"/>
        <v>0</v>
      </c>
      <c r="U196" s="238"/>
      <c r="V196" s="240" t="s">
        <v>1063</v>
      </c>
      <c r="W196" s="240" t="s">
        <v>965</v>
      </c>
      <c r="X196" s="240" t="s">
        <v>966</v>
      </c>
      <c r="Y196" s="238" t="s">
        <v>1066</v>
      </c>
      <c r="Z196" s="238" t="s">
        <v>1066</v>
      </c>
      <c r="AA196" s="238" t="s">
        <v>1066</v>
      </c>
      <c r="AB196" s="238"/>
      <c r="AE196" s="267"/>
    </row>
    <row r="197" spans="1:31">
      <c r="A197" s="175"/>
      <c r="B197" s="64"/>
      <c r="C197" s="64"/>
      <c r="D197" s="64"/>
      <c r="E197" s="64"/>
      <c r="F197" s="64"/>
      <c r="G197" s="74"/>
      <c r="H197" s="52" t="s">
        <v>1193</v>
      </c>
      <c r="I197" s="69">
        <f t="shared" si="24"/>
        <v>1</v>
      </c>
      <c r="J197" s="69">
        <f t="shared" si="25"/>
        <v>2</v>
      </c>
      <c r="K197" s="69">
        <f t="shared" si="26"/>
        <v>1</v>
      </c>
      <c r="L197" s="69">
        <f t="shared" si="27"/>
        <v>1</v>
      </c>
      <c r="M197" s="69">
        <f t="shared" si="28"/>
        <v>0</v>
      </c>
      <c r="N197" s="69">
        <f t="shared" si="29"/>
        <v>3</v>
      </c>
      <c r="O197" s="69">
        <f t="shared" si="30"/>
        <v>0</v>
      </c>
      <c r="P197" s="69">
        <f t="shared" si="31"/>
        <v>0</v>
      </c>
      <c r="Q197" s="69" t="str">
        <f t="shared" si="32"/>
        <v>F_TRAD</v>
      </c>
      <c r="R197" s="69">
        <f t="shared" si="33"/>
        <v>98</v>
      </c>
      <c r="S197" s="69">
        <f t="shared" si="34"/>
        <v>98</v>
      </c>
      <c r="T197" s="69">
        <f t="shared" si="35"/>
        <v>0</v>
      </c>
      <c r="U197" s="238"/>
      <c r="V197" s="240" t="s">
        <v>1063</v>
      </c>
      <c r="W197" s="240" t="s">
        <v>965</v>
      </c>
      <c r="X197" s="240" t="s">
        <v>966</v>
      </c>
      <c r="Y197" s="238" t="s">
        <v>1066</v>
      </c>
      <c r="Z197" s="238" t="s">
        <v>1066</v>
      </c>
      <c r="AA197" s="238" t="s">
        <v>1066</v>
      </c>
      <c r="AB197" s="238"/>
      <c r="AE197" s="267"/>
    </row>
    <row r="198" spans="1:31">
      <c r="A198" s="175"/>
      <c r="B198" s="64"/>
      <c r="C198" s="64"/>
      <c r="D198" s="64"/>
      <c r="E198" s="64"/>
      <c r="F198" s="64"/>
      <c r="G198" s="74"/>
      <c r="H198" s="52" t="s">
        <v>1015</v>
      </c>
      <c r="I198" s="69">
        <f t="shared" si="24"/>
        <v>1</v>
      </c>
      <c r="J198" s="69">
        <f t="shared" si="25"/>
        <v>2</v>
      </c>
      <c r="K198" s="69">
        <f t="shared" si="26"/>
        <v>1</v>
      </c>
      <c r="L198" s="69">
        <f t="shared" si="27"/>
        <v>1</v>
      </c>
      <c r="M198" s="69">
        <f t="shared" si="28"/>
        <v>0</v>
      </c>
      <c r="N198" s="69">
        <f t="shared" si="29"/>
        <v>2</v>
      </c>
      <c r="O198" s="69">
        <f t="shared" si="30"/>
        <v>0</v>
      </c>
      <c r="P198" s="69">
        <f t="shared" si="31"/>
        <v>0</v>
      </c>
      <c r="Q198" s="69" t="str">
        <f t="shared" si="32"/>
        <v>F_TRAD</v>
      </c>
      <c r="R198" s="69">
        <f t="shared" si="33"/>
        <v>100</v>
      </c>
      <c r="S198" s="69">
        <f t="shared" si="34"/>
        <v>100</v>
      </c>
      <c r="T198" s="69">
        <f t="shared" si="35"/>
        <v>0</v>
      </c>
      <c r="U198" s="238"/>
      <c r="V198" s="240" t="s">
        <v>1063</v>
      </c>
      <c r="W198" s="240" t="s">
        <v>965</v>
      </c>
      <c r="X198" s="240" t="s">
        <v>966</v>
      </c>
      <c r="Y198" s="238" t="s">
        <v>1066</v>
      </c>
      <c r="Z198" s="238" t="s">
        <v>1066</v>
      </c>
      <c r="AA198" s="238" t="s">
        <v>1066</v>
      </c>
      <c r="AB198" s="238"/>
      <c r="AE198" s="267"/>
    </row>
    <row r="199" spans="1:31">
      <c r="A199" s="175"/>
      <c r="B199" s="64"/>
      <c r="C199" s="64"/>
      <c r="D199" s="64"/>
      <c r="E199" s="64"/>
      <c r="F199" s="64"/>
      <c r="G199" s="74"/>
      <c r="H199" s="52" t="s">
        <v>1085</v>
      </c>
      <c r="I199" s="69">
        <f t="shared" si="24"/>
        <v>1</v>
      </c>
      <c r="J199" s="69">
        <f t="shared" si="25"/>
        <v>2</v>
      </c>
      <c r="K199" s="69">
        <f t="shared" si="26"/>
        <v>1</v>
      </c>
      <c r="L199" s="69">
        <f t="shared" si="27"/>
        <v>1</v>
      </c>
      <c r="M199" s="69">
        <f t="shared" si="28"/>
        <v>0</v>
      </c>
      <c r="N199" s="69">
        <f t="shared" si="29"/>
        <v>1</v>
      </c>
      <c r="O199" s="69">
        <f t="shared" si="30"/>
        <v>0</v>
      </c>
      <c r="P199" s="69">
        <f t="shared" si="31"/>
        <v>0</v>
      </c>
      <c r="Q199" s="69" t="str">
        <f t="shared" si="32"/>
        <v>F_TRAD</v>
      </c>
      <c r="R199" s="69">
        <f t="shared" si="33"/>
        <v>99</v>
      </c>
      <c r="S199" s="69">
        <f t="shared" si="34"/>
        <v>99</v>
      </c>
      <c r="T199" s="69">
        <f t="shared" si="35"/>
        <v>4</v>
      </c>
      <c r="U199" s="238"/>
      <c r="V199" s="240" t="s">
        <v>1063</v>
      </c>
      <c r="W199" s="240" t="s">
        <v>965</v>
      </c>
      <c r="X199" s="240" t="s">
        <v>966</v>
      </c>
      <c r="Y199" s="238" t="s">
        <v>1066</v>
      </c>
      <c r="Z199" s="238" t="s">
        <v>1066</v>
      </c>
      <c r="AA199" s="238" t="s">
        <v>1066</v>
      </c>
      <c r="AB199" s="238"/>
      <c r="AE199" s="267"/>
    </row>
    <row r="200" spans="1:31">
      <c r="A200" s="175"/>
      <c r="B200" s="64"/>
      <c r="C200" s="64"/>
      <c r="D200" s="64"/>
      <c r="E200" s="64"/>
      <c r="F200" s="64"/>
      <c r="G200" s="74"/>
      <c r="H200" s="52" t="s">
        <v>557</v>
      </c>
      <c r="I200" s="69">
        <f t="shared" si="24"/>
        <v>1</v>
      </c>
      <c r="J200" s="69">
        <f t="shared" si="25"/>
        <v>2</v>
      </c>
      <c r="K200" s="69">
        <f t="shared" si="26"/>
        <v>1</v>
      </c>
      <c r="L200" s="69">
        <f t="shared" si="27"/>
        <v>1</v>
      </c>
      <c r="M200" s="69">
        <f t="shared" si="28"/>
        <v>0</v>
      </c>
      <c r="N200" s="69">
        <f t="shared" si="29"/>
        <v>1</v>
      </c>
      <c r="O200" s="69">
        <f t="shared" si="30"/>
        <v>0</v>
      </c>
      <c r="P200" s="69">
        <f t="shared" si="31"/>
        <v>0</v>
      </c>
      <c r="Q200" s="69" t="str">
        <f t="shared" si="32"/>
        <v>F_TRAD</v>
      </c>
      <c r="R200" s="69">
        <f t="shared" si="33"/>
        <v>44</v>
      </c>
      <c r="S200" s="69">
        <f t="shared" si="34"/>
        <v>44</v>
      </c>
      <c r="T200" s="69">
        <f t="shared" si="35"/>
        <v>4</v>
      </c>
      <c r="U200" s="238"/>
      <c r="V200" s="240" t="s">
        <v>1063</v>
      </c>
      <c r="W200" s="240" t="s">
        <v>965</v>
      </c>
      <c r="X200" s="240" t="s">
        <v>966</v>
      </c>
      <c r="Y200" s="238" t="s">
        <v>1066</v>
      </c>
      <c r="Z200" s="238" t="s">
        <v>1066</v>
      </c>
      <c r="AA200" s="238" t="s">
        <v>1066</v>
      </c>
      <c r="AB200" s="238"/>
      <c r="AE200" s="267"/>
    </row>
    <row r="201" spans="1:31">
      <c r="A201" s="175"/>
      <c r="B201" s="64"/>
      <c r="C201" s="64"/>
      <c r="D201" s="64"/>
      <c r="E201" s="64"/>
      <c r="F201" s="64"/>
      <c r="G201" s="74"/>
      <c r="H201" s="52" t="s">
        <v>558</v>
      </c>
      <c r="I201" s="69">
        <f t="shared" si="24"/>
        <v>1</v>
      </c>
      <c r="J201" s="69">
        <f t="shared" si="25"/>
        <v>2</v>
      </c>
      <c r="K201" s="69">
        <f t="shared" si="26"/>
        <v>1</v>
      </c>
      <c r="L201" s="69">
        <f t="shared" si="27"/>
        <v>1</v>
      </c>
      <c r="M201" s="69">
        <f t="shared" si="28"/>
        <v>0</v>
      </c>
      <c r="N201" s="69">
        <f t="shared" si="29"/>
        <v>1</v>
      </c>
      <c r="O201" s="69">
        <f t="shared" si="30"/>
        <v>0</v>
      </c>
      <c r="P201" s="69">
        <f t="shared" si="31"/>
        <v>0</v>
      </c>
      <c r="Q201" s="69" t="str">
        <f t="shared" si="32"/>
        <v>F_TRAD</v>
      </c>
      <c r="R201" s="69">
        <f t="shared" si="33"/>
        <v>45</v>
      </c>
      <c r="S201" s="69">
        <f t="shared" si="34"/>
        <v>45</v>
      </c>
      <c r="T201" s="69">
        <f t="shared" si="35"/>
        <v>4</v>
      </c>
      <c r="U201" s="238"/>
      <c r="V201" s="240" t="s">
        <v>1063</v>
      </c>
      <c r="W201" s="240" t="s">
        <v>965</v>
      </c>
      <c r="X201" s="240" t="s">
        <v>966</v>
      </c>
      <c r="Y201" s="238" t="s">
        <v>1066</v>
      </c>
      <c r="Z201" s="238" t="s">
        <v>1066</v>
      </c>
      <c r="AA201" s="238" t="s">
        <v>1066</v>
      </c>
      <c r="AB201" s="238"/>
      <c r="AE201" s="267"/>
    </row>
    <row r="202" spans="1:31">
      <c r="A202" s="175"/>
      <c r="B202" s="64"/>
      <c r="C202" s="64"/>
      <c r="D202" s="64"/>
      <c r="E202" s="64"/>
      <c r="F202" s="64"/>
      <c r="G202" s="74"/>
      <c r="H202" s="52" t="s">
        <v>973</v>
      </c>
      <c r="I202" s="69">
        <f t="shared" si="24"/>
        <v>1</v>
      </c>
      <c r="J202" s="69">
        <f t="shared" si="25"/>
        <v>2</v>
      </c>
      <c r="K202" s="69">
        <f t="shared" si="26"/>
        <v>0</v>
      </c>
      <c r="L202" s="69">
        <f t="shared" si="27"/>
        <v>3</v>
      </c>
      <c r="M202" s="69">
        <f t="shared" si="28"/>
        <v>0</v>
      </c>
      <c r="N202" s="69">
        <f t="shared" si="29"/>
        <v>1</v>
      </c>
      <c r="O202" s="69">
        <f t="shared" si="30"/>
        <v>0</v>
      </c>
      <c r="P202" s="69">
        <f t="shared" si="31"/>
        <v>0</v>
      </c>
      <c r="Q202" s="69" t="str">
        <f t="shared" si="32"/>
        <v>F_TRAD</v>
      </c>
      <c r="R202" s="69">
        <f t="shared" si="33"/>
        <v>46</v>
      </c>
      <c r="S202" s="69">
        <f t="shared" si="34"/>
        <v>46</v>
      </c>
      <c r="T202" s="69">
        <f t="shared" si="35"/>
        <v>0</v>
      </c>
      <c r="U202" s="238"/>
      <c r="V202" s="240" t="s">
        <v>1063</v>
      </c>
      <c r="W202" s="240" t="s">
        <v>1064</v>
      </c>
      <c r="X202" s="240" t="s">
        <v>966</v>
      </c>
      <c r="Y202" s="238" t="s">
        <v>328</v>
      </c>
      <c r="Z202" s="238" t="s">
        <v>328</v>
      </c>
      <c r="AA202" s="238" t="s">
        <v>328</v>
      </c>
      <c r="AB202" s="238"/>
      <c r="AE202" s="267"/>
    </row>
    <row r="203" spans="1:31">
      <c r="A203" s="175"/>
      <c r="B203" s="64"/>
      <c r="C203" s="64"/>
      <c r="D203" s="64"/>
      <c r="E203" s="64"/>
      <c r="F203" s="64"/>
      <c r="G203" s="74"/>
      <c r="H203" s="52" t="s">
        <v>472</v>
      </c>
      <c r="I203" s="69">
        <f t="shared" si="24"/>
        <v>1</v>
      </c>
      <c r="J203" s="69">
        <f t="shared" si="25"/>
        <v>2</v>
      </c>
      <c r="K203" s="69">
        <f t="shared" si="26"/>
        <v>1</v>
      </c>
      <c r="L203" s="69">
        <f t="shared" si="27"/>
        <v>1</v>
      </c>
      <c r="M203" s="69">
        <f t="shared" si="28"/>
        <v>0</v>
      </c>
      <c r="N203" s="69">
        <f t="shared" si="29"/>
        <v>3</v>
      </c>
      <c r="O203" s="69">
        <f t="shared" si="30"/>
        <v>0</v>
      </c>
      <c r="P203" s="69">
        <f t="shared" si="31"/>
        <v>0</v>
      </c>
      <c r="Q203" s="69" t="str">
        <f t="shared" si="32"/>
        <v>F_TRAD</v>
      </c>
      <c r="R203" s="69">
        <f t="shared" si="33"/>
        <v>47</v>
      </c>
      <c r="S203" s="69">
        <f t="shared" si="34"/>
        <v>47</v>
      </c>
      <c r="T203" s="69">
        <f t="shared" si="35"/>
        <v>0</v>
      </c>
      <c r="U203" s="238"/>
      <c r="V203" s="240" t="s">
        <v>1063</v>
      </c>
      <c r="W203" s="240" t="s">
        <v>965</v>
      </c>
      <c r="X203" s="240" t="s">
        <v>966</v>
      </c>
      <c r="Y203" s="238" t="s">
        <v>1066</v>
      </c>
      <c r="Z203" s="238" t="s">
        <v>1066</v>
      </c>
      <c r="AA203" s="238" t="s">
        <v>1066</v>
      </c>
      <c r="AB203" s="238"/>
      <c r="AE203" s="267"/>
    </row>
    <row r="204" spans="1:31">
      <c r="A204" s="175"/>
      <c r="B204" s="64"/>
      <c r="C204" s="64"/>
      <c r="D204" s="64"/>
      <c r="E204" s="64"/>
      <c r="F204" s="64"/>
      <c r="G204" s="74"/>
      <c r="H204" s="52" t="s">
        <v>585</v>
      </c>
      <c r="I204" s="69">
        <f t="shared" si="24"/>
        <v>1</v>
      </c>
      <c r="J204" s="69">
        <f t="shared" si="25"/>
        <v>2</v>
      </c>
      <c r="K204" s="69">
        <f t="shared" si="26"/>
        <v>0</v>
      </c>
      <c r="L204" s="69">
        <f t="shared" si="27"/>
        <v>3</v>
      </c>
      <c r="M204" s="69">
        <f t="shared" si="28"/>
        <v>0</v>
      </c>
      <c r="N204" s="69">
        <f t="shared" si="29"/>
        <v>1</v>
      </c>
      <c r="O204" s="69">
        <f t="shared" si="30"/>
        <v>0</v>
      </c>
      <c r="P204" s="69">
        <f t="shared" si="31"/>
        <v>0</v>
      </c>
      <c r="Q204" s="69" t="str">
        <f t="shared" si="32"/>
        <v>F_TRAD</v>
      </c>
      <c r="R204" s="69">
        <f t="shared" si="33"/>
        <v>48</v>
      </c>
      <c r="S204" s="69">
        <f t="shared" si="34"/>
        <v>48</v>
      </c>
      <c r="T204" s="69">
        <f t="shared" si="35"/>
        <v>0</v>
      </c>
      <c r="U204" s="238"/>
      <c r="V204" s="240" t="s">
        <v>1063</v>
      </c>
      <c r="W204" s="240" t="s">
        <v>1064</v>
      </c>
      <c r="X204" s="240" t="s">
        <v>966</v>
      </c>
      <c r="Y204" s="238" t="s">
        <v>328</v>
      </c>
      <c r="Z204" s="238" t="s">
        <v>328</v>
      </c>
      <c r="AA204" s="238" t="s">
        <v>328</v>
      </c>
      <c r="AB204" s="238"/>
      <c r="AE204" s="267"/>
    </row>
    <row r="205" spans="1:31">
      <c r="A205" s="175"/>
      <c r="B205" s="64"/>
      <c r="C205" s="64"/>
      <c r="D205" s="64"/>
      <c r="E205" s="64"/>
      <c r="F205" s="64"/>
      <c r="G205" s="74"/>
      <c r="H205" s="52" t="s">
        <v>468</v>
      </c>
      <c r="I205" s="69">
        <f t="shared" si="24"/>
        <v>1</v>
      </c>
      <c r="J205" s="69">
        <f t="shared" si="25"/>
        <v>2</v>
      </c>
      <c r="K205" s="69">
        <f t="shared" si="26"/>
        <v>1</v>
      </c>
      <c r="L205" s="69">
        <f t="shared" si="27"/>
        <v>1</v>
      </c>
      <c r="M205" s="69">
        <f t="shared" si="28"/>
        <v>0</v>
      </c>
      <c r="N205" s="69">
        <f t="shared" si="29"/>
        <v>3</v>
      </c>
      <c r="O205" s="69">
        <f t="shared" si="30"/>
        <v>0</v>
      </c>
      <c r="P205" s="69">
        <f t="shared" si="31"/>
        <v>0</v>
      </c>
      <c r="Q205" s="69" t="str">
        <f t="shared" si="32"/>
        <v>F_TRAD</v>
      </c>
      <c r="R205" s="69">
        <f t="shared" si="33"/>
        <v>49</v>
      </c>
      <c r="S205" s="69">
        <f t="shared" si="34"/>
        <v>49</v>
      </c>
      <c r="T205" s="69">
        <f t="shared" si="35"/>
        <v>0</v>
      </c>
      <c r="U205" s="238"/>
      <c r="V205" s="240" t="s">
        <v>1063</v>
      </c>
      <c r="W205" s="240" t="s">
        <v>965</v>
      </c>
      <c r="X205" s="240" t="s">
        <v>966</v>
      </c>
      <c r="Y205" s="238" t="s">
        <v>1066</v>
      </c>
      <c r="Z205" s="238" t="s">
        <v>1066</v>
      </c>
      <c r="AA205" s="238" t="s">
        <v>1066</v>
      </c>
      <c r="AB205" s="238"/>
      <c r="AE205" s="267"/>
    </row>
    <row r="206" spans="1:31">
      <c r="A206" s="175"/>
      <c r="B206" s="64"/>
      <c r="C206" s="64"/>
      <c r="D206" s="64"/>
      <c r="E206" s="64"/>
      <c r="F206" s="64"/>
      <c r="G206" s="74"/>
      <c r="H206" s="52" t="s">
        <v>490</v>
      </c>
      <c r="I206" s="69">
        <f t="shared" si="24"/>
        <v>1</v>
      </c>
      <c r="J206" s="69">
        <f t="shared" si="25"/>
        <v>2</v>
      </c>
      <c r="K206" s="69">
        <f t="shared" si="26"/>
        <v>1</v>
      </c>
      <c r="L206" s="69">
        <f t="shared" si="27"/>
        <v>1</v>
      </c>
      <c r="M206" s="69">
        <f t="shared" si="28"/>
        <v>0</v>
      </c>
      <c r="N206" s="69">
        <f t="shared" si="29"/>
        <v>3</v>
      </c>
      <c r="O206" s="69">
        <f t="shared" si="30"/>
        <v>0</v>
      </c>
      <c r="P206" s="69">
        <f t="shared" si="31"/>
        <v>0</v>
      </c>
      <c r="Q206" s="69" t="str">
        <f t="shared" si="32"/>
        <v>F_TRAD</v>
      </c>
      <c r="R206" s="69">
        <f t="shared" si="33"/>
        <v>50</v>
      </c>
      <c r="S206" s="69">
        <f t="shared" si="34"/>
        <v>50</v>
      </c>
      <c r="T206" s="69">
        <f t="shared" si="35"/>
        <v>0</v>
      </c>
      <c r="U206" s="238"/>
      <c r="V206" s="240" t="s">
        <v>1063</v>
      </c>
      <c r="W206" s="240" t="s">
        <v>965</v>
      </c>
      <c r="X206" s="240" t="s">
        <v>966</v>
      </c>
      <c r="Y206" s="238" t="s">
        <v>1066</v>
      </c>
      <c r="Z206" s="238" t="s">
        <v>1066</v>
      </c>
      <c r="AA206" s="238" t="s">
        <v>1066</v>
      </c>
      <c r="AB206" s="238"/>
      <c r="AE206" s="267"/>
    </row>
    <row r="207" spans="1:31">
      <c r="A207" s="175"/>
      <c r="B207" s="64"/>
      <c r="C207" s="64"/>
      <c r="D207" s="64"/>
      <c r="E207" s="64"/>
      <c r="F207" s="64"/>
      <c r="G207" s="74"/>
      <c r="H207" s="52" t="s">
        <v>479</v>
      </c>
      <c r="I207" s="69">
        <f t="shared" si="24"/>
        <v>1</v>
      </c>
      <c r="J207" s="69">
        <f t="shared" si="25"/>
        <v>2</v>
      </c>
      <c r="K207" s="69">
        <f t="shared" si="26"/>
        <v>1</v>
      </c>
      <c r="L207" s="69">
        <f t="shared" si="27"/>
        <v>1</v>
      </c>
      <c r="M207" s="69">
        <f t="shared" si="28"/>
        <v>0</v>
      </c>
      <c r="N207" s="69">
        <f t="shared" si="29"/>
        <v>3</v>
      </c>
      <c r="O207" s="69">
        <f t="shared" si="30"/>
        <v>0</v>
      </c>
      <c r="P207" s="69">
        <f t="shared" si="31"/>
        <v>0</v>
      </c>
      <c r="Q207" s="69" t="str">
        <f t="shared" si="32"/>
        <v>F_TRAD</v>
      </c>
      <c r="R207" s="69">
        <f t="shared" si="33"/>
        <v>51</v>
      </c>
      <c r="S207" s="69">
        <f t="shared" si="34"/>
        <v>51</v>
      </c>
      <c r="T207" s="69">
        <f t="shared" si="35"/>
        <v>0</v>
      </c>
      <c r="U207" s="238"/>
      <c r="V207" s="240" t="s">
        <v>1063</v>
      </c>
      <c r="W207" s="240" t="s">
        <v>965</v>
      </c>
      <c r="X207" s="240" t="s">
        <v>966</v>
      </c>
      <c r="Y207" s="238" t="s">
        <v>1066</v>
      </c>
      <c r="Z207" s="238" t="s">
        <v>1066</v>
      </c>
      <c r="AA207" s="238" t="s">
        <v>1066</v>
      </c>
      <c r="AB207" s="238"/>
      <c r="AE207" s="267"/>
    </row>
    <row r="208" spans="1:31">
      <c r="A208" s="175"/>
      <c r="B208" s="64"/>
      <c r="C208" s="64"/>
      <c r="D208" s="64"/>
      <c r="E208" s="64"/>
      <c r="F208" s="64"/>
      <c r="G208" s="74"/>
      <c r="H208" s="52" t="s">
        <v>501</v>
      </c>
      <c r="I208" s="69">
        <f t="shared" si="24"/>
        <v>1</v>
      </c>
      <c r="J208" s="69">
        <f t="shared" si="25"/>
        <v>2</v>
      </c>
      <c r="K208" s="69">
        <f t="shared" si="26"/>
        <v>1</v>
      </c>
      <c r="L208" s="69">
        <f t="shared" si="27"/>
        <v>1</v>
      </c>
      <c r="M208" s="69">
        <f t="shared" si="28"/>
        <v>0</v>
      </c>
      <c r="N208" s="69">
        <f t="shared" si="29"/>
        <v>2</v>
      </c>
      <c r="O208" s="69">
        <f t="shared" si="30"/>
        <v>1</v>
      </c>
      <c r="P208" s="69">
        <f t="shared" si="31"/>
        <v>1</v>
      </c>
      <c r="Q208" s="69" t="str">
        <f t="shared" si="32"/>
        <v>F_TRAD</v>
      </c>
      <c r="R208" s="69">
        <f t="shared" si="33"/>
        <v>52</v>
      </c>
      <c r="S208" s="69">
        <f t="shared" si="34"/>
        <v>52</v>
      </c>
      <c r="T208" s="69">
        <f t="shared" si="35"/>
        <v>0</v>
      </c>
      <c r="U208" s="238"/>
      <c r="V208" s="240" t="s">
        <v>1063</v>
      </c>
      <c r="W208" s="240" t="s">
        <v>965</v>
      </c>
      <c r="X208" s="240" t="s">
        <v>966</v>
      </c>
      <c r="Y208" s="238" t="s">
        <v>1066</v>
      </c>
      <c r="Z208" s="238" t="s">
        <v>1066</v>
      </c>
      <c r="AA208" s="238" t="s">
        <v>1066</v>
      </c>
      <c r="AB208" s="238"/>
      <c r="AE208" s="267"/>
    </row>
    <row r="209" spans="1:31">
      <c r="A209" s="175"/>
      <c r="B209" s="64"/>
      <c r="C209" s="64"/>
      <c r="D209" s="64"/>
      <c r="E209" s="64"/>
      <c r="F209" s="64"/>
      <c r="G209" s="74"/>
      <c r="H209" s="52" t="s">
        <v>473</v>
      </c>
      <c r="I209" s="69">
        <f t="shared" si="24"/>
        <v>1</v>
      </c>
      <c r="J209" s="69">
        <f t="shared" si="25"/>
        <v>2</v>
      </c>
      <c r="K209" s="69">
        <f t="shared" si="26"/>
        <v>1</v>
      </c>
      <c r="L209" s="69">
        <f t="shared" si="27"/>
        <v>1</v>
      </c>
      <c r="M209" s="69">
        <f t="shared" si="28"/>
        <v>0</v>
      </c>
      <c r="N209" s="69">
        <f t="shared" si="29"/>
        <v>3</v>
      </c>
      <c r="O209" s="69">
        <f t="shared" si="30"/>
        <v>0</v>
      </c>
      <c r="P209" s="69">
        <f t="shared" si="31"/>
        <v>0</v>
      </c>
      <c r="Q209" s="69" t="str">
        <f t="shared" si="32"/>
        <v>F_TRAD</v>
      </c>
      <c r="R209" s="69">
        <f t="shared" si="33"/>
        <v>56</v>
      </c>
      <c r="S209" s="69">
        <f t="shared" si="34"/>
        <v>56</v>
      </c>
      <c r="T209" s="69">
        <f t="shared" si="35"/>
        <v>0</v>
      </c>
      <c r="U209" s="238"/>
      <c r="V209" s="240" t="s">
        <v>1063</v>
      </c>
      <c r="W209" s="240" t="s">
        <v>965</v>
      </c>
      <c r="X209" s="240" t="s">
        <v>966</v>
      </c>
      <c r="Y209" s="238" t="s">
        <v>1066</v>
      </c>
      <c r="Z209" s="238" t="s">
        <v>1066</v>
      </c>
      <c r="AA209" s="238" t="s">
        <v>1066</v>
      </c>
      <c r="AB209" s="238"/>
      <c r="AE209" s="267"/>
    </row>
    <row r="210" spans="1:31">
      <c r="A210" s="175"/>
      <c r="B210" s="64"/>
      <c r="C210" s="64"/>
      <c r="D210" s="64"/>
      <c r="E210" s="64"/>
      <c r="F210" s="64"/>
      <c r="G210" s="74"/>
      <c r="H210" s="52" t="s">
        <v>559</v>
      </c>
      <c r="I210" s="69">
        <f t="shared" si="24"/>
        <v>1</v>
      </c>
      <c r="J210" s="69">
        <f t="shared" si="25"/>
        <v>2</v>
      </c>
      <c r="K210" s="69">
        <f t="shared" si="26"/>
        <v>1</v>
      </c>
      <c r="L210" s="69">
        <f t="shared" si="27"/>
        <v>3</v>
      </c>
      <c r="M210" s="69">
        <f t="shared" si="28"/>
        <v>0</v>
      </c>
      <c r="N210" s="69">
        <f t="shared" si="29"/>
        <v>1</v>
      </c>
      <c r="O210" s="69">
        <f t="shared" si="30"/>
        <v>0</v>
      </c>
      <c r="P210" s="69">
        <f t="shared" si="31"/>
        <v>0</v>
      </c>
      <c r="Q210" s="69" t="str">
        <f t="shared" si="32"/>
        <v>F_TRAD</v>
      </c>
      <c r="R210" s="69">
        <f t="shared" si="33"/>
        <v>57</v>
      </c>
      <c r="S210" s="69">
        <f t="shared" si="34"/>
        <v>57</v>
      </c>
      <c r="T210" s="69">
        <f t="shared" si="35"/>
        <v>0</v>
      </c>
      <c r="U210" s="238"/>
      <c r="V210" s="240" t="s">
        <v>1063</v>
      </c>
      <c r="W210" s="240" t="s">
        <v>965</v>
      </c>
      <c r="X210" s="240" t="s">
        <v>966</v>
      </c>
      <c r="Y210" s="238" t="s">
        <v>328</v>
      </c>
      <c r="Z210" s="238" t="s">
        <v>328</v>
      </c>
      <c r="AA210" s="238" t="s">
        <v>328</v>
      </c>
      <c r="AB210" s="238"/>
      <c r="AE210" s="267"/>
    </row>
    <row r="211" spans="1:31">
      <c r="A211" s="175"/>
      <c r="B211" s="64"/>
      <c r="C211" s="64"/>
      <c r="D211" s="64"/>
      <c r="E211" s="64"/>
      <c r="F211" s="64"/>
      <c r="G211" s="74"/>
      <c r="H211" s="52" t="s">
        <v>586</v>
      </c>
      <c r="I211" s="69">
        <f t="shared" si="24"/>
        <v>1</v>
      </c>
      <c r="J211" s="69">
        <f t="shared" si="25"/>
        <v>2</v>
      </c>
      <c r="K211" s="69">
        <f t="shared" si="26"/>
        <v>0</v>
      </c>
      <c r="L211" s="69">
        <f t="shared" si="27"/>
        <v>3</v>
      </c>
      <c r="M211" s="69">
        <f t="shared" si="28"/>
        <v>0</v>
      </c>
      <c r="N211" s="69">
        <f t="shared" si="29"/>
        <v>1</v>
      </c>
      <c r="O211" s="69">
        <f t="shared" si="30"/>
        <v>0</v>
      </c>
      <c r="P211" s="69">
        <f t="shared" si="31"/>
        <v>0</v>
      </c>
      <c r="Q211" s="69" t="str">
        <f t="shared" si="32"/>
        <v>F_TRAD</v>
      </c>
      <c r="R211" s="69">
        <f t="shared" si="33"/>
        <v>58</v>
      </c>
      <c r="S211" s="69">
        <f t="shared" si="34"/>
        <v>58</v>
      </c>
      <c r="T211" s="69">
        <f t="shared" si="35"/>
        <v>0</v>
      </c>
      <c r="U211" s="238"/>
      <c r="V211" s="240" t="s">
        <v>1063</v>
      </c>
      <c r="W211" s="240" t="s">
        <v>1064</v>
      </c>
      <c r="X211" s="240" t="s">
        <v>966</v>
      </c>
      <c r="Y211" s="238" t="s">
        <v>328</v>
      </c>
      <c r="Z211" s="238" t="s">
        <v>328</v>
      </c>
      <c r="AA211" s="238" t="s">
        <v>328</v>
      </c>
      <c r="AB211" s="238"/>
      <c r="AE211" s="267"/>
    </row>
    <row r="212" spans="1:31">
      <c r="A212" s="175"/>
      <c r="B212" s="64"/>
      <c r="C212" s="64"/>
      <c r="D212" s="64"/>
      <c r="E212" s="64"/>
      <c r="F212" s="64"/>
      <c r="G212" s="74"/>
      <c r="H212" s="52" t="s">
        <v>578</v>
      </c>
      <c r="I212" s="69">
        <f t="shared" si="24"/>
        <v>1</v>
      </c>
      <c r="J212" s="69">
        <f t="shared" si="25"/>
        <v>2</v>
      </c>
      <c r="K212" s="69">
        <f t="shared" si="26"/>
        <v>1</v>
      </c>
      <c r="L212" s="69">
        <f t="shared" si="27"/>
        <v>1</v>
      </c>
      <c r="M212" s="69">
        <f t="shared" si="28"/>
        <v>1</v>
      </c>
      <c r="N212" s="69">
        <f t="shared" si="29"/>
        <v>1</v>
      </c>
      <c r="O212" s="69">
        <f t="shared" si="30"/>
        <v>0</v>
      </c>
      <c r="P212" s="69">
        <f t="shared" si="31"/>
        <v>0</v>
      </c>
      <c r="Q212" s="69" t="str">
        <f t="shared" si="32"/>
        <v>F_TRAD</v>
      </c>
      <c r="R212" s="69">
        <f t="shared" si="33"/>
        <v>59</v>
      </c>
      <c r="S212" s="69">
        <f t="shared" si="34"/>
        <v>59</v>
      </c>
      <c r="T212" s="69">
        <f t="shared" si="35"/>
        <v>4</v>
      </c>
      <c r="U212" s="238"/>
      <c r="V212" s="240" t="s">
        <v>1063</v>
      </c>
      <c r="W212" s="240" t="s">
        <v>965</v>
      </c>
      <c r="X212" s="240" t="s">
        <v>966</v>
      </c>
      <c r="Y212" s="238" t="s">
        <v>1066</v>
      </c>
      <c r="Z212" s="238" t="s">
        <v>1066</v>
      </c>
      <c r="AA212" s="238" t="s">
        <v>1066</v>
      </c>
      <c r="AB212" s="238"/>
      <c r="AE212" s="267"/>
    </row>
    <row r="213" spans="1:31">
      <c r="A213" s="175"/>
      <c r="B213" s="64"/>
      <c r="C213" s="64"/>
      <c r="D213" s="64"/>
      <c r="E213" s="64"/>
      <c r="F213" s="64"/>
      <c r="G213" s="74"/>
      <c r="H213" s="52" t="s">
        <v>579</v>
      </c>
      <c r="I213" s="69">
        <f t="shared" si="24"/>
        <v>1</v>
      </c>
      <c r="J213" s="69">
        <f t="shared" si="25"/>
        <v>2</v>
      </c>
      <c r="K213" s="69">
        <f t="shared" si="26"/>
        <v>1</v>
      </c>
      <c r="L213" s="69">
        <f t="shared" si="27"/>
        <v>1</v>
      </c>
      <c r="M213" s="69">
        <f t="shared" si="28"/>
        <v>1</v>
      </c>
      <c r="N213" s="69">
        <f t="shared" si="29"/>
        <v>1</v>
      </c>
      <c r="O213" s="69">
        <f t="shared" si="30"/>
        <v>0</v>
      </c>
      <c r="P213" s="69">
        <f t="shared" si="31"/>
        <v>0</v>
      </c>
      <c r="Q213" s="69" t="str">
        <f t="shared" si="32"/>
        <v>F_TRAD</v>
      </c>
      <c r="R213" s="69">
        <f t="shared" si="33"/>
        <v>60</v>
      </c>
      <c r="S213" s="69">
        <f t="shared" si="34"/>
        <v>60</v>
      </c>
      <c r="T213" s="69">
        <f t="shared" si="35"/>
        <v>4</v>
      </c>
      <c r="U213" s="238"/>
      <c r="V213" s="240" t="s">
        <v>1063</v>
      </c>
      <c r="W213" s="240" t="s">
        <v>965</v>
      </c>
      <c r="X213" s="240" t="s">
        <v>966</v>
      </c>
      <c r="Y213" s="238" t="s">
        <v>1066</v>
      </c>
      <c r="Z213" s="238" t="s">
        <v>1066</v>
      </c>
      <c r="AA213" s="238" t="s">
        <v>1066</v>
      </c>
      <c r="AB213" s="238"/>
      <c r="AE213" s="267"/>
    </row>
    <row r="214" spans="1:31">
      <c r="A214" s="175"/>
      <c r="B214" s="64"/>
      <c r="C214" s="64"/>
      <c r="D214" s="64"/>
      <c r="E214" s="64"/>
      <c r="F214" s="64"/>
      <c r="G214" s="74"/>
      <c r="H214" s="52" t="s">
        <v>469</v>
      </c>
      <c r="I214" s="69">
        <f t="shared" si="24"/>
        <v>1</v>
      </c>
      <c r="J214" s="69">
        <f t="shared" si="25"/>
        <v>2</v>
      </c>
      <c r="K214" s="69">
        <f t="shared" si="26"/>
        <v>1</v>
      </c>
      <c r="L214" s="69">
        <f t="shared" si="27"/>
        <v>1</v>
      </c>
      <c r="M214" s="69">
        <f t="shared" si="28"/>
        <v>0</v>
      </c>
      <c r="N214" s="69">
        <f t="shared" si="29"/>
        <v>3</v>
      </c>
      <c r="O214" s="69">
        <f t="shared" si="30"/>
        <v>0</v>
      </c>
      <c r="P214" s="69">
        <f t="shared" si="31"/>
        <v>0</v>
      </c>
      <c r="Q214" s="69" t="str">
        <f t="shared" si="32"/>
        <v>F_TRAD</v>
      </c>
      <c r="R214" s="69">
        <f t="shared" si="33"/>
        <v>61</v>
      </c>
      <c r="S214" s="69">
        <f t="shared" si="34"/>
        <v>61</v>
      </c>
      <c r="T214" s="69">
        <f t="shared" si="35"/>
        <v>0</v>
      </c>
      <c r="U214" s="238"/>
      <c r="V214" s="240" t="s">
        <v>1063</v>
      </c>
      <c r="W214" s="240" t="s">
        <v>965</v>
      </c>
      <c r="X214" s="240" t="s">
        <v>966</v>
      </c>
      <c r="Y214" s="238" t="s">
        <v>1066</v>
      </c>
      <c r="Z214" s="238" t="s">
        <v>1066</v>
      </c>
      <c r="AA214" s="238" t="s">
        <v>1066</v>
      </c>
      <c r="AB214" s="238"/>
      <c r="AE214" s="267"/>
    </row>
    <row r="215" spans="1:31">
      <c r="A215" s="175"/>
      <c r="B215" s="64"/>
      <c r="C215" s="64"/>
      <c r="D215" s="64"/>
      <c r="E215" s="64"/>
      <c r="F215" s="64"/>
      <c r="G215" s="74"/>
      <c r="H215" s="52" t="s">
        <v>491</v>
      </c>
      <c r="I215" s="69">
        <f t="shared" si="24"/>
        <v>1</v>
      </c>
      <c r="J215" s="69">
        <f t="shared" si="25"/>
        <v>2</v>
      </c>
      <c r="K215" s="69">
        <f t="shared" si="26"/>
        <v>1</v>
      </c>
      <c r="L215" s="69">
        <f t="shared" si="27"/>
        <v>1</v>
      </c>
      <c r="M215" s="69">
        <f t="shared" si="28"/>
        <v>0</v>
      </c>
      <c r="N215" s="69">
        <f t="shared" si="29"/>
        <v>3</v>
      </c>
      <c r="O215" s="69">
        <f t="shared" si="30"/>
        <v>0</v>
      </c>
      <c r="P215" s="69">
        <f t="shared" si="31"/>
        <v>0</v>
      </c>
      <c r="Q215" s="69" t="str">
        <f t="shared" si="32"/>
        <v>F_TRAD</v>
      </c>
      <c r="R215" s="69">
        <f t="shared" si="33"/>
        <v>62</v>
      </c>
      <c r="S215" s="69">
        <f t="shared" si="34"/>
        <v>62</v>
      </c>
      <c r="T215" s="69">
        <f t="shared" si="35"/>
        <v>0</v>
      </c>
      <c r="U215" s="238"/>
      <c r="V215" s="240" t="s">
        <v>1063</v>
      </c>
      <c r="W215" s="240" t="s">
        <v>965</v>
      </c>
      <c r="X215" s="240" t="s">
        <v>966</v>
      </c>
      <c r="Y215" s="238" t="s">
        <v>1066</v>
      </c>
      <c r="Z215" s="238" t="s">
        <v>1066</v>
      </c>
      <c r="AA215" s="238" t="s">
        <v>1066</v>
      </c>
      <c r="AB215" s="238"/>
      <c r="AE215" s="267"/>
    </row>
    <row r="216" spans="1:31">
      <c r="A216" s="175"/>
      <c r="B216" s="64"/>
      <c r="C216" s="64"/>
      <c r="D216" s="64"/>
      <c r="E216" s="64"/>
      <c r="F216" s="64"/>
      <c r="G216" s="74"/>
      <c r="H216" s="52" t="s">
        <v>480</v>
      </c>
      <c r="I216" s="69">
        <f t="shared" si="24"/>
        <v>1</v>
      </c>
      <c r="J216" s="69">
        <f t="shared" si="25"/>
        <v>2</v>
      </c>
      <c r="K216" s="69">
        <f t="shared" si="26"/>
        <v>1</v>
      </c>
      <c r="L216" s="69">
        <f t="shared" si="27"/>
        <v>1</v>
      </c>
      <c r="M216" s="69">
        <f t="shared" si="28"/>
        <v>0</v>
      </c>
      <c r="N216" s="69">
        <f t="shared" si="29"/>
        <v>3</v>
      </c>
      <c r="O216" s="69">
        <f t="shared" si="30"/>
        <v>0</v>
      </c>
      <c r="P216" s="69">
        <f t="shared" si="31"/>
        <v>0</v>
      </c>
      <c r="Q216" s="69" t="str">
        <f t="shared" si="32"/>
        <v>F_TRAD</v>
      </c>
      <c r="R216" s="69">
        <f t="shared" si="33"/>
        <v>63</v>
      </c>
      <c r="S216" s="69">
        <f t="shared" si="34"/>
        <v>63</v>
      </c>
      <c r="T216" s="69">
        <f t="shared" si="35"/>
        <v>0</v>
      </c>
      <c r="U216" s="238"/>
      <c r="V216" s="240" t="s">
        <v>1063</v>
      </c>
      <c r="W216" s="240" t="s">
        <v>965</v>
      </c>
      <c r="X216" s="240" t="s">
        <v>966</v>
      </c>
      <c r="Y216" s="238" t="s">
        <v>1066</v>
      </c>
      <c r="Z216" s="238" t="s">
        <v>1066</v>
      </c>
      <c r="AA216" s="238" t="s">
        <v>1066</v>
      </c>
      <c r="AB216" s="238"/>
      <c r="AE216" s="267"/>
    </row>
    <row r="217" spans="1:31">
      <c r="A217" s="175"/>
      <c r="B217" s="64"/>
      <c r="C217" s="64"/>
      <c r="D217" s="64"/>
      <c r="E217" s="64"/>
      <c r="F217" s="64"/>
      <c r="G217" s="74"/>
      <c r="H217" s="52" t="s">
        <v>560</v>
      </c>
      <c r="I217" s="69">
        <f t="shared" si="24"/>
        <v>1</v>
      </c>
      <c r="J217" s="69">
        <f t="shared" si="25"/>
        <v>2</v>
      </c>
      <c r="K217" s="69">
        <f t="shared" si="26"/>
        <v>1</v>
      </c>
      <c r="L217" s="69">
        <f t="shared" si="27"/>
        <v>1</v>
      </c>
      <c r="M217" s="69">
        <f t="shared" si="28"/>
        <v>0</v>
      </c>
      <c r="N217" s="69">
        <f t="shared" si="29"/>
        <v>1</v>
      </c>
      <c r="O217" s="69">
        <f t="shared" si="30"/>
        <v>0</v>
      </c>
      <c r="P217" s="69">
        <f t="shared" si="31"/>
        <v>0</v>
      </c>
      <c r="Q217" s="69" t="str">
        <f t="shared" si="32"/>
        <v>F_TRAD</v>
      </c>
      <c r="R217" s="69">
        <f t="shared" si="33"/>
        <v>64</v>
      </c>
      <c r="S217" s="69">
        <f t="shared" si="34"/>
        <v>64</v>
      </c>
      <c r="T217" s="69">
        <f t="shared" si="35"/>
        <v>4</v>
      </c>
      <c r="U217" s="238"/>
      <c r="V217" s="240" t="s">
        <v>1063</v>
      </c>
      <c r="W217" s="240" t="s">
        <v>965</v>
      </c>
      <c r="X217" s="240" t="s">
        <v>966</v>
      </c>
      <c r="Y217" s="238" t="s">
        <v>1066</v>
      </c>
      <c r="Z217" s="238" t="s">
        <v>1066</v>
      </c>
      <c r="AA217" s="238" t="s">
        <v>1066</v>
      </c>
      <c r="AB217" s="238"/>
      <c r="AE217" s="267"/>
    </row>
    <row r="218" spans="1:31">
      <c r="A218" s="175"/>
      <c r="B218" s="64"/>
      <c r="C218" s="64"/>
      <c r="D218" s="64"/>
      <c r="E218" s="64"/>
      <c r="F218" s="64"/>
      <c r="G218" s="74"/>
      <c r="H218" s="52" t="s">
        <v>561</v>
      </c>
      <c r="I218" s="69">
        <f t="shared" si="24"/>
        <v>1</v>
      </c>
      <c r="J218" s="69">
        <f t="shared" si="25"/>
        <v>2</v>
      </c>
      <c r="K218" s="69">
        <f t="shared" si="26"/>
        <v>1</v>
      </c>
      <c r="L218" s="69">
        <f t="shared" si="27"/>
        <v>1</v>
      </c>
      <c r="M218" s="69">
        <f t="shared" si="28"/>
        <v>0</v>
      </c>
      <c r="N218" s="69">
        <f t="shared" si="29"/>
        <v>1</v>
      </c>
      <c r="O218" s="69">
        <f t="shared" si="30"/>
        <v>0</v>
      </c>
      <c r="P218" s="69">
        <f t="shared" si="31"/>
        <v>0</v>
      </c>
      <c r="Q218" s="69" t="str">
        <f t="shared" si="32"/>
        <v>F_TRAD</v>
      </c>
      <c r="R218" s="69">
        <f t="shared" si="33"/>
        <v>103</v>
      </c>
      <c r="S218" s="69">
        <f t="shared" si="34"/>
        <v>103</v>
      </c>
      <c r="T218" s="69">
        <f t="shared" si="35"/>
        <v>0</v>
      </c>
      <c r="U218" s="238"/>
      <c r="V218" s="240" t="s">
        <v>1063</v>
      </c>
      <c r="W218" s="240" t="s">
        <v>965</v>
      </c>
      <c r="X218" s="240" t="s">
        <v>966</v>
      </c>
      <c r="Y218" s="238" t="s">
        <v>328</v>
      </c>
      <c r="Z218" s="238" t="s">
        <v>328</v>
      </c>
      <c r="AA218" s="238" t="s">
        <v>328</v>
      </c>
      <c r="AB218" s="238"/>
      <c r="AE218" s="267"/>
    </row>
    <row r="219" spans="1:31">
      <c r="A219" s="175"/>
      <c r="B219" s="64"/>
      <c r="C219" s="64"/>
      <c r="D219" s="64"/>
      <c r="E219" s="64"/>
      <c r="F219" s="64"/>
      <c r="G219" s="74"/>
      <c r="H219" s="52" t="s">
        <v>562</v>
      </c>
      <c r="I219" s="69">
        <f t="shared" si="24"/>
        <v>1</v>
      </c>
      <c r="J219" s="69">
        <f t="shared" si="25"/>
        <v>2</v>
      </c>
      <c r="K219" s="69">
        <f t="shared" si="26"/>
        <v>1</v>
      </c>
      <c r="L219" s="69">
        <f t="shared" si="27"/>
        <v>1</v>
      </c>
      <c r="M219" s="69">
        <f t="shared" si="28"/>
        <v>0</v>
      </c>
      <c r="N219" s="69">
        <f t="shared" si="29"/>
        <v>1</v>
      </c>
      <c r="O219" s="69">
        <f t="shared" si="30"/>
        <v>0</v>
      </c>
      <c r="P219" s="69">
        <f t="shared" si="31"/>
        <v>0</v>
      </c>
      <c r="Q219" s="69" t="str">
        <f t="shared" si="32"/>
        <v>F_TRAD</v>
      </c>
      <c r="R219" s="69">
        <f t="shared" si="33"/>
        <v>104</v>
      </c>
      <c r="S219" s="69">
        <f t="shared" si="34"/>
        <v>104</v>
      </c>
      <c r="T219" s="69">
        <f t="shared" si="35"/>
        <v>4</v>
      </c>
      <c r="U219" s="238"/>
      <c r="V219" s="240" t="s">
        <v>1063</v>
      </c>
      <c r="W219" s="240" t="s">
        <v>965</v>
      </c>
      <c r="X219" s="240" t="s">
        <v>966</v>
      </c>
      <c r="Y219" s="238" t="s">
        <v>1066</v>
      </c>
      <c r="Z219" s="238" t="s">
        <v>1066</v>
      </c>
      <c r="AA219" s="238" t="s">
        <v>1066</v>
      </c>
      <c r="AB219" s="238"/>
      <c r="AE219" s="267"/>
    </row>
    <row r="220" spans="1:31">
      <c r="A220" s="175"/>
      <c r="B220" s="64"/>
      <c r="C220" s="64"/>
      <c r="D220" s="64"/>
      <c r="E220" s="64"/>
      <c r="F220" s="64"/>
      <c r="G220" s="74"/>
      <c r="H220" s="52" t="s">
        <v>563</v>
      </c>
      <c r="I220" s="69">
        <f t="shared" si="24"/>
        <v>1</v>
      </c>
      <c r="J220" s="69">
        <f t="shared" si="25"/>
        <v>2</v>
      </c>
      <c r="K220" s="69">
        <f t="shared" si="26"/>
        <v>1</v>
      </c>
      <c r="L220" s="69">
        <f t="shared" si="27"/>
        <v>1</v>
      </c>
      <c r="M220" s="69">
        <f t="shared" si="28"/>
        <v>0</v>
      </c>
      <c r="N220" s="69">
        <f t="shared" si="29"/>
        <v>1</v>
      </c>
      <c r="O220" s="69">
        <f t="shared" si="30"/>
        <v>0</v>
      </c>
      <c r="P220" s="69">
        <f t="shared" si="31"/>
        <v>0</v>
      </c>
      <c r="Q220" s="69" t="str">
        <f t="shared" si="32"/>
        <v>F_TRAD</v>
      </c>
      <c r="R220" s="69">
        <f t="shared" si="33"/>
        <v>105</v>
      </c>
      <c r="S220" s="69">
        <f t="shared" si="34"/>
        <v>105</v>
      </c>
      <c r="T220" s="69">
        <f t="shared" si="35"/>
        <v>4</v>
      </c>
      <c r="U220" s="238"/>
      <c r="V220" s="240" t="s">
        <v>1063</v>
      </c>
      <c r="W220" s="240" t="s">
        <v>965</v>
      </c>
      <c r="X220" s="240" t="s">
        <v>966</v>
      </c>
      <c r="Y220" s="238" t="s">
        <v>1066</v>
      </c>
      <c r="Z220" s="238" t="s">
        <v>1066</v>
      </c>
      <c r="AA220" s="238" t="s">
        <v>1066</v>
      </c>
      <c r="AB220" s="238"/>
      <c r="AE220" s="267"/>
    </row>
    <row r="221" spans="1:31">
      <c r="A221" s="175"/>
      <c r="B221" s="64"/>
      <c r="C221" s="64"/>
      <c r="D221" s="64"/>
      <c r="E221" s="64"/>
      <c r="F221" s="64"/>
      <c r="G221" s="74"/>
      <c r="H221" s="52" t="s">
        <v>564</v>
      </c>
      <c r="I221" s="69">
        <f t="shared" si="24"/>
        <v>1</v>
      </c>
      <c r="J221" s="69">
        <f t="shared" si="25"/>
        <v>2</v>
      </c>
      <c r="K221" s="69">
        <f t="shared" si="26"/>
        <v>1</v>
      </c>
      <c r="L221" s="69">
        <f t="shared" si="27"/>
        <v>1</v>
      </c>
      <c r="M221" s="69">
        <f t="shared" si="28"/>
        <v>0</v>
      </c>
      <c r="N221" s="69">
        <f t="shared" si="29"/>
        <v>1</v>
      </c>
      <c r="O221" s="69">
        <f t="shared" si="30"/>
        <v>0</v>
      </c>
      <c r="P221" s="69">
        <f t="shared" si="31"/>
        <v>0</v>
      </c>
      <c r="Q221" s="69" t="str">
        <f t="shared" si="32"/>
        <v>F_TRAD</v>
      </c>
      <c r="R221" s="69">
        <f t="shared" si="33"/>
        <v>106</v>
      </c>
      <c r="S221" s="69">
        <f t="shared" si="34"/>
        <v>106</v>
      </c>
      <c r="T221" s="69">
        <f t="shared" si="35"/>
        <v>4</v>
      </c>
      <c r="U221" s="238"/>
      <c r="V221" s="240" t="s">
        <v>1063</v>
      </c>
      <c r="W221" s="240" t="s">
        <v>965</v>
      </c>
      <c r="X221" s="240" t="s">
        <v>966</v>
      </c>
      <c r="Y221" s="238" t="s">
        <v>1066</v>
      </c>
      <c r="Z221" s="238" t="s">
        <v>1066</v>
      </c>
      <c r="AA221" s="238" t="s">
        <v>1066</v>
      </c>
      <c r="AB221" s="238"/>
      <c r="AE221" s="267"/>
    </row>
    <row r="222" spans="1:31">
      <c r="A222" s="175"/>
      <c r="B222" s="64"/>
      <c r="C222" s="64"/>
      <c r="D222" s="64"/>
      <c r="E222" s="64"/>
      <c r="F222" s="64"/>
      <c r="G222" s="74"/>
      <c r="H222" s="52" t="s">
        <v>474</v>
      </c>
      <c r="I222" s="69">
        <f t="shared" ref="I222:I292" si="36">IF(ISNA(VLOOKUP($H222,Modelpuntoverzicht,1,FALSE)),0,1)</f>
        <v>1</v>
      </c>
      <c r="J222" s="69">
        <f t="shared" ref="J222:J292" si="37">IF($I222=1,VLOOKUP($H222,Modelpuntoverzicht,6,FALSE),0)</f>
        <v>2</v>
      </c>
      <c r="K222" s="69">
        <f t="shared" ref="K222:K292" si="38">IF($I222=1,IF(VLOOKUP($H222,Modelpuntoverzicht,12,FALSE)=1,1,0),0)</f>
        <v>1</v>
      </c>
      <c r="L222" s="69">
        <f t="shared" ref="L222:L292" si="39">IF($I222=1,VLOOKUP($H222,Modelpuntoverzicht,38,FALSE),0)</f>
        <v>1</v>
      </c>
      <c r="M222" s="69">
        <f t="shared" ref="M222:M292" si="40">IF($I222=1,IF(VLOOKUP($H222,Modelpuntoverzicht,30,FALSE)="JA",1,0),0)</f>
        <v>0</v>
      </c>
      <c r="N222" s="69">
        <f t="shared" ref="N222:N292" si="41">IF($I222=1,VLOOKUP($H222,Modelpuntoverzicht,9,FALSE),0)</f>
        <v>3</v>
      </c>
      <c r="O222" s="69">
        <f t="shared" ref="O222:O292" si="42">IF($I222=1,VLOOKUP($H222,Modelpuntoverzicht,11,FALSE),0)</f>
        <v>0</v>
      </c>
      <c r="P222" s="69">
        <f t="shared" ref="P222:P292" si="43">IF($I222=1,VLOOKUP($H222,Modelpuntoverzicht,39,FALSE),0)</f>
        <v>0</v>
      </c>
      <c r="Q222" s="69" t="str">
        <f t="shared" ref="Q222:Q292" si="44">IF($I222=1,VLOOKUP($H222,OSM_Info_PerMP,4,FALSE),0)</f>
        <v>F_TRAD</v>
      </c>
      <c r="R222" s="69">
        <f t="shared" ref="R222:R292" si="45">IF($I222=1,VLOOKUP($H222,OSM_Info_PerMP,6,FALSE),0)</f>
        <v>107</v>
      </c>
      <c r="S222" s="69">
        <f t="shared" ref="S222:S292" si="46">IF($I222=1,VLOOKUP($H222,OSM_Info_PerMP,3,FALSE),0)</f>
        <v>107</v>
      </c>
      <c r="T222" s="69">
        <f t="shared" ref="T222:T292" si="47">IF($I222=1,VLOOKUP($H222,OSM_Info_PerMP,7,FALSE),0)</f>
        <v>0</v>
      </c>
      <c r="U222" s="238"/>
      <c r="V222" s="240" t="s">
        <v>1063</v>
      </c>
      <c r="W222" s="240" t="s">
        <v>965</v>
      </c>
      <c r="X222" s="240" t="s">
        <v>966</v>
      </c>
      <c r="Y222" s="238" t="s">
        <v>1066</v>
      </c>
      <c r="Z222" s="238" t="s">
        <v>1066</v>
      </c>
      <c r="AA222" s="238" t="s">
        <v>1066</v>
      </c>
      <c r="AB222" s="238"/>
      <c r="AE222" s="267"/>
    </row>
    <row r="223" spans="1:31">
      <c r="A223" s="175"/>
      <c r="B223" s="64"/>
      <c r="C223" s="64"/>
      <c r="D223" s="64"/>
      <c r="E223" s="64"/>
      <c r="F223" s="64"/>
      <c r="G223" s="74"/>
      <c r="H223" s="52" t="s">
        <v>565</v>
      </c>
      <c r="I223" s="69">
        <f t="shared" si="36"/>
        <v>1</v>
      </c>
      <c r="J223" s="69">
        <f t="shared" si="37"/>
        <v>2</v>
      </c>
      <c r="K223" s="69">
        <f t="shared" si="38"/>
        <v>1</v>
      </c>
      <c r="L223" s="69">
        <f t="shared" si="39"/>
        <v>1</v>
      </c>
      <c r="M223" s="69">
        <f t="shared" si="40"/>
        <v>0</v>
      </c>
      <c r="N223" s="69">
        <f t="shared" si="41"/>
        <v>1</v>
      </c>
      <c r="O223" s="69">
        <f t="shared" si="42"/>
        <v>0</v>
      </c>
      <c r="P223" s="69">
        <f t="shared" si="43"/>
        <v>0</v>
      </c>
      <c r="Q223" s="69" t="str">
        <f t="shared" si="44"/>
        <v>F_TRAD</v>
      </c>
      <c r="R223" s="69">
        <f t="shared" si="45"/>
        <v>108</v>
      </c>
      <c r="S223" s="69">
        <f t="shared" si="46"/>
        <v>108</v>
      </c>
      <c r="T223" s="69">
        <f t="shared" si="47"/>
        <v>0</v>
      </c>
      <c r="U223" s="238"/>
      <c r="V223" s="240" t="s">
        <v>1063</v>
      </c>
      <c r="W223" s="240" t="s">
        <v>965</v>
      </c>
      <c r="X223" s="240" t="s">
        <v>966</v>
      </c>
      <c r="Y223" s="238" t="s">
        <v>328</v>
      </c>
      <c r="Z223" s="238" t="s">
        <v>328</v>
      </c>
      <c r="AA223" s="238" t="s">
        <v>328</v>
      </c>
      <c r="AB223" s="238"/>
      <c r="AE223" s="267"/>
    </row>
    <row r="224" spans="1:31">
      <c r="A224" s="175"/>
      <c r="B224" s="64"/>
      <c r="C224" s="64"/>
      <c r="D224" s="64"/>
      <c r="E224" s="64"/>
      <c r="F224" s="64"/>
      <c r="G224" s="74"/>
      <c r="H224" s="52" t="s">
        <v>587</v>
      </c>
      <c r="I224" s="69">
        <f t="shared" si="36"/>
        <v>1</v>
      </c>
      <c r="J224" s="69">
        <f t="shared" si="37"/>
        <v>2</v>
      </c>
      <c r="K224" s="69">
        <f t="shared" si="38"/>
        <v>0</v>
      </c>
      <c r="L224" s="69">
        <f t="shared" si="39"/>
        <v>3</v>
      </c>
      <c r="M224" s="69">
        <f t="shared" si="40"/>
        <v>0</v>
      </c>
      <c r="N224" s="69">
        <f t="shared" si="41"/>
        <v>1</v>
      </c>
      <c r="O224" s="69">
        <f t="shared" si="42"/>
        <v>0</v>
      </c>
      <c r="P224" s="69">
        <f t="shared" si="43"/>
        <v>0</v>
      </c>
      <c r="Q224" s="69" t="str">
        <f t="shared" si="44"/>
        <v>F_TRAD</v>
      </c>
      <c r="R224" s="69">
        <f t="shared" si="45"/>
        <v>109</v>
      </c>
      <c r="S224" s="69">
        <f t="shared" si="46"/>
        <v>109</v>
      </c>
      <c r="T224" s="69">
        <f t="shared" si="47"/>
        <v>0</v>
      </c>
      <c r="U224" s="238"/>
      <c r="V224" s="240" t="s">
        <v>1063</v>
      </c>
      <c r="W224" s="240" t="s">
        <v>1064</v>
      </c>
      <c r="X224" s="240" t="s">
        <v>966</v>
      </c>
      <c r="Y224" s="238" t="s">
        <v>328</v>
      </c>
      <c r="Z224" s="238" t="s">
        <v>328</v>
      </c>
      <c r="AA224" s="238" t="s">
        <v>328</v>
      </c>
      <c r="AB224" s="238"/>
      <c r="AE224" s="267"/>
    </row>
    <row r="225" spans="1:31">
      <c r="A225" s="175"/>
      <c r="B225" s="64"/>
      <c r="C225" s="64"/>
      <c r="D225" s="64"/>
      <c r="E225" s="64"/>
      <c r="F225" s="64"/>
      <c r="G225" s="74"/>
      <c r="H225" s="52" t="s">
        <v>566</v>
      </c>
      <c r="I225" s="69">
        <f t="shared" si="36"/>
        <v>1</v>
      </c>
      <c r="J225" s="69">
        <f t="shared" si="37"/>
        <v>2</v>
      </c>
      <c r="K225" s="69">
        <f t="shared" si="38"/>
        <v>1</v>
      </c>
      <c r="L225" s="69">
        <f t="shared" si="39"/>
        <v>1</v>
      </c>
      <c r="M225" s="69">
        <f t="shared" si="40"/>
        <v>0</v>
      </c>
      <c r="N225" s="69">
        <f t="shared" si="41"/>
        <v>1</v>
      </c>
      <c r="O225" s="69">
        <f t="shared" si="42"/>
        <v>0</v>
      </c>
      <c r="P225" s="69">
        <f t="shared" si="43"/>
        <v>0</v>
      </c>
      <c r="Q225" s="69" t="str">
        <f t="shared" si="44"/>
        <v>F_TRAD</v>
      </c>
      <c r="R225" s="69">
        <f t="shared" si="45"/>
        <v>110</v>
      </c>
      <c r="S225" s="69">
        <f t="shared" si="46"/>
        <v>110</v>
      </c>
      <c r="T225" s="69">
        <f t="shared" si="47"/>
        <v>4</v>
      </c>
      <c r="U225" s="238"/>
      <c r="V225" s="240" t="s">
        <v>1063</v>
      </c>
      <c r="W225" s="240" t="s">
        <v>965</v>
      </c>
      <c r="X225" s="240" t="s">
        <v>966</v>
      </c>
      <c r="Y225" s="238" t="s">
        <v>1066</v>
      </c>
      <c r="Z225" s="238" t="s">
        <v>1066</v>
      </c>
      <c r="AA225" s="238" t="s">
        <v>1066</v>
      </c>
      <c r="AB225" s="238"/>
      <c r="AE225" s="267"/>
    </row>
    <row r="226" spans="1:31">
      <c r="A226" s="175"/>
      <c r="B226" s="64"/>
      <c r="C226" s="64"/>
      <c r="D226" s="64"/>
      <c r="E226" s="64"/>
      <c r="F226" s="64"/>
      <c r="G226" s="74"/>
      <c r="H226" s="52" t="s">
        <v>470</v>
      </c>
      <c r="I226" s="69">
        <f t="shared" si="36"/>
        <v>1</v>
      </c>
      <c r="J226" s="69">
        <f t="shared" si="37"/>
        <v>2</v>
      </c>
      <c r="K226" s="69">
        <f t="shared" si="38"/>
        <v>1</v>
      </c>
      <c r="L226" s="69">
        <f t="shared" si="39"/>
        <v>1</v>
      </c>
      <c r="M226" s="69">
        <f t="shared" si="40"/>
        <v>0</v>
      </c>
      <c r="N226" s="69">
        <f t="shared" si="41"/>
        <v>3</v>
      </c>
      <c r="O226" s="69">
        <f t="shared" si="42"/>
        <v>0</v>
      </c>
      <c r="P226" s="69">
        <f t="shared" si="43"/>
        <v>0</v>
      </c>
      <c r="Q226" s="69" t="str">
        <f t="shared" si="44"/>
        <v>F_TRAD</v>
      </c>
      <c r="R226" s="69">
        <f t="shared" si="45"/>
        <v>111</v>
      </c>
      <c r="S226" s="69">
        <f t="shared" si="46"/>
        <v>111</v>
      </c>
      <c r="T226" s="69">
        <f t="shared" si="47"/>
        <v>0</v>
      </c>
      <c r="U226" s="238"/>
      <c r="V226" s="240" t="s">
        <v>1063</v>
      </c>
      <c r="W226" s="240" t="s">
        <v>965</v>
      </c>
      <c r="X226" s="240" t="s">
        <v>966</v>
      </c>
      <c r="Y226" s="238" t="s">
        <v>1066</v>
      </c>
      <c r="Z226" s="238" t="s">
        <v>1066</v>
      </c>
      <c r="AA226" s="238" t="s">
        <v>1066</v>
      </c>
      <c r="AB226" s="238"/>
      <c r="AE226" s="267"/>
    </row>
    <row r="227" spans="1:31">
      <c r="A227" s="175"/>
      <c r="B227" s="64"/>
      <c r="C227" s="64"/>
      <c r="D227" s="64"/>
      <c r="E227" s="64"/>
      <c r="F227" s="64"/>
      <c r="G227" s="74"/>
      <c r="H227" s="52" t="s">
        <v>481</v>
      </c>
      <c r="I227" s="69">
        <f t="shared" si="36"/>
        <v>1</v>
      </c>
      <c r="J227" s="69">
        <f t="shared" si="37"/>
        <v>2</v>
      </c>
      <c r="K227" s="69">
        <f t="shared" si="38"/>
        <v>1</v>
      </c>
      <c r="L227" s="69">
        <f t="shared" si="39"/>
        <v>1</v>
      </c>
      <c r="M227" s="69">
        <f t="shared" si="40"/>
        <v>0</v>
      </c>
      <c r="N227" s="69">
        <f t="shared" si="41"/>
        <v>3</v>
      </c>
      <c r="O227" s="69">
        <f t="shared" si="42"/>
        <v>0</v>
      </c>
      <c r="P227" s="69">
        <f t="shared" si="43"/>
        <v>0</v>
      </c>
      <c r="Q227" s="69" t="str">
        <f t="shared" si="44"/>
        <v>F_TRAD</v>
      </c>
      <c r="R227" s="69">
        <f t="shared" si="45"/>
        <v>112</v>
      </c>
      <c r="S227" s="69">
        <f t="shared" si="46"/>
        <v>112</v>
      </c>
      <c r="T227" s="69">
        <f t="shared" si="47"/>
        <v>0</v>
      </c>
      <c r="U227" s="238"/>
      <c r="V227" s="240" t="s">
        <v>1063</v>
      </c>
      <c r="W227" s="240" t="s">
        <v>965</v>
      </c>
      <c r="X227" s="240" t="s">
        <v>966</v>
      </c>
      <c r="Y227" s="238" t="s">
        <v>1066</v>
      </c>
      <c r="Z227" s="238" t="s">
        <v>1066</v>
      </c>
      <c r="AA227" s="238" t="s">
        <v>1066</v>
      </c>
      <c r="AB227" s="238"/>
      <c r="AE227" s="267"/>
    </row>
    <row r="228" spans="1:31">
      <c r="A228" s="175"/>
      <c r="B228" s="64"/>
      <c r="C228" s="64"/>
      <c r="D228" s="64"/>
      <c r="E228" s="64"/>
      <c r="F228" s="64"/>
      <c r="G228" s="74"/>
      <c r="H228" s="52" t="s">
        <v>567</v>
      </c>
      <c r="I228" s="69">
        <f t="shared" si="36"/>
        <v>1</v>
      </c>
      <c r="J228" s="69">
        <f t="shared" si="37"/>
        <v>2</v>
      </c>
      <c r="K228" s="69">
        <f t="shared" si="38"/>
        <v>1</v>
      </c>
      <c r="L228" s="69">
        <f t="shared" si="39"/>
        <v>1</v>
      </c>
      <c r="M228" s="69">
        <f t="shared" si="40"/>
        <v>0</v>
      </c>
      <c r="N228" s="69">
        <f t="shared" si="41"/>
        <v>1</v>
      </c>
      <c r="O228" s="69">
        <f t="shared" si="42"/>
        <v>0</v>
      </c>
      <c r="P228" s="69">
        <f t="shared" si="43"/>
        <v>0</v>
      </c>
      <c r="Q228" s="69" t="str">
        <f t="shared" si="44"/>
        <v>F_TRAD</v>
      </c>
      <c r="R228" s="69">
        <f t="shared" si="45"/>
        <v>113</v>
      </c>
      <c r="S228" s="69">
        <f t="shared" si="46"/>
        <v>113</v>
      </c>
      <c r="T228" s="69">
        <f t="shared" si="47"/>
        <v>4</v>
      </c>
      <c r="U228" s="238"/>
      <c r="V228" s="240" t="s">
        <v>1063</v>
      </c>
      <c r="W228" s="240" t="s">
        <v>965</v>
      </c>
      <c r="X228" s="240" t="s">
        <v>966</v>
      </c>
      <c r="Y228" s="238" t="s">
        <v>1066</v>
      </c>
      <c r="Z228" s="238" t="s">
        <v>1066</v>
      </c>
      <c r="AA228" s="238" t="s">
        <v>1066</v>
      </c>
      <c r="AB228" s="238"/>
      <c r="AE228" s="267"/>
    </row>
    <row r="229" spans="1:31">
      <c r="A229" s="175"/>
      <c r="B229" s="64"/>
      <c r="C229" s="64"/>
      <c r="D229" s="64"/>
      <c r="E229" s="64"/>
      <c r="F229" s="64"/>
      <c r="G229" s="74"/>
      <c r="H229" s="52" t="s">
        <v>568</v>
      </c>
      <c r="I229" s="69">
        <f t="shared" si="36"/>
        <v>1</v>
      </c>
      <c r="J229" s="69">
        <f t="shared" si="37"/>
        <v>2</v>
      </c>
      <c r="K229" s="69">
        <f t="shared" si="38"/>
        <v>1</v>
      </c>
      <c r="L229" s="69">
        <f t="shared" si="39"/>
        <v>1</v>
      </c>
      <c r="M229" s="69">
        <f t="shared" si="40"/>
        <v>0</v>
      </c>
      <c r="N229" s="69">
        <f t="shared" si="41"/>
        <v>1</v>
      </c>
      <c r="O229" s="69">
        <f t="shared" si="42"/>
        <v>0</v>
      </c>
      <c r="P229" s="69">
        <f t="shared" si="43"/>
        <v>0</v>
      </c>
      <c r="Q229" s="69" t="str">
        <f t="shared" si="44"/>
        <v>F_TRAD</v>
      </c>
      <c r="R229" s="69">
        <f t="shared" si="45"/>
        <v>114</v>
      </c>
      <c r="S229" s="69">
        <f t="shared" si="46"/>
        <v>114</v>
      </c>
      <c r="T229" s="69">
        <f t="shared" si="47"/>
        <v>0</v>
      </c>
      <c r="U229" s="238"/>
      <c r="V229" s="240" t="s">
        <v>1063</v>
      </c>
      <c r="W229" s="240" t="s">
        <v>965</v>
      </c>
      <c r="X229" s="240" t="s">
        <v>966</v>
      </c>
      <c r="Y229" s="238" t="s">
        <v>1066</v>
      </c>
      <c r="Z229" s="238" t="s">
        <v>1066</v>
      </c>
      <c r="AA229" s="238" t="s">
        <v>1066</v>
      </c>
      <c r="AB229" s="238"/>
      <c r="AE229" s="267"/>
    </row>
    <row r="230" spans="1:31">
      <c r="A230" s="175"/>
      <c r="B230" s="64"/>
      <c r="C230" s="64"/>
      <c r="D230" s="64"/>
      <c r="E230" s="64"/>
      <c r="F230" s="64"/>
      <c r="G230" s="74"/>
      <c r="H230" s="52" t="s">
        <v>569</v>
      </c>
      <c r="I230" s="69">
        <f t="shared" si="36"/>
        <v>1</v>
      </c>
      <c r="J230" s="69">
        <f t="shared" si="37"/>
        <v>2</v>
      </c>
      <c r="K230" s="69">
        <f t="shared" si="38"/>
        <v>1</v>
      </c>
      <c r="L230" s="69">
        <f t="shared" si="39"/>
        <v>1</v>
      </c>
      <c r="M230" s="69">
        <f t="shared" si="40"/>
        <v>0</v>
      </c>
      <c r="N230" s="69">
        <f t="shared" si="41"/>
        <v>1</v>
      </c>
      <c r="O230" s="69">
        <f t="shared" si="42"/>
        <v>0</v>
      </c>
      <c r="P230" s="69">
        <f t="shared" si="43"/>
        <v>0</v>
      </c>
      <c r="Q230" s="69" t="str">
        <f t="shared" si="44"/>
        <v>F_TRAD</v>
      </c>
      <c r="R230" s="69">
        <f t="shared" si="45"/>
        <v>115</v>
      </c>
      <c r="S230" s="69">
        <f t="shared" si="46"/>
        <v>115</v>
      </c>
      <c r="T230" s="69">
        <f t="shared" si="47"/>
        <v>4</v>
      </c>
      <c r="U230" s="238"/>
      <c r="V230" s="240" t="s">
        <v>1063</v>
      </c>
      <c r="W230" s="240" t="s">
        <v>965</v>
      </c>
      <c r="X230" s="240" t="s">
        <v>966</v>
      </c>
      <c r="Y230" s="238" t="s">
        <v>328</v>
      </c>
      <c r="Z230" s="238" t="s">
        <v>328</v>
      </c>
      <c r="AA230" s="238" t="s">
        <v>328</v>
      </c>
      <c r="AB230" s="238"/>
      <c r="AE230" s="267"/>
    </row>
    <row r="231" spans="1:31">
      <c r="A231" s="175"/>
      <c r="B231" s="64"/>
      <c r="C231" s="64"/>
      <c r="D231" s="64"/>
      <c r="E231" s="64"/>
      <c r="F231" s="64"/>
      <c r="G231" s="74"/>
      <c r="H231" s="52" t="s">
        <v>570</v>
      </c>
      <c r="I231" s="69">
        <f t="shared" si="36"/>
        <v>1</v>
      </c>
      <c r="J231" s="69">
        <f t="shared" si="37"/>
        <v>2</v>
      </c>
      <c r="K231" s="69">
        <f t="shared" si="38"/>
        <v>1</v>
      </c>
      <c r="L231" s="69">
        <f t="shared" si="39"/>
        <v>1</v>
      </c>
      <c r="M231" s="69">
        <f t="shared" si="40"/>
        <v>0</v>
      </c>
      <c r="N231" s="69">
        <f t="shared" si="41"/>
        <v>1</v>
      </c>
      <c r="O231" s="69">
        <f t="shared" si="42"/>
        <v>0</v>
      </c>
      <c r="P231" s="69">
        <f t="shared" si="43"/>
        <v>0</v>
      </c>
      <c r="Q231" s="69" t="str">
        <f t="shared" si="44"/>
        <v>F_TRAD</v>
      </c>
      <c r="R231" s="69">
        <f t="shared" si="45"/>
        <v>116</v>
      </c>
      <c r="S231" s="69">
        <f t="shared" si="46"/>
        <v>116</v>
      </c>
      <c r="T231" s="69">
        <f t="shared" si="47"/>
        <v>4</v>
      </c>
      <c r="U231" s="238"/>
      <c r="V231" s="240" t="s">
        <v>1063</v>
      </c>
      <c r="W231" s="240" t="s">
        <v>965</v>
      </c>
      <c r="X231" s="240" t="s">
        <v>966</v>
      </c>
      <c r="Y231" s="238" t="s">
        <v>1066</v>
      </c>
      <c r="Z231" s="238" t="s">
        <v>1066</v>
      </c>
      <c r="AA231" s="238" t="s">
        <v>1066</v>
      </c>
      <c r="AB231" s="238"/>
      <c r="AE231" s="267"/>
    </row>
    <row r="232" spans="1:31">
      <c r="A232" s="175"/>
      <c r="B232" s="64"/>
      <c r="C232" s="64"/>
      <c r="D232" s="64"/>
      <c r="E232" s="64"/>
      <c r="F232" s="64"/>
      <c r="G232" s="74"/>
      <c r="H232" s="52" t="s">
        <v>571</v>
      </c>
      <c r="I232" s="69">
        <f t="shared" si="36"/>
        <v>1</v>
      </c>
      <c r="J232" s="69">
        <f t="shared" si="37"/>
        <v>2</v>
      </c>
      <c r="K232" s="69">
        <f t="shared" si="38"/>
        <v>1</v>
      </c>
      <c r="L232" s="69">
        <f t="shared" si="39"/>
        <v>1</v>
      </c>
      <c r="M232" s="69">
        <f t="shared" si="40"/>
        <v>0</v>
      </c>
      <c r="N232" s="69">
        <f t="shared" si="41"/>
        <v>1</v>
      </c>
      <c r="O232" s="69">
        <f t="shared" si="42"/>
        <v>0</v>
      </c>
      <c r="P232" s="69">
        <f t="shared" si="43"/>
        <v>0</v>
      </c>
      <c r="Q232" s="69" t="str">
        <f t="shared" si="44"/>
        <v>F_TRAD</v>
      </c>
      <c r="R232" s="69">
        <f t="shared" si="45"/>
        <v>117</v>
      </c>
      <c r="S232" s="69">
        <f t="shared" si="46"/>
        <v>117</v>
      </c>
      <c r="T232" s="69">
        <f t="shared" si="47"/>
        <v>0</v>
      </c>
      <c r="U232" s="238"/>
      <c r="V232" s="240" t="s">
        <v>1063</v>
      </c>
      <c r="W232" s="240" t="s">
        <v>965</v>
      </c>
      <c r="X232" s="240" t="s">
        <v>966</v>
      </c>
      <c r="Y232" s="238" t="s">
        <v>1066</v>
      </c>
      <c r="Z232" s="238" t="s">
        <v>1066</v>
      </c>
      <c r="AA232" s="238" t="s">
        <v>1066</v>
      </c>
      <c r="AB232" s="238"/>
      <c r="AE232" s="267"/>
    </row>
    <row r="233" spans="1:31">
      <c r="A233" s="175"/>
      <c r="B233" s="64"/>
      <c r="C233" s="64"/>
      <c r="D233" s="64"/>
      <c r="E233" s="64"/>
      <c r="F233" s="64"/>
      <c r="G233" s="74"/>
      <c r="H233" s="52" t="s">
        <v>475</v>
      </c>
      <c r="I233" s="69">
        <f t="shared" si="36"/>
        <v>1</v>
      </c>
      <c r="J233" s="69">
        <f t="shared" si="37"/>
        <v>2</v>
      </c>
      <c r="K233" s="69">
        <f t="shared" si="38"/>
        <v>1</v>
      </c>
      <c r="L233" s="69">
        <f t="shared" si="39"/>
        <v>1</v>
      </c>
      <c r="M233" s="69">
        <f t="shared" si="40"/>
        <v>0</v>
      </c>
      <c r="N233" s="69">
        <f t="shared" si="41"/>
        <v>3</v>
      </c>
      <c r="O233" s="69">
        <f t="shared" si="42"/>
        <v>0</v>
      </c>
      <c r="P233" s="69">
        <f t="shared" si="43"/>
        <v>0</v>
      </c>
      <c r="Q233" s="69" t="str">
        <f t="shared" si="44"/>
        <v>F_TRAD</v>
      </c>
      <c r="R233" s="69">
        <f t="shared" si="45"/>
        <v>81</v>
      </c>
      <c r="S233" s="69">
        <f t="shared" si="46"/>
        <v>81</v>
      </c>
      <c r="T233" s="69">
        <f t="shared" si="47"/>
        <v>0</v>
      </c>
      <c r="U233" s="238"/>
      <c r="V233" s="240" t="s">
        <v>1063</v>
      </c>
      <c r="W233" s="240" t="s">
        <v>965</v>
      </c>
      <c r="X233" s="240" t="s">
        <v>966</v>
      </c>
      <c r="Y233" s="238" t="s">
        <v>1066</v>
      </c>
      <c r="Z233" s="238" t="s">
        <v>1066</v>
      </c>
      <c r="AA233" s="238" t="s">
        <v>1066</v>
      </c>
      <c r="AB233" s="238"/>
      <c r="AE233" s="267"/>
    </row>
    <row r="234" spans="1:31">
      <c r="A234" s="175"/>
      <c r="B234" s="64"/>
      <c r="C234" s="64"/>
      <c r="D234" s="64"/>
      <c r="E234" s="64"/>
      <c r="F234" s="64"/>
      <c r="G234" s="74"/>
      <c r="H234" s="52" t="s">
        <v>476</v>
      </c>
      <c r="I234" s="69">
        <f t="shared" si="36"/>
        <v>1</v>
      </c>
      <c r="J234" s="69">
        <f t="shared" si="37"/>
        <v>2</v>
      </c>
      <c r="K234" s="69">
        <f t="shared" si="38"/>
        <v>1</v>
      </c>
      <c r="L234" s="69">
        <f t="shared" si="39"/>
        <v>1</v>
      </c>
      <c r="M234" s="69">
        <f t="shared" si="40"/>
        <v>0</v>
      </c>
      <c r="N234" s="69">
        <f t="shared" si="41"/>
        <v>3</v>
      </c>
      <c r="O234" s="69">
        <f t="shared" si="42"/>
        <v>0</v>
      </c>
      <c r="P234" s="69">
        <f t="shared" si="43"/>
        <v>0</v>
      </c>
      <c r="Q234" s="69" t="str">
        <f t="shared" si="44"/>
        <v>F_TRAD</v>
      </c>
      <c r="R234" s="69">
        <f t="shared" si="45"/>
        <v>82</v>
      </c>
      <c r="S234" s="69">
        <f t="shared" si="46"/>
        <v>82</v>
      </c>
      <c r="T234" s="69">
        <f t="shared" si="47"/>
        <v>0</v>
      </c>
      <c r="U234" s="238"/>
      <c r="V234" s="240" t="s">
        <v>1063</v>
      </c>
      <c r="W234" s="240" t="s">
        <v>965</v>
      </c>
      <c r="X234" s="240" t="s">
        <v>966</v>
      </c>
      <c r="Y234" s="238" t="s">
        <v>1066</v>
      </c>
      <c r="Z234" s="238" t="s">
        <v>1066</v>
      </c>
      <c r="AA234" s="238" t="s">
        <v>1066</v>
      </c>
      <c r="AB234" s="238"/>
      <c r="AE234" s="267"/>
    </row>
    <row r="235" spans="1:31">
      <c r="A235" s="175"/>
      <c r="B235" s="64"/>
      <c r="C235" s="64"/>
      <c r="D235" s="64"/>
      <c r="E235" s="64"/>
      <c r="F235" s="64"/>
      <c r="G235" s="74"/>
      <c r="H235" s="52" t="s">
        <v>482</v>
      </c>
      <c r="I235" s="69">
        <f t="shared" si="36"/>
        <v>1</v>
      </c>
      <c r="J235" s="69">
        <f t="shared" si="37"/>
        <v>2</v>
      </c>
      <c r="K235" s="69">
        <f t="shared" si="38"/>
        <v>1</v>
      </c>
      <c r="L235" s="69">
        <f t="shared" si="39"/>
        <v>1</v>
      </c>
      <c r="M235" s="69">
        <f t="shared" si="40"/>
        <v>0</v>
      </c>
      <c r="N235" s="69">
        <f t="shared" si="41"/>
        <v>3</v>
      </c>
      <c r="O235" s="69">
        <f t="shared" si="42"/>
        <v>0</v>
      </c>
      <c r="P235" s="69">
        <f t="shared" si="43"/>
        <v>0</v>
      </c>
      <c r="Q235" s="69" t="str">
        <f t="shared" si="44"/>
        <v>F_TRAD</v>
      </c>
      <c r="R235" s="69">
        <f t="shared" si="45"/>
        <v>83</v>
      </c>
      <c r="S235" s="69">
        <f t="shared" si="46"/>
        <v>83</v>
      </c>
      <c r="T235" s="69">
        <f t="shared" si="47"/>
        <v>0</v>
      </c>
      <c r="U235" s="238"/>
      <c r="V235" s="240" t="s">
        <v>1063</v>
      </c>
      <c r="W235" s="240" t="s">
        <v>965</v>
      </c>
      <c r="X235" s="240" t="s">
        <v>966</v>
      </c>
      <c r="Y235" s="238" t="s">
        <v>1066</v>
      </c>
      <c r="Z235" s="238" t="s">
        <v>1066</v>
      </c>
      <c r="AA235" s="238" t="s">
        <v>1066</v>
      </c>
      <c r="AB235" s="238"/>
      <c r="AE235" s="267"/>
    </row>
    <row r="236" spans="1:31">
      <c r="A236" s="175"/>
      <c r="B236" s="64"/>
      <c r="C236" s="64"/>
      <c r="D236" s="64"/>
      <c r="E236" s="64"/>
      <c r="F236" s="64"/>
      <c r="G236" s="74"/>
      <c r="H236" s="52" t="s">
        <v>492</v>
      </c>
      <c r="I236" s="69">
        <f t="shared" si="36"/>
        <v>1</v>
      </c>
      <c r="J236" s="69">
        <f t="shared" si="37"/>
        <v>2</v>
      </c>
      <c r="K236" s="69">
        <f t="shared" si="38"/>
        <v>1</v>
      </c>
      <c r="L236" s="69">
        <f t="shared" si="39"/>
        <v>1</v>
      </c>
      <c r="M236" s="69">
        <f t="shared" si="40"/>
        <v>0</v>
      </c>
      <c r="N236" s="69">
        <f t="shared" si="41"/>
        <v>3</v>
      </c>
      <c r="O236" s="69">
        <f t="shared" si="42"/>
        <v>0</v>
      </c>
      <c r="P236" s="69">
        <f t="shared" si="43"/>
        <v>0</v>
      </c>
      <c r="Q236" s="69" t="str">
        <f t="shared" si="44"/>
        <v>F_TRAD</v>
      </c>
      <c r="R236" s="69">
        <f t="shared" si="45"/>
        <v>84</v>
      </c>
      <c r="S236" s="69">
        <f t="shared" si="46"/>
        <v>84</v>
      </c>
      <c r="T236" s="69">
        <f t="shared" si="47"/>
        <v>0</v>
      </c>
      <c r="U236" s="238"/>
      <c r="V236" s="240" t="s">
        <v>1063</v>
      </c>
      <c r="W236" s="240" t="s">
        <v>965</v>
      </c>
      <c r="X236" s="240" t="s">
        <v>966</v>
      </c>
      <c r="Y236" s="238" t="s">
        <v>1066</v>
      </c>
      <c r="Z236" s="238" t="s">
        <v>1066</v>
      </c>
      <c r="AA236" s="238" t="s">
        <v>1066</v>
      </c>
      <c r="AB236" s="238"/>
      <c r="AE236" s="267"/>
    </row>
    <row r="237" spans="1:31">
      <c r="A237" s="175"/>
      <c r="B237" s="64"/>
      <c r="C237" s="64"/>
      <c r="D237" s="64"/>
      <c r="E237" s="64"/>
      <c r="F237" s="64"/>
      <c r="G237" s="74"/>
      <c r="H237" s="52" t="s">
        <v>483</v>
      </c>
      <c r="I237" s="69">
        <f t="shared" si="36"/>
        <v>1</v>
      </c>
      <c r="J237" s="69">
        <f t="shared" si="37"/>
        <v>2</v>
      </c>
      <c r="K237" s="69">
        <f t="shared" si="38"/>
        <v>1</v>
      </c>
      <c r="L237" s="69">
        <f t="shared" si="39"/>
        <v>1</v>
      </c>
      <c r="M237" s="69">
        <f t="shared" si="40"/>
        <v>0</v>
      </c>
      <c r="N237" s="69">
        <f t="shared" si="41"/>
        <v>3</v>
      </c>
      <c r="O237" s="69">
        <f t="shared" si="42"/>
        <v>0</v>
      </c>
      <c r="P237" s="69">
        <f t="shared" si="43"/>
        <v>0</v>
      </c>
      <c r="Q237" s="69" t="str">
        <f t="shared" si="44"/>
        <v>F_TRAD</v>
      </c>
      <c r="R237" s="69">
        <f t="shared" si="45"/>
        <v>85</v>
      </c>
      <c r="S237" s="69">
        <f t="shared" si="46"/>
        <v>85</v>
      </c>
      <c r="T237" s="69">
        <f t="shared" si="47"/>
        <v>0</v>
      </c>
      <c r="U237" s="238"/>
      <c r="V237" s="240" t="s">
        <v>1063</v>
      </c>
      <c r="W237" s="240" t="s">
        <v>965</v>
      </c>
      <c r="X237" s="240" t="s">
        <v>966</v>
      </c>
      <c r="Y237" s="238" t="s">
        <v>1066</v>
      </c>
      <c r="Z237" s="238" t="s">
        <v>1066</v>
      </c>
      <c r="AA237" s="238" t="s">
        <v>1066</v>
      </c>
      <c r="AB237" s="238"/>
      <c r="AE237" s="267"/>
    </row>
    <row r="238" spans="1:31">
      <c r="A238" s="175"/>
      <c r="B238" s="64"/>
      <c r="C238" s="64"/>
      <c r="D238" s="64"/>
      <c r="E238" s="64"/>
      <c r="F238" s="64"/>
      <c r="G238" s="74"/>
      <c r="H238" s="52" t="s">
        <v>484</v>
      </c>
      <c r="I238" s="69">
        <f t="shared" si="36"/>
        <v>1</v>
      </c>
      <c r="J238" s="69">
        <f t="shared" si="37"/>
        <v>2</v>
      </c>
      <c r="K238" s="69">
        <f t="shared" si="38"/>
        <v>1</v>
      </c>
      <c r="L238" s="69">
        <f t="shared" si="39"/>
        <v>1</v>
      </c>
      <c r="M238" s="69">
        <f t="shared" si="40"/>
        <v>0</v>
      </c>
      <c r="N238" s="69">
        <f t="shared" si="41"/>
        <v>3</v>
      </c>
      <c r="O238" s="69">
        <f t="shared" si="42"/>
        <v>0</v>
      </c>
      <c r="P238" s="69">
        <f t="shared" si="43"/>
        <v>0</v>
      </c>
      <c r="Q238" s="69" t="str">
        <f t="shared" si="44"/>
        <v>F_TRAD</v>
      </c>
      <c r="R238" s="69">
        <f t="shared" si="45"/>
        <v>86</v>
      </c>
      <c r="S238" s="69">
        <f t="shared" si="46"/>
        <v>86</v>
      </c>
      <c r="T238" s="69">
        <f t="shared" si="47"/>
        <v>0</v>
      </c>
      <c r="U238" s="238"/>
      <c r="V238" s="240" t="s">
        <v>1063</v>
      </c>
      <c r="W238" s="240" t="s">
        <v>965</v>
      </c>
      <c r="X238" s="240" t="s">
        <v>966</v>
      </c>
      <c r="Y238" s="238" t="s">
        <v>1066</v>
      </c>
      <c r="Z238" s="238" t="s">
        <v>1066</v>
      </c>
      <c r="AA238" s="238" t="s">
        <v>1066</v>
      </c>
      <c r="AB238" s="238"/>
      <c r="AE238" s="267"/>
    </row>
    <row r="239" spans="1:31">
      <c r="A239" s="175"/>
      <c r="B239" s="64"/>
      <c r="C239" s="64"/>
      <c r="D239" s="64"/>
      <c r="E239" s="64"/>
      <c r="F239" s="64"/>
      <c r="G239" s="74"/>
      <c r="H239" s="52" t="s">
        <v>485</v>
      </c>
      <c r="I239" s="69">
        <f t="shared" si="36"/>
        <v>1</v>
      </c>
      <c r="J239" s="69">
        <f t="shared" si="37"/>
        <v>2</v>
      </c>
      <c r="K239" s="69">
        <f t="shared" si="38"/>
        <v>1</v>
      </c>
      <c r="L239" s="69">
        <f t="shared" si="39"/>
        <v>1</v>
      </c>
      <c r="M239" s="69">
        <f t="shared" si="40"/>
        <v>0</v>
      </c>
      <c r="N239" s="69">
        <f t="shared" si="41"/>
        <v>3</v>
      </c>
      <c r="O239" s="69">
        <f t="shared" si="42"/>
        <v>0</v>
      </c>
      <c r="P239" s="69">
        <f t="shared" si="43"/>
        <v>0</v>
      </c>
      <c r="Q239" s="69" t="str">
        <f t="shared" si="44"/>
        <v>F_TRAD</v>
      </c>
      <c r="R239" s="69">
        <f t="shared" si="45"/>
        <v>87</v>
      </c>
      <c r="S239" s="69">
        <f t="shared" si="46"/>
        <v>87</v>
      </c>
      <c r="T239" s="69">
        <f t="shared" si="47"/>
        <v>0</v>
      </c>
      <c r="U239" s="238"/>
      <c r="V239" s="240" t="s">
        <v>1063</v>
      </c>
      <c r="W239" s="240" t="s">
        <v>965</v>
      </c>
      <c r="X239" s="240" t="s">
        <v>966</v>
      </c>
      <c r="Y239" s="238" t="s">
        <v>1066</v>
      </c>
      <c r="Z239" s="238" t="s">
        <v>1066</v>
      </c>
      <c r="AA239" s="238" t="s">
        <v>1066</v>
      </c>
      <c r="AB239" s="238"/>
      <c r="AE239" s="267"/>
    </row>
    <row r="240" spans="1:31">
      <c r="A240" s="175"/>
      <c r="B240" s="64"/>
      <c r="C240" s="64"/>
      <c r="D240" s="64"/>
      <c r="E240" s="64"/>
      <c r="F240" s="64"/>
      <c r="G240" s="74"/>
      <c r="H240" s="52" t="s">
        <v>572</v>
      </c>
      <c r="I240" s="69">
        <f t="shared" si="36"/>
        <v>1</v>
      </c>
      <c r="J240" s="69">
        <f t="shared" si="37"/>
        <v>2</v>
      </c>
      <c r="K240" s="69">
        <f t="shared" si="38"/>
        <v>1</v>
      </c>
      <c r="L240" s="69">
        <f t="shared" si="39"/>
        <v>1</v>
      </c>
      <c r="M240" s="69">
        <f t="shared" si="40"/>
        <v>0</v>
      </c>
      <c r="N240" s="69">
        <f t="shared" si="41"/>
        <v>1</v>
      </c>
      <c r="O240" s="69">
        <f t="shared" si="42"/>
        <v>0</v>
      </c>
      <c r="P240" s="69">
        <f t="shared" si="43"/>
        <v>0</v>
      </c>
      <c r="Q240" s="69" t="str">
        <f t="shared" si="44"/>
        <v>F_TRAD</v>
      </c>
      <c r="R240" s="69">
        <f t="shared" si="45"/>
        <v>88</v>
      </c>
      <c r="S240" s="69">
        <f t="shared" si="46"/>
        <v>88</v>
      </c>
      <c r="T240" s="69">
        <f t="shared" si="47"/>
        <v>4</v>
      </c>
      <c r="U240" s="238"/>
      <c r="V240" s="240" t="s">
        <v>1063</v>
      </c>
      <c r="W240" s="240" t="s">
        <v>965</v>
      </c>
      <c r="X240" s="240" t="s">
        <v>966</v>
      </c>
      <c r="Y240" s="238" t="s">
        <v>1066</v>
      </c>
      <c r="Z240" s="238" t="s">
        <v>1066</v>
      </c>
      <c r="AA240" s="238" t="s">
        <v>1066</v>
      </c>
      <c r="AB240" s="238"/>
      <c r="AE240" s="267"/>
    </row>
    <row r="241" spans="1:31">
      <c r="A241" s="175"/>
      <c r="B241" s="64"/>
      <c r="C241" s="64"/>
      <c r="D241" s="64"/>
      <c r="E241" s="64"/>
      <c r="F241" s="64"/>
      <c r="G241" s="74"/>
      <c r="H241" s="52" t="s">
        <v>573</v>
      </c>
      <c r="I241" s="69">
        <f t="shared" si="36"/>
        <v>1</v>
      </c>
      <c r="J241" s="69">
        <f t="shared" si="37"/>
        <v>2</v>
      </c>
      <c r="K241" s="69">
        <f t="shared" si="38"/>
        <v>1</v>
      </c>
      <c r="L241" s="69">
        <f t="shared" si="39"/>
        <v>1</v>
      </c>
      <c r="M241" s="69">
        <f t="shared" si="40"/>
        <v>0</v>
      </c>
      <c r="N241" s="69">
        <f t="shared" si="41"/>
        <v>1</v>
      </c>
      <c r="O241" s="69">
        <f t="shared" si="42"/>
        <v>0</v>
      </c>
      <c r="P241" s="69">
        <f t="shared" si="43"/>
        <v>0</v>
      </c>
      <c r="Q241" s="69" t="str">
        <f t="shared" si="44"/>
        <v>F_TRAD</v>
      </c>
      <c r="R241" s="69">
        <f t="shared" si="45"/>
        <v>89</v>
      </c>
      <c r="S241" s="69">
        <f t="shared" si="46"/>
        <v>89</v>
      </c>
      <c r="T241" s="69">
        <f t="shared" si="47"/>
        <v>4</v>
      </c>
      <c r="U241" s="238"/>
      <c r="V241" s="240" t="s">
        <v>1063</v>
      </c>
      <c r="W241" s="240" t="s">
        <v>965</v>
      </c>
      <c r="X241" s="240" t="s">
        <v>966</v>
      </c>
      <c r="Y241" s="238" t="s">
        <v>1066</v>
      </c>
      <c r="Z241" s="238" t="s">
        <v>1066</v>
      </c>
      <c r="AA241" s="238" t="s">
        <v>1066</v>
      </c>
      <c r="AB241" s="238"/>
      <c r="AE241" s="267"/>
    </row>
    <row r="242" spans="1:31">
      <c r="A242" s="175"/>
      <c r="B242" s="64"/>
      <c r="C242" s="64"/>
      <c r="D242" s="64"/>
      <c r="E242" s="64"/>
      <c r="F242" s="64"/>
      <c r="G242" s="74"/>
      <c r="H242" s="52" t="s">
        <v>1088</v>
      </c>
      <c r="I242" s="69">
        <f t="shared" si="36"/>
        <v>1</v>
      </c>
      <c r="J242" s="69">
        <f t="shared" si="37"/>
        <v>2</v>
      </c>
      <c r="K242" s="69">
        <f t="shared" si="38"/>
        <v>0</v>
      </c>
      <c r="L242" s="69">
        <f t="shared" si="39"/>
        <v>3</v>
      </c>
      <c r="M242" s="69">
        <f t="shared" si="40"/>
        <v>0</v>
      </c>
      <c r="N242" s="69">
        <f t="shared" si="41"/>
        <v>1</v>
      </c>
      <c r="O242" s="69">
        <f t="shared" si="42"/>
        <v>0</v>
      </c>
      <c r="P242" s="69">
        <f t="shared" si="43"/>
        <v>0</v>
      </c>
      <c r="Q242" s="69" t="str">
        <f t="shared" si="44"/>
        <v>F_TRAD</v>
      </c>
      <c r="R242" s="69">
        <f t="shared" si="45"/>
        <v>123</v>
      </c>
      <c r="S242" s="69">
        <f t="shared" si="46"/>
        <v>123</v>
      </c>
      <c r="T242" s="69">
        <f t="shared" si="47"/>
        <v>0</v>
      </c>
      <c r="U242" s="238"/>
      <c r="V242" s="240" t="s">
        <v>1063</v>
      </c>
      <c r="W242" s="240" t="s">
        <v>1064</v>
      </c>
      <c r="X242" s="240" t="s">
        <v>966</v>
      </c>
      <c r="Y242" s="238" t="s">
        <v>328</v>
      </c>
      <c r="Z242" s="238" t="s">
        <v>328</v>
      </c>
      <c r="AA242" s="238" t="s">
        <v>328</v>
      </c>
      <c r="AB242" s="238"/>
      <c r="AE242" s="267"/>
    </row>
    <row r="243" spans="1:31">
      <c r="A243" s="175"/>
      <c r="B243" s="64"/>
      <c r="C243" s="64"/>
      <c r="D243" s="64"/>
      <c r="E243" s="64"/>
      <c r="F243" s="64"/>
      <c r="G243" s="74"/>
      <c r="H243" s="52" t="s">
        <v>1089</v>
      </c>
      <c r="I243" s="69">
        <f t="shared" si="36"/>
        <v>1</v>
      </c>
      <c r="J243" s="69">
        <f t="shared" si="37"/>
        <v>2</v>
      </c>
      <c r="K243" s="69">
        <f t="shared" si="38"/>
        <v>0</v>
      </c>
      <c r="L243" s="69">
        <f t="shared" si="39"/>
        <v>3</v>
      </c>
      <c r="M243" s="69">
        <f t="shared" si="40"/>
        <v>0</v>
      </c>
      <c r="N243" s="69">
        <f t="shared" si="41"/>
        <v>1</v>
      </c>
      <c r="O243" s="69">
        <f t="shared" si="42"/>
        <v>0</v>
      </c>
      <c r="P243" s="69">
        <f t="shared" si="43"/>
        <v>0</v>
      </c>
      <c r="Q243" s="69" t="str">
        <f t="shared" si="44"/>
        <v>F_TRAD</v>
      </c>
      <c r="R243" s="69">
        <f t="shared" si="45"/>
        <v>124</v>
      </c>
      <c r="S243" s="69">
        <f t="shared" si="46"/>
        <v>124</v>
      </c>
      <c r="T243" s="69">
        <f t="shared" si="47"/>
        <v>0</v>
      </c>
      <c r="U243" s="238"/>
      <c r="V243" s="240" t="s">
        <v>1063</v>
      </c>
      <c r="W243" s="240" t="s">
        <v>1064</v>
      </c>
      <c r="X243" s="240" t="s">
        <v>966</v>
      </c>
      <c r="Y243" s="238" t="s">
        <v>328</v>
      </c>
      <c r="Z243" s="238" t="s">
        <v>328</v>
      </c>
      <c r="AA243" s="238" t="s">
        <v>328</v>
      </c>
      <c r="AB243" s="238"/>
      <c r="AE243" s="267"/>
    </row>
    <row r="244" spans="1:31">
      <c r="A244" s="175"/>
      <c r="B244" s="64"/>
      <c r="C244" s="64"/>
      <c r="D244" s="64"/>
      <c r="E244" s="64"/>
      <c r="F244" s="64"/>
      <c r="G244" s="74"/>
      <c r="H244" s="52" t="s">
        <v>1080</v>
      </c>
      <c r="I244" s="69">
        <f t="shared" si="36"/>
        <v>1</v>
      </c>
      <c r="J244" s="69">
        <f t="shared" si="37"/>
        <v>2</v>
      </c>
      <c r="K244" s="69">
        <f t="shared" si="38"/>
        <v>1</v>
      </c>
      <c r="L244" s="69">
        <f t="shared" si="39"/>
        <v>1</v>
      </c>
      <c r="M244" s="69">
        <f t="shared" si="40"/>
        <v>0</v>
      </c>
      <c r="N244" s="69">
        <f t="shared" si="41"/>
        <v>3</v>
      </c>
      <c r="O244" s="69">
        <f t="shared" si="42"/>
        <v>0</v>
      </c>
      <c r="P244" s="69">
        <f t="shared" si="43"/>
        <v>0</v>
      </c>
      <c r="Q244" s="69" t="str">
        <f t="shared" si="44"/>
        <v>F_TRAD</v>
      </c>
      <c r="R244" s="69">
        <f t="shared" si="45"/>
        <v>125</v>
      </c>
      <c r="S244" s="69">
        <f t="shared" si="46"/>
        <v>125</v>
      </c>
      <c r="T244" s="69">
        <f t="shared" si="47"/>
        <v>0</v>
      </c>
      <c r="U244" s="238"/>
      <c r="V244" s="240" t="s">
        <v>1063</v>
      </c>
      <c r="W244" s="240" t="s">
        <v>965</v>
      </c>
      <c r="X244" s="240" t="s">
        <v>966</v>
      </c>
      <c r="Y244" s="238" t="s">
        <v>1066</v>
      </c>
      <c r="Z244" s="238" t="s">
        <v>1066</v>
      </c>
      <c r="AA244" s="238" t="s">
        <v>1066</v>
      </c>
      <c r="AB244" s="238"/>
      <c r="AE244" s="267"/>
    </row>
    <row r="245" spans="1:31">
      <c r="A245" s="175"/>
      <c r="B245" s="64"/>
      <c r="C245" s="64"/>
      <c r="D245" s="64"/>
      <c r="E245" s="64"/>
      <c r="F245" s="64"/>
      <c r="G245" s="74"/>
      <c r="H245" s="52" t="s">
        <v>1086</v>
      </c>
      <c r="I245" s="69">
        <f t="shared" si="36"/>
        <v>1</v>
      </c>
      <c r="J245" s="69">
        <f t="shared" si="37"/>
        <v>2</v>
      </c>
      <c r="K245" s="69">
        <f t="shared" si="38"/>
        <v>1</v>
      </c>
      <c r="L245" s="69">
        <f t="shared" si="39"/>
        <v>1</v>
      </c>
      <c r="M245" s="69">
        <f t="shared" si="40"/>
        <v>0</v>
      </c>
      <c r="N245" s="69">
        <f t="shared" si="41"/>
        <v>1</v>
      </c>
      <c r="O245" s="69">
        <f t="shared" si="42"/>
        <v>0</v>
      </c>
      <c r="P245" s="69">
        <f t="shared" si="43"/>
        <v>0</v>
      </c>
      <c r="Q245" s="69" t="str">
        <f t="shared" si="44"/>
        <v>F_TRAD</v>
      </c>
      <c r="R245" s="69">
        <f t="shared" si="45"/>
        <v>126</v>
      </c>
      <c r="S245" s="69">
        <f t="shared" si="46"/>
        <v>126</v>
      </c>
      <c r="T245" s="69">
        <f t="shared" si="47"/>
        <v>4</v>
      </c>
      <c r="U245" s="238"/>
      <c r="V245" s="240" t="s">
        <v>1063</v>
      </c>
      <c r="W245" s="240" t="s">
        <v>965</v>
      </c>
      <c r="X245" s="240" t="s">
        <v>966</v>
      </c>
      <c r="Y245" s="238" t="s">
        <v>1066</v>
      </c>
      <c r="Z245" s="238" t="s">
        <v>1066</v>
      </c>
      <c r="AA245" s="238" t="s">
        <v>1066</v>
      </c>
      <c r="AB245" s="238"/>
      <c r="AE245" s="267"/>
    </row>
    <row r="246" spans="1:31">
      <c r="A246" s="175"/>
      <c r="B246" s="64"/>
      <c r="C246" s="64"/>
      <c r="D246" s="64"/>
      <c r="E246" s="64"/>
      <c r="F246" s="64"/>
      <c r="G246" s="74"/>
      <c r="H246" s="52" t="s">
        <v>1087</v>
      </c>
      <c r="I246" s="69">
        <f t="shared" si="36"/>
        <v>1</v>
      </c>
      <c r="J246" s="69">
        <f t="shared" si="37"/>
        <v>2</v>
      </c>
      <c r="K246" s="69">
        <f t="shared" si="38"/>
        <v>1</v>
      </c>
      <c r="L246" s="69">
        <f t="shared" si="39"/>
        <v>1</v>
      </c>
      <c r="M246" s="69">
        <f t="shared" si="40"/>
        <v>0</v>
      </c>
      <c r="N246" s="69">
        <f t="shared" si="41"/>
        <v>1</v>
      </c>
      <c r="O246" s="69">
        <f t="shared" si="42"/>
        <v>0</v>
      </c>
      <c r="P246" s="69">
        <f t="shared" si="43"/>
        <v>0</v>
      </c>
      <c r="Q246" s="69" t="str">
        <f t="shared" si="44"/>
        <v>F_TRAD</v>
      </c>
      <c r="R246" s="69">
        <f t="shared" si="45"/>
        <v>127</v>
      </c>
      <c r="S246" s="69">
        <f t="shared" si="46"/>
        <v>127</v>
      </c>
      <c r="T246" s="69">
        <f t="shared" si="47"/>
        <v>4</v>
      </c>
      <c r="U246" s="238"/>
      <c r="V246" s="240" t="s">
        <v>1063</v>
      </c>
      <c r="W246" s="240" t="s">
        <v>965</v>
      </c>
      <c r="X246" s="240" t="s">
        <v>966</v>
      </c>
      <c r="Y246" s="238" t="s">
        <v>1066</v>
      </c>
      <c r="Z246" s="238" t="s">
        <v>1066</v>
      </c>
      <c r="AA246" s="238" t="s">
        <v>1066</v>
      </c>
      <c r="AB246" s="238"/>
      <c r="AE246" s="267"/>
    </row>
    <row r="247" spans="1:31">
      <c r="A247" s="175"/>
      <c r="B247" s="64"/>
      <c r="C247" s="64"/>
      <c r="D247" s="64"/>
      <c r="E247" s="64"/>
      <c r="F247" s="64"/>
      <c r="G247" s="74"/>
      <c r="H247" s="52" t="s">
        <v>1081</v>
      </c>
      <c r="I247" s="69">
        <f t="shared" si="36"/>
        <v>1</v>
      </c>
      <c r="J247" s="69">
        <f t="shared" si="37"/>
        <v>2</v>
      </c>
      <c r="K247" s="69">
        <f t="shared" si="38"/>
        <v>1</v>
      </c>
      <c r="L247" s="69">
        <f t="shared" si="39"/>
        <v>1</v>
      </c>
      <c r="M247" s="69">
        <f t="shared" si="40"/>
        <v>0</v>
      </c>
      <c r="N247" s="69">
        <f t="shared" si="41"/>
        <v>3</v>
      </c>
      <c r="O247" s="69">
        <f t="shared" si="42"/>
        <v>0</v>
      </c>
      <c r="P247" s="69">
        <f t="shared" si="43"/>
        <v>0</v>
      </c>
      <c r="Q247" s="69" t="str">
        <f t="shared" si="44"/>
        <v>F_TRAD</v>
      </c>
      <c r="R247" s="69">
        <f t="shared" si="45"/>
        <v>128</v>
      </c>
      <c r="S247" s="69">
        <f t="shared" si="46"/>
        <v>128</v>
      </c>
      <c r="T247" s="69">
        <f t="shared" si="47"/>
        <v>0</v>
      </c>
      <c r="U247" s="238"/>
      <c r="V247" s="240" t="s">
        <v>1063</v>
      </c>
      <c r="W247" s="240" t="s">
        <v>965</v>
      </c>
      <c r="X247" s="240" t="s">
        <v>966</v>
      </c>
      <c r="Y247" s="238" t="s">
        <v>1066</v>
      </c>
      <c r="Z247" s="238" t="s">
        <v>1066</v>
      </c>
      <c r="AA247" s="238" t="s">
        <v>1066</v>
      </c>
      <c r="AB247" s="238"/>
      <c r="AE247" s="267"/>
    </row>
    <row r="248" spans="1:31">
      <c r="A248" s="175"/>
      <c r="B248" s="64"/>
      <c r="C248" s="64"/>
      <c r="D248" s="64"/>
      <c r="E248" s="64"/>
      <c r="F248" s="64"/>
      <c r="G248" s="74"/>
      <c r="H248" s="52" t="s">
        <v>1082</v>
      </c>
      <c r="I248" s="69">
        <f t="shared" si="36"/>
        <v>1</v>
      </c>
      <c r="J248" s="69">
        <f t="shared" si="37"/>
        <v>2</v>
      </c>
      <c r="K248" s="69">
        <f t="shared" si="38"/>
        <v>1</v>
      </c>
      <c r="L248" s="69">
        <f t="shared" si="39"/>
        <v>1</v>
      </c>
      <c r="M248" s="69">
        <f t="shared" si="40"/>
        <v>0</v>
      </c>
      <c r="N248" s="69">
        <f t="shared" si="41"/>
        <v>3</v>
      </c>
      <c r="O248" s="69">
        <f t="shared" si="42"/>
        <v>0</v>
      </c>
      <c r="P248" s="69">
        <f t="shared" si="43"/>
        <v>0</v>
      </c>
      <c r="Q248" s="69" t="str">
        <f t="shared" si="44"/>
        <v>F_TRAD</v>
      </c>
      <c r="R248" s="69">
        <f t="shared" si="45"/>
        <v>129</v>
      </c>
      <c r="S248" s="69">
        <f t="shared" si="46"/>
        <v>129</v>
      </c>
      <c r="T248" s="69">
        <f t="shared" si="47"/>
        <v>0</v>
      </c>
      <c r="U248" s="238"/>
      <c r="V248" s="240" t="s">
        <v>1063</v>
      </c>
      <c r="W248" s="240" t="s">
        <v>965</v>
      </c>
      <c r="X248" s="240" t="s">
        <v>966</v>
      </c>
      <c r="Y248" s="238" t="s">
        <v>1066</v>
      </c>
      <c r="Z248" s="238" t="s">
        <v>1066</v>
      </c>
      <c r="AA248" s="238" t="s">
        <v>1066</v>
      </c>
      <c r="AB248" s="238"/>
      <c r="AE248" s="267"/>
    </row>
    <row r="249" spans="1:31">
      <c r="A249" s="175"/>
      <c r="B249" s="64"/>
      <c r="C249" s="64"/>
      <c r="D249" s="64"/>
      <c r="E249" s="64"/>
      <c r="F249" s="64"/>
      <c r="G249" s="74"/>
      <c r="H249" s="52" t="s">
        <v>574</v>
      </c>
      <c r="I249" s="69">
        <f t="shared" si="36"/>
        <v>1</v>
      </c>
      <c r="J249" s="69">
        <f t="shared" si="37"/>
        <v>2</v>
      </c>
      <c r="K249" s="69">
        <f t="shared" si="38"/>
        <v>1</v>
      </c>
      <c r="L249" s="69">
        <f t="shared" si="39"/>
        <v>1</v>
      </c>
      <c r="M249" s="69">
        <f t="shared" si="40"/>
        <v>0</v>
      </c>
      <c r="N249" s="69">
        <f t="shared" si="41"/>
        <v>1</v>
      </c>
      <c r="O249" s="69">
        <f t="shared" si="42"/>
        <v>0</v>
      </c>
      <c r="P249" s="69">
        <f t="shared" si="43"/>
        <v>0</v>
      </c>
      <c r="Q249" s="69" t="str">
        <f t="shared" si="44"/>
        <v>F_TRAD</v>
      </c>
      <c r="R249" s="69">
        <f t="shared" si="45"/>
        <v>68</v>
      </c>
      <c r="S249" s="69">
        <f t="shared" si="46"/>
        <v>68</v>
      </c>
      <c r="T249" s="69">
        <f t="shared" si="47"/>
        <v>0</v>
      </c>
      <c r="U249" s="238"/>
      <c r="V249" s="240" t="s">
        <v>1063</v>
      </c>
      <c r="W249" s="240" t="s">
        <v>965</v>
      </c>
      <c r="X249" s="240" t="s">
        <v>966</v>
      </c>
      <c r="Y249" s="238" t="s">
        <v>1066</v>
      </c>
      <c r="Z249" s="238" t="s">
        <v>1066</v>
      </c>
      <c r="AA249" s="238" t="s">
        <v>1066</v>
      </c>
      <c r="AB249" s="238"/>
      <c r="AE249" s="267"/>
    </row>
    <row r="250" spans="1:31">
      <c r="A250" s="175"/>
      <c r="B250" s="64"/>
      <c r="C250" s="64"/>
      <c r="D250" s="64"/>
      <c r="E250" s="64"/>
      <c r="F250" s="64"/>
      <c r="G250" s="74"/>
      <c r="H250" s="52" t="s">
        <v>580</v>
      </c>
      <c r="I250" s="69">
        <f t="shared" si="36"/>
        <v>1</v>
      </c>
      <c r="J250" s="69">
        <f t="shared" si="37"/>
        <v>2</v>
      </c>
      <c r="K250" s="69">
        <f t="shared" si="38"/>
        <v>1</v>
      </c>
      <c r="L250" s="69">
        <f t="shared" si="39"/>
        <v>1</v>
      </c>
      <c r="M250" s="69">
        <f t="shared" si="40"/>
        <v>1</v>
      </c>
      <c r="N250" s="69">
        <f t="shared" si="41"/>
        <v>1</v>
      </c>
      <c r="O250" s="69">
        <f t="shared" si="42"/>
        <v>0</v>
      </c>
      <c r="P250" s="69">
        <f t="shared" si="43"/>
        <v>0</v>
      </c>
      <c r="Q250" s="69" t="str">
        <f t="shared" si="44"/>
        <v>F_TRAD</v>
      </c>
      <c r="R250" s="69">
        <f t="shared" si="45"/>
        <v>69</v>
      </c>
      <c r="S250" s="69">
        <f t="shared" si="46"/>
        <v>69</v>
      </c>
      <c r="T250" s="69">
        <f t="shared" si="47"/>
        <v>4</v>
      </c>
      <c r="U250" s="238"/>
      <c r="V250" s="240" t="s">
        <v>1063</v>
      </c>
      <c r="W250" s="240" t="s">
        <v>965</v>
      </c>
      <c r="X250" s="240" t="s">
        <v>966</v>
      </c>
      <c r="Y250" s="238" t="s">
        <v>1066</v>
      </c>
      <c r="Z250" s="238" t="s">
        <v>1066</v>
      </c>
      <c r="AA250" s="238" t="s">
        <v>1066</v>
      </c>
      <c r="AB250" s="238"/>
      <c r="AE250" s="267"/>
    </row>
    <row r="251" spans="1:31">
      <c r="A251" s="175"/>
      <c r="B251" s="64"/>
      <c r="C251" s="64"/>
      <c r="D251" s="64"/>
      <c r="E251" s="64"/>
      <c r="F251" s="64"/>
      <c r="G251" s="74"/>
      <c r="H251" s="52" t="s">
        <v>477</v>
      </c>
      <c r="I251" s="69">
        <f t="shared" si="36"/>
        <v>1</v>
      </c>
      <c r="J251" s="69">
        <f t="shared" si="37"/>
        <v>2</v>
      </c>
      <c r="K251" s="69">
        <f t="shared" si="38"/>
        <v>1</v>
      </c>
      <c r="L251" s="69">
        <f t="shared" si="39"/>
        <v>1</v>
      </c>
      <c r="M251" s="69">
        <f t="shared" si="40"/>
        <v>0</v>
      </c>
      <c r="N251" s="69">
        <f t="shared" si="41"/>
        <v>3</v>
      </c>
      <c r="O251" s="69">
        <f t="shared" si="42"/>
        <v>0</v>
      </c>
      <c r="P251" s="69">
        <f t="shared" si="43"/>
        <v>0</v>
      </c>
      <c r="Q251" s="69" t="str">
        <f t="shared" si="44"/>
        <v>F_TRAD</v>
      </c>
      <c r="R251" s="69">
        <f t="shared" si="45"/>
        <v>70</v>
      </c>
      <c r="S251" s="69">
        <f t="shared" si="46"/>
        <v>70</v>
      </c>
      <c r="T251" s="69">
        <f t="shared" si="47"/>
        <v>0</v>
      </c>
      <c r="U251" s="238"/>
      <c r="V251" s="240" t="s">
        <v>1063</v>
      </c>
      <c r="W251" s="240" t="s">
        <v>965</v>
      </c>
      <c r="X251" s="240" t="s">
        <v>966</v>
      </c>
      <c r="Y251" s="238" t="s">
        <v>1066</v>
      </c>
      <c r="Z251" s="238" t="s">
        <v>1066</v>
      </c>
      <c r="AA251" s="238" t="s">
        <v>1066</v>
      </c>
      <c r="AB251" s="238"/>
      <c r="AE251" s="267"/>
    </row>
    <row r="252" spans="1:31">
      <c r="A252" s="175"/>
      <c r="B252" s="64"/>
      <c r="C252" s="64"/>
      <c r="D252" s="64"/>
      <c r="E252" s="64"/>
      <c r="F252" s="64"/>
      <c r="G252" s="74"/>
      <c r="H252" s="52" t="s">
        <v>581</v>
      </c>
      <c r="I252" s="69">
        <f t="shared" si="36"/>
        <v>1</v>
      </c>
      <c r="J252" s="69">
        <f t="shared" si="37"/>
        <v>2</v>
      </c>
      <c r="K252" s="69">
        <f t="shared" si="38"/>
        <v>1</v>
      </c>
      <c r="L252" s="69">
        <f t="shared" si="39"/>
        <v>1</v>
      </c>
      <c r="M252" s="69">
        <f t="shared" si="40"/>
        <v>1</v>
      </c>
      <c r="N252" s="69">
        <f t="shared" si="41"/>
        <v>1</v>
      </c>
      <c r="O252" s="69">
        <f t="shared" si="42"/>
        <v>0</v>
      </c>
      <c r="P252" s="69">
        <f t="shared" si="43"/>
        <v>0</v>
      </c>
      <c r="Q252" s="69" t="str">
        <f t="shared" si="44"/>
        <v>F_TRAD</v>
      </c>
      <c r="R252" s="69">
        <f t="shared" si="45"/>
        <v>71</v>
      </c>
      <c r="S252" s="69">
        <f t="shared" si="46"/>
        <v>71</v>
      </c>
      <c r="T252" s="69">
        <f t="shared" si="47"/>
        <v>4</v>
      </c>
      <c r="U252" s="238"/>
      <c r="V252" s="240" t="s">
        <v>1063</v>
      </c>
      <c r="W252" s="240" t="s">
        <v>965</v>
      </c>
      <c r="X252" s="240" t="s">
        <v>966</v>
      </c>
      <c r="Y252" s="238" t="s">
        <v>1066</v>
      </c>
      <c r="Z252" s="238" t="s">
        <v>1066</v>
      </c>
      <c r="AA252" s="238" t="s">
        <v>1066</v>
      </c>
      <c r="AB252" s="238"/>
      <c r="AE252" s="267"/>
    </row>
    <row r="253" spans="1:31">
      <c r="A253" s="175"/>
      <c r="B253" s="64"/>
      <c r="C253" s="64"/>
      <c r="D253" s="64"/>
      <c r="E253" s="64"/>
      <c r="F253" s="64"/>
      <c r="G253" s="74"/>
      <c r="H253" s="52" t="s">
        <v>582</v>
      </c>
      <c r="I253" s="69">
        <f t="shared" si="36"/>
        <v>1</v>
      </c>
      <c r="J253" s="69">
        <f t="shared" si="37"/>
        <v>2</v>
      </c>
      <c r="K253" s="69">
        <f t="shared" si="38"/>
        <v>1</v>
      </c>
      <c r="L253" s="69">
        <f t="shared" si="39"/>
        <v>1</v>
      </c>
      <c r="M253" s="69">
        <f t="shared" si="40"/>
        <v>0</v>
      </c>
      <c r="N253" s="69">
        <f t="shared" si="41"/>
        <v>3</v>
      </c>
      <c r="O253" s="69">
        <f t="shared" si="42"/>
        <v>0</v>
      </c>
      <c r="P253" s="69">
        <f t="shared" si="43"/>
        <v>0</v>
      </c>
      <c r="Q253" s="69" t="str">
        <f t="shared" si="44"/>
        <v>F_TRAD</v>
      </c>
      <c r="R253" s="69">
        <f t="shared" si="45"/>
        <v>72</v>
      </c>
      <c r="S253" s="69">
        <f t="shared" si="46"/>
        <v>72</v>
      </c>
      <c r="T253" s="69">
        <f t="shared" si="47"/>
        <v>4</v>
      </c>
      <c r="U253" s="238"/>
      <c r="V253" s="240" t="s">
        <v>1063</v>
      </c>
      <c r="W253" s="240" t="s">
        <v>965</v>
      </c>
      <c r="X253" s="240" t="s">
        <v>966</v>
      </c>
      <c r="Y253" s="238" t="s">
        <v>1066</v>
      </c>
      <c r="Z253" s="238" t="s">
        <v>1066</v>
      </c>
      <c r="AA253" s="238" t="s">
        <v>1066</v>
      </c>
      <c r="AB253" s="238"/>
      <c r="AE253" s="267"/>
    </row>
    <row r="254" spans="1:31">
      <c r="A254" s="175"/>
      <c r="B254" s="64"/>
      <c r="C254" s="64"/>
      <c r="D254" s="64"/>
      <c r="E254" s="64"/>
      <c r="F254" s="64"/>
      <c r="G254" s="74"/>
      <c r="H254" s="52" t="s">
        <v>575</v>
      </c>
      <c r="I254" s="69">
        <f t="shared" si="36"/>
        <v>1</v>
      </c>
      <c r="J254" s="69">
        <f t="shared" si="37"/>
        <v>2</v>
      </c>
      <c r="K254" s="69">
        <f t="shared" si="38"/>
        <v>1</v>
      </c>
      <c r="L254" s="69">
        <f t="shared" si="39"/>
        <v>1</v>
      </c>
      <c r="M254" s="69">
        <f t="shared" si="40"/>
        <v>0</v>
      </c>
      <c r="N254" s="69">
        <f t="shared" si="41"/>
        <v>2</v>
      </c>
      <c r="O254" s="69">
        <f t="shared" si="42"/>
        <v>0</v>
      </c>
      <c r="P254" s="69">
        <f t="shared" si="43"/>
        <v>0</v>
      </c>
      <c r="Q254" s="69" t="str">
        <f t="shared" si="44"/>
        <v>F_TRAD</v>
      </c>
      <c r="R254" s="69">
        <f t="shared" si="45"/>
        <v>73</v>
      </c>
      <c r="S254" s="69">
        <f t="shared" si="46"/>
        <v>73</v>
      </c>
      <c r="T254" s="69">
        <f t="shared" si="47"/>
        <v>0</v>
      </c>
      <c r="U254" s="238"/>
      <c r="V254" s="240" t="s">
        <v>1063</v>
      </c>
      <c r="W254" s="240" t="s">
        <v>965</v>
      </c>
      <c r="X254" s="240" t="s">
        <v>966</v>
      </c>
      <c r="Y254" s="238" t="s">
        <v>1066</v>
      </c>
      <c r="Z254" s="238" t="s">
        <v>1066</v>
      </c>
      <c r="AA254" s="238" t="s">
        <v>1066</v>
      </c>
      <c r="AB254" s="238"/>
      <c r="AE254" s="267"/>
    </row>
    <row r="255" spans="1:31">
      <c r="A255" s="175"/>
      <c r="B255" s="64"/>
      <c r="C255" s="64"/>
      <c r="D255" s="64"/>
      <c r="E255" s="64"/>
      <c r="F255" s="64"/>
      <c r="G255" s="74"/>
      <c r="H255" s="52" t="s">
        <v>583</v>
      </c>
      <c r="I255" s="69">
        <f t="shared" si="36"/>
        <v>1</v>
      </c>
      <c r="J255" s="69">
        <f t="shared" si="37"/>
        <v>2</v>
      </c>
      <c r="K255" s="69">
        <f t="shared" si="38"/>
        <v>1</v>
      </c>
      <c r="L255" s="69">
        <f t="shared" si="39"/>
        <v>1</v>
      </c>
      <c r="M255" s="69">
        <f t="shared" si="40"/>
        <v>1</v>
      </c>
      <c r="N255" s="69">
        <f t="shared" si="41"/>
        <v>1</v>
      </c>
      <c r="O255" s="69">
        <f t="shared" si="42"/>
        <v>0</v>
      </c>
      <c r="P255" s="69">
        <f t="shared" si="43"/>
        <v>0</v>
      </c>
      <c r="Q255" s="69" t="str">
        <f t="shared" si="44"/>
        <v>F_TRAD</v>
      </c>
      <c r="R255" s="69">
        <f t="shared" si="45"/>
        <v>74</v>
      </c>
      <c r="S255" s="69">
        <f t="shared" si="46"/>
        <v>74</v>
      </c>
      <c r="T255" s="69">
        <f t="shared" si="47"/>
        <v>4</v>
      </c>
      <c r="U255" s="238"/>
      <c r="V255" s="240" t="s">
        <v>1063</v>
      </c>
      <c r="W255" s="240" t="s">
        <v>965</v>
      </c>
      <c r="X255" s="240" t="s">
        <v>966</v>
      </c>
      <c r="Y255" s="238" t="s">
        <v>1066</v>
      </c>
      <c r="Z255" s="238" t="s">
        <v>1066</v>
      </c>
      <c r="AA255" s="238" t="s">
        <v>1066</v>
      </c>
      <c r="AB255" s="238"/>
      <c r="AE255" s="267"/>
    </row>
    <row r="256" spans="1:31">
      <c r="A256" s="175"/>
      <c r="B256" s="64"/>
      <c r="C256" s="64"/>
      <c r="D256" s="64"/>
      <c r="E256" s="64"/>
      <c r="F256" s="64"/>
      <c r="G256" s="74"/>
      <c r="H256" s="52" t="s">
        <v>576</v>
      </c>
      <c r="I256" s="69">
        <f t="shared" si="36"/>
        <v>1</v>
      </c>
      <c r="J256" s="69">
        <f t="shared" si="37"/>
        <v>2</v>
      </c>
      <c r="K256" s="69">
        <f t="shared" si="38"/>
        <v>1</v>
      </c>
      <c r="L256" s="69">
        <f t="shared" si="39"/>
        <v>1</v>
      </c>
      <c r="M256" s="69">
        <f t="shared" si="40"/>
        <v>0</v>
      </c>
      <c r="N256" s="69">
        <f t="shared" si="41"/>
        <v>1</v>
      </c>
      <c r="O256" s="69">
        <f t="shared" si="42"/>
        <v>0</v>
      </c>
      <c r="P256" s="69">
        <f t="shared" si="43"/>
        <v>0</v>
      </c>
      <c r="Q256" s="69" t="str">
        <f t="shared" si="44"/>
        <v>F_TRAD</v>
      </c>
      <c r="R256" s="69">
        <f t="shared" si="45"/>
        <v>75</v>
      </c>
      <c r="S256" s="69">
        <f t="shared" si="46"/>
        <v>75</v>
      </c>
      <c r="T256" s="69">
        <f t="shared" si="47"/>
        <v>0</v>
      </c>
      <c r="U256" s="238"/>
      <c r="V256" s="240" t="s">
        <v>1063</v>
      </c>
      <c r="W256" s="240" t="s">
        <v>965</v>
      </c>
      <c r="X256" s="240" t="s">
        <v>966</v>
      </c>
      <c r="Y256" s="238" t="s">
        <v>1066</v>
      </c>
      <c r="Z256" s="238" t="s">
        <v>1066</v>
      </c>
      <c r="AA256" s="238" t="s">
        <v>1066</v>
      </c>
      <c r="AB256" s="238"/>
      <c r="AE256" s="267"/>
    </row>
    <row r="257" spans="1:31">
      <c r="A257" s="175"/>
      <c r="B257" s="64"/>
      <c r="C257" s="64"/>
      <c r="D257" s="64"/>
      <c r="E257" s="64"/>
      <c r="F257" s="64"/>
      <c r="G257" s="74"/>
      <c r="H257" s="52" t="s">
        <v>588</v>
      </c>
      <c r="I257" s="69">
        <f t="shared" si="36"/>
        <v>1</v>
      </c>
      <c r="J257" s="69">
        <f t="shared" si="37"/>
        <v>2</v>
      </c>
      <c r="K257" s="69">
        <f t="shared" si="38"/>
        <v>0</v>
      </c>
      <c r="L257" s="69">
        <f t="shared" si="39"/>
        <v>3</v>
      </c>
      <c r="M257" s="69">
        <f t="shared" si="40"/>
        <v>0</v>
      </c>
      <c r="N257" s="69">
        <f t="shared" si="41"/>
        <v>1</v>
      </c>
      <c r="O257" s="69">
        <f t="shared" si="42"/>
        <v>0</v>
      </c>
      <c r="P257" s="69">
        <f t="shared" si="43"/>
        <v>0</v>
      </c>
      <c r="Q257" s="69" t="str">
        <f t="shared" si="44"/>
        <v>F_TRAD</v>
      </c>
      <c r="R257" s="69">
        <f t="shared" si="45"/>
        <v>76</v>
      </c>
      <c r="S257" s="69">
        <f t="shared" si="46"/>
        <v>76</v>
      </c>
      <c r="T257" s="69">
        <f t="shared" si="47"/>
        <v>0</v>
      </c>
      <c r="U257" s="238"/>
      <c r="V257" s="240" t="s">
        <v>1063</v>
      </c>
      <c r="W257" s="240" t="s">
        <v>1064</v>
      </c>
      <c r="X257" s="240" t="s">
        <v>966</v>
      </c>
      <c r="Y257" s="238" t="s">
        <v>328</v>
      </c>
      <c r="Z257" s="238" t="s">
        <v>328</v>
      </c>
      <c r="AA257" s="238" t="s">
        <v>328</v>
      </c>
      <c r="AB257" s="238"/>
      <c r="AE257" s="267"/>
    </row>
    <row r="258" spans="1:31">
      <c r="A258" s="175"/>
      <c r="B258" s="64"/>
      <c r="C258" s="64"/>
      <c r="D258" s="64"/>
      <c r="E258" s="64"/>
      <c r="F258" s="64"/>
      <c r="G258" s="74"/>
      <c r="H258" s="52" t="s">
        <v>589</v>
      </c>
      <c r="I258" s="69">
        <f t="shared" si="36"/>
        <v>1</v>
      </c>
      <c r="J258" s="69">
        <f t="shared" si="37"/>
        <v>2</v>
      </c>
      <c r="K258" s="69">
        <f t="shared" si="38"/>
        <v>0</v>
      </c>
      <c r="L258" s="69">
        <f t="shared" si="39"/>
        <v>3</v>
      </c>
      <c r="M258" s="69">
        <f t="shared" si="40"/>
        <v>0</v>
      </c>
      <c r="N258" s="69">
        <f t="shared" si="41"/>
        <v>1</v>
      </c>
      <c r="O258" s="69">
        <f t="shared" si="42"/>
        <v>0</v>
      </c>
      <c r="P258" s="69">
        <f t="shared" si="43"/>
        <v>0</v>
      </c>
      <c r="Q258" s="69" t="str">
        <f t="shared" si="44"/>
        <v>F_TRAD</v>
      </c>
      <c r="R258" s="69">
        <f t="shared" si="45"/>
        <v>77</v>
      </c>
      <c r="S258" s="69">
        <f t="shared" si="46"/>
        <v>77</v>
      </c>
      <c r="T258" s="69">
        <f t="shared" si="47"/>
        <v>0</v>
      </c>
      <c r="U258" s="238"/>
      <c r="V258" s="240" t="s">
        <v>1063</v>
      </c>
      <c r="W258" s="240" t="s">
        <v>1064</v>
      </c>
      <c r="X258" s="240" t="s">
        <v>966</v>
      </c>
      <c r="Y258" s="238" t="s">
        <v>328</v>
      </c>
      <c r="Z258" s="238" t="s">
        <v>328</v>
      </c>
      <c r="AA258" s="238" t="s">
        <v>328</v>
      </c>
      <c r="AB258" s="238"/>
      <c r="AE258" s="267"/>
    </row>
    <row r="259" spans="1:31">
      <c r="A259" s="175"/>
      <c r="B259" s="64"/>
      <c r="C259" s="64"/>
      <c r="D259" s="64"/>
      <c r="E259" s="64"/>
      <c r="F259" s="64"/>
      <c r="G259" s="74"/>
      <c r="H259" s="52" t="s">
        <v>471</v>
      </c>
      <c r="I259" s="69">
        <f t="shared" si="36"/>
        <v>1</v>
      </c>
      <c r="J259" s="69">
        <f t="shared" si="37"/>
        <v>2</v>
      </c>
      <c r="K259" s="69">
        <f t="shared" si="38"/>
        <v>1</v>
      </c>
      <c r="L259" s="69">
        <f t="shared" si="39"/>
        <v>1</v>
      </c>
      <c r="M259" s="69">
        <f t="shared" si="40"/>
        <v>0</v>
      </c>
      <c r="N259" s="69">
        <f t="shared" si="41"/>
        <v>3</v>
      </c>
      <c r="O259" s="69">
        <f t="shared" si="42"/>
        <v>0</v>
      </c>
      <c r="P259" s="69">
        <f t="shared" si="43"/>
        <v>0</v>
      </c>
      <c r="Q259" s="69" t="str">
        <f t="shared" si="44"/>
        <v>F_TRAD</v>
      </c>
      <c r="R259" s="69">
        <f t="shared" si="45"/>
        <v>78</v>
      </c>
      <c r="S259" s="69">
        <f t="shared" si="46"/>
        <v>78</v>
      </c>
      <c r="T259" s="69">
        <f t="shared" si="47"/>
        <v>0</v>
      </c>
      <c r="U259" s="238"/>
      <c r="V259" s="240" t="s">
        <v>1063</v>
      </c>
      <c r="W259" s="240" t="s">
        <v>965</v>
      </c>
      <c r="X259" s="240" t="s">
        <v>966</v>
      </c>
      <c r="Y259" s="238" t="s">
        <v>1066</v>
      </c>
      <c r="Z259" s="238" t="s">
        <v>1066</v>
      </c>
      <c r="AA259" s="238" t="s">
        <v>1066</v>
      </c>
      <c r="AB259" s="238"/>
      <c r="AE259" s="267"/>
    </row>
    <row r="260" spans="1:31">
      <c r="A260" s="175"/>
      <c r="B260" s="64"/>
      <c r="C260" s="64"/>
      <c r="D260" s="64"/>
      <c r="E260" s="64"/>
      <c r="F260" s="64"/>
      <c r="G260" s="74"/>
      <c r="H260" s="52" t="s">
        <v>486</v>
      </c>
      <c r="I260" s="69">
        <f t="shared" si="36"/>
        <v>1</v>
      </c>
      <c r="J260" s="69">
        <f t="shared" si="37"/>
        <v>2</v>
      </c>
      <c r="K260" s="69">
        <f t="shared" si="38"/>
        <v>1</v>
      </c>
      <c r="L260" s="69">
        <f t="shared" si="39"/>
        <v>1</v>
      </c>
      <c r="M260" s="69">
        <f t="shared" si="40"/>
        <v>0</v>
      </c>
      <c r="N260" s="69">
        <f t="shared" si="41"/>
        <v>3</v>
      </c>
      <c r="O260" s="69">
        <f t="shared" si="42"/>
        <v>0</v>
      </c>
      <c r="P260" s="69">
        <f t="shared" si="43"/>
        <v>0</v>
      </c>
      <c r="Q260" s="69" t="str">
        <f t="shared" si="44"/>
        <v>F_TRAD</v>
      </c>
      <c r="R260" s="69">
        <f t="shared" si="45"/>
        <v>79</v>
      </c>
      <c r="S260" s="69">
        <f t="shared" si="46"/>
        <v>79</v>
      </c>
      <c r="T260" s="69">
        <f t="shared" si="47"/>
        <v>0</v>
      </c>
      <c r="U260" s="238"/>
      <c r="V260" s="240" t="s">
        <v>1063</v>
      </c>
      <c r="W260" s="240" t="s">
        <v>965</v>
      </c>
      <c r="X260" s="240" t="s">
        <v>966</v>
      </c>
      <c r="Y260" s="238" t="s">
        <v>1066</v>
      </c>
      <c r="Z260" s="238" t="s">
        <v>1066</v>
      </c>
      <c r="AA260" s="238" t="s">
        <v>1066</v>
      </c>
      <c r="AB260" s="238"/>
      <c r="AE260" s="267"/>
    </row>
    <row r="261" spans="1:31">
      <c r="A261" s="175"/>
      <c r="B261" s="64"/>
      <c r="C261" s="64"/>
      <c r="D261" s="64"/>
      <c r="E261" s="64"/>
      <c r="F261" s="64"/>
      <c r="G261" s="74"/>
      <c r="H261" s="52" t="s">
        <v>577</v>
      </c>
      <c r="I261" s="69">
        <f t="shared" si="36"/>
        <v>1</v>
      </c>
      <c r="J261" s="69">
        <f t="shared" si="37"/>
        <v>2</v>
      </c>
      <c r="K261" s="69">
        <f t="shared" si="38"/>
        <v>1</v>
      </c>
      <c r="L261" s="69">
        <f t="shared" si="39"/>
        <v>1</v>
      </c>
      <c r="M261" s="69">
        <f t="shared" si="40"/>
        <v>0</v>
      </c>
      <c r="N261" s="69">
        <f t="shared" si="41"/>
        <v>1</v>
      </c>
      <c r="O261" s="69">
        <f t="shared" si="42"/>
        <v>0</v>
      </c>
      <c r="P261" s="69">
        <f t="shared" si="43"/>
        <v>0</v>
      </c>
      <c r="Q261" s="69" t="str">
        <f t="shared" si="44"/>
        <v>F_TRAD</v>
      </c>
      <c r="R261" s="69">
        <f t="shared" si="45"/>
        <v>80</v>
      </c>
      <c r="S261" s="69">
        <f t="shared" si="46"/>
        <v>80</v>
      </c>
      <c r="T261" s="69">
        <f t="shared" si="47"/>
        <v>0</v>
      </c>
      <c r="U261" s="238"/>
      <c r="V261" s="240" t="s">
        <v>1063</v>
      </c>
      <c r="W261" s="240" t="s">
        <v>965</v>
      </c>
      <c r="X261" s="240" t="s">
        <v>966</v>
      </c>
      <c r="Y261" s="238" t="s">
        <v>1066</v>
      </c>
      <c r="Z261" s="238" t="s">
        <v>1066</v>
      </c>
      <c r="AA261" s="238" t="s">
        <v>1066</v>
      </c>
      <c r="AB261" s="238"/>
      <c r="AE261" s="267"/>
    </row>
    <row r="262" spans="1:31">
      <c r="A262" s="175"/>
      <c r="B262" s="64"/>
      <c r="C262" s="64"/>
      <c r="D262" s="64"/>
      <c r="E262" s="64"/>
      <c r="F262" s="64"/>
      <c r="G262" s="74"/>
      <c r="H262" s="52" t="s">
        <v>1059</v>
      </c>
      <c r="I262" s="69">
        <f t="shared" si="36"/>
        <v>0</v>
      </c>
      <c r="J262" s="69">
        <f t="shared" si="37"/>
        <v>0</v>
      </c>
      <c r="K262" s="69">
        <f t="shared" si="38"/>
        <v>0</v>
      </c>
      <c r="L262" s="69">
        <f t="shared" si="39"/>
        <v>0</v>
      </c>
      <c r="M262" s="69">
        <f t="shared" si="40"/>
        <v>0</v>
      </c>
      <c r="N262" s="69">
        <f t="shared" si="41"/>
        <v>0</v>
      </c>
      <c r="O262" s="69">
        <f t="shared" si="42"/>
        <v>0</v>
      </c>
      <c r="P262" s="69">
        <f t="shared" si="43"/>
        <v>0</v>
      </c>
      <c r="Q262" s="69">
        <f t="shared" si="44"/>
        <v>0</v>
      </c>
      <c r="R262" s="69">
        <f t="shared" si="45"/>
        <v>0</v>
      </c>
      <c r="S262" s="69">
        <f t="shared" si="46"/>
        <v>0</v>
      </c>
      <c r="T262" s="69">
        <f t="shared" si="47"/>
        <v>0</v>
      </c>
      <c r="U262" s="238"/>
      <c r="V262" s="240"/>
      <c r="W262" s="240"/>
      <c r="X262" s="240"/>
      <c r="Y262" s="238"/>
      <c r="Z262" s="238"/>
      <c r="AA262" s="238"/>
      <c r="AB262" s="238"/>
      <c r="AE262" s="267"/>
    </row>
    <row r="263" spans="1:31">
      <c r="A263" s="175"/>
      <c r="B263" s="64"/>
      <c r="C263" s="64"/>
      <c r="D263" s="64"/>
      <c r="E263" s="64"/>
      <c r="F263" s="64"/>
      <c r="G263" s="74"/>
      <c r="H263" s="52" t="s">
        <v>1060</v>
      </c>
      <c r="I263" s="69">
        <f t="shared" si="36"/>
        <v>0</v>
      </c>
      <c r="J263" s="69">
        <f t="shared" si="37"/>
        <v>0</v>
      </c>
      <c r="K263" s="69">
        <f t="shared" si="38"/>
        <v>0</v>
      </c>
      <c r="L263" s="69">
        <f t="shared" si="39"/>
        <v>0</v>
      </c>
      <c r="M263" s="69">
        <f t="shared" si="40"/>
        <v>0</v>
      </c>
      <c r="N263" s="69">
        <f t="shared" si="41"/>
        <v>0</v>
      </c>
      <c r="O263" s="69">
        <f t="shared" si="42"/>
        <v>0</v>
      </c>
      <c r="P263" s="69">
        <f t="shared" si="43"/>
        <v>0</v>
      </c>
      <c r="Q263" s="69">
        <f t="shared" si="44"/>
        <v>0</v>
      </c>
      <c r="R263" s="69">
        <f t="shared" si="45"/>
        <v>0</v>
      </c>
      <c r="S263" s="69">
        <f t="shared" si="46"/>
        <v>0</v>
      </c>
      <c r="T263" s="69">
        <f t="shared" si="47"/>
        <v>0</v>
      </c>
      <c r="U263" s="238"/>
      <c r="V263" s="240"/>
      <c r="W263" s="240"/>
      <c r="X263" s="240"/>
      <c r="Y263" s="238"/>
      <c r="Z263" s="238"/>
      <c r="AA263" s="238"/>
      <c r="AB263" s="238"/>
      <c r="AE263" s="267"/>
    </row>
    <row r="264" spans="1:31">
      <c r="A264" s="175"/>
      <c r="B264" s="64"/>
      <c r="C264" s="64"/>
      <c r="D264" s="64"/>
      <c r="E264" s="64"/>
      <c r="F264" s="64"/>
      <c r="G264" s="74"/>
      <c r="H264" s="52" t="s">
        <v>994</v>
      </c>
      <c r="I264" s="69">
        <f t="shared" si="36"/>
        <v>0</v>
      </c>
      <c r="J264" s="69">
        <f t="shared" si="37"/>
        <v>0</v>
      </c>
      <c r="K264" s="69">
        <f t="shared" si="38"/>
        <v>0</v>
      </c>
      <c r="L264" s="69">
        <f t="shared" si="39"/>
        <v>0</v>
      </c>
      <c r="M264" s="69">
        <f t="shared" si="40"/>
        <v>0</v>
      </c>
      <c r="N264" s="69">
        <f t="shared" si="41"/>
        <v>0</v>
      </c>
      <c r="O264" s="69">
        <f t="shared" si="42"/>
        <v>0</v>
      </c>
      <c r="P264" s="69">
        <f t="shared" si="43"/>
        <v>0</v>
      </c>
      <c r="Q264" s="69">
        <f t="shared" si="44"/>
        <v>0</v>
      </c>
      <c r="R264" s="69">
        <f t="shared" si="45"/>
        <v>0</v>
      </c>
      <c r="S264" s="69">
        <f t="shared" si="46"/>
        <v>0</v>
      </c>
      <c r="T264" s="69">
        <f t="shared" si="47"/>
        <v>0</v>
      </c>
      <c r="U264" s="238"/>
      <c r="V264" s="240" t="s">
        <v>1063</v>
      </c>
      <c r="W264" s="240" t="s">
        <v>965</v>
      </c>
      <c r="X264" s="240" t="s">
        <v>966</v>
      </c>
      <c r="Y264" s="238" t="s">
        <v>328</v>
      </c>
      <c r="Z264" s="238" t="s">
        <v>328</v>
      </c>
      <c r="AA264" s="238" t="s">
        <v>328</v>
      </c>
      <c r="AB264" s="238"/>
      <c r="AE264" s="267"/>
    </row>
    <row r="265" spans="1:31">
      <c r="A265" s="175"/>
      <c r="B265" s="64"/>
      <c r="C265" s="64"/>
      <c r="D265" s="64"/>
      <c r="E265" s="64"/>
      <c r="F265" s="64"/>
      <c r="G265" s="74"/>
      <c r="H265" s="52" t="s">
        <v>996</v>
      </c>
      <c r="I265" s="69">
        <f t="shared" si="36"/>
        <v>0</v>
      </c>
      <c r="J265" s="69">
        <f t="shared" si="37"/>
        <v>0</v>
      </c>
      <c r="K265" s="69">
        <f t="shared" si="38"/>
        <v>0</v>
      </c>
      <c r="L265" s="69">
        <f t="shared" si="39"/>
        <v>0</v>
      </c>
      <c r="M265" s="69">
        <f t="shared" si="40"/>
        <v>0</v>
      </c>
      <c r="N265" s="69">
        <f t="shared" si="41"/>
        <v>0</v>
      </c>
      <c r="O265" s="69">
        <f t="shared" si="42"/>
        <v>0</v>
      </c>
      <c r="P265" s="69">
        <f t="shared" si="43"/>
        <v>0</v>
      </c>
      <c r="Q265" s="69">
        <f t="shared" si="44"/>
        <v>0</v>
      </c>
      <c r="R265" s="69">
        <f t="shared" si="45"/>
        <v>0</v>
      </c>
      <c r="S265" s="69">
        <f t="shared" si="46"/>
        <v>0</v>
      </c>
      <c r="T265" s="69">
        <f t="shared" si="47"/>
        <v>0</v>
      </c>
      <c r="U265" s="238"/>
      <c r="V265" s="240" t="s">
        <v>1063</v>
      </c>
      <c r="W265" s="240" t="s">
        <v>965</v>
      </c>
      <c r="X265" s="240" t="s">
        <v>966</v>
      </c>
      <c r="Y265" s="238" t="s">
        <v>328</v>
      </c>
      <c r="Z265" s="238" t="s">
        <v>328</v>
      </c>
      <c r="AA265" s="238" t="s">
        <v>328</v>
      </c>
      <c r="AB265" s="238"/>
      <c r="AE265" s="267"/>
    </row>
    <row r="266" spans="1:31">
      <c r="A266" s="175"/>
      <c r="B266" s="64"/>
      <c r="C266" s="64"/>
      <c r="D266" s="64"/>
      <c r="E266" s="64"/>
      <c r="F266" s="64"/>
      <c r="G266" s="74"/>
      <c r="H266" s="52" t="s">
        <v>340</v>
      </c>
      <c r="I266" s="69">
        <f t="shared" si="36"/>
        <v>0</v>
      </c>
      <c r="J266" s="69">
        <f t="shared" si="37"/>
        <v>0</v>
      </c>
      <c r="K266" s="69">
        <f t="shared" si="38"/>
        <v>0</v>
      </c>
      <c r="L266" s="69">
        <f t="shared" si="39"/>
        <v>0</v>
      </c>
      <c r="M266" s="69">
        <f t="shared" si="40"/>
        <v>0</v>
      </c>
      <c r="N266" s="69">
        <f t="shared" si="41"/>
        <v>0</v>
      </c>
      <c r="O266" s="69">
        <f t="shared" si="42"/>
        <v>0</v>
      </c>
      <c r="P266" s="69">
        <f t="shared" si="43"/>
        <v>0</v>
      </c>
      <c r="Q266" s="69">
        <f t="shared" si="44"/>
        <v>0</v>
      </c>
      <c r="R266" s="69">
        <f t="shared" si="45"/>
        <v>0</v>
      </c>
      <c r="S266" s="69">
        <f t="shared" si="46"/>
        <v>0</v>
      </c>
      <c r="T266" s="69">
        <f t="shared" si="47"/>
        <v>0</v>
      </c>
      <c r="U266" s="238"/>
      <c r="V266" s="240" t="s">
        <v>1063</v>
      </c>
      <c r="W266" s="240" t="s">
        <v>965</v>
      </c>
      <c r="X266" s="240" t="s">
        <v>966</v>
      </c>
      <c r="Y266" s="238" t="s">
        <v>1066</v>
      </c>
      <c r="Z266" s="238" t="s">
        <v>1066</v>
      </c>
      <c r="AA266" s="238" t="s">
        <v>1066</v>
      </c>
      <c r="AB266" s="238"/>
      <c r="AE266" s="267"/>
    </row>
    <row r="267" spans="1:31">
      <c r="A267" s="175"/>
      <c r="B267" s="64"/>
      <c r="C267" s="64"/>
      <c r="D267" s="64"/>
      <c r="E267" s="64"/>
      <c r="F267" s="64"/>
      <c r="G267" s="74"/>
      <c r="H267" s="52" t="s">
        <v>343</v>
      </c>
      <c r="I267" s="69">
        <f t="shared" si="36"/>
        <v>0</v>
      </c>
      <c r="J267" s="69">
        <f t="shared" si="37"/>
        <v>0</v>
      </c>
      <c r="K267" s="69">
        <f t="shared" si="38"/>
        <v>0</v>
      </c>
      <c r="L267" s="69">
        <f t="shared" si="39"/>
        <v>0</v>
      </c>
      <c r="M267" s="69">
        <f t="shared" si="40"/>
        <v>0</v>
      </c>
      <c r="N267" s="69">
        <f t="shared" si="41"/>
        <v>0</v>
      </c>
      <c r="O267" s="69">
        <f t="shared" si="42"/>
        <v>0</v>
      </c>
      <c r="P267" s="69">
        <f t="shared" si="43"/>
        <v>0</v>
      </c>
      <c r="Q267" s="69">
        <f t="shared" si="44"/>
        <v>0</v>
      </c>
      <c r="R267" s="69">
        <f t="shared" si="45"/>
        <v>0</v>
      </c>
      <c r="S267" s="69">
        <f t="shared" si="46"/>
        <v>0</v>
      </c>
      <c r="T267" s="69">
        <f t="shared" si="47"/>
        <v>0</v>
      </c>
      <c r="U267" s="238"/>
      <c r="V267" s="240" t="s">
        <v>1063</v>
      </c>
      <c r="W267" s="240" t="s">
        <v>965</v>
      </c>
      <c r="X267" s="240" t="s">
        <v>966</v>
      </c>
      <c r="Y267" s="238" t="s">
        <v>1066</v>
      </c>
      <c r="Z267" s="238" t="s">
        <v>1066</v>
      </c>
      <c r="AA267" s="238" t="s">
        <v>1066</v>
      </c>
      <c r="AB267" s="238"/>
      <c r="AE267" s="267"/>
    </row>
    <row r="268" spans="1:31">
      <c r="A268" s="175"/>
      <c r="B268" s="64"/>
      <c r="C268" s="64"/>
      <c r="D268" s="64"/>
      <c r="E268" s="64"/>
      <c r="F268" s="64"/>
      <c r="G268" s="74"/>
      <c r="H268" s="52" t="s">
        <v>348</v>
      </c>
      <c r="I268" s="69">
        <f t="shared" si="36"/>
        <v>0</v>
      </c>
      <c r="J268" s="69">
        <f t="shared" si="37"/>
        <v>0</v>
      </c>
      <c r="K268" s="69">
        <f t="shared" si="38"/>
        <v>0</v>
      </c>
      <c r="L268" s="69">
        <f t="shared" si="39"/>
        <v>0</v>
      </c>
      <c r="M268" s="69">
        <f t="shared" si="40"/>
        <v>0</v>
      </c>
      <c r="N268" s="69">
        <f t="shared" si="41"/>
        <v>0</v>
      </c>
      <c r="O268" s="69">
        <f t="shared" si="42"/>
        <v>0</v>
      </c>
      <c r="P268" s="69">
        <f t="shared" si="43"/>
        <v>0</v>
      </c>
      <c r="Q268" s="69">
        <f t="shared" si="44"/>
        <v>0</v>
      </c>
      <c r="R268" s="69">
        <f t="shared" si="45"/>
        <v>0</v>
      </c>
      <c r="S268" s="69">
        <f t="shared" si="46"/>
        <v>0</v>
      </c>
      <c r="T268" s="69">
        <f t="shared" si="47"/>
        <v>0</v>
      </c>
      <c r="U268" s="238"/>
      <c r="V268" s="240" t="s">
        <v>1063</v>
      </c>
      <c r="W268" s="240" t="s">
        <v>965</v>
      </c>
      <c r="X268" s="240" t="s">
        <v>966</v>
      </c>
      <c r="Y268" s="238" t="s">
        <v>1066</v>
      </c>
      <c r="Z268" s="238" t="s">
        <v>1066</v>
      </c>
      <c r="AA268" s="238" t="s">
        <v>1066</v>
      </c>
      <c r="AB268" s="238"/>
      <c r="AE268" s="267"/>
    </row>
    <row r="269" spans="1:31">
      <c r="A269" s="175"/>
      <c r="B269" s="64"/>
      <c r="C269" s="64"/>
      <c r="D269" s="64"/>
      <c r="E269" s="64"/>
      <c r="F269" s="64"/>
      <c r="G269" s="74"/>
      <c r="H269" s="52" t="s">
        <v>534</v>
      </c>
      <c r="I269" s="69">
        <f t="shared" si="36"/>
        <v>1</v>
      </c>
      <c r="J269" s="69">
        <f t="shared" si="37"/>
        <v>2</v>
      </c>
      <c r="K269" s="69">
        <f t="shared" si="38"/>
        <v>1</v>
      </c>
      <c r="L269" s="69">
        <f t="shared" si="39"/>
        <v>1</v>
      </c>
      <c r="M269" s="69">
        <f t="shared" si="40"/>
        <v>0</v>
      </c>
      <c r="N269" s="69">
        <f t="shared" si="41"/>
        <v>3</v>
      </c>
      <c r="O269" s="69">
        <f t="shared" si="42"/>
        <v>0</v>
      </c>
      <c r="P269" s="69">
        <f t="shared" si="43"/>
        <v>1</v>
      </c>
      <c r="Q269" s="69" t="str">
        <f t="shared" si="44"/>
        <v>F_TRAD</v>
      </c>
      <c r="R269" s="69">
        <f t="shared" si="45"/>
        <v>66</v>
      </c>
      <c r="S269" s="69">
        <f t="shared" si="46"/>
        <v>66</v>
      </c>
      <c r="T269" s="69">
        <f t="shared" si="47"/>
        <v>0</v>
      </c>
      <c r="U269" s="238"/>
      <c r="V269" s="240" t="s">
        <v>1063</v>
      </c>
      <c r="W269" s="240" t="s">
        <v>965</v>
      </c>
      <c r="X269" s="240" t="s">
        <v>966</v>
      </c>
      <c r="Y269" s="238" t="s">
        <v>1066</v>
      </c>
      <c r="Z269" s="238" t="s">
        <v>1066</v>
      </c>
      <c r="AA269" s="238" t="s">
        <v>1066</v>
      </c>
      <c r="AB269" s="238"/>
      <c r="AE269" s="267"/>
    </row>
    <row r="270" spans="1:31">
      <c r="A270" s="175"/>
      <c r="B270" s="64"/>
      <c r="C270" s="64"/>
      <c r="D270" s="64"/>
      <c r="E270" s="64"/>
      <c r="F270" s="64"/>
      <c r="G270" s="74"/>
      <c r="H270" s="52" t="s">
        <v>487</v>
      </c>
      <c r="I270" s="69">
        <f t="shared" si="36"/>
        <v>1</v>
      </c>
      <c r="J270" s="69">
        <f t="shared" si="37"/>
        <v>2</v>
      </c>
      <c r="K270" s="69">
        <f t="shared" si="38"/>
        <v>1</v>
      </c>
      <c r="L270" s="69">
        <f t="shared" si="39"/>
        <v>1</v>
      </c>
      <c r="M270" s="69">
        <f t="shared" si="40"/>
        <v>0</v>
      </c>
      <c r="N270" s="69">
        <f t="shared" si="41"/>
        <v>3</v>
      </c>
      <c r="O270" s="69">
        <f t="shared" si="42"/>
        <v>0</v>
      </c>
      <c r="P270" s="69">
        <f t="shared" si="43"/>
        <v>1</v>
      </c>
      <c r="Q270" s="69" t="str">
        <f t="shared" si="44"/>
        <v>F_TRAD</v>
      </c>
      <c r="R270" s="69">
        <f t="shared" si="45"/>
        <v>67</v>
      </c>
      <c r="S270" s="69">
        <f t="shared" si="46"/>
        <v>67</v>
      </c>
      <c r="T270" s="69">
        <f t="shared" si="47"/>
        <v>0</v>
      </c>
      <c r="U270" s="238"/>
      <c r="V270" s="240" t="s">
        <v>1063</v>
      </c>
      <c r="W270" s="240" t="s">
        <v>965</v>
      </c>
      <c r="X270" s="240" t="s">
        <v>966</v>
      </c>
      <c r="Y270" s="238" t="s">
        <v>1066</v>
      </c>
      <c r="Z270" s="238" t="s">
        <v>1066</v>
      </c>
      <c r="AA270" s="238" t="s">
        <v>1066</v>
      </c>
      <c r="AB270" s="238"/>
      <c r="AE270" s="267"/>
    </row>
    <row r="271" spans="1:31">
      <c r="A271" s="175"/>
      <c r="B271" s="64"/>
      <c r="C271" s="64"/>
      <c r="D271" s="64"/>
      <c r="E271" s="64"/>
      <c r="F271" s="64"/>
      <c r="G271" s="74"/>
      <c r="H271" s="52" t="s">
        <v>502</v>
      </c>
      <c r="I271" s="69">
        <f t="shared" si="36"/>
        <v>1</v>
      </c>
      <c r="J271" s="69">
        <f t="shared" si="37"/>
        <v>2</v>
      </c>
      <c r="K271" s="69">
        <f t="shared" si="38"/>
        <v>1</v>
      </c>
      <c r="L271" s="69">
        <f t="shared" si="39"/>
        <v>1</v>
      </c>
      <c r="M271" s="69">
        <f t="shared" si="40"/>
        <v>0</v>
      </c>
      <c r="N271" s="69">
        <f t="shared" si="41"/>
        <v>2</v>
      </c>
      <c r="O271" s="69">
        <f t="shared" si="42"/>
        <v>1</v>
      </c>
      <c r="P271" s="69">
        <f t="shared" si="43"/>
        <v>1</v>
      </c>
      <c r="Q271" s="69" t="str">
        <f t="shared" si="44"/>
        <v>F_UNLI</v>
      </c>
      <c r="R271" s="69">
        <f t="shared" si="45"/>
        <v>7</v>
      </c>
      <c r="S271" s="69">
        <f t="shared" si="46"/>
        <v>136</v>
      </c>
      <c r="T271" s="69">
        <f t="shared" si="47"/>
        <v>3</v>
      </c>
      <c r="U271" s="238"/>
      <c r="V271" s="240" t="s">
        <v>1063</v>
      </c>
      <c r="W271" s="240" t="s">
        <v>965</v>
      </c>
      <c r="X271" s="240" t="s">
        <v>966</v>
      </c>
      <c r="Y271" s="238" t="s">
        <v>1066</v>
      </c>
      <c r="Z271" s="238" t="s">
        <v>1066</v>
      </c>
      <c r="AA271" s="238" t="s">
        <v>1066</v>
      </c>
      <c r="AB271" s="238"/>
      <c r="AE271" s="267"/>
    </row>
    <row r="272" spans="1:31">
      <c r="A272" s="175"/>
      <c r="B272" s="64"/>
      <c r="C272" s="64"/>
      <c r="D272" s="64"/>
      <c r="E272" s="64"/>
      <c r="F272" s="64"/>
      <c r="G272" s="74"/>
      <c r="H272" s="52" t="s">
        <v>503</v>
      </c>
      <c r="I272" s="69">
        <f t="shared" si="36"/>
        <v>1</v>
      </c>
      <c r="J272" s="69">
        <f t="shared" si="37"/>
        <v>2</v>
      </c>
      <c r="K272" s="69">
        <f t="shared" si="38"/>
        <v>1</v>
      </c>
      <c r="L272" s="69">
        <f t="shared" si="39"/>
        <v>1</v>
      </c>
      <c r="M272" s="69">
        <f t="shared" si="40"/>
        <v>0</v>
      </c>
      <c r="N272" s="69">
        <f t="shared" si="41"/>
        <v>2</v>
      </c>
      <c r="O272" s="69">
        <f t="shared" si="42"/>
        <v>1</v>
      </c>
      <c r="P272" s="69">
        <f t="shared" si="43"/>
        <v>1</v>
      </c>
      <c r="Q272" s="69" t="str">
        <f t="shared" si="44"/>
        <v>F_UNLI</v>
      </c>
      <c r="R272" s="69">
        <f t="shared" si="45"/>
        <v>8</v>
      </c>
      <c r="S272" s="69">
        <f t="shared" si="46"/>
        <v>137</v>
      </c>
      <c r="T272" s="69">
        <f t="shared" si="47"/>
        <v>3</v>
      </c>
      <c r="U272" s="238"/>
      <c r="V272" s="240" t="s">
        <v>1063</v>
      </c>
      <c r="W272" s="240" t="s">
        <v>965</v>
      </c>
      <c r="X272" s="240" t="s">
        <v>966</v>
      </c>
      <c r="Y272" s="238" t="s">
        <v>1066</v>
      </c>
      <c r="Z272" s="238" t="s">
        <v>1066</v>
      </c>
      <c r="AA272" s="238" t="s">
        <v>1066</v>
      </c>
      <c r="AB272" s="238"/>
      <c r="AE272" s="267"/>
    </row>
    <row r="273" spans="1:31">
      <c r="A273" s="175"/>
      <c r="B273" s="64"/>
      <c r="C273" s="64"/>
      <c r="D273" s="64"/>
      <c r="E273" s="64"/>
      <c r="F273" s="64"/>
      <c r="G273" s="74"/>
      <c r="H273" s="52" t="s">
        <v>519</v>
      </c>
      <c r="I273" s="69">
        <f t="shared" si="36"/>
        <v>1</v>
      </c>
      <c r="J273" s="69">
        <f t="shared" si="37"/>
        <v>2</v>
      </c>
      <c r="K273" s="69">
        <f t="shared" si="38"/>
        <v>1</v>
      </c>
      <c r="L273" s="69">
        <f t="shared" si="39"/>
        <v>1</v>
      </c>
      <c r="M273" s="69">
        <f t="shared" si="40"/>
        <v>0</v>
      </c>
      <c r="N273" s="69">
        <f t="shared" si="41"/>
        <v>2</v>
      </c>
      <c r="O273" s="69">
        <f t="shared" si="42"/>
        <v>0</v>
      </c>
      <c r="P273" s="69">
        <f t="shared" si="43"/>
        <v>0</v>
      </c>
      <c r="Q273" s="69" t="str">
        <f t="shared" si="44"/>
        <v>F_UNLI</v>
      </c>
      <c r="R273" s="69">
        <f t="shared" si="45"/>
        <v>9</v>
      </c>
      <c r="S273" s="69">
        <f t="shared" si="46"/>
        <v>138</v>
      </c>
      <c r="T273" s="69">
        <f t="shared" si="47"/>
        <v>3</v>
      </c>
      <c r="U273" s="238"/>
      <c r="V273" s="240" t="s">
        <v>1063</v>
      </c>
      <c r="W273" s="240" t="s">
        <v>965</v>
      </c>
      <c r="X273" s="240" t="s">
        <v>966</v>
      </c>
      <c r="Y273" s="238" t="s">
        <v>1066</v>
      </c>
      <c r="Z273" s="238" t="s">
        <v>1066</v>
      </c>
      <c r="AA273" s="238" t="s">
        <v>1066</v>
      </c>
      <c r="AB273" s="238"/>
      <c r="AE273" s="267"/>
    </row>
    <row r="274" spans="1:31">
      <c r="A274" s="175"/>
      <c r="B274" s="64"/>
      <c r="C274" s="64"/>
      <c r="D274" s="64"/>
      <c r="E274" s="64"/>
      <c r="F274" s="64"/>
      <c r="G274" s="74"/>
      <c r="H274" s="52" t="s">
        <v>535</v>
      </c>
      <c r="I274" s="69">
        <f t="shared" si="36"/>
        <v>1</v>
      </c>
      <c r="J274" s="69">
        <f t="shared" si="37"/>
        <v>2</v>
      </c>
      <c r="K274" s="69">
        <f t="shared" si="38"/>
        <v>1</v>
      </c>
      <c r="L274" s="69">
        <f t="shared" si="39"/>
        <v>1</v>
      </c>
      <c r="M274" s="69">
        <f t="shared" si="40"/>
        <v>0</v>
      </c>
      <c r="N274" s="69">
        <f t="shared" si="41"/>
        <v>3</v>
      </c>
      <c r="O274" s="69">
        <f t="shared" si="42"/>
        <v>0</v>
      </c>
      <c r="P274" s="69">
        <f t="shared" si="43"/>
        <v>1</v>
      </c>
      <c r="Q274" s="69" t="str">
        <f t="shared" si="44"/>
        <v>F_TRAD</v>
      </c>
      <c r="R274" s="69">
        <f t="shared" si="45"/>
        <v>54</v>
      </c>
      <c r="S274" s="69">
        <f t="shared" si="46"/>
        <v>54</v>
      </c>
      <c r="T274" s="69">
        <f t="shared" si="47"/>
        <v>0</v>
      </c>
      <c r="U274" s="238"/>
      <c r="V274" s="240" t="s">
        <v>1063</v>
      </c>
      <c r="W274" s="240" t="s">
        <v>965</v>
      </c>
      <c r="X274" s="240" t="s">
        <v>966</v>
      </c>
      <c r="Y274" s="238" t="s">
        <v>1066</v>
      </c>
      <c r="Z274" s="238" t="s">
        <v>1066</v>
      </c>
      <c r="AA274" s="238" t="s">
        <v>1066</v>
      </c>
      <c r="AB274" s="238"/>
      <c r="AE274" s="267"/>
    </row>
    <row r="275" spans="1:31">
      <c r="A275" s="175"/>
      <c r="B275" s="64"/>
      <c r="C275" s="64"/>
      <c r="D275" s="64"/>
      <c r="E275" s="64"/>
      <c r="F275" s="64"/>
      <c r="G275" s="74"/>
      <c r="H275" s="52" t="s">
        <v>520</v>
      </c>
      <c r="I275" s="69">
        <f t="shared" si="36"/>
        <v>1</v>
      </c>
      <c r="J275" s="69">
        <f t="shared" si="37"/>
        <v>2</v>
      </c>
      <c r="K275" s="69">
        <f t="shared" si="38"/>
        <v>1</v>
      </c>
      <c r="L275" s="69">
        <f t="shared" si="39"/>
        <v>1</v>
      </c>
      <c r="M275" s="69">
        <f t="shared" si="40"/>
        <v>0</v>
      </c>
      <c r="N275" s="69">
        <f t="shared" si="41"/>
        <v>2</v>
      </c>
      <c r="O275" s="69">
        <f t="shared" si="42"/>
        <v>0</v>
      </c>
      <c r="P275" s="69">
        <f t="shared" si="43"/>
        <v>0</v>
      </c>
      <c r="Q275" s="69" t="str">
        <f t="shared" si="44"/>
        <v>F_UNLI</v>
      </c>
      <c r="R275" s="69">
        <f t="shared" si="45"/>
        <v>10</v>
      </c>
      <c r="S275" s="69">
        <f t="shared" si="46"/>
        <v>139</v>
      </c>
      <c r="T275" s="69">
        <f t="shared" si="47"/>
        <v>3</v>
      </c>
      <c r="U275" s="238"/>
      <c r="V275" s="240" t="s">
        <v>1063</v>
      </c>
      <c r="W275" s="240" t="s">
        <v>965</v>
      </c>
      <c r="X275" s="240" t="s">
        <v>966</v>
      </c>
      <c r="Y275" s="238" t="s">
        <v>1066</v>
      </c>
      <c r="Z275" s="238" t="s">
        <v>1066</v>
      </c>
      <c r="AA275" s="238" t="s">
        <v>1066</v>
      </c>
      <c r="AB275" s="238"/>
      <c r="AE275" s="267"/>
    </row>
    <row r="276" spans="1:31">
      <c r="A276" s="175"/>
      <c r="B276" s="64"/>
      <c r="C276" s="64"/>
      <c r="D276" s="64"/>
      <c r="E276" s="64"/>
      <c r="F276" s="64"/>
      <c r="G276" s="74"/>
      <c r="H276" s="52" t="s">
        <v>493</v>
      </c>
      <c r="I276" s="69">
        <f t="shared" si="36"/>
        <v>1</v>
      </c>
      <c r="J276" s="69">
        <f t="shared" si="37"/>
        <v>2</v>
      </c>
      <c r="K276" s="69">
        <f t="shared" si="38"/>
        <v>1</v>
      </c>
      <c r="L276" s="69">
        <f t="shared" si="39"/>
        <v>1</v>
      </c>
      <c r="M276" s="69">
        <f t="shared" si="40"/>
        <v>0</v>
      </c>
      <c r="N276" s="69">
        <f t="shared" si="41"/>
        <v>3</v>
      </c>
      <c r="O276" s="69">
        <f t="shared" si="42"/>
        <v>0</v>
      </c>
      <c r="P276" s="69">
        <f t="shared" si="43"/>
        <v>1</v>
      </c>
      <c r="Q276" s="69" t="str">
        <f t="shared" si="44"/>
        <v>F_TRAD</v>
      </c>
      <c r="R276" s="69">
        <f t="shared" si="45"/>
        <v>55</v>
      </c>
      <c r="S276" s="69">
        <f t="shared" si="46"/>
        <v>55</v>
      </c>
      <c r="T276" s="69">
        <f t="shared" si="47"/>
        <v>0</v>
      </c>
      <c r="U276" s="238"/>
      <c r="V276" s="240" t="s">
        <v>1063</v>
      </c>
      <c r="W276" s="240" t="s">
        <v>965</v>
      </c>
      <c r="X276" s="240" t="s">
        <v>966</v>
      </c>
      <c r="Y276" s="238" t="s">
        <v>1066</v>
      </c>
      <c r="Z276" s="238" t="s">
        <v>1066</v>
      </c>
      <c r="AA276" s="238" t="s">
        <v>1066</v>
      </c>
      <c r="AB276" s="238"/>
      <c r="AE276" s="267"/>
    </row>
    <row r="277" spans="1:31">
      <c r="A277" s="175"/>
      <c r="B277" s="64"/>
      <c r="C277" s="64"/>
      <c r="D277" s="64"/>
      <c r="E277" s="64"/>
      <c r="F277" s="64"/>
      <c r="G277" s="74"/>
      <c r="H277" s="52" t="s">
        <v>504</v>
      </c>
      <c r="I277" s="69">
        <f t="shared" si="36"/>
        <v>1</v>
      </c>
      <c r="J277" s="69">
        <f t="shared" si="37"/>
        <v>2</v>
      </c>
      <c r="K277" s="69">
        <f t="shared" si="38"/>
        <v>1</v>
      </c>
      <c r="L277" s="69">
        <f t="shared" si="39"/>
        <v>1</v>
      </c>
      <c r="M277" s="69">
        <f t="shared" si="40"/>
        <v>0</v>
      </c>
      <c r="N277" s="69">
        <f t="shared" si="41"/>
        <v>2</v>
      </c>
      <c r="O277" s="69">
        <f t="shared" si="42"/>
        <v>1</v>
      </c>
      <c r="P277" s="69">
        <f t="shared" si="43"/>
        <v>1</v>
      </c>
      <c r="Q277" s="69" t="str">
        <f t="shared" si="44"/>
        <v>F_UNLI</v>
      </c>
      <c r="R277" s="69">
        <f t="shared" si="45"/>
        <v>27</v>
      </c>
      <c r="S277" s="69">
        <f t="shared" si="46"/>
        <v>156</v>
      </c>
      <c r="T277" s="69">
        <f t="shared" si="47"/>
        <v>3</v>
      </c>
      <c r="U277" s="238"/>
      <c r="V277" s="240" t="s">
        <v>1063</v>
      </c>
      <c r="W277" s="240" t="s">
        <v>965</v>
      </c>
      <c r="X277" s="240" t="s">
        <v>966</v>
      </c>
      <c r="Y277" s="238" t="s">
        <v>1066</v>
      </c>
      <c r="Z277" s="238" t="s">
        <v>1066</v>
      </c>
      <c r="AA277" s="238" t="s">
        <v>1066</v>
      </c>
      <c r="AB277" s="238"/>
      <c r="AE277" s="267"/>
    </row>
    <row r="278" spans="1:31">
      <c r="A278" s="175"/>
      <c r="B278" s="64"/>
      <c r="C278" s="64"/>
      <c r="D278" s="64"/>
      <c r="E278" s="64"/>
      <c r="F278" s="64"/>
      <c r="G278" s="74"/>
      <c r="H278" s="52" t="s">
        <v>521</v>
      </c>
      <c r="I278" s="69">
        <f t="shared" si="36"/>
        <v>1</v>
      </c>
      <c r="J278" s="69">
        <f t="shared" si="37"/>
        <v>2</v>
      </c>
      <c r="K278" s="69">
        <f t="shared" si="38"/>
        <v>1</v>
      </c>
      <c r="L278" s="69">
        <f t="shared" si="39"/>
        <v>1</v>
      </c>
      <c r="M278" s="69">
        <f t="shared" si="40"/>
        <v>0</v>
      </c>
      <c r="N278" s="69">
        <f t="shared" si="41"/>
        <v>2</v>
      </c>
      <c r="O278" s="69">
        <f t="shared" si="42"/>
        <v>0</v>
      </c>
      <c r="P278" s="69">
        <f t="shared" si="43"/>
        <v>0</v>
      </c>
      <c r="Q278" s="69" t="str">
        <f t="shared" si="44"/>
        <v>F_UNLI</v>
      </c>
      <c r="R278" s="69">
        <f t="shared" si="45"/>
        <v>28</v>
      </c>
      <c r="S278" s="69">
        <f t="shared" si="46"/>
        <v>157</v>
      </c>
      <c r="T278" s="69">
        <f t="shared" si="47"/>
        <v>3</v>
      </c>
      <c r="U278" s="238"/>
      <c r="V278" s="240" t="s">
        <v>1063</v>
      </c>
      <c r="W278" s="240" t="s">
        <v>965</v>
      </c>
      <c r="X278" s="240" t="s">
        <v>966</v>
      </c>
      <c r="Y278" s="238" t="s">
        <v>1066</v>
      </c>
      <c r="Z278" s="238" t="s">
        <v>1066</v>
      </c>
      <c r="AA278" s="238" t="s">
        <v>1066</v>
      </c>
      <c r="AB278" s="238"/>
      <c r="AE278" s="267"/>
    </row>
    <row r="279" spans="1:31">
      <c r="A279" s="175"/>
      <c r="B279" s="64"/>
      <c r="C279" s="64"/>
      <c r="D279" s="64"/>
      <c r="E279" s="64"/>
      <c r="F279" s="64"/>
      <c r="G279" s="74"/>
      <c r="H279" s="52" t="s">
        <v>505</v>
      </c>
      <c r="I279" s="69">
        <f t="shared" si="36"/>
        <v>1</v>
      </c>
      <c r="J279" s="69">
        <f t="shared" si="37"/>
        <v>2</v>
      </c>
      <c r="K279" s="69">
        <f t="shared" si="38"/>
        <v>1</v>
      </c>
      <c r="L279" s="69">
        <f t="shared" si="39"/>
        <v>1</v>
      </c>
      <c r="M279" s="69">
        <f t="shared" si="40"/>
        <v>0</v>
      </c>
      <c r="N279" s="69">
        <f t="shared" si="41"/>
        <v>2</v>
      </c>
      <c r="O279" s="69">
        <f t="shared" si="42"/>
        <v>1</v>
      </c>
      <c r="P279" s="69">
        <f t="shared" si="43"/>
        <v>1</v>
      </c>
      <c r="Q279" s="69" t="str">
        <f t="shared" si="44"/>
        <v>F_UNLI</v>
      </c>
      <c r="R279" s="69">
        <f t="shared" si="45"/>
        <v>15</v>
      </c>
      <c r="S279" s="69">
        <f t="shared" si="46"/>
        <v>144</v>
      </c>
      <c r="T279" s="69">
        <f t="shared" si="47"/>
        <v>3</v>
      </c>
      <c r="U279" s="238"/>
      <c r="V279" s="240" t="s">
        <v>1063</v>
      </c>
      <c r="W279" s="240" t="s">
        <v>965</v>
      </c>
      <c r="X279" s="240" t="s">
        <v>966</v>
      </c>
      <c r="Y279" s="238" t="s">
        <v>1066</v>
      </c>
      <c r="Z279" s="238" t="s">
        <v>1066</v>
      </c>
      <c r="AA279" s="238" t="s">
        <v>1066</v>
      </c>
      <c r="AB279" s="238"/>
      <c r="AE279" s="267"/>
    </row>
    <row r="280" spans="1:31">
      <c r="A280" s="175"/>
      <c r="B280" s="64"/>
      <c r="C280" s="64"/>
      <c r="D280" s="64"/>
      <c r="E280" s="64"/>
      <c r="F280" s="64"/>
      <c r="G280" s="74"/>
      <c r="H280" s="52" t="s">
        <v>506</v>
      </c>
      <c r="I280" s="69">
        <f t="shared" si="36"/>
        <v>1</v>
      </c>
      <c r="J280" s="69">
        <f t="shared" si="37"/>
        <v>2</v>
      </c>
      <c r="K280" s="69">
        <f t="shared" si="38"/>
        <v>1</v>
      </c>
      <c r="L280" s="69">
        <f t="shared" si="39"/>
        <v>1</v>
      </c>
      <c r="M280" s="69">
        <f t="shared" si="40"/>
        <v>0</v>
      </c>
      <c r="N280" s="69">
        <f t="shared" si="41"/>
        <v>2</v>
      </c>
      <c r="O280" s="69">
        <f t="shared" si="42"/>
        <v>1</v>
      </c>
      <c r="P280" s="69">
        <f t="shared" si="43"/>
        <v>1</v>
      </c>
      <c r="Q280" s="69" t="str">
        <f t="shared" si="44"/>
        <v>F_UNLI</v>
      </c>
      <c r="R280" s="69">
        <f t="shared" si="45"/>
        <v>16</v>
      </c>
      <c r="S280" s="69">
        <f t="shared" si="46"/>
        <v>145</v>
      </c>
      <c r="T280" s="69">
        <f t="shared" si="47"/>
        <v>3</v>
      </c>
      <c r="U280" s="238"/>
      <c r="V280" s="240" t="s">
        <v>1063</v>
      </c>
      <c r="W280" s="240" t="s">
        <v>965</v>
      </c>
      <c r="X280" s="240" t="s">
        <v>966</v>
      </c>
      <c r="Y280" s="238" t="s">
        <v>1066</v>
      </c>
      <c r="Z280" s="238" t="s">
        <v>1066</v>
      </c>
      <c r="AA280" s="238" t="s">
        <v>1066</v>
      </c>
      <c r="AB280" s="238"/>
      <c r="AE280" s="267"/>
    </row>
    <row r="281" spans="1:31">
      <c r="A281" s="175"/>
      <c r="B281" s="64"/>
      <c r="C281" s="64"/>
      <c r="D281" s="64"/>
      <c r="E281" s="64"/>
      <c r="F281" s="64"/>
      <c r="G281" s="74"/>
      <c r="H281" s="52" t="s">
        <v>522</v>
      </c>
      <c r="I281" s="69">
        <f t="shared" si="36"/>
        <v>1</v>
      </c>
      <c r="J281" s="69">
        <f t="shared" si="37"/>
        <v>2</v>
      </c>
      <c r="K281" s="69">
        <f t="shared" si="38"/>
        <v>1</v>
      </c>
      <c r="L281" s="69">
        <f t="shared" si="39"/>
        <v>1</v>
      </c>
      <c r="M281" s="69">
        <f t="shared" si="40"/>
        <v>0</v>
      </c>
      <c r="N281" s="69">
        <f t="shared" si="41"/>
        <v>2</v>
      </c>
      <c r="O281" s="69">
        <f t="shared" si="42"/>
        <v>0</v>
      </c>
      <c r="P281" s="69">
        <f t="shared" si="43"/>
        <v>0</v>
      </c>
      <c r="Q281" s="69" t="str">
        <f t="shared" si="44"/>
        <v>F_UNLI</v>
      </c>
      <c r="R281" s="69">
        <f t="shared" si="45"/>
        <v>17</v>
      </c>
      <c r="S281" s="69">
        <f t="shared" si="46"/>
        <v>146</v>
      </c>
      <c r="T281" s="69">
        <f t="shared" si="47"/>
        <v>3</v>
      </c>
      <c r="U281" s="238"/>
      <c r="V281" s="240" t="s">
        <v>1063</v>
      </c>
      <c r="W281" s="240" t="s">
        <v>965</v>
      </c>
      <c r="X281" s="240" t="s">
        <v>966</v>
      </c>
      <c r="Y281" s="238" t="s">
        <v>1066</v>
      </c>
      <c r="Z281" s="238" t="s">
        <v>1066</v>
      </c>
      <c r="AA281" s="238" t="s">
        <v>1066</v>
      </c>
      <c r="AB281" s="238"/>
      <c r="AE281" s="267"/>
    </row>
    <row r="282" spans="1:31">
      <c r="A282" s="175"/>
      <c r="B282" s="64"/>
      <c r="C282" s="64"/>
      <c r="D282" s="64"/>
      <c r="E282" s="64"/>
      <c r="F282" s="64"/>
      <c r="G282" s="74"/>
      <c r="H282" s="52" t="s">
        <v>523</v>
      </c>
      <c r="I282" s="69">
        <f t="shared" si="36"/>
        <v>1</v>
      </c>
      <c r="J282" s="69">
        <f t="shared" si="37"/>
        <v>2</v>
      </c>
      <c r="K282" s="69">
        <f t="shared" si="38"/>
        <v>1</v>
      </c>
      <c r="L282" s="69">
        <f t="shared" si="39"/>
        <v>1</v>
      </c>
      <c r="M282" s="69">
        <f t="shared" si="40"/>
        <v>0</v>
      </c>
      <c r="N282" s="69">
        <f t="shared" si="41"/>
        <v>2</v>
      </c>
      <c r="O282" s="69">
        <f t="shared" si="42"/>
        <v>0</v>
      </c>
      <c r="P282" s="69">
        <f t="shared" si="43"/>
        <v>0</v>
      </c>
      <c r="Q282" s="69" t="str">
        <f t="shared" si="44"/>
        <v>F_UNLI</v>
      </c>
      <c r="R282" s="69">
        <f t="shared" si="45"/>
        <v>18</v>
      </c>
      <c r="S282" s="69">
        <f t="shared" si="46"/>
        <v>147</v>
      </c>
      <c r="T282" s="69">
        <f t="shared" si="47"/>
        <v>3</v>
      </c>
      <c r="U282" s="238"/>
      <c r="V282" s="240" t="s">
        <v>1063</v>
      </c>
      <c r="W282" s="240" t="s">
        <v>965</v>
      </c>
      <c r="X282" s="240" t="s">
        <v>966</v>
      </c>
      <c r="Y282" s="238" t="s">
        <v>1066</v>
      </c>
      <c r="Z282" s="238" t="s">
        <v>1066</v>
      </c>
      <c r="AA282" s="238" t="s">
        <v>1066</v>
      </c>
      <c r="AB282" s="238"/>
      <c r="AE282" s="267"/>
    </row>
    <row r="283" spans="1:31">
      <c r="A283" s="175"/>
      <c r="B283" s="64"/>
      <c r="C283" s="64"/>
      <c r="D283" s="64"/>
      <c r="E283" s="64"/>
      <c r="F283" s="64"/>
      <c r="G283" s="74"/>
      <c r="H283" s="52" t="s">
        <v>1061</v>
      </c>
      <c r="I283" s="69">
        <f t="shared" si="36"/>
        <v>0</v>
      </c>
      <c r="J283" s="69">
        <f t="shared" si="37"/>
        <v>0</v>
      </c>
      <c r="K283" s="69">
        <f t="shared" si="38"/>
        <v>0</v>
      </c>
      <c r="L283" s="69">
        <f t="shared" si="39"/>
        <v>0</v>
      </c>
      <c r="M283" s="69">
        <f t="shared" si="40"/>
        <v>0</v>
      </c>
      <c r="N283" s="69">
        <f t="shared" si="41"/>
        <v>0</v>
      </c>
      <c r="O283" s="69">
        <f t="shared" si="42"/>
        <v>0</v>
      </c>
      <c r="P283" s="69">
        <f t="shared" si="43"/>
        <v>0</v>
      </c>
      <c r="Q283" s="69">
        <f t="shared" si="44"/>
        <v>0</v>
      </c>
      <c r="R283" s="69">
        <f t="shared" si="45"/>
        <v>0</v>
      </c>
      <c r="S283" s="69">
        <f t="shared" si="46"/>
        <v>0</v>
      </c>
      <c r="T283" s="69">
        <f t="shared" si="47"/>
        <v>0</v>
      </c>
      <c r="U283" s="238"/>
      <c r="V283" s="240"/>
      <c r="W283" s="240"/>
      <c r="X283" s="240"/>
      <c r="Y283" s="238"/>
      <c r="Z283" s="238"/>
      <c r="AA283" s="238"/>
      <c r="AB283" s="238"/>
      <c r="AE283" s="267"/>
    </row>
    <row r="284" spans="1:31">
      <c r="A284" s="175"/>
      <c r="B284" s="64"/>
      <c r="C284" s="64"/>
      <c r="D284" s="64"/>
      <c r="E284" s="64"/>
      <c r="F284" s="64"/>
      <c r="G284" s="74"/>
      <c r="H284" s="52" t="s">
        <v>341</v>
      </c>
      <c r="I284" s="69">
        <f t="shared" si="36"/>
        <v>0</v>
      </c>
      <c r="J284" s="69">
        <f t="shared" si="37"/>
        <v>0</v>
      </c>
      <c r="K284" s="69">
        <f t="shared" si="38"/>
        <v>0</v>
      </c>
      <c r="L284" s="69">
        <f t="shared" si="39"/>
        <v>0</v>
      </c>
      <c r="M284" s="69">
        <f t="shared" si="40"/>
        <v>0</v>
      </c>
      <c r="N284" s="69">
        <f t="shared" si="41"/>
        <v>0</v>
      </c>
      <c r="O284" s="69">
        <f t="shared" si="42"/>
        <v>0</v>
      </c>
      <c r="P284" s="69">
        <f t="shared" si="43"/>
        <v>0</v>
      </c>
      <c r="Q284" s="69">
        <f t="shared" si="44"/>
        <v>0</v>
      </c>
      <c r="R284" s="69">
        <f t="shared" si="45"/>
        <v>0</v>
      </c>
      <c r="S284" s="69">
        <f t="shared" si="46"/>
        <v>0</v>
      </c>
      <c r="T284" s="69">
        <f t="shared" si="47"/>
        <v>0</v>
      </c>
      <c r="U284" s="238"/>
      <c r="V284" s="240" t="s">
        <v>1063</v>
      </c>
      <c r="W284" s="240" t="s">
        <v>965</v>
      </c>
      <c r="X284" s="240" t="s">
        <v>966</v>
      </c>
      <c r="Y284" s="238" t="s">
        <v>1066</v>
      </c>
      <c r="Z284" s="238" t="s">
        <v>1066</v>
      </c>
      <c r="AA284" s="238" t="s">
        <v>1066</v>
      </c>
      <c r="AB284" s="238"/>
      <c r="AE284" s="267"/>
    </row>
    <row r="285" spans="1:31">
      <c r="A285" s="175"/>
      <c r="B285" s="64"/>
      <c r="C285" s="64"/>
      <c r="D285" s="64"/>
      <c r="E285" s="64"/>
      <c r="F285" s="64"/>
      <c r="G285" s="74"/>
      <c r="H285" s="52" t="s">
        <v>342</v>
      </c>
      <c r="I285" s="69">
        <f t="shared" si="36"/>
        <v>0</v>
      </c>
      <c r="J285" s="69">
        <f t="shared" si="37"/>
        <v>0</v>
      </c>
      <c r="K285" s="69">
        <f t="shared" si="38"/>
        <v>0</v>
      </c>
      <c r="L285" s="69">
        <f t="shared" si="39"/>
        <v>0</v>
      </c>
      <c r="M285" s="69">
        <f t="shared" si="40"/>
        <v>0</v>
      </c>
      <c r="N285" s="69">
        <f t="shared" si="41"/>
        <v>0</v>
      </c>
      <c r="O285" s="69">
        <f t="shared" si="42"/>
        <v>0</v>
      </c>
      <c r="P285" s="69">
        <f t="shared" si="43"/>
        <v>0</v>
      </c>
      <c r="Q285" s="69">
        <f t="shared" si="44"/>
        <v>0</v>
      </c>
      <c r="R285" s="69">
        <f t="shared" si="45"/>
        <v>0</v>
      </c>
      <c r="S285" s="69">
        <f t="shared" si="46"/>
        <v>0</v>
      </c>
      <c r="T285" s="69">
        <f t="shared" si="47"/>
        <v>0</v>
      </c>
      <c r="U285" s="238"/>
      <c r="V285" s="240" t="s">
        <v>1063</v>
      </c>
      <c r="W285" s="240" t="s">
        <v>965</v>
      </c>
      <c r="X285" s="240" t="s">
        <v>966</v>
      </c>
      <c r="Y285" s="238" t="s">
        <v>1066</v>
      </c>
      <c r="Z285" s="238" t="s">
        <v>1066</v>
      </c>
      <c r="AA285" s="238" t="s">
        <v>1066</v>
      </c>
      <c r="AB285" s="238"/>
      <c r="AE285" s="267"/>
    </row>
    <row r="286" spans="1:31">
      <c r="A286" s="175"/>
      <c r="B286" s="64"/>
      <c r="C286" s="64"/>
      <c r="D286" s="64"/>
      <c r="E286" s="64"/>
      <c r="F286" s="64"/>
      <c r="G286" s="74"/>
      <c r="H286" s="52" t="s">
        <v>344</v>
      </c>
      <c r="I286" s="69">
        <f t="shared" si="36"/>
        <v>0</v>
      </c>
      <c r="J286" s="69">
        <f t="shared" si="37"/>
        <v>0</v>
      </c>
      <c r="K286" s="69">
        <f t="shared" si="38"/>
        <v>0</v>
      </c>
      <c r="L286" s="69">
        <f t="shared" si="39"/>
        <v>0</v>
      </c>
      <c r="M286" s="69">
        <f t="shared" si="40"/>
        <v>0</v>
      </c>
      <c r="N286" s="69">
        <f t="shared" si="41"/>
        <v>0</v>
      </c>
      <c r="O286" s="69">
        <f t="shared" si="42"/>
        <v>0</v>
      </c>
      <c r="P286" s="69">
        <f t="shared" si="43"/>
        <v>0</v>
      </c>
      <c r="Q286" s="69">
        <f t="shared" si="44"/>
        <v>0</v>
      </c>
      <c r="R286" s="69">
        <f t="shared" si="45"/>
        <v>0</v>
      </c>
      <c r="S286" s="69">
        <f t="shared" si="46"/>
        <v>0</v>
      </c>
      <c r="T286" s="69">
        <f t="shared" si="47"/>
        <v>0</v>
      </c>
      <c r="U286" s="238"/>
      <c r="V286" s="240" t="s">
        <v>1063</v>
      </c>
      <c r="W286" s="240" t="s">
        <v>965</v>
      </c>
      <c r="X286" s="240" t="s">
        <v>966</v>
      </c>
      <c r="Y286" s="238" t="s">
        <v>1066</v>
      </c>
      <c r="Z286" s="238" t="s">
        <v>1066</v>
      </c>
      <c r="AA286" s="238" t="s">
        <v>1066</v>
      </c>
      <c r="AB286" s="238"/>
      <c r="AE286" s="267"/>
    </row>
    <row r="287" spans="1:31">
      <c r="A287" s="175"/>
      <c r="B287" s="64"/>
      <c r="C287" s="64"/>
      <c r="D287" s="64"/>
      <c r="E287" s="64"/>
      <c r="F287" s="64"/>
      <c r="G287" s="74"/>
      <c r="H287" s="52" t="s">
        <v>345</v>
      </c>
      <c r="I287" s="69">
        <f t="shared" si="36"/>
        <v>0</v>
      </c>
      <c r="J287" s="69">
        <f t="shared" si="37"/>
        <v>0</v>
      </c>
      <c r="K287" s="69">
        <f t="shared" si="38"/>
        <v>0</v>
      </c>
      <c r="L287" s="69">
        <f t="shared" si="39"/>
        <v>0</v>
      </c>
      <c r="M287" s="69">
        <f t="shared" si="40"/>
        <v>0</v>
      </c>
      <c r="N287" s="69">
        <f t="shared" si="41"/>
        <v>0</v>
      </c>
      <c r="O287" s="69">
        <f t="shared" si="42"/>
        <v>0</v>
      </c>
      <c r="P287" s="69">
        <f t="shared" si="43"/>
        <v>0</v>
      </c>
      <c r="Q287" s="69">
        <f t="shared" si="44"/>
        <v>0</v>
      </c>
      <c r="R287" s="69">
        <f t="shared" si="45"/>
        <v>0</v>
      </c>
      <c r="S287" s="69">
        <f t="shared" si="46"/>
        <v>0</v>
      </c>
      <c r="T287" s="69">
        <f t="shared" si="47"/>
        <v>0</v>
      </c>
      <c r="U287" s="238"/>
      <c r="V287" s="240" t="s">
        <v>1063</v>
      </c>
      <c r="W287" s="240" t="s">
        <v>965</v>
      </c>
      <c r="X287" s="240" t="s">
        <v>966</v>
      </c>
      <c r="Y287" s="238" t="s">
        <v>1066</v>
      </c>
      <c r="Z287" s="238" t="s">
        <v>1066</v>
      </c>
      <c r="AA287" s="238" t="s">
        <v>1066</v>
      </c>
      <c r="AB287" s="238"/>
      <c r="AE287" s="267"/>
    </row>
    <row r="288" spans="1:31">
      <c r="A288" s="175"/>
      <c r="B288" s="64"/>
      <c r="C288" s="64"/>
      <c r="D288" s="64"/>
      <c r="E288" s="64"/>
      <c r="F288" s="64"/>
      <c r="G288" s="74"/>
      <c r="H288" s="52" t="s">
        <v>507</v>
      </c>
      <c r="I288" s="69">
        <f t="shared" si="36"/>
        <v>1</v>
      </c>
      <c r="J288" s="69">
        <f t="shared" si="37"/>
        <v>2</v>
      </c>
      <c r="K288" s="69">
        <f t="shared" si="38"/>
        <v>1</v>
      </c>
      <c r="L288" s="69">
        <f t="shared" si="39"/>
        <v>1</v>
      </c>
      <c r="M288" s="69">
        <f t="shared" si="40"/>
        <v>0</v>
      </c>
      <c r="N288" s="69">
        <f t="shared" si="41"/>
        <v>2</v>
      </c>
      <c r="O288" s="69">
        <f t="shared" si="42"/>
        <v>1</v>
      </c>
      <c r="P288" s="69">
        <f t="shared" si="43"/>
        <v>1</v>
      </c>
      <c r="Q288" s="69" t="str">
        <f t="shared" si="44"/>
        <v>F_UNLI</v>
      </c>
      <c r="R288" s="69">
        <f t="shared" si="45"/>
        <v>19</v>
      </c>
      <c r="S288" s="69">
        <f t="shared" si="46"/>
        <v>148</v>
      </c>
      <c r="T288" s="69">
        <f t="shared" si="47"/>
        <v>3</v>
      </c>
      <c r="U288" s="238"/>
      <c r="V288" s="240" t="s">
        <v>1063</v>
      </c>
      <c r="W288" s="240" t="s">
        <v>965</v>
      </c>
      <c r="X288" s="240" t="s">
        <v>966</v>
      </c>
      <c r="Y288" s="238" t="s">
        <v>1066</v>
      </c>
      <c r="Z288" s="238" t="s">
        <v>1066</v>
      </c>
      <c r="AA288" s="238" t="s">
        <v>1066</v>
      </c>
      <c r="AB288" s="238"/>
      <c r="AE288" s="267"/>
    </row>
    <row r="289" spans="1:31">
      <c r="A289" s="175"/>
      <c r="B289" s="64"/>
      <c r="C289" s="64"/>
      <c r="D289" s="64"/>
      <c r="E289" s="64"/>
      <c r="F289" s="64"/>
      <c r="G289" s="74"/>
      <c r="H289" s="52" t="s">
        <v>508</v>
      </c>
      <c r="I289" s="69">
        <f t="shared" si="36"/>
        <v>1</v>
      </c>
      <c r="J289" s="69">
        <f t="shared" si="37"/>
        <v>2</v>
      </c>
      <c r="K289" s="69">
        <f t="shared" si="38"/>
        <v>1</v>
      </c>
      <c r="L289" s="69">
        <f t="shared" si="39"/>
        <v>1</v>
      </c>
      <c r="M289" s="69">
        <f t="shared" si="40"/>
        <v>0</v>
      </c>
      <c r="N289" s="69">
        <f t="shared" si="41"/>
        <v>2</v>
      </c>
      <c r="O289" s="69">
        <f t="shared" si="42"/>
        <v>1</v>
      </c>
      <c r="P289" s="69">
        <f t="shared" si="43"/>
        <v>1</v>
      </c>
      <c r="Q289" s="69" t="str">
        <f t="shared" si="44"/>
        <v>F_UNLI</v>
      </c>
      <c r="R289" s="69">
        <f t="shared" si="45"/>
        <v>20</v>
      </c>
      <c r="S289" s="69">
        <f t="shared" si="46"/>
        <v>149</v>
      </c>
      <c r="T289" s="69">
        <f t="shared" si="47"/>
        <v>3</v>
      </c>
      <c r="U289" s="238"/>
      <c r="V289" s="240" t="s">
        <v>1063</v>
      </c>
      <c r="W289" s="240" t="s">
        <v>965</v>
      </c>
      <c r="X289" s="240" t="s">
        <v>966</v>
      </c>
      <c r="Y289" s="238" t="s">
        <v>1066</v>
      </c>
      <c r="Z289" s="238" t="s">
        <v>1066</v>
      </c>
      <c r="AA289" s="238" t="s">
        <v>1066</v>
      </c>
      <c r="AB289" s="238"/>
      <c r="AE289" s="267"/>
    </row>
    <row r="290" spans="1:31">
      <c r="A290" s="175"/>
      <c r="B290" s="64"/>
      <c r="C290" s="64"/>
      <c r="D290" s="64"/>
      <c r="E290" s="64"/>
      <c r="F290" s="64"/>
      <c r="G290" s="74"/>
      <c r="H290" s="52" t="s">
        <v>524</v>
      </c>
      <c r="I290" s="69">
        <f t="shared" si="36"/>
        <v>1</v>
      </c>
      <c r="J290" s="69">
        <f t="shared" si="37"/>
        <v>2</v>
      </c>
      <c r="K290" s="69">
        <f t="shared" si="38"/>
        <v>1</v>
      </c>
      <c r="L290" s="69">
        <f t="shared" si="39"/>
        <v>1</v>
      </c>
      <c r="M290" s="69">
        <f t="shared" si="40"/>
        <v>0</v>
      </c>
      <c r="N290" s="69">
        <f t="shared" si="41"/>
        <v>2</v>
      </c>
      <c r="O290" s="69">
        <f t="shared" si="42"/>
        <v>0</v>
      </c>
      <c r="P290" s="69">
        <f t="shared" si="43"/>
        <v>0</v>
      </c>
      <c r="Q290" s="69" t="str">
        <f t="shared" si="44"/>
        <v>F_UNLI</v>
      </c>
      <c r="R290" s="69">
        <f t="shared" si="45"/>
        <v>21</v>
      </c>
      <c r="S290" s="69">
        <f t="shared" si="46"/>
        <v>150</v>
      </c>
      <c r="T290" s="69">
        <f t="shared" si="47"/>
        <v>3</v>
      </c>
      <c r="U290" s="238"/>
      <c r="V290" s="240" t="s">
        <v>1063</v>
      </c>
      <c r="W290" s="240" t="s">
        <v>965</v>
      </c>
      <c r="X290" s="240" t="s">
        <v>966</v>
      </c>
      <c r="Y290" s="238" t="s">
        <v>1066</v>
      </c>
      <c r="Z290" s="238" t="s">
        <v>1066</v>
      </c>
      <c r="AA290" s="238" t="s">
        <v>1066</v>
      </c>
      <c r="AB290" s="238"/>
      <c r="AE290" s="267"/>
    </row>
    <row r="291" spans="1:31">
      <c r="A291" s="175"/>
      <c r="B291" s="64"/>
      <c r="C291" s="64"/>
      <c r="D291" s="64"/>
      <c r="E291" s="64"/>
      <c r="F291" s="64"/>
      <c r="G291" s="74"/>
      <c r="H291" s="52" t="s">
        <v>525</v>
      </c>
      <c r="I291" s="69">
        <f t="shared" si="36"/>
        <v>1</v>
      </c>
      <c r="J291" s="69">
        <f t="shared" si="37"/>
        <v>2</v>
      </c>
      <c r="K291" s="69">
        <f t="shared" si="38"/>
        <v>1</v>
      </c>
      <c r="L291" s="69">
        <f t="shared" si="39"/>
        <v>1</v>
      </c>
      <c r="M291" s="69">
        <f t="shared" si="40"/>
        <v>0</v>
      </c>
      <c r="N291" s="69">
        <f t="shared" si="41"/>
        <v>2</v>
      </c>
      <c r="O291" s="69">
        <f t="shared" si="42"/>
        <v>0</v>
      </c>
      <c r="P291" s="69">
        <f t="shared" si="43"/>
        <v>0</v>
      </c>
      <c r="Q291" s="69" t="str">
        <f t="shared" si="44"/>
        <v>F_UNLI</v>
      </c>
      <c r="R291" s="69">
        <f t="shared" si="45"/>
        <v>22</v>
      </c>
      <c r="S291" s="69">
        <f t="shared" si="46"/>
        <v>151</v>
      </c>
      <c r="T291" s="69">
        <f t="shared" si="47"/>
        <v>3</v>
      </c>
      <c r="U291" s="238"/>
      <c r="V291" s="240" t="s">
        <v>1063</v>
      </c>
      <c r="W291" s="240" t="s">
        <v>965</v>
      </c>
      <c r="X291" s="240" t="s">
        <v>966</v>
      </c>
      <c r="Y291" s="238" t="s">
        <v>1066</v>
      </c>
      <c r="Z291" s="238" t="s">
        <v>1066</v>
      </c>
      <c r="AA291" s="238" t="s">
        <v>1066</v>
      </c>
      <c r="AB291" s="238"/>
      <c r="AE291" s="267"/>
    </row>
    <row r="292" spans="1:31">
      <c r="A292" s="175"/>
      <c r="B292" s="64"/>
      <c r="C292" s="64"/>
      <c r="D292" s="64"/>
      <c r="E292" s="64"/>
      <c r="F292" s="64"/>
      <c r="G292" s="74"/>
      <c r="H292" s="52" t="s">
        <v>526</v>
      </c>
      <c r="I292" s="69">
        <f t="shared" si="36"/>
        <v>1</v>
      </c>
      <c r="J292" s="69">
        <f t="shared" si="37"/>
        <v>2</v>
      </c>
      <c r="K292" s="69">
        <f t="shared" si="38"/>
        <v>1</v>
      </c>
      <c r="L292" s="69">
        <f t="shared" si="39"/>
        <v>1</v>
      </c>
      <c r="M292" s="69">
        <f t="shared" si="40"/>
        <v>0</v>
      </c>
      <c r="N292" s="69">
        <f t="shared" si="41"/>
        <v>2</v>
      </c>
      <c r="O292" s="69">
        <f t="shared" si="42"/>
        <v>0</v>
      </c>
      <c r="P292" s="69">
        <f t="shared" si="43"/>
        <v>0</v>
      </c>
      <c r="Q292" s="69" t="str">
        <f t="shared" si="44"/>
        <v>F_UNLI</v>
      </c>
      <c r="R292" s="69">
        <f t="shared" si="45"/>
        <v>23</v>
      </c>
      <c r="S292" s="69">
        <f t="shared" si="46"/>
        <v>152</v>
      </c>
      <c r="T292" s="69">
        <f t="shared" si="47"/>
        <v>3</v>
      </c>
      <c r="U292" s="238"/>
      <c r="V292" s="240" t="s">
        <v>1063</v>
      </c>
      <c r="W292" s="240" t="s">
        <v>965</v>
      </c>
      <c r="X292" s="240" t="s">
        <v>966</v>
      </c>
      <c r="Y292" s="238" t="s">
        <v>1066</v>
      </c>
      <c r="Z292" s="238" t="s">
        <v>1066</v>
      </c>
      <c r="AA292" s="238" t="s">
        <v>1066</v>
      </c>
      <c r="AB292" s="238"/>
      <c r="AE292" s="267"/>
    </row>
    <row r="293" spans="1:31">
      <c r="A293" s="175"/>
      <c r="B293" s="64"/>
      <c r="C293" s="64"/>
      <c r="D293" s="64"/>
      <c r="E293" s="64"/>
      <c r="F293" s="64"/>
      <c r="G293" s="74"/>
      <c r="H293" s="52" t="s">
        <v>527</v>
      </c>
      <c r="I293" s="69">
        <f t="shared" ref="I293:I361" si="48">IF(ISNA(VLOOKUP($H293,Modelpuntoverzicht,1,FALSE)),0,1)</f>
        <v>1</v>
      </c>
      <c r="J293" s="69">
        <f t="shared" ref="J293:J361" si="49">IF($I293=1,VLOOKUP($H293,Modelpuntoverzicht,6,FALSE),0)</f>
        <v>2</v>
      </c>
      <c r="K293" s="69">
        <f t="shared" ref="K293:K361" si="50">IF($I293=1,IF(VLOOKUP($H293,Modelpuntoverzicht,12,FALSE)=1,1,0),0)</f>
        <v>1</v>
      </c>
      <c r="L293" s="69">
        <f t="shared" ref="L293:L361" si="51">IF($I293=1,VLOOKUP($H293,Modelpuntoverzicht,38,FALSE),0)</f>
        <v>1</v>
      </c>
      <c r="M293" s="69">
        <f t="shared" ref="M293:M361" si="52">IF($I293=1,IF(VLOOKUP($H293,Modelpuntoverzicht,30,FALSE)="JA",1,0),0)</f>
        <v>0</v>
      </c>
      <c r="N293" s="69">
        <f t="shared" ref="N293:N361" si="53">IF($I293=1,VLOOKUP($H293,Modelpuntoverzicht,9,FALSE),0)</f>
        <v>2</v>
      </c>
      <c r="O293" s="69">
        <f t="shared" ref="O293:O361" si="54">IF($I293=1,VLOOKUP($H293,Modelpuntoverzicht,11,FALSE),0)</f>
        <v>0</v>
      </c>
      <c r="P293" s="69">
        <f t="shared" ref="P293:P361" si="55">IF($I293=1,VLOOKUP($H293,Modelpuntoverzicht,39,FALSE),0)</f>
        <v>0</v>
      </c>
      <c r="Q293" s="69" t="str">
        <f t="shared" ref="Q293:Q361" si="56">IF($I293=1,VLOOKUP($H293,OSM_Info_PerMP,4,FALSE),0)</f>
        <v>F_UNLI</v>
      </c>
      <c r="R293" s="69">
        <f t="shared" ref="R293:R361" si="57">IF($I293=1,VLOOKUP($H293,OSM_Info_PerMP,6,FALSE),0)</f>
        <v>24</v>
      </c>
      <c r="S293" s="69">
        <f t="shared" ref="S293:S361" si="58">IF($I293=1,VLOOKUP($H293,OSM_Info_PerMP,3,FALSE),0)</f>
        <v>153</v>
      </c>
      <c r="T293" s="69">
        <f t="shared" ref="T293:T361" si="59">IF($I293=1,VLOOKUP($H293,OSM_Info_PerMP,7,FALSE),0)</f>
        <v>3</v>
      </c>
      <c r="U293" s="238"/>
      <c r="V293" s="240" t="s">
        <v>1063</v>
      </c>
      <c r="W293" s="240" t="s">
        <v>965</v>
      </c>
      <c r="X293" s="240" t="s">
        <v>966</v>
      </c>
      <c r="Y293" s="238" t="s">
        <v>1066</v>
      </c>
      <c r="Z293" s="238" t="s">
        <v>1066</v>
      </c>
      <c r="AA293" s="238" t="s">
        <v>1066</v>
      </c>
      <c r="AB293" s="238"/>
      <c r="AE293" s="267"/>
    </row>
    <row r="294" spans="1:31">
      <c r="A294" s="175"/>
      <c r="B294" s="64"/>
      <c r="C294" s="64"/>
      <c r="D294" s="64"/>
      <c r="E294" s="64"/>
      <c r="F294" s="64"/>
      <c r="G294" s="74"/>
      <c r="H294" s="52" t="s">
        <v>536</v>
      </c>
      <c r="I294" s="69">
        <f t="shared" si="48"/>
        <v>1</v>
      </c>
      <c r="J294" s="69">
        <f t="shared" si="49"/>
        <v>2</v>
      </c>
      <c r="K294" s="69">
        <f t="shared" si="50"/>
        <v>1</v>
      </c>
      <c r="L294" s="69">
        <f t="shared" si="51"/>
        <v>1</v>
      </c>
      <c r="M294" s="69">
        <f t="shared" si="52"/>
        <v>0</v>
      </c>
      <c r="N294" s="69">
        <f t="shared" si="53"/>
        <v>3</v>
      </c>
      <c r="O294" s="69">
        <f t="shared" si="54"/>
        <v>0</v>
      </c>
      <c r="P294" s="69">
        <f t="shared" si="55"/>
        <v>1</v>
      </c>
      <c r="Q294" s="69" t="str">
        <f t="shared" si="56"/>
        <v>F_TRAD</v>
      </c>
      <c r="R294" s="69">
        <f t="shared" si="57"/>
        <v>91</v>
      </c>
      <c r="S294" s="69">
        <f t="shared" si="58"/>
        <v>91</v>
      </c>
      <c r="T294" s="69">
        <f t="shared" si="59"/>
        <v>0</v>
      </c>
      <c r="U294" s="238"/>
      <c r="V294" s="240" t="s">
        <v>1063</v>
      </c>
      <c r="W294" s="240" t="s">
        <v>965</v>
      </c>
      <c r="X294" s="240" t="s">
        <v>966</v>
      </c>
      <c r="Y294" s="238" t="s">
        <v>1066</v>
      </c>
      <c r="Z294" s="238" t="s">
        <v>1066</v>
      </c>
      <c r="AA294" s="238" t="s">
        <v>1066</v>
      </c>
      <c r="AB294" s="238"/>
      <c r="AE294" s="267"/>
    </row>
    <row r="295" spans="1:31">
      <c r="A295" s="175"/>
      <c r="B295" s="64"/>
      <c r="C295" s="64"/>
      <c r="D295" s="64"/>
      <c r="E295" s="64"/>
      <c r="F295" s="64"/>
      <c r="G295" s="74"/>
      <c r="H295" s="52" t="s">
        <v>537</v>
      </c>
      <c r="I295" s="69">
        <f t="shared" si="48"/>
        <v>1</v>
      </c>
      <c r="J295" s="69">
        <f t="shared" si="49"/>
        <v>2</v>
      </c>
      <c r="K295" s="69">
        <f t="shared" si="50"/>
        <v>1</v>
      </c>
      <c r="L295" s="69">
        <f t="shared" si="51"/>
        <v>1</v>
      </c>
      <c r="M295" s="69">
        <f t="shared" si="52"/>
        <v>0</v>
      </c>
      <c r="N295" s="69">
        <f t="shared" si="53"/>
        <v>3</v>
      </c>
      <c r="O295" s="69">
        <f t="shared" si="54"/>
        <v>0</v>
      </c>
      <c r="P295" s="69">
        <f t="shared" si="55"/>
        <v>1</v>
      </c>
      <c r="Q295" s="69" t="str">
        <f t="shared" si="56"/>
        <v>F_TRAD</v>
      </c>
      <c r="R295" s="69">
        <f t="shared" si="57"/>
        <v>92</v>
      </c>
      <c r="S295" s="69">
        <f t="shared" si="58"/>
        <v>92</v>
      </c>
      <c r="T295" s="69">
        <f t="shared" si="59"/>
        <v>0</v>
      </c>
      <c r="U295" s="238"/>
      <c r="V295" s="240" t="s">
        <v>1063</v>
      </c>
      <c r="W295" s="240" t="s">
        <v>965</v>
      </c>
      <c r="X295" s="240" t="s">
        <v>966</v>
      </c>
      <c r="Y295" s="238" t="s">
        <v>1066</v>
      </c>
      <c r="Z295" s="238" t="s">
        <v>1066</v>
      </c>
      <c r="AA295" s="238" t="s">
        <v>1066</v>
      </c>
      <c r="AB295" s="238"/>
      <c r="AE295" s="267"/>
    </row>
    <row r="296" spans="1:31">
      <c r="A296" s="175"/>
      <c r="B296" s="64"/>
      <c r="C296" s="64"/>
      <c r="D296" s="64"/>
      <c r="E296" s="64"/>
      <c r="F296" s="64"/>
      <c r="G296" s="74"/>
      <c r="H296" s="52" t="s">
        <v>528</v>
      </c>
      <c r="I296" s="69">
        <f t="shared" si="48"/>
        <v>1</v>
      </c>
      <c r="J296" s="69">
        <f t="shared" si="49"/>
        <v>2</v>
      </c>
      <c r="K296" s="69">
        <f t="shared" si="50"/>
        <v>1</v>
      </c>
      <c r="L296" s="69">
        <f t="shared" si="51"/>
        <v>1</v>
      </c>
      <c r="M296" s="69">
        <f t="shared" si="52"/>
        <v>0</v>
      </c>
      <c r="N296" s="69">
        <f t="shared" si="53"/>
        <v>2</v>
      </c>
      <c r="O296" s="69">
        <f t="shared" si="54"/>
        <v>0</v>
      </c>
      <c r="P296" s="69">
        <f t="shared" si="55"/>
        <v>0</v>
      </c>
      <c r="Q296" s="69" t="str">
        <f t="shared" si="56"/>
        <v>F_UNLI</v>
      </c>
      <c r="R296" s="69">
        <f t="shared" si="57"/>
        <v>1</v>
      </c>
      <c r="S296" s="69">
        <f t="shared" si="58"/>
        <v>130</v>
      </c>
      <c r="T296" s="69">
        <f t="shared" si="59"/>
        <v>3</v>
      </c>
      <c r="U296" s="238"/>
      <c r="V296" s="240" t="s">
        <v>1063</v>
      </c>
      <c r="W296" s="240" t="s">
        <v>965</v>
      </c>
      <c r="X296" s="240" t="s">
        <v>966</v>
      </c>
      <c r="Y296" s="238" t="s">
        <v>1066</v>
      </c>
      <c r="Z296" s="238" t="s">
        <v>1066</v>
      </c>
      <c r="AA296" s="238" t="s">
        <v>1066</v>
      </c>
      <c r="AB296" s="238"/>
      <c r="AE296" s="267"/>
    </row>
    <row r="297" spans="1:31">
      <c r="A297" s="175"/>
      <c r="B297" s="64"/>
      <c r="C297" s="64"/>
      <c r="D297" s="64"/>
      <c r="E297" s="64"/>
      <c r="F297" s="64"/>
      <c r="G297" s="74"/>
      <c r="H297" s="52" t="s">
        <v>1013</v>
      </c>
      <c r="I297" s="69">
        <f t="shared" si="48"/>
        <v>1</v>
      </c>
      <c r="J297" s="69">
        <f t="shared" si="49"/>
        <v>2</v>
      </c>
      <c r="K297" s="69">
        <f t="shared" si="50"/>
        <v>1</v>
      </c>
      <c r="L297" s="69">
        <f t="shared" si="51"/>
        <v>1</v>
      </c>
      <c r="M297" s="69">
        <f t="shared" si="52"/>
        <v>0</v>
      </c>
      <c r="N297" s="69">
        <f t="shared" si="53"/>
        <v>2</v>
      </c>
      <c r="O297" s="69">
        <f t="shared" si="54"/>
        <v>1</v>
      </c>
      <c r="P297" s="69">
        <f t="shared" si="55"/>
        <v>1</v>
      </c>
      <c r="Q297" s="69" t="str">
        <f t="shared" si="56"/>
        <v>F_UNLI</v>
      </c>
      <c r="R297" s="69">
        <f t="shared" si="57"/>
        <v>25</v>
      </c>
      <c r="S297" s="69">
        <f t="shared" si="58"/>
        <v>154</v>
      </c>
      <c r="T297" s="69">
        <f t="shared" si="59"/>
        <v>3</v>
      </c>
      <c r="U297" s="238"/>
      <c r="V297" s="240" t="s">
        <v>1063</v>
      </c>
      <c r="W297" s="240" t="s">
        <v>965</v>
      </c>
      <c r="X297" s="240" t="s">
        <v>966</v>
      </c>
      <c r="Y297" s="238" t="s">
        <v>1066</v>
      </c>
      <c r="Z297" s="238" t="s">
        <v>1066</v>
      </c>
      <c r="AA297" s="238" t="s">
        <v>1066</v>
      </c>
      <c r="AB297" s="238"/>
      <c r="AE297" s="267"/>
    </row>
    <row r="298" spans="1:31">
      <c r="A298" s="175"/>
      <c r="B298" s="64"/>
      <c r="C298" s="64"/>
      <c r="D298" s="64"/>
      <c r="E298" s="64"/>
      <c r="F298" s="64"/>
      <c r="G298" s="74"/>
      <c r="H298" s="52" t="s">
        <v>1016</v>
      </c>
      <c r="I298" s="69">
        <f t="shared" si="48"/>
        <v>1</v>
      </c>
      <c r="J298" s="69">
        <f t="shared" si="49"/>
        <v>2</v>
      </c>
      <c r="K298" s="69">
        <f t="shared" si="50"/>
        <v>1</v>
      </c>
      <c r="L298" s="69">
        <f t="shared" si="51"/>
        <v>1</v>
      </c>
      <c r="M298" s="69">
        <f t="shared" si="52"/>
        <v>0</v>
      </c>
      <c r="N298" s="69">
        <f t="shared" si="53"/>
        <v>2</v>
      </c>
      <c r="O298" s="69">
        <f t="shared" si="54"/>
        <v>0</v>
      </c>
      <c r="P298" s="69">
        <f t="shared" si="55"/>
        <v>0</v>
      </c>
      <c r="Q298" s="69" t="str">
        <f t="shared" si="56"/>
        <v>F_UNLI</v>
      </c>
      <c r="R298" s="69">
        <f t="shared" si="57"/>
        <v>26</v>
      </c>
      <c r="S298" s="69">
        <f t="shared" si="58"/>
        <v>155</v>
      </c>
      <c r="T298" s="69">
        <f t="shared" si="59"/>
        <v>3</v>
      </c>
      <c r="U298" s="238"/>
      <c r="V298" s="240" t="s">
        <v>1063</v>
      </c>
      <c r="W298" s="240" t="s">
        <v>965</v>
      </c>
      <c r="X298" s="240" t="s">
        <v>966</v>
      </c>
      <c r="Y298" s="238" t="s">
        <v>1066</v>
      </c>
      <c r="Z298" s="238" t="s">
        <v>1066</v>
      </c>
      <c r="AA298" s="238" t="s">
        <v>1066</v>
      </c>
      <c r="AB298" s="238"/>
      <c r="AE298" s="267"/>
    </row>
    <row r="299" spans="1:31">
      <c r="A299" s="175"/>
      <c r="B299" s="64"/>
      <c r="C299" s="64"/>
      <c r="D299" s="64"/>
      <c r="E299" s="64"/>
      <c r="F299" s="64"/>
      <c r="G299" s="74"/>
      <c r="H299" s="52" t="s">
        <v>509</v>
      </c>
      <c r="I299" s="69">
        <f t="shared" si="48"/>
        <v>1</v>
      </c>
      <c r="J299" s="69">
        <f t="shared" si="49"/>
        <v>2</v>
      </c>
      <c r="K299" s="69">
        <f t="shared" si="50"/>
        <v>1</v>
      </c>
      <c r="L299" s="69">
        <f t="shared" si="51"/>
        <v>1</v>
      </c>
      <c r="M299" s="69">
        <f t="shared" si="52"/>
        <v>0</v>
      </c>
      <c r="N299" s="69">
        <f t="shared" si="53"/>
        <v>2</v>
      </c>
      <c r="O299" s="69">
        <f t="shared" si="54"/>
        <v>1</v>
      </c>
      <c r="P299" s="69">
        <f t="shared" si="55"/>
        <v>1</v>
      </c>
      <c r="Q299" s="69" t="str">
        <f t="shared" si="56"/>
        <v>F_UNLI</v>
      </c>
      <c r="R299" s="69">
        <f t="shared" si="57"/>
        <v>3</v>
      </c>
      <c r="S299" s="69">
        <f t="shared" si="58"/>
        <v>132</v>
      </c>
      <c r="T299" s="69">
        <f t="shared" si="59"/>
        <v>3</v>
      </c>
      <c r="U299" s="238"/>
      <c r="V299" s="240" t="s">
        <v>1063</v>
      </c>
      <c r="W299" s="240" t="s">
        <v>965</v>
      </c>
      <c r="X299" s="240" t="s">
        <v>966</v>
      </c>
      <c r="Y299" s="238" t="s">
        <v>1066</v>
      </c>
      <c r="Z299" s="238" t="s">
        <v>1066</v>
      </c>
      <c r="AA299" s="238" t="s">
        <v>1066</v>
      </c>
      <c r="AB299" s="238"/>
      <c r="AE299" s="267"/>
    </row>
    <row r="300" spans="1:31">
      <c r="A300" s="175"/>
      <c r="B300" s="64"/>
      <c r="C300" s="64"/>
      <c r="D300" s="64"/>
      <c r="E300" s="64"/>
      <c r="F300" s="64"/>
      <c r="G300" s="74"/>
      <c r="H300" s="52" t="s">
        <v>510</v>
      </c>
      <c r="I300" s="69">
        <f t="shared" si="48"/>
        <v>1</v>
      </c>
      <c r="J300" s="69">
        <f t="shared" si="49"/>
        <v>2</v>
      </c>
      <c r="K300" s="69">
        <f t="shared" si="50"/>
        <v>1</v>
      </c>
      <c r="L300" s="69">
        <f t="shared" si="51"/>
        <v>1</v>
      </c>
      <c r="M300" s="69">
        <f t="shared" si="52"/>
        <v>0</v>
      </c>
      <c r="N300" s="69">
        <f t="shared" si="53"/>
        <v>2</v>
      </c>
      <c r="O300" s="69">
        <f t="shared" si="54"/>
        <v>1</v>
      </c>
      <c r="P300" s="69">
        <f t="shared" si="55"/>
        <v>1</v>
      </c>
      <c r="Q300" s="69" t="str">
        <f t="shared" si="56"/>
        <v>F_UNLI</v>
      </c>
      <c r="R300" s="69">
        <f t="shared" si="57"/>
        <v>4</v>
      </c>
      <c r="S300" s="69">
        <f t="shared" si="58"/>
        <v>133</v>
      </c>
      <c r="T300" s="69">
        <f t="shared" si="59"/>
        <v>3</v>
      </c>
      <c r="U300" s="238"/>
      <c r="V300" s="240" t="s">
        <v>1063</v>
      </c>
      <c r="W300" s="240" t="s">
        <v>965</v>
      </c>
      <c r="X300" s="240" t="s">
        <v>966</v>
      </c>
      <c r="Y300" s="238" t="s">
        <v>1066</v>
      </c>
      <c r="Z300" s="238" t="s">
        <v>1066</v>
      </c>
      <c r="AA300" s="238" t="s">
        <v>1066</v>
      </c>
      <c r="AB300" s="238"/>
      <c r="AE300" s="267"/>
    </row>
    <row r="301" spans="1:31">
      <c r="A301" s="175"/>
      <c r="B301" s="64"/>
      <c r="C301" s="64"/>
      <c r="D301" s="64"/>
      <c r="E301" s="64"/>
      <c r="F301" s="64"/>
      <c r="G301" s="74"/>
      <c r="H301" s="52" t="s">
        <v>529</v>
      </c>
      <c r="I301" s="69">
        <f t="shared" si="48"/>
        <v>1</v>
      </c>
      <c r="J301" s="69">
        <f t="shared" si="49"/>
        <v>2</v>
      </c>
      <c r="K301" s="69">
        <f t="shared" si="50"/>
        <v>1</v>
      </c>
      <c r="L301" s="69">
        <f t="shared" si="51"/>
        <v>1</v>
      </c>
      <c r="M301" s="69">
        <f t="shared" si="52"/>
        <v>0</v>
      </c>
      <c r="N301" s="69">
        <f t="shared" si="53"/>
        <v>2</v>
      </c>
      <c r="O301" s="69">
        <f t="shared" si="54"/>
        <v>0</v>
      </c>
      <c r="P301" s="69">
        <f t="shared" si="55"/>
        <v>0</v>
      </c>
      <c r="Q301" s="69" t="str">
        <f t="shared" si="56"/>
        <v>F_UNLI</v>
      </c>
      <c r="R301" s="69">
        <f t="shared" si="57"/>
        <v>5</v>
      </c>
      <c r="S301" s="69">
        <f t="shared" si="58"/>
        <v>134</v>
      </c>
      <c r="T301" s="69">
        <f t="shared" si="59"/>
        <v>3</v>
      </c>
      <c r="U301" s="238"/>
      <c r="V301" s="240" t="s">
        <v>1063</v>
      </c>
      <c r="W301" s="240" t="s">
        <v>965</v>
      </c>
      <c r="X301" s="240" t="s">
        <v>966</v>
      </c>
      <c r="Y301" s="238" t="s">
        <v>1066</v>
      </c>
      <c r="Z301" s="238" t="s">
        <v>1066</v>
      </c>
      <c r="AA301" s="238" t="s">
        <v>1066</v>
      </c>
      <c r="AB301" s="238"/>
      <c r="AE301" s="267"/>
    </row>
    <row r="302" spans="1:31">
      <c r="A302" s="175"/>
      <c r="B302" s="64"/>
      <c r="C302" s="64"/>
      <c r="D302" s="64"/>
      <c r="E302" s="64"/>
      <c r="F302" s="64"/>
      <c r="G302" s="74"/>
      <c r="H302" s="52" t="s">
        <v>530</v>
      </c>
      <c r="I302" s="69">
        <f t="shared" si="48"/>
        <v>1</v>
      </c>
      <c r="J302" s="69">
        <f t="shared" si="49"/>
        <v>2</v>
      </c>
      <c r="K302" s="69">
        <f t="shared" si="50"/>
        <v>1</v>
      </c>
      <c r="L302" s="69">
        <f t="shared" si="51"/>
        <v>1</v>
      </c>
      <c r="M302" s="69">
        <f t="shared" si="52"/>
        <v>0</v>
      </c>
      <c r="N302" s="69">
        <f t="shared" si="53"/>
        <v>2</v>
      </c>
      <c r="O302" s="69">
        <f t="shared" si="54"/>
        <v>0</v>
      </c>
      <c r="P302" s="69">
        <f t="shared" si="55"/>
        <v>0</v>
      </c>
      <c r="Q302" s="69" t="str">
        <f t="shared" si="56"/>
        <v>F_UNLI</v>
      </c>
      <c r="R302" s="69">
        <f t="shared" si="57"/>
        <v>6</v>
      </c>
      <c r="S302" s="69">
        <f t="shared" si="58"/>
        <v>135</v>
      </c>
      <c r="T302" s="69">
        <f t="shared" si="59"/>
        <v>3</v>
      </c>
      <c r="U302" s="238"/>
      <c r="V302" s="240" t="s">
        <v>1063</v>
      </c>
      <c r="W302" s="240" t="s">
        <v>965</v>
      </c>
      <c r="X302" s="240" t="s">
        <v>966</v>
      </c>
      <c r="Y302" s="238" t="s">
        <v>1066</v>
      </c>
      <c r="Z302" s="238" t="s">
        <v>1066</v>
      </c>
      <c r="AA302" s="238" t="s">
        <v>1066</v>
      </c>
      <c r="AB302" s="238"/>
      <c r="AE302" s="267"/>
    </row>
    <row r="303" spans="1:31">
      <c r="A303" s="175"/>
      <c r="B303" s="64"/>
      <c r="C303" s="64"/>
      <c r="D303" s="64"/>
      <c r="E303" s="64"/>
      <c r="F303" s="64"/>
      <c r="G303" s="74"/>
      <c r="H303" s="52" t="s">
        <v>511</v>
      </c>
      <c r="I303" s="69">
        <f t="shared" si="48"/>
        <v>1</v>
      </c>
      <c r="J303" s="69">
        <f t="shared" si="49"/>
        <v>2</v>
      </c>
      <c r="K303" s="69">
        <f t="shared" si="50"/>
        <v>1</v>
      </c>
      <c r="L303" s="69">
        <f t="shared" si="51"/>
        <v>1</v>
      </c>
      <c r="M303" s="69">
        <f t="shared" si="52"/>
        <v>0</v>
      </c>
      <c r="N303" s="69">
        <f t="shared" si="53"/>
        <v>2</v>
      </c>
      <c r="O303" s="69">
        <f t="shared" si="54"/>
        <v>1</v>
      </c>
      <c r="P303" s="69">
        <f t="shared" si="55"/>
        <v>1</v>
      </c>
      <c r="Q303" s="69" t="str">
        <f t="shared" si="56"/>
        <v>F_UNLI</v>
      </c>
      <c r="R303" s="69">
        <f t="shared" si="57"/>
        <v>11</v>
      </c>
      <c r="S303" s="69">
        <f t="shared" si="58"/>
        <v>140</v>
      </c>
      <c r="T303" s="69">
        <f t="shared" si="59"/>
        <v>3</v>
      </c>
      <c r="U303" s="238"/>
      <c r="V303" s="240" t="s">
        <v>1063</v>
      </c>
      <c r="W303" s="240" t="s">
        <v>965</v>
      </c>
      <c r="X303" s="240" t="s">
        <v>966</v>
      </c>
      <c r="Y303" s="238" t="s">
        <v>1066</v>
      </c>
      <c r="Z303" s="238" t="s">
        <v>1066</v>
      </c>
      <c r="AA303" s="238" t="s">
        <v>1066</v>
      </c>
      <c r="AB303" s="238"/>
      <c r="AE303" s="267"/>
    </row>
    <row r="304" spans="1:31">
      <c r="A304" s="175"/>
      <c r="B304" s="64"/>
      <c r="C304" s="64"/>
      <c r="D304" s="64"/>
      <c r="E304" s="64"/>
      <c r="F304" s="64"/>
      <c r="G304" s="74"/>
      <c r="H304" s="52" t="s">
        <v>512</v>
      </c>
      <c r="I304" s="69">
        <f t="shared" si="48"/>
        <v>1</v>
      </c>
      <c r="J304" s="69">
        <f t="shared" si="49"/>
        <v>2</v>
      </c>
      <c r="K304" s="69">
        <f t="shared" si="50"/>
        <v>1</v>
      </c>
      <c r="L304" s="69">
        <f t="shared" si="51"/>
        <v>1</v>
      </c>
      <c r="M304" s="69">
        <f t="shared" si="52"/>
        <v>0</v>
      </c>
      <c r="N304" s="69">
        <f t="shared" si="53"/>
        <v>2</v>
      </c>
      <c r="O304" s="69">
        <f t="shared" si="54"/>
        <v>1</v>
      </c>
      <c r="P304" s="69">
        <f t="shared" si="55"/>
        <v>1</v>
      </c>
      <c r="Q304" s="69" t="str">
        <f t="shared" si="56"/>
        <v>F_UNLI</v>
      </c>
      <c r="R304" s="69">
        <f t="shared" si="57"/>
        <v>12</v>
      </c>
      <c r="S304" s="69">
        <f t="shared" si="58"/>
        <v>141</v>
      </c>
      <c r="T304" s="69">
        <f t="shared" si="59"/>
        <v>3</v>
      </c>
      <c r="U304" s="238"/>
      <c r="V304" s="240" t="s">
        <v>1063</v>
      </c>
      <c r="W304" s="240" t="s">
        <v>965</v>
      </c>
      <c r="X304" s="240" t="s">
        <v>966</v>
      </c>
      <c r="Y304" s="238" t="s">
        <v>1066</v>
      </c>
      <c r="Z304" s="238" t="s">
        <v>1066</v>
      </c>
      <c r="AA304" s="238" t="s">
        <v>1066</v>
      </c>
      <c r="AB304" s="238"/>
      <c r="AE304" s="267"/>
    </row>
    <row r="305" spans="1:31">
      <c r="A305" s="175"/>
      <c r="B305" s="64"/>
      <c r="C305" s="64"/>
      <c r="D305" s="64"/>
      <c r="E305" s="64"/>
      <c r="F305" s="64"/>
      <c r="G305" s="74"/>
      <c r="H305" s="52" t="s">
        <v>531</v>
      </c>
      <c r="I305" s="69">
        <f t="shared" si="48"/>
        <v>1</v>
      </c>
      <c r="J305" s="69">
        <f t="shared" si="49"/>
        <v>2</v>
      </c>
      <c r="K305" s="69">
        <f t="shared" si="50"/>
        <v>1</v>
      </c>
      <c r="L305" s="69">
        <f t="shared" si="51"/>
        <v>1</v>
      </c>
      <c r="M305" s="69">
        <f t="shared" si="52"/>
        <v>0</v>
      </c>
      <c r="N305" s="69">
        <f t="shared" si="53"/>
        <v>2</v>
      </c>
      <c r="O305" s="69">
        <f t="shared" si="54"/>
        <v>0</v>
      </c>
      <c r="P305" s="69">
        <f t="shared" si="55"/>
        <v>0</v>
      </c>
      <c r="Q305" s="69" t="str">
        <f t="shared" si="56"/>
        <v>F_UNLI</v>
      </c>
      <c r="R305" s="69">
        <f t="shared" si="57"/>
        <v>13</v>
      </c>
      <c r="S305" s="69">
        <f t="shared" si="58"/>
        <v>142</v>
      </c>
      <c r="T305" s="69">
        <f t="shared" si="59"/>
        <v>3</v>
      </c>
      <c r="U305" s="238"/>
      <c r="V305" s="240" t="s">
        <v>1063</v>
      </c>
      <c r="W305" s="240" t="s">
        <v>965</v>
      </c>
      <c r="X305" s="240" t="s">
        <v>966</v>
      </c>
      <c r="Y305" s="238" t="s">
        <v>1066</v>
      </c>
      <c r="Z305" s="238" t="s">
        <v>1066</v>
      </c>
      <c r="AA305" s="238" t="s">
        <v>1066</v>
      </c>
      <c r="AB305" s="238"/>
      <c r="AE305" s="267"/>
    </row>
    <row r="306" spans="1:31">
      <c r="A306" s="175"/>
      <c r="B306" s="64"/>
      <c r="C306" s="64"/>
      <c r="D306" s="64"/>
      <c r="E306" s="64"/>
      <c r="F306" s="64"/>
      <c r="G306" s="74"/>
      <c r="H306" s="52" t="s">
        <v>532</v>
      </c>
      <c r="I306" s="69">
        <f t="shared" si="48"/>
        <v>1</v>
      </c>
      <c r="J306" s="69">
        <f t="shared" si="49"/>
        <v>2</v>
      </c>
      <c r="K306" s="69">
        <f t="shared" si="50"/>
        <v>1</v>
      </c>
      <c r="L306" s="69">
        <f t="shared" si="51"/>
        <v>1</v>
      </c>
      <c r="M306" s="69">
        <f t="shared" si="52"/>
        <v>0</v>
      </c>
      <c r="N306" s="69">
        <f t="shared" si="53"/>
        <v>2</v>
      </c>
      <c r="O306" s="69">
        <f t="shared" si="54"/>
        <v>0</v>
      </c>
      <c r="P306" s="69">
        <f t="shared" si="55"/>
        <v>0</v>
      </c>
      <c r="Q306" s="69" t="str">
        <f t="shared" si="56"/>
        <v>F_UNLI</v>
      </c>
      <c r="R306" s="69">
        <f t="shared" si="57"/>
        <v>14</v>
      </c>
      <c r="S306" s="69">
        <f t="shared" si="58"/>
        <v>143</v>
      </c>
      <c r="T306" s="69">
        <f t="shared" si="59"/>
        <v>3</v>
      </c>
      <c r="U306" s="238"/>
      <c r="V306" s="240" t="s">
        <v>1063</v>
      </c>
      <c r="W306" s="240" t="s">
        <v>965</v>
      </c>
      <c r="X306" s="240" t="s">
        <v>966</v>
      </c>
      <c r="Y306" s="238" t="s">
        <v>1066</v>
      </c>
      <c r="Z306" s="238" t="s">
        <v>1066</v>
      </c>
      <c r="AA306" s="238" t="s">
        <v>1066</v>
      </c>
      <c r="AB306" s="238"/>
      <c r="AE306" s="267"/>
    </row>
    <row r="307" spans="1:31">
      <c r="A307" s="175"/>
      <c r="B307" s="64"/>
      <c r="C307" s="64"/>
      <c r="D307" s="64"/>
      <c r="E307" s="64"/>
      <c r="F307" s="64"/>
      <c r="G307" s="74"/>
      <c r="H307" s="52" t="s">
        <v>1083</v>
      </c>
      <c r="I307" s="69">
        <f t="shared" si="48"/>
        <v>1</v>
      </c>
      <c r="J307" s="69">
        <f t="shared" si="49"/>
        <v>2</v>
      </c>
      <c r="K307" s="69">
        <f t="shared" si="50"/>
        <v>1</v>
      </c>
      <c r="L307" s="69">
        <f t="shared" si="51"/>
        <v>1</v>
      </c>
      <c r="M307" s="69">
        <f t="shared" si="52"/>
        <v>0</v>
      </c>
      <c r="N307" s="69">
        <f t="shared" si="53"/>
        <v>2</v>
      </c>
      <c r="O307" s="69">
        <f t="shared" si="54"/>
        <v>0</v>
      </c>
      <c r="P307" s="69">
        <f t="shared" si="55"/>
        <v>0</v>
      </c>
      <c r="Q307" s="69" t="str">
        <f t="shared" si="56"/>
        <v>F_UNLI</v>
      </c>
      <c r="R307" s="69">
        <f t="shared" si="57"/>
        <v>35</v>
      </c>
      <c r="S307" s="69">
        <f t="shared" si="58"/>
        <v>164</v>
      </c>
      <c r="T307" s="69">
        <f t="shared" si="59"/>
        <v>3</v>
      </c>
      <c r="U307" s="238"/>
      <c r="V307" s="240" t="s">
        <v>1063</v>
      </c>
      <c r="W307" s="240" t="s">
        <v>965</v>
      </c>
      <c r="X307" s="240" t="s">
        <v>966</v>
      </c>
      <c r="Y307" s="238" t="s">
        <v>1066</v>
      </c>
      <c r="Z307" s="238" t="s">
        <v>1066</v>
      </c>
      <c r="AA307" s="238" t="s">
        <v>1066</v>
      </c>
      <c r="AB307" s="238"/>
      <c r="AE307" s="267"/>
    </row>
    <row r="308" spans="1:31">
      <c r="A308" s="175"/>
      <c r="B308" s="64"/>
      <c r="C308" s="64"/>
      <c r="D308" s="64"/>
      <c r="E308" s="64"/>
      <c r="F308" s="64"/>
      <c r="G308" s="74"/>
      <c r="H308" s="52" t="s">
        <v>1084</v>
      </c>
      <c r="I308" s="69">
        <f t="shared" si="48"/>
        <v>1</v>
      </c>
      <c r="J308" s="69">
        <f t="shared" si="49"/>
        <v>2</v>
      </c>
      <c r="K308" s="69">
        <f t="shared" si="50"/>
        <v>1</v>
      </c>
      <c r="L308" s="69">
        <f t="shared" si="51"/>
        <v>1</v>
      </c>
      <c r="M308" s="69">
        <f t="shared" si="52"/>
        <v>0</v>
      </c>
      <c r="N308" s="69">
        <f t="shared" si="53"/>
        <v>2</v>
      </c>
      <c r="O308" s="69">
        <f t="shared" si="54"/>
        <v>0</v>
      </c>
      <c r="P308" s="69">
        <f t="shared" si="55"/>
        <v>0</v>
      </c>
      <c r="Q308" s="69" t="str">
        <f t="shared" si="56"/>
        <v>F_UNLI</v>
      </c>
      <c r="R308" s="69">
        <f t="shared" si="57"/>
        <v>36</v>
      </c>
      <c r="S308" s="69">
        <f t="shared" si="58"/>
        <v>165</v>
      </c>
      <c r="T308" s="69">
        <f t="shared" si="59"/>
        <v>3</v>
      </c>
      <c r="U308" s="238"/>
      <c r="V308" s="240" t="s">
        <v>1063</v>
      </c>
      <c r="W308" s="240" t="s">
        <v>965</v>
      </c>
      <c r="X308" s="240" t="s">
        <v>966</v>
      </c>
      <c r="Y308" s="238" t="s">
        <v>1066</v>
      </c>
      <c r="Z308" s="238" t="s">
        <v>1066</v>
      </c>
      <c r="AA308" s="238" t="s">
        <v>1066</v>
      </c>
      <c r="AB308" s="238"/>
      <c r="AE308" s="267"/>
    </row>
    <row r="309" spans="1:31">
      <c r="A309" s="175"/>
      <c r="B309" s="64"/>
      <c r="C309" s="64"/>
      <c r="D309" s="64"/>
      <c r="E309" s="64"/>
      <c r="F309" s="64"/>
      <c r="G309" s="74"/>
      <c r="H309" s="52" t="s">
        <v>533</v>
      </c>
      <c r="I309" s="69">
        <f t="shared" si="48"/>
        <v>1</v>
      </c>
      <c r="J309" s="69">
        <f t="shared" si="49"/>
        <v>2</v>
      </c>
      <c r="K309" s="69">
        <f t="shared" si="50"/>
        <v>1</v>
      </c>
      <c r="L309" s="69">
        <f t="shared" si="51"/>
        <v>1</v>
      </c>
      <c r="M309" s="69">
        <f t="shared" si="52"/>
        <v>0</v>
      </c>
      <c r="N309" s="69">
        <f t="shared" si="53"/>
        <v>2</v>
      </c>
      <c r="O309" s="69">
        <f t="shared" si="54"/>
        <v>0</v>
      </c>
      <c r="P309" s="69">
        <f t="shared" si="55"/>
        <v>0</v>
      </c>
      <c r="Q309" s="69" t="str">
        <f t="shared" si="56"/>
        <v>F_UNLI</v>
      </c>
      <c r="R309" s="69">
        <f t="shared" si="57"/>
        <v>2</v>
      </c>
      <c r="S309" s="69">
        <f t="shared" si="58"/>
        <v>131</v>
      </c>
      <c r="T309" s="69">
        <f t="shared" si="59"/>
        <v>3</v>
      </c>
      <c r="U309" s="238"/>
      <c r="V309" s="240" t="s">
        <v>1063</v>
      </c>
      <c r="W309" s="240" t="s">
        <v>965</v>
      </c>
      <c r="X309" s="240" t="s">
        <v>966</v>
      </c>
      <c r="Y309" s="238" t="s">
        <v>328</v>
      </c>
      <c r="Z309" s="238" t="s">
        <v>328</v>
      </c>
      <c r="AA309" s="238" t="s">
        <v>1066</v>
      </c>
      <c r="AB309" s="238"/>
      <c r="AE309" s="267"/>
    </row>
    <row r="310" spans="1:31">
      <c r="A310" s="175"/>
      <c r="B310" s="64"/>
      <c r="C310" s="64"/>
      <c r="D310" s="64"/>
      <c r="E310" s="64"/>
      <c r="F310" s="64"/>
      <c r="G310" s="74"/>
      <c r="H310" s="52" t="s">
        <v>494</v>
      </c>
      <c r="I310" s="69">
        <f t="shared" si="48"/>
        <v>1</v>
      </c>
      <c r="J310" s="69">
        <f t="shared" si="49"/>
        <v>2</v>
      </c>
      <c r="K310" s="69">
        <f t="shared" si="50"/>
        <v>1</v>
      </c>
      <c r="L310" s="69">
        <f t="shared" si="51"/>
        <v>1</v>
      </c>
      <c r="M310" s="69">
        <f t="shared" si="52"/>
        <v>0</v>
      </c>
      <c r="N310" s="69">
        <f t="shared" si="53"/>
        <v>3</v>
      </c>
      <c r="O310" s="69">
        <f t="shared" si="54"/>
        <v>0</v>
      </c>
      <c r="P310" s="69">
        <f t="shared" si="55"/>
        <v>0</v>
      </c>
      <c r="Q310" s="69" t="str">
        <f t="shared" si="56"/>
        <v>F_TRAD</v>
      </c>
      <c r="R310" s="69">
        <f t="shared" si="57"/>
        <v>43</v>
      </c>
      <c r="S310" s="69">
        <f t="shared" si="58"/>
        <v>43</v>
      </c>
      <c r="T310" s="69">
        <f t="shared" si="59"/>
        <v>0</v>
      </c>
      <c r="U310" s="238"/>
      <c r="V310" s="240" t="s">
        <v>1063</v>
      </c>
      <c r="W310" s="240" t="s">
        <v>965</v>
      </c>
      <c r="X310" s="240" t="s">
        <v>966</v>
      </c>
      <c r="Y310" s="238" t="s">
        <v>1066</v>
      </c>
      <c r="Z310" s="238" t="s">
        <v>1066</v>
      </c>
      <c r="AA310" s="238" t="s">
        <v>1066</v>
      </c>
      <c r="AB310" s="238"/>
      <c r="AE310" s="267"/>
    </row>
    <row r="311" spans="1:31">
      <c r="A311" s="175"/>
      <c r="B311" s="64"/>
      <c r="C311" s="64"/>
      <c r="D311" s="64"/>
      <c r="E311" s="64"/>
      <c r="F311" s="64"/>
      <c r="G311" s="74"/>
      <c r="H311" s="52" t="s">
        <v>1187</v>
      </c>
      <c r="I311" s="69">
        <f t="shared" si="48"/>
        <v>1</v>
      </c>
      <c r="J311" s="69">
        <f t="shared" si="49"/>
        <v>3</v>
      </c>
      <c r="K311" s="69">
        <f t="shared" si="50"/>
        <v>0</v>
      </c>
      <c r="L311" s="69">
        <f t="shared" si="51"/>
        <v>1</v>
      </c>
      <c r="M311" s="69">
        <f t="shared" si="52"/>
        <v>0</v>
      </c>
      <c r="N311" s="69">
        <f t="shared" si="53"/>
        <v>3</v>
      </c>
      <c r="O311" s="69">
        <f t="shared" si="54"/>
        <v>0</v>
      </c>
      <c r="P311" s="69">
        <f t="shared" si="55"/>
        <v>1</v>
      </c>
      <c r="Q311" s="69" t="str">
        <f t="shared" si="56"/>
        <v>F_TRAD</v>
      </c>
      <c r="R311" s="69">
        <f t="shared" si="57"/>
        <v>9</v>
      </c>
      <c r="S311" s="69">
        <f t="shared" si="58"/>
        <v>9</v>
      </c>
      <c r="T311" s="69">
        <f t="shared" si="59"/>
        <v>0</v>
      </c>
      <c r="U311" s="238"/>
      <c r="V311" s="240" t="s">
        <v>1063</v>
      </c>
      <c r="W311" s="240" t="s">
        <v>965</v>
      </c>
      <c r="X311" s="240" t="s">
        <v>966</v>
      </c>
      <c r="Y311" s="238" t="s">
        <v>328</v>
      </c>
      <c r="Z311" s="238" t="s">
        <v>328</v>
      </c>
      <c r="AA311" s="238" t="s">
        <v>1066</v>
      </c>
      <c r="AB311" s="238"/>
      <c r="AE311" s="267"/>
    </row>
    <row r="312" spans="1:31">
      <c r="A312" s="175"/>
      <c r="B312" s="64"/>
      <c r="C312" s="64"/>
      <c r="D312" s="64"/>
      <c r="E312" s="64"/>
      <c r="F312" s="64"/>
      <c r="G312" s="74"/>
      <c r="H312" s="52" t="s">
        <v>1189</v>
      </c>
      <c r="I312" s="69">
        <f t="shared" si="48"/>
        <v>1</v>
      </c>
      <c r="J312" s="69">
        <f t="shared" si="49"/>
        <v>3</v>
      </c>
      <c r="K312" s="69">
        <f t="shared" si="50"/>
        <v>0</v>
      </c>
      <c r="L312" s="69">
        <f t="shared" si="51"/>
        <v>1</v>
      </c>
      <c r="M312" s="69">
        <f t="shared" si="52"/>
        <v>0</v>
      </c>
      <c r="N312" s="69">
        <f t="shared" si="53"/>
        <v>2</v>
      </c>
      <c r="O312" s="69">
        <f t="shared" si="54"/>
        <v>0</v>
      </c>
      <c r="P312" s="69">
        <f t="shared" si="55"/>
        <v>0</v>
      </c>
      <c r="Q312" s="69" t="str">
        <f t="shared" si="56"/>
        <v>F_UNLI</v>
      </c>
      <c r="R312" s="69">
        <f t="shared" si="57"/>
        <v>5</v>
      </c>
      <c r="S312" s="69">
        <f t="shared" si="58"/>
        <v>16</v>
      </c>
      <c r="T312" s="69">
        <f t="shared" si="59"/>
        <v>3</v>
      </c>
      <c r="U312" s="238"/>
      <c r="V312" s="240" t="s">
        <v>1063</v>
      </c>
      <c r="W312" s="240" t="s">
        <v>965</v>
      </c>
      <c r="X312" s="240" t="s">
        <v>966</v>
      </c>
      <c r="Y312" s="238" t="s">
        <v>328</v>
      </c>
      <c r="Z312" s="238" t="s">
        <v>328</v>
      </c>
      <c r="AA312" s="238" t="s">
        <v>1066</v>
      </c>
      <c r="AB312" s="238">
        <v>1</v>
      </c>
      <c r="AE312" s="267"/>
    </row>
    <row r="313" spans="1:31">
      <c r="A313" s="175"/>
      <c r="B313" s="64"/>
      <c r="C313" s="64"/>
      <c r="D313" s="64"/>
      <c r="E313" s="64"/>
      <c r="F313" s="64"/>
      <c r="G313" s="74"/>
      <c r="H313" s="52" t="s">
        <v>1188</v>
      </c>
      <c r="I313" s="69">
        <f t="shared" si="48"/>
        <v>1</v>
      </c>
      <c r="J313" s="69">
        <f t="shared" si="49"/>
        <v>3</v>
      </c>
      <c r="K313" s="69">
        <f t="shared" si="50"/>
        <v>0</v>
      </c>
      <c r="L313" s="69">
        <f t="shared" si="51"/>
        <v>1</v>
      </c>
      <c r="M313" s="69">
        <f t="shared" si="52"/>
        <v>0</v>
      </c>
      <c r="N313" s="69">
        <f t="shared" si="53"/>
        <v>3</v>
      </c>
      <c r="O313" s="69">
        <f t="shared" si="54"/>
        <v>0</v>
      </c>
      <c r="P313" s="69">
        <f t="shared" si="55"/>
        <v>1</v>
      </c>
      <c r="Q313" s="69" t="str">
        <f t="shared" si="56"/>
        <v>F_TRAD</v>
      </c>
      <c r="R313" s="69">
        <f t="shared" si="57"/>
        <v>10</v>
      </c>
      <c r="S313" s="69">
        <f t="shared" si="58"/>
        <v>10</v>
      </c>
      <c r="T313" s="69">
        <f t="shared" si="59"/>
        <v>0</v>
      </c>
      <c r="U313" s="238"/>
      <c r="V313" s="240" t="s">
        <v>1063</v>
      </c>
      <c r="W313" s="240" t="s">
        <v>965</v>
      </c>
      <c r="X313" s="240" t="s">
        <v>966</v>
      </c>
      <c r="Y313" s="238" t="s">
        <v>328</v>
      </c>
      <c r="Z313" s="238" t="s">
        <v>328</v>
      </c>
      <c r="AA313" s="238" t="s">
        <v>1066</v>
      </c>
      <c r="AB313" s="238"/>
      <c r="AE313" s="267"/>
    </row>
    <row r="314" spans="1:31">
      <c r="A314" s="175"/>
      <c r="B314" s="64"/>
      <c r="C314" s="64"/>
      <c r="D314" s="64"/>
      <c r="E314" s="64"/>
      <c r="F314" s="64"/>
      <c r="G314" s="74"/>
      <c r="H314" s="52" t="s">
        <v>336</v>
      </c>
      <c r="I314" s="69">
        <f t="shared" si="48"/>
        <v>1</v>
      </c>
      <c r="J314" s="69">
        <f t="shared" si="49"/>
        <v>3</v>
      </c>
      <c r="K314" s="69">
        <f t="shared" si="50"/>
        <v>0</v>
      </c>
      <c r="L314" s="69">
        <f t="shared" si="51"/>
        <v>1</v>
      </c>
      <c r="M314" s="69">
        <f t="shared" si="52"/>
        <v>0</v>
      </c>
      <c r="N314" s="69">
        <f t="shared" si="53"/>
        <v>3</v>
      </c>
      <c r="O314" s="69">
        <f t="shared" si="54"/>
        <v>0</v>
      </c>
      <c r="P314" s="69">
        <f t="shared" si="55"/>
        <v>1</v>
      </c>
      <c r="Q314" s="69" t="str">
        <f t="shared" si="56"/>
        <v>F_TRAD</v>
      </c>
      <c r="R314" s="69">
        <f t="shared" si="57"/>
        <v>7</v>
      </c>
      <c r="S314" s="69">
        <f t="shared" si="58"/>
        <v>7</v>
      </c>
      <c r="T314" s="69">
        <f t="shared" si="59"/>
        <v>0</v>
      </c>
      <c r="U314" s="238"/>
      <c r="V314" s="240" t="s">
        <v>1063</v>
      </c>
      <c r="W314" s="240" t="s">
        <v>965</v>
      </c>
      <c r="X314" s="240" t="s">
        <v>966</v>
      </c>
      <c r="Y314" s="238" t="s">
        <v>328</v>
      </c>
      <c r="Z314" s="238" t="s">
        <v>328</v>
      </c>
      <c r="AA314" s="238" t="s">
        <v>1066</v>
      </c>
      <c r="AB314" s="238"/>
      <c r="AE314" s="267"/>
    </row>
    <row r="315" spans="1:31">
      <c r="A315" s="175"/>
      <c r="B315" s="64"/>
      <c r="C315" s="64"/>
      <c r="D315" s="64"/>
      <c r="E315" s="64"/>
      <c r="F315" s="64"/>
      <c r="G315" s="74"/>
      <c r="H315" s="52" t="s">
        <v>350</v>
      </c>
      <c r="I315" s="69">
        <f t="shared" si="48"/>
        <v>1</v>
      </c>
      <c r="J315" s="69">
        <f t="shared" si="49"/>
        <v>3</v>
      </c>
      <c r="K315" s="69">
        <f t="shared" si="50"/>
        <v>0</v>
      </c>
      <c r="L315" s="69">
        <f t="shared" si="51"/>
        <v>1</v>
      </c>
      <c r="M315" s="69">
        <f t="shared" si="52"/>
        <v>0</v>
      </c>
      <c r="N315" s="69">
        <f t="shared" si="53"/>
        <v>2</v>
      </c>
      <c r="O315" s="69">
        <f t="shared" si="54"/>
        <v>0</v>
      </c>
      <c r="P315" s="69">
        <f t="shared" si="55"/>
        <v>0</v>
      </c>
      <c r="Q315" s="69" t="str">
        <f t="shared" si="56"/>
        <v>F_UNLI</v>
      </c>
      <c r="R315" s="69">
        <f t="shared" si="57"/>
        <v>4</v>
      </c>
      <c r="S315" s="69">
        <f t="shared" si="58"/>
        <v>15</v>
      </c>
      <c r="T315" s="69">
        <f t="shared" si="59"/>
        <v>3</v>
      </c>
      <c r="U315" s="238"/>
      <c r="V315" s="240" t="s">
        <v>1063</v>
      </c>
      <c r="W315" s="240" t="s">
        <v>965</v>
      </c>
      <c r="X315" s="240" t="s">
        <v>966</v>
      </c>
      <c r="Y315" s="238" t="s">
        <v>328</v>
      </c>
      <c r="Z315" s="238" t="s">
        <v>328</v>
      </c>
      <c r="AA315" s="238" t="s">
        <v>1066</v>
      </c>
      <c r="AB315" s="238">
        <v>1</v>
      </c>
      <c r="AE315" s="267"/>
    </row>
    <row r="316" spans="1:31">
      <c r="A316" s="175"/>
      <c r="B316" s="64"/>
      <c r="C316" s="64"/>
      <c r="D316" s="64"/>
      <c r="E316" s="64"/>
      <c r="F316" s="64"/>
      <c r="G316" s="74"/>
      <c r="H316" s="52" t="s">
        <v>346</v>
      </c>
      <c r="I316" s="69">
        <f t="shared" si="48"/>
        <v>1</v>
      </c>
      <c r="J316" s="69">
        <f t="shared" si="49"/>
        <v>3</v>
      </c>
      <c r="K316" s="69">
        <f t="shared" si="50"/>
        <v>0</v>
      </c>
      <c r="L316" s="69">
        <f t="shared" si="51"/>
        <v>1</v>
      </c>
      <c r="M316" s="69">
        <f t="shared" si="52"/>
        <v>0</v>
      </c>
      <c r="N316" s="69">
        <f t="shared" si="53"/>
        <v>3</v>
      </c>
      <c r="O316" s="69">
        <f t="shared" si="54"/>
        <v>0</v>
      </c>
      <c r="P316" s="69">
        <f t="shared" si="55"/>
        <v>1</v>
      </c>
      <c r="Q316" s="69" t="str">
        <f t="shared" si="56"/>
        <v>F_TRAD</v>
      </c>
      <c r="R316" s="69">
        <f t="shared" si="57"/>
        <v>8</v>
      </c>
      <c r="S316" s="69">
        <f t="shared" si="58"/>
        <v>8</v>
      </c>
      <c r="T316" s="69">
        <f t="shared" si="59"/>
        <v>0</v>
      </c>
      <c r="U316" s="238"/>
      <c r="V316" s="240" t="s">
        <v>1063</v>
      </c>
      <c r="W316" s="240" t="s">
        <v>965</v>
      </c>
      <c r="X316" s="240" t="s">
        <v>966</v>
      </c>
      <c r="Y316" s="238" t="s">
        <v>328</v>
      </c>
      <c r="Z316" s="238" t="s">
        <v>328</v>
      </c>
      <c r="AA316" s="238" t="s">
        <v>1066</v>
      </c>
      <c r="AB316" s="238"/>
      <c r="AE316" s="267"/>
    </row>
    <row r="317" spans="1:31">
      <c r="A317" s="175"/>
      <c r="B317" s="64"/>
      <c r="C317" s="64"/>
      <c r="D317" s="64"/>
      <c r="E317" s="64"/>
      <c r="F317" s="64"/>
      <c r="G317" s="74"/>
      <c r="H317" s="52" t="s">
        <v>361</v>
      </c>
      <c r="I317" s="69">
        <f t="shared" si="48"/>
        <v>1</v>
      </c>
      <c r="J317" s="69">
        <f t="shared" si="49"/>
        <v>3</v>
      </c>
      <c r="K317" s="69">
        <f t="shared" si="50"/>
        <v>0</v>
      </c>
      <c r="L317" s="69">
        <f t="shared" si="51"/>
        <v>1</v>
      </c>
      <c r="M317" s="69">
        <f t="shared" si="52"/>
        <v>0</v>
      </c>
      <c r="N317" s="69">
        <f t="shared" si="53"/>
        <v>1</v>
      </c>
      <c r="O317" s="69">
        <f t="shared" si="54"/>
        <v>0</v>
      </c>
      <c r="P317" s="69">
        <f t="shared" si="55"/>
        <v>0</v>
      </c>
      <c r="Q317" s="69" t="str">
        <f t="shared" si="56"/>
        <v>F_FSPD</v>
      </c>
      <c r="R317" s="69">
        <f t="shared" si="57"/>
        <v>37</v>
      </c>
      <c r="S317" s="69">
        <f t="shared" si="58"/>
        <v>53</v>
      </c>
      <c r="T317" s="69">
        <f t="shared" si="59"/>
        <v>2</v>
      </c>
      <c r="U317" s="238"/>
      <c r="V317" s="240" t="s">
        <v>1063</v>
      </c>
      <c r="W317" s="240" t="s">
        <v>965</v>
      </c>
      <c r="X317" s="240" t="s">
        <v>966</v>
      </c>
      <c r="Y317" s="238" t="s">
        <v>328</v>
      </c>
      <c r="Z317" s="238" t="s">
        <v>328</v>
      </c>
      <c r="AA317" s="238" t="s">
        <v>1066</v>
      </c>
      <c r="AB317" s="238"/>
      <c r="AE317" s="267"/>
    </row>
    <row r="318" spans="1:31">
      <c r="A318" s="175"/>
      <c r="B318" s="64"/>
      <c r="C318" s="64"/>
      <c r="D318" s="64"/>
      <c r="E318" s="64"/>
      <c r="F318" s="64"/>
      <c r="G318" s="74"/>
      <c r="H318" s="52" t="s">
        <v>362</v>
      </c>
      <c r="I318" s="69">
        <f t="shared" si="48"/>
        <v>0</v>
      </c>
      <c r="J318" s="69">
        <f t="shared" si="49"/>
        <v>0</v>
      </c>
      <c r="K318" s="69">
        <f t="shared" si="50"/>
        <v>0</v>
      </c>
      <c r="L318" s="69">
        <f t="shared" si="51"/>
        <v>0</v>
      </c>
      <c r="M318" s="69">
        <f t="shared" si="52"/>
        <v>0</v>
      </c>
      <c r="N318" s="69">
        <f t="shared" si="53"/>
        <v>0</v>
      </c>
      <c r="O318" s="69">
        <f t="shared" si="54"/>
        <v>0</v>
      </c>
      <c r="P318" s="69">
        <f t="shared" si="55"/>
        <v>0</v>
      </c>
      <c r="Q318" s="69">
        <f t="shared" si="56"/>
        <v>0</v>
      </c>
      <c r="R318" s="69">
        <f t="shared" si="57"/>
        <v>0</v>
      </c>
      <c r="S318" s="69">
        <f t="shared" si="58"/>
        <v>0</v>
      </c>
      <c r="T318" s="69">
        <f t="shared" si="59"/>
        <v>0</v>
      </c>
      <c r="U318" s="238"/>
      <c r="V318" s="240" t="s">
        <v>1063</v>
      </c>
      <c r="W318" s="240" t="s">
        <v>965</v>
      </c>
      <c r="X318" s="240" t="s">
        <v>966</v>
      </c>
      <c r="Y318" s="238" t="s">
        <v>328</v>
      </c>
      <c r="Z318" s="238" t="s">
        <v>328</v>
      </c>
      <c r="AA318" s="238" t="s">
        <v>1066</v>
      </c>
      <c r="AB318" s="238"/>
      <c r="AE318" s="267"/>
    </row>
    <row r="319" spans="1:31">
      <c r="A319" s="175"/>
      <c r="B319" s="64"/>
      <c r="C319" s="64"/>
      <c r="D319" s="64"/>
      <c r="E319" s="64"/>
      <c r="F319" s="64"/>
      <c r="G319" s="74"/>
      <c r="H319" s="52" t="s">
        <v>363</v>
      </c>
      <c r="I319" s="69">
        <f t="shared" si="48"/>
        <v>0</v>
      </c>
      <c r="J319" s="69">
        <f t="shared" si="49"/>
        <v>0</v>
      </c>
      <c r="K319" s="69">
        <f t="shared" si="50"/>
        <v>0</v>
      </c>
      <c r="L319" s="69">
        <f t="shared" si="51"/>
        <v>0</v>
      </c>
      <c r="M319" s="69">
        <f t="shared" si="52"/>
        <v>0</v>
      </c>
      <c r="N319" s="69">
        <f t="shared" si="53"/>
        <v>0</v>
      </c>
      <c r="O319" s="69">
        <f t="shared" si="54"/>
        <v>0</v>
      </c>
      <c r="P319" s="69">
        <f t="shared" si="55"/>
        <v>0</v>
      </c>
      <c r="Q319" s="69">
        <f t="shared" si="56"/>
        <v>0</v>
      </c>
      <c r="R319" s="69">
        <f t="shared" si="57"/>
        <v>0</v>
      </c>
      <c r="S319" s="69">
        <f t="shared" si="58"/>
        <v>0</v>
      </c>
      <c r="T319" s="69">
        <f t="shared" si="59"/>
        <v>0</v>
      </c>
      <c r="U319" s="238"/>
      <c r="V319" s="240" t="s">
        <v>1063</v>
      </c>
      <c r="W319" s="240" t="s">
        <v>965</v>
      </c>
      <c r="X319" s="240" t="s">
        <v>966</v>
      </c>
      <c r="Y319" s="238" t="s">
        <v>328</v>
      </c>
      <c r="Z319" s="238" t="s">
        <v>328</v>
      </c>
      <c r="AA319" s="238" t="s">
        <v>1066</v>
      </c>
      <c r="AB319" s="238"/>
      <c r="AE319" s="267"/>
    </row>
    <row r="320" spans="1:31">
      <c r="A320" s="175"/>
      <c r="B320" s="64"/>
      <c r="C320" s="64"/>
      <c r="D320" s="64"/>
      <c r="E320" s="64"/>
      <c r="F320" s="64"/>
      <c r="G320" s="74"/>
      <c r="H320" s="52" t="s">
        <v>364</v>
      </c>
      <c r="I320" s="69">
        <f t="shared" si="48"/>
        <v>0</v>
      </c>
      <c r="J320" s="69">
        <f t="shared" si="49"/>
        <v>0</v>
      </c>
      <c r="K320" s="69">
        <f t="shared" si="50"/>
        <v>0</v>
      </c>
      <c r="L320" s="69">
        <f t="shared" si="51"/>
        <v>0</v>
      </c>
      <c r="M320" s="69">
        <f t="shared" si="52"/>
        <v>0</v>
      </c>
      <c r="N320" s="69">
        <f t="shared" si="53"/>
        <v>0</v>
      </c>
      <c r="O320" s="69">
        <f t="shared" si="54"/>
        <v>0</v>
      </c>
      <c r="P320" s="69">
        <f t="shared" si="55"/>
        <v>0</v>
      </c>
      <c r="Q320" s="69">
        <f t="shared" si="56"/>
        <v>0</v>
      </c>
      <c r="R320" s="69">
        <f t="shared" si="57"/>
        <v>0</v>
      </c>
      <c r="S320" s="69">
        <f t="shared" si="58"/>
        <v>0</v>
      </c>
      <c r="T320" s="69">
        <f t="shared" si="59"/>
        <v>0</v>
      </c>
      <c r="U320" s="238"/>
      <c r="V320" s="240" t="s">
        <v>1063</v>
      </c>
      <c r="W320" s="240" t="s">
        <v>965</v>
      </c>
      <c r="X320" s="240" t="s">
        <v>966</v>
      </c>
      <c r="Y320" s="238" t="s">
        <v>328</v>
      </c>
      <c r="Z320" s="238" t="s">
        <v>328</v>
      </c>
      <c r="AA320" s="238" t="s">
        <v>1066</v>
      </c>
      <c r="AB320" s="238"/>
      <c r="AE320" s="267"/>
    </row>
    <row r="321" spans="1:31">
      <c r="A321" s="175"/>
      <c r="B321" s="64"/>
      <c r="C321" s="64"/>
      <c r="D321" s="64"/>
      <c r="E321" s="64"/>
      <c r="F321" s="64"/>
      <c r="G321" s="74"/>
      <c r="H321" s="52" t="s">
        <v>365</v>
      </c>
      <c r="I321" s="69">
        <f t="shared" si="48"/>
        <v>1</v>
      </c>
      <c r="J321" s="69">
        <f t="shared" si="49"/>
        <v>3</v>
      </c>
      <c r="K321" s="69">
        <f t="shared" si="50"/>
        <v>0</v>
      </c>
      <c r="L321" s="69">
        <f t="shared" si="51"/>
        <v>1</v>
      </c>
      <c r="M321" s="69">
        <f t="shared" si="52"/>
        <v>0</v>
      </c>
      <c r="N321" s="69">
        <f t="shared" si="53"/>
        <v>1</v>
      </c>
      <c r="O321" s="69">
        <f t="shared" si="54"/>
        <v>0</v>
      </c>
      <c r="P321" s="69">
        <f t="shared" si="55"/>
        <v>0</v>
      </c>
      <c r="Q321" s="69" t="str">
        <f t="shared" si="56"/>
        <v>F_FSPD</v>
      </c>
      <c r="R321" s="69">
        <f t="shared" si="57"/>
        <v>38</v>
      </c>
      <c r="S321" s="69">
        <f t="shared" si="58"/>
        <v>54</v>
      </c>
      <c r="T321" s="69">
        <f t="shared" si="59"/>
        <v>2</v>
      </c>
      <c r="U321" s="238"/>
      <c r="V321" s="240" t="s">
        <v>1063</v>
      </c>
      <c r="W321" s="240" t="s">
        <v>965</v>
      </c>
      <c r="X321" s="240" t="s">
        <v>966</v>
      </c>
      <c r="Y321" s="238" t="s">
        <v>328</v>
      </c>
      <c r="Z321" s="238" t="s">
        <v>328</v>
      </c>
      <c r="AA321" s="238" t="s">
        <v>1066</v>
      </c>
      <c r="AB321" s="238"/>
      <c r="AE321" s="267"/>
    </row>
    <row r="322" spans="1:31">
      <c r="A322" s="175"/>
      <c r="B322" s="64"/>
      <c r="C322" s="64"/>
      <c r="D322" s="64"/>
      <c r="E322" s="64"/>
      <c r="F322" s="64"/>
      <c r="G322" s="74"/>
      <c r="H322" s="52" t="s">
        <v>366</v>
      </c>
      <c r="I322" s="69">
        <f t="shared" si="48"/>
        <v>0</v>
      </c>
      <c r="J322" s="69">
        <f t="shared" si="49"/>
        <v>0</v>
      </c>
      <c r="K322" s="69">
        <f t="shared" si="50"/>
        <v>0</v>
      </c>
      <c r="L322" s="69">
        <f t="shared" si="51"/>
        <v>0</v>
      </c>
      <c r="M322" s="69">
        <f t="shared" si="52"/>
        <v>0</v>
      </c>
      <c r="N322" s="69">
        <f t="shared" si="53"/>
        <v>0</v>
      </c>
      <c r="O322" s="69">
        <f t="shared" si="54"/>
        <v>0</v>
      </c>
      <c r="P322" s="69">
        <f t="shared" si="55"/>
        <v>0</v>
      </c>
      <c r="Q322" s="69">
        <f t="shared" si="56"/>
        <v>0</v>
      </c>
      <c r="R322" s="69">
        <f t="shared" si="57"/>
        <v>0</v>
      </c>
      <c r="S322" s="69">
        <f t="shared" si="58"/>
        <v>0</v>
      </c>
      <c r="T322" s="69">
        <f t="shared" si="59"/>
        <v>0</v>
      </c>
      <c r="U322" s="238"/>
      <c r="V322" s="240" t="s">
        <v>1063</v>
      </c>
      <c r="W322" s="240" t="s">
        <v>965</v>
      </c>
      <c r="X322" s="240" t="s">
        <v>966</v>
      </c>
      <c r="Y322" s="238" t="s">
        <v>328</v>
      </c>
      <c r="Z322" s="238" t="s">
        <v>328</v>
      </c>
      <c r="AA322" s="238" t="s">
        <v>1066</v>
      </c>
      <c r="AB322" s="238"/>
      <c r="AE322" s="267"/>
    </row>
    <row r="323" spans="1:31">
      <c r="A323" s="175"/>
      <c r="B323" s="64"/>
      <c r="C323" s="64"/>
      <c r="D323" s="64"/>
      <c r="E323" s="64"/>
      <c r="F323" s="64"/>
      <c r="G323" s="74"/>
      <c r="H323" s="52" t="s">
        <v>367</v>
      </c>
      <c r="I323" s="69">
        <f t="shared" si="48"/>
        <v>0</v>
      </c>
      <c r="J323" s="69">
        <f t="shared" si="49"/>
        <v>0</v>
      </c>
      <c r="K323" s="69">
        <f t="shared" si="50"/>
        <v>0</v>
      </c>
      <c r="L323" s="69">
        <f t="shared" si="51"/>
        <v>0</v>
      </c>
      <c r="M323" s="69">
        <f t="shared" si="52"/>
        <v>0</v>
      </c>
      <c r="N323" s="69">
        <f t="shared" si="53"/>
        <v>0</v>
      </c>
      <c r="O323" s="69">
        <f t="shared" si="54"/>
        <v>0</v>
      </c>
      <c r="P323" s="69">
        <f t="shared" si="55"/>
        <v>0</v>
      </c>
      <c r="Q323" s="69">
        <f t="shared" si="56"/>
        <v>0</v>
      </c>
      <c r="R323" s="69">
        <f t="shared" si="57"/>
        <v>0</v>
      </c>
      <c r="S323" s="69">
        <f t="shared" si="58"/>
        <v>0</v>
      </c>
      <c r="T323" s="69">
        <f t="shared" si="59"/>
        <v>0</v>
      </c>
      <c r="U323" s="238"/>
      <c r="V323" s="240" t="s">
        <v>1063</v>
      </c>
      <c r="W323" s="240" t="s">
        <v>965</v>
      </c>
      <c r="X323" s="240" t="s">
        <v>966</v>
      </c>
      <c r="Y323" s="238" t="s">
        <v>328</v>
      </c>
      <c r="Z323" s="238" t="s">
        <v>328</v>
      </c>
      <c r="AA323" s="238" t="s">
        <v>1066</v>
      </c>
      <c r="AB323" s="238"/>
      <c r="AE323" s="267"/>
    </row>
    <row r="324" spans="1:31">
      <c r="A324" s="175"/>
      <c r="B324" s="64"/>
      <c r="C324" s="64"/>
      <c r="D324" s="64"/>
      <c r="E324" s="64"/>
      <c r="F324" s="64"/>
      <c r="G324" s="74"/>
      <c r="H324" s="52" t="s">
        <v>368</v>
      </c>
      <c r="I324" s="69">
        <f t="shared" si="48"/>
        <v>0</v>
      </c>
      <c r="J324" s="69">
        <f t="shared" si="49"/>
        <v>0</v>
      </c>
      <c r="K324" s="69">
        <f t="shared" si="50"/>
        <v>0</v>
      </c>
      <c r="L324" s="69">
        <f t="shared" si="51"/>
        <v>0</v>
      </c>
      <c r="M324" s="69">
        <f t="shared" si="52"/>
        <v>0</v>
      </c>
      <c r="N324" s="69">
        <f t="shared" si="53"/>
        <v>0</v>
      </c>
      <c r="O324" s="69">
        <f t="shared" si="54"/>
        <v>0</v>
      </c>
      <c r="P324" s="69">
        <f t="shared" si="55"/>
        <v>0</v>
      </c>
      <c r="Q324" s="69">
        <f t="shared" si="56"/>
        <v>0</v>
      </c>
      <c r="R324" s="69">
        <f t="shared" si="57"/>
        <v>0</v>
      </c>
      <c r="S324" s="69">
        <f t="shared" si="58"/>
        <v>0</v>
      </c>
      <c r="T324" s="69">
        <f t="shared" si="59"/>
        <v>0</v>
      </c>
      <c r="U324" s="238"/>
      <c r="V324" s="240" t="s">
        <v>1063</v>
      </c>
      <c r="W324" s="240" t="s">
        <v>965</v>
      </c>
      <c r="X324" s="240" t="s">
        <v>966</v>
      </c>
      <c r="Y324" s="238" t="s">
        <v>328</v>
      </c>
      <c r="Z324" s="238" t="s">
        <v>328</v>
      </c>
      <c r="AA324" s="238" t="s">
        <v>1066</v>
      </c>
      <c r="AB324" s="238"/>
      <c r="AE324" s="267"/>
    </row>
    <row r="325" spans="1:31">
      <c r="A325" s="175"/>
      <c r="B325" s="64"/>
      <c r="C325" s="64"/>
      <c r="D325" s="64"/>
      <c r="E325" s="64"/>
      <c r="F325" s="64"/>
      <c r="G325" s="74"/>
      <c r="H325" s="52" t="s">
        <v>1002</v>
      </c>
      <c r="I325" s="69">
        <f t="shared" si="48"/>
        <v>0</v>
      </c>
      <c r="J325" s="69">
        <f t="shared" si="49"/>
        <v>0</v>
      </c>
      <c r="K325" s="69">
        <f t="shared" si="50"/>
        <v>0</v>
      </c>
      <c r="L325" s="69">
        <f t="shared" si="51"/>
        <v>0</v>
      </c>
      <c r="M325" s="69">
        <f t="shared" si="52"/>
        <v>0</v>
      </c>
      <c r="N325" s="69">
        <f t="shared" si="53"/>
        <v>0</v>
      </c>
      <c r="O325" s="69">
        <f t="shared" si="54"/>
        <v>0</v>
      </c>
      <c r="P325" s="69">
        <f t="shared" si="55"/>
        <v>0</v>
      </c>
      <c r="Q325" s="69">
        <f t="shared" si="56"/>
        <v>0</v>
      </c>
      <c r="R325" s="69">
        <f t="shared" si="57"/>
        <v>0</v>
      </c>
      <c r="S325" s="69">
        <f t="shared" si="58"/>
        <v>0</v>
      </c>
      <c r="T325" s="69">
        <f t="shared" si="59"/>
        <v>0</v>
      </c>
      <c r="U325" s="238"/>
      <c r="V325" s="240" t="s">
        <v>1063</v>
      </c>
      <c r="W325" s="240" t="s">
        <v>965</v>
      </c>
      <c r="X325" s="240" t="s">
        <v>966</v>
      </c>
      <c r="Y325" s="238" t="s">
        <v>328</v>
      </c>
      <c r="Z325" s="238" t="s">
        <v>328</v>
      </c>
      <c r="AA325" s="238" t="s">
        <v>328</v>
      </c>
      <c r="AB325" s="238"/>
      <c r="AE325" s="267"/>
    </row>
    <row r="326" spans="1:31">
      <c r="A326" s="175"/>
      <c r="B326" s="64"/>
      <c r="C326" s="64"/>
      <c r="D326" s="64"/>
      <c r="E326" s="64"/>
      <c r="F326" s="64"/>
      <c r="G326" s="74"/>
      <c r="H326" s="52" t="s">
        <v>369</v>
      </c>
      <c r="I326" s="69">
        <f t="shared" si="48"/>
        <v>0</v>
      </c>
      <c r="J326" s="69">
        <f t="shared" si="49"/>
        <v>0</v>
      </c>
      <c r="K326" s="69">
        <f t="shared" si="50"/>
        <v>0</v>
      </c>
      <c r="L326" s="69">
        <f t="shared" si="51"/>
        <v>0</v>
      </c>
      <c r="M326" s="69">
        <f t="shared" si="52"/>
        <v>0</v>
      </c>
      <c r="N326" s="69">
        <f t="shared" si="53"/>
        <v>0</v>
      </c>
      <c r="O326" s="69">
        <f t="shared" si="54"/>
        <v>0</v>
      </c>
      <c r="P326" s="69">
        <f t="shared" si="55"/>
        <v>0</v>
      </c>
      <c r="Q326" s="69">
        <f t="shared" si="56"/>
        <v>0</v>
      </c>
      <c r="R326" s="69">
        <f t="shared" si="57"/>
        <v>0</v>
      </c>
      <c r="S326" s="69">
        <f t="shared" si="58"/>
        <v>0</v>
      </c>
      <c r="T326" s="69">
        <f t="shared" si="59"/>
        <v>0</v>
      </c>
      <c r="U326" s="238"/>
      <c r="V326" s="240" t="s">
        <v>1063</v>
      </c>
      <c r="W326" s="240" t="s">
        <v>965</v>
      </c>
      <c r="X326" s="240" t="s">
        <v>966</v>
      </c>
      <c r="Y326" s="238" t="s">
        <v>328</v>
      </c>
      <c r="Z326" s="238" t="s">
        <v>328</v>
      </c>
      <c r="AA326" s="238" t="s">
        <v>1066</v>
      </c>
      <c r="AB326" s="238"/>
      <c r="AE326" s="267"/>
    </row>
    <row r="327" spans="1:31">
      <c r="A327" s="175"/>
      <c r="B327" s="64"/>
      <c r="C327" s="64"/>
      <c r="D327" s="64"/>
      <c r="E327" s="64"/>
      <c r="F327" s="64"/>
      <c r="G327" s="74"/>
      <c r="H327" s="52" t="s">
        <v>370</v>
      </c>
      <c r="I327" s="69">
        <f t="shared" si="48"/>
        <v>0</v>
      </c>
      <c r="J327" s="69">
        <f t="shared" si="49"/>
        <v>0</v>
      </c>
      <c r="K327" s="69">
        <f t="shared" si="50"/>
        <v>0</v>
      </c>
      <c r="L327" s="69">
        <f t="shared" si="51"/>
        <v>0</v>
      </c>
      <c r="M327" s="69">
        <f t="shared" si="52"/>
        <v>0</v>
      </c>
      <c r="N327" s="69">
        <f t="shared" si="53"/>
        <v>0</v>
      </c>
      <c r="O327" s="69">
        <f t="shared" si="54"/>
        <v>0</v>
      </c>
      <c r="P327" s="69">
        <f t="shared" si="55"/>
        <v>0</v>
      </c>
      <c r="Q327" s="69">
        <f t="shared" si="56"/>
        <v>0</v>
      </c>
      <c r="R327" s="69">
        <f t="shared" si="57"/>
        <v>0</v>
      </c>
      <c r="S327" s="69">
        <f t="shared" si="58"/>
        <v>0</v>
      </c>
      <c r="T327" s="69">
        <f t="shared" si="59"/>
        <v>0</v>
      </c>
      <c r="U327" s="238"/>
      <c r="V327" s="240" t="s">
        <v>1063</v>
      </c>
      <c r="W327" s="240" t="s">
        <v>965</v>
      </c>
      <c r="X327" s="240" t="s">
        <v>966</v>
      </c>
      <c r="Y327" s="238" t="s">
        <v>328</v>
      </c>
      <c r="Z327" s="238" t="s">
        <v>328</v>
      </c>
      <c r="AA327" s="238" t="s">
        <v>1066</v>
      </c>
      <c r="AB327" s="238"/>
      <c r="AE327" s="267"/>
    </row>
    <row r="328" spans="1:31">
      <c r="A328" s="175"/>
      <c r="B328" s="64"/>
      <c r="C328" s="64"/>
      <c r="D328" s="64"/>
      <c r="E328" s="64"/>
      <c r="F328" s="64"/>
      <c r="G328" s="74"/>
      <c r="H328" s="52" t="s">
        <v>371</v>
      </c>
      <c r="I328" s="69">
        <f t="shared" si="48"/>
        <v>0</v>
      </c>
      <c r="J328" s="69">
        <f t="shared" si="49"/>
        <v>0</v>
      </c>
      <c r="K328" s="69">
        <f t="shared" si="50"/>
        <v>0</v>
      </c>
      <c r="L328" s="69">
        <f t="shared" si="51"/>
        <v>0</v>
      </c>
      <c r="M328" s="69">
        <f t="shared" si="52"/>
        <v>0</v>
      </c>
      <c r="N328" s="69">
        <f t="shared" si="53"/>
        <v>0</v>
      </c>
      <c r="O328" s="69">
        <f t="shared" si="54"/>
        <v>0</v>
      </c>
      <c r="P328" s="69">
        <f t="shared" si="55"/>
        <v>0</v>
      </c>
      <c r="Q328" s="69">
        <f t="shared" si="56"/>
        <v>0</v>
      </c>
      <c r="R328" s="69">
        <f t="shared" si="57"/>
        <v>0</v>
      </c>
      <c r="S328" s="69">
        <f t="shared" si="58"/>
        <v>0</v>
      </c>
      <c r="T328" s="69">
        <f t="shared" si="59"/>
        <v>0</v>
      </c>
      <c r="U328" s="238"/>
      <c r="V328" s="240" t="s">
        <v>1063</v>
      </c>
      <c r="W328" s="240" t="s">
        <v>965</v>
      </c>
      <c r="X328" s="240" t="s">
        <v>966</v>
      </c>
      <c r="Y328" s="238" t="s">
        <v>328</v>
      </c>
      <c r="Z328" s="238" t="s">
        <v>328</v>
      </c>
      <c r="AA328" s="238" t="s">
        <v>1066</v>
      </c>
      <c r="AB328" s="238"/>
      <c r="AE328" s="267"/>
    </row>
    <row r="329" spans="1:31">
      <c r="A329" s="175"/>
      <c r="B329" s="64"/>
      <c r="C329" s="64"/>
      <c r="D329" s="64"/>
      <c r="E329" s="64"/>
      <c r="F329" s="64"/>
      <c r="G329" s="74"/>
      <c r="H329" s="52" t="s">
        <v>372</v>
      </c>
      <c r="I329" s="69">
        <f t="shared" si="48"/>
        <v>0</v>
      </c>
      <c r="J329" s="69">
        <f t="shared" si="49"/>
        <v>0</v>
      </c>
      <c r="K329" s="69">
        <f t="shared" si="50"/>
        <v>0</v>
      </c>
      <c r="L329" s="69">
        <f t="shared" si="51"/>
        <v>0</v>
      </c>
      <c r="M329" s="69">
        <f t="shared" si="52"/>
        <v>0</v>
      </c>
      <c r="N329" s="69">
        <f t="shared" si="53"/>
        <v>0</v>
      </c>
      <c r="O329" s="69">
        <f t="shared" si="54"/>
        <v>0</v>
      </c>
      <c r="P329" s="69">
        <f t="shared" si="55"/>
        <v>0</v>
      </c>
      <c r="Q329" s="69">
        <f t="shared" si="56"/>
        <v>0</v>
      </c>
      <c r="R329" s="69">
        <f t="shared" si="57"/>
        <v>0</v>
      </c>
      <c r="S329" s="69">
        <f t="shared" si="58"/>
        <v>0</v>
      </c>
      <c r="T329" s="69">
        <f t="shared" si="59"/>
        <v>0</v>
      </c>
      <c r="U329" s="238"/>
      <c r="V329" s="240" t="s">
        <v>1063</v>
      </c>
      <c r="W329" s="240" t="s">
        <v>965</v>
      </c>
      <c r="X329" s="240" t="s">
        <v>966</v>
      </c>
      <c r="Y329" s="238" t="s">
        <v>328</v>
      </c>
      <c r="Z329" s="238" t="s">
        <v>328</v>
      </c>
      <c r="AA329" s="238" t="s">
        <v>1066</v>
      </c>
      <c r="AB329" s="238"/>
      <c r="AE329" s="267"/>
    </row>
    <row r="330" spans="1:31">
      <c r="A330" s="175"/>
      <c r="B330" s="64"/>
      <c r="C330" s="64"/>
      <c r="D330" s="64"/>
      <c r="E330" s="64"/>
      <c r="F330" s="64"/>
      <c r="G330" s="74"/>
      <c r="H330" s="52" t="s">
        <v>373</v>
      </c>
      <c r="I330" s="69">
        <f t="shared" si="48"/>
        <v>0</v>
      </c>
      <c r="J330" s="69">
        <f t="shared" si="49"/>
        <v>0</v>
      </c>
      <c r="K330" s="69">
        <f t="shared" si="50"/>
        <v>0</v>
      </c>
      <c r="L330" s="69">
        <f t="shared" si="51"/>
        <v>0</v>
      </c>
      <c r="M330" s="69">
        <f t="shared" si="52"/>
        <v>0</v>
      </c>
      <c r="N330" s="69">
        <f t="shared" si="53"/>
        <v>0</v>
      </c>
      <c r="O330" s="69">
        <f t="shared" si="54"/>
        <v>0</v>
      </c>
      <c r="P330" s="69">
        <f t="shared" si="55"/>
        <v>0</v>
      </c>
      <c r="Q330" s="69">
        <f t="shared" si="56"/>
        <v>0</v>
      </c>
      <c r="R330" s="69">
        <f t="shared" si="57"/>
        <v>0</v>
      </c>
      <c r="S330" s="69">
        <f t="shared" si="58"/>
        <v>0</v>
      </c>
      <c r="T330" s="69">
        <f t="shared" si="59"/>
        <v>0</v>
      </c>
      <c r="U330" s="238"/>
      <c r="V330" s="240" t="s">
        <v>1063</v>
      </c>
      <c r="W330" s="240" t="s">
        <v>965</v>
      </c>
      <c r="X330" s="240" t="s">
        <v>966</v>
      </c>
      <c r="Y330" s="238" t="s">
        <v>328</v>
      </c>
      <c r="Z330" s="238" t="s">
        <v>328</v>
      </c>
      <c r="AA330" s="238" t="s">
        <v>1066</v>
      </c>
      <c r="AB330" s="238"/>
      <c r="AE330" s="267"/>
    </row>
    <row r="331" spans="1:31">
      <c r="A331" s="175"/>
      <c r="B331" s="64"/>
      <c r="C331" s="64"/>
      <c r="D331" s="64"/>
      <c r="E331" s="64"/>
      <c r="F331" s="64"/>
      <c r="G331" s="74"/>
      <c r="H331" s="52" t="s">
        <v>374</v>
      </c>
      <c r="I331" s="69">
        <f t="shared" si="48"/>
        <v>0</v>
      </c>
      <c r="J331" s="69">
        <f t="shared" si="49"/>
        <v>0</v>
      </c>
      <c r="K331" s="69">
        <f t="shared" si="50"/>
        <v>0</v>
      </c>
      <c r="L331" s="69">
        <f t="shared" si="51"/>
        <v>0</v>
      </c>
      <c r="M331" s="69">
        <f t="shared" si="52"/>
        <v>0</v>
      </c>
      <c r="N331" s="69">
        <f t="shared" si="53"/>
        <v>0</v>
      </c>
      <c r="O331" s="69">
        <f t="shared" si="54"/>
        <v>0</v>
      </c>
      <c r="P331" s="69">
        <f t="shared" si="55"/>
        <v>0</v>
      </c>
      <c r="Q331" s="69">
        <f t="shared" si="56"/>
        <v>0</v>
      </c>
      <c r="R331" s="69">
        <f t="shared" si="57"/>
        <v>0</v>
      </c>
      <c r="S331" s="69">
        <f t="shared" si="58"/>
        <v>0</v>
      </c>
      <c r="T331" s="69">
        <f t="shared" si="59"/>
        <v>0</v>
      </c>
      <c r="U331" s="238"/>
      <c r="V331" s="240" t="s">
        <v>1063</v>
      </c>
      <c r="W331" s="240" t="s">
        <v>965</v>
      </c>
      <c r="X331" s="240" t="s">
        <v>966</v>
      </c>
      <c r="Y331" s="238" t="s">
        <v>328</v>
      </c>
      <c r="Z331" s="238" t="s">
        <v>328</v>
      </c>
      <c r="AA331" s="238" t="s">
        <v>1066</v>
      </c>
      <c r="AB331" s="238"/>
      <c r="AE331" s="267"/>
    </row>
    <row r="332" spans="1:31">
      <c r="A332" s="175"/>
      <c r="B332" s="64"/>
      <c r="C332" s="64"/>
      <c r="D332" s="64"/>
      <c r="E332" s="64"/>
      <c r="F332" s="64"/>
      <c r="G332" s="74"/>
      <c r="H332" s="52" t="s">
        <v>375</v>
      </c>
      <c r="I332" s="69">
        <f t="shared" si="48"/>
        <v>0</v>
      </c>
      <c r="J332" s="69">
        <f t="shared" si="49"/>
        <v>0</v>
      </c>
      <c r="K332" s="69">
        <f t="shared" si="50"/>
        <v>0</v>
      </c>
      <c r="L332" s="69">
        <f t="shared" si="51"/>
        <v>0</v>
      </c>
      <c r="M332" s="69">
        <f t="shared" si="52"/>
        <v>0</v>
      </c>
      <c r="N332" s="69">
        <f t="shared" si="53"/>
        <v>0</v>
      </c>
      <c r="O332" s="69">
        <f t="shared" si="54"/>
        <v>0</v>
      </c>
      <c r="P332" s="69">
        <f t="shared" si="55"/>
        <v>0</v>
      </c>
      <c r="Q332" s="69">
        <f t="shared" si="56"/>
        <v>0</v>
      </c>
      <c r="R332" s="69">
        <f t="shared" si="57"/>
        <v>0</v>
      </c>
      <c r="S332" s="69">
        <f t="shared" si="58"/>
        <v>0</v>
      </c>
      <c r="T332" s="69">
        <f t="shared" si="59"/>
        <v>0</v>
      </c>
      <c r="U332" s="238"/>
      <c r="V332" s="240" t="s">
        <v>1063</v>
      </c>
      <c r="W332" s="240" t="s">
        <v>965</v>
      </c>
      <c r="X332" s="240" t="s">
        <v>966</v>
      </c>
      <c r="Y332" s="238" t="s">
        <v>328</v>
      </c>
      <c r="Z332" s="238" t="s">
        <v>328</v>
      </c>
      <c r="AA332" s="238" t="s">
        <v>1066</v>
      </c>
      <c r="AB332" s="238"/>
      <c r="AE332" s="267"/>
    </row>
    <row r="333" spans="1:31">
      <c r="A333" s="175"/>
      <c r="B333" s="64"/>
      <c r="C333" s="64"/>
      <c r="D333" s="64"/>
      <c r="E333" s="64"/>
      <c r="F333" s="64"/>
      <c r="G333" s="74"/>
      <c r="H333" s="52" t="s">
        <v>376</v>
      </c>
      <c r="I333" s="69">
        <f t="shared" si="48"/>
        <v>1</v>
      </c>
      <c r="J333" s="69">
        <f t="shared" si="49"/>
        <v>3</v>
      </c>
      <c r="K333" s="69">
        <f t="shared" si="50"/>
        <v>0</v>
      </c>
      <c r="L333" s="69">
        <f t="shared" si="51"/>
        <v>1</v>
      </c>
      <c r="M333" s="69">
        <f t="shared" si="52"/>
        <v>0</v>
      </c>
      <c r="N333" s="69">
        <f t="shared" si="53"/>
        <v>1</v>
      </c>
      <c r="O333" s="69">
        <f t="shared" si="54"/>
        <v>0</v>
      </c>
      <c r="P333" s="69">
        <f t="shared" si="55"/>
        <v>0</v>
      </c>
      <c r="Q333" s="69" t="str">
        <f t="shared" si="56"/>
        <v>F_FSPD</v>
      </c>
      <c r="R333" s="69">
        <f t="shared" si="57"/>
        <v>39</v>
      </c>
      <c r="S333" s="69">
        <f t="shared" si="58"/>
        <v>55</v>
      </c>
      <c r="T333" s="69">
        <f t="shared" si="59"/>
        <v>2</v>
      </c>
      <c r="U333" s="238"/>
      <c r="V333" s="240" t="s">
        <v>1063</v>
      </c>
      <c r="W333" s="240" t="s">
        <v>965</v>
      </c>
      <c r="X333" s="240" t="s">
        <v>966</v>
      </c>
      <c r="Y333" s="238" t="s">
        <v>328</v>
      </c>
      <c r="Z333" s="238" t="s">
        <v>328</v>
      </c>
      <c r="AA333" s="238" t="s">
        <v>1066</v>
      </c>
      <c r="AB333" s="238"/>
      <c r="AE333" s="267"/>
    </row>
    <row r="334" spans="1:31">
      <c r="A334" s="175"/>
      <c r="B334" s="64"/>
      <c r="C334" s="64"/>
      <c r="D334" s="64"/>
      <c r="E334" s="64"/>
      <c r="F334" s="64"/>
      <c r="G334" s="74"/>
      <c r="H334" s="52" t="s">
        <v>377</v>
      </c>
      <c r="I334" s="69">
        <f t="shared" si="48"/>
        <v>0</v>
      </c>
      <c r="J334" s="69">
        <f t="shared" si="49"/>
        <v>0</v>
      </c>
      <c r="K334" s="69">
        <f t="shared" si="50"/>
        <v>0</v>
      </c>
      <c r="L334" s="69">
        <f t="shared" si="51"/>
        <v>0</v>
      </c>
      <c r="M334" s="69">
        <f t="shared" si="52"/>
        <v>0</v>
      </c>
      <c r="N334" s="69">
        <f t="shared" si="53"/>
        <v>0</v>
      </c>
      <c r="O334" s="69">
        <f t="shared" si="54"/>
        <v>0</v>
      </c>
      <c r="P334" s="69">
        <f t="shared" si="55"/>
        <v>0</v>
      </c>
      <c r="Q334" s="69">
        <f t="shared" si="56"/>
        <v>0</v>
      </c>
      <c r="R334" s="69">
        <f t="shared" si="57"/>
        <v>0</v>
      </c>
      <c r="S334" s="69">
        <f t="shared" si="58"/>
        <v>0</v>
      </c>
      <c r="T334" s="69">
        <f t="shared" si="59"/>
        <v>0</v>
      </c>
      <c r="U334" s="238"/>
      <c r="V334" s="240" t="s">
        <v>1063</v>
      </c>
      <c r="W334" s="240" t="s">
        <v>965</v>
      </c>
      <c r="X334" s="240" t="s">
        <v>966</v>
      </c>
      <c r="Y334" s="238" t="s">
        <v>328</v>
      </c>
      <c r="Z334" s="238" t="s">
        <v>328</v>
      </c>
      <c r="AA334" s="238" t="s">
        <v>1066</v>
      </c>
      <c r="AB334" s="238"/>
      <c r="AE334" s="267"/>
    </row>
    <row r="335" spans="1:31">
      <c r="A335" s="175"/>
      <c r="B335" s="64"/>
      <c r="C335" s="64"/>
      <c r="D335" s="64"/>
      <c r="E335" s="64"/>
      <c r="F335" s="64"/>
      <c r="G335" s="74"/>
      <c r="H335" s="52" t="s">
        <v>378</v>
      </c>
      <c r="I335" s="69">
        <f t="shared" si="48"/>
        <v>0</v>
      </c>
      <c r="J335" s="69">
        <f t="shared" si="49"/>
        <v>0</v>
      </c>
      <c r="K335" s="69">
        <f t="shared" si="50"/>
        <v>0</v>
      </c>
      <c r="L335" s="69">
        <f t="shared" si="51"/>
        <v>0</v>
      </c>
      <c r="M335" s="69">
        <f t="shared" si="52"/>
        <v>0</v>
      </c>
      <c r="N335" s="69">
        <f t="shared" si="53"/>
        <v>0</v>
      </c>
      <c r="O335" s="69">
        <f t="shared" si="54"/>
        <v>0</v>
      </c>
      <c r="P335" s="69">
        <f t="shared" si="55"/>
        <v>0</v>
      </c>
      <c r="Q335" s="69">
        <f t="shared" si="56"/>
        <v>0</v>
      </c>
      <c r="R335" s="69">
        <f t="shared" si="57"/>
        <v>0</v>
      </c>
      <c r="S335" s="69">
        <f t="shared" si="58"/>
        <v>0</v>
      </c>
      <c r="T335" s="69">
        <f t="shared" si="59"/>
        <v>0</v>
      </c>
      <c r="U335" s="238"/>
      <c r="V335" s="240" t="s">
        <v>1063</v>
      </c>
      <c r="W335" s="240" t="s">
        <v>965</v>
      </c>
      <c r="X335" s="240" t="s">
        <v>966</v>
      </c>
      <c r="Y335" s="238" t="s">
        <v>328</v>
      </c>
      <c r="Z335" s="238" t="s">
        <v>328</v>
      </c>
      <c r="AA335" s="238" t="s">
        <v>1066</v>
      </c>
      <c r="AB335" s="238"/>
      <c r="AE335" s="267"/>
    </row>
    <row r="336" spans="1:31">
      <c r="A336" s="175"/>
      <c r="B336" s="64"/>
      <c r="C336" s="64"/>
      <c r="D336" s="64"/>
      <c r="E336" s="64"/>
      <c r="F336" s="64"/>
      <c r="G336" s="74"/>
      <c r="H336" s="52" t="s">
        <v>379</v>
      </c>
      <c r="I336" s="69">
        <f t="shared" si="48"/>
        <v>0</v>
      </c>
      <c r="J336" s="69">
        <f t="shared" si="49"/>
        <v>0</v>
      </c>
      <c r="K336" s="69">
        <f t="shared" si="50"/>
        <v>0</v>
      </c>
      <c r="L336" s="69">
        <f t="shared" si="51"/>
        <v>0</v>
      </c>
      <c r="M336" s="69">
        <f t="shared" si="52"/>
        <v>0</v>
      </c>
      <c r="N336" s="69">
        <f t="shared" si="53"/>
        <v>0</v>
      </c>
      <c r="O336" s="69">
        <f t="shared" si="54"/>
        <v>0</v>
      </c>
      <c r="P336" s="69">
        <f t="shared" si="55"/>
        <v>0</v>
      </c>
      <c r="Q336" s="69">
        <f t="shared" si="56"/>
        <v>0</v>
      </c>
      <c r="R336" s="69">
        <f t="shared" si="57"/>
        <v>0</v>
      </c>
      <c r="S336" s="69">
        <f t="shared" si="58"/>
        <v>0</v>
      </c>
      <c r="T336" s="69">
        <f t="shared" si="59"/>
        <v>0</v>
      </c>
      <c r="U336" s="238"/>
      <c r="V336" s="240" t="s">
        <v>1063</v>
      </c>
      <c r="W336" s="240" t="s">
        <v>965</v>
      </c>
      <c r="X336" s="240" t="s">
        <v>966</v>
      </c>
      <c r="Y336" s="238" t="s">
        <v>328</v>
      </c>
      <c r="Z336" s="238" t="s">
        <v>328</v>
      </c>
      <c r="AA336" s="238" t="s">
        <v>1066</v>
      </c>
      <c r="AB336" s="238"/>
      <c r="AE336" s="267"/>
    </row>
    <row r="337" spans="1:31">
      <c r="A337" s="175"/>
      <c r="B337" s="64"/>
      <c r="C337" s="64"/>
      <c r="D337" s="64"/>
      <c r="E337" s="64"/>
      <c r="F337" s="64"/>
      <c r="G337" s="74"/>
      <c r="H337" s="52" t="s">
        <v>380</v>
      </c>
      <c r="I337" s="69">
        <f t="shared" si="48"/>
        <v>0</v>
      </c>
      <c r="J337" s="69">
        <f t="shared" si="49"/>
        <v>0</v>
      </c>
      <c r="K337" s="69">
        <f t="shared" si="50"/>
        <v>0</v>
      </c>
      <c r="L337" s="69">
        <f t="shared" si="51"/>
        <v>0</v>
      </c>
      <c r="M337" s="69">
        <f t="shared" si="52"/>
        <v>0</v>
      </c>
      <c r="N337" s="69">
        <f t="shared" si="53"/>
        <v>0</v>
      </c>
      <c r="O337" s="69">
        <f t="shared" si="54"/>
        <v>0</v>
      </c>
      <c r="P337" s="69">
        <f t="shared" si="55"/>
        <v>0</v>
      </c>
      <c r="Q337" s="69">
        <f t="shared" si="56"/>
        <v>0</v>
      </c>
      <c r="R337" s="69">
        <f t="shared" si="57"/>
        <v>0</v>
      </c>
      <c r="S337" s="69">
        <f t="shared" si="58"/>
        <v>0</v>
      </c>
      <c r="T337" s="69">
        <f t="shared" si="59"/>
        <v>0</v>
      </c>
      <c r="U337" s="238"/>
      <c r="V337" s="240" t="s">
        <v>1063</v>
      </c>
      <c r="W337" s="240" t="s">
        <v>965</v>
      </c>
      <c r="X337" s="240" t="s">
        <v>966</v>
      </c>
      <c r="Y337" s="238" t="s">
        <v>328</v>
      </c>
      <c r="Z337" s="238" t="s">
        <v>328</v>
      </c>
      <c r="AA337" s="238" t="s">
        <v>1066</v>
      </c>
      <c r="AB337" s="238"/>
      <c r="AE337" s="267"/>
    </row>
    <row r="338" spans="1:31">
      <c r="A338" s="175"/>
      <c r="B338" s="64"/>
      <c r="C338" s="64"/>
      <c r="D338" s="64"/>
      <c r="E338" s="64"/>
      <c r="F338" s="64"/>
      <c r="G338" s="74"/>
      <c r="H338" s="52" t="s">
        <v>381</v>
      </c>
      <c r="I338" s="69">
        <f t="shared" si="48"/>
        <v>1</v>
      </c>
      <c r="J338" s="69">
        <f t="shared" si="49"/>
        <v>3</v>
      </c>
      <c r="K338" s="69">
        <f t="shared" si="50"/>
        <v>0</v>
      </c>
      <c r="L338" s="69">
        <f t="shared" si="51"/>
        <v>1</v>
      </c>
      <c r="M338" s="69">
        <f t="shared" si="52"/>
        <v>0</v>
      </c>
      <c r="N338" s="69">
        <f t="shared" si="53"/>
        <v>1</v>
      </c>
      <c r="O338" s="69">
        <f t="shared" si="54"/>
        <v>0</v>
      </c>
      <c r="P338" s="69">
        <f t="shared" si="55"/>
        <v>0</v>
      </c>
      <c r="Q338" s="69" t="str">
        <f t="shared" si="56"/>
        <v>F_FSPD</v>
      </c>
      <c r="R338" s="69">
        <f t="shared" si="57"/>
        <v>40</v>
      </c>
      <c r="S338" s="69">
        <f t="shared" si="58"/>
        <v>56</v>
      </c>
      <c r="T338" s="69">
        <f t="shared" si="59"/>
        <v>2</v>
      </c>
      <c r="U338" s="238"/>
      <c r="V338" s="240" t="s">
        <v>1063</v>
      </c>
      <c r="W338" s="240" t="s">
        <v>965</v>
      </c>
      <c r="X338" s="240" t="s">
        <v>966</v>
      </c>
      <c r="Y338" s="238" t="s">
        <v>328</v>
      </c>
      <c r="Z338" s="238" t="s">
        <v>328</v>
      </c>
      <c r="AA338" s="238" t="s">
        <v>1066</v>
      </c>
      <c r="AB338" s="238"/>
      <c r="AE338" s="267"/>
    </row>
    <row r="339" spans="1:31">
      <c r="A339" s="175"/>
      <c r="B339" s="64"/>
      <c r="C339" s="64"/>
      <c r="D339" s="64"/>
      <c r="E339" s="64"/>
      <c r="F339" s="64"/>
      <c r="G339" s="74"/>
      <c r="H339" s="52" t="s">
        <v>382</v>
      </c>
      <c r="I339" s="69">
        <f t="shared" si="48"/>
        <v>0</v>
      </c>
      <c r="J339" s="69">
        <f t="shared" si="49"/>
        <v>0</v>
      </c>
      <c r="K339" s="69">
        <f t="shared" si="50"/>
        <v>0</v>
      </c>
      <c r="L339" s="69">
        <f t="shared" si="51"/>
        <v>0</v>
      </c>
      <c r="M339" s="69">
        <f t="shared" si="52"/>
        <v>0</v>
      </c>
      <c r="N339" s="69">
        <f t="shared" si="53"/>
        <v>0</v>
      </c>
      <c r="O339" s="69">
        <f t="shared" si="54"/>
        <v>0</v>
      </c>
      <c r="P339" s="69">
        <f t="shared" si="55"/>
        <v>0</v>
      </c>
      <c r="Q339" s="69">
        <f t="shared" si="56"/>
        <v>0</v>
      </c>
      <c r="R339" s="69">
        <f t="shared" si="57"/>
        <v>0</v>
      </c>
      <c r="S339" s="69">
        <f t="shared" si="58"/>
        <v>0</v>
      </c>
      <c r="T339" s="69">
        <f t="shared" si="59"/>
        <v>0</v>
      </c>
      <c r="U339" s="238"/>
      <c r="V339" s="240" t="s">
        <v>1063</v>
      </c>
      <c r="W339" s="240" t="s">
        <v>965</v>
      </c>
      <c r="X339" s="240" t="s">
        <v>966</v>
      </c>
      <c r="Y339" s="238" t="s">
        <v>328</v>
      </c>
      <c r="Z339" s="238" t="s">
        <v>328</v>
      </c>
      <c r="AA339" s="238" t="s">
        <v>1066</v>
      </c>
      <c r="AB339" s="238"/>
      <c r="AE339" s="267"/>
    </row>
    <row r="340" spans="1:31">
      <c r="A340" s="175"/>
      <c r="B340" s="64"/>
      <c r="C340" s="64"/>
      <c r="D340" s="64"/>
      <c r="E340" s="64"/>
      <c r="F340" s="64"/>
      <c r="G340" s="74"/>
      <c r="H340" s="52" t="s">
        <v>383</v>
      </c>
      <c r="I340" s="69">
        <f t="shared" si="48"/>
        <v>1</v>
      </c>
      <c r="J340" s="69">
        <f t="shared" si="49"/>
        <v>3</v>
      </c>
      <c r="K340" s="69">
        <f t="shared" si="50"/>
        <v>0</v>
      </c>
      <c r="L340" s="69">
        <f t="shared" si="51"/>
        <v>1</v>
      </c>
      <c r="M340" s="69">
        <f t="shared" si="52"/>
        <v>0</v>
      </c>
      <c r="N340" s="69">
        <f t="shared" si="53"/>
        <v>1</v>
      </c>
      <c r="O340" s="69">
        <f t="shared" si="54"/>
        <v>0</v>
      </c>
      <c r="P340" s="69">
        <f t="shared" si="55"/>
        <v>0</v>
      </c>
      <c r="Q340" s="69" t="str">
        <f t="shared" si="56"/>
        <v>F_FSPD</v>
      </c>
      <c r="R340" s="69">
        <f t="shared" si="57"/>
        <v>41</v>
      </c>
      <c r="S340" s="69">
        <f t="shared" si="58"/>
        <v>57</v>
      </c>
      <c r="T340" s="69">
        <f t="shared" si="59"/>
        <v>2</v>
      </c>
      <c r="U340" s="238"/>
      <c r="V340" s="240" t="s">
        <v>1063</v>
      </c>
      <c r="W340" s="240" t="s">
        <v>965</v>
      </c>
      <c r="X340" s="240" t="s">
        <v>966</v>
      </c>
      <c r="Y340" s="238" t="s">
        <v>328</v>
      </c>
      <c r="Z340" s="238" t="s">
        <v>328</v>
      </c>
      <c r="AA340" s="238" t="s">
        <v>1066</v>
      </c>
      <c r="AB340" s="238"/>
      <c r="AE340" s="267"/>
    </row>
    <row r="341" spans="1:31">
      <c r="A341" s="175"/>
      <c r="B341" s="64"/>
      <c r="C341" s="64"/>
      <c r="D341" s="64"/>
      <c r="E341" s="64"/>
      <c r="F341" s="64"/>
      <c r="G341" s="74"/>
      <c r="H341" s="52" t="s">
        <v>384</v>
      </c>
      <c r="I341" s="69">
        <f t="shared" si="48"/>
        <v>0</v>
      </c>
      <c r="J341" s="69">
        <f t="shared" si="49"/>
        <v>0</v>
      </c>
      <c r="K341" s="69">
        <f t="shared" si="50"/>
        <v>0</v>
      </c>
      <c r="L341" s="69">
        <f t="shared" si="51"/>
        <v>0</v>
      </c>
      <c r="M341" s="69">
        <f t="shared" si="52"/>
        <v>0</v>
      </c>
      <c r="N341" s="69">
        <f t="shared" si="53"/>
        <v>0</v>
      </c>
      <c r="O341" s="69">
        <f t="shared" si="54"/>
        <v>0</v>
      </c>
      <c r="P341" s="69">
        <f t="shared" si="55"/>
        <v>0</v>
      </c>
      <c r="Q341" s="69">
        <f t="shared" si="56"/>
        <v>0</v>
      </c>
      <c r="R341" s="69">
        <f t="shared" si="57"/>
        <v>0</v>
      </c>
      <c r="S341" s="69">
        <f t="shared" si="58"/>
        <v>0</v>
      </c>
      <c r="T341" s="69">
        <f t="shared" si="59"/>
        <v>0</v>
      </c>
      <c r="U341" s="238"/>
      <c r="V341" s="240" t="s">
        <v>1063</v>
      </c>
      <c r="W341" s="240" t="s">
        <v>965</v>
      </c>
      <c r="X341" s="240" t="s">
        <v>966</v>
      </c>
      <c r="Y341" s="238" t="s">
        <v>328</v>
      </c>
      <c r="Z341" s="238" t="s">
        <v>328</v>
      </c>
      <c r="AA341" s="238" t="s">
        <v>1066</v>
      </c>
      <c r="AB341" s="238"/>
      <c r="AE341" s="267"/>
    </row>
    <row r="342" spans="1:31">
      <c r="A342" s="175"/>
      <c r="B342" s="64"/>
      <c r="C342" s="64"/>
      <c r="D342" s="64"/>
      <c r="E342" s="64"/>
      <c r="F342" s="64"/>
      <c r="G342" s="74"/>
      <c r="H342" s="52" t="s">
        <v>385</v>
      </c>
      <c r="I342" s="69">
        <f t="shared" si="48"/>
        <v>1</v>
      </c>
      <c r="J342" s="69">
        <f t="shared" si="49"/>
        <v>3</v>
      </c>
      <c r="K342" s="69">
        <f t="shared" si="50"/>
        <v>0</v>
      </c>
      <c r="L342" s="69">
        <f t="shared" si="51"/>
        <v>1</v>
      </c>
      <c r="M342" s="69">
        <f t="shared" si="52"/>
        <v>0</v>
      </c>
      <c r="N342" s="69">
        <f t="shared" si="53"/>
        <v>1</v>
      </c>
      <c r="O342" s="69">
        <f t="shared" si="54"/>
        <v>0</v>
      </c>
      <c r="P342" s="69">
        <f t="shared" si="55"/>
        <v>0</v>
      </c>
      <c r="Q342" s="69" t="str">
        <f t="shared" si="56"/>
        <v>F_FSPD</v>
      </c>
      <c r="R342" s="69">
        <f t="shared" si="57"/>
        <v>42</v>
      </c>
      <c r="S342" s="69">
        <f t="shared" si="58"/>
        <v>58</v>
      </c>
      <c r="T342" s="69">
        <f t="shared" si="59"/>
        <v>2</v>
      </c>
      <c r="U342" s="238"/>
      <c r="V342" s="240" t="s">
        <v>1063</v>
      </c>
      <c r="W342" s="240" t="s">
        <v>965</v>
      </c>
      <c r="X342" s="240" t="s">
        <v>966</v>
      </c>
      <c r="Y342" s="238" t="s">
        <v>328</v>
      </c>
      <c r="Z342" s="238" t="s">
        <v>328</v>
      </c>
      <c r="AA342" s="238" t="s">
        <v>1066</v>
      </c>
      <c r="AB342" s="238"/>
      <c r="AE342" s="267"/>
    </row>
    <row r="343" spans="1:31">
      <c r="A343" s="175"/>
      <c r="B343" s="64"/>
      <c r="C343" s="64"/>
      <c r="D343" s="64"/>
      <c r="E343" s="64"/>
      <c r="F343" s="64"/>
      <c r="G343" s="74"/>
      <c r="H343" s="52" t="s">
        <v>386</v>
      </c>
      <c r="I343" s="69">
        <f t="shared" si="48"/>
        <v>0</v>
      </c>
      <c r="J343" s="69">
        <f t="shared" si="49"/>
        <v>0</v>
      </c>
      <c r="K343" s="69">
        <f t="shared" si="50"/>
        <v>0</v>
      </c>
      <c r="L343" s="69">
        <f t="shared" si="51"/>
        <v>0</v>
      </c>
      <c r="M343" s="69">
        <f t="shared" si="52"/>
        <v>0</v>
      </c>
      <c r="N343" s="69">
        <f t="shared" si="53"/>
        <v>0</v>
      </c>
      <c r="O343" s="69">
        <f t="shared" si="54"/>
        <v>0</v>
      </c>
      <c r="P343" s="69">
        <f t="shared" si="55"/>
        <v>0</v>
      </c>
      <c r="Q343" s="69">
        <f t="shared" si="56"/>
        <v>0</v>
      </c>
      <c r="R343" s="69">
        <f t="shared" si="57"/>
        <v>0</v>
      </c>
      <c r="S343" s="69">
        <f t="shared" si="58"/>
        <v>0</v>
      </c>
      <c r="T343" s="69">
        <f t="shared" si="59"/>
        <v>0</v>
      </c>
      <c r="U343" s="238"/>
      <c r="V343" s="240" t="s">
        <v>1063</v>
      </c>
      <c r="W343" s="240" t="s">
        <v>965</v>
      </c>
      <c r="X343" s="240" t="s">
        <v>966</v>
      </c>
      <c r="Y343" s="238" t="s">
        <v>328</v>
      </c>
      <c r="Z343" s="238" t="s">
        <v>328</v>
      </c>
      <c r="AA343" s="238" t="s">
        <v>1066</v>
      </c>
      <c r="AB343" s="238"/>
      <c r="AE343" s="267"/>
    </row>
    <row r="344" spans="1:31">
      <c r="A344" s="175"/>
      <c r="B344" s="64"/>
      <c r="C344" s="64"/>
      <c r="D344" s="64"/>
      <c r="E344" s="64"/>
      <c r="F344" s="64"/>
      <c r="G344" s="74"/>
      <c r="H344" s="52" t="s">
        <v>387</v>
      </c>
      <c r="I344" s="69">
        <f t="shared" si="48"/>
        <v>0</v>
      </c>
      <c r="J344" s="69">
        <f t="shared" si="49"/>
        <v>0</v>
      </c>
      <c r="K344" s="69">
        <f t="shared" si="50"/>
        <v>0</v>
      </c>
      <c r="L344" s="69">
        <f t="shared" si="51"/>
        <v>0</v>
      </c>
      <c r="M344" s="69">
        <f t="shared" si="52"/>
        <v>0</v>
      </c>
      <c r="N344" s="69">
        <f t="shared" si="53"/>
        <v>0</v>
      </c>
      <c r="O344" s="69">
        <f t="shared" si="54"/>
        <v>0</v>
      </c>
      <c r="P344" s="69">
        <f t="shared" si="55"/>
        <v>0</v>
      </c>
      <c r="Q344" s="69">
        <f t="shared" si="56"/>
        <v>0</v>
      </c>
      <c r="R344" s="69">
        <f t="shared" si="57"/>
        <v>0</v>
      </c>
      <c r="S344" s="69">
        <f t="shared" si="58"/>
        <v>0</v>
      </c>
      <c r="T344" s="69">
        <f t="shared" si="59"/>
        <v>0</v>
      </c>
      <c r="U344" s="238"/>
      <c r="V344" s="240" t="s">
        <v>1063</v>
      </c>
      <c r="W344" s="240" t="s">
        <v>965</v>
      </c>
      <c r="X344" s="240" t="s">
        <v>966</v>
      </c>
      <c r="Y344" s="238" t="s">
        <v>328</v>
      </c>
      <c r="Z344" s="238" t="s">
        <v>328</v>
      </c>
      <c r="AA344" s="238" t="s">
        <v>1066</v>
      </c>
      <c r="AB344" s="238"/>
      <c r="AE344" s="267"/>
    </row>
    <row r="345" spans="1:31">
      <c r="A345" s="175"/>
      <c r="B345" s="64"/>
      <c r="C345" s="64"/>
      <c r="D345" s="64"/>
      <c r="E345" s="64"/>
      <c r="F345" s="64"/>
      <c r="G345" s="74"/>
      <c r="H345" s="52" t="s">
        <v>388</v>
      </c>
      <c r="I345" s="69">
        <f t="shared" si="48"/>
        <v>0</v>
      </c>
      <c r="J345" s="69">
        <f t="shared" si="49"/>
        <v>0</v>
      </c>
      <c r="K345" s="69">
        <f t="shared" si="50"/>
        <v>0</v>
      </c>
      <c r="L345" s="69">
        <f t="shared" si="51"/>
        <v>0</v>
      </c>
      <c r="M345" s="69">
        <f t="shared" si="52"/>
        <v>0</v>
      </c>
      <c r="N345" s="69">
        <f t="shared" si="53"/>
        <v>0</v>
      </c>
      <c r="O345" s="69">
        <f t="shared" si="54"/>
        <v>0</v>
      </c>
      <c r="P345" s="69">
        <f t="shared" si="55"/>
        <v>0</v>
      </c>
      <c r="Q345" s="69">
        <f t="shared" si="56"/>
        <v>0</v>
      </c>
      <c r="R345" s="69">
        <f t="shared" si="57"/>
        <v>0</v>
      </c>
      <c r="S345" s="69">
        <f t="shared" si="58"/>
        <v>0</v>
      </c>
      <c r="T345" s="69">
        <f t="shared" si="59"/>
        <v>0</v>
      </c>
      <c r="U345" s="238"/>
      <c r="V345" s="240" t="s">
        <v>1063</v>
      </c>
      <c r="W345" s="240" t="s">
        <v>965</v>
      </c>
      <c r="X345" s="240" t="s">
        <v>966</v>
      </c>
      <c r="Y345" s="238" t="s">
        <v>328</v>
      </c>
      <c r="Z345" s="238" t="s">
        <v>328</v>
      </c>
      <c r="AA345" s="238" t="s">
        <v>1066</v>
      </c>
      <c r="AB345" s="238"/>
      <c r="AE345" s="267"/>
    </row>
    <row r="346" spans="1:31">
      <c r="A346" s="175"/>
      <c r="B346" s="64"/>
      <c r="C346" s="64"/>
      <c r="D346" s="64"/>
      <c r="E346" s="64"/>
      <c r="F346" s="64"/>
      <c r="G346" s="74"/>
      <c r="H346" s="52" t="s">
        <v>389</v>
      </c>
      <c r="I346" s="69">
        <f t="shared" si="48"/>
        <v>0</v>
      </c>
      <c r="J346" s="69">
        <f t="shared" si="49"/>
        <v>0</v>
      </c>
      <c r="K346" s="69">
        <f t="shared" si="50"/>
        <v>0</v>
      </c>
      <c r="L346" s="69">
        <f t="shared" si="51"/>
        <v>0</v>
      </c>
      <c r="M346" s="69">
        <f t="shared" si="52"/>
        <v>0</v>
      </c>
      <c r="N346" s="69">
        <f t="shared" si="53"/>
        <v>0</v>
      </c>
      <c r="O346" s="69">
        <f t="shared" si="54"/>
        <v>0</v>
      </c>
      <c r="P346" s="69">
        <f t="shared" si="55"/>
        <v>0</v>
      </c>
      <c r="Q346" s="69">
        <f t="shared" si="56"/>
        <v>0</v>
      </c>
      <c r="R346" s="69">
        <f t="shared" si="57"/>
        <v>0</v>
      </c>
      <c r="S346" s="69">
        <f t="shared" si="58"/>
        <v>0</v>
      </c>
      <c r="T346" s="69">
        <f t="shared" si="59"/>
        <v>0</v>
      </c>
      <c r="U346" s="238"/>
      <c r="V346" s="240" t="s">
        <v>1063</v>
      </c>
      <c r="W346" s="240" t="s">
        <v>965</v>
      </c>
      <c r="X346" s="240" t="s">
        <v>966</v>
      </c>
      <c r="Y346" s="238" t="s">
        <v>328</v>
      </c>
      <c r="Z346" s="238" t="s">
        <v>328</v>
      </c>
      <c r="AA346" s="238" t="s">
        <v>1066</v>
      </c>
      <c r="AB346" s="238"/>
      <c r="AE346" s="267"/>
    </row>
    <row r="347" spans="1:31">
      <c r="A347" s="175"/>
      <c r="B347" s="64"/>
      <c r="C347" s="64"/>
      <c r="D347" s="64"/>
      <c r="E347" s="64"/>
      <c r="F347" s="64"/>
      <c r="G347" s="74"/>
      <c r="H347" s="52" t="s">
        <v>390</v>
      </c>
      <c r="I347" s="69">
        <f t="shared" si="48"/>
        <v>0</v>
      </c>
      <c r="J347" s="69">
        <f t="shared" si="49"/>
        <v>0</v>
      </c>
      <c r="K347" s="69">
        <f t="shared" si="50"/>
        <v>0</v>
      </c>
      <c r="L347" s="69">
        <f t="shared" si="51"/>
        <v>0</v>
      </c>
      <c r="M347" s="69">
        <f t="shared" si="52"/>
        <v>0</v>
      </c>
      <c r="N347" s="69">
        <f t="shared" si="53"/>
        <v>0</v>
      </c>
      <c r="O347" s="69">
        <f t="shared" si="54"/>
        <v>0</v>
      </c>
      <c r="P347" s="69">
        <f t="shared" si="55"/>
        <v>0</v>
      </c>
      <c r="Q347" s="69">
        <f t="shared" si="56"/>
        <v>0</v>
      </c>
      <c r="R347" s="69">
        <f t="shared" si="57"/>
        <v>0</v>
      </c>
      <c r="S347" s="69">
        <f t="shared" si="58"/>
        <v>0</v>
      </c>
      <c r="T347" s="69">
        <f t="shared" si="59"/>
        <v>0</v>
      </c>
      <c r="U347" s="238"/>
      <c r="V347" s="240" t="s">
        <v>1063</v>
      </c>
      <c r="W347" s="240" t="s">
        <v>965</v>
      </c>
      <c r="X347" s="240" t="s">
        <v>966</v>
      </c>
      <c r="Y347" s="238" t="s">
        <v>328</v>
      </c>
      <c r="Z347" s="238" t="s">
        <v>328</v>
      </c>
      <c r="AA347" s="238" t="s">
        <v>1066</v>
      </c>
      <c r="AB347" s="238"/>
      <c r="AE347" s="267"/>
    </row>
    <row r="348" spans="1:31">
      <c r="A348" s="175"/>
      <c r="B348" s="64"/>
      <c r="C348" s="64"/>
      <c r="D348" s="64"/>
      <c r="E348" s="64"/>
      <c r="F348" s="64"/>
      <c r="G348" s="74"/>
      <c r="H348" s="52" t="s">
        <v>391</v>
      </c>
      <c r="I348" s="69">
        <f t="shared" si="48"/>
        <v>0</v>
      </c>
      <c r="J348" s="69">
        <f t="shared" si="49"/>
        <v>0</v>
      </c>
      <c r="K348" s="69">
        <f t="shared" si="50"/>
        <v>0</v>
      </c>
      <c r="L348" s="69">
        <f t="shared" si="51"/>
        <v>0</v>
      </c>
      <c r="M348" s="69">
        <f t="shared" si="52"/>
        <v>0</v>
      </c>
      <c r="N348" s="69">
        <f t="shared" si="53"/>
        <v>0</v>
      </c>
      <c r="O348" s="69">
        <f t="shared" si="54"/>
        <v>0</v>
      </c>
      <c r="P348" s="69">
        <f t="shared" si="55"/>
        <v>0</v>
      </c>
      <c r="Q348" s="69">
        <f t="shared" si="56"/>
        <v>0</v>
      </c>
      <c r="R348" s="69">
        <f t="shared" si="57"/>
        <v>0</v>
      </c>
      <c r="S348" s="69">
        <f t="shared" si="58"/>
        <v>0</v>
      </c>
      <c r="T348" s="69">
        <f t="shared" si="59"/>
        <v>0</v>
      </c>
      <c r="U348" s="238"/>
      <c r="V348" s="240" t="s">
        <v>1063</v>
      </c>
      <c r="W348" s="240" t="s">
        <v>965</v>
      </c>
      <c r="X348" s="240" t="s">
        <v>966</v>
      </c>
      <c r="Y348" s="238" t="s">
        <v>328</v>
      </c>
      <c r="Z348" s="238" t="s">
        <v>328</v>
      </c>
      <c r="AA348" s="238" t="s">
        <v>1066</v>
      </c>
      <c r="AB348" s="238"/>
      <c r="AE348" s="267"/>
    </row>
    <row r="349" spans="1:31">
      <c r="A349" s="175"/>
      <c r="B349" s="64"/>
      <c r="C349" s="64"/>
      <c r="D349" s="64"/>
      <c r="E349" s="64"/>
      <c r="F349" s="64"/>
      <c r="G349" s="74"/>
      <c r="H349" s="52" t="s">
        <v>392</v>
      </c>
      <c r="I349" s="69">
        <f t="shared" si="48"/>
        <v>1</v>
      </c>
      <c r="J349" s="69">
        <f t="shared" si="49"/>
        <v>3</v>
      </c>
      <c r="K349" s="69">
        <f t="shared" si="50"/>
        <v>0</v>
      </c>
      <c r="L349" s="69">
        <f t="shared" si="51"/>
        <v>1</v>
      </c>
      <c r="M349" s="69">
        <f t="shared" si="52"/>
        <v>0</v>
      </c>
      <c r="N349" s="69">
        <f t="shared" si="53"/>
        <v>1</v>
      </c>
      <c r="O349" s="69">
        <f t="shared" si="54"/>
        <v>0</v>
      </c>
      <c r="P349" s="69">
        <f t="shared" si="55"/>
        <v>0</v>
      </c>
      <c r="Q349" s="69" t="str">
        <f t="shared" si="56"/>
        <v>F_FSPD</v>
      </c>
      <c r="R349" s="69">
        <f t="shared" si="57"/>
        <v>43</v>
      </c>
      <c r="S349" s="69">
        <f t="shared" si="58"/>
        <v>59</v>
      </c>
      <c r="T349" s="69">
        <f t="shared" si="59"/>
        <v>2</v>
      </c>
      <c r="U349" s="238"/>
      <c r="V349" s="240" t="s">
        <v>1063</v>
      </c>
      <c r="W349" s="240" t="s">
        <v>965</v>
      </c>
      <c r="X349" s="240" t="s">
        <v>966</v>
      </c>
      <c r="Y349" s="238" t="s">
        <v>328</v>
      </c>
      <c r="Z349" s="238" t="s">
        <v>328</v>
      </c>
      <c r="AA349" s="238" t="s">
        <v>1066</v>
      </c>
      <c r="AB349" s="238"/>
      <c r="AE349" s="267"/>
    </row>
    <row r="350" spans="1:31">
      <c r="A350" s="175"/>
      <c r="B350" s="64"/>
      <c r="C350" s="64"/>
      <c r="D350" s="64"/>
      <c r="E350" s="64"/>
      <c r="F350" s="64"/>
      <c r="G350" s="74"/>
      <c r="H350" s="52" t="s">
        <v>393</v>
      </c>
      <c r="I350" s="69">
        <f t="shared" si="48"/>
        <v>0</v>
      </c>
      <c r="J350" s="69">
        <f t="shared" si="49"/>
        <v>0</v>
      </c>
      <c r="K350" s="69">
        <f t="shared" si="50"/>
        <v>0</v>
      </c>
      <c r="L350" s="69">
        <f t="shared" si="51"/>
        <v>0</v>
      </c>
      <c r="M350" s="69">
        <f t="shared" si="52"/>
        <v>0</v>
      </c>
      <c r="N350" s="69">
        <f t="shared" si="53"/>
        <v>0</v>
      </c>
      <c r="O350" s="69">
        <f t="shared" si="54"/>
        <v>0</v>
      </c>
      <c r="P350" s="69">
        <f t="shared" si="55"/>
        <v>0</v>
      </c>
      <c r="Q350" s="69">
        <f t="shared" si="56"/>
        <v>0</v>
      </c>
      <c r="R350" s="69">
        <f t="shared" si="57"/>
        <v>0</v>
      </c>
      <c r="S350" s="69">
        <f t="shared" si="58"/>
        <v>0</v>
      </c>
      <c r="T350" s="69">
        <f t="shared" si="59"/>
        <v>0</v>
      </c>
      <c r="U350" s="238"/>
      <c r="V350" s="240" t="s">
        <v>1063</v>
      </c>
      <c r="W350" s="240" t="s">
        <v>965</v>
      </c>
      <c r="X350" s="240" t="s">
        <v>966</v>
      </c>
      <c r="Y350" s="238" t="s">
        <v>328</v>
      </c>
      <c r="Z350" s="238" t="s">
        <v>328</v>
      </c>
      <c r="AA350" s="238" t="s">
        <v>1066</v>
      </c>
      <c r="AB350" s="238"/>
      <c r="AE350" s="267"/>
    </row>
    <row r="351" spans="1:31">
      <c r="A351" s="175"/>
      <c r="B351" s="64"/>
      <c r="C351" s="64"/>
      <c r="D351" s="64"/>
      <c r="E351" s="64"/>
      <c r="F351" s="64"/>
      <c r="G351" s="74"/>
      <c r="H351" s="52" t="s">
        <v>394</v>
      </c>
      <c r="I351" s="69">
        <f t="shared" si="48"/>
        <v>0</v>
      </c>
      <c r="J351" s="69">
        <f t="shared" si="49"/>
        <v>0</v>
      </c>
      <c r="K351" s="69">
        <f t="shared" si="50"/>
        <v>0</v>
      </c>
      <c r="L351" s="69">
        <f t="shared" si="51"/>
        <v>0</v>
      </c>
      <c r="M351" s="69">
        <f t="shared" si="52"/>
        <v>0</v>
      </c>
      <c r="N351" s="69">
        <f t="shared" si="53"/>
        <v>0</v>
      </c>
      <c r="O351" s="69">
        <f t="shared" si="54"/>
        <v>0</v>
      </c>
      <c r="P351" s="69">
        <f t="shared" si="55"/>
        <v>0</v>
      </c>
      <c r="Q351" s="69">
        <f t="shared" si="56"/>
        <v>0</v>
      </c>
      <c r="R351" s="69">
        <f t="shared" si="57"/>
        <v>0</v>
      </c>
      <c r="S351" s="69">
        <f t="shared" si="58"/>
        <v>0</v>
      </c>
      <c r="T351" s="69">
        <f t="shared" si="59"/>
        <v>0</v>
      </c>
      <c r="U351" s="238"/>
      <c r="V351" s="240" t="s">
        <v>1063</v>
      </c>
      <c r="W351" s="240" t="s">
        <v>965</v>
      </c>
      <c r="X351" s="240" t="s">
        <v>966</v>
      </c>
      <c r="Y351" s="238" t="s">
        <v>328</v>
      </c>
      <c r="Z351" s="238" t="s">
        <v>328</v>
      </c>
      <c r="AA351" s="238" t="s">
        <v>1066</v>
      </c>
      <c r="AB351" s="238"/>
      <c r="AE351" s="267"/>
    </row>
    <row r="352" spans="1:31">
      <c r="A352" s="175"/>
      <c r="B352" s="64"/>
      <c r="C352" s="64"/>
      <c r="D352" s="64"/>
      <c r="E352" s="64"/>
      <c r="F352" s="64"/>
      <c r="G352" s="74"/>
      <c r="H352" s="52" t="s">
        <v>395</v>
      </c>
      <c r="I352" s="69">
        <f t="shared" si="48"/>
        <v>0</v>
      </c>
      <c r="J352" s="69">
        <f t="shared" si="49"/>
        <v>0</v>
      </c>
      <c r="K352" s="69">
        <f t="shared" si="50"/>
        <v>0</v>
      </c>
      <c r="L352" s="69">
        <f t="shared" si="51"/>
        <v>0</v>
      </c>
      <c r="M352" s="69">
        <f t="shared" si="52"/>
        <v>0</v>
      </c>
      <c r="N352" s="69">
        <f t="shared" si="53"/>
        <v>0</v>
      </c>
      <c r="O352" s="69">
        <f t="shared" si="54"/>
        <v>0</v>
      </c>
      <c r="P352" s="69">
        <f t="shared" si="55"/>
        <v>0</v>
      </c>
      <c r="Q352" s="69">
        <f t="shared" si="56"/>
        <v>0</v>
      </c>
      <c r="R352" s="69">
        <f t="shared" si="57"/>
        <v>0</v>
      </c>
      <c r="S352" s="69">
        <f t="shared" si="58"/>
        <v>0</v>
      </c>
      <c r="T352" s="69">
        <f t="shared" si="59"/>
        <v>0</v>
      </c>
      <c r="U352" s="238"/>
      <c r="V352" s="240" t="s">
        <v>1063</v>
      </c>
      <c r="W352" s="240" t="s">
        <v>965</v>
      </c>
      <c r="X352" s="240" t="s">
        <v>966</v>
      </c>
      <c r="Y352" s="238" t="s">
        <v>328</v>
      </c>
      <c r="Z352" s="238" t="s">
        <v>328</v>
      </c>
      <c r="AA352" s="238" t="s">
        <v>1066</v>
      </c>
      <c r="AB352" s="238"/>
      <c r="AE352" s="267"/>
    </row>
    <row r="353" spans="1:31">
      <c r="A353" s="175"/>
      <c r="B353" s="64"/>
      <c r="C353" s="64"/>
      <c r="D353" s="64"/>
      <c r="E353" s="64"/>
      <c r="F353" s="64"/>
      <c r="G353" s="74"/>
      <c r="H353" s="52" t="s">
        <v>396</v>
      </c>
      <c r="I353" s="69">
        <f t="shared" si="48"/>
        <v>0</v>
      </c>
      <c r="J353" s="69">
        <f t="shared" si="49"/>
        <v>0</v>
      </c>
      <c r="K353" s="69">
        <f t="shared" si="50"/>
        <v>0</v>
      </c>
      <c r="L353" s="69">
        <f t="shared" si="51"/>
        <v>0</v>
      </c>
      <c r="M353" s="69">
        <f t="shared" si="52"/>
        <v>0</v>
      </c>
      <c r="N353" s="69">
        <f t="shared" si="53"/>
        <v>0</v>
      </c>
      <c r="O353" s="69">
        <f t="shared" si="54"/>
        <v>0</v>
      </c>
      <c r="P353" s="69">
        <f t="shared" si="55"/>
        <v>0</v>
      </c>
      <c r="Q353" s="69">
        <f t="shared" si="56"/>
        <v>0</v>
      </c>
      <c r="R353" s="69">
        <f t="shared" si="57"/>
        <v>0</v>
      </c>
      <c r="S353" s="69">
        <f t="shared" si="58"/>
        <v>0</v>
      </c>
      <c r="T353" s="69">
        <f t="shared" si="59"/>
        <v>0</v>
      </c>
      <c r="U353" s="238"/>
      <c r="V353" s="240" t="s">
        <v>1063</v>
      </c>
      <c r="W353" s="240" t="s">
        <v>965</v>
      </c>
      <c r="X353" s="240" t="s">
        <v>966</v>
      </c>
      <c r="Y353" s="238" t="s">
        <v>328</v>
      </c>
      <c r="Z353" s="238" t="s">
        <v>328</v>
      </c>
      <c r="AA353" s="238" t="s">
        <v>1066</v>
      </c>
      <c r="AB353" s="238"/>
      <c r="AE353" s="267"/>
    </row>
    <row r="354" spans="1:31">
      <c r="A354" s="175"/>
      <c r="B354" s="64"/>
      <c r="C354" s="64"/>
      <c r="D354" s="64"/>
      <c r="E354" s="64"/>
      <c r="F354" s="64"/>
      <c r="G354" s="74"/>
      <c r="H354" s="52" t="s">
        <v>416</v>
      </c>
      <c r="I354" s="69">
        <f t="shared" si="48"/>
        <v>1</v>
      </c>
      <c r="J354" s="69">
        <f t="shared" si="49"/>
        <v>3</v>
      </c>
      <c r="K354" s="69">
        <f t="shared" si="50"/>
        <v>0</v>
      </c>
      <c r="L354" s="69">
        <f t="shared" si="51"/>
        <v>1</v>
      </c>
      <c r="M354" s="69">
        <f t="shared" si="52"/>
        <v>0</v>
      </c>
      <c r="N354" s="69">
        <f t="shared" si="53"/>
        <v>1</v>
      </c>
      <c r="O354" s="69">
        <f t="shared" si="54"/>
        <v>0</v>
      </c>
      <c r="P354" s="69">
        <f t="shared" si="55"/>
        <v>0</v>
      </c>
      <c r="Q354" s="69" t="str">
        <f t="shared" si="56"/>
        <v>F_FSPD</v>
      </c>
      <c r="R354" s="69">
        <f t="shared" si="57"/>
        <v>29</v>
      </c>
      <c r="S354" s="69">
        <f t="shared" si="58"/>
        <v>45</v>
      </c>
      <c r="T354" s="69">
        <f t="shared" si="59"/>
        <v>2</v>
      </c>
      <c r="U354" s="238"/>
      <c r="V354" s="240" t="s">
        <v>1063</v>
      </c>
      <c r="W354" s="240" t="s">
        <v>965</v>
      </c>
      <c r="X354" s="240" t="s">
        <v>966</v>
      </c>
      <c r="Y354" s="238" t="s">
        <v>328</v>
      </c>
      <c r="Z354" s="238" t="s">
        <v>328</v>
      </c>
      <c r="AA354" s="238" t="s">
        <v>1066</v>
      </c>
      <c r="AB354" s="238"/>
      <c r="AE354" s="267"/>
    </row>
    <row r="355" spans="1:31">
      <c r="A355" s="175"/>
      <c r="B355" s="64"/>
      <c r="C355" s="64"/>
      <c r="D355" s="64"/>
      <c r="E355" s="64"/>
      <c r="F355" s="64"/>
      <c r="G355" s="74"/>
      <c r="H355" s="52" t="s">
        <v>397</v>
      </c>
      <c r="I355" s="69">
        <f t="shared" si="48"/>
        <v>0</v>
      </c>
      <c r="J355" s="69">
        <f t="shared" si="49"/>
        <v>0</v>
      </c>
      <c r="K355" s="69">
        <f t="shared" si="50"/>
        <v>0</v>
      </c>
      <c r="L355" s="69">
        <f t="shared" si="51"/>
        <v>0</v>
      </c>
      <c r="M355" s="69">
        <f t="shared" si="52"/>
        <v>0</v>
      </c>
      <c r="N355" s="69">
        <f t="shared" si="53"/>
        <v>0</v>
      </c>
      <c r="O355" s="69">
        <f t="shared" si="54"/>
        <v>0</v>
      </c>
      <c r="P355" s="69">
        <f t="shared" si="55"/>
        <v>0</v>
      </c>
      <c r="Q355" s="69">
        <f t="shared" si="56"/>
        <v>0</v>
      </c>
      <c r="R355" s="69">
        <f t="shared" si="57"/>
        <v>0</v>
      </c>
      <c r="S355" s="69">
        <f t="shared" si="58"/>
        <v>0</v>
      </c>
      <c r="T355" s="69">
        <f t="shared" si="59"/>
        <v>0</v>
      </c>
      <c r="U355" s="238"/>
      <c r="V355" s="240" t="s">
        <v>1063</v>
      </c>
      <c r="W355" s="240" t="s">
        <v>965</v>
      </c>
      <c r="X355" s="240" t="s">
        <v>966</v>
      </c>
      <c r="Y355" s="238" t="s">
        <v>328</v>
      </c>
      <c r="Z355" s="238" t="s">
        <v>328</v>
      </c>
      <c r="AA355" s="238" t="s">
        <v>1066</v>
      </c>
      <c r="AB355" s="238"/>
      <c r="AE355" s="267"/>
    </row>
    <row r="356" spans="1:31">
      <c r="A356" s="175"/>
      <c r="B356" s="64"/>
      <c r="C356" s="64"/>
      <c r="D356" s="64"/>
      <c r="E356" s="64"/>
      <c r="F356" s="64"/>
      <c r="G356" s="74"/>
      <c r="H356" s="52" t="s">
        <v>417</v>
      </c>
      <c r="I356" s="69">
        <f t="shared" si="48"/>
        <v>0</v>
      </c>
      <c r="J356" s="69">
        <f t="shared" si="49"/>
        <v>0</v>
      </c>
      <c r="K356" s="69">
        <f t="shared" si="50"/>
        <v>0</v>
      </c>
      <c r="L356" s="69">
        <f t="shared" si="51"/>
        <v>0</v>
      </c>
      <c r="M356" s="69">
        <f t="shared" si="52"/>
        <v>0</v>
      </c>
      <c r="N356" s="69">
        <f t="shared" si="53"/>
        <v>0</v>
      </c>
      <c r="O356" s="69">
        <f t="shared" si="54"/>
        <v>0</v>
      </c>
      <c r="P356" s="69">
        <f t="shared" si="55"/>
        <v>0</v>
      </c>
      <c r="Q356" s="69">
        <f t="shared" si="56"/>
        <v>0</v>
      </c>
      <c r="R356" s="69">
        <f t="shared" si="57"/>
        <v>0</v>
      </c>
      <c r="S356" s="69">
        <f t="shared" si="58"/>
        <v>0</v>
      </c>
      <c r="T356" s="69">
        <f t="shared" si="59"/>
        <v>0</v>
      </c>
      <c r="U356" s="238"/>
      <c r="V356" s="240" t="s">
        <v>1063</v>
      </c>
      <c r="W356" s="240" t="s">
        <v>965</v>
      </c>
      <c r="X356" s="240" t="s">
        <v>966</v>
      </c>
      <c r="Y356" s="238" t="s">
        <v>328</v>
      </c>
      <c r="Z356" s="238" t="s">
        <v>328</v>
      </c>
      <c r="AA356" s="238" t="s">
        <v>1066</v>
      </c>
      <c r="AB356" s="238"/>
      <c r="AE356" s="267"/>
    </row>
    <row r="357" spans="1:31">
      <c r="A357" s="175"/>
      <c r="B357" s="64"/>
      <c r="C357" s="64"/>
      <c r="D357" s="64"/>
      <c r="E357" s="64"/>
      <c r="F357" s="64"/>
      <c r="G357" s="74"/>
      <c r="H357" s="52" t="s">
        <v>398</v>
      </c>
      <c r="I357" s="69">
        <f t="shared" si="48"/>
        <v>0</v>
      </c>
      <c r="J357" s="69">
        <f t="shared" si="49"/>
        <v>0</v>
      </c>
      <c r="K357" s="69">
        <f t="shared" si="50"/>
        <v>0</v>
      </c>
      <c r="L357" s="69">
        <f t="shared" si="51"/>
        <v>0</v>
      </c>
      <c r="M357" s="69">
        <f t="shared" si="52"/>
        <v>0</v>
      </c>
      <c r="N357" s="69">
        <f t="shared" si="53"/>
        <v>0</v>
      </c>
      <c r="O357" s="69">
        <f t="shared" si="54"/>
        <v>0</v>
      </c>
      <c r="P357" s="69">
        <f t="shared" si="55"/>
        <v>0</v>
      </c>
      <c r="Q357" s="69">
        <f t="shared" si="56"/>
        <v>0</v>
      </c>
      <c r="R357" s="69">
        <f t="shared" si="57"/>
        <v>0</v>
      </c>
      <c r="S357" s="69">
        <f t="shared" si="58"/>
        <v>0</v>
      </c>
      <c r="T357" s="69">
        <f t="shared" si="59"/>
        <v>0</v>
      </c>
      <c r="U357" s="238"/>
      <c r="V357" s="240" t="s">
        <v>1063</v>
      </c>
      <c r="W357" s="240" t="s">
        <v>965</v>
      </c>
      <c r="X357" s="240" t="s">
        <v>966</v>
      </c>
      <c r="Y357" s="238" t="s">
        <v>328</v>
      </c>
      <c r="Z357" s="238" t="s">
        <v>328</v>
      </c>
      <c r="AA357" s="238" t="s">
        <v>1066</v>
      </c>
      <c r="AB357" s="238"/>
      <c r="AE357" s="267"/>
    </row>
    <row r="358" spans="1:31">
      <c r="A358" s="175"/>
      <c r="B358" s="64"/>
      <c r="C358" s="64"/>
      <c r="D358" s="64"/>
      <c r="E358" s="64"/>
      <c r="F358" s="64"/>
      <c r="G358" s="74"/>
      <c r="H358" s="52" t="s">
        <v>399</v>
      </c>
      <c r="I358" s="69">
        <f t="shared" si="48"/>
        <v>1</v>
      </c>
      <c r="J358" s="69">
        <f t="shared" si="49"/>
        <v>3</v>
      </c>
      <c r="K358" s="69">
        <f t="shared" si="50"/>
        <v>0</v>
      </c>
      <c r="L358" s="69">
        <f t="shared" si="51"/>
        <v>1</v>
      </c>
      <c r="M358" s="69">
        <f t="shared" si="52"/>
        <v>0</v>
      </c>
      <c r="N358" s="69">
        <f t="shared" si="53"/>
        <v>1</v>
      </c>
      <c r="O358" s="69">
        <f t="shared" si="54"/>
        <v>0</v>
      </c>
      <c r="P358" s="69">
        <f t="shared" si="55"/>
        <v>0</v>
      </c>
      <c r="Q358" s="69" t="str">
        <f t="shared" si="56"/>
        <v>F_FSPD</v>
      </c>
      <c r="R358" s="69">
        <f t="shared" si="57"/>
        <v>44</v>
      </c>
      <c r="S358" s="69">
        <f t="shared" si="58"/>
        <v>60</v>
      </c>
      <c r="T358" s="69">
        <f t="shared" si="59"/>
        <v>2</v>
      </c>
      <c r="U358" s="238"/>
      <c r="V358" s="240" t="s">
        <v>1063</v>
      </c>
      <c r="W358" s="240" t="s">
        <v>965</v>
      </c>
      <c r="X358" s="240" t="s">
        <v>966</v>
      </c>
      <c r="Y358" s="238" t="s">
        <v>328</v>
      </c>
      <c r="Z358" s="238" t="s">
        <v>328</v>
      </c>
      <c r="AA358" s="238" t="s">
        <v>1066</v>
      </c>
      <c r="AB358" s="238"/>
      <c r="AE358" s="267"/>
    </row>
    <row r="359" spans="1:31">
      <c r="A359" s="175"/>
      <c r="B359" s="64"/>
      <c r="C359" s="64"/>
      <c r="D359" s="64"/>
      <c r="E359" s="64"/>
      <c r="F359" s="64"/>
      <c r="G359" s="74"/>
      <c r="H359" s="52" t="s">
        <v>400</v>
      </c>
      <c r="I359" s="69">
        <f t="shared" si="48"/>
        <v>0</v>
      </c>
      <c r="J359" s="69">
        <f t="shared" si="49"/>
        <v>0</v>
      </c>
      <c r="K359" s="69">
        <f t="shared" si="50"/>
        <v>0</v>
      </c>
      <c r="L359" s="69">
        <f t="shared" si="51"/>
        <v>0</v>
      </c>
      <c r="M359" s="69">
        <f t="shared" si="52"/>
        <v>0</v>
      </c>
      <c r="N359" s="69">
        <f t="shared" si="53"/>
        <v>0</v>
      </c>
      <c r="O359" s="69">
        <f t="shared" si="54"/>
        <v>0</v>
      </c>
      <c r="P359" s="69">
        <f t="shared" si="55"/>
        <v>0</v>
      </c>
      <c r="Q359" s="69">
        <f t="shared" si="56"/>
        <v>0</v>
      </c>
      <c r="R359" s="69">
        <f t="shared" si="57"/>
        <v>0</v>
      </c>
      <c r="S359" s="69">
        <f t="shared" si="58"/>
        <v>0</v>
      </c>
      <c r="T359" s="69">
        <f t="shared" si="59"/>
        <v>0</v>
      </c>
      <c r="U359" s="238"/>
      <c r="V359" s="240" t="s">
        <v>1063</v>
      </c>
      <c r="W359" s="240" t="s">
        <v>965</v>
      </c>
      <c r="X359" s="240" t="s">
        <v>966</v>
      </c>
      <c r="Y359" s="238" t="s">
        <v>328</v>
      </c>
      <c r="Z359" s="238" t="s">
        <v>328</v>
      </c>
      <c r="AA359" s="238" t="s">
        <v>1066</v>
      </c>
      <c r="AB359" s="238"/>
      <c r="AE359" s="267"/>
    </row>
    <row r="360" spans="1:31">
      <c r="A360" s="175"/>
      <c r="B360" s="64"/>
      <c r="C360" s="64"/>
      <c r="D360" s="64"/>
      <c r="E360" s="64"/>
      <c r="F360" s="64"/>
      <c r="G360" s="74"/>
      <c r="H360" s="52" t="s">
        <v>401</v>
      </c>
      <c r="I360" s="69">
        <f t="shared" si="48"/>
        <v>1</v>
      </c>
      <c r="J360" s="69">
        <f t="shared" si="49"/>
        <v>3</v>
      </c>
      <c r="K360" s="69">
        <f t="shared" si="50"/>
        <v>0</v>
      </c>
      <c r="L360" s="69">
        <f t="shared" si="51"/>
        <v>1</v>
      </c>
      <c r="M360" s="69">
        <f t="shared" si="52"/>
        <v>0</v>
      </c>
      <c r="N360" s="69">
        <f t="shared" si="53"/>
        <v>1</v>
      </c>
      <c r="O360" s="69">
        <f t="shared" si="54"/>
        <v>0</v>
      </c>
      <c r="P360" s="69">
        <f t="shared" si="55"/>
        <v>0</v>
      </c>
      <c r="Q360" s="69" t="str">
        <f t="shared" si="56"/>
        <v>F_FSPD</v>
      </c>
      <c r="R360" s="69">
        <f t="shared" si="57"/>
        <v>45</v>
      </c>
      <c r="S360" s="69">
        <f t="shared" si="58"/>
        <v>61</v>
      </c>
      <c r="T360" s="69">
        <f t="shared" si="59"/>
        <v>2</v>
      </c>
      <c r="U360" s="238"/>
      <c r="V360" s="240" t="s">
        <v>1063</v>
      </c>
      <c r="W360" s="240" t="s">
        <v>965</v>
      </c>
      <c r="X360" s="240" t="s">
        <v>966</v>
      </c>
      <c r="Y360" s="238" t="s">
        <v>328</v>
      </c>
      <c r="Z360" s="238" t="s">
        <v>328</v>
      </c>
      <c r="AA360" s="238" t="s">
        <v>1066</v>
      </c>
      <c r="AB360" s="238"/>
      <c r="AE360" s="267"/>
    </row>
    <row r="361" spans="1:31">
      <c r="A361" s="175"/>
      <c r="B361" s="64"/>
      <c r="C361" s="64"/>
      <c r="D361" s="64"/>
      <c r="E361" s="64"/>
      <c r="F361" s="64"/>
      <c r="G361" s="74"/>
      <c r="H361" s="52" t="s">
        <v>402</v>
      </c>
      <c r="I361" s="69">
        <f t="shared" si="48"/>
        <v>0</v>
      </c>
      <c r="J361" s="69">
        <f t="shared" si="49"/>
        <v>0</v>
      </c>
      <c r="K361" s="69">
        <f t="shared" si="50"/>
        <v>0</v>
      </c>
      <c r="L361" s="69">
        <f t="shared" si="51"/>
        <v>0</v>
      </c>
      <c r="M361" s="69">
        <f t="shared" si="52"/>
        <v>0</v>
      </c>
      <c r="N361" s="69">
        <f t="shared" si="53"/>
        <v>0</v>
      </c>
      <c r="O361" s="69">
        <f t="shared" si="54"/>
        <v>0</v>
      </c>
      <c r="P361" s="69">
        <f t="shared" si="55"/>
        <v>0</v>
      </c>
      <c r="Q361" s="69">
        <f t="shared" si="56"/>
        <v>0</v>
      </c>
      <c r="R361" s="69">
        <f t="shared" si="57"/>
        <v>0</v>
      </c>
      <c r="S361" s="69">
        <f t="shared" si="58"/>
        <v>0</v>
      </c>
      <c r="T361" s="69">
        <f t="shared" si="59"/>
        <v>0</v>
      </c>
      <c r="U361" s="238"/>
      <c r="V361" s="240" t="s">
        <v>1063</v>
      </c>
      <c r="W361" s="240" t="s">
        <v>965</v>
      </c>
      <c r="X361" s="240" t="s">
        <v>966</v>
      </c>
      <c r="Y361" s="238" t="s">
        <v>328</v>
      </c>
      <c r="Z361" s="238" t="s">
        <v>328</v>
      </c>
      <c r="AA361" s="238" t="s">
        <v>1066</v>
      </c>
      <c r="AB361" s="238"/>
      <c r="AE361" s="267"/>
    </row>
    <row r="362" spans="1:31">
      <c r="A362" s="175"/>
      <c r="B362" s="64"/>
      <c r="C362" s="64"/>
      <c r="D362" s="64"/>
      <c r="E362" s="64"/>
      <c r="F362" s="64"/>
      <c r="G362" s="74"/>
      <c r="H362" s="52" t="s">
        <v>403</v>
      </c>
      <c r="I362" s="69">
        <f t="shared" ref="I362:I374" si="60">IF(ISNA(VLOOKUP($H362,Modelpuntoverzicht,1,FALSE)),0,1)</f>
        <v>0</v>
      </c>
      <c r="J362" s="69">
        <f t="shared" ref="J362:J374" si="61">IF($I362=1,VLOOKUP($H362,Modelpuntoverzicht,6,FALSE),0)</f>
        <v>0</v>
      </c>
      <c r="K362" s="69">
        <f t="shared" ref="K362:K374" si="62">IF($I362=1,IF(VLOOKUP($H362,Modelpuntoverzicht,12,FALSE)=1,1,0),0)</f>
        <v>0</v>
      </c>
      <c r="L362" s="69">
        <f t="shared" ref="L362:L374" si="63">IF($I362=1,VLOOKUP($H362,Modelpuntoverzicht,38,FALSE),0)</f>
        <v>0</v>
      </c>
      <c r="M362" s="69">
        <f t="shared" ref="M362:M374" si="64">IF($I362=1,IF(VLOOKUP($H362,Modelpuntoverzicht,30,FALSE)="JA",1,0),0)</f>
        <v>0</v>
      </c>
      <c r="N362" s="69">
        <f t="shared" ref="N362:N374" si="65">IF($I362=1,VLOOKUP($H362,Modelpuntoverzicht,9,FALSE),0)</f>
        <v>0</v>
      </c>
      <c r="O362" s="69">
        <f t="shared" ref="O362:O374" si="66">IF($I362=1,VLOOKUP($H362,Modelpuntoverzicht,11,FALSE),0)</f>
        <v>0</v>
      </c>
      <c r="P362" s="69">
        <f t="shared" ref="P362:P374" si="67">IF($I362=1,VLOOKUP($H362,Modelpuntoverzicht,39,FALSE),0)</f>
        <v>0</v>
      </c>
      <c r="Q362" s="69">
        <f t="shared" ref="Q362:Q374" si="68">IF($I362=1,VLOOKUP($H362,OSM_Info_PerMP,4,FALSE),0)</f>
        <v>0</v>
      </c>
      <c r="R362" s="69">
        <f t="shared" ref="R362:R374" si="69">IF($I362=1,VLOOKUP($H362,OSM_Info_PerMP,6,FALSE),0)</f>
        <v>0</v>
      </c>
      <c r="S362" s="69">
        <f t="shared" ref="S362:S374" si="70">IF($I362=1,VLOOKUP($H362,OSM_Info_PerMP,3,FALSE),0)</f>
        <v>0</v>
      </c>
      <c r="T362" s="69">
        <f t="shared" ref="T362:T374" si="71">IF($I362=1,VLOOKUP($H362,OSM_Info_PerMP,7,FALSE),0)</f>
        <v>0</v>
      </c>
      <c r="U362" s="238"/>
      <c r="V362" s="240" t="s">
        <v>1063</v>
      </c>
      <c r="W362" s="240" t="s">
        <v>965</v>
      </c>
      <c r="X362" s="240" t="s">
        <v>966</v>
      </c>
      <c r="Y362" s="238" t="s">
        <v>328</v>
      </c>
      <c r="Z362" s="238" t="s">
        <v>328</v>
      </c>
      <c r="AA362" s="238" t="s">
        <v>1066</v>
      </c>
      <c r="AB362" s="238"/>
      <c r="AE362" s="267"/>
    </row>
    <row r="363" spans="1:31">
      <c r="A363" s="175"/>
      <c r="B363" s="64"/>
      <c r="C363" s="64"/>
      <c r="D363" s="64"/>
      <c r="E363" s="64"/>
      <c r="F363" s="64"/>
      <c r="G363" s="74"/>
      <c r="H363" s="52" t="s">
        <v>404</v>
      </c>
      <c r="I363" s="69">
        <f t="shared" si="60"/>
        <v>0</v>
      </c>
      <c r="J363" s="69">
        <f t="shared" si="61"/>
        <v>0</v>
      </c>
      <c r="K363" s="69">
        <f t="shared" si="62"/>
        <v>0</v>
      </c>
      <c r="L363" s="69">
        <f t="shared" si="63"/>
        <v>0</v>
      </c>
      <c r="M363" s="69">
        <f t="shared" si="64"/>
        <v>0</v>
      </c>
      <c r="N363" s="69">
        <f t="shared" si="65"/>
        <v>0</v>
      </c>
      <c r="O363" s="69">
        <f t="shared" si="66"/>
        <v>0</v>
      </c>
      <c r="P363" s="69">
        <f t="shared" si="67"/>
        <v>0</v>
      </c>
      <c r="Q363" s="69">
        <f t="shared" si="68"/>
        <v>0</v>
      </c>
      <c r="R363" s="69">
        <f t="shared" si="69"/>
        <v>0</v>
      </c>
      <c r="S363" s="69">
        <f t="shared" si="70"/>
        <v>0</v>
      </c>
      <c r="T363" s="69">
        <f t="shared" si="71"/>
        <v>0</v>
      </c>
      <c r="U363" s="238"/>
      <c r="V363" s="240" t="s">
        <v>1063</v>
      </c>
      <c r="W363" s="240" t="s">
        <v>965</v>
      </c>
      <c r="X363" s="240" t="s">
        <v>966</v>
      </c>
      <c r="Y363" s="238" t="s">
        <v>328</v>
      </c>
      <c r="Z363" s="238" t="s">
        <v>328</v>
      </c>
      <c r="AA363" s="238" t="s">
        <v>1066</v>
      </c>
      <c r="AB363" s="238"/>
      <c r="AE363" s="267"/>
    </row>
    <row r="364" spans="1:31">
      <c r="A364" s="175"/>
      <c r="B364" s="64"/>
      <c r="C364" s="64"/>
      <c r="D364" s="64"/>
      <c r="E364" s="64"/>
      <c r="F364" s="64"/>
      <c r="G364" s="74"/>
      <c r="H364" s="52" t="s">
        <v>405</v>
      </c>
      <c r="I364" s="69">
        <f t="shared" si="60"/>
        <v>0</v>
      </c>
      <c r="J364" s="69">
        <f t="shared" si="61"/>
        <v>0</v>
      </c>
      <c r="K364" s="69">
        <f t="shared" si="62"/>
        <v>0</v>
      </c>
      <c r="L364" s="69">
        <f t="shared" si="63"/>
        <v>0</v>
      </c>
      <c r="M364" s="69">
        <f t="shared" si="64"/>
        <v>0</v>
      </c>
      <c r="N364" s="69">
        <f t="shared" si="65"/>
        <v>0</v>
      </c>
      <c r="O364" s="69">
        <f t="shared" si="66"/>
        <v>0</v>
      </c>
      <c r="P364" s="69">
        <f t="shared" si="67"/>
        <v>0</v>
      </c>
      <c r="Q364" s="69">
        <f t="shared" si="68"/>
        <v>0</v>
      </c>
      <c r="R364" s="69">
        <f t="shared" si="69"/>
        <v>0</v>
      </c>
      <c r="S364" s="69">
        <f t="shared" si="70"/>
        <v>0</v>
      </c>
      <c r="T364" s="69">
        <f t="shared" si="71"/>
        <v>0</v>
      </c>
      <c r="U364" s="238"/>
      <c r="V364" s="240" t="s">
        <v>1063</v>
      </c>
      <c r="W364" s="240" t="s">
        <v>965</v>
      </c>
      <c r="X364" s="240" t="s">
        <v>966</v>
      </c>
      <c r="Y364" s="238" t="s">
        <v>328</v>
      </c>
      <c r="Z364" s="238" t="s">
        <v>328</v>
      </c>
      <c r="AA364" s="238" t="s">
        <v>1066</v>
      </c>
      <c r="AB364" s="238"/>
      <c r="AE364" s="267"/>
    </row>
    <row r="365" spans="1:31">
      <c r="A365" s="175"/>
      <c r="B365" s="64"/>
      <c r="C365" s="64"/>
      <c r="D365" s="64"/>
      <c r="E365" s="64"/>
      <c r="F365" s="64"/>
      <c r="G365" s="74"/>
      <c r="H365" s="52" t="s">
        <v>406</v>
      </c>
      <c r="I365" s="69">
        <f t="shared" si="60"/>
        <v>0</v>
      </c>
      <c r="J365" s="69">
        <f t="shared" si="61"/>
        <v>0</v>
      </c>
      <c r="K365" s="69">
        <f t="shared" si="62"/>
        <v>0</v>
      </c>
      <c r="L365" s="69">
        <f t="shared" si="63"/>
        <v>0</v>
      </c>
      <c r="M365" s="69">
        <f t="shared" si="64"/>
        <v>0</v>
      </c>
      <c r="N365" s="69">
        <f t="shared" si="65"/>
        <v>0</v>
      </c>
      <c r="O365" s="69">
        <f t="shared" si="66"/>
        <v>0</v>
      </c>
      <c r="P365" s="69">
        <f t="shared" si="67"/>
        <v>0</v>
      </c>
      <c r="Q365" s="69">
        <f t="shared" si="68"/>
        <v>0</v>
      </c>
      <c r="R365" s="69">
        <f t="shared" si="69"/>
        <v>0</v>
      </c>
      <c r="S365" s="69">
        <f t="shared" si="70"/>
        <v>0</v>
      </c>
      <c r="T365" s="69">
        <f t="shared" si="71"/>
        <v>0</v>
      </c>
      <c r="U365" s="238"/>
      <c r="V365" s="240" t="s">
        <v>1063</v>
      </c>
      <c r="W365" s="240" t="s">
        <v>965</v>
      </c>
      <c r="X365" s="240" t="s">
        <v>966</v>
      </c>
      <c r="Y365" s="238" t="s">
        <v>328</v>
      </c>
      <c r="Z365" s="238" t="s">
        <v>328</v>
      </c>
      <c r="AA365" s="238" t="s">
        <v>1066</v>
      </c>
      <c r="AB365" s="238"/>
      <c r="AE365" s="267"/>
    </row>
    <row r="366" spans="1:31">
      <c r="A366" s="175"/>
      <c r="B366" s="64"/>
      <c r="C366" s="64"/>
      <c r="D366" s="64"/>
      <c r="E366" s="64"/>
      <c r="F366" s="64"/>
      <c r="G366" s="74"/>
      <c r="H366" s="52" t="s">
        <v>407</v>
      </c>
      <c r="I366" s="69">
        <f t="shared" si="60"/>
        <v>1</v>
      </c>
      <c r="J366" s="69">
        <f t="shared" si="61"/>
        <v>3</v>
      </c>
      <c r="K366" s="69">
        <f t="shared" si="62"/>
        <v>0</v>
      </c>
      <c r="L366" s="69">
        <f t="shared" si="63"/>
        <v>1</v>
      </c>
      <c r="M366" s="69">
        <f t="shared" si="64"/>
        <v>0</v>
      </c>
      <c r="N366" s="69">
        <f t="shared" si="65"/>
        <v>1</v>
      </c>
      <c r="O366" s="69">
        <f t="shared" si="66"/>
        <v>0</v>
      </c>
      <c r="P366" s="69">
        <f t="shared" si="67"/>
        <v>0</v>
      </c>
      <c r="Q366" s="69" t="str">
        <f t="shared" si="68"/>
        <v>F_FSPD</v>
      </c>
      <c r="R366" s="69">
        <f t="shared" si="69"/>
        <v>46</v>
      </c>
      <c r="S366" s="69">
        <f t="shared" si="70"/>
        <v>62</v>
      </c>
      <c r="T366" s="69">
        <f t="shared" si="71"/>
        <v>2</v>
      </c>
      <c r="U366" s="238"/>
      <c r="V366" s="240" t="s">
        <v>1063</v>
      </c>
      <c r="W366" s="240" t="s">
        <v>965</v>
      </c>
      <c r="X366" s="240" t="s">
        <v>966</v>
      </c>
      <c r="Y366" s="238" t="s">
        <v>328</v>
      </c>
      <c r="Z366" s="238" t="s">
        <v>328</v>
      </c>
      <c r="AA366" s="238" t="s">
        <v>1066</v>
      </c>
      <c r="AB366" s="238"/>
      <c r="AE366" s="267"/>
    </row>
    <row r="367" spans="1:31">
      <c r="A367" s="175"/>
      <c r="B367" s="64"/>
      <c r="C367" s="64"/>
      <c r="D367" s="64"/>
      <c r="E367" s="64"/>
      <c r="F367" s="64"/>
      <c r="G367" s="74"/>
      <c r="H367" s="52" t="s">
        <v>408</v>
      </c>
      <c r="I367" s="69">
        <f t="shared" si="60"/>
        <v>0</v>
      </c>
      <c r="J367" s="69">
        <f t="shared" si="61"/>
        <v>0</v>
      </c>
      <c r="K367" s="69">
        <f t="shared" si="62"/>
        <v>0</v>
      </c>
      <c r="L367" s="69">
        <f t="shared" si="63"/>
        <v>0</v>
      </c>
      <c r="M367" s="69">
        <f t="shared" si="64"/>
        <v>0</v>
      </c>
      <c r="N367" s="69">
        <f t="shared" si="65"/>
        <v>0</v>
      </c>
      <c r="O367" s="69">
        <f t="shared" si="66"/>
        <v>0</v>
      </c>
      <c r="P367" s="69">
        <f t="shared" si="67"/>
        <v>0</v>
      </c>
      <c r="Q367" s="69">
        <f t="shared" si="68"/>
        <v>0</v>
      </c>
      <c r="R367" s="69">
        <f t="shared" si="69"/>
        <v>0</v>
      </c>
      <c r="S367" s="69">
        <f t="shared" si="70"/>
        <v>0</v>
      </c>
      <c r="T367" s="69">
        <f t="shared" si="71"/>
        <v>0</v>
      </c>
      <c r="U367" s="238"/>
      <c r="V367" s="240" t="s">
        <v>1063</v>
      </c>
      <c r="W367" s="240" t="s">
        <v>965</v>
      </c>
      <c r="X367" s="240" t="s">
        <v>966</v>
      </c>
      <c r="Y367" s="238" t="s">
        <v>328</v>
      </c>
      <c r="Z367" s="238" t="s">
        <v>328</v>
      </c>
      <c r="AA367" s="238" t="s">
        <v>1066</v>
      </c>
      <c r="AB367" s="238"/>
      <c r="AE367" s="267"/>
    </row>
    <row r="368" spans="1:31">
      <c r="A368" s="175"/>
      <c r="B368" s="64"/>
      <c r="C368" s="64"/>
      <c r="D368" s="64"/>
      <c r="E368" s="64"/>
      <c r="F368" s="64"/>
      <c r="G368" s="74"/>
      <c r="H368" s="52" t="s">
        <v>409</v>
      </c>
      <c r="I368" s="69">
        <f t="shared" si="60"/>
        <v>0</v>
      </c>
      <c r="J368" s="69">
        <f t="shared" si="61"/>
        <v>0</v>
      </c>
      <c r="K368" s="69">
        <f t="shared" si="62"/>
        <v>0</v>
      </c>
      <c r="L368" s="69">
        <f t="shared" si="63"/>
        <v>0</v>
      </c>
      <c r="M368" s="69">
        <f t="shared" si="64"/>
        <v>0</v>
      </c>
      <c r="N368" s="69">
        <f t="shared" si="65"/>
        <v>0</v>
      </c>
      <c r="O368" s="69">
        <f t="shared" si="66"/>
        <v>0</v>
      </c>
      <c r="P368" s="69">
        <f t="shared" si="67"/>
        <v>0</v>
      </c>
      <c r="Q368" s="69">
        <f t="shared" si="68"/>
        <v>0</v>
      </c>
      <c r="R368" s="69">
        <f t="shared" si="69"/>
        <v>0</v>
      </c>
      <c r="S368" s="69">
        <f t="shared" si="70"/>
        <v>0</v>
      </c>
      <c r="T368" s="69">
        <f t="shared" si="71"/>
        <v>0</v>
      </c>
      <c r="U368" s="238"/>
      <c r="V368" s="240" t="s">
        <v>1063</v>
      </c>
      <c r="W368" s="240" t="s">
        <v>965</v>
      </c>
      <c r="X368" s="240" t="s">
        <v>966</v>
      </c>
      <c r="Y368" s="238" t="s">
        <v>328</v>
      </c>
      <c r="Z368" s="238" t="s">
        <v>328</v>
      </c>
      <c r="AA368" s="238" t="s">
        <v>1066</v>
      </c>
      <c r="AB368" s="238"/>
      <c r="AE368" s="267"/>
    </row>
    <row r="369" spans="1:31">
      <c r="A369" s="175"/>
      <c r="B369" s="64"/>
      <c r="C369" s="64"/>
      <c r="D369" s="64"/>
      <c r="E369" s="64"/>
      <c r="F369" s="64"/>
      <c r="G369" s="74"/>
      <c r="H369" s="52" t="s">
        <v>410</v>
      </c>
      <c r="I369" s="69">
        <f t="shared" si="60"/>
        <v>0</v>
      </c>
      <c r="J369" s="69">
        <f t="shared" si="61"/>
        <v>0</v>
      </c>
      <c r="K369" s="69">
        <f t="shared" si="62"/>
        <v>0</v>
      </c>
      <c r="L369" s="69">
        <f t="shared" si="63"/>
        <v>0</v>
      </c>
      <c r="M369" s="69">
        <f t="shared" si="64"/>
        <v>0</v>
      </c>
      <c r="N369" s="69">
        <f t="shared" si="65"/>
        <v>0</v>
      </c>
      <c r="O369" s="69">
        <f t="shared" si="66"/>
        <v>0</v>
      </c>
      <c r="P369" s="69">
        <f t="shared" si="67"/>
        <v>0</v>
      </c>
      <c r="Q369" s="69">
        <f t="shared" si="68"/>
        <v>0</v>
      </c>
      <c r="R369" s="69">
        <f t="shared" si="69"/>
        <v>0</v>
      </c>
      <c r="S369" s="69">
        <f t="shared" si="70"/>
        <v>0</v>
      </c>
      <c r="T369" s="69">
        <f t="shared" si="71"/>
        <v>0</v>
      </c>
      <c r="U369" s="238"/>
      <c r="V369" s="240" t="s">
        <v>1063</v>
      </c>
      <c r="W369" s="240" t="s">
        <v>965</v>
      </c>
      <c r="X369" s="240" t="s">
        <v>966</v>
      </c>
      <c r="Y369" s="238" t="s">
        <v>328</v>
      </c>
      <c r="Z369" s="238" t="s">
        <v>328</v>
      </c>
      <c r="AA369" s="238" t="s">
        <v>1066</v>
      </c>
      <c r="AB369" s="238"/>
      <c r="AE369" s="267"/>
    </row>
    <row r="370" spans="1:31">
      <c r="A370" s="175"/>
      <c r="B370" s="64"/>
      <c r="C370" s="64"/>
      <c r="D370" s="64"/>
      <c r="E370" s="64"/>
      <c r="F370" s="64"/>
      <c r="G370" s="74"/>
      <c r="H370" s="52" t="s">
        <v>411</v>
      </c>
      <c r="I370" s="69">
        <f t="shared" si="60"/>
        <v>0</v>
      </c>
      <c r="J370" s="69">
        <f t="shared" si="61"/>
        <v>0</v>
      </c>
      <c r="K370" s="69">
        <f t="shared" si="62"/>
        <v>0</v>
      </c>
      <c r="L370" s="69">
        <f t="shared" si="63"/>
        <v>0</v>
      </c>
      <c r="M370" s="69">
        <f t="shared" si="64"/>
        <v>0</v>
      </c>
      <c r="N370" s="69">
        <f t="shared" si="65"/>
        <v>0</v>
      </c>
      <c r="O370" s="69">
        <f t="shared" si="66"/>
        <v>0</v>
      </c>
      <c r="P370" s="69">
        <f t="shared" si="67"/>
        <v>0</v>
      </c>
      <c r="Q370" s="69">
        <f t="shared" si="68"/>
        <v>0</v>
      </c>
      <c r="R370" s="69">
        <f t="shared" si="69"/>
        <v>0</v>
      </c>
      <c r="S370" s="69">
        <f t="shared" si="70"/>
        <v>0</v>
      </c>
      <c r="T370" s="69">
        <f t="shared" si="71"/>
        <v>0</v>
      </c>
      <c r="U370" s="238"/>
      <c r="V370" s="240" t="s">
        <v>1063</v>
      </c>
      <c r="W370" s="240" t="s">
        <v>965</v>
      </c>
      <c r="X370" s="240" t="s">
        <v>966</v>
      </c>
      <c r="Y370" s="238" t="s">
        <v>328</v>
      </c>
      <c r="Z370" s="238" t="s">
        <v>328</v>
      </c>
      <c r="AA370" s="238" t="s">
        <v>1066</v>
      </c>
      <c r="AB370" s="238"/>
      <c r="AE370" s="267"/>
    </row>
    <row r="371" spans="1:31">
      <c r="A371" s="175"/>
      <c r="B371" s="64"/>
      <c r="C371" s="64"/>
      <c r="D371" s="64"/>
      <c r="E371" s="64"/>
      <c r="F371" s="64"/>
      <c r="G371" s="74"/>
      <c r="H371" s="52" t="s">
        <v>412</v>
      </c>
      <c r="I371" s="69">
        <f t="shared" si="60"/>
        <v>0</v>
      </c>
      <c r="J371" s="69">
        <f t="shared" si="61"/>
        <v>0</v>
      </c>
      <c r="K371" s="69">
        <f t="shared" si="62"/>
        <v>0</v>
      </c>
      <c r="L371" s="69">
        <f t="shared" si="63"/>
        <v>0</v>
      </c>
      <c r="M371" s="69">
        <f t="shared" si="64"/>
        <v>0</v>
      </c>
      <c r="N371" s="69">
        <f t="shared" si="65"/>
        <v>0</v>
      </c>
      <c r="O371" s="69">
        <f t="shared" si="66"/>
        <v>0</v>
      </c>
      <c r="P371" s="69">
        <f t="shared" si="67"/>
        <v>0</v>
      </c>
      <c r="Q371" s="69">
        <f t="shared" si="68"/>
        <v>0</v>
      </c>
      <c r="R371" s="69">
        <f t="shared" si="69"/>
        <v>0</v>
      </c>
      <c r="S371" s="69">
        <f t="shared" si="70"/>
        <v>0</v>
      </c>
      <c r="T371" s="69">
        <f t="shared" si="71"/>
        <v>0</v>
      </c>
      <c r="U371" s="238"/>
      <c r="V371" s="240" t="s">
        <v>1063</v>
      </c>
      <c r="W371" s="240" t="s">
        <v>965</v>
      </c>
      <c r="X371" s="240" t="s">
        <v>966</v>
      </c>
      <c r="Y371" s="238" t="s">
        <v>328</v>
      </c>
      <c r="Z371" s="238" t="s">
        <v>328</v>
      </c>
      <c r="AA371" s="238" t="s">
        <v>1066</v>
      </c>
      <c r="AB371" s="238"/>
      <c r="AE371" s="267"/>
    </row>
    <row r="372" spans="1:31">
      <c r="A372" s="175"/>
      <c r="B372" s="64"/>
      <c r="C372" s="64"/>
      <c r="D372" s="64"/>
      <c r="E372" s="64"/>
      <c r="F372" s="64"/>
      <c r="G372" s="74"/>
      <c r="H372" s="52" t="s">
        <v>413</v>
      </c>
      <c r="I372" s="69">
        <f t="shared" si="60"/>
        <v>0</v>
      </c>
      <c r="J372" s="69">
        <f t="shared" si="61"/>
        <v>0</v>
      </c>
      <c r="K372" s="69">
        <f t="shared" si="62"/>
        <v>0</v>
      </c>
      <c r="L372" s="69">
        <f t="shared" si="63"/>
        <v>0</v>
      </c>
      <c r="M372" s="69">
        <f t="shared" si="64"/>
        <v>0</v>
      </c>
      <c r="N372" s="69">
        <f t="shared" si="65"/>
        <v>0</v>
      </c>
      <c r="O372" s="69">
        <f t="shared" si="66"/>
        <v>0</v>
      </c>
      <c r="P372" s="69">
        <f t="shared" si="67"/>
        <v>0</v>
      </c>
      <c r="Q372" s="69">
        <f t="shared" si="68"/>
        <v>0</v>
      </c>
      <c r="R372" s="69">
        <f t="shared" si="69"/>
        <v>0</v>
      </c>
      <c r="S372" s="69">
        <f t="shared" si="70"/>
        <v>0</v>
      </c>
      <c r="T372" s="69">
        <f t="shared" si="71"/>
        <v>0</v>
      </c>
      <c r="U372" s="238"/>
      <c r="V372" s="240" t="s">
        <v>1063</v>
      </c>
      <c r="W372" s="240" t="s">
        <v>965</v>
      </c>
      <c r="X372" s="240" t="s">
        <v>966</v>
      </c>
      <c r="Y372" s="238" t="s">
        <v>328</v>
      </c>
      <c r="Z372" s="238" t="s">
        <v>328</v>
      </c>
      <c r="AA372" s="238" t="s">
        <v>1066</v>
      </c>
      <c r="AB372" s="238"/>
      <c r="AE372" s="267"/>
    </row>
    <row r="373" spans="1:31">
      <c r="A373" s="175"/>
      <c r="B373" s="64"/>
      <c r="C373" s="64"/>
      <c r="D373" s="64"/>
      <c r="E373" s="64"/>
      <c r="F373" s="64"/>
      <c r="G373" s="74"/>
      <c r="H373" s="52" t="s">
        <v>414</v>
      </c>
      <c r="I373" s="69">
        <f t="shared" si="60"/>
        <v>0</v>
      </c>
      <c r="J373" s="69">
        <f t="shared" si="61"/>
        <v>0</v>
      </c>
      <c r="K373" s="69">
        <f t="shared" si="62"/>
        <v>0</v>
      </c>
      <c r="L373" s="69">
        <f t="shared" si="63"/>
        <v>0</v>
      </c>
      <c r="M373" s="69">
        <f t="shared" si="64"/>
        <v>0</v>
      </c>
      <c r="N373" s="69">
        <f t="shared" si="65"/>
        <v>0</v>
      </c>
      <c r="O373" s="69">
        <f t="shared" si="66"/>
        <v>0</v>
      </c>
      <c r="P373" s="69">
        <f t="shared" si="67"/>
        <v>0</v>
      </c>
      <c r="Q373" s="69">
        <f t="shared" si="68"/>
        <v>0</v>
      </c>
      <c r="R373" s="69">
        <f t="shared" si="69"/>
        <v>0</v>
      </c>
      <c r="S373" s="69">
        <f t="shared" si="70"/>
        <v>0</v>
      </c>
      <c r="T373" s="69">
        <f t="shared" si="71"/>
        <v>0</v>
      </c>
      <c r="U373" s="238"/>
      <c r="V373" s="240" t="s">
        <v>1063</v>
      </c>
      <c r="W373" s="240" t="s">
        <v>965</v>
      </c>
      <c r="X373" s="240" t="s">
        <v>966</v>
      </c>
      <c r="Y373" s="238" t="s">
        <v>328</v>
      </c>
      <c r="Z373" s="238" t="s">
        <v>328</v>
      </c>
      <c r="AA373" s="238" t="s">
        <v>1066</v>
      </c>
      <c r="AB373" s="238"/>
      <c r="AE373" s="267"/>
    </row>
    <row r="374" spans="1:31">
      <c r="A374" s="175"/>
      <c r="B374" s="64"/>
      <c r="C374" s="64"/>
      <c r="D374" s="64"/>
      <c r="E374" s="64"/>
      <c r="F374" s="64"/>
      <c r="G374" s="74"/>
      <c r="H374" s="52" t="s">
        <v>415</v>
      </c>
      <c r="I374" s="69">
        <f t="shared" si="60"/>
        <v>0</v>
      </c>
      <c r="J374" s="69">
        <f t="shared" si="61"/>
        <v>0</v>
      </c>
      <c r="K374" s="69">
        <f t="shared" si="62"/>
        <v>0</v>
      </c>
      <c r="L374" s="69">
        <f t="shared" si="63"/>
        <v>0</v>
      </c>
      <c r="M374" s="69">
        <f t="shared" si="64"/>
        <v>0</v>
      </c>
      <c r="N374" s="69">
        <f t="shared" si="65"/>
        <v>0</v>
      </c>
      <c r="O374" s="69">
        <f t="shared" si="66"/>
        <v>0</v>
      </c>
      <c r="P374" s="69">
        <f t="shared" si="67"/>
        <v>0</v>
      </c>
      <c r="Q374" s="69">
        <f t="shared" si="68"/>
        <v>0</v>
      </c>
      <c r="R374" s="69">
        <f t="shared" si="69"/>
        <v>0</v>
      </c>
      <c r="S374" s="69">
        <f t="shared" si="70"/>
        <v>0</v>
      </c>
      <c r="T374" s="69">
        <f t="shared" si="71"/>
        <v>0</v>
      </c>
      <c r="U374" s="238"/>
      <c r="V374" s="240" t="s">
        <v>1063</v>
      </c>
      <c r="W374" s="240" t="s">
        <v>965</v>
      </c>
      <c r="X374" s="240" t="s">
        <v>966</v>
      </c>
      <c r="Y374" s="238" t="s">
        <v>328</v>
      </c>
      <c r="Z374" s="238" t="s">
        <v>328</v>
      </c>
      <c r="AA374" s="238" t="s">
        <v>1066</v>
      </c>
      <c r="AB374" s="238"/>
      <c r="AE374" s="267"/>
    </row>
  </sheetData>
  <sheetProtection formatColumns="0" formatRows="0"/>
  <conditionalFormatting sqref="J20">
    <cfRule type="cellIs" dxfId="212" priority="1" operator="equal">
      <formula>TRUE</formula>
    </cfRule>
  </conditionalFormatting>
  <dataValidations count="5">
    <dataValidation type="list" allowBlank="1" showInputMessage="1" showErrorMessage="1" sqref="Y24:AA374" xr:uid="{E98492B6-9C2F-4ED0-90E3-49D328EF0CB7}">
      <formula1>"Afkoop Uitkeringen,CW(KD+PR),CW(PR) daling,CW(PR),VVP (Math. Reserve)"</formula1>
    </dataValidation>
    <dataValidation type="list" allowBlank="1" showInputMessage="1" showErrorMessage="1" sqref="U24:U374 AB24:AB374" xr:uid="{B2D124B9-7B6B-44E0-A4A5-63F499236C03}">
      <formula1>"0,1"</formula1>
    </dataValidation>
    <dataValidation type="list" allowBlank="1" showInputMessage="1" showErrorMessage="1" sqref="X24:X374" xr:uid="{5102BC5E-C1D8-4575-B09A-36B953A0C1DA}">
      <formula1>"FN_PREM_IV, "</formula1>
    </dataValidation>
    <dataValidation type="list" allowBlank="1" showInputMessage="1" showErrorMessage="1" sqref="W24:W374" xr:uid="{85A952CD-DB5F-44E3-9ED4-2CCBCEFA36E4}">
      <formula1>"VVP (Math. Reserve),# Lijfrenteposten,# PremieVrije(PUP)"</formula1>
    </dataValidation>
    <dataValidation type="list" allowBlank="1" showInputMessage="1" showErrorMessage="1" sqref="V24:V374" xr:uid="{0C4DEAC0-9836-44FE-876B-C9D211F3C1FC}">
      <formula1>"FN_RISPREM,CAPITAL_AT_RISK"</formula1>
    </dataValidation>
  </dataValidation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049B7-1CEE-48B1-AA61-89E80688BB7E}">
  <sheetPr codeName="Blad18">
    <tabColor rgb="FFCCFFCC"/>
  </sheetPr>
  <dimension ref="A1:C404"/>
  <sheetViews>
    <sheetView zoomScale="115" zoomScaleNormal="115" workbookViewId="0"/>
  </sheetViews>
  <sheetFormatPr defaultRowHeight="12.75"/>
  <cols>
    <col min="1" max="1" width="28.42578125" bestFit="1" customWidth="1" collapsed="1"/>
    <col min="2" max="2" width="18.5703125" bestFit="1" customWidth="1" collapsed="1"/>
    <col min="3" max="3" width="13.140625" bestFit="1" customWidth="1" collapsed="1"/>
  </cols>
  <sheetData>
    <row r="1" spans="1:3" ht="18.75">
      <c r="A1" s="60" t="s">
        <v>323</v>
      </c>
    </row>
    <row r="2" spans="1:3">
      <c r="A2" s="64" t="str">
        <f>ModelpuntInfo!H12</f>
        <v>Rapportagekwartaal</v>
      </c>
      <c r="B2" s="64" t="str">
        <f>ModelpuntInfo!I12</f>
        <v>2021Q2</v>
      </c>
    </row>
    <row r="4" spans="1:3">
      <c r="A4" s="52" t="s">
        <v>318</v>
      </c>
      <c r="B4" s="52" t="s">
        <v>319</v>
      </c>
      <c r="C4" s="52" t="s">
        <v>320</v>
      </c>
    </row>
    <row r="5" spans="1:3">
      <c r="A5" s="195" t="str">
        <f>'Overview MP Life'!$A10</f>
        <v>ANWH</v>
      </c>
      <c r="B5" s="195" t="str">
        <f>IF($A5=0,0,VLOOKUP($A5,ModelpuntInfo!$H$24:$H$375,1,FALSE))</f>
        <v>ANWH</v>
      </c>
      <c r="C5" s="168" t="b">
        <f>A5=B5</f>
        <v>1</v>
      </c>
    </row>
    <row r="6" spans="1:3">
      <c r="A6" s="195" t="str">
        <f>'Overview MP Life'!$A11</f>
        <v>EABA</v>
      </c>
      <c r="B6" s="195" t="str">
        <f>IF($A6=0,0,VLOOKUP($A6,ModelpuntInfo!$H$24:$H$375,1,FALSE))</f>
        <v>EABA</v>
      </c>
      <c r="C6" s="168" t="b">
        <f t="shared" ref="C6:C69" si="0">A6=B6</f>
        <v>1</v>
      </c>
    </row>
    <row r="7" spans="1:3">
      <c r="A7" s="195" t="str">
        <f>'Overview MP Life'!$A12</f>
        <v>EABB</v>
      </c>
      <c r="B7" s="195" t="str">
        <f>IF($A7=0,0,VLOOKUP($A7,ModelpuntInfo!$H$24:$H$375,1,FALSE))</f>
        <v>EABB</v>
      </c>
      <c r="C7" s="168" t="b">
        <f t="shared" si="0"/>
        <v>1</v>
      </c>
    </row>
    <row r="8" spans="1:3">
      <c r="A8" s="195" t="str">
        <f>'Overview MP Life'!$A13</f>
        <v>EABC</v>
      </c>
      <c r="B8" s="195" t="str">
        <f>IF($A8=0,0,VLOOKUP($A8,ModelpuntInfo!$H$24:$H$375,1,FALSE))</f>
        <v>EABC</v>
      </c>
      <c r="C8" s="168" t="b">
        <f t="shared" si="0"/>
        <v>1</v>
      </c>
    </row>
    <row r="9" spans="1:3">
      <c r="A9" s="195" t="str">
        <f>'Overview MP Life'!$A14</f>
        <v>EABD</v>
      </c>
      <c r="B9" s="195" t="str">
        <f>IF($A9=0,0,VLOOKUP($A9,ModelpuntInfo!$H$24:$H$375,1,FALSE))</f>
        <v>EABD</v>
      </c>
      <c r="C9" s="168" t="b">
        <f t="shared" si="0"/>
        <v>1</v>
      </c>
    </row>
    <row r="10" spans="1:3">
      <c r="A10" s="195" t="str">
        <f>'Overview MP Life'!$A15</f>
        <v>EABE</v>
      </c>
      <c r="B10" s="195" t="str">
        <f>IF($A10=0,0,VLOOKUP($A10,ModelpuntInfo!$H$24:$H$375,1,FALSE))</f>
        <v>EABE</v>
      </c>
      <c r="C10" s="168" t="b">
        <f t="shared" si="0"/>
        <v>1</v>
      </c>
    </row>
    <row r="11" spans="1:3">
      <c r="A11" s="195" t="str">
        <f>'Overview MP Life'!$A16</f>
        <v>EABF</v>
      </c>
      <c r="B11" s="195" t="str">
        <f>IF($A11=0,0,VLOOKUP($A11,ModelpuntInfo!$H$24:$H$375,1,FALSE))</f>
        <v>EABF</v>
      </c>
      <c r="C11" s="168" t="b">
        <f t="shared" si="0"/>
        <v>1</v>
      </c>
    </row>
    <row r="12" spans="1:3">
      <c r="A12" s="195" t="str">
        <f>'Overview MP Life'!$A17</f>
        <v>EABG</v>
      </c>
      <c r="B12" s="195" t="str">
        <f>IF($A12=0,0,VLOOKUP($A12,ModelpuntInfo!$H$24:$H$375,1,FALSE))</f>
        <v>EABG</v>
      </c>
      <c r="C12" s="168" t="b">
        <f t="shared" si="0"/>
        <v>1</v>
      </c>
    </row>
    <row r="13" spans="1:3">
      <c r="A13" s="195" t="str">
        <f>'Overview MP Life'!$A18</f>
        <v>EABJ</v>
      </c>
      <c r="B13" s="195" t="str">
        <f>IF($A13=0,0,VLOOKUP($A13,ModelpuntInfo!$H$24:$H$375,1,FALSE))</f>
        <v>EABJ</v>
      </c>
      <c r="C13" s="168" t="b">
        <f t="shared" si="0"/>
        <v>1</v>
      </c>
    </row>
    <row r="14" spans="1:3">
      <c r="A14" s="195" t="str">
        <f>'Overview MP Life'!$A19</f>
        <v>EABK</v>
      </c>
      <c r="B14" s="195" t="str">
        <f>IF($A14=0,0,VLOOKUP($A14,ModelpuntInfo!$H$24:$H$375,1,FALSE))</f>
        <v>EABK</v>
      </c>
      <c r="C14" s="168" t="b">
        <f t="shared" si="0"/>
        <v>1</v>
      </c>
    </row>
    <row r="15" spans="1:3">
      <c r="A15" s="195" t="str">
        <f>'Overview MP Life'!$A20</f>
        <v>EABL</v>
      </c>
      <c r="B15" s="195" t="str">
        <f>IF($A15=0,0,VLOOKUP($A15,ModelpuntInfo!$H$24:$H$375,1,FALSE))</f>
        <v>EABL</v>
      </c>
      <c r="C15" s="168" t="b">
        <f t="shared" si="0"/>
        <v>1</v>
      </c>
    </row>
    <row r="16" spans="1:3">
      <c r="A16" s="195" t="str">
        <f>'Overview MP Life'!$A21</f>
        <v>EABM</v>
      </c>
      <c r="B16" s="195" t="str">
        <f>IF($A16=0,0,VLOOKUP($A16,ModelpuntInfo!$H$24:$H$375,1,FALSE))</f>
        <v>EABM</v>
      </c>
      <c r="C16" s="168" t="b">
        <f t="shared" si="0"/>
        <v>1</v>
      </c>
    </row>
    <row r="17" spans="1:3">
      <c r="A17" s="195" t="str">
        <f>'Overview MP Life'!$A22</f>
        <v>EABT</v>
      </c>
      <c r="B17" s="195" t="str">
        <f>IF($A17=0,0,VLOOKUP($A17,ModelpuntInfo!$H$24:$H$375,1,FALSE))</f>
        <v>EABT</v>
      </c>
      <c r="C17" s="168" t="b">
        <f t="shared" si="0"/>
        <v>1</v>
      </c>
    </row>
    <row r="18" spans="1:3">
      <c r="A18" s="195" t="str">
        <f>'Overview MP Life'!$A23</f>
        <v>EABV</v>
      </c>
      <c r="B18" s="195" t="str">
        <f>IF($A18=0,0,VLOOKUP($A18,ModelpuntInfo!$H$24:$H$375,1,FALSE))</f>
        <v>EABV</v>
      </c>
      <c r="C18" s="168" t="b">
        <f t="shared" si="0"/>
        <v>1</v>
      </c>
    </row>
    <row r="19" spans="1:3">
      <c r="A19" s="195" t="str">
        <f>'Overview MP Life'!$A24</f>
        <v>EACG</v>
      </c>
      <c r="B19" s="195" t="str">
        <f>IF($A19=0,0,VLOOKUP($A19,ModelpuntInfo!$H$24:$H$375,1,FALSE))</f>
        <v>EACG</v>
      </c>
      <c r="C19" s="168" t="b">
        <f t="shared" si="0"/>
        <v>1</v>
      </c>
    </row>
    <row r="20" spans="1:3">
      <c r="A20" s="195" t="str">
        <f>'Overview MP Life'!$A25</f>
        <v>EACN</v>
      </c>
      <c r="B20" s="195" t="str">
        <f>IF($A20=0,0,VLOOKUP($A20,ModelpuntInfo!$H$24:$H$375,1,FALSE))</f>
        <v>EACN</v>
      </c>
      <c r="C20" s="168" t="b">
        <f t="shared" si="0"/>
        <v>1</v>
      </c>
    </row>
    <row r="21" spans="1:3">
      <c r="A21" s="195" t="str">
        <f>'Overview MP Life'!$A26</f>
        <v>EADP</v>
      </c>
      <c r="B21" s="195" t="str">
        <f>IF($A21=0,0,VLOOKUP($A21,ModelpuntInfo!$H$24:$H$375,1,FALSE))</f>
        <v>EADP</v>
      </c>
      <c r="C21" s="168" t="b">
        <f t="shared" si="0"/>
        <v>1</v>
      </c>
    </row>
    <row r="22" spans="1:3">
      <c r="A22" s="195" t="str">
        <f>'Overview MP Life'!$A27</f>
        <v>EADV</v>
      </c>
      <c r="B22" s="195" t="str">
        <f>IF($A22=0,0,VLOOKUP($A22,ModelpuntInfo!$H$24:$H$375,1,FALSE))</f>
        <v>EADV</v>
      </c>
      <c r="C22" s="168" t="b">
        <f t="shared" si="0"/>
        <v>1</v>
      </c>
    </row>
    <row r="23" spans="1:3">
      <c r="A23" s="195" t="str">
        <f>'Overview MP Life'!$A28</f>
        <v>EANW</v>
      </c>
      <c r="B23" s="195" t="str">
        <f>IF($A23=0,0,VLOOKUP($A23,ModelpuntInfo!$H$24:$H$375,1,FALSE))</f>
        <v>EANW</v>
      </c>
      <c r="C23" s="168" t="b">
        <f t="shared" si="0"/>
        <v>1</v>
      </c>
    </row>
    <row r="24" spans="1:3">
      <c r="A24" s="195" t="str">
        <f>'Overview MP Life'!$A29</f>
        <v>EAOA</v>
      </c>
      <c r="B24" s="195" t="str">
        <f>IF($A24=0,0,VLOOKUP($A24,ModelpuntInfo!$H$24:$H$375,1,FALSE))</f>
        <v>EAOA</v>
      </c>
      <c r="C24" s="168" t="b">
        <f t="shared" si="0"/>
        <v>1</v>
      </c>
    </row>
    <row r="25" spans="1:3">
      <c r="A25" s="195" t="str">
        <f>'Overview MP Life'!$A30</f>
        <v>EAOB</v>
      </c>
      <c r="B25" s="195" t="str">
        <f>IF($A25=0,0,VLOOKUP($A25,ModelpuntInfo!$H$24:$H$375,1,FALSE))</f>
        <v>EAOB</v>
      </c>
      <c r="C25" s="168" t="b">
        <f t="shared" si="0"/>
        <v>1</v>
      </c>
    </row>
    <row r="26" spans="1:3">
      <c r="A26" s="195" t="str">
        <f>'Overview MP Life'!$A31</f>
        <v>EAOC</v>
      </c>
      <c r="B26" s="195" t="str">
        <f>IF($A26=0,0,VLOOKUP($A26,ModelpuntInfo!$H$24:$H$375,1,FALSE))</f>
        <v>EAOC</v>
      </c>
      <c r="C26" s="168" t="b">
        <f t="shared" si="0"/>
        <v>1</v>
      </c>
    </row>
    <row r="27" spans="1:3">
      <c r="A27" s="195" t="str">
        <f>'Overview MP Life'!$A32</f>
        <v>EAOD</v>
      </c>
      <c r="B27" s="195" t="str">
        <f>IF($A27=0,0,VLOOKUP($A27,ModelpuntInfo!$H$24:$H$375,1,FALSE))</f>
        <v>EAOD</v>
      </c>
      <c r="C27" s="168" t="b">
        <f t="shared" si="0"/>
        <v>1</v>
      </c>
    </row>
    <row r="28" spans="1:3">
      <c r="A28" s="195" t="str">
        <f>'Overview MP Life'!$A33</f>
        <v>EAOE</v>
      </c>
      <c r="B28" s="195" t="str">
        <f>IF($A28=0,0,VLOOKUP($A28,ModelpuntInfo!$H$24:$H$375,1,FALSE))</f>
        <v>EAOE</v>
      </c>
      <c r="C28" s="168" t="b">
        <f t="shared" si="0"/>
        <v>1</v>
      </c>
    </row>
    <row r="29" spans="1:3">
      <c r="A29" s="195" t="str">
        <f>'Overview MP Life'!$A34</f>
        <v>EAOF</v>
      </c>
      <c r="B29" s="195" t="str">
        <f>IF($A29=0,0,VLOOKUP($A29,ModelpuntInfo!$H$24:$H$375,1,FALSE))</f>
        <v>EAOF</v>
      </c>
      <c r="C29" s="168" t="b">
        <f t="shared" si="0"/>
        <v>1</v>
      </c>
    </row>
    <row r="30" spans="1:3">
      <c r="A30" s="195" t="str">
        <f>'Overview MP Life'!$A35</f>
        <v>EAOG</v>
      </c>
      <c r="B30" s="195" t="str">
        <f>IF($A30=0,0,VLOOKUP($A30,ModelpuntInfo!$H$24:$H$375,1,FALSE))</f>
        <v>EAOG</v>
      </c>
      <c r="C30" s="168" t="b">
        <f t="shared" si="0"/>
        <v>1</v>
      </c>
    </row>
    <row r="31" spans="1:3">
      <c r="A31" s="195" t="str">
        <f>'Overview MP Life'!$A36</f>
        <v>EAOJ</v>
      </c>
      <c r="B31" s="195" t="str">
        <f>IF($A31=0,0,VLOOKUP($A31,ModelpuntInfo!$H$24:$H$375,1,FALSE))</f>
        <v>EAOJ</v>
      </c>
      <c r="C31" s="168" t="b">
        <f t="shared" si="0"/>
        <v>1</v>
      </c>
    </row>
    <row r="32" spans="1:3">
      <c r="A32" s="195" t="str">
        <f>'Overview MP Life'!$A37</f>
        <v>EAOK</v>
      </c>
      <c r="B32" s="195" t="str">
        <f>IF($A32=0,0,VLOOKUP($A32,ModelpuntInfo!$H$24:$H$375,1,FALSE))</f>
        <v>EAOK</v>
      </c>
      <c r="C32" s="168" t="b">
        <f t="shared" si="0"/>
        <v>1</v>
      </c>
    </row>
    <row r="33" spans="1:3">
      <c r="A33" s="195" t="str">
        <f>'Overview MP Life'!$A38</f>
        <v>EAOL</v>
      </c>
      <c r="B33" s="195" t="str">
        <f>IF($A33=0,0,VLOOKUP($A33,ModelpuntInfo!$H$24:$H$375,1,FALSE))</f>
        <v>EAOL</v>
      </c>
      <c r="C33" s="168" t="b">
        <f t="shared" si="0"/>
        <v>1</v>
      </c>
    </row>
    <row r="34" spans="1:3">
      <c r="A34" s="195" t="str">
        <f>'Overview MP Life'!$A39</f>
        <v>EAOM</v>
      </c>
      <c r="B34" s="195" t="str">
        <f>IF($A34=0,0,VLOOKUP($A34,ModelpuntInfo!$H$24:$H$375,1,FALSE))</f>
        <v>EAOM</v>
      </c>
      <c r="C34" s="168" t="b">
        <f t="shared" si="0"/>
        <v>1</v>
      </c>
    </row>
    <row r="35" spans="1:3">
      <c r="A35" s="195" t="str">
        <f>'Overview MP Life'!$A40</f>
        <v>EAOT</v>
      </c>
      <c r="B35" s="195" t="str">
        <f>IF($A35=0,0,VLOOKUP($A35,ModelpuntInfo!$H$24:$H$375,1,FALSE))</f>
        <v>EAOT</v>
      </c>
      <c r="C35" s="168" t="b">
        <f t="shared" si="0"/>
        <v>1</v>
      </c>
    </row>
    <row r="36" spans="1:3">
      <c r="A36" s="195" t="str">
        <f>'Overview MP Life'!$A41</f>
        <v>EAOV</v>
      </c>
      <c r="B36" s="195" t="str">
        <f>IF($A36=0,0,VLOOKUP($A36,ModelpuntInfo!$H$24:$H$375,1,FALSE))</f>
        <v>EAOV</v>
      </c>
      <c r="C36" s="168" t="b">
        <f t="shared" si="0"/>
        <v>1</v>
      </c>
    </row>
    <row r="37" spans="1:3">
      <c r="A37" s="195" t="str">
        <f>'Overview MP Life'!$A42</f>
        <v>EAPF</v>
      </c>
      <c r="B37" s="195" t="str">
        <f>IF($A37=0,0,VLOOKUP($A37,ModelpuntInfo!$H$24:$H$375,1,FALSE))</f>
        <v>EAPF</v>
      </c>
      <c r="C37" s="168" t="b">
        <f t="shared" si="0"/>
        <v>1</v>
      </c>
    </row>
    <row r="38" spans="1:3">
      <c r="A38" s="195" t="str">
        <f>'Overview MP Life'!$A43</f>
        <v>EAPG</v>
      </c>
      <c r="B38" s="195" t="str">
        <f>IF($A38=0,0,VLOOKUP($A38,ModelpuntInfo!$H$24:$H$375,1,FALSE))</f>
        <v>EAPG</v>
      </c>
      <c r="C38" s="168" t="b">
        <f t="shared" si="0"/>
        <v>1</v>
      </c>
    </row>
    <row r="39" spans="1:3">
      <c r="A39" s="195" t="str">
        <f>'Overview MP Life'!$A44</f>
        <v>EARA</v>
      </c>
      <c r="B39" s="195" t="str">
        <f>IF($A39=0,0,VLOOKUP($A39,ModelpuntInfo!$H$24:$H$375,1,FALSE))</f>
        <v>EARA</v>
      </c>
      <c r="C39" s="168" t="b">
        <f t="shared" si="0"/>
        <v>1</v>
      </c>
    </row>
    <row r="40" spans="1:3">
      <c r="A40" s="195" t="str">
        <f>'Overview MP Life'!$A45</f>
        <v>EARB</v>
      </c>
      <c r="B40" s="195" t="str">
        <f>IF($A40=0,0,VLOOKUP($A40,ModelpuntInfo!$H$24:$H$375,1,FALSE))</f>
        <v>EARB</v>
      </c>
      <c r="C40" s="168" t="b">
        <f t="shared" si="0"/>
        <v>1</v>
      </c>
    </row>
    <row r="41" spans="1:3">
      <c r="A41" s="195" t="str">
        <f>'Overview MP Life'!$A46</f>
        <v>EARC</v>
      </c>
      <c r="B41" s="195" t="str">
        <f>IF($A41=0,0,VLOOKUP($A41,ModelpuntInfo!$H$24:$H$375,1,FALSE))</f>
        <v>EARC</v>
      </c>
      <c r="C41" s="168" t="b">
        <f t="shared" si="0"/>
        <v>1</v>
      </c>
    </row>
    <row r="42" spans="1:3">
      <c r="A42" s="195" t="str">
        <f>'Overview MP Life'!$A47</f>
        <v>EARD</v>
      </c>
      <c r="B42" s="195" t="str">
        <f>IF($A42=0,0,VLOOKUP($A42,ModelpuntInfo!$H$24:$H$375,1,FALSE))</f>
        <v>EARD</v>
      </c>
      <c r="C42" s="168" t="b">
        <f t="shared" si="0"/>
        <v>1</v>
      </c>
    </row>
    <row r="43" spans="1:3">
      <c r="A43" s="195" t="str">
        <f>'Overview MP Life'!$A48</f>
        <v>EARE</v>
      </c>
      <c r="B43" s="195" t="str">
        <f>IF($A43=0,0,VLOOKUP($A43,ModelpuntInfo!$H$24:$H$375,1,FALSE))</f>
        <v>EARE</v>
      </c>
      <c r="C43" s="168" t="b">
        <f t="shared" si="0"/>
        <v>1</v>
      </c>
    </row>
    <row r="44" spans="1:3">
      <c r="A44" s="195" t="str">
        <f>'Overview MP Life'!$A49</f>
        <v>EARF</v>
      </c>
      <c r="B44" s="195" t="str">
        <f>IF($A44=0,0,VLOOKUP($A44,ModelpuntInfo!$H$24:$H$375,1,FALSE))</f>
        <v>EARF</v>
      </c>
      <c r="C44" s="168" t="b">
        <f t="shared" si="0"/>
        <v>1</v>
      </c>
    </row>
    <row r="45" spans="1:3">
      <c r="A45" s="195" t="str">
        <f>'Overview MP Life'!$A50</f>
        <v>EARG</v>
      </c>
      <c r="B45" s="195" t="str">
        <f>IF($A45=0,0,VLOOKUP($A45,ModelpuntInfo!$H$24:$H$375,1,FALSE))</f>
        <v>EARG</v>
      </c>
      <c r="C45" s="168" t="b">
        <f t="shared" si="0"/>
        <v>1</v>
      </c>
    </row>
    <row r="46" spans="1:3">
      <c r="A46" s="195" t="str">
        <f>'Overview MP Life'!$A51</f>
        <v>EARJ</v>
      </c>
      <c r="B46" s="195" t="str">
        <f>IF($A46=0,0,VLOOKUP($A46,ModelpuntInfo!$H$24:$H$375,1,FALSE))</f>
        <v>EARJ</v>
      </c>
      <c r="C46" s="168" t="b">
        <f t="shared" si="0"/>
        <v>1</v>
      </c>
    </row>
    <row r="47" spans="1:3">
      <c r="A47" s="195" t="str">
        <f>'Overview MP Life'!$A52</f>
        <v>EARK</v>
      </c>
      <c r="B47" s="195" t="str">
        <f>IF($A47=0,0,VLOOKUP($A47,ModelpuntInfo!$H$24:$H$375,1,FALSE))</f>
        <v>EARK</v>
      </c>
      <c r="C47" s="168" t="b">
        <f t="shared" si="0"/>
        <v>1</v>
      </c>
    </row>
    <row r="48" spans="1:3">
      <c r="A48" s="195" t="str">
        <f>'Overview MP Life'!$A53</f>
        <v>EARL</v>
      </c>
      <c r="B48" s="195" t="str">
        <f>IF($A48=0,0,VLOOKUP($A48,ModelpuntInfo!$H$24:$H$375,1,FALSE))</f>
        <v>EARL</v>
      </c>
      <c r="C48" s="168" t="b">
        <f t="shared" si="0"/>
        <v>1</v>
      </c>
    </row>
    <row r="49" spans="1:3">
      <c r="A49" s="195" t="str">
        <f>'Overview MP Life'!$A54</f>
        <v>EARM</v>
      </c>
      <c r="B49" s="195" t="str">
        <f>IF($A49=0,0,VLOOKUP($A49,ModelpuntInfo!$H$24:$H$375,1,FALSE))</f>
        <v>EARM</v>
      </c>
      <c r="C49" s="168" t="b">
        <f t="shared" si="0"/>
        <v>1</v>
      </c>
    </row>
    <row r="50" spans="1:3">
      <c r="A50" s="195" t="str">
        <f>'Overview MP Life'!$A55</f>
        <v>EART</v>
      </c>
      <c r="B50" s="195" t="str">
        <f>IF($A50=0,0,VLOOKUP($A50,ModelpuntInfo!$H$24:$H$375,1,FALSE))</f>
        <v>EART</v>
      </c>
      <c r="C50" s="168" t="b">
        <f t="shared" si="0"/>
        <v>1</v>
      </c>
    </row>
    <row r="51" spans="1:3">
      <c r="A51" s="195" t="str">
        <f>'Overview MP Life'!$A56</f>
        <v>EARV</v>
      </c>
      <c r="B51" s="195" t="str">
        <f>IF($A51=0,0,VLOOKUP($A51,ModelpuntInfo!$H$24:$H$375,1,FALSE))</f>
        <v>EARV</v>
      </c>
      <c r="C51" s="168" t="b">
        <f t="shared" si="0"/>
        <v>1</v>
      </c>
    </row>
    <row r="52" spans="1:3">
      <c r="A52" s="195" t="str">
        <f>'Overview MP Life'!$A57</f>
        <v>EASD</v>
      </c>
      <c r="B52" s="195" t="str">
        <f>IF($A52=0,0,VLOOKUP($A52,ModelpuntInfo!$H$24:$H$375,1,FALSE))</f>
        <v>EASD</v>
      </c>
      <c r="C52" s="168" t="b">
        <f t="shared" si="0"/>
        <v>1</v>
      </c>
    </row>
    <row r="53" spans="1:3">
      <c r="A53" s="195" t="str">
        <f>'Overview MP Life'!$A58</f>
        <v>EASV</v>
      </c>
      <c r="B53" s="195" t="str">
        <f>IF($A53=0,0,VLOOKUP($A53,ModelpuntInfo!$H$24:$H$375,1,FALSE))</f>
        <v>EASV</v>
      </c>
      <c r="C53" s="168" t="b">
        <f t="shared" si="0"/>
        <v>1</v>
      </c>
    </row>
    <row r="54" spans="1:3">
      <c r="A54" s="195" t="str">
        <f>'Overview MP Life'!$A59</f>
        <v>EAZF</v>
      </c>
      <c r="B54" s="195" t="str">
        <f>IF($A54=0,0,VLOOKUP($A54,ModelpuntInfo!$H$24:$H$375,1,FALSE))</f>
        <v>EAZF</v>
      </c>
      <c r="C54" s="168" t="b">
        <f t="shared" si="0"/>
        <v>1</v>
      </c>
    </row>
    <row r="55" spans="1:3">
      <c r="A55" s="195" t="str">
        <f>'Overview MP Life'!$A60</f>
        <v>EAZH</v>
      </c>
      <c r="B55" s="195" t="str">
        <f>IF($A55=0,0,VLOOKUP($A55,ModelpuntInfo!$H$24:$H$375,1,FALSE))</f>
        <v>EAZH</v>
      </c>
      <c r="C55" s="168" t="b">
        <f t="shared" si="0"/>
        <v>1</v>
      </c>
    </row>
    <row r="56" spans="1:3">
      <c r="A56" s="195" t="str">
        <f>'Overview MP Life'!$A61</f>
        <v>EAZN</v>
      </c>
      <c r="B56" s="195" t="str">
        <f>IF($A56=0,0,VLOOKUP($A56,ModelpuntInfo!$H$24:$H$375,1,FALSE))</f>
        <v>EAZN</v>
      </c>
      <c r="C56" s="168" t="b">
        <f t="shared" si="0"/>
        <v>1</v>
      </c>
    </row>
    <row r="57" spans="1:3">
      <c r="A57" s="195" t="str">
        <f>'Overview MP Life'!$A62</f>
        <v>EAZO</v>
      </c>
      <c r="B57" s="195" t="str">
        <f>IF($A57=0,0,VLOOKUP($A57,ModelpuntInfo!$H$24:$H$375,1,FALSE))</f>
        <v>EAZO</v>
      </c>
      <c r="C57" s="168" t="b">
        <f t="shared" si="0"/>
        <v>1</v>
      </c>
    </row>
    <row r="58" spans="1:3">
      <c r="A58" s="195" t="str">
        <f>'Overview MP Life'!$A63</f>
        <v>EAZT</v>
      </c>
      <c r="B58" s="195" t="str">
        <f>IF($A58=0,0,VLOOKUP($A58,ModelpuntInfo!$H$24:$H$375,1,FALSE))</f>
        <v>EAZT</v>
      </c>
      <c r="C58" s="168" t="b">
        <f t="shared" si="0"/>
        <v>1</v>
      </c>
    </row>
    <row r="59" spans="1:3">
      <c r="A59" s="195" t="str">
        <f>'Overview MP Life'!$A64</f>
        <v>EONW</v>
      </c>
      <c r="B59" s="195" t="str">
        <f>IF($A59=0,0,VLOOKUP($A59,ModelpuntInfo!$H$24:$H$375,1,FALSE))</f>
        <v>EONW</v>
      </c>
      <c r="C59" s="168" t="b">
        <f t="shared" si="0"/>
        <v>1</v>
      </c>
    </row>
    <row r="60" spans="1:3">
      <c r="A60" s="195" t="str">
        <f>'Overview MP Life'!$A65</f>
        <v>EUNW</v>
      </c>
      <c r="B60" s="195" t="str">
        <f>IF($A60=0,0,VLOOKUP($A60,ModelpuntInfo!$H$24:$H$375,1,FALSE))</f>
        <v>EUNW</v>
      </c>
      <c r="C60" s="168" t="b">
        <f t="shared" si="0"/>
        <v>1</v>
      </c>
    </row>
    <row r="61" spans="1:3">
      <c r="A61" s="195" t="str">
        <f>'Overview MP Life'!$A66</f>
        <v>EUWD</v>
      </c>
      <c r="B61" s="195" t="str">
        <f>IF($A61=0,0,VLOOKUP($A61,ModelpuntInfo!$H$24:$H$375,1,FALSE))</f>
        <v>EUWD</v>
      </c>
      <c r="C61" s="168" t="b">
        <f t="shared" si="0"/>
        <v>1</v>
      </c>
    </row>
    <row r="62" spans="1:3">
      <c r="A62" s="195" t="str">
        <f>'Overview MP Life'!$A67</f>
        <v>EUWV</v>
      </c>
      <c r="B62" s="195" t="str">
        <f>IF($A62=0,0,VLOOKUP($A62,ModelpuntInfo!$H$24:$H$375,1,FALSE))</f>
        <v>EUWV</v>
      </c>
      <c r="C62" s="168" t="b">
        <f t="shared" si="0"/>
        <v>1</v>
      </c>
    </row>
    <row r="63" spans="1:3">
      <c r="A63" s="195" t="str">
        <f>'Overview MP Life'!$A68</f>
        <v>FRGG</v>
      </c>
      <c r="B63" s="195" t="str">
        <f>IF($A63=0,0,VLOOKUP($A63,ModelpuntInfo!$H$24:$H$375,1,FALSE))</f>
        <v>FRGG</v>
      </c>
      <c r="C63" s="168" t="b">
        <f t="shared" si="0"/>
        <v>1</v>
      </c>
    </row>
    <row r="64" spans="1:3">
      <c r="A64" s="195" t="str">
        <f>'Overview MP Life'!$A69</f>
        <v>FRGL</v>
      </c>
      <c r="B64" s="195" t="str">
        <f>IF($A64=0,0,VLOOKUP($A64,ModelpuntInfo!$H$24:$H$375,1,FALSE))</f>
        <v>FRGL</v>
      </c>
      <c r="C64" s="168" t="b">
        <f t="shared" si="0"/>
        <v>1</v>
      </c>
    </row>
    <row r="65" spans="1:3">
      <c r="A65" s="195" t="str">
        <f>'Overview MP Life'!$A70</f>
        <v>FRGM</v>
      </c>
      <c r="B65" s="195" t="str">
        <f>IF($A65=0,0,VLOOKUP($A65,ModelpuntInfo!$H$24:$H$375,1,FALSE))</f>
        <v>FRGM</v>
      </c>
      <c r="C65" s="168" t="b">
        <f t="shared" si="0"/>
        <v>1</v>
      </c>
    </row>
    <row r="66" spans="1:3">
      <c r="A66" s="195" t="str">
        <f>'Overview MP Life'!$A71</f>
        <v>FRGR</v>
      </c>
      <c r="B66" s="195" t="str">
        <f>IF($A66=0,0,VLOOKUP($A66,ModelpuntInfo!$H$24:$H$375,1,FALSE))</f>
        <v>FRGR</v>
      </c>
      <c r="C66" s="168" t="b">
        <f t="shared" si="0"/>
        <v>1</v>
      </c>
    </row>
    <row r="67" spans="1:3">
      <c r="A67" s="195" t="str">
        <f>'Overview MP Life'!$A72</f>
        <v>FRKL</v>
      </c>
      <c r="B67" s="195" t="str">
        <f>IF($A67=0,0,VLOOKUP($A67,ModelpuntInfo!$H$24:$H$375,1,FALSE))</f>
        <v>FRKL</v>
      </c>
      <c r="C67" s="168" t="b">
        <f t="shared" si="0"/>
        <v>1</v>
      </c>
    </row>
    <row r="68" spans="1:3">
      <c r="A68" s="195" t="str">
        <f>'Overview MP Life'!$A73</f>
        <v>FRKR</v>
      </c>
      <c r="B68" s="195" t="str">
        <f>IF($A68=0,0,VLOOKUP($A68,ModelpuntInfo!$H$24:$H$375,1,FALSE))</f>
        <v>FRKR</v>
      </c>
      <c r="C68" s="168" t="b">
        <f t="shared" si="0"/>
        <v>1</v>
      </c>
    </row>
    <row r="69" spans="1:3">
      <c r="A69" s="195" t="str">
        <f>'Overview MP Life'!$A74</f>
        <v>FRNM</v>
      </c>
      <c r="B69" s="195" t="str">
        <f>IF($A69=0,0,VLOOKUP($A69,ModelpuntInfo!$H$24:$H$375,1,FALSE))</f>
        <v>FRNM</v>
      </c>
      <c r="C69" s="168" t="b">
        <f t="shared" si="0"/>
        <v>1</v>
      </c>
    </row>
    <row r="70" spans="1:3">
      <c r="A70" s="195" t="str">
        <f>'Overview MP Life'!$A75</f>
        <v>GAGS</v>
      </c>
      <c r="B70" s="195" t="str">
        <f>IF($A70=0,0,VLOOKUP($A70,ModelpuntInfo!$H$24:$H$375,1,FALSE))</f>
        <v>GAGS</v>
      </c>
      <c r="C70" s="168" t="b">
        <f t="shared" ref="C70:C133" si="1">A70=B70</f>
        <v>1</v>
      </c>
    </row>
    <row r="71" spans="1:3">
      <c r="A71" s="195" t="str">
        <f>'Overview MP Life'!$A76</f>
        <v>GASA</v>
      </c>
      <c r="B71" s="195" t="str">
        <f>IF($A71=0,0,VLOOKUP($A71,ModelpuntInfo!$H$24:$H$375,1,FALSE))</f>
        <v>GASA</v>
      </c>
      <c r="C71" s="168" t="b">
        <f t="shared" si="1"/>
        <v>1</v>
      </c>
    </row>
    <row r="72" spans="1:3">
      <c r="A72" s="195" t="str">
        <f>'Overview MP Life'!$A77</f>
        <v>IAAN</v>
      </c>
      <c r="B72" s="195" t="str">
        <f>IF($A72=0,0,VLOOKUP($A72,ModelpuntInfo!$H$24:$H$375,1,FALSE))</f>
        <v>IAAN</v>
      </c>
      <c r="C72" s="168" t="b">
        <f t="shared" si="1"/>
        <v>1</v>
      </c>
    </row>
    <row r="73" spans="1:3">
      <c r="A73" s="195" t="str">
        <f>'Overview MP Life'!$A78</f>
        <v>IAAW</v>
      </c>
      <c r="B73" s="195" t="str">
        <f>IF($A73=0,0,VLOOKUP($A73,ModelpuntInfo!$H$24:$H$375,1,FALSE))</f>
        <v>IAAW</v>
      </c>
      <c r="C73" s="168" t="b">
        <f t="shared" si="1"/>
        <v>1</v>
      </c>
    </row>
    <row r="74" spans="1:3">
      <c r="A74" s="195" t="str">
        <f>'Overview MP Life'!$A79</f>
        <v>IABE</v>
      </c>
      <c r="B74" s="195" t="str">
        <f>IF($A74=0,0,VLOOKUP($A74,ModelpuntInfo!$H$24:$H$375,1,FALSE))</f>
        <v>IABE</v>
      </c>
      <c r="C74" s="168" t="b">
        <f t="shared" si="1"/>
        <v>1</v>
      </c>
    </row>
    <row r="75" spans="1:3">
      <c r="A75" s="195" t="str">
        <f>'Overview MP Life'!$A80</f>
        <v>IACD</v>
      </c>
      <c r="B75" s="195" t="str">
        <f>IF($A75=0,0,VLOOKUP($A75,ModelpuntInfo!$H$24:$H$375,1,FALSE))</f>
        <v>IACD</v>
      </c>
      <c r="C75" s="168" t="b">
        <f t="shared" si="1"/>
        <v>1</v>
      </c>
    </row>
    <row r="76" spans="1:3">
      <c r="A76" s="195" t="str">
        <f>'Overview MP Life'!$A81</f>
        <v>IACV</v>
      </c>
      <c r="B76" s="195" t="str">
        <f>IF($A76=0,0,VLOOKUP($A76,ModelpuntInfo!$H$24:$H$375,1,FALSE))</f>
        <v>IACV</v>
      </c>
      <c r="C76" s="168" t="b">
        <f t="shared" si="1"/>
        <v>1</v>
      </c>
    </row>
    <row r="77" spans="1:3">
      <c r="A77" s="195" t="str">
        <f>'Overview MP Life'!$A82</f>
        <v>IADS</v>
      </c>
      <c r="B77" s="195" t="str">
        <f>IF($A77=0,0,VLOOKUP($A77,ModelpuntInfo!$H$24:$H$375,1,FALSE))</f>
        <v>IADS</v>
      </c>
      <c r="C77" s="168" t="b">
        <f t="shared" si="1"/>
        <v>1</v>
      </c>
    </row>
    <row r="78" spans="1:3">
      <c r="A78" s="195" t="str">
        <f>'Overview MP Life'!$A83</f>
        <v>IAFN</v>
      </c>
      <c r="B78" s="195" t="str">
        <f>IF($A78=0,0,VLOOKUP($A78,ModelpuntInfo!$H$24:$H$375,1,FALSE))</f>
        <v>IAFN</v>
      </c>
      <c r="C78" s="168" t="b">
        <f t="shared" si="1"/>
        <v>1</v>
      </c>
    </row>
    <row r="79" spans="1:3">
      <c r="A79" s="195" t="str">
        <f>'Overview MP Life'!$A84</f>
        <v>IAFW</v>
      </c>
      <c r="B79" s="195" t="str">
        <f>IF($A79=0,0,VLOOKUP($A79,ModelpuntInfo!$H$24:$H$375,1,FALSE))</f>
        <v>IAFW</v>
      </c>
      <c r="C79" s="168" t="b">
        <f t="shared" si="1"/>
        <v>1</v>
      </c>
    </row>
    <row r="80" spans="1:3">
      <c r="A80" s="195" t="str">
        <f>'Overview MP Life'!$A85</f>
        <v>IAGA</v>
      </c>
      <c r="B80" s="195" t="str">
        <f>IF($A80=0,0,VLOOKUP($A80,ModelpuntInfo!$H$24:$H$375,1,FALSE))</f>
        <v>IAGA</v>
      </c>
      <c r="C80" s="168" t="b">
        <f t="shared" si="1"/>
        <v>1</v>
      </c>
    </row>
    <row r="81" spans="1:3">
      <c r="A81" s="195" t="str">
        <f>'Overview MP Life'!$A86</f>
        <v>IAIA</v>
      </c>
      <c r="B81" s="195" t="str">
        <f>IF($A81=0,0,VLOOKUP($A81,ModelpuntInfo!$H$24:$H$375,1,FALSE))</f>
        <v>IAIA</v>
      </c>
      <c r="C81" s="168" t="b">
        <f t="shared" si="1"/>
        <v>1</v>
      </c>
    </row>
    <row r="82" spans="1:3">
      <c r="A82" s="195" t="str">
        <f>'Overview MP Life'!$A87</f>
        <v>IAIN</v>
      </c>
      <c r="B82" s="195" t="str">
        <f>IF($A82=0,0,VLOOKUP($A82,ModelpuntInfo!$H$24:$H$375,1,FALSE))</f>
        <v>IAIN</v>
      </c>
      <c r="C82" s="168" t="b">
        <f t="shared" si="1"/>
        <v>1</v>
      </c>
    </row>
    <row r="83" spans="1:3">
      <c r="A83" s="195" t="str">
        <f>'Overview MP Life'!$A88</f>
        <v>IAKN</v>
      </c>
      <c r="B83" s="195" t="str">
        <f>IF($A83=0,0,VLOOKUP($A83,ModelpuntInfo!$H$24:$H$375,1,FALSE))</f>
        <v>IAKN</v>
      </c>
      <c r="C83" s="168" t="b">
        <f t="shared" si="1"/>
        <v>1</v>
      </c>
    </row>
    <row r="84" spans="1:3">
      <c r="A84" s="195" t="str">
        <f>'Overview MP Life'!$A89</f>
        <v>IAKW</v>
      </c>
      <c r="B84" s="195" t="str">
        <f>IF($A84=0,0,VLOOKUP($A84,ModelpuntInfo!$H$24:$H$375,1,FALSE))</f>
        <v>IAKW</v>
      </c>
      <c r="C84" s="168" t="b">
        <f t="shared" si="1"/>
        <v>1</v>
      </c>
    </row>
    <row r="85" spans="1:3">
      <c r="A85" s="195" t="str">
        <f>'Overview MP Life'!$A90</f>
        <v>IAMA</v>
      </c>
      <c r="B85" s="195" t="str">
        <f>IF($A85=0,0,VLOOKUP($A85,ModelpuntInfo!$H$24:$H$375,1,FALSE))</f>
        <v>IAMA</v>
      </c>
      <c r="C85" s="168" t="b">
        <f t="shared" si="1"/>
        <v>1</v>
      </c>
    </row>
    <row r="86" spans="1:3">
      <c r="A86" s="195" t="str">
        <f>'Overview MP Life'!$A91</f>
        <v>IAMI</v>
      </c>
      <c r="B86" s="195" t="str">
        <f>IF($A86=0,0,VLOOKUP($A86,ModelpuntInfo!$H$24:$H$375,1,FALSE))</f>
        <v>IAMI</v>
      </c>
      <c r="C86" s="168" t="b">
        <f t="shared" si="1"/>
        <v>1</v>
      </c>
    </row>
    <row r="87" spans="1:3">
      <c r="A87" s="195" t="str">
        <f>'Overview MP Life'!$A92</f>
        <v>IANA</v>
      </c>
      <c r="B87" s="195" t="str">
        <f>IF($A87=0,0,VLOOKUP($A87,ModelpuntInfo!$H$24:$H$375,1,FALSE))</f>
        <v>IANA</v>
      </c>
      <c r="C87" s="168" t="b">
        <f t="shared" si="1"/>
        <v>1</v>
      </c>
    </row>
    <row r="88" spans="1:3">
      <c r="A88" s="195" t="str">
        <f>'Overview MP Life'!$A93</f>
        <v>IANN</v>
      </c>
      <c r="B88" s="195" t="str">
        <f>IF($A88=0,0,VLOOKUP($A88,ModelpuntInfo!$H$24:$H$375,1,FALSE))</f>
        <v>IANN</v>
      </c>
      <c r="C88" s="168" t="b">
        <f t="shared" si="1"/>
        <v>1</v>
      </c>
    </row>
    <row r="89" spans="1:3">
      <c r="A89" s="195" t="str">
        <f>'Overview MP Life'!$A94</f>
        <v>IANW</v>
      </c>
      <c r="B89" s="195" t="str">
        <f>IF($A89=0,0,VLOOKUP($A89,ModelpuntInfo!$H$24:$H$375,1,FALSE))</f>
        <v>IANW</v>
      </c>
      <c r="C89" s="168" t="b">
        <f t="shared" si="1"/>
        <v>1</v>
      </c>
    </row>
    <row r="90" spans="1:3">
      <c r="A90" s="195" t="str">
        <f>'Overview MP Life'!$A95</f>
        <v>IAPA</v>
      </c>
      <c r="B90" s="195" t="str">
        <f>IF($A90=0,0,VLOOKUP($A90,ModelpuntInfo!$H$24:$H$375,1,FALSE))</f>
        <v>IAPA</v>
      </c>
      <c r="C90" s="168" t="b">
        <f t="shared" si="1"/>
        <v>1</v>
      </c>
    </row>
    <row r="91" spans="1:3">
      <c r="A91" s="195" t="str">
        <f>'Overview MP Life'!$A96</f>
        <v>IAPN</v>
      </c>
      <c r="B91" s="195" t="str">
        <f>IF($A91=0,0,VLOOKUP($A91,ModelpuntInfo!$H$24:$H$375,1,FALSE))</f>
        <v>IAPN</v>
      </c>
      <c r="C91" s="168" t="b">
        <f t="shared" si="1"/>
        <v>1</v>
      </c>
    </row>
    <row r="92" spans="1:3">
      <c r="A92" s="195" t="str">
        <f>'Overview MP Life'!$A97</f>
        <v>IARN</v>
      </c>
      <c r="B92" s="195" t="str">
        <f>IF($A92=0,0,VLOOKUP($A92,ModelpuntInfo!$H$24:$H$375,1,FALSE))</f>
        <v>IARN</v>
      </c>
      <c r="C92" s="168" t="b">
        <f t="shared" si="1"/>
        <v>1</v>
      </c>
    </row>
    <row r="93" spans="1:3">
      <c r="A93" s="195" t="str">
        <f>'Overview MP Life'!$A98</f>
        <v>IARW</v>
      </c>
      <c r="B93" s="195" t="str">
        <f>IF($A93=0,0,VLOOKUP($A93,ModelpuntInfo!$H$24:$H$375,1,FALSE))</f>
        <v>IARW</v>
      </c>
      <c r="C93" s="168" t="b">
        <f t="shared" si="1"/>
        <v>1</v>
      </c>
    </row>
    <row r="94" spans="1:3">
      <c r="A94" s="195" t="str">
        <f>'Overview MP Life'!$A99</f>
        <v>IATD</v>
      </c>
      <c r="B94" s="195" t="str">
        <f>IF($A94=0,0,VLOOKUP($A94,ModelpuntInfo!$H$24:$H$375,1,FALSE))</f>
        <v>IATD</v>
      </c>
      <c r="C94" s="168" t="b">
        <f t="shared" si="1"/>
        <v>1</v>
      </c>
    </row>
    <row r="95" spans="1:3">
      <c r="A95" s="195" t="str">
        <f>'Overview MP Life'!$A100</f>
        <v>IAUA</v>
      </c>
      <c r="B95" s="195" t="str">
        <f>IF($A95=0,0,VLOOKUP($A95,ModelpuntInfo!$H$24:$H$375,1,FALSE))</f>
        <v>IAUA</v>
      </c>
      <c r="C95" s="168" t="b">
        <f t="shared" si="1"/>
        <v>1</v>
      </c>
    </row>
    <row r="96" spans="1:3">
      <c r="A96" s="195" t="str">
        <f>'Overview MP Life'!$A101</f>
        <v>IAUN</v>
      </c>
      <c r="B96" s="195" t="str">
        <f>IF($A96=0,0,VLOOKUP($A96,ModelpuntInfo!$H$24:$H$375,1,FALSE))</f>
        <v>IAUN</v>
      </c>
      <c r="C96" s="168" t="b">
        <f t="shared" si="1"/>
        <v>1</v>
      </c>
    </row>
    <row r="97" spans="1:3">
      <c r="A97" s="195" t="str">
        <f>'Overview MP Life'!$A102</f>
        <v>IAUW</v>
      </c>
      <c r="B97" s="195" t="str">
        <f>IF($A97=0,0,VLOOKUP($A97,ModelpuntInfo!$H$24:$H$375,1,FALSE))</f>
        <v>IAUW</v>
      </c>
      <c r="C97" s="168" t="b">
        <f t="shared" si="1"/>
        <v>1</v>
      </c>
    </row>
    <row r="98" spans="1:3">
      <c r="A98" s="195" t="str">
        <f>'Overview MP Life'!$A103</f>
        <v>IAVA</v>
      </c>
      <c r="B98" s="195" t="str">
        <f>IF($A98=0,0,VLOOKUP($A98,ModelpuntInfo!$H$24:$H$375,1,FALSE))</f>
        <v>IAVA</v>
      </c>
      <c r="C98" s="168" t="b">
        <f t="shared" si="1"/>
        <v>1</v>
      </c>
    </row>
    <row r="99" spans="1:3">
      <c r="A99" s="195" t="str">
        <f>'Overview MP Life'!$A104</f>
        <v>IAVD</v>
      </c>
      <c r="B99" s="195" t="str">
        <f>IF($A99=0,0,VLOOKUP($A99,ModelpuntInfo!$H$24:$H$375,1,FALSE))</f>
        <v>IAVD</v>
      </c>
      <c r="C99" s="168" t="b">
        <f t="shared" si="1"/>
        <v>1</v>
      </c>
    </row>
    <row r="100" spans="1:3">
      <c r="A100" s="195" t="str">
        <f>'Overview MP Life'!$A105</f>
        <v>IAVO</v>
      </c>
      <c r="B100" s="195" t="str">
        <f>IF($A100=0,0,VLOOKUP($A100,ModelpuntInfo!$H$24:$H$375,1,FALSE))</f>
        <v>IAVO</v>
      </c>
      <c r="C100" s="168" t="b">
        <f t="shared" si="1"/>
        <v>1</v>
      </c>
    </row>
    <row r="101" spans="1:3">
      <c r="A101" s="195" t="str">
        <f>'Overview MP Life'!$A106</f>
        <v>IAVV</v>
      </c>
      <c r="B101" s="195" t="str">
        <f>IF($A101=0,0,VLOOKUP($A101,ModelpuntInfo!$H$24:$H$375,1,FALSE))</f>
        <v>IAVV</v>
      </c>
      <c r="C101" s="168" t="b">
        <f t="shared" si="1"/>
        <v>1</v>
      </c>
    </row>
    <row r="102" spans="1:3">
      <c r="A102" s="195" t="str">
        <f>'Overview MP Life'!$A107</f>
        <v>IAXA</v>
      </c>
      <c r="B102" s="195" t="str">
        <f>IF($A102=0,0,VLOOKUP($A102,ModelpuntInfo!$H$24:$H$375,1,FALSE))</f>
        <v>IAXA</v>
      </c>
      <c r="C102" s="168" t="b">
        <f t="shared" si="1"/>
        <v>1</v>
      </c>
    </row>
    <row r="103" spans="1:3">
      <c r="A103" s="195" t="str">
        <f>'Overview MP Life'!$A108</f>
        <v>IAXB</v>
      </c>
      <c r="B103" s="195" t="str">
        <f>IF($A103=0,0,VLOOKUP($A103,ModelpuntInfo!$H$24:$H$375,1,FALSE))</f>
        <v>IAXB</v>
      </c>
      <c r="C103" s="168" t="b">
        <f t="shared" si="1"/>
        <v>1</v>
      </c>
    </row>
    <row r="104" spans="1:3">
      <c r="A104" s="195" t="str">
        <f>'Overview MP Life'!$A109</f>
        <v>IAXC</v>
      </c>
      <c r="B104" s="195" t="str">
        <f>IF($A104=0,0,VLOOKUP($A104,ModelpuntInfo!$H$24:$H$375,1,FALSE))</f>
        <v>IAXC</v>
      </c>
      <c r="C104" s="168" t="b">
        <f t="shared" si="1"/>
        <v>1</v>
      </c>
    </row>
    <row r="105" spans="1:3">
      <c r="A105" s="195" t="str">
        <f>'Overview MP Life'!$A110</f>
        <v>IAXD</v>
      </c>
      <c r="B105" s="195" t="str">
        <f>IF($A105=0,0,VLOOKUP($A105,ModelpuntInfo!$H$24:$H$375,1,FALSE))</f>
        <v>IAXD</v>
      </c>
      <c r="C105" s="168" t="b">
        <f t="shared" si="1"/>
        <v>1</v>
      </c>
    </row>
    <row r="106" spans="1:3">
      <c r="A106" s="195" t="str">
        <f>'Overview MP Life'!$A111</f>
        <v>IAXE</v>
      </c>
      <c r="B106" s="195" t="str">
        <f>IF($A106=0,0,VLOOKUP($A106,ModelpuntInfo!$H$24:$H$375,1,FALSE))</f>
        <v>IAXE</v>
      </c>
      <c r="C106" s="168" t="b">
        <f t="shared" si="1"/>
        <v>1</v>
      </c>
    </row>
    <row r="107" spans="1:3">
      <c r="A107" s="195" t="str">
        <f>'Overview MP Life'!$A112</f>
        <v>IAXF</v>
      </c>
      <c r="B107" s="195" t="str">
        <f>IF($A107=0,0,VLOOKUP($A107,ModelpuntInfo!$H$24:$H$375,1,FALSE))</f>
        <v>IAXF</v>
      </c>
      <c r="C107" s="168" t="b">
        <f t="shared" si="1"/>
        <v>1</v>
      </c>
    </row>
    <row r="108" spans="1:3">
      <c r="A108" s="195" t="str">
        <f>'Overview MP Life'!$A113</f>
        <v>IAXN</v>
      </c>
      <c r="B108" s="195" t="str">
        <f>IF($A108=0,0,VLOOKUP($A108,ModelpuntInfo!$H$24:$H$375,1,FALSE))</f>
        <v>IAXN</v>
      </c>
      <c r="C108" s="168" t="b">
        <f t="shared" si="1"/>
        <v>1</v>
      </c>
    </row>
    <row r="109" spans="1:3">
      <c r="A109" s="195" t="str">
        <f>'Overview MP Life'!$A114</f>
        <v>IAXP</v>
      </c>
      <c r="B109" s="195" t="str">
        <f>IF($A109=0,0,VLOOKUP($A109,ModelpuntInfo!$H$24:$H$375,1,FALSE))</f>
        <v>IAXP</v>
      </c>
      <c r="C109" s="168" t="b">
        <f t="shared" si="1"/>
        <v>1</v>
      </c>
    </row>
    <row r="110" spans="1:3">
      <c r="A110" s="195" t="str">
        <f>'Overview MP Life'!$A115</f>
        <v>IAXQ</v>
      </c>
      <c r="B110" s="195" t="str">
        <f>IF($A110=0,0,VLOOKUP($A110,ModelpuntInfo!$H$24:$H$375,1,FALSE))</f>
        <v>IAXQ</v>
      </c>
      <c r="C110" s="168" t="b">
        <f t="shared" si="1"/>
        <v>1</v>
      </c>
    </row>
    <row r="111" spans="1:3">
      <c r="A111" s="195" t="str">
        <f>'Overview MP Life'!$A116</f>
        <v>IAZA</v>
      </c>
      <c r="B111" s="195" t="str">
        <f>IF($A111=0,0,VLOOKUP($A111,ModelpuntInfo!$H$24:$H$375,1,FALSE))</f>
        <v>IAZA</v>
      </c>
      <c r="C111" s="168" t="b">
        <f t="shared" si="1"/>
        <v>1</v>
      </c>
    </row>
    <row r="112" spans="1:3">
      <c r="A112" s="195" t="str">
        <f>'Overview MP Life'!$A117</f>
        <v>IAZI</v>
      </c>
      <c r="B112" s="195" t="str">
        <f>IF($A112=0,0,VLOOKUP($A112,ModelpuntInfo!$H$24:$H$375,1,FALSE))</f>
        <v>IAZI</v>
      </c>
      <c r="C112" s="168" t="b">
        <f t="shared" si="1"/>
        <v>1</v>
      </c>
    </row>
    <row r="113" spans="1:3">
      <c r="A113" s="195" t="str">
        <f>'Overview MP Life'!$A118</f>
        <v>IBNM</v>
      </c>
      <c r="B113" s="195" t="str">
        <f>IF($A113=0,0,VLOOKUP($A113,ModelpuntInfo!$H$24:$H$375,1,FALSE))</f>
        <v>IBNM</v>
      </c>
      <c r="C113" s="168" t="b">
        <f t="shared" si="1"/>
        <v>1</v>
      </c>
    </row>
    <row r="114" spans="1:3">
      <c r="A114" s="195" t="str">
        <f>'Overview MP Life'!$A119</f>
        <v>IBNW</v>
      </c>
      <c r="B114" s="195" t="str">
        <f>IF($A114=0,0,VLOOKUP($A114,ModelpuntInfo!$H$24:$H$375,1,FALSE))</f>
        <v>IBNW</v>
      </c>
      <c r="C114" s="168" t="b">
        <f t="shared" si="1"/>
        <v>1</v>
      </c>
    </row>
    <row r="115" spans="1:3">
      <c r="A115" s="195" t="str">
        <f>'Overview MP Life'!$A120</f>
        <v>IBSH</v>
      </c>
      <c r="B115" s="195" t="str">
        <f>IF($A115=0,0,VLOOKUP($A115,ModelpuntInfo!$H$24:$H$375,1,FALSE))</f>
        <v>IBSH</v>
      </c>
      <c r="C115" s="168" t="b">
        <f t="shared" si="1"/>
        <v>1</v>
      </c>
    </row>
    <row r="116" spans="1:3">
      <c r="A116" s="195" t="str">
        <f>'Overview MP Life'!$A121</f>
        <v>IBWD</v>
      </c>
      <c r="B116" s="195" t="str">
        <f>IF($A116=0,0,VLOOKUP($A116,ModelpuntInfo!$H$24:$H$375,1,FALSE))</f>
        <v>IBWD</v>
      </c>
      <c r="C116" s="168" t="b">
        <f t="shared" si="1"/>
        <v>1</v>
      </c>
    </row>
    <row r="117" spans="1:3">
      <c r="A117" s="195" t="str">
        <f>'Overview MP Life'!$A122</f>
        <v>IFNM</v>
      </c>
      <c r="B117" s="195" t="str">
        <f>IF($A117=0,0,VLOOKUP($A117,ModelpuntInfo!$H$24:$H$375,1,FALSE))</f>
        <v>IFNM</v>
      </c>
      <c r="C117" s="168" t="b">
        <f t="shared" si="1"/>
        <v>1</v>
      </c>
    </row>
    <row r="118" spans="1:3">
      <c r="A118" s="195" t="str">
        <f>'Overview MP Life'!$A123</f>
        <v>IGLR</v>
      </c>
      <c r="B118" s="195" t="str">
        <f>IF($A118=0,0,VLOOKUP($A118,ModelpuntInfo!$H$24:$H$375,1,FALSE))</f>
        <v>IGLR</v>
      </c>
      <c r="C118" s="168" t="b">
        <f t="shared" si="1"/>
        <v>1</v>
      </c>
    </row>
    <row r="119" spans="1:3">
      <c r="A119" s="195" t="str">
        <f>'Overview MP Life'!$A124</f>
        <v>IGRN</v>
      </c>
      <c r="B119" s="195" t="str">
        <f>IF($A119=0,0,VLOOKUP($A119,ModelpuntInfo!$H$24:$H$375,1,FALSE))</f>
        <v>IGRN</v>
      </c>
      <c r="C119" s="168" t="b">
        <f t="shared" si="1"/>
        <v>1</v>
      </c>
    </row>
    <row r="120" spans="1:3">
      <c r="A120" s="195" t="str">
        <f>'Overview MP Life'!$A125</f>
        <v>IIUL</v>
      </c>
      <c r="B120" s="195" t="str">
        <f>IF($A120=0,0,VLOOKUP($A120,ModelpuntInfo!$H$24:$H$375,1,FALSE))</f>
        <v>IIUL</v>
      </c>
      <c r="C120" s="168" t="b">
        <f t="shared" si="1"/>
        <v>1</v>
      </c>
    </row>
    <row r="121" spans="1:3">
      <c r="A121" s="195" t="str">
        <f>'Overview MP Life'!$A126</f>
        <v>ILNM</v>
      </c>
      <c r="B121" s="195" t="str">
        <f>IF($A121=0,0,VLOOKUP($A121,ModelpuntInfo!$H$24:$H$375,1,FALSE))</f>
        <v>ILNM</v>
      </c>
      <c r="C121" s="168" t="b">
        <f t="shared" si="1"/>
        <v>1</v>
      </c>
    </row>
    <row r="122" spans="1:3">
      <c r="A122" s="195" t="str">
        <f>'Overview MP Life'!$A127</f>
        <v>IMNM</v>
      </c>
      <c r="B122" s="195" t="str">
        <f>IF($A122=0,0,VLOOKUP($A122,ModelpuntInfo!$H$24:$H$375,1,FALSE))</f>
        <v>IMNM</v>
      </c>
      <c r="C122" s="168" t="b">
        <f t="shared" si="1"/>
        <v>1</v>
      </c>
    </row>
    <row r="123" spans="1:3">
      <c r="A123" s="195" t="str">
        <f>'Overview MP Life'!$A128</f>
        <v>IOLM</v>
      </c>
      <c r="B123" s="195" t="str">
        <f>IF($A123=0,0,VLOOKUP($A123,ModelpuntInfo!$H$24:$H$375,1,FALSE))</f>
        <v>IOLM</v>
      </c>
      <c r="C123" s="168" t="b">
        <f t="shared" si="1"/>
        <v>1</v>
      </c>
    </row>
    <row r="124" spans="1:3">
      <c r="A124" s="195" t="str">
        <f>'Overview MP Life'!$A129</f>
        <v>IOLZ</v>
      </c>
      <c r="B124" s="195" t="str">
        <f>IF($A124=0,0,VLOOKUP($A124,ModelpuntInfo!$H$24:$H$375,1,FALSE))</f>
        <v>IOLZ</v>
      </c>
      <c r="C124" s="168" t="b">
        <f t="shared" si="1"/>
        <v>1</v>
      </c>
    </row>
    <row r="125" spans="1:3">
      <c r="A125" s="195" t="str">
        <f>'Overview MP Life'!$A130</f>
        <v>IONW</v>
      </c>
      <c r="B125" s="195" t="str">
        <f>IF($A125=0,0,VLOOKUP($A125,ModelpuntInfo!$H$24:$H$375,1,FALSE))</f>
        <v>IONW</v>
      </c>
      <c r="C125" s="168" t="b">
        <f t="shared" si="1"/>
        <v>1</v>
      </c>
    </row>
    <row r="126" spans="1:3">
      <c r="A126" s="195" t="str">
        <f>'Overview MP Life'!$A131</f>
        <v>IORA</v>
      </c>
      <c r="B126" s="195" t="str">
        <f>IF($A126=0,0,VLOOKUP($A126,ModelpuntInfo!$H$24:$H$375,1,FALSE))</f>
        <v>IORA</v>
      </c>
      <c r="C126" s="168" t="b">
        <f t="shared" si="1"/>
        <v>1</v>
      </c>
    </row>
    <row r="127" spans="1:3">
      <c r="A127" s="195" t="str">
        <f>'Overview MP Life'!$A132</f>
        <v>IORN</v>
      </c>
      <c r="B127" s="195" t="str">
        <f>IF($A127=0,0,VLOOKUP($A127,ModelpuntInfo!$H$24:$H$375,1,FALSE))</f>
        <v>IORN</v>
      </c>
      <c r="C127" s="168" t="b">
        <f t="shared" si="1"/>
        <v>1</v>
      </c>
    </row>
    <row r="128" spans="1:3">
      <c r="A128" s="195" t="str">
        <f>'Overview MP Life'!$A133</f>
        <v>IOSH</v>
      </c>
      <c r="B128" s="195" t="str">
        <f>IF($A128=0,0,VLOOKUP($A128,ModelpuntInfo!$H$24:$H$375,1,FALSE))</f>
        <v>IOSH</v>
      </c>
      <c r="C128" s="168" t="b">
        <f t="shared" si="1"/>
        <v>1</v>
      </c>
    </row>
    <row r="129" spans="1:3">
      <c r="A129" s="195" t="str">
        <f>'Overview MP Life'!$A134</f>
        <v>IOUL</v>
      </c>
      <c r="B129" s="195" t="str">
        <f>IF($A129=0,0,VLOOKUP($A129,ModelpuntInfo!$H$24:$H$375,1,FALSE))</f>
        <v>IOUL</v>
      </c>
      <c r="C129" s="168" t="b">
        <f t="shared" si="1"/>
        <v>1</v>
      </c>
    </row>
    <row r="130" spans="1:3">
      <c r="A130" s="195" t="str">
        <f>'Overview MP Life'!$A135</f>
        <v>IOWH</v>
      </c>
      <c r="B130" s="195" t="str">
        <f>IF($A130=0,0,VLOOKUP($A130,ModelpuntInfo!$H$24:$H$375,1,FALSE))</f>
        <v>IOWH</v>
      </c>
      <c r="C130" s="168" t="b">
        <f t="shared" si="1"/>
        <v>1</v>
      </c>
    </row>
    <row r="131" spans="1:3">
      <c r="A131" s="195" t="str">
        <f>'Overview MP Life'!$A136</f>
        <v>IQAD</v>
      </c>
      <c r="B131" s="195" t="str">
        <f>IF($A131=0,0,VLOOKUP($A131,ModelpuntInfo!$H$24:$H$375,1,FALSE))</f>
        <v>IQAD</v>
      </c>
      <c r="C131" s="168" t="b">
        <f t="shared" si="1"/>
        <v>1</v>
      </c>
    </row>
    <row r="132" spans="1:3">
      <c r="A132" s="195" t="str">
        <f>'Overview MP Life'!$A137</f>
        <v>IQAV</v>
      </c>
      <c r="B132" s="195" t="str">
        <f>IF($A132=0,0,VLOOKUP($A132,ModelpuntInfo!$H$24:$H$375,1,FALSE))</f>
        <v>IQAV</v>
      </c>
      <c r="C132" s="168" t="b">
        <f t="shared" si="1"/>
        <v>1</v>
      </c>
    </row>
    <row r="133" spans="1:3">
      <c r="A133" s="195" t="str">
        <f>'Overview MP Life'!$A138</f>
        <v>IQDP</v>
      </c>
      <c r="B133" s="195" t="str">
        <f>IF($A133=0,0,VLOOKUP($A133,ModelpuntInfo!$H$24:$H$375,1,FALSE))</f>
        <v>IQDP</v>
      </c>
      <c r="C133" s="168" t="b">
        <f t="shared" si="1"/>
        <v>1</v>
      </c>
    </row>
    <row r="134" spans="1:3">
      <c r="A134" s="195" t="str">
        <f>'Overview MP Life'!$A139</f>
        <v>IQIH</v>
      </c>
      <c r="B134" s="195" t="str">
        <f>IF($A134=0,0,VLOOKUP($A134,ModelpuntInfo!$H$24:$H$375,1,FALSE))</f>
        <v>IQIH</v>
      </c>
      <c r="C134" s="168" t="b">
        <f t="shared" ref="C134:C197" si="2">A134=B134</f>
        <v>1</v>
      </c>
    </row>
    <row r="135" spans="1:3">
      <c r="A135" s="195" t="str">
        <f>'Overview MP Life'!$A140</f>
        <v>IQLR</v>
      </c>
      <c r="B135" s="195" t="str">
        <f>IF($A135=0,0,VLOOKUP($A135,ModelpuntInfo!$H$24:$H$375,1,FALSE))</f>
        <v>IQLR</v>
      </c>
      <c r="C135" s="168" t="b">
        <f t="shared" si="2"/>
        <v>1</v>
      </c>
    </row>
    <row r="136" spans="1:3">
      <c r="A136" s="195" t="str">
        <f>'Overview MP Life'!$A141</f>
        <v>IQNW</v>
      </c>
      <c r="B136" s="195" t="str">
        <f>IF($A136=0,0,VLOOKUP($A136,ModelpuntInfo!$H$24:$H$375,1,FALSE))</f>
        <v>IQNW</v>
      </c>
      <c r="C136" s="168" t="b">
        <f t="shared" si="2"/>
        <v>1</v>
      </c>
    </row>
    <row r="137" spans="1:3">
      <c r="A137" s="195" t="str">
        <f>'Overview MP Life'!$A142</f>
        <v>IQON</v>
      </c>
      <c r="B137" s="195" t="str">
        <f>IF($A137=0,0,VLOOKUP($A137,ModelpuntInfo!$H$24:$H$375,1,FALSE))</f>
        <v>IQON</v>
      </c>
      <c r="C137" s="168" t="b">
        <f t="shared" si="2"/>
        <v>1</v>
      </c>
    </row>
    <row r="138" spans="1:3">
      <c r="A138" s="195" t="str">
        <f>'Overview MP Life'!$A143</f>
        <v>IQSH</v>
      </c>
      <c r="B138" s="195" t="str">
        <f>IF($A138=0,0,VLOOKUP($A138,ModelpuntInfo!$H$24:$H$375,1,FALSE))</f>
        <v>IQSH</v>
      </c>
      <c r="C138" s="168" t="b">
        <f t="shared" si="2"/>
        <v>1</v>
      </c>
    </row>
    <row r="139" spans="1:3">
      <c r="A139" s="195" t="str">
        <f>'Overview MP Life'!$A144</f>
        <v>IQUL</v>
      </c>
      <c r="B139" s="195" t="str">
        <f>IF($A139=0,0,VLOOKUP($A139,ModelpuntInfo!$H$24:$H$375,1,FALSE))</f>
        <v>IQUL</v>
      </c>
      <c r="C139" s="168" t="b">
        <f t="shared" si="2"/>
        <v>1</v>
      </c>
    </row>
    <row r="140" spans="1:3">
      <c r="A140" s="195" t="str">
        <f>'Overview MP Life'!$A145</f>
        <v>IRIH</v>
      </c>
      <c r="B140" s="195" t="str">
        <f>IF($A140=0,0,VLOOKUP($A140,ModelpuntInfo!$H$24:$H$375,1,FALSE))</f>
        <v>IRIH</v>
      </c>
      <c r="C140" s="168" t="b">
        <f t="shared" si="2"/>
        <v>1</v>
      </c>
    </row>
    <row r="141" spans="1:3">
      <c r="A141" s="195" t="str">
        <f>'Overview MP Life'!$A146</f>
        <v>IRKP</v>
      </c>
      <c r="B141" s="195" t="str">
        <f>IF($A141=0,0,VLOOKUP($A141,ModelpuntInfo!$H$24:$H$375,1,FALSE))</f>
        <v>IRKP</v>
      </c>
      <c r="C141" s="168" t="b">
        <f t="shared" si="2"/>
        <v>1</v>
      </c>
    </row>
    <row r="142" spans="1:3">
      <c r="A142" s="195" t="str">
        <f>'Overview MP Life'!$A147</f>
        <v>IRLR</v>
      </c>
      <c r="B142" s="195" t="str">
        <f>IF($A142=0,0,VLOOKUP($A142,ModelpuntInfo!$H$24:$H$375,1,FALSE))</f>
        <v>IRLR</v>
      </c>
      <c r="C142" s="168" t="b">
        <f t="shared" si="2"/>
        <v>1</v>
      </c>
    </row>
    <row r="143" spans="1:3">
      <c r="A143" s="195" t="str">
        <f>'Overview MP Life'!$A148</f>
        <v>IRMD</v>
      </c>
      <c r="B143" s="195" t="str">
        <f>IF($A143=0,0,VLOOKUP($A143,ModelpuntInfo!$H$24:$H$375,1,FALSE))</f>
        <v>IRMD</v>
      </c>
      <c r="C143" s="168" t="b">
        <f t="shared" si="2"/>
        <v>1</v>
      </c>
    </row>
    <row r="144" spans="1:3">
      <c r="A144" s="195" t="str">
        <f>'Overview MP Life'!$A149</f>
        <v>IRMV</v>
      </c>
      <c r="B144" s="195" t="str">
        <f>IF($A144=0,0,VLOOKUP($A144,ModelpuntInfo!$H$24:$H$375,1,FALSE))</f>
        <v>IRMV</v>
      </c>
      <c r="C144" s="168" t="b">
        <f t="shared" si="2"/>
        <v>1</v>
      </c>
    </row>
    <row r="145" spans="1:3">
      <c r="A145" s="195" t="str">
        <f>'Overview MP Life'!$A150</f>
        <v>IRNW</v>
      </c>
      <c r="B145" s="195" t="str">
        <f>IF($A145=0,0,VLOOKUP($A145,ModelpuntInfo!$H$24:$H$375,1,FALSE))</f>
        <v>IRNW</v>
      </c>
      <c r="C145" s="168" t="b">
        <f t="shared" si="2"/>
        <v>1</v>
      </c>
    </row>
    <row r="146" spans="1:3">
      <c r="A146" s="195" t="str">
        <f>'Overview MP Life'!$A151</f>
        <v>IRRP</v>
      </c>
      <c r="B146" s="195" t="str">
        <f>IF($A146=0,0,VLOOKUP($A146,ModelpuntInfo!$H$24:$H$375,1,FALSE))</f>
        <v>IRRP</v>
      </c>
      <c r="C146" s="168" t="b">
        <f t="shared" si="2"/>
        <v>1</v>
      </c>
    </row>
    <row r="147" spans="1:3">
      <c r="A147" s="195" t="str">
        <f>'Overview MP Life'!$A152</f>
        <v>IRSH</v>
      </c>
      <c r="B147" s="195" t="str">
        <f>IF($A147=0,0,VLOOKUP($A147,ModelpuntInfo!$H$24:$H$375,1,FALSE))</f>
        <v>IRSH</v>
      </c>
      <c r="C147" s="168" t="b">
        <f t="shared" si="2"/>
        <v>1</v>
      </c>
    </row>
    <row r="148" spans="1:3">
      <c r="A148" s="195" t="str">
        <f>'Overview MP Life'!$A153</f>
        <v>IRWH</v>
      </c>
      <c r="B148" s="195" t="str">
        <f>IF($A148=0,0,VLOOKUP($A148,ModelpuntInfo!$H$24:$H$375,1,FALSE))</f>
        <v>IRWH</v>
      </c>
      <c r="C148" s="168" t="b">
        <f t="shared" si="2"/>
        <v>1</v>
      </c>
    </row>
    <row r="149" spans="1:3">
      <c r="A149" s="195" t="str">
        <f>'Overview MP Life'!$A154</f>
        <v>ISAK</v>
      </c>
      <c r="B149" s="195" t="str">
        <f>IF($A149=0,0,VLOOKUP($A149,ModelpuntInfo!$H$24:$H$375,1,FALSE))</f>
        <v>ISAK</v>
      </c>
      <c r="C149" s="168" t="b">
        <f t="shared" si="2"/>
        <v>1</v>
      </c>
    </row>
    <row r="150" spans="1:3">
      <c r="A150" s="195" t="str">
        <f>'Overview MP Life'!$A155</f>
        <v>ISAP</v>
      </c>
      <c r="B150" s="195" t="str">
        <f>IF($A150=0,0,VLOOKUP($A150,ModelpuntInfo!$H$24:$H$375,1,FALSE))</f>
        <v>ISAP</v>
      </c>
      <c r="C150" s="168" t="b">
        <f t="shared" si="2"/>
        <v>1</v>
      </c>
    </row>
    <row r="151" spans="1:3">
      <c r="A151" s="195" t="str">
        <f>'Overview MP Life'!$A156</f>
        <v>ISCD</v>
      </c>
      <c r="B151" s="195" t="str">
        <f>IF($A151=0,0,VLOOKUP($A151,ModelpuntInfo!$H$24:$H$375,1,FALSE))</f>
        <v>ISCD</v>
      </c>
      <c r="C151" s="168" t="b">
        <f t="shared" si="2"/>
        <v>1</v>
      </c>
    </row>
    <row r="152" spans="1:3">
      <c r="A152" s="195" t="str">
        <f>'Overview MP Life'!$A157</f>
        <v>ISCV</v>
      </c>
      <c r="B152" s="195" t="str">
        <f>IF($A152=0,0,VLOOKUP($A152,ModelpuntInfo!$H$24:$H$375,1,FALSE))</f>
        <v>ISCV</v>
      </c>
      <c r="C152" s="168" t="b">
        <f t="shared" si="2"/>
        <v>1</v>
      </c>
    </row>
    <row r="153" spans="1:3">
      <c r="A153" s="195" t="str">
        <f>'Overview MP Life'!$A158</f>
        <v>ISIH</v>
      </c>
      <c r="B153" s="195" t="str">
        <f>IF($A153=0,0,VLOOKUP($A153,ModelpuntInfo!$H$24:$H$375,1,FALSE))</f>
        <v>ISIH</v>
      </c>
      <c r="C153" s="168" t="b">
        <f t="shared" si="2"/>
        <v>1</v>
      </c>
    </row>
    <row r="154" spans="1:3">
      <c r="A154" s="195" t="str">
        <f>'Overview MP Life'!$A159</f>
        <v>ISKP</v>
      </c>
      <c r="B154" s="195" t="str">
        <f>IF($A154=0,0,VLOOKUP($A154,ModelpuntInfo!$H$24:$H$375,1,FALSE))</f>
        <v>ISKP</v>
      </c>
      <c r="C154" s="168" t="b">
        <f t="shared" si="2"/>
        <v>1</v>
      </c>
    </row>
    <row r="155" spans="1:3">
      <c r="A155" s="195" t="str">
        <f>'Overview MP Life'!$A160</f>
        <v>ISLR</v>
      </c>
      <c r="B155" s="195" t="str">
        <f>IF($A155=0,0,VLOOKUP($A155,ModelpuntInfo!$H$24:$H$375,1,FALSE))</f>
        <v>ISLR</v>
      </c>
      <c r="C155" s="168" t="b">
        <f t="shared" si="2"/>
        <v>1</v>
      </c>
    </row>
    <row r="156" spans="1:3">
      <c r="A156" s="195" t="str">
        <f>'Overview MP Life'!$A161</f>
        <v>ISMA</v>
      </c>
      <c r="B156" s="195" t="str">
        <f>IF($A156=0,0,VLOOKUP($A156,ModelpuntInfo!$H$24:$H$375,1,FALSE))</f>
        <v>ISMA</v>
      </c>
      <c r="C156" s="168" t="b">
        <f t="shared" si="2"/>
        <v>1</v>
      </c>
    </row>
    <row r="157" spans="1:3">
      <c r="A157" s="195" t="str">
        <f>'Overview MP Life'!$A162</f>
        <v>ISNW</v>
      </c>
      <c r="B157" s="195" t="str">
        <f>IF($A157=0,0,VLOOKUP($A157,ModelpuntInfo!$H$24:$H$375,1,FALSE))</f>
        <v>ISNW</v>
      </c>
      <c r="C157" s="168" t="b">
        <f t="shared" si="2"/>
        <v>1</v>
      </c>
    </row>
    <row r="158" spans="1:3">
      <c r="A158" s="195" t="str">
        <f>'Overview MP Life'!$A163</f>
        <v>ISSH</v>
      </c>
      <c r="B158" s="195" t="str">
        <f>IF($A158=0,0,VLOOKUP($A158,ModelpuntInfo!$H$24:$H$375,1,FALSE))</f>
        <v>ISSH</v>
      </c>
      <c r="C158" s="168" t="b">
        <f t="shared" si="2"/>
        <v>1</v>
      </c>
    </row>
    <row r="159" spans="1:3">
      <c r="A159" s="195" t="str">
        <f>'Overview MP Life'!$A164</f>
        <v>ISTD</v>
      </c>
      <c r="B159" s="195" t="str">
        <f>IF($A159=0,0,VLOOKUP($A159,ModelpuntInfo!$H$24:$H$375,1,FALSE))</f>
        <v>ISTD</v>
      </c>
      <c r="C159" s="168" t="b">
        <f t="shared" si="2"/>
        <v>1</v>
      </c>
    </row>
    <row r="160" spans="1:3">
      <c r="A160" s="195" t="str">
        <f>'Overview MP Life'!$A165</f>
        <v>ISUD</v>
      </c>
      <c r="B160" s="195" t="str">
        <f>IF($A160=0,0,VLOOKUP($A160,ModelpuntInfo!$H$24:$H$375,1,FALSE))</f>
        <v>ISUD</v>
      </c>
      <c r="C160" s="168" t="b">
        <f t="shared" si="2"/>
        <v>1</v>
      </c>
    </row>
    <row r="161" spans="1:3">
      <c r="A161" s="195" t="str">
        <f>'Overview MP Life'!$A166</f>
        <v>ISVD</v>
      </c>
      <c r="B161" s="195" t="str">
        <f>IF($A161=0,0,VLOOKUP($A161,ModelpuntInfo!$H$24:$H$375,1,FALSE))</f>
        <v>ISVD</v>
      </c>
      <c r="C161" s="168" t="b">
        <f t="shared" si="2"/>
        <v>1</v>
      </c>
    </row>
    <row r="162" spans="1:3">
      <c r="A162" s="195" t="str">
        <f>'Overview MP Life'!$A167</f>
        <v>ISVV</v>
      </c>
      <c r="B162" s="195" t="str">
        <f>IF($A162=0,0,VLOOKUP($A162,ModelpuntInfo!$H$24:$H$375,1,FALSE))</f>
        <v>ISVV</v>
      </c>
      <c r="C162" s="168" t="b">
        <f t="shared" si="2"/>
        <v>1</v>
      </c>
    </row>
    <row r="163" spans="1:3">
      <c r="A163" s="195" t="str">
        <f>'Overview MP Life'!$A168</f>
        <v>ISZA</v>
      </c>
      <c r="B163" s="195" t="str">
        <f>IF($A163=0,0,VLOOKUP($A163,ModelpuntInfo!$H$24:$H$375,1,FALSE))</f>
        <v>ISZA</v>
      </c>
      <c r="C163" s="168" t="b">
        <f t="shared" si="2"/>
        <v>1</v>
      </c>
    </row>
    <row r="164" spans="1:3">
      <c r="A164" s="195" t="str">
        <f>'Overview MP Life'!$A169</f>
        <v>ITIN</v>
      </c>
      <c r="B164" s="195" t="str">
        <f>IF($A164=0,0,VLOOKUP($A164,ModelpuntInfo!$H$24:$H$375,1,FALSE))</f>
        <v>ITIN</v>
      </c>
      <c r="C164" s="168" t="b">
        <f t="shared" si="2"/>
        <v>1</v>
      </c>
    </row>
    <row r="165" spans="1:3">
      <c r="A165" s="195" t="str">
        <f>'Overview MP Life'!$A170</f>
        <v>ITIS</v>
      </c>
      <c r="B165" s="195" t="str">
        <f>IF($A165=0,0,VLOOKUP($A165,ModelpuntInfo!$H$24:$H$375,1,FALSE))</f>
        <v>ITIS</v>
      </c>
      <c r="C165" s="168" t="b">
        <f t="shared" si="2"/>
        <v>1</v>
      </c>
    </row>
    <row r="166" spans="1:3">
      <c r="A166" s="195" t="str">
        <f>'Overview MP Life'!$A171</f>
        <v>ITNH</v>
      </c>
      <c r="B166" s="195" t="str">
        <f>IF($A166=0,0,VLOOKUP($A166,ModelpuntInfo!$H$24:$H$375,1,FALSE))</f>
        <v>ITNH</v>
      </c>
      <c r="C166" s="168" t="b">
        <f t="shared" si="2"/>
        <v>1</v>
      </c>
    </row>
    <row r="167" spans="1:3">
      <c r="A167" s="195" t="str">
        <f>'Overview MP Life'!$A172</f>
        <v>ITRP</v>
      </c>
      <c r="B167" s="195" t="str">
        <f>IF($A167=0,0,VLOOKUP($A167,ModelpuntInfo!$H$24:$H$375,1,FALSE))</f>
        <v>ITRP</v>
      </c>
      <c r="C167" s="168" t="b">
        <f t="shared" si="2"/>
        <v>1</v>
      </c>
    </row>
    <row r="168" spans="1:3">
      <c r="A168" s="195" t="str">
        <f>'Overview MP Life'!$A173</f>
        <v>ITSB</v>
      </c>
      <c r="B168" s="195" t="str">
        <f>IF($A168=0,0,VLOOKUP($A168,ModelpuntInfo!$H$24:$H$375,1,FALSE))</f>
        <v>ITSB</v>
      </c>
      <c r="C168" s="168" t="b">
        <f t="shared" si="2"/>
        <v>1</v>
      </c>
    </row>
    <row r="169" spans="1:3">
      <c r="A169" s="195" t="str">
        <f>'Overview MP Life'!$A174</f>
        <v>ITSH</v>
      </c>
      <c r="B169" s="195" t="str">
        <f>IF($A169=0,0,VLOOKUP($A169,ModelpuntInfo!$H$24:$H$375,1,FALSE))</f>
        <v>ITSH</v>
      </c>
      <c r="C169" s="168" t="b">
        <f t="shared" si="2"/>
        <v>1</v>
      </c>
    </row>
    <row r="170" spans="1:3">
      <c r="A170" s="195" t="str">
        <f>'Overview MP Life'!$A175</f>
        <v>ITSO</v>
      </c>
      <c r="B170" s="195" t="str">
        <f>IF($A170=0,0,VLOOKUP($A170,ModelpuntInfo!$H$24:$H$375,1,FALSE))</f>
        <v>ITSO</v>
      </c>
      <c r="C170" s="168" t="b">
        <f t="shared" si="2"/>
        <v>1</v>
      </c>
    </row>
    <row r="171" spans="1:3">
      <c r="A171" s="195" t="str">
        <f>'Overview MP Life'!$A176</f>
        <v>ITWD</v>
      </c>
      <c r="B171" s="195" t="str">
        <f>IF($A171=0,0,VLOOKUP($A171,ModelpuntInfo!$H$24:$H$375,1,FALSE))</f>
        <v>ITWD</v>
      </c>
      <c r="C171" s="168" t="b">
        <f t="shared" si="2"/>
        <v>1</v>
      </c>
    </row>
    <row r="172" spans="1:3">
      <c r="A172" s="195" t="str">
        <f>'Overview MP Life'!$A177</f>
        <v>ITWV</v>
      </c>
      <c r="B172" s="195" t="str">
        <f>IF($A172=0,0,VLOOKUP($A172,ModelpuntInfo!$H$24:$H$375,1,FALSE))</f>
        <v>ITWV</v>
      </c>
      <c r="C172" s="168" t="b">
        <f t="shared" si="2"/>
        <v>1</v>
      </c>
    </row>
    <row r="173" spans="1:3">
      <c r="A173" s="195" t="str">
        <f>'Overview MP Life'!$A178</f>
        <v>IVLR</v>
      </c>
      <c r="B173" s="195" t="str">
        <f>IF($A173=0,0,VLOOKUP($A173,ModelpuntInfo!$H$24:$H$375,1,FALSE))</f>
        <v>IVLR</v>
      </c>
      <c r="C173" s="168" t="b">
        <f t="shared" si="2"/>
        <v>1</v>
      </c>
    </row>
    <row r="174" spans="1:3">
      <c r="A174" s="195" t="str">
        <f>'Overview MP Life'!$A179</f>
        <v>IVLW</v>
      </c>
      <c r="B174" s="195" t="str">
        <f>IF($A174=0,0,VLOOKUP($A174,ModelpuntInfo!$H$24:$H$375,1,FALSE))</f>
        <v>IVLW</v>
      </c>
      <c r="C174" s="168" t="b">
        <f t="shared" si="2"/>
        <v>1</v>
      </c>
    </row>
    <row r="175" spans="1:3">
      <c r="A175" s="195" t="str">
        <f>'Overview MP Life'!$A180</f>
        <v>IVNW</v>
      </c>
      <c r="B175" s="195" t="str">
        <f>IF($A175=0,0,VLOOKUP($A175,ModelpuntInfo!$H$24:$H$375,1,FALSE))</f>
        <v>IVNW</v>
      </c>
      <c r="C175" s="168" t="b">
        <f t="shared" si="2"/>
        <v>1</v>
      </c>
    </row>
    <row r="176" spans="1:3">
      <c r="A176" s="195" t="str">
        <f>'Overview MP Life'!$A181</f>
        <v>IVOD</v>
      </c>
      <c r="B176" s="195" t="str">
        <f>IF($A176=0,0,VLOOKUP($A176,ModelpuntInfo!$H$24:$H$375,1,FALSE))</f>
        <v>IVOD</v>
      </c>
      <c r="C176" s="168" t="b">
        <f t="shared" si="2"/>
        <v>1</v>
      </c>
    </row>
    <row r="177" spans="1:3">
      <c r="A177" s="195" t="str">
        <f>'Overview MP Life'!$A182</f>
        <v>IVOV</v>
      </c>
      <c r="B177" s="195" t="str">
        <f>IF($A177=0,0,VLOOKUP($A177,ModelpuntInfo!$H$24:$H$375,1,FALSE))</f>
        <v>IVOV</v>
      </c>
      <c r="C177" s="168" t="b">
        <f t="shared" si="2"/>
        <v>1</v>
      </c>
    </row>
    <row r="178" spans="1:3">
      <c r="A178" s="195" t="str">
        <f>'Overview MP Life'!$A183</f>
        <v>IVRA</v>
      </c>
      <c r="B178" s="195" t="str">
        <f>IF($A178=0,0,VLOOKUP($A178,ModelpuntInfo!$H$24:$H$375,1,FALSE))</f>
        <v>IVRA</v>
      </c>
      <c r="C178" s="168" t="b">
        <f t="shared" si="2"/>
        <v>1</v>
      </c>
    </row>
    <row r="179" spans="1:3">
      <c r="A179" s="195" t="str">
        <f>'Overview MP Life'!$A184</f>
        <v>IVRN</v>
      </c>
      <c r="B179" s="195" t="str">
        <f>IF($A179=0,0,VLOOKUP($A179,ModelpuntInfo!$H$24:$H$375,1,FALSE))</f>
        <v>IVRN</v>
      </c>
      <c r="C179" s="168" t="b">
        <f t="shared" si="2"/>
        <v>1</v>
      </c>
    </row>
    <row r="180" spans="1:3">
      <c r="A180" s="195" t="str">
        <f>'Overview MP Life'!$A185</f>
        <v>IXAD</v>
      </c>
      <c r="B180" s="195" t="str">
        <f>IF($A180=0,0,VLOOKUP($A180,ModelpuntInfo!$H$24:$H$375,1,FALSE))</f>
        <v>IXAD</v>
      </c>
      <c r="C180" s="168" t="b">
        <f t="shared" si="2"/>
        <v>1</v>
      </c>
    </row>
    <row r="181" spans="1:3">
      <c r="A181" s="195" t="str">
        <f>'Overview MP Life'!$A186</f>
        <v>IXEV</v>
      </c>
      <c r="B181" s="195" t="str">
        <f>IF($A181=0,0,VLOOKUP($A181,ModelpuntInfo!$H$24:$H$375,1,FALSE))</f>
        <v>IXEV</v>
      </c>
      <c r="C181" s="168" t="b">
        <f t="shared" si="2"/>
        <v>1</v>
      </c>
    </row>
    <row r="182" spans="1:3">
      <c r="A182" s="195" t="str">
        <f>'Overview MP Life'!$A187</f>
        <v>IXIH</v>
      </c>
      <c r="B182" s="195" t="str">
        <f>IF($A182=0,0,VLOOKUP($A182,ModelpuntInfo!$H$24:$H$375,1,FALSE))</f>
        <v>IXIH</v>
      </c>
      <c r="C182" s="168" t="b">
        <f t="shared" si="2"/>
        <v>1</v>
      </c>
    </row>
    <row r="183" spans="1:3">
      <c r="A183" s="195" t="str">
        <f>'Overview MP Life'!$A188</f>
        <v>IXKD</v>
      </c>
      <c r="B183" s="195" t="str">
        <f>IF($A183=0,0,VLOOKUP($A183,ModelpuntInfo!$H$24:$H$375,1,FALSE))</f>
        <v>IXKD</v>
      </c>
      <c r="C183" s="168" t="b">
        <f t="shared" si="2"/>
        <v>1</v>
      </c>
    </row>
    <row r="184" spans="1:3">
      <c r="A184" s="195" t="str">
        <f>'Overview MP Life'!$A189</f>
        <v>IXKH</v>
      </c>
      <c r="B184" s="195" t="str">
        <f>IF($A184=0,0,VLOOKUP($A184,ModelpuntInfo!$H$24:$H$375,1,FALSE))</f>
        <v>IXKH</v>
      </c>
      <c r="C184" s="168" t="b">
        <f t="shared" si="2"/>
        <v>1</v>
      </c>
    </row>
    <row r="185" spans="1:3">
      <c r="A185" s="195" t="str">
        <f>'Overview MP Life'!$A190</f>
        <v>IXKP</v>
      </c>
      <c r="B185" s="195" t="str">
        <f>IF($A185=0,0,VLOOKUP($A185,ModelpuntInfo!$H$24:$H$375,1,FALSE))</f>
        <v>IXKP</v>
      </c>
      <c r="C185" s="168" t="b">
        <f t="shared" si="2"/>
        <v>1</v>
      </c>
    </row>
    <row r="186" spans="1:3">
      <c r="A186" s="195" t="str">
        <f>'Overview MP Life'!$A191</f>
        <v>IXKV</v>
      </c>
      <c r="B186" s="195" t="str">
        <f>IF($A186=0,0,VLOOKUP($A186,ModelpuntInfo!$H$24:$H$375,1,FALSE))</f>
        <v>IXKV</v>
      </c>
      <c r="C186" s="168" t="b">
        <f t="shared" si="2"/>
        <v>1</v>
      </c>
    </row>
    <row r="187" spans="1:3">
      <c r="A187" s="195" t="str">
        <f>'Overview MP Life'!$A192</f>
        <v>IXKY</v>
      </c>
      <c r="B187" s="195" t="str">
        <f>IF($A187=0,0,VLOOKUP($A187,ModelpuntInfo!$H$24:$H$375,1,FALSE))</f>
        <v>IXKY</v>
      </c>
      <c r="C187" s="168" t="b">
        <f t="shared" si="2"/>
        <v>1</v>
      </c>
    </row>
    <row r="188" spans="1:3">
      <c r="A188" s="195" t="str">
        <f>'Overview MP Life'!$A193</f>
        <v>IXLR</v>
      </c>
      <c r="B188" s="195" t="str">
        <f>IF($A188=0,0,VLOOKUP($A188,ModelpuntInfo!$H$24:$H$375,1,FALSE))</f>
        <v>IXLR</v>
      </c>
      <c r="C188" s="168" t="b">
        <f t="shared" si="2"/>
        <v>1</v>
      </c>
    </row>
    <row r="189" spans="1:3">
      <c r="A189" s="195" t="str">
        <f>'Overview MP Life'!$A194</f>
        <v>IXLY</v>
      </c>
      <c r="B189" s="195" t="str">
        <f>IF($A189=0,0,VLOOKUP($A189,ModelpuntInfo!$H$24:$H$375,1,FALSE))</f>
        <v>IXLY</v>
      </c>
      <c r="C189" s="168" t="b">
        <f t="shared" si="2"/>
        <v>1</v>
      </c>
    </row>
    <row r="190" spans="1:3">
      <c r="A190" s="195" t="str">
        <f>'Overview MP Life'!$A195</f>
        <v>IXNW</v>
      </c>
      <c r="B190" s="195" t="str">
        <f>IF($A190=0,0,VLOOKUP($A190,ModelpuntInfo!$H$24:$H$375,1,FALSE))</f>
        <v>IXNW</v>
      </c>
      <c r="C190" s="168" t="b">
        <f t="shared" si="2"/>
        <v>1</v>
      </c>
    </row>
    <row r="191" spans="1:3">
      <c r="A191" s="195" t="str">
        <f>'Overview MP Life'!$A196</f>
        <v>IXSH</v>
      </c>
      <c r="B191" s="195" t="str">
        <f>IF($A191=0,0,VLOOKUP($A191,ModelpuntInfo!$H$24:$H$375,1,FALSE))</f>
        <v>IXSH</v>
      </c>
      <c r="C191" s="168" t="b">
        <f t="shared" si="2"/>
        <v>1</v>
      </c>
    </row>
    <row r="192" spans="1:3">
      <c r="A192" s="195" t="str">
        <f>'Overview MP Life'!$A197</f>
        <v>IXUD</v>
      </c>
      <c r="B192" s="195" t="str">
        <f>IF($A192=0,0,VLOOKUP($A192,ModelpuntInfo!$H$24:$H$375,1,FALSE))</f>
        <v>IXUD</v>
      </c>
      <c r="C192" s="168" t="b">
        <f t="shared" si="2"/>
        <v>1</v>
      </c>
    </row>
    <row r="193" spans="1:3">
      <c r="A193" s="195" t="str">
        <f>'Overview MP Life'!$A198</f>
        <v>SIPF</v>
      </c>
      <c r="B193" s="195" t="str">
        <f>IF($A193=0,0,VLOOKUP($A193,ModelpuntInfo!$H$24:$H$375,1,FALSE))</f>
        <v>SIPF</v>
      </c>
      <c r="C193" s="168" t="b">
        <f t="shared" si="2"/>
        <v>1</v>
      </c>
    </row>
    <row r="194" spans="1:3">
      <c r="A194" s="195" t="str">
        <f>'Overview MP Life'!$A199</f>
        <v>SISA</v>
      </c>
      <c r="B194" s="195" t="str">
        <f>IF($A194=0,0,VLOOKUP($A194,ModelpuntInfo!$H$24:$H$375,1,FALSE))</f>
        <v>SISA</v>
      </c>
      <c r="C194" s="168" t="b">
        <f t="shared" si="2"/>
        <v>1</v>
      </c>
    </row>
    <row r="195" spans="1:3">
      <c r="A195" s="195" t="str">
        <f>'Overview MP Life'!$A200</f>
        <v>UFGP</v>
      </c>
      <c r="B195" s="195" t="str">
        <f>IF($A195=0,0,VLOOKUP($A195,ModelpuntInfo!$H$24:$H$375,1,FALSE))</f>
        <v>UFGP</v>
      </c>
      <c r="C195" s="168" t="b">
        <f t="shared" si="2"/>
        <v>1</v>
      </c>
    </row>
    <row r="196" spans="1:3">
      <c r="A196" s="195" t="str">
        <f>'Overview MP Life'!$A201</f>
        <v>UFGS</v>
      </c>
      <c r="B196" s="195" t="str">
        <f>IF($A196=0,0,VLOOKUP($A196,ModelpuntInfo!$H$24:$H$375,1,FALSE))</f>
        <v>UFGS</v>
      </c>
      <c r="C196" s="168" t="b">
        <f t="shared" si="2"/>
        <v>1</v>
      </c>
    </row>
    <row r="197" spans="1:3">
      <c r="A197" s="195" t="str">
        <f>'Overview MP Life'!$A202</f>
        <v>UFPF</v>
      </c>
      <c r="B197" s="195" t="str">
        <f>IF($A197=0,0,VLOOKUP($A197,ModelpuntInfo!$H$24:$H$375,1,FALSE))</f>
        <v>UFPF</v>
      </c>
      <c r="C197" s="168" t="b">
        <f t="shared" si="2"/>
        <v>1</v>
      </c>
    </row>
    <row r="198" spans="1:3">
      <c r="A198" s="195" t="str">
        <f>'Overview MP Life'!$A203</f>
        <v>UFPS</v>
      </c>
      <c r="B198" s="195" t="str">
        <f>IF($A198=0,0,VLOOKUP($A198,ModelpuntInfo!$H$24:$H$375,1,FALSE))</f>
        <v>UFPS</v>
      </c>
      <c r="C198" s="168" t="b">
        <f t="shared" ref="C198:C261" si="3">A198=B198</f>
        <v>1</v>
      </c>
    </row>
    <row r="199" spans="1:3">
      <c r="A199" s="195" t="str">
        <f>'Overview MP Life'!$A204</f>
        <v>UFSA</v>
      </c>
      <c r="B199" s="195" t="str">
        <f>IF($A199=0,0,VLOOKUP($A199,ModelpuntInfo!$H$24:$H$375,1,FALSE))</f>
        <v>UFSA</v>
      </c>
      <c r="C199" s="168" t="b">
        <f t="shared" si="3"/>
        <v>1</v>
      </c>
    </row>
    <row r="200" spans="1:3">
      <c r="A200" s="195" t="str">
        <f>'Overview MP Life'!$A205</f>
        <v>UFSS</v>
      </c>
      <c r="B200" s="195" t="str">
        <f>IF($A200=0,0,VLOOKUP($A200,ModelpuntInfo!$H$24:$H$375,1,FALSE))</f>
        <v>UFSS</v>
      </c>
      <c r="C200" s="168" t="b">
        <f t="shared" si="3"/>
        <v>1</v>
      </c>
    </row>
    <row r="201" spans="1:3">
      <c r="A201" s="195" t="str">
        <f>'Overview MP Life'!$A206</f>
        <v>UGGA</v>
      </c>
      <c r="B201" s="195" t="str">
        <f>IF($A201=0,0,VLOOKUP($A201,ModelpuntInfo!$H$24:$H$375,1,FALSE))</f>
        <v>UGGA</v>
      </c>
      <c r="C201" s="168" t="b">
        <f t="shared" si="3"/>
        <v>1</v>
      </c>
    </row>
    <row r="202" spans="1:3">
      <c r="A202" s="195" t="str">
        <f>'Overview MP Life'!$A207</f>
        <v>UGNA</v>
      </c>
      <c r="B202" s="195" t="str">
        <f>IF($A202=0,0,VLOOKUP($A202,ModelpuntInfo!$H$24:$H$375,1,FALSE))</f>
        <v>UGNA</v>
      </c>
      <c r="C202" s="168" t="b">
        <f t="shared" si="3"/>
        <v>1</v>
      </c>
    </row>
    <row r="203" spans="1:3">
      <c r="A203" s="195" t="str">
        <f>'Overview MP Life'!$A208</f>
        <v>UIGP</v>
      </c>
      <c r="B203" s="195" t="str">
        <f>IF($A203=0,0,VLOOKUP($A203,ModelpuntInfo!$H$24:$H$375,1,FALSE))</f>
        <v>UIGP</v>
      </c>
      <c r="C203" s="168" t="b">
        <f t="shared" si="3"/>
        <v>1</v>
      </c>
    </row>
    <row r="204" spans="1:3">
      <c r="A204" s="195" t="str">
        <f>'Overview MP Life'!$A209</f>
        <v>UIGS</v>
      </c>
      <c r="B204" s="195" t="str">
        <f>IF($A204=0,0,VLOOKUP($A204,ModelpuntInfo!$H$24:$H$375,1,FALSE))</f>
        <v>UIGS</v>
      </c>
      <c r="C204" s="168" t="b">
        <f t="shared" si="3"/>
        <v>1</v>
      </c>
    </row>
    <row r="205" spans="1:3">
      <c r="A205" s="195" t="str">
        <f>'Overview MP Life'!$A210</f>
        <v>UIPF</v>
      </c>
      <c r="B205" s="195" t="str">
        <f>IF($A205=0,0,VLOOKUP($A205,ModelpuntInfo!$H$24:$H$375,1,FALSE))</f>
        <v>UIPF</v>
      </c>
      <c r="C205" s="168" t="b">
        <f t="shared" si="3"/>
        <v>1</v>
      </c>
    </row>
    <row r="206" spans="1:3">
      <c r="A206" s="195" t="str">
        <f>'Overview MP Life'!$A211</f>
        <v>UISA</v>
      </c>
      <c r="B206" s="195" t="str">
        <f>IF($A206=0,0,VLOOKUP($A206,ModelpuntInfo!$H$24:$H$375,1,FALSE))</f>
        <v>UISA</v>
      </c>
      <c r="C206" s="168" t="b">
        <f t="shared" si="3"/>
        <v>1</v>
      </c>
    </row>
    <row r="207" spans="1:3">
      <c r="A207" s="195" t="str">
        <f>'Overview MP Life'!$A212</f>
        <v>ULGP</v>
      </c>
      <c r="B207" s="195" t="str">
        <f>IF($A207=0,0,VLOOKUP($A207,ModelpuntInfo!$H$24:$H$375,1,FALSE))</f>
        <v>ULGP</v>
      </c>
      <c r="C207" s="168" t="b">
        <f t="shared" si="3"/>
        <v>1</v>
      </c>
    </row>
    <row r="208" spans="1:3">
      <c r="A208" s="195" t="str">
        <f>'Overview MP Life'!$A213</f>
        <v>ULGS</v>
      </c>
      <c r="B208" s="195" t="str">
        <f>IF($A208=0,0,VLOOKUP($A208,ModelpuntInfo!$H$24:$H$375,1,FALSE))</f>
        <v>ULGS</v>
      </c>
      <c r="C208" s="168" t="b">
        <f t="shared" si="3"/>
        <v>1</v>
      </c>
    </row>
    <row r="209" spans="1:3">
      <c r="A209" s="195" t="str">
        <f>'Overview MP Life'!$A214</f>
        <v>ULHP</v>
      </c>
      <c r="B209" s="195" t="str">
        <f>IF($A209=0,0,VLOOKUP($A209,ModelpuntInfo!$H$24:$H$375,1,FALSE))</f>
        <v>ULHP</v>
      </c>
      <c r="C209" s="168" t="b">
        <f t="shared" si="3"/>
        <v>1</v>
      </c>
    </row>
    <row r="210" spans="1:3">
      <c r="A210" s="195" t="str">
        <f>'Overview MP Life'!$A215</f>
        <v>ULHS</v>
      </c>
      <c r="B210" s="195" t="str">
        <f>IF($A210=0,0,VLOOKUP($A210,ModelpuntInfo!$H$24:$H$375,1,FALSE))</f>
        <v>ULHS</v>
      </c>
      <c r="C210" s="168" t="b">
        <f t="shared" si="3"/>
        <v>1</v>
      </c>
    </row>
    <row r="211" spans="1:3">
      <c r="A211" s="195" t="str">
        <f>'Overview MP Life'!$A216</f>
        <v>ULPF</v>
      </c>
      <c r="B211" s="195" t="str">
        <f>IF($A211=0,0,VLOOKUP($A211,ModelpuntInfo!$H$24:$H$375,1,FALSE))</f>
        <v>ULPF</v>
      </c>
      <c r="C211" s="168" t="b">
        <f t="shared" si="3"/>
        <v>1</v>
      </c>
    </row>
    <row r="212" spans="1:3">
      <c r="A212" s="195" t="str">
        <f>'Overview MP Life'!$A217</f>
        <v>ULSA</v>
      </c>
      <c r="B212" s="195" t="str">
        <f>IF($A212=0,0,VLOOKUP($A212,ModelpuntInfo!$H$24:$H$375,1,FALSE))</f>
        <v>ULSA</v>
      </c>
      <c r="C212" s="168" t="b">
        <f t="shared" si="3"/>
        <v>1</v>
      </c>
    </row>
    <row r="213" spans="1:3">
      <c r="A213" s="195" t="str">
        <f>'Overview MP Life'!$A218</f>
        <v>ULSP</v>
      </c>
      <c r="B213" s="195" t="str">
        <f>IF($A213=0,0,VLOOKUP($A213,ModelpuntInfo!$H$24:$H$375,1,FALSE))</f>
        <v>ULSP</v>
      </c>
      <c r="C213" s="168" t="b">
        <f t="shared" si="3"/>
        <v>1</v>
      </c>
    </row>
    <row r="214" spans="1:3">
      <c r="A214" s="195" t="str">
        <f>'Overview MP Life'!$A219</f>
        <v>ULSS</v>
      </c>
      <c r="B214" s="195" t="str">
        <f>IF($A214=0,0,VLOOKUP($A214,ModelpuntInfo!$H$24:$H$375,1,FALSE))</f>
        <v>ULSS</v>
      </c>
      <c r="C214" s="168" t="b">
        <f t="shared" si="3"/>
        <v>1</v>
      </c>
    </row>
    <row r="215" spans="1:3">
      <c r="A215" s="195" t="str">
        <f>'Overview MP Life'!$A220</f>
        <v>UMSA</v>
      </c>
      <c r="B215" s="195" t="str">
        <f>IF($A215=0,0,VLOOKUP($A215,ModelpuntInfo!$H$24:$H$375,1,FALSE))</f>
        <v>UMSA</v>
      </c>
      <c r="C215" s="168" t="b">
        <f t="shared" si="3"/>
        <v>1</v>
      </c>
    </row>
    <row r="216" spans="1:3">
      <c r="A216" s="195" t="str">
        <f>'Overview MP Life'!$A221</f>
        <v>UOGP</v>
      </c>
      <c r="B216" s="195" t="str">
        <f>IF($A216=0,0,VLOOKUP($A216,ModelpuntInfo!$H$24:$H$375,1,FALSE))</f>
        <v>UOGP</v>
      </c>
      <c r="C216" s="168" t="b">
        <f t="shared" si="3"/>
        <v>1</v>
      </c>
    </row>
    <row r="217" spans="1:3">
      <c r="A217" s="195" t="str">
        <f>'Overview MP Life'!$A222</f>
        <v>UOPF</v>
      </c>
      <c r="B217" s="195" t="str">
        <f>IF($A217=0,0,VLOOKUP($A217,ModelpuntInfo!$H$24:$H$375,1,FALSE))</f>
        <v>UOPF</v>
      </c>
      <c r="C217" s="168" t="b">
        <f t="shared" si="3"/>
        <v>1</v>
      </c>
    </row>
    <row r="218" spans="1:3">
      <c r="A218" s="195" t="str">
        <f>'Overview MP Life'!$A223</f>
        <v>UQGP</v>
      </c>
      <c r="B218" s="195" t="str">
        <f>IF($A218=0,0,VLOOKUP($A218,ModelpuntInfo!$H$24:$H$375,1,FALSE))</f>
        <v>UQGP</v>
      </c>
      <c r="C218" s="168" t="b">
        <f t="shared" si="3"/>
        <v>1</v>
      </c>
    </row>
    <row r="219" spans="1:3">
      <c r="A219" s="195" t="str">
        <f>'Overview MP Life'!$A224</f>
        <v>UQGS</v>
      </c>
      <c r="B219" s="195" t="str">
        <f>IF($A219=0,0,VLOOKUP($A219,ModelpuntInfo!$H$24:$H$375,1,FALSE))</f>
        <v>UQGS</v>
      </c>
      <c r="C219" s="168" t="b">
        <f t="shared" si="3"/>
        <v>1</v>
      </c>
    </row>
    <row r="220" spans="1:3">
      <c r="A220" s="195" t="str">
        <f>'Overview MP Life'!$A225</f>
        <v>UQPF</v>
      </c>
      <c r="B220" s="195" t="str">
        <f>IF($A220=0,0,VLOOKUP($A220,ModelpuntInfo!$H$24:$H$375,1,FALSE))</f>
        <v>UQPF</v>
      </c>
      <c r="C220" s="168" t="b">
        <f t="shared" si="3"/>
        <v>1</v>
      </c>
    </row>
    <row r="221" spans="1:3">
      <c r="A221" s="195" t="str">
        <f>'Overview MP Life'!$A226</f>
        <v>UQSA</v>
      </c>
      <c r="B221" s="195" t="str">
        <f>IF($A221=0,0,VLOOKUP($A221,ModelpuntInfo!$H$24:$H$375,1,FALSE))</f>
        <v>UQSA</v>
      </c>
      <c r="C221" s="168" t="b">
        <f t="shared" si="3"/>
        <v>1</v>
      </c>
    </row>
    <row r="222" spans="1:3">
      <c r="A222" s="195" t="str">
        <f>'Overview MP Life'!$A227</f>
        <v>URGP</v>
      </c>
      <c r="B222" s="195" t="str">
        <f>IF($A222=0,0,VLOOKUP($A222,ModelpuntInfo!$H$24:$H$375,1,FALSE))</f>
        <v>URGP</v>
      </c>
      <c r="C222" s="168" t="b">
        <f t="shared" si="3"/>
        <v>1</v>
      </c>
    </row>
    <row r="223" spans="1:3">
      <c r="A223" s="195" t="str">
        <f>'Overview MP Life'!$A228</f>
        <v>URGS</v>
      </c>
      <c r="B223" s="195" t="str">
        <f>IF($A223=0,0,VLOOKUP($A223,ModelpuntInfo!$H$24:$H$375,1,FALSE))</f>
        <v>URGS</v>
      </c>
      <c r="C223" s="168" t="b">
        <f t="shared" si="3"/>
        <v>1</v>
      </c>
    </row>
    <row r="224" spans="1:3">
      <c r="A224" s="195" t="str">
        <f>'Overview MP Life'!$A229</f>
        <v>URPF</v>
      </c>
      <c r="B224" s="195" t="str">
        <f>IF($A224=0,0,VLOOKUP($A224,ModelpuntInfo!$H$24:$H$375,1,FALSE))</f>
        <v>URPF</v>
      </c>
      <c r="C224" s="168" t="b">
        <f t="shared" si="3"/>
        <v>1</v>
      </c>
    </row>
    <row r="225" spans="1:3">
      <c r="A225" s="195" t="str">
        <f>'Overview MP Life'!$A230</f>
        <v>URSA</v>
      </c>
      <c r="B225" s="195" t="str">
        <f>IF($A225=0,0,VLOOKUP($A225,ModelpuntInfo!$H$24:$H$375,1,FALSE))</f>
        <v>URSA</v>
      </c>
      <c r="C225" s="168" t="b">
        <f t="shared" si="3"/>
        <v>1</v>
      </c>
    </row>
    <row r="226" spans="1:3">
      <c r="A226" s="195" t="str">
        <f>'Overview MP Life'!$A231</f>
        <v>UVPF</v>
      </c>
      <c r="B226" s="195" t="str">
        <f>IF($A226=0,0,VLOOKUP($A226,ModelpuntInfo!$H$24:$H$375,1,FALSE))</f>
        <v>UVPF</v>
      </c>
      <c r="C226" s="168" t="b">
        <f t="shared" si="3"/>
        <v>1</v>
      </c>
    </row>
    <row r="227" spans="1:3">
      <c r="A227" s="195" t="str">
        <f>'Overview MP Life'!$A232</f>
        <v>UVSA</v>
      </c>
      <c r="B227" s="195" t="str">
        <f>IF($A227=0,0,VLOOKUP($A227,ModelpuntInfo!$H$24:$H$375,1,FALSE))</f>
        <v>UVSA</v>
      </c>
      <c r="C227" s="168" t="b">
        <f t="shared" si="3"/>
        <v>1</v>
      </c>
    </row>
    <row r="228" spans="1:3">
      <c r="A228" s="195" t="str">
        <f>'Overview MP Life'!$A233</f>
        <v>UZPF</v>
      </c>
      <c r="B228" s="195" t="str">
        <f>IF($A228=0,0,VLOOKUP($A228,ModelpuntInfo!$H$24:$H$375,1,FALSE))</f>
        <v>UZPF</v>
      </c>
      <c r="C228" s="168" t="b">
        <f t="shared" si="3"/>
        <v>1</v>
      </c>
    </row>
    <row r="229" spans="1:3">
      <c r="A229" s="195" t="str">
        <f>'Overview MP Life'!$A234</f>
        <v>UZRP</v>
      </c>
      <c r="B229" s="195" t="str">
        <f>IF($A229=0,0,VLOOKUP($A229,ModelpuntInfo!$H$24:$H$375,1,FALSE))</f>
        <v>UZRP</v>
      </c>
      <c r="C229" s="168" t="b">
        <f t="shared" si="3"/>
        <v>1</v>
      </c>
    </row>
    <row r="230" spans="1:3">
      <c r="A230" s="195" t="str">
        <f>'Overview MP Life'!$A235</f>
        <v>WPFN</v>
      </c>
      <c r="B230" s="195" t="str">
        <f>IF($A230=0,0,VLOOKUP($A230,ModelpuntInfo!$H$24:$H$375,1,FALSE))</f>
        <v>WPFN</v>
      </c>
      <c r="C230" s="168" t="b">
        <f t="shared" si="3"/>
        <v>1</v>
      </c>
    </row>
    <row r="231" spans="1:3">
      <c r="A231" s="195" t="str">
        <f>'Overview MP Life'!$A236</f>
        <v>WPFS</v>
      </c>
      <c r="B231" s="195" t="str">
        <f>IF($A231=0,0,VLOOKUP($A231,ModelpuntInfo!$H$24:$H$375,1,FALSE))</f>
        <v>WPFS</v>
      </c>
      <c r="C231" s="168" t="b">
        <f t="shared" si="3"/>
        <v>1</v>
      </c>
    </row>
    <row r="232" spans="1:3">
      <c r="A232" s="195" t="str">
        <f>'Overview MP Life'!$A237</f>
        <v>WPFV</v>
      </c>
      <c r="B232" s="195" t="str">
        <f>IF($A232=0,0,VLOOKUP($A232,ModelpuntInfo!$H$24:$H$375,1,FALSE))</f>
        <v>WPFV</v>
      </c>
      <c r="C232" s="168" t="b">
        <f t="shared" si="3"/>
        <v>1</v>
      </c>
    </row>
    <row r="233" spans="1:3">
      <c r="A233" s="195" t="str">
        <f>'Overview MP Life'!$A238</f>
        <v>WPNW</v>
      </c>
      <c r="B233" s="195" t="str">
        <f>IF($A233=0,0,VLOOKUP($A233,ModelpuntInfo!$H$24:$H$375,1,FALSE))</f>
        <v>WPNW</v>
      </c>
      <c r="C233" s="168" t="b">
        <f t="shared" si="3"/>
        <v>1</v>
      </c>
    </row>
    <row r="234" spans="1:3">
      <c r="A234" s="195" t="str">
        <f>'Overview MP Life'!$A239</f>
        <v>WPSA</v>
      </c>
      <c r="B234" s="195" t="str">
        <f>IF($A234=0,0,VLOOKUP($A234,ModelpuntInfo!$H$24:$H$375,1,FALSE))</f>
        <v>WPSA</v>
      </c>
      <c r="C234" s="168" t="b">
        <f t="shared" si="3"/>
        <v>1</v>
      </c>
    </row>
    <row r="235" spans="1:3">
      <c r="A235" s="195" t="str">
        <f>'Overview MP Life'!$A240</f>
        <v>WPVZ</v>
      </c>
      <c r="B235" s="195" t="str">
        <f>IF($A235=0,0,VLOOKUP($A235,ModelpuntInfo!$H$24:$H$375,1,FALSE))</f>
        <v>WPVZ</v>
      </c>
      <c r="C235" s="168" t="b">
        <f t="shared" si="3"/>
        <v>1</v>
      </c>
    </row>
    <row r="236" spans="1:3">
      <c r="A236" s="195" t="str">
        <f>'Overview MP Life'!$A241</f>
        <v>ZAAC</v>
      </c>
      <c r="B236" s="195" t="str">
        <f>IF($A236=0,0,VLOOKUP($A236,ModelpuntInfo!$H$24:$H$375,1,FALSE))</f>
        <v>ZAAC</v>
      </c>
      <c r="C236" s="168" t="b">
        <f t="shared" si="3"/>
        <v>1</v>
      </c>
    </row>
    <row r="237" spans="1:3">
      <c r="A237" s="195" t="str">
        <f>'Overview MP Life'!$A242</f>
        <v>ZBCV</v>
      </c>
      <c r="B237" s="195" t="str">
        <f>IF($A237=0,0,VLOOKUP($A237,ModelpuntInfo!$H$24:$H$375,1,FALSE))</f>
        <v>ZBCV</v>
      </c>
      <c r="C237" s="168" t="b">
        <f t="shared" si="3"/>
        <v>1</v>
      </c>
    </row>
    <row r="238" spans="1:3">
      <c r="A238" s="195" t="str">
        <f>'Overview MP Life'!$A243</f>
        <v>ZGWK</v>
      </c>
      <c r="B238" s="195" t="str">
        <f>IF($A238=0,0,VLOOKUP($A238,ModelpuntInfo!$H$24:$H$375,1,FALSE))</f>
        <v>ZGWK</v>
      </c>
      <c r="C238" s="168" t="b">
        <f t="shared" si="3"/>
        <v>1</v>
      </c>
    </row>
    <row r="239" spans="1:3">
      <c r="A239" s="195" t="str">
        <f>'Overview MP Life'!$A244</f>
        <v>ZLCX</v>
      </c>
      <c r="B239" s="195" t="str">
        <f>IF($A239=0,0,VLOOKUP($A239,ModelpuntInfo!$H$24:$H$375,1,FALSE))</f>
        <v>ZLCX</v>
      </c>
      <c r="C239" s="168" t="b">
        <f t="shared" si="3"/>
        <v>1</v>
      </c>
    </row>
    <row r="240" spans="1:3">
      <c r="A240" s="195" t="str">
        <f>'Overview MP Life'!$A245</f>
        <v>ZMCB</v>
      </c>
      <c r="B240" s="195" t="str">
        <f>IF($A240=0,0,VLOOKUP($A240,ModelpuntInfo!$H$24:$H$375,1,FALSE))</f>
        <v>ZMCB</v>
      </c>
      <c r="C240" s="168" t="b">
        <f t="shared" si="3"/>
        <v>1</v>
      </c>
    </row>
    <row r="241" spans="1:3">
      <c r="A241" s="195" t="str">
        <f>'Overview MP Life'!$A246</f>
        <v>ZMGR</v>
      </c>
      <c r="B241" s="195" t="str">
        <f>IF($A241=0,0,VLOOKUP($A241,ModelpuntInfo!$H$24:$H$375,1,FALSE))</f>
        <v>ZMGR</v>
      </c>
      <c r="C241" s="168" t="b">
        <f t="shared" si="3"/>
        <v>1</v>
      </c>
    </row>
    <row r="242" spans="1:3">
      <c r="A242" s="195" t="str">
        <f>'Overview MP Life'!$A247</f>
        <v>ZOVZ</v>
      </c>
      <c r="B242" s="195" t="str">
        <f>IF($A242=0,0,VLOOKUP($A242,ModelpuntInfo!$H$24:$H$375,1,FALSE))</f>
        <v>ZOVZ</v>
      </c>
      <c r="C242" s="168" t="b">
        <f t="shared" si="3"/>
        <v>1</v>
      </c>
    </row>
    <row r="243" spans="1:3">
      <c r="A243" s="195" t="str">
        <f>'Overview MP Life'!$A248</f>
        <v>ZPFA</v>
      </c>
      <c r="B243" s="195" t="str">
        <f>IF($A243=0,0,VLOOKUP($A243,ModelpuntInfo!$H$24:$H$375,1,FALSE))</f>
        <v>ZPFA</v>
      </c>
      <c r="C243" s="168" t="b">
        <f t="shared" si="3"/>
        <v>1</v>
      </c>
    </row>
    <row r="244" spans="1:3">
      <c r="A244" s="195" t="str">
        <f>'Overview MP Life'!$A249</f>
        <v>ZPKS</v>
      </c>
      <c r="B244" s="195" t="str">
        <f>IF($A244=0,0,VLOOKUP($A244,ModelpuntInfo!$H$24:$H$375,1,FALSE))</f>
        <v>ZPKS</v>
      </c>
      <c r="C244" s="168" t="b">
        <f t="shared" si="3"/>
        <v>1</v>
      </c>
    </row>
    <row r="245" spans="1:3">
      <c r="A245" s="195" t="str">
        <f>'Overview MP Life'!$A250</f>
        <v>ZPPK</v>
      </c>
      <c r="B245" s="195" t="str">
        <f>IF($A245=0,0,VLOOKUP($A245,ModelpuntInfo!$H$24:$H$375,1,FALSE))</f>
        <v>ZPPK</v>
      </c>
      <c r="C245" s="168" t="b">
        <f t="shared" si="3"/>
        <v>1</v>
      </c>
    </row>
    <row r="246" spans="1:3">
      <c r="A246" s="195" t="str">
        <f>'Overview MP Life'!$A251</f>
        <v>ZRAE</v>
      </c>
      <c r="B246" s="195" t="str">
        <f>IF($A246=0,0,VLOOKUP($A246,ModelpuntInfo!$H$24:$H$375,1,FALSE))</f>
        <v>ZRAE</v>
      </c>
      <c r="C246" s="168" t="b">
        <f t="shared" si="3"/>
        <v>1</v>
      </c>
    </row>
    <row r="247" spans="1:3">
      <c r="A247" s="195">
        <f>'Overview MP Life'!$A252</f>
        <v>0</v>
      </c>
      <c r="B247" s="195">
        <f>IF($A247=0,0,VLOOKUP($A247,ModelpuntInfo!$H$24:$H$375,1,FALSE))</f>
        <v>0</v>
      </c>
      <c r="C247" s="168" t="b">
        <f t="shared" si="3"/>
        <v>1</v>
      </c>
    </row>
    <row r="248" spans="1:3">
      <c r="A248" s="195">
        <f>'Overview MP Life'!$A253</f>
        <v>0</v>
      </c>
      <c r="B248" s="195">
        <f>IF($A248=0,0,VLOOKUP($A248,ModelpuntInfo!$H$24:$H$375,1,FALSE))</f>
        <v>0</v>
      </c>
      <c r="C248" s="168" t="b">
        <f t="shared" si="3"/>
        <v>1</v>
      </c>
    </row>
    <row r="249" spans="1:3">
      <c r="A249" s="195">
        <f>'Overview MP Life'!$A254</f>
        <v>0</v>
      </c>
      <c r="B249" s="195">
        <f>IF($A249=0,0,VLOOKUP($A249,ModelpuntInfo!$H$24:$H$375,1,FALSE))</f>
        <v>0</v>
      </c>
      <c r="C249" s="168" t="b">
        <f t="shared" si="3"/>
        <v>1</v>
      </c>
    </row>
    <row r="250" spans="1:3">
      <c r="A250" s="195">
        <f>'Overview MP Life'!$A255</f>
        <v>0</v>
      </c>
      <c r="B250" s="195">
        <f>IF($A250=0,0,VLOOKUP($A250,ModelpuntInfo!$H$24:$H$375,1,FALSE))</f>
        <v>0</v>
      </c>
      <c r="C250" s="168" t="b">
        <f t="shared" si="3"/>
        <v>1</v>
      </c>
    </row>
    <row r="251" spans="1:3">
      <c r="A251" s="195">
        <f>'Overview MP Life'!$A256</f>
        <v>0</v>
      </c>
      <c r="B251" s="195">
        <f>IF($A251=0,0,VLOOKUP($A251,ModelpuntInfo!$H$24:$H$375,1,FALSE))</f>
        <v>0</v>
      </c>
      <c r="C251" s="168" t="b">
        <f t="shared" si="3"/>
        <v>1</v>
      </c>
    </row>
    <row r="252" spans="1:3">
      <c r="A252" s="195">
        <f>'Overview MP Life'!$A257</f>
        <v>0</v>
      </c>
      <c r="B252" s="195">
        <f>IF($A252=0,0,VLOOKUP($A252,ModelpuntInfo!$H$24:$H$375,1,FALSE))</f>
        <v>0</v>
      </c>
      <c r="C252" s="168" t="b">
        <f t="shared" si="3"/>
        <v>1</v>
      </c>
    </row>
    <row r="253" spans="1:3">
      <c r="A253" s="195">
        <f>'Overview MP Life'!$A258</f>
        <v>0</v>
      </c>
      <c r="B253" s="195">
        <f>IF($A253=0,0,VLOOKUP($A253,ModelpuntInfo!$H$24:$H$375,1,FALSE))</f>
        <v>0</v>
      </c>
      <c r="C253" s="168" t="b">
        <f t="shared" si="3"/>
        <v>1</v>
      </c>
    </row>
    <row r="254" spans="1:3">
      <c r="A254" s="195">
        <f>'Overview MP Life'!$A259</f>
        <v>0</v>
      </c>
      <c r="B254" s="195">
        <f>IF($A254=0,0,VLOOKUP($A254,ModelpuntInfo!$H$24:$H$375,1,FALSE))</f>
        <v>0</v>
      </c>
      <c r="C254" s="168" t="b">
        <f t="shared" si="3"/>
        <v>1</v>
      </c>
    </row>
    <row r="255" spans="1:3">
      <c r="A255" s="195">
        <f>'Overview MP Life'!$A260</f>
        <v>0</v>
      </c>
      <c r="B255" s="195">
        <f>IF($A255=0,0,VLOOKUP($A255,ModelpuntInfo!$H$24:$H$375,1,FALSE))</f>
        <v>0</v>
      </c>
      <c r="C255" s="168" t="b">
        <f t="shared" si="3"/>
        <v>1</v>
      </c>
    </row>
    <row r="256" spans="1:3">
      <c r="A256" s="195">
        <f>'Overview MP Life'!$A261</f>
        <v>0</v>
      </c>
      <c r="B256" s="195">
        <f>IF($A256=0,0,VLOOKUP($A256,ModelpuntInfo!$H$24:$H$375,1,FALSE))</f>
        <v>0</v>
      </c>
      <c r="C256" s="168" t="b">
        <f t="shared" si="3"/>
        <v>1</v>
      </c>
    </row>
    <row r="257" spans="1:3">
      <c r="A257" s="195">
        <f>'Overview MP Life'!$A262</f>
        <v>0</v>
      </c>
      <c r="B257" s="195">
        <f>IF($A257=0,0,VLOOKUP($A257,ModelpuntInfo!$H$24:$H$375,1,FALSE))</f>
        <v>0</v>
      </c>
      <c r="C257" s="168" t="b">
        <f t="shared" si="3"/>
        <v>1</v>
      </c>
    </row>
    <row r="258" spans="1:3">
      <c r="A258" s="195">
        <f>'Overview MP Life'!$A263</f>
        <v>0</v>
      </c>
      <c r="B258" s="195">
        <f>IF($A258=0,0,VLOOKUP($A258,ModelpuntInfo!$H$24:$H$375,1,FALSE))</f>
        <v>0</v>
      </c>
      <c r="C258" s="168" t="b">
        <f t="shared" si="3"/>
        <v>1</v>
      </c>
    </row>
    <row r="259" spans="1:3">
      <c r="A259" s="195">
        <f>'Overview MP Life'!$A264</f>
        <v>0</v>
      </c>
      <c r="B259" s="195">
        <f>IF($A259=0,0,VLOOKUP($A259,ModelpuntInfo!$H$24:$H$375,1,FALSE))</f>
        <v>0</v>
      </c>
      <c r="C259" s="168" t="b">
        <f t="shared" si="3"/>
        <v>1</v>
      </c>
    </row>
    <row r="260" spans="1:3">
      <c r="A260" s="195">
        <f>'Overview MP Life'!$A265</f>
        <v>0</v>
      </c>
      <c r="B260" s="195">
        <f>IF($A260=0,0,VLOOKUP($A260,ModelpuntInfo!$H$24:$H$375,1,FALSE))</f>
        <v>0</v>
      </c>
      <c r="C260" s="168" t="b">
        <f t="shared" si="3"/>
        <v>1</v>
      </c>
    </row>
    <row r="261" spans="1:3">
      <c r="A261" s="195">
        <f>'Overview MP Life'!$A266</f>
        <v>0</v>
      </c>
      <c r="B261" s="195">
        <f>IF($A261=0,0,VLOOKUP($A261,ModelpuntInfo!$H$24:$H$375,1,FALSE))</f>
        <v>0</v>
      </c>
      <c r="C261" s="168" t="b">
        <f t="shared" si="3"/>
        <v>1</v>
      </c>
    </row>
    <row r="262" spans="1:3">
      <c r="A262" s="195">
        <f>'Overview MP Life'!$A267</f>
        <v>0</v>
      </c>
      <c r="B262" s="195">
        <f>IF($A262=0,0,VLOOKUP($A262,ModelpuntInfo!$H$24:$H$375,1,FALSE))</f>
        <v>0</v>
      </c>
      <c r="C262" s="168" t="b">
        <f t="shared" ref="C262:C325" si="4">A262=B262</f>
        <v>1</v>
      </c>
    </row>
    <row r="263" spans="1:3">
      <c r="A263" s="195">
        <f>'Overview MP Life'!$A268</f>
        <v>0</v>
      </c>
      <c r="B263" s="195">
        <f>IF($A263=0,0,VLOOKUP($A263,ModelpuntInfo!$H$24:$H$375,1,FALSE))</f>
        <v>0</v>
      </c>
      <c r="C263" s="168" t="b">
        <f t="shared" si="4"/>
        <v>1</v>
      </c>
    </row>
    <row r="264" spans="1:3">
      <c r="A264" s="195">
        <f>'Overview MP Life'!$A269</f>
        <v>0</v>
      </c>
      <c r="B264" s="195">
        <f>IF($A264=0,0,VLOOKUP($A264,ModelpuntInfo!$H$24:$H$375,1,FALSE))</f>
        <v>0</v>
      </c>
      <c r="C264" s="168" t="b">
        <f t="shared" si="4"/>
        <v>1</v>
      </c>
    </row>
    <row r="265" spans="1:3">
      <c r="A265" s="195">
        <f>'Overview MP Life'!$A270</f>
        <v>0</v>
      </c>
      <c r="B265" s="195">
        <f>IF($A265=0,0,VLOOKUP($A265,ModelpuntInfo!$H$24:$H$375,1,FALSE))</f>
        <v>0</v>
      </c>
      <c r="C265" s="168" t="b">
        <f t="shared" si="4"/>
        <v>1</v>
      </c>
    </row>
    <row r="266" spans="1:3">
      <c r="A266" s="195">
        <f>'Overview MP Life'!$A271</f>
        <v>0</v>
      </c>
      <c r="B266" s="195">
        <f>IF($A266=0,0,VLOOKUP($A266,ModelpuntInfo!$H$24:$H$375,1,FALSE))</f>
        <v>0</v>
      </c>
      <c r="C266" s="168" t="b">
        <f t="shared" si="4"/>
        <v>1</v>
      </c>
    </row>
    <row r="267" spans="1:3">
      <c r="A267" s="195">
        <f>'Overview MP Life'!$A272</f>
        <v>0</v>
      </c>
      <c r="B267" s="195">
        <f>IF($A267=0,0,VLOOKUP($A267,ModelpuntInfo!$H$24:$H$375,1,FALSE))</f>
        <v>0</v>
      </c>
      <c r="C267" s="168" t="b">
        <f t="shared" si="4"/>
        <v>1</v>
      </c>
    </row>
    <row r="268" spans="1:3">
      <c r="A268" s="195">
        <f>'Overview MP Life'!$A273</f>
        <v>0</v>
      </c>
      <c r="B268" s="195">
        <f>IF($A268=0,0,VLOOKUP($A268,ModelpuntInfo!$H$24:$H$375,1,FALSE))</f>
        <v>0</v>
      </c>
      <c r="C268" s="168" t="b">
        <f t="shared" si="4"/>
        <v>1</v>
      </c>
    </row>
    <row r="269" spans="1:3">
      <c r="A269" s="195">
        <f>'Overview MP Life'!$A274</f>
        <v>0</v>
      </c>
      <c r="B269" s="195">
        <f>IF($A269=0,0,VLOOKUP($A269,ModelpuntInfo!$H$24:$H$375,1,FALSE))</f>
        <v>0</v>
      </c>
      <c r="C269" s="168" t="b">
        <f t="shared" si="4"/>
        <v>1</v>
      </c>
    </row>
    <row r="270" spans="1:3">
      <c r="A270" s="195">
        <f>'Overview MP Life'!$A275</f>
        <v>0</v>
      </c>
      <c r="B270" s="195">
        <f>IF($A270=0,0,VLOOKUP($A270,ModelpuntInfo!$H$24:$H$375,1,FALSE))</f>
        <v>0</v>
      </c>
      <c r="C270" s="168" t="b">
        <f t="shared" si="4"/>
        <v>1</v>
      </c>
    </row>
    <row r="271" spans="1:3">
      <c r="A271" s="195">
        <f>'Overview MP Life'!$A276</f>
        <v>0</v>
      </c>
      <c r="B271" s="195">
        <f>IF($A271=0,0,VLOOKUP($A271,ModelpuntInfo!$H$24:$H$375,1,FALSE))</f>
        <v>0</v>
      </c>
      <c r="C271" s="168" t="b">
        <f t="shared" si="4"/>
        <v>1</v>
      </c>
    </row>
    <row r="272" spans="1:3">
      <c r="A272" s="195">
        <f>'Overview MP Life'!$A277</f>
        <v>0</v>
      </c>
      <c r="B272" s="195">
        <f>IF($A272=0,0,VLOOKUP($A272,ModelpuntInfo!$H$24:$H$375,1,FALSE))</f>
        <v>0</v>
      </c>
      <c r="C272" s="168" t="b">
        <f t="shared" si="4"/>
        <v>1</v>
      </c>
    </row>
    <row r="273" spans="1:3">
      <c r="A273" s="195">
        <f>'Overview MP Life'!$A278</f>
        <v>0</v>
      </c>
      <c r="B273" s="195">
        <f>IF($A273=0,0,VLOOKUP($A273,ModelpuntInfo!$H$24:$H$375,1,FALSE))</f>
        <v>0</v>
      </c>
      <c r="C273" s="168" t="b">
        <f t="shared" si="4"/>
        <v>1</v>
      </c>
    </row>
    <row r="274" spans="1:3">
      <c r="A274" s="195">
        <f>'Overview MP Life'!$A279</f>
        <v>0</v>
      </c>
      <c r="B274" s="195">
        <f>IF($A274=0,0,VLOOKUP($A274,ModelpuntInfo!$H$24:$H$375,1,FALSE))</f>
        <v>0</v>
      </c>
      <c r="C274" s="168" t="b">
        <f t="shared" si="4"/>
        <v>1</v>
      </c>
    </row>
    <row r="275" spans="1:3">
      <c r="A275" s="195">
        <f>'Overview MP Life'!$A280</f>
        <v>0</v>
      </c>
      <c r="B275" s="195">
        <f>IF($A275=0,0,VLOOKUP($A275,ModelpuntInfo!$H$24:$H$375,1,FALSE))</f>
        <v>0</v>
      </c>
      <c r="C275" s="168" t="b">
        <f t="shared" si="4"/>
        <v>1</v>
      </c>
    </row>
    <row r="276" spans="1:3">
      <c r="A276" s="195">
        <f>'Overview MP Life'!$A281</f>
        <v>0</v>
      </c>
      <c r="B276" s="195">
        <f>IF($A276=0,0,VLOOKUP($A276,ModelpuntInfo!$H$24:$H$375,1,FALSE))</f>
        <v>0</v>
      </c>
      <c r="C276" s="168" t="b">
        <f t="shared" si="4"/>
        <v>1</v>
      </c>
    </row>
    <row r="277" spans="1:3">
      <c r="A277" s="195">
        <f>'Overview MP Life'!$A282</f>
        <v>0</v>
      </c>
      <c r="B277" s="195">
        <f>IF($A277=0,0,VLOOKUP($A277,ModelpuntInfo!$H$24:$H$375,1,FALSE))</f>
        <v>0</v>
      </c>
      <c r="C277" s="168" t="b">
        <f t="shared" si="4"/>
        <v>1</v>
      </c>
    </row>
    <row r="278" spans="1:3">
      <c r="A278" s="195">
        <f>'Overview MP Life'!$A283</f>
        <v>0</v>
      </c>
      <c r="B278" s="195">
        <f>IF($A278=0,0,VLOOKUP($A278,ModelpuntInfo!$H$24:$H$375,1,FALSE))</f>
        <v>0</v>
      </c>
      <c r="C278" s="168" t="b">
        <f t="shared" si="4"/>
        <v>1</v>
      </c>
    </row>
    <row r="279" spans="1:3">
      <c r="A279" s="195">
        <f>'Overview MP Life'!$A284</f>
        <v>0</v>
      </c>
      <c r="B279" s="195">
        <f>IF($A279=0,0,VLOOKUP($A279,ModelpuntInfo!$H$24:$H$375,1,FALSE))</f>
        <v>0</v>
      </c>
      <c r="C279" s="168" t="b">
        <f t="shared" si="4"/>
        <v>1</v>
      </c>
    </row>
    <row r="280" spans="1:3">
      <c r="A280" s="195">
        <f>'Overview MP Life'!$A285</f>
        <v>0</v>
      </c>
      <c r="B280" s="195">
        <f>IF($A280=0,0,VLOOKUP($A280,ModelpuntInfo!$H$24:$H$375,1,FALSE))</f>
        <v>0</v>
      </c>
      <c r="C280" s="168" t="b">
        <f t="shared" si="4"/>
        <v>1</v>
      </c>
    </row>
    <row r="281" spans="1:3">
      <c r="A281" s="195">
        <f>'Overview MP Life'!$A286</f>
        <v>0</v>
      </c>
      <c r="B281" s="195">
        <f>IF($A281=0,0,VLOOKUP($A281,ModelpuntInfo!$H$24:$H$375,1,FALSE))</f>
        <v>0</v>
      </c>
      <c r="C281" s="168" t="b">
        <f t="shared" si="4"/>
        <v>1</v>
      </c>
    </row>
    <row r="282" spans="1:3">
      <c r="A282" s="195">
        <f>'Overview MP Life'!$A287</f>
        <v>0</v>
      </c>
      <c r="B282" s="195">
        <f>IF($A282=0,0,VLOOKUP($A282,ModelpuntInfo!$H$24:$H$375,1,FALSE))</f>
        <v>0</v>
      </c>
      <c r="C282" s="168" t="b">
        <f t="shared" si="4"/>
        <v>1</v>
      </c>
    </row>
    <row r="283" spans="1:3">
      <c r="A283" s="195">
        <f>'Overview MP Life'!$A288</f>
        <v>0</v>
      </c>
      <c r="B283" s="195">
        <f>IF($A283=0,0,VLOOKUP($A283,ModelpuntInfo!$H$24:$H$375,1,FALSE))</f>
        <v>0</v>
      </c>
      <c r="C283" s="168" t="b">
        <f t="shared" si="4"/>
        <v>1</v>
      </c>
    </row>
    <row r="284" spans="1:3">
      <c r="A284" s="195">
        <f>'Overview MP Life'!$A289</f>
        <v>0</v>
      </c>
      <c r="B284" s="195">
        <f>IF($A284=0,0,VLOOKUP($A284,ModelpuntInfo!$H$24:$H$375,1,FALSE))</f>
        <v>0</v>
      </c>
      <c r="C284" s="168" t="b">
        <f t="shared" si="4"/>
        <v>1</v>
      </c>
    </row>
    <row r="285" spans="1:3">
      <c r="A285" s="195">
        <f>'Overview MP Life'!$A290</f>
        <v>0</v>
      </c>
      <c r="B285" s="195">
        <f>IF($A285=0,0,VLOOKUP($A285,ModelpuntInfo!$H$24:$H$375,1,FALSE))</f>
        <v>0</v>
      </c>
      <c r="C285" s="168" t="b">
        <f t="shared" si="4"/>
        <v>1</v>
      </c>
    </row>
    <row r="286" spans="1:3">
      <c r="A286" s="195">
        <f>'Overview MP Life'!$A291</f>
        <v>0</v>
      </c>
      <c r="B286" s="195">
        <f>IF($A286=0,0,VLOOKUP($A286,ModelpuntInfo!$H$24:$H$375,1,FALSE))</f>
        <v>0</v>
      </c>
      <c r="C286" s="168" t="b">
        <f t="shared" si="4"/>
        <v>1</v>
      </c>
    </row>
    <row r="287" spans="1:3">
      <c r="A287" s="195">
        <f>'Overview MP Life'!$A292</f>
        <v>0</v>
      </c>
      <c r="B287" s="195">
        <f>IF($A287=0,0,VLOOKUP($A287,ModelpuntInfo!$H$24:$H$375,1,FALSE))</f>
        <v>0</v>
      </c>
      <c r="C287" s="168" t="b">
        <f t="shared" si="4"/>
        <v>1</v>
      </c>
    </row>
    <row r="288" spans="1:3">
      <c r="A288" s="195">
        <f>'Overview MP Life'!$A293</f>
        <v>0</v>
      </c>
      <c r="B288" s="195">
        <f>IF($A288=0,0,VLOOKUP($A288,ModelpuntInfo!$H$24:$H$375,1,FALSE))</f>
        <v>0</v>
      </c>
      <c r="C288" s="168" t="b">
        <f t="shared" si="4"/>
        <v>1</v>
      </c>
    </row>
    <row r="289" spans="1:3">
      <c r="A289" s="195">
        <f>'Overview MP Life'!$A294</f>
        <v>0</v>
      </c>
      <c r="B289" s="195">
        <f>IF($A289=0,0,VLOOKUP($A289,ModelpuntInfo!$H$24:$H$375,1,FALSE))</f>
        <v>0</v>
      </c>
      <c r="C289" s="168" t="b">
        <f t="shared" si="4"/>
        <v>1</v>
      </c>
    </row>
    <row r="290" spans="1:3">
      <c r="A290" s="195">
        <f>'Overview MP Life'!$A295</f>
        <v>0</v>
      </c>
      <c r="B290" s="195">
        <f>IF($A290=0,0,VLOOKUP($A290,ModelpuntInfo!$H$24:$H$375,1,FALSE))</f>
        <v>0</v>
      </c>
      <c r="C290" s="168" t="b">
        <f t="shared" si="4"/>
        <v>1</v>
      </c>
    </row>
    <row r="291" spans="1:3">
      <c r="A291" s="195">
        <f>'Overview MP Life'!$A296</f>
        <v>0</v>
      </c>
      <c r="B291" s="195">
        <f>IF($A291=0,0,VLOOKUP($A291,ModelpuntInfo!$H$24:$H$375,1,FALSE))</f>
        <v>0</v>
      </c>
      <c r="C291" s="168" t="b">
        <f t="shared" si="4"/>
        <v>1</v>
      </c>
    </row>
    <row r="292" spans="1:3">
      <c r="A292" s="195">
        <f>'Overview MP Life'!$A297</f>
        <v>0</v>
      </c>
      <c r="B292" s="195">
        <f>IF($A292=0,0,VLOOKUP($A292,ModelpuntInfo!$H$24:$H$375,1,FALSE))</f>
        <v>0</v>
      </c>
      <c r="C292" s="168" t="b">
        <f t="shared" si="4"/>
        <v>1</v>
      </c>
    </row>
    <row r="293" spans="1:3">
      <c r="A293" s="195">
        <f>'Overview MP Life'!$A298</f>
        <v>0</v>
      </c>
      <c r="B293" s="195">
        <f>IF($A293=0,0,VLOOKUP($A293,ModelpuntInfo!$H$24:$H$375,1,FALSE))</f>
        <v>0</v>
      </c>
      <c r="C293" s="168" t="b">
        <f t="shared" si="4"/>
        <v>1</v>
      </c>
    </row>
    <row r="294" spans="1:3">
      <c r="A294" s="195">
        <f>'Overview MP Life'!$A299</f>
        <v>0</v>
      </c>
      <c r="B294" s="195">
        <f>IF($A294=0,0,VLOOKUP($A294,ModelpuntInfo!$H$24:$H$375,1,FALSE))</f>
        <v>0</v>
      </c>
      <c r="C294" s="168" t="b">
        <f t="shared" si="4"/>
        <v>1</v>
      </c>
    </row>
    <row r="295" spans="1:3">
      <c r="A295" s="195">
        <f>'Overview MP Life'!$A300</f>
        <v>0</v>
      </c>
      <c r="B295" s="195">
        <f>IF($A295=0,0,VLOOKUP($A295,ModelpuntInfo!$H$24:$H$375,1,FALSE))</f>
        <v>0</v>
      </c>
      <c r="C295" s="168" t="b">
        <f t="shared" si="4"/>
        <v>1</v>
      </c>
    </row>
    <row r="296" spans="1:3">
      <c r="A296" s="195">
        <f>'Overview MP Life'!$A301</f>
        <v>0</v>
      </c>
      <c r="B296" s="195">
        <f>IF($A296=0,0,VLOOKUP($A296,ModelpuntInfo!$H$24:$H$375,1,FALSE))</f>
        <v>0</v>
      </c>
      <c r="C296" s="168" t="b">
        <f t="shared" si="4"/>
        <v>1</v>
      </c>
    </row>
    <row r="297" spans="1:3">
      <c r="A297" s="195">
        <f>'Overview MP Life'!$A302</f>
        <v>0</v>
      </c>
      <c r="B297" s="195">
        <f>IF($A297=0,0,VLOOKUP($A297,ModelpuntInfo!$H$24:$H$375,1,FALSE))</f>
        <v>0</v>
      </c>
      <c r="C297" s="168" t="b">
        <f t="shared" si="4"/>
        <v>1</v>
      </c>
    </row>
    <row r="298" spans="1:3">
      <c r="A298" s="195">
        <f>'Overview MP Life'!$A303</f>
        <v>0</v>
      </c>
      <c r="B298" s="195">
        <f>IF($A298=0,0,VLOOKUP($A298,ModelpuntInfo!$H$24:$H$375,1,FALSE))</f>
        <v>0</v>
      </c>
      <c r="C298" s="168" t="b">
        <f t="shared" si="4"/>
        <v>1</v>
      </c>
    </row>
    <row r="299" spans="1:3">
      <c r="A299" s="195">
        <f>'Overview MP Life'!$A304</f>
        <v>0</v>
      </c>
      <c r="B299" s="195">
        <f>IF($A299=0,0,VLOOKUP($A299,ModelpuntInfo!$H$24:$H$375,1,FALSE))</f>
        <v>0</v>
      </c>
      <c r="C299" s="168" t="b">
        <f t="shared" si="4"/>
        <v>1</v>
      </c>
    </row>
    <row r="300" spans="1:3">
      <c r="A300" s="195">
        <f>'Overview MP Life'!$A305</f>
        <v>0</v>
      </c>
      <c r="B300" s="195">
        <f>IF($A300=0,0,VLOOKUP($A300,ModelpuntInfo!$H$24:$H$375,1,FALSE))</f>
        <v>0</v>
      </c>
      <c r="C300" s="168" t="b">
        <f t="shared" si="4"/>
        <v>1</v>
      </c>
    </row>
    <row r="301" spans="1:3">
      <c r="A301" s="195">
        <f>'Overview MP Life'!$A306</f>
        <v>0</v>
      </c>
      <c r="B301" s="195">
        <f>IF($A301=0,0,VLOOKUP($A301,ModelpuntInfo!$H$24:$H$375,1,FALSE))</f>
        <v>0</v>
      </c>
      <c r="C301" s="168" t="b">
        <f t="shared" si="4"/>
        <v>1</v>
      </c>
    </row>
    <row r="302" spans="1:3">
      <c r="A302" s="195">
        <f>'Overview MP Life'!$A307</f>
        <v>0</v>
      </c>
      <c r="B302" s="195">
        <f>IF($A302=0,0,VLOOKUP($A302,ModelpuntInfo!$H$24:$H$375,1,FALSE))</f>
        <v>0</v>
      </c>
      <c r="C302" s="168" t="b">
        <f t="shared" si="4"/>
        <v>1</v>
      </c>
    </row>
    <row r="303" spans="1:3">
      <c r="A303" s="195">
        <f>'Overview MP Life'!$A308</f>
        <v>0</v>
      </c>
      <c r="B303" s="195">
        <f>IF($A303=0,0,VLOOKUP($A303,ModelpuntInfo!$H$24:$H$375,1,FALSE))</f>
        <v>0</v>
      </c>
      <c r="C303" s="168" t="b">
        <f t="shared" si="4"/>
        <v>1</v>
      </c>
    </row>
    <row r="304" spans="1:3">
      <c r="A304" s="195">
        <f>'Overview MP Life'!$A309</f>
        <v>0</v>
      </c>
      <c r="B304" s="195">
        <f>IF($A304=0,0,VLOOKUP($A304,ModelpuntInfo!$H$24:$H$375,1,FALSE))</f>
        <v>0</v>
      </c>
      <c r="C304" s="168" t="b">
        <f t="shared" si="4"/>
        <v>1</v>
      </c>
    </row>
    <row r="305" spans="1:3">
      <c r="A305" s="195">
        <f>'Overview MP Life'!$A310</f>
        <v>0</v>
      </c>
      <c r="B305" s="195">
        <f>IF($A305=0,0,VLOOKUP($A305,ModelpuntInfo!$H$24:$H$375,1,FALSE))</f>
        <v>0</v>
      </c>
      <c r="C305" s="168" t="b">
        <f t="shared" si="4"/>
        <v>1</v>
      </c>
    </row>
    <row r="306" spans="1:3">
      <c r="A306" s="195">
        <f>'Overview MP Life'!$A311</f>
        <v>0</v>
      </c>
      <c r="B306" s="195">
        <f>IF($A306=0,0,VLOOKUP($A306,ModelpuntInfo!$H$24:$H$375,1,FALSE))</f>
        <v>0</v>
      </c>
      <c r="C306" s="168" t="b">
        <f t="shared" si="4"/>
        <v>1</v>
      </c>
    </row>
    <row r="307" spans="1:3">
      <c r="A307" s="195">
        <f>'Overview MP Life'!$A312</f>
        <v>0</v>
      </c>
      <c r="B307" s="195">
        <f>IF($A307=0,0,VLOOKUP($A307,ModelpuntInfo!$H$24:$H$375,1,FALSE))</f>
        <v>0</v>
      </c>
      <c r="C307" s="168" t="b">
        <f t="shared" si="4"/>
        <v>1</v>
      </c>
    </row>
    <row r="308" spans="1:3">
      <c r="A308" s="195">
        <f>'Overview MP Life'!$A313</f>
        <v>0</v>
      </c>
      <c r="B308" s="195">
        <f>IF($A308=0,0,VLOOKUP($A308,ModelpuntInfo!$H$24:$H$375,1,FALSE))</f>
        <v>0</v>
      </c>
      <c r="C308" s="168" t="b">
        <f t="shared" si="4"/>
        <v>1</v>
      </c>
    </row>
    <row r="309" spans="1:3">
      <c r="A309" s="195">
        <f>'Overview MP Life'!$A314</f>
        <v>0</v>
      </c>
      <c r="B309" s="195">
        <f>IF($A309=0,0,VLOOKUP($A309,ModelpuntInfo!$H$24:$H$375,1,FALSE))</f>
        <v>0</v>
      </c>
      <c r="C309" s="168" t="b">
        <f t="shared" si="4"/>
        <v>1</v>
      </c>
    </row>
    <row r="310" spans="1:3">
      <c r="A310" s="195">
        <f>'Overview MP Life'!$A315</f>
        <v>0</v>
      </c>
      <c r="B310" s="195">
        <f>IF($A310=0,0,VLOOKUP($A310,ModelpuntInfo!$H$24:$H$375,1,FALSE))</f>
        <v>0</v>
      </c>
      <c r="C310" s="168" t="b">
        <f t="shared" si="4"/>
        <v>1</v>
      </c>
    </row>
    <row r="311" spans="1:3">
      <c r="A311" s="195">
        <f>'Overview MP Life'!$A316</f>
        <v>0</v>
      </c>
      <c r="B311" s="195">
        <f>IF($A311=0,0,VLOOKUP($A311,ModelpuntInfo!$H$24:$H$375,1,FALSE))</f>
        <v>0</v>
      </c>
      <c r="C311" s="168" t="b">
        <f t="shared" si="4"/>
        <v>1</v>
      </c>
    </row>
    <row r="312" spans="1:3">
      <c r="A312" s="195">
        <f>'Overview MP Life'!$A317</f>
        <v>0</v>
      </c>
      <c r="B312" s="195">
        <f>IF($A312=0,0,VLOOKUP($A312,ModelpuntInfo!$H$24:$H$375,1,FALSE))</f>
        <v>0</v>
      </c>
      <c r="C312" s="168" t="b">
        <f t="shared" si="4"/>
        <v>1</v>
      </c>
    </row>
    <row r="313" spans="1:3">
      <c r="A313" s="195">
        <f>'Overview MP Life'!$A318</f>
        <v>0</v>
      </c>
      <c r="B313" s="195">
        <f>IF($A313=0,0,VLOOKUP($A313,ModelpuntInfo!$H$24:$H$375,1,FALSE))</f>
        <v>0</v>
      </c>
      <c r="C313" s="168" t="b">
        <f t="shared" si="4"/>
        <v>1</v>
      </c>
    </row>
    <row r="314" spans="1:3">
      <c r="A314" s="195">
        <f>'Overview MP Life'!$A319</f>
        <v>0</v>
      </c>
      <c r="B314" s="195">
        <f>IF($A314=0,0,VLOOKUP($A314,ModelpuntInfo!$H$24:$H$375,1,FALSE))</f>
        <v>0</v>
      </c>
      <c r="C314" s="168" t="b">
        <f t="shared" si="4"/>
        <v>1</v>
      </c>
    </row>
    <row r="315" spans="1:3">
      <c r="A315" s="195">
        <f>'Overview MP Life'!$A320</f>
        <v>0</v>
      </c>
      <c r="B315" s="195">
        <f>IF($A315=0,0,VLOOKUP($A315,ModelpuntInfo!$H$24:$H$375,1,FALSE))</f>
        <v>0</v>
      </c>
      <c r="C315" s="168" t="b">
        <f t="shared" si="4"/>
        <v>1</v>
      </c>
    </row>
    <row r="316" spans="1:3">
      <c r="A316" s="195">
        <f>'Overview MP Life'!$A321</f>
        <v>0</v>
      </c>
      <c r="B316" s="195">
        <f>IF($A316=0,0,VLOOKUP($A316,ModelpuntInfo!$H$24:$H$375,1,FALSE))</f>
        <v>0</v>
      </c>
      <c r="C316" s="168" t="b">
        <f t="shared" si="4"/>
        <v>1</v>
      </c>
    </row>
    <row r="317" spans="1:3">
      <c r="A317" s="195">
        <f>'Overview MP Life'!$A322</f>
        <v>0</v>
      </c>
      <c r="B317" s="195">
        <f>IF($A317=0,0,VLOOKUP($A317,ModelpuntInfo!$H$24:$H$375,1,FALSE))</f>
        <v>0</v>
      </c>
      <c r="C317" s="168" t="b">
        <f t="shared" si="4"/>
        <v>1</v>
      </c>
    </row>
    <row r="318" spans="1:3">
      <c r="A318" s="195">
        <f>'Overview MP Life'!$A323</f>
        <v>0</v>
      </c>
      <c r="B318" s="195">
        <f>IF($A318=0,0,VLOOKUP($A318,ModelpuntInfo!$H$24:$H$375,1,FALSE))</f>
        <v>0</v>
      </c>
      <c r="C318" s="168" t="b">
        <f t="shared" si="4"/>
        <v>1</v>
      </c>
    </row>
    <row r="319" spans="1:3">
      <c r="A319" s="195">
        <f>'Overview MP Life'!$A324</f>
        <v>0</v>
      </c>
      <c r="B319" s="195">
        <f>IF($A319=0,0,VLOOKUP($A319,ModelpuntInfo!$H$24:$H$375,1,FALSE))</f>
        <v>0</v>
      </c>
      <c r="C319" s="168" t="b">
        <f t="shared" si="4"/>
        <v>1</v>
      </c>
    </row>
    <row r="320" spans="1:3">
      <c r="A320" s="195">
        <f>'Overview MP Life'!$A325</f>
        <v>0</v>
      </c>
      <c r="B320" s="195">
        <f>IF($A320=0,0,VLOOKUP($A320,ModelpuntInfo!$H$24:$H$375,1,FALSE))</f>
        <v>0</v>
      </c>
      <c r="C320" s="168" t="b">
        <f t="shared" si="4"/>
        <v>1</v>
      </c>
    </row>
    <row r="321" spans="1:3">
      <c r="A321" s="195">
        <f>'Overview MP Life'!$A326</f>
        <v>0</v>
      </c>
      <c r="B321" s="195">
        <f>IF($A321=0,0,VLOOKUP($A321,ModelpuntInfo!$H$24:$H$375,1,FALSE))</f>
        <v>0</v>
      </c>
      <c r="C321" s="168" t="b">
        <f t="shared" si="4"/>
        <v>1</v>
      </c>
    </row>
    <row r="322" spans="1:3">
      <c r="A322" s="195">
        <f>'Overview MP Life'!$A327</f>
        <v>0</v>
      </c>
      <c r="B322" s="195">
        <f>IF($A322=0,0,VLOOKUP($A322,ModelpuntInfo!$H$24:$H$375,1,FALSE))</f>
        <v>0</v>
      </c>
      <c r="C322" s="168" t="b">
        <f t="shared" si="4"/>
        <v>1</v>
      </c>
    </row>
    <row r="323" spans="1:3">
      <c r="A323" s="195">
        <f>'Overview MP Life'!$A328</f>
        <v>0</v>
      </c>
      <c r="B323" s="195">
        <f>IF($A323=0,0,VLOOKUP($A323,ModelpuntInfo!$H$24:$H$375,1,FALSE))</f>
        <v>0</v>
      </c>
      <c r="C323" s="168" t="b">
        <f t="shared" si="4"/>
        <v>1</v>
      </c>
    </row>
    <row r="324" spans="1:3">
      <c r="A324" s="195">
        <f>'Overview MP Life'!$A329</f>
        <v>0</v>
      </c>
      <c r="B324" s="195">
        <f>IF($A324=0,0,VLOOKUP($A324,ModelpuntInfo!$H$24:$H$375,1,FALSE))</f>
        <v>0</v>
      </c>
      <c r="C324" s="168" t="b">
        <f t="shared" si="4"/>
        <v>1</v>
      </c>
    </row>
    <row r="325" spans="1:3">
      <c r="A325" s="195">
        <f>'Overview MP Life'!$A330</f>
        <v>0</v>
      </c>
      <c r="B325" s="195">
        <f>IF($A325=0,0,VLOOKUP($A325,ModelpuntInfo!$H$24:$H$375,1,FALSE))</f>
        <v>0</v>
      </c>
      <c r="C325" s="168" t="b">
        <f t="shared" si="4"/>
        <v>1</v>
      </c>
    </row>
    <row r="326" spans="1:3">
      <c r="A326" s="195">
        <f>'Overview MP Life'!$A331</f>
        <v>0</v>
      </c>
      <c r="B326" s="195">
        <f>IF($A326=0,0,VLOOKUP($A326,ModelpuntInfo!$H$24:$H$375,1,FALSE))</f>
        <v>0</v>
      </c>
      <c r="C326" s="168" t="b">
        <f t="shared" ref="C326:C389" si="5">A326=B326</f>
        <v>1</v>
      </c>
    </row>
    <row r="327" spans="1:3">
      <c r="A327" s="195">
        <f>'Overview MP Life'!$A332</f>
        <v>0</v>
      </c>
      <c r="B327" s="195">
        <f>IF($A327=0,0,VLOOKUP($A327,ModelpuntInfo!$H$24:$H$375,1,FALSE))</f>
        <v>0</v>
      </c>
      <c r="C327" s="168" t="b">
        <f t="shared" si="5"/>
        <v>1</v>
      </c>
    </row>
    <row r="328" spans="1:3">
      <c r="A328" s="195">
        <f>'Overview MP Life'!$A333</f>
        <v>0</v>
      </c>
      <c r="B328" s="195">
        <f>IF($A328=0,0,VLOOKUP($A328,ModelpuntInfo!$H$24:$H$375,1,FALSE))</f>
        <v>0</v>
      </c>
      <c r="C328" s="168" t="b">
        <f t="shared" si="5"/>
        <v>1</v>
      </c>
    </row>
    <row r="329" spans="1:3">
      <c r="A329" s="195">
        <f>'Overview MP Life'!$A334</f>
        <v>0</v>
      </c>
      <c r="B329" s="195">
        <f>IF($A329=0,0,VLOOKUP($A329,ModelpuntInfo!$H$24:$H$375,1,FALSE))</f>
        <v>0</v>
      </c>
      <c r="C329" s="168" t="b">
        <f t="shared" si="5"/>
        <v>1</v>
      </c>
    </row>
    <row r="330" spans="1:3">
      <c r="A330" s="195">
        <f>'Overview MP Life'!$A335</f>
        <v>0</v>
      </c>
      <c r="B330" s="195">
        <f>IF($A330=0,0,VLOOKUP($A330,ModelpuntInfo!$H$24:$H$375,1,FALSE))</f>
        <v>0</v>
      </c>
      <c r="C330" s="168" t="b">
        <f t="shared" si="5"/>
        <v>1</v>
      </c>
    </row>
    <row r="331" spans="1:3">
      <c r="A331" s="195">
        <f>'Overview MP Life'!$A336</f>
        <v>0</v>
      </c>
      <c r="B331" s="195">
        <f>IF($A331=0,0,VLOOKUP($A331,ModelpuntInfo!$H$24:$H$375,1,FALSE))</f>
        <v>0</v>
      </c>
      <c r="C331" s="168" t="b">
        <f t="shared" si="5"/>
        <v>1</v>
      </c>
    </row>
    <row r="332" spans="1:3">
      <c r="A332" s="195">
        <f>'Overview MP Life'!$A337</f>
        <v>0</v>
      </c>
      <c r="B332" s="195">
        <f>IF($A332=0,0,VLOOKUP($A332,ModelpuntInfo!$H$24:$H$375,1,FALSE))</f>
        <v>0</v>
      </c>
      <c r="C332" s="168" t="b">
        <f t="shared" si="5"/>
        <v>1</v>
      </c>
    </row>
    <row r="333" spans="1:3">
      <c r="A333" s="195">
        <f>'Overview MP Life'!$A338</f>
        <v>0</v>
      </c>
      <c r="B333" s="195">
        <f>IF($A333=0,0,VLOOKUP($A333,ModelpuntInfo!$H$24:$H$375,1,FALSE))</f>
        <v>0</v>
      </c>
      <c r="C333" s="168" t="b">
        <f t="shared" si="5"/>
        <v>1</v>
      </c>
    </row>
    <row r="334" spans="1:3">
      <c r="A334" s="195">
        <f>'Overview MP Life'!$A339</f>
        <v>0</v>
      </c>
      <c r="B334" s="195">
        <f>IF($A334=0,0,VLOOKUP($A334,ModelpuntInfo!$H$24:$H$375,1,FALSE))</f>
        <v>0</v>
      </c>
      <c r="C334" s="168" t="b">
        <f t="shared" si="5"/>
        <v>1</v>
      </c>
    </row>
    <row r="335" spans="1:3">
      <c r="A335" s="195">
        <f>'Overview MP Life'!$A340</f>
        <v>0</v>
      </c>
      <c r="B335" s="195">
        <f>IF($A335=0,0,VLOOKUP($A335,ModelpuntInfo!$H$24:$H$375,1,FALSE))</f>
        <v>0</v>
      </c>
      <c r="C335" s="168" t="b">
        <f t="shared" si="5"/>
        <v>1</v>
      </c>
    </row>
    <row r="336" spans="1:3">
      <c r="A336" s="195">
        <f>'Overview MP Life'!$A341</f>
        <v>0</v>
      </c>
      <c r="B336" s="195">
        <f>IF($A336=0,0,VLOOKUP($A336,ModelpuntInfo!$H$24:$H$375,1,FALSE))</f>
        <v>0</v>
      </c>
      <c r="C336" s="168" t="b">
        <f t="shared" si="5"/>
        <v>1</v>
      </c>
    </row>
    <row r="337" spans="1:3">
      <c r="A337" s="195">
        <f>'Overview MP Life'!$A342</f>
        <v>0</v>
      </c>
      <c r="B337" s="195">
        <f>IF($A337=0,0,VLOOKUP($A337,ModelpuntInfo!$H$24:$H$375,1,FALSE))</f>
        <v>0</v>
      </c>
      <c r="C337" s="168" t="b">
        <f t="shared" si="5"/>
        <v>1</v>
      </c>
    </row>
    <row r="338" spans="1:3">
      <c r="A338" s="195">
        <f>'Overview MP Life'!$A343</f>
        <v>0</v>
      </c>
      <c r="B338" s="195">
        <f>IF($A338=0,0,VLOOKUP($A338,ModelpuntInfo!$H$24:$H$375,1,FALSE))</f>
        <v>0</v>
      </c>
      <c r="C338" s="168" t="b">
        <f t="shared" si="5"/>
        <v>1</v>
      </c>
    </row>
    <row r="339" spans="1:3">
      <c r="A339" s="195">
        <f>'Overview MP Life'!$A344</f>
        <v>0</v>
      </c>
      <c r="B339" s="195">
        <f>IF($A339=0,0,VLOOKUP($A339,ModelpuntInfo!$H$24:$H$375,1,FALSE))</f>
        <v>0</v>
      </c>
      <c r="C339" s="168" t="b">
        <f t="shared" si="5"/>
        <v>1</v>
      </c>
    </row>
    <row r="340" spans="1:3">
      <c r="A340" s="195">
        <f>'Overview MP Life'!$A345</f>
        <v>0</v>
      </c>
      <c r="B340" s="195">
        <f>IF($A340=0,0,VLOOKUP($A340,ModelpuntInfo!$H$24:$H$375,1,FALSE))</f>
        <v>0</v>
      </c>
      <c r="C340" s="168" t="b">
        <f t="shared" si="5"/>
        <v>1</v>
      </c>
    </row>
    <row r="341" spans="1:3">
      <c r="A341" s="195">
        <f>'Overview MP Life'!$A346</f>
        <v>0</v>
      </c>
      <c r="B341" s="195">
        <f>IF($A341=0,0,VLOOKUP($A341,ModelpuntInfo!$H$24:$H$375,1,FALSE))</f>
        <v>0</v>
      </c>
      <c r="C341" s="168" t="b">
        <f t="shared" si="5"/>
        <v>1</v>
      </c>
    </row>
    <row r="342" spans="1:3">
      <c r="A342" s="195">
        <f>'Overview MP Life'!$A347</f>
        <v>0</v>
      </c>
      <c r="B342" s="195">
        <f>IF($A342=0,0,VLOOKUP($A342,ModelpuntInfo!$H$24:$H$375,1,FALSE))</f>
        <v>0</v>
      </c>
      <c r="C342" s="168" t="b">
        <f t="shared" si="5"/>
        <v>1</v>
      </c>
    </row>
    <row r="343" spans="1:3">
      <c r="A343" s="195">
        <f>'Overview MP Life'!$A348</f>
        <v>0</v>
      </c>
      <c r="B343" s="195">
        <f>IF($A343=0,0,VLOOKUP($A343,ModelpuntInfo!$H$24:$H$375,1,FALSE))</f>
        <v>0</v>
      </c>
      <c r="C343" s="168" t="b">
        <f t="shared" si="5"/>
        <v>1</v>
      </c>
    </row>
    <row r="344" spans="1:3">
      <c r="A344" s="195">
        <f>'Overview MP Life'!$A349</f>
        <v>0</v>
      </c>
      <c r="B344" s="195">
        <f>IF($A344=0,0,VLOOKUP($A344,ModelpuntInfo!$H$24:$H$375,1,FALSE))</f>
        <v>0</v>
      </c>
      <c r="C344" s="168" t="b">
        <f t="shared" si="5"/>
        <v>1</v>
      </c>
    </row>
    <row r="345" spans="1:3">
      <c r="A345" s="195">
        <f>'Overview MP Life'!$A350</f>
        <v>0</v>
      </c>
      <c r="B345" s="195">
        <f>IF($A345=0,0,VLOOKUP($A345,ModelpuntInfo!$H$24:$H$375,1,FALSE))</f>
        <v>0</v>
      </c>
      <c r="C345" s="168" t="b">
        <f t="shared" si="5"/>
        <v>1</v>
      </c>
    </row>
    <row r="346" spans="1:3">
      <c r="A346" s="195">
        <f>'Overview MP Life'!$A351</f>
        <v>0</v>
      </c>
      <c r="B346" s="195">
        <f>IF($A346=0,0,VLOOKUP($A346,ModelpuntInfo!$H$24:$H$375,1,FALSE))</f>
        <v>0</v>
      </c>
      <c r="C346" s="168" t="b">
        <f t="shared" si="5"/>
        <v>1</v>
      </c>
    </row>
    <row r="347" spans="1:3">
      <c r="A347" s="195">
        <f>'Overview MP Life'!$A352</f>
        <v>0</v>
      </c>
      <c r="B347" s="195">
        <f>IF($A347=0,0,VLOOKUP($A347,ModelpuntInfo!$H$24:$H$375,1,FALSE))</f>
        <v>0</v>
      </c>
      <c r="C347" s="168" t="b">
        <f t="shared" si="5"/>
        <v>1</v>
      </c>
    </row>
    <row r="348" spans="1:3">
      <c r="A348" s="195">
        <f>'Overview MP Life'!$A353</f>
        <v>0</v>
      </c>
      <c r="B348" s="195">
        <f>IF($A348=0,0,VLOOKUP($A348,ModelpuntInfo!$H$24:$H$375,1,FALSE))</f>
        <v>0</v>
      </c>
      <c r="C348" s="168" t="b">
        <f t="shared" si="5"/>
        <v>1</v>
      </c>
    </row>
    <row r="349" spans="1:3">
      <c r="A349" s="195">
        <f>'Overview MP Life'!$A354</f>
        <v>0</v>
      </c>
      <c r="B349" s="195">
        <f>IF($A349=0,0,VLOOKUP($A349,ModelpuntInfo!$H$24:$H$375,1,FALSE))</f>
        <v>0</v>
      </c>
      <c r="C349" s="168" t="b">
        <f t="shared" si="5"/>
        <v>1</v>
      </c>
    </row>
    <row r="350" spans="1:3">
      <c r="A350" s="195">
        <f>'Overview MP Life'!$A355</f>
        <v>0</v>
      </c>
      <c r="B350" s="195">
        <f>IF($A350=0,0,VLOOKUP($A350,ModelpuntInfo!$H$24:$H$375,1,FALSE))</f>
        <v>0</v>
      </c>
      <c r="C350" s="168" t="b">
        <f t="shared" si="5"/>
        <v>1</v>
      </c>
    </row>
    <row r="351" spans="1:3">
      <c r="A351" s="195">
        <f>'Overview MP Life'!$A356</f>
        <v>0</v>
      </c>
      <c r="B351" s="195">
        <f>IF($A351=0,0,VLOOKUP($A351,ModelpuntInfo!$H$24:$H$375,1,FALSE))</f>
        <v>0</v>
      </c>
      <c r="C351" s="168" t="b">
        <f t="shared" si="5"/>
        <v>1</v>
      </c>
    </row>
    <row r="352" spans="1:3">
      <c r="A352" s="195">
        <f>'Overview MP Life'!$A357</f>
        <v>0</v>
      </c>
      <c r="B352" s="195">
        <f>IF($A352=0,0,VLOOKUP($A352,ModelpuntInfo!$H$24:$H$375,1,FALSE))</f>
        <v>0</v>
      </c>
      <c r="C352" s="168" t="b">
        <f t="shared" si="5"/>
        <v>1</v>
      </c>
    </row>
    <row r="353" spans="1:3">
      <c r="A353" s="195">
        <f>'Overview MP Life'!$A358</f>
        <v>0</v>
      </c>
      <c r="B353" s="195">
        <f>IF($A353=0,0,VLOOKUP($A353,ModelpuntInfo!$H$24:$H$375,1,FALSE))</f>
        <v>0</v>
      </c>
      <c r="C353" s="168" t="b">
        <f t="shared" si="5"/>
        <v>1</v>
      </c>
    </row>
    <row r="354" spans="1:3">
      <c r="A354" s="195">
        <f>'Overview MP Life'!$A359</f>
        <v>0</v>
      </c>
      <c r="B354" s="195">
        <f>IF($A354=0,0,VLOOKUP($A354,ModelpuntInfo!$H$24:$H$375,1,FALSE))</f>
        <v>0</v>
      </c>
      <c r="C354" s="168" t="b">
        <f t="shared" si="5"/>
        <v>1</v>
      </c>
    </row>
    <row r="355" spans="1:3">
      <c r="A355" s="195">
        <f>'Overview MP Life'!$A360</f>
        <v>0</v>
      </c>
      <c r="B355" s="195">
        <f>IF($A355=0,0,VLOOKUP($A355,ModelpuntInfo!$H$24:$H$375,1,FALSE))</f>
        <v>0</v>
      </c>
      <c r="C355" s="168" t="b">
        <f t="shared" si="5"/>
        <v>1</v>
      </c>
    </row>
    <row r="356" spans="1:3">
      <c r="A356" s="195">
        <f>'Overview MP Life'!$A361</f>
        <v>0</v>
      </c>
      <c r="B356" s="195">
        <f>IF($A356=0,0,VLOOKUP($A356,ModelpuntInfo!$H$24:$H$375,1,FALSE))</f>
        <v>0</v>
      </c>
      <c r="C356" s="168" t="b">
        <f t="shared" si="5"/>
        <v>1</v>
      </c>
    </row>
    <row r="357" spans="1:3">
      <c r="A357" s="195">
        <f>'Overview MP Life'!$A362</f>
        <v>0</v>
      </c>
      <c r="B357" s="195">
        <f>IF($A357=0,0,VLOOKUP($A357,ModelpuntInfo!$H$24:$H$375,1,FALSE))</f>
        <v>0</v>
      </c>
      <c r="C357" s="168" t="b">
        <f t="shared" si="5"/>
        <v>1</v>
      </c>
    </row>
    <row r="358" spans="1:3">
      <c r="A358" s="195">
        <f>'Overview MP Life'!$A363</f>
        <v>0</v>
      </c>
      <c r="B358" s="195">
        <f>IF($A358=0,0,VLOOKUP($A358,ModelpuntInfo!$H$24:$H$375,1,FALSE))</f>
        <v>0</v>
      </c>
      <c r="C358" s="168" t="b">
        <f t="shared" si="5"/>
        <v>1</v>
      </c>
    </row>
    <row r="359" spans="1:3">
      <c r="A359" s="195">
        <f>'Overview MP Life'!$A364</f>
        <v>0</v>
      </c>
      <c r="B359" s="195">
        <f>IF($A359=0,0,VLOOKUP($A359,ModelpuntInfo!$H$24:$H$375,1,FALSE))</f>
        <v>0</v>
      </c>
      <c r="C359" s="168" t="b">
        <f t="shared" si="5"/>
        <v>1</v>
      </c>
    </row>
    <row r="360" spans="1:3">
      <c r="A360" s="195">
        <f>'Overview MP Life'!$A365</f>
        <v>0</v>
      </c>
      <c r="B360" s="195">
        <f>IF($A360=0,0,VLOOKUP($A360,ModelpuntInfo!$H$24:$H$375,1,FALSE))</f>
        <v>0</v>
      </c>
      <c r="C360" s="168" t="b">
        <f t="shared" si="5"/>
        <v>1</v>
      </c>
    </row>
    <row r="361" spans="1:3">
      <c r="A361" s="195">
        <f>'Overview MP Life'!$A366</f>
        <v>0</v>
      </c>
      <c r="B361" s="195">
        <f>IF($A361=0,0,VLOOKUP($A361,ModelpuntInfo!$H$24:$H$375,1,FALSE))</f>
        <v>0</v>
      </c>
      <c r="C361" s="168" t="b">
        <f t="shared" si="5"/>
        <v>1</v>
      </c>
    </row>
    <row r="362" spans="1:3">
      <c r="A362" s="195">
        <f>'Overview MP Life'!$A367</f>
        <v>0</v>
      </c>
      <c r="B362" s="195">
        <f>IF($A362=0,0,VLOOKUP($A362,ModelpuntInfo!$H$24:$H$375,1,FALSE))</f>
        <v>0</v>
      </c>
      <c r="C362" s="168" t="b">
        <f t="shared" si="5"/>
        <v>1</v>
      </c>
    </row>
    <row r="363" spans="1:3">
      <c r="A363" s="195">
        <f>'Overview MP Life'!$A368</f>
        <v>0</v>
      </c>
      <c r="B363" s="195">
        <f>IF($A363=0,0,VLOOKUP($A363,ModelpuntInfo!$H$24:$H$375,1,FALSE))</f>
        <v>0</v>
      </c>
      <c r="C363" s="168" t="b">
        <f t="shared" si="5"/>
        <v>1</v>
      </c>
    </row>
    <row r="364" spans="1:3">
      <c r="A364" s="195">
        <f>'Overview MP Life'!$A369</f>
        <v>0</v>
      </c>
      <c r="B364" s="195">
        <f>IF($A364=0,0,VLOOKUP($A364,ModelpuntInfo!$H$24:$H$375,1,FALSE))</f>
        <v>0</v>
      </c>
      <c r="C364" s="168" t="b">
        <f t="shared" si="5"/>
        <v>1</v>
      </c>
    </row>
    <row r="365" spans="1:3">
      <c r="A365" s="195">
        <f>'Overview MP Life'!$A370</f>
        <v>0</v>
      </c>
      <c r="B365" s="195">
        <f>IF($A365=0,0,VLOOKUP($A365,ModelpuntInfo!$H$24:$H$375,1,FALSE))</f>
        <v>0</v>
      </c>
      <c r="C365" s="168" t="b">
        <f t="shared" si="5"/>
        <v>1</v>
      </c>
    </row>
    <row r="366" spans="1:3">
      <c r="A366" s="195">
        <f>'Overview MP Life'!$A371</f>
        <v>0</v>
      </c>
      <c r="B366" s="195">
        <f>IF($A366=0,0,VLOOKUP($A366,ModelpuntInfo!$H$24:$H$375,1,FALSE))</f>
        <v>0</v>
      </c>
      <c r="C366" s="168" t="b">
        <f t="shared" si="5"/>
        <v>1</v>
      </c>
    </row>
    <row r="367" spans="1:3">
      <c r="A367" s="195">
        <f>'Overview MP Life'!$A372</f>
        <v>0</v>
      </c>
      <c r="B367" s="195">
        <f>IF($A367=0,0,VLOOKUP($A367,ModelpuntInfo!$H$24:$H$375,1,FALSE))</f>
        <v>0</v>
      </c>
      <c r="C367" s="168" t="b">
        <f t="shared" si="5"/>
        <v>1</v>
      </c>
    </row>
    <row r="368" spans="1:3">
      <c r="A368" s="195">
        <f>'Overview MP Life'!$A373</f>
        <v>0</v>
      </c>
      <c r="B368" s="195">
        <f>IF($A368=0,0,VLOOKUP($A368,ModelpuntInfo!$H$24:$H$375,1,FALSE))</f>
        <v>0</v>
      </c>
      <c r="C368" s="168" t="b">
        <f t="shared" si="5"/>
        <v>1</v>
      </c>
    </row>
    <row r="369" spans="1:3">
      <c r="A369" s="195">
        <f>'Overview MP Life'!$A374</f>
        <v>0</v>
      </c>
      <c r="B369" s="195">
        <f>IF($A369=0,0,VLOOKUP($A369,ModelpuntInfo!$H$24:$H$375,1,FALSE))</f>
        <v>0</v>
      </c>
      <c r="C369" s="168" t="b">
        <f t="shared" si="5"/>
        <v>1</v>
      </c>
    </row>
    <row r="370" spans="1:3">
      <c r="A370" s="195">
        <f>'Overview MP Life'!$A375</f>
        <v>0</v>
      </c>
      <c r="B370" s="195">
        <f>IF($A370=0,0,VLOOKUP($A370,ModelpuntInfo!$H$24:$H$375,1,FALSE))</f>
        <v>0</v>
      </c>
      <c r="C370" s="168" t="b">
        <f t="shared" si="5"/>
        <v>1</v>
      </c>
    </row>
    <row r="371" spans="1:3">
      <c r="A371" s="195">
        <f>'Overview MP Life'!$A376</f>
        <v>0</v>
      </c>
      <c r="B371" s="195">
        <f>IF($A371=0,0,VLOOKUP($A371,ModelpuntInfo!$H$24:$H$375,1,FALSE))</f>
        <v>0</v>
      </c>
      <c r="C371" s="168" t="b">
        <f t="shared" si="5"/>
        <v>1</v>
      </c>
    </row>
    <row r="372" spans="1:3">
      <c r="A372" s="195">
        <f>'Overview MP Life'!$A377</f>
        <v>0</v>
      </c>
      <c r="B372" s="195">
        <f>IF($A372=0,0,VLOOKUP($A372,ModelpuntInfo!$H$24:$H$375,1,FALSE))</f>
        <v>0</v>
      </c>
      <c r="C372" s="168" t="b">
        <f t="shared" si="5"/>
        <v>1</v>
      </c>
    </row>
    <row r="373" spans="1:3">
      <c r="A373" s="195">
        <f>'Overview MP Life'!$A378</f>
        <v>0</v>
      </c>
      <c r="B373" s="195">
        <f>IF($A373=0,0,VLOOKUP($A373,ModelpuntInfo!$H$24:$H$375,1,FALSE))</f>
        <v>0</v>
      </c>
      <c r="C373" s="168" t="b">
        <f t="shared" si="5"/>
        <v>1</v>
      </c>
    </row>
    <row r="374" spans="1:3">
      <c r="A374" s="195">
        <f>'Overview MP Life'!$A379</f>
        <v>0</v>
      </c>
      <c r="B374" s="195">
        <f>IF($A374=0,0,VLOOKUP($A374,ModelpuntInfo!$H$24:$H$375,1,FALSE))</f>
        <v>0</v>
      </c>
      <c r="C374" s="168" t="b">
        <f t="shared" si="5"/>
        <v>1</v>
      </c>
    </row>
    <row r="375" spans="1:3">
      <c r="A375" s="195">
        <f>'Overview MP Life'!$A380</f>
        <v>0</v>
      </c>
      <c r="B375" s="195">
        <f>IF($A375=0,0,VLOOKUP($A375,ModelpuntInfo!$H$24:$H$375,1,FALSE))</f>
        <v>0</v>
      </c>
      <c r="C375" s="168" t="b">
        <f t="shared" si="5"/>
        <v>1</v>
      </c>
    </row>
    <row r="376" spans="1:3">
      <c r="A376" s="195">
        <f>'Overview MP Life'!$A381</f>
        <v>0</v>
      </c>
      <c r="B376" s="195">
        <f>IF($A376=0,0,VLOOKUP($A376,ModelpuntInfo!$H$24:$H$375,1,FALSE))</f>
        <v>0</v>
      </c>
      <c r="C376" s="168" t="b">
        <f t="shared" si="5"/>
        <v>1</v>
      </c>
    </row>
    <row r="377" spans="1:3">
      <c r="A377" s="195">
        <f>'Overview MP Life'!$A382</f>
        <v>0</v>
      </c>
      <c r="B377" s="195">
        <f>IF($A377=0,0,VLOOKUP($A377,ModelpuntInfo!$H$24:$H$375,1,FALSE))</f>
        <v>0</v>
      </c>
      <c r="C377" s="168" t="b">
        <f t="shared" si="5"/>
        <v>1</v>
      </c>
    </row>
    <row r="378" spans="1:3">
      <c r="A378" s="195">
        <f>'Overview MP Life'!$A383</f>
        <v>0</v>
      </c>
      <c r="B378" s="195">
        <f>IF($A378=0,0,VLOOKUP($A378,ModelpuntInfo!$H$24:$H$375,1,FALSE))</f>
        <v>0</v>
      </c>
      <c r="C378" s="168" t="b">
        <f t="shared" si="5"/>
        <v>1</v>
      </c>
    </row>
    <row r="379" spans="1:3">
      <c r="A379" s="195">
        <f>'Overview MP Life'!$A384</f>
        <v>0</v>
      </c>
      <c r="B379" s="195">
        <f>IF($A379=0,0,VLOOKUP($A379,ModelpuntInfo!$H$24:$H$375,1,FALSE))</f>
        <v>0</v>
      </c>
      <c r="C379" s="168" t="b">
        <f t="shared" si="5"/>
        <v>1</v>
      </c>
    </row>
    <row r="380" spans="1:3">
      <c r="A380" s="195">
        <f>'Overview MP Life'!$A385</f>
        <v>0</v>
      </c>
      <c r="B380" s="195">
        <f>IF($A380=0,0,VLOOKUP($A380,ModelpuntInfo!$H$24:$H$375,1,FALSE))</f>
        <v>0</v>
      </c>
      <c r="C380" s="168" t="b">
        <f t="shared" si="5"/>
        <v>1</v>
      </c>
    </row>
    <row r="381" spans="1:3">
      <c r="A381" s="195">
        <f>'Overview MP Life'!$A386</f>
        <v>0</v>
      </c>
      <c r="B381" s="195">
        <f>IF($A381=0,0,VLOOKUP($A381,ModelpuntInfo!$H$24:$H$375,1,FALSE))</f>
        <v>0</v>
      </c>
      <c r="C381" s="168" t="b">
        <f t="shared" si="5"/>
        <v>1</v>
      </c>
    </row>
    <row r="382" spans="1:3">
      <c r="A382" s="195">
        <f>'Overview MP Life'!$A387</f>
        <v>0</v>
      </c>
      <c r="B382" s="195">
        <f>IF($A382=0,0,VLOOKUP($A382,ModelpuntInfo!$H$24:$H$375,1,FALSE))</f>
        <v>0</v>
      </c>
      <c r="C382" s="168" t="b">
        <f t="shared" si="5"/>
        <v>1</v>
      </c>
    </row>
    <row r="383" spans="1:3">
      <c r="A383" s="195">
        <f>'Overview MP Life'!$A388</f>
        <v>0</v>
      </c>
      <c r="B383" s="195">
        <f>IF($A383=0,0,VLOOKUP($A383,ModelpuntInfo!$H$24:$H$375,1,FALSE))</f>
        <v>0</v>
      </c>
      <c r="C383" s="168" t="b">
        <f t="shared" si="5"/>
        <v>1</v>
      </c>
    </row>
    <row r="384" spans="1:3">
      <c r="A384" s="195">
        <f>'Overview MP Life'!$A389</f>
        <v>0</v>
      </c>
      <c r="B384" s="195">
        <f>IF($A384=0,0,VLOOKUP($A384,ModelpuntInfo!$H$24:$H$375,1,FALSE))</f>
        <v>0</v>
      </c>
      <c r="C384" s="168" t="b">
        <f t="shared" si="5"/>
        <v>1</v>
      </c>
    </row>
    <row r="385" spans="1:3">
      <c r="A385" s="195">
        <f>'Overview MP Life'!$A390</f>
        <v>0</v>
      </c>
      <c r="B385" s="195">
        <f>IF($A385=0,0,VLOOKUP($A385,ModelpuntInfo!$H$24:$H$375,1,FALSE))</f>
        <v>0</v>
      </c>
      <c r="C385" s="168" t="b">
        <f t="shared" si="5"/>
        <v>1</v>
      </c>
    </row>
    <row r="386" spans="1:3">
      <c r="A386" s="195">
        <f>'Overview MP Life'!$A391</f>
        <v>0</v>
      </c>
      <c r="B386" s="195">
        <f>IF($A386=0,0,VLOOKUP($A386,ModelpuntInfo!$H$24:$H$375,1,FALSE))</f>
        <v>0</v>
      </c>
      <c r="C386" s="168" t="b">
        <f t="shared" si="5"/>
        <v>1</v>
      </c>
    </row>
    <row r="387" spans="1:3">
      <c r="A387" s="195">
        <f>'Overview MP Life'!$A392</f>
        <v>0</v>
      </c>
      <c r="B387" s="195">
        <f>IF($A387=0,0,VLOOKUP($A387,ModelpuntInfo!$H$24:$H$375,1,FALSE))</f>
        <v>0</v>
      </c>
      <c r="C387" s="168" t="b">
        <f t="shared" si="5"/>
        <v>1</v>
      </c>
    </row>
    <row r="388" spans="1:3">
      <c r="A388" s="195">
        <f>'Overview MP Life'!$A393</f>
        <v>0</v>
      </c>
      <c r="B388" s="195">
        <f>IF($A388=0,0,VLOOKUP($A388,ModelpuntInfo!$H$24:$H$375,1,FALSE))</f>
        <v>0</v>
      </c>
      <c r="C388" s="168" t="b">
        <f t="shared" si="5"/>
        <v>1</v>
      </c>
    </row>
    <row r="389" spans="1:3">
      <c r="A389" s="195">
        <f>'Overview MP Life'!$A394</f>
        <v>0</v>
      </c>
      <c r="B389" s="195">
        <f>IF($A389=0,0,VLOOKUP($A389,ModelpuntInfo!$H$24:$H$375,1,FALSE))</f>
        <v>0</v>
      </c>
      <c r="C389" s="168" t="b">
        <f t="shared" si="5"/>
        <v>1</v>
      </c>
    </row>
    <row r="390" spans="1:3">
      <c r="A390" s="195">
        <f>'Overview MP Life'!$A395</f>
        <v>0</v>
      </c>
      <c r="B390" s="195">
        <f>IF($A390=0,0,VLOOKUP($A390,ModelpuntInfo!$H$24:$H$375,1,FALSE))</f>
        <v>0</v>
      </c>
      <c r="C390" s="168" t="b">
        <f t="shared" ref="C390:C404" si="6">A390=B390</f>
        <v>1</v>
      </c>
    </row>
    <row r="391" spans="1:3">
      <c r="A391" s="195">
        <f>'Overview MP Life'!$A396</f>
        <v>0</v>
      </c>
      <c r="B391" s="195">
        <f>IF($A391=0,0,VLOOKUP($A391,ModelpuntInfo!$H$24:$H$375,1,FALSE))</f>
        <v>0</v>
      </c>
      <c r="C391" s="168" t="b">
        <f t="shared" si="6"/>
        <v>1</v>
      </c>
    </row>
    <row r="392" spans="1:3">
      <c r="A392" s="195">
        <f>'Overview MP Life'!$A397</f>
        <v>0</v>
      </c>
      <c r="B392" s="195">
        <f>IF($A392=0,0,VLOOKUP($A392,ModelpuntInfo!$H$24:$H$375,1,FALSE))</f>
        <v>0</v>
      </c>
      <c r="C392" s="168" t="b">
        <f t="shared" si="6"/>
        <v>1</v>
      </c>
    </row>
    <row r="393" spans="1:3">
      <c r="A393" s="195">
        <f>'Overview MP Life'!$A398</f>
        <v>0</v>
      </c>
      <c r="B393" s="195">
        <f>IF($A393=0,0,VLOOKUP($A393,ModelpuntInfo!$H$24:$H$375,1,FALSE))</f>
        <v>0</v>
      </c>
      <c r="C393" s="168" t="b">
        <f t="shared" si="6"/>
        <v>1</v>
      </c>
    </row>
    <row r="394" spans="1:3">
      <c r="A394" s="195">
        <f>'Overview MP Life'!$A399</f>
        <v>0</v>
      </c>
      <c r="B394" s="195">
        <f>IF($A394=0,0,VLOOKUP($A394,ModelpuntInfo!$H$24:$H$375,1,FALSE))</f>
        <v>0</v>
      </c>
      <c r="C394" s="168" t="b">
        <f t="shared" si="6"/>
        <v>1</v>
      </c>
    </row>
    <row r="395" spans="1:3">
      <c r="A395" s="195">
        <f>'Overview MP Life'!$A400</f>
        <v>0</v>
      </c>
      <c r="B395" s="195">
        <f>IF($A395=0,0,VLOOKUP($A395,ModelpuntInfo!$H$24:$H$375,1,FALSE))</f>
        <v>0</v>
      </c>
      <c r="C395" s="168" t="b">
        <f t="shared" si="6"/>
        <v>1</v>
      </c>
    </row>
    <row r="396" spans="1:3">
      <c r="A396" s="195">
        <f>'Overview MP Life'!$A401</f>
        <v>0</v>
      </c>
      <c r="B396" s="195">
        <f>IF($A396=0,0,VLOOKUP($A396,ModelpuntInfo!$H$24:$H$375,1,FALSE))</f>
        <v>0</v>
      </c>
      <c r="C396" s="168" t="b">
        <f t="shared" si="6"/>
        <v>1</v>
      </c>
    </row>
    <row r="397" spans="1:3">
      <c r="A397" s="195">
        <f>'Overview MP Life'!$A402</f>
        <v>0</v>
      </c>
      <c r="B397" s="195">
        <f>IF($A397=0,0,VLOOKUP($A397,ModelpuntInfo!$H$24:$H$375,1,FALSE))</f>
        <v>0</v>
      </c>
      <c r="C397" s="168" t="b">
        <f t="shared" si="6"/>
        <v>1</v>
      </c>
    </row>
    <row r="398" spans="1:3">
      <c r="A398" s="195">
        <f>'Overview MP Life'!$A403</f>
        <v>0</v>
      </c>
      <c r="B398" s="195">
        <f>IF($A398=0,0,VLOOKUP($A398,ModelpuntInfo!$H$24:$H$375,1,FALSE))</f>
        <v>0</v>
      </c>
      <c r="C398" s="168" t="b">
        <f t="shared" si="6"/>
        <v>1</v>
      </c>
    </row>
    <row r="399" spans="1:3">
      <c r="A399" s="195">
        <f>'Overview MP Life'!$A404</f>
        <v>0</v>
      </c>
      <c r="B399" s="195">
        <f>IF($A399=0,0,VLOOKUP($A399,ModelpuntInfo!$H$24:$H$375,1,FALSE))</f>
        <v>0</v>
      </c>
      <c r="C399" s="168" t="b">
        <f t="shared" si="6"/>
        <v>1</v>
      </c>
    </row>
    <row r="400" spans="1:3">
      <c r="A400" s="195">
        <f>'Overview MP Life'!$A405</f>
        <v>0</v>
      </c>
      <c r="B400" s="195">
        <f>IF($A400=0,0,VLOOKUP($A400,ModelpuntInfo!$H$24:$H$375,1,FALSE))</f>
        <v>0</v>
      </c>
      <c r="C400" s="168" t="b">
        <f t="shared" si="6"/>
        <v>1</v>
      </c>
    </row>
    <row r="401" spans="1:3">
      <c r="A401" s="195">
        <f>'Overview MP Life'!$A406</f>
        <v>0</v>
      </c>
      <c r="B401" s="195">
        <f>IF($A401=0,0,VLOOKUP($A401,ModelpuntInfo!$H$24:$H$375,1,FALSE))</f>
        <v>0</v>
      </c>
      <c r="C401" s="168" t="b">
        <f t="shared" si="6"/>
        <v>1</v>
      </c>
    </row>
    <row r="402" spans="1:3">
      <c r="A402" s="195">
        <f>'Overview MP Life'!$A407</f>
        <v>0</v>
      </c>
      <c r="B402" s="195">
        <f>IF($A402=0,0,VLOOKUP($A402,ModelpuntInfo!$H$24:$H$375,1,FALSE))</f>
        <v>0</v>
      </c>
      <c r="C402" s="168" t="b">
        <f t="shared" si="6"/>
        <v>1</v>
      </c>
    </row>
    <row r="403" spans="1:3">
      <c r="A403" s="195">
        <f>'Overview MP Life'!$A408</f>
        <v>0</v>
      </c>
      <c r="B403" s="195">
        <f>IF($A403=0,0,VLOOKUP($A403,ModelpuntInfo!$H$24:$H$375,1,FALSE))</f>
        <v>0</v>
      </c>
      <c r="C403" s="168" t="b">
        <f t="shared" si="6"/>
        <v>1</v>
      </c>
    </row>
    <row r="404" spans="1:3">
      <c r="A404" s="195">
        <f>'Overview MP Life'!$A409</f>
        <v>0</v>
      </c>
      <c r="B404" s="195">
        <f>IF($A404=0,0,VLOOKUP($A404,ModelpuntInfo!$H$24:$H$375,1,FALSE))</f>
        <v>0</v>
      </c>
      <c r="C404" s="168" t="b">
        <f t="shared" si="6"/>
        <v>1</v>
      </c>
    </row>
  </sheetData>
  <sheetProtection algorithmName="SHA-512" hashValue="+6EypiNXyA0Jml2syefbvqyGxgSRzAR0wSzIMOWkP8RajVTMRUoYc6zej43A15X1PITdze/M9Tlu/wgur4bJUg==" saltValue="a9MhxMQA93V6bYxrwUAksA==" spinCount="100000" sheet="1" objects="1" scenarios="1"/>
  <conditionalFormatting sqref="C5:C404">
    <cfRule type="cellIs" dxfId="211" priority="1" operator="equal">
      <formula>TRUE</formula>
    </cfRule>
  </conditionalFormatting>
  <pageMargins left="0.7" right="0.7" top="0.75" bottom="0.75" header="0.3" footer="0.3"/>
  <ignoredErrors>
    <ignoredError sqref="B5:B404 C5:C404" evalError="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F1FE5-ED2F-47F9-96DD-836F08D647C1}">
  <sheetPr codeName="Blad2">
    <tabColor rgb="FFCCFFCC"/>
  </sheetPr>
  <dimension ref="A1:G392"/>
  <sheetViews>
    <sheetView topLeftCell="E11" workbookViewId="0"/>
  </sheetViews>
  <sheetFormatPr defaultRowHeight="12.75"/>
  <cols>
    <col min="1" max="3" width="18.28515625" hidden="1" customWidth="1" collapsed="1"/>
    <col min="4" max="4" width="23.5703125" hidden="1" customWidth="1" collapsed="1"/>
    <col min="5" max="5" width="20" customWidth="1" collapsed="1"/>
    <col min="6" max="6" width="24.140625" customWidth="1" collapsed="1"/>
  </cols>
  <sheetData>
    <row r="1" spans="1:7" hidden="1">
      <c r="A1" s="175" t="s">
        <v>113</v>
      </c>
      <c r="B1" s="175" t="s">
        <v>114</v>
      </c>
      <c r="C1" s="175" t="s">
        <v>114</v>
      </c>
      <c r="D1" s="175" t="s">
        <v>114</v>
      </c>
      <c r="F1" s="175"/>
    </row>
    <row r="2" spans="1:7" hidden="1">
      <c r="A2" s="175" t="s">
        <v>113</v>
      </c>
      <c r="B2" s="66" t="s">
        <v>115</v>
      </c>
      <c r="C2" s="66" t="s">
        <v>232</v>
      </c>
      <c r="D2" s="66"/>
    </row>
    <row r="3" spans="1:7" hidden="1">
      <c r="A3" s="175" t="s">
        <v>113</v>
      </c>
      <c r="B3" s="67" t="s">
        <v>116</v>
      </c>
      <c r="C3" s="67" t="s">
        <v>117</v>
      </c>
      <c r="D3" s="67" t="s">
        <v>118</v>
      </c>
    </row>
    <row r="4" spans="1:7" hidden="1">
      <c r="A4" s="175" t="s">
        <v>113</v>
      </c>
      <c r="B4" s="66" t="s">
        <v>90</v>
      </c>
      <c r="C4" s="66" t="s">
        <v>124</v>
      </c>
      <c r="D4" s="68"/>
    </row>
    <row r="5" spans="1:7" hidden="1">
      <c r="A5" s="175" t="s">
        <v>113</v>
      </c>
      <c r="B5" s="66" t="s">
        <v>91</v>
      </c>
      <c r="C5" s="66" t="s">
        <v>124</v>
      </c>
      <c r="D5" s="68"/>
    </row>
    <row r="6" spans="1:7" hidden="1">
      <c r="A6" s="175" t="s">
        <v>113</v>
      </c>
      <c r="B6" s="66" t="s">
        <v>86</v>
      </c>
      <c r="C6" s="66" t="s">
        <v>122</v>
      </c>
      <c r="D6" s="66"/>
    </row>
    <row r="7" spans="1:7" hidden="1">
      <c r="A7" s="175" t="s">
        <v>113</v>
      </c>
      <c r="B7" s="66" t="s">
        <v>120</v>
      </c>
      <c r="C7" s="66" t="s">
        <v>119</v>
      </c>
      <c r="D7" s="66" t="s">
        <v>125</v>
      </c>
    </row>
    <row r="8" spans="1:7" hidden="1">
      <c r="A8" s="175" t="s">
        <v>113</v>
      </c>
      <c r="B8" s="66" t="s">
        <v>92</v>
      </c>
      <c r="C8" s="66" t="s">
        <v>119</v>
      </c>
      <c r="D8" s="66" t="s">
        <v>170</v>
      </c>
    </row>
    <row r="9" spans="1:7" hidden="1">
      <c r="A9" s="175" t="s">
        <v>113</v>
      </c>
      <c r="B9" s="66" t="s">
        <v>121</v>
      </c>
      <c r="C9" s="66" t="s">
        <v>119</v>
      </c>
      <c r="D9" s="66" t="s">
        <v>227</v>
      </c>
    </row>
    <row r="10" spans="1:7" hidden="1">
      <c r="A10" s="175" t="s">
        <v>113</v>
      </c>
      <c r="B10" s="66" t="s">
        <v>123</v>
      </c>
      <c r="C10" s="66" t="s">
        <v>119</v>
      </c>
      <c r="D10" s="66" t="s">
        <v>126</v>
      </c>
    </row>
    <row r="11" spans="1:7" ht="18.75">
      <c r="A11" s="175" t="s">
        <v>114</v>
      </c>
      <c r="B11" s="59"/>
      <c r="C11" s="59"/>
      <c r="D11" s="59"/>
      <c r="E11" s="60" t="s">
        <v>236</v>
      </c>
      <c r="F11" s="64"/>
    </row>
    <row r="12" spans="1:7" ht="15.75">
      <c r="E12" s="61" t="s">
        <v>67</v>
      </c>
      <c r="F12" s="65" t="str">
        <f>$F$16&amp;$F$17</f>
        <v>2021Q2</v>
      </c>
    </row>
    <row r="13" spans="1:7" ht="15.75">
      <c r="E13" s="61"/>
      <c r="F13" s="65"/>
    </row>
    <row r="14" spans="1:7">
      <c r="E14" s="52" t="s">
        <v>241</v>
      </c>
      <c r="F14" s="47">
        <f>COUNTIF($G19:$G393,TRUE)</f>
        <v>242</v>
      </c>
      <c r="G14" s="178" t="b">
        <f>$F$14='Overview MP Life'!$B$5</f>
        <v>1</v>
      </c>
    </row>
    <row r="15" spans="1:7" ht="15.75">
      <c r="E15" s="61"/>
      <c r="F15" s="65"/>
    </row>
    <row r="16" spans="1:7" ht="15.75" hidden="1">
      <c r="A16" s="175" t="s">
        <v>113</v>
      </c>
      <c r="D16" s="68"/>
      <c r="E16" s="61"/>
      <c r="F16" s="65">
        <f>Selectie!$C$2</f>
        <v>2021</v>
      </c>
    </row>
    <row r="17" spans="1:7" ht="15.75" hidden="1">
      <c r="A17" s="175" t="s">
        <v>113</v>
      </c>
      <c r="D17" s="68"/>
      <c r="F17" s="176" t="str">
        <f>Selectie!$C$3</f>
        <v>Q2</v>
      </c>
    </row>
    <row r="18" spans="1:7">
      <c r="E18" s="52" t="s">
        <v>235</v>
      </c>
      <c r="F18" s="52" t="s">
        <v>239</v>
      </c>
      <c r="G18" s="52" t="s">
        <v>240</v>
      </c>
    </row>
    <row r="19" spans="1:7">
      <c r="A19" s="175"/>
      <c r="D19" s="68"/>
      <c r="E19" s="52" t="s">
        <v>233</v>
      </c>
      <c r="F19" s="47" t="e">
        <f t="shared" ref="F19:F392" si="0">VLOOKUP($E19,Modelpuntoverzicht,37,FALSE)</f>
        <v>#N/A</v>
      </c>
      <c r="G19" s="178" t="e">
        <f>_xlfn.NUMBERVALUE(MID($E$19,5,2))=F19</f>
        <v>#N/A</v>
      </c>
    </row>
    <row r="20" spans="1:7">
      <c r="A20" s="175"/>
      <c r="D20" s="68"/>
      <c r="E20" s="52" t="s">
        <v>1026</v>
      </c>
      <c r="F20" s="47" t="e">
        <f t="shared" ref="F20:F21" si="1">VLOOKUP($E20,Modelpuntoverzicht,37,FALSE)</f>
        <v>#N/A</v>
      </c>
      <c r="G20" s="178" t="e">
        <f t="shared" ref="G20:G21" si="2">_xlfn.NUMBERVALUE(MID($E$19,5,2))=F20</f>
        <v>#N/A</v>
      </c>
    </row>
    <row r="21" spans="1:7">
      <c r="A21" s="175"/>
      <c r="D21" s="68"/>
      <c r="E21" s="52" t="s">
        <v>600</v>
      </c>
      <c r="F21" s="47" t="e">
        <f t="shared" si="1"/>
        <v>#N/A</v>
      </c>
      <c r="G21" s="178" t="e">
        <f t="shared" si="2"/>
        <v>#N/A</v>
      </c>
    </row>
    <row r="22" spans="1:7">
      <c r="A22" s="175"/>
      <c r="D22" s="68"/>
      <c r="E22" s="52" t="s">
        <v>234</v>
      </c>
      <c r="F22" s="47" t="e">
        <f t="shared" si="0"/>
        <v>#N/A</v>
      </c>
      <c r="G22" s="178" t="e">
        <f>_xlfn.NUMBERVALUE(MID($E$22,5,2))=F22</f>
        <v>#N/A</v>
      </c>
    </row>
    <row r="23" spans="1:7">
      <c r="A23" s="175"/>
      <c r="D23" s="68"/>
      <c r="E23" s="52" t="s">
        <v>1027</v>
      </c>
      <c r="F23" s="47" t="e">
        <f t="shared" ref="F23:F34" si="3">VLOOKUP($E23,Modelpuntoverzicht,37,FALSE)</f>
        <v>#N/A</v>
      </c>
      <c r="G23" s="178" t="e">
        <f t="shared" ref="G23:G34" si="4">_xlfn.NUMBERVALUE(MID($E$22,5,2))=F23</f>
        <v>#N/A</v>
      </c>
    </row>
    <row r="24" spans="1:7">
      <c r="A24" s="175"/>
      <c r="D24" s="68"/>
      <c r="E24" s="52" t="s">
        <v>590</v>
      </c>
      <c r="F24" s="47">
        <f t="shared" si="3"/>
        <v>2</v>
      </c>
      <c r="G24" s="178" t="b">
        <f t="shared" si="4"/>
        <v>1</v>
      </c>
    </row>
    <row r="25" spans="1:7">
      <c r="A25" s="175"/>
      <c r="D25" s="68"/>
      <c r="E25" s="52" t="s">
        <v>591</v>
      </c>
      <c r="F25" s="47">
        <f t="shared" si="3"/>
        <v>2</v>
      </c>
      <c r="G25" s="178" t="b">
        <f t="shared" si="4"/>
        <v>1</v>
      </c>
    </row>
    <row r="26" spans="1:7">
      <c r="A26" s="175"/>
      <c r="D26" s="68"/>
      <c r="E26" s="52" t="s">
        <v>592</v>
      </c>
      <c r="F26" s="47">
        <f t="shared" si="3"/>
        <v>2</v>
      </c>
      <c r="G26" s="178" t="b">
        <f t="shared" si="4"/>
        <v>1</v>
      </c>
    </row>
    <row r="27" spans="1:7">
      <c r="A27" s="175"/>
      <c r="D27" s="68"/>
      <c r="E27" s="52" t="s">
        <v>593</v>
      </c>
      <c r="F27" s="47">
        <f t="shared" si="3"/>
        <v>2</v>
      </c>
      <c r="G27" s="178" t="b">
        <f t="shared" si="4"/>
        <v>1</v>
      </c>
    </row>
    <row r="28" spans="1:7">
      <c r="A28" s="175"/>
      <c r="D28" s="68"/>
      <c r="E28" s="52" t="s">
        <v>595</v>
      </c>
      <c r="F28" s="47">
        <f t="shared" si="3"/>
        <v>2</v>
      </c>
      <c r="G28" s="178" t="b">
        <f t="shared" si="4"/>
        <v>1</v>
      </c>
    </row>
    <row r="29" spans="1:7">
      <c r="A29" s="175"/>
      <c r="D29" s="68"/>
      <c r="E29" s="52" t="s">
        <v>598</v>
      </c>
      <c r="F29" s="47">
        <f t="shared" si="3"/>
        <v>2</v>
      </c>
      <c r="G29" s="178" t="b">
        <f t="shared" si="4"/>
        <v>1</v>
      </c>
    </row>
    <row r="30" spans="1:7">
      <c r="A30" s="175"/>
      <c r="D30" s="68"/>
      <c r="E30" s="52" t="s">
        <v>601</v>
      </c>
      <c r="F30" s="47">
        <f t="shared" si="3"/>
        <v>2</v>
      </c>
      <c r="G30" s="178" t="b">
        <f t="shared" si="4"/>
        <v>1</v>
      </c>
    </row>
    <row r="31" spans="1:7">
      <c r="A31" s="175"/>
      <c r="D31" s="68"/>
      <c r="E31" s="52" t="s">
        <v>602</v>
      </c>
      <c r="F31" s="47">
        <f t="shared" si="3"/>
        <v>2</v>
      </c>
      <c r="G31" s="178" t="b">
        <f t="shared" si="4"/>
        <v>1</v>
      </c>
    </row>
    <row r="32" spans="1:7">
      <c r="A32" s="175"/>
      <c r="D32" s="68"/>
      <c r="E32" s="52" t="s">
        <v>605</v>
      </c>
      <c r="F32" s="47">
        <f t="shared" si="3"/>
        <v>2</v>
      </c>
      <c r="G32" s="178" t="b">
        <f t="shared" si="4"/>
        <v>1</v>
      </c>
    </row>
    <row r="33" spans="1:7">
      <c r="A33" s="175"/>
      <c r="D33" s="68"/>
      <c r="E33" s="52" t="s">
        <v>607</v>
      </c>
      <c r="F33" s="47">
        <f t="shared" si="3"/>
        <v>2</v>
      </c>
      <c r="G33" s="178" t="b">
        <f t="shared" si="4"/>
        <v>1</v>
      </c>
    </row>
    <row r="34" spans="1:7">
      <c r="A34" s="175"/>
      <c r="D34" s="68"/>
      <c r="E34" s="52" t="s">
        <v>608</v>
      </c>
      <c r="F34" s="47">
        <f t="shared" si="3"/>
        <v>2</v>
      </c>
      <c r="G34" s="178" t="b">
        <f t="shared" si="4"/>
        <v>1</v>
      </c>
    </row>
    <row r="35" spans="1:7">
      <c r="A35" s="175"/>
      <c r="D35" s="68"/>
      <c r="E35" s="52" t="s">
        <v>237</v>
      </c>
      <c r="F35" s="47" t="e">
        <f t="shared" si="0"/>
        <v>#N/A</v>
      </c>
      <c r="G35" s="178" t="e">
        <f>_xlfn.NUMBERVALUE(MID($E$35,5,2))=F35</f>
        <v>#N/A</v>
      </c>
    </row>
    <row r="36" spans="1:7">
      <c r="A36" s="175"/>
      <c r="D36" s="68"/>
      <c r="E36" s="52" t="s">
        <v>1028</v>
      </c>
      <c r="F36" s="47" t="e">
        <f t="shared" ref="F36:F39" si="5">VLOOKUP($E36,Modelpuntoverzicht,37,FALSE)</f>
        <v>#N/A</v>
      </c>
      <c r="G36" s="178" t="e">
        <f t="shared" ref="G36:G39" si="6">_xlfn.NUMBERVALUE(MID($E$35,5,2))=F36</f>
        <v>#N/A</v>
      </c>
    </row>
    <row r="37" spans="1:7">
      <c r="A37" s="175"/>
      <c r="D37" s="68"/>
      <c r="E37" s="52" t="s">
        <v>597</v>
      </c>
      <c r="F37" s="47">
        <f t="shared" si="5"/>
        <v>3</v>
      </c>
      <c r="G37" s="178" t="b">
        <f t="shared" si="6"/>
        <v>1</v>
      </c>
    </row>
    <row r="38" spans="1:7">
      <c r="A38" s="175"/>
      <c r="D38" s="68"/>
      <c r="E38" s="52" t="s">
        <v>603</v>
      </c>
      <c r="F38" s="47">
        <f t="shared" si="5"/>
        <v>3</v>
      </c>
      <c r="G38" s="178" t="b">
        <f t="shared" si="6"/>
        <v>1</v>
      </c>
    </row>
    <row r="39" spans="1:7">
      <c r="A39" s="175"/>
      <c r="D39" s="68"/>
      <c r="E39" s="52" t="s">
        <v>609</v>
      </c>
      <c r="F39" s="47">
        <f t="shared" si="5"/>
        <v>3</v>
      </c>
      <c r="G39" s="178" t="b">
        <f t="shared" si="6"/>
        <v>1</v>
      </c>
    </row>
    <row r="40" spans="1:7">
      <c r="A40" s="175"/>
      <c r="D40" s="68"/>
      <c r="E40" s="52" t="s">
        <v>242</v>
      </c>
      <c r="F40" s="47" t="e">
        <f t="shared" si="0"/>
        <v>#N/A</v>
      </c>
      <c r="G40" s="178" t="e">
        <f>_xlfn.NUMBERVALUE(MID($E$40,5,2))=F40</f>
        <v>#N/A</v>
      </c>
    </row>
    <row r="41" spans="1:7">
      <c r="A41" s="175"/>
      <c r="D41" s="68"/>
      <c r="E41" s="52" t="s">
        <v>1029</v>
      </c>
      <c r="F41" s="47" t="e">
        <f t="shared" ref="F41:F51" si="7">VLOOKUP($E41,Modelpuntoverzicht,37,FALSE)</f>
        <v>#N/A</v>
      </c>
      <c r="G41" s="178" t="e">
        <f t="shared" ref="G41:G51" si="8">_xlfn.NUMBERVALUE(MID($E$40,5,2))=F41</f>
        <v>#N/A</v>
      </c>
    </row>
    <row r="42" spans="1:7">
      <c r="A42" s="175"/>
      <c r="D42" s="68"/>
      <c r="E42" s="52" t="s">
        <v>594</v>
      </c>
      <c r="F42" s="47">
        <f t="shared" si="7"/>
        <v>4</v>
      </c>
      <c r="G42" s="178" t="b">
        <f t="shared" si="8"/>
        <v>1</v>
      </c>
    </row>
    <row r="43" spans="1:7">
      <c r="A43" s="175"/>
      <c r="D43" s="68"/>
      <c r="E43" s="52" t="s">
        <v>596</v>
      </c>
      <c r="F43" s="47">
        <f t="shared" si="7"/>
        <v>4</v>
      </c>
      <c r="G43" s="178" t="b">
        <f t="shared" si="8"/>
        <v>1</v>
      </c>
    </row>
    <row r="44" spans="1:7">
      <c r="A44" s="175"/>
      <c r="D44" s="68"/>
      <c r="E44" s="52" t="s">
        <v>599</v>
      </c>
      <c r="F44" s="47">
        <f t="shared" si="7"/>
        <v>4</v>
      </c>
      <c r="G44" s="178" t="b">
        <f t="shared" si="8"/>
        <v>1</v>
      </c>
    </row>
    <row r="45" spans="1:7">
      <c r="A45" s="175"/>
      <c r="D45" s="68"/>
      <c r="E45" s="52" t="s">
        <v>604</v>
      </c>
      <c r="F45" s="47">
        <f t="shared" si="7"/>
        <v>4</v>
      </c>
      <c r="G45" s="178" t="b">
        <f t="shared" si="8"/>
        <v>1</v>
      </c>
    </row>
    <row r="46" spans="1:7">
      <c r="A46" s="175"/>
      <c r="D46" s="68"/>
      <c r="E46" s="52" t="s">
        <v>606</v>
      </c>
      <c r="F46" s="47">
        <f t="shared" si="7"/>
        <v>4</v>
      </c>
      <c r="G46" s="178" t="b">
        <f t="shared" si="8"/>
        <v>1</v>
      </c>
    </row>
    <row r="47" spans="1:7">
      <c r="A47" s="175"/>
      <c r="D47" s="68"/>
      <c r="E47" s="52" t="s">
        <v>610</v>
      </c>
      <c r="F47" s="47">
        <f t="shared" si="7"/>
        <v>4</v>
      </c>
      <c r="G47" s="178" t="b">
        <f t="shared" si="8"/>
        <v>1</v>
      </c>
    </row>
    <row r="48" spans="1:7">
      <c r="A48" s="175"/>
      <c r="D48" s="68"/>
      <c r="E48" s="52" t="s">
        <v>611</v>
      </c>
      <c r="F48" s="47">
        <f t="shared" si="7"/>
        <v>4</v>
      </c>
      <c r="G48" s="178" t="b">
        <f t="shared" si="8"/>
        <v>1</v>
      </c>
    </row>
    <row r="49" spans="1:7">
      <c r="A49" s="175"/>
      <c r="D49" s="68"/>
      <c r="E49" s="52" t="s">
        <v>612</v>
      </c>
      <c r="F49" s="47">
        <f t="shared" si="7"/>
        <v>4</v>
      </c>
      <c r="G49" s="178" t="b">
        <f t="shared" si="8"/>
        <v>1</v>
      </c>
    </row>
    <row r="50" spans="1:7">
      <c r="A50" s="175"/>
      <c r="D50" s="68"/>
      <c r="E50" s="52" t="s">
        <v>613</v>
      </c>
      <c r="F50" s="47">
        <f t="shared" si="7"/>
        <v>4</v>
      </c>
      <c r="G50" s="178" t="b">
        <f t="shared" si="8"/>
        <v>1</v>
      </c>
    </row>
    <row r="51" spans="1:7">
      <c r="A51" s="175"/>
      <c r="D51" s="68"/>
      <c r="E51" s="52" t="s">
        <v>614</v>
      </c>
      <c r="F51" s="47">
        <f t="shared" si="7"/>
        <v>4</v>
      </c>
      <c r="G51" s="178" t="b">
        <f t="shared" si="8"/>
        <v>1</v>
      </c>
    </row>
    <row r="52" spans="1:7">
      <c r="A52" s="175"/>
      <c r="D52" s="68"/>
      <c r="E52" s="52" t="s">
        <v>243</v>
      </c>
      <c r="F52" s="47" t="e">
        <f t="shared" si="0"/>
        <v>#N/A</v>
      </c>
      <c r="G52" s="178" t="e">
        <f>_xlfn.NUMBERVALUE(MID($E$52,5,2))=F52</f>
        <v>#N/A</v>
      </c>
    </row>
    <row r="53" spans="1:7">
      <c r="A53" s="175"/>
      <c r="D53" s="68"/>
      <c r="E53" s="52" t="s">
        <v>1020</v>
      </c>
      <c r="F53" s="47" t="e">
        <f t="shared" ref="F53:F64" si="9">VLOOKUP($E53,Modelpuntoverzicht,37,FALSE)</f>
        <v>#N/A</v>
      </c>
      <c r="G53" s="178" t="e">
        <f t="shared" ref="G53:G64" si="10">_xlfn.NUMBERVALUE(MID($E$52,5,2))=F53</f>
        <v>#N/A</v>
      </c>
    </row>
    <row r="54" spans="1:7">
      <c r="A54" s="175"/>
      <c r="D54" s="68"/>
      <c r="E54" s="52" t="s">
        <v>538</v>
      </c>
      <c r="F54" s="47">
        <f t="shared" si="9"/>
        <v>5</v>
      </c>
      <c r="G54" s="178" t="b">
        <f t="shared" si="10"/>
        <v>1</v>
      </c>
    </row>
    <row r="55" spans="1:7">
      <c r="A55" s="175"/>
      <c r="D55" s="68"/>
      <c r="E55" s="52" t="s">
        <v>1217</v>
      </c>
      <c r="F55" s="47" t="e">
        <f t="shared" si="9"/>
        <v>#N/A</v>
      </c>
      <c r="G55" s="178" t="e">
        <f>_xlfn.NUMBERVALUE(MID($E$52,5,2))=F55</f>
        <v>#N/A</v>
      </c>
    </row>
    <row r="56" spans="1:7">
      <c r="A56" s="175"/>
      <c r="D56" s="68"/>
      <c r="E56" s="52" t="s">
        <v>540</v>
      </c>
      <c r="F56" s="47">
        <f t="shared" si="9"/>
        <v>5</v>
      </c>
      <c r="G56" s="178" t="b">
        <f t="shared" si="10"/>
        <v>1</v>
      </c>
    </row>
    <row r="57" spans="1:7">
      <c r="A57" s="175"/>
      <c r="D57" s="68"/>
      <c r="E57" s="52" t="s">
        <v>543</v>
      </c>
      <c r="F57" s="47">
        <f t="shared" si="9"/>
        <v>5</v>
      </c>
      <c r="G57" s="178" t="b">
        <f t="shared" si="10"/>
        <v>1</v>
      </c>
    </row>
    <row r="58" spans="1:7">
      <c r="A58" s="175"/>
      <c r="D58" s="68"/>
      <c r="E58" s="52" t="s">
        <v>545</v>
      </c>
      <c r="F58" s="47">
        <f t="shared" si="9"/>
        <v>5</v>
      </c>
      <c r="G58" s="178" t="b">
        <f t="shared" si="10"/>
        <v>1</v>
      </c>
    </row>
    <row r="59" spans="1:7">
      <c r="A59" s="175"/>
      <c r="D59" s="68"/>
      <c r="E59" s="52" t="s">
        <v>546</v>
      </c>
      <c r="F59" s="47">
        <f t="shared" si="9"/>
        <v>5</v>
      </c>
      <c r="G59" s="178" t="b">
        <f t="shared" si="10"/>
        <v>1</v>
      </c>
    </row>
    <row r="60" spans="1:7">
      <c r="A60" s="175"/>
      <c r="D60" s="68"/>
      <c r="E60" s="52" t="s">
        <v>548</v>
      </c>
      <c r="F60" s="47" t="e">
        <f t="shared" si="9"/>
        <v>#N/A</v>
      </c>
      <c r="G60" s="178" t="e">
        <f t="shared" si="10"/>
        <v>#N/A</v>
      </c>
    </row>
    <row r="61" spans="1:7">
      <c r="A61" s="175"/>
      <c r="D61" s="68"/>
      <c r="E61" s="52" t="s">
        <v>549</v>
      </c>
      <c r="F61" s="47">
        <f t="shared" si="9"/>
        <v>5</v>
      </c>
      <c r="G61" s="178" t="b">
        <f t="shared" si="10"/>
        <v>1</v>
      </c>
    </row>
    <row r="62" spans="1:7">
      <c r="A62" s="175"/>
      <c r="D62" s="68"/>
      <c r="E62" s="52" t="s">
        <v>550</v>
      </c>
      <c r="F62" s="47">
        <f t="shared" si="9"/>
        <v>5</v>
      </c>
      <c r="G62" s="178" t="b">
        <f t="shared" si="10"/>
        <v>1</v>
      </c>
    </row>
    <row r="63" spans="1:7">
      <c r="A63" s="175"/>
      <c r="D63" s="68"/>
      <c r="E63" s="52" t="s">
        <v>552</v>
      </c>
      <c r="F63" s="47">
        <f t="shared" si="9"/>
        <v>5</v>
      </c>
      <c r="G63" s="178" t="b">
        <f t="shared" si="10"/>
        <v>1</v>
      </c>
    </row>
    <row r="64" spans="1:7">
      <c r="A64" s="175"/>
      <c r="D64" s="68"/>
      <c r="E64" s="52" t="s">
        <v>554</v>
      </c>
      <c r="F64" s="47">
        <f t="shared" si="9"/>
        <v>5</v>
      </c>
      <c r="G64" s="178" t="b">
        <f t="shared" si="10"/>
        <v>1</v>
      </c>
    </row>
    <row r="65" spans="1:7">
      <c r="A65" s="175"/>
      <c r="D65" s="68"/>
      <c r="E65" s="52" t="s">
        <v>244</v>
      </c>
      <c r="F65" s="47" t="e">
        <f t="shared" si="0"/>
        <v>#N/A</v>
      </c>
      <c r="G65" s="178" t="e">
        <f>_xlfn.NUMBERVALUE(MID($E$65,5,2))=F65</f>
        <v>#N/A</v>
      </c>
    </row>
    <row r="66" spans="1:7">
      <c r="A66" s="175"/>
      <c r="D66" s="68"/>
      <c r="E66" s="52" t="s">
        <v>1021</v>
      </c>
      <c r="F66" s="47" t="e">
        <f t="shared" ref="F66:F74" si="11">VLOOKUP($E66,Modelpuntoverzicht,37,FALSE)</f>
        <v>#N/A</v>
      </c>
      <c r="G66" s="178" t="e">
        <f t="shared" ref="G66:G74" si="12">_xlfn.NUMBERVALUE(MID($E$65,5,2))=F66</f>
        <v>#N/A</v>
      </c>
    </row>
    <row r="67" spans="1:7">
      <c r="A67" s="175"/>
      <c r="D67" s="68"/>
      <c r="E67" s="52" t="s">
        <v>539</v>
      </c>
      <c r="F67" s="47">
        <f t="shared" si="11"/>
        <v>6</v>
      </c>
      <c r="G67" s="178" t="b">
        <f t="shared" si="12"/>
        <v>1</v>
      </c>
    </row>
    <row r="68" spans="1:7">
      <c r="A68" s="175"/>
      <c r="D68" s="68"/>
      <c r="E68" s="52" t="s">
        <v>541</v>
      </c>
      <c r="F68" s="47">
        <f t="shared" si="11"/>
        <v>6</v>
      </c>
      <c r="G68" s="178" t="b">
        <f t="shared" si="12"/>
        <v>1</v>
      </c>
    </row>
    <row r="69" spans="1:7">
      <c r="A69" s="175"/>
      <c r="D69" s="68"/>
      <c r="E69" s="52" t="s">
        <v>542</v>
      </c>
      <c r="F69" s="47">
        <f t="shared" si="11"/>
        <v>6</v>
      </c>
      <c r="G69" s="178" t="b">
        <f t="shared" si="12"/>
        <v>1</v>
      </c>
    </row>
    <row r="70" spans="1:7">
      <c r="A70" s="175"/>
      <c r="D70" s="68"/>
      <c r="E70" s="52" t="s">
        <v>544</v>
      </c>
      <c r="F70" s="47">
        <f t="shared" si="11"/>
        <v>6</v>
      </c>
      <c r="G70" s="178" t="b">
        <f t="shared" si="12"/>
        <v>1</v>
      </c>
    </row>
    <row r="71" spans="1:7">
      <c r="A71" s="175"/>
      <c r="D71" s="68"/>
      <c r="E71" s="52" t="s">
        <v>547</v>
      </c>
      <c r="F71" s="47">
        <f t="shared" si="11"/>
        <v>6</v>
      </c>
      <c r="G71" s="178" t="b">
        <f t="shared" si="12"/>
        <v>1</v>
      </c>
    </row>
    <row r="72" spans="1:7">
      <c r="A72" s="175"/>
      <c r="D72" s="68"/>
      <c r="E72" s="52" t="s">
        <v>551</v>
      </c>
      <c r="F72" s="47">
        <f t="shared" si="11"/>
        <v>6</v>
      </c>
      <c r="G72" s="178" t="b">
        <f t="shared" si="12"/>
        <v>1</v>
      </c>
    </row>
    <row r="73" spans="1:7">
      <c r="A73" s="175"/>
      <c r="D73" s="68"/>
      <c r="E73" s="52" t="s">
        <v>553</v>
      </c>
      <c r="F73" s="47">
        <f t="shared" si="11"/>
        <v>6</v>
      </c>
      <c r="G73" s="178" t="b">
        <f t="shared" si="12"/>
        <v>1</v>
      </c>
    </row>
    <row r="74" spans="1:7">
      <c r="A74" s="175"/>
      <c r="D74" s="68"/>
      <c r="E74" s="52" t="s">
        <v>555</v>
      </c>
      <c r="F74" s="47">
        <f t="shared" si="11"/>
        <v>6</v>
      </c>
      <c r="G74" s="178" t="b">
        <f t="shared" si="12"/>
        <v>1</v>
      </c>
    </row>
    <row r="75" spans="1:7">
      <c r="A75" s="175"/>
      <c r="D75" s="68"/>
      <c r="E75" s="52" t="s">
        <v>245</v>
      </c>
      <c r="F75" s="47" t="e">
        <f t="shared" si="0"/>
        <v>#N/A</v>
      </c>
      <c r="G75" s="178" t="e">
        <f>_xlfn.NUMBERVALUE(MID($E$75,5,2))=F75</f>
        <v>#N/A</v>
      </c>
    </row>
    <row r="76" spans="1:7">
      <c r="A76" s="175"/>
      <c r="D76" s="68"/>
      <c r="E76" s="52" t="s">
        <v>1023</v>
      </c>
      <c r="F76" s="47" t="e">
        <f t="shared" ref="F76:F87" si="13">VLOOKUP($E76,Modelpuntoverzicht,37,FALSE)</f>
        <v>#N/A</v>
      </c>
      <c r="G76" s="178" t="e">
        <f t="shared" ref="G76:G87" si="14">_xlfn.NUMBERVALUE(MID($E$75,5,2))=F76</f>
        <v>#N/A</v>
      </c>
    </row>
    <row r="77" spans="1:7">
      <c r="A77" s="175"/>
      <c r="D77" s="68"/>
      <c r="E77" s="52" t="s">
        <v>584</v>
      </c>
      <c r="F77" s="47">
        <f t="shared" si="13"/>
        <v>7</v>
      </c>
      <c r="G77" s="178" t="b">
        <f t="shared" si="14"/>
        <v>1</v>
      </c>
    </row>
    <row r="78" spans="1:7">
      <c r="A78" s="175"/>
      <c r="D78" s="68"/>
      <c r="E78" s="52" t="s">
        <v>1024</v>
      </c>
      <c r="F78" s="47">
        <f t="shared" si="13"/>
        <v>7</v>
      </c>
      <c r="G78" s="178" t="b">
        <f>_xlfn.NUMBERVALUE(MID($E$75,5,2))=F78</f>
        <v>1</v>
      </c>
    </row>
    <row r="79" spans="1:7">
      <c r="A79" s="175"/>
      <c r="D79" s="68"/>
      <c r="E79" s="52" t="s">
        <v>1025</v>
      </c>
      <c r="F79" s="47">
        <f t="shared" si="13"/>
        <v>7</v>
      </c>
      <c r="G79" s="178" t="b">
        <f>_xlfn.NUMBERVALUE(MID($E$75,5,2))=F79</f>
        <v>1</v>
      </c>
    </row>
    <row r="80" spans="1:7">
      <c r="A80" s="175"/>
      <c r="D80" s="68"/>
      <c r="E80" s="52" t="s">
        <v>973</v>
      </c>
      <c r="F80" s="47">
        <f t="shared" si="13"/>
        <v>7</v>
      </c>
      <c r="G80" s="178" t="b">
        <f t="shared" si="14"/>
        <v>1</v>
      </c>
    </row>
    <row r="81" spans="1:7">
      <c r="A81" s="175"/>
      <c r="D81" s="68"/>
      <c r="E81" s="52" t="s">
        <v>585</v>
      </c>
      <c r="F81" s="47">
        <f t="shared" si="13"/>
        <v>7</v>
      </c>
      <c r="G81" s="178" t="b">
        <f t="shared" si="14"/>
        <v>1</v>
      </c>
    </row>
    <row r="82" spans="1:7">
      <c r="A82" s="175"/>
      <c r="D82" s="68"/>
      <c r="E82" s="52" t="s">
        <v>586</v>
      </c>
      <c r="F82" s="47">
        <f t="shared" si="13"/>
        <v>7</v>
      </c>
      <c r="G82" s="178" t="b">
        <f t="shared" si="14"/>
        <v>1</v>
      </c>
    </row>
    <row r="83" spans="1:7">
      <c r="A83" s="175"/>
      <c r="D83" s="68"/>
      <c r="E83" s="52" t="s">
        <v>587</v>
      </c>
      <c r="F83" s="47">
        <f t="shared" si="13"/>
        <v>7</v>
      </c>
      <c r="G83" s="178" t="b">
        <f t="shared" si="14"/>
        <v>1</v>
      </c>
    </row>
    <row r="84" spans="1:7">
      <c r="A84" s="175"/>
      <c r="D84" s="68"/>
      <c r="E84" s="52" t="s">
        <v>1088</v>
      </c>
      <c r="F84" s="47">
        <f t="shared" si="13"/>
        <v>7</v>
      </c>
      <c r="G84" s="178" t="b">
        <f>_xlfn.NUMBERVALUE(MID($E$75,5,2))=F84</f>
        <v>1</v>
      </c>
    </row>
    <row r="85" spans="1:7">
      <c r="A85" s="175"/>
      <c r="D85" s="68"/>
      <c r="E85" s="52" t="s">
        <v>1089</v>
      </c>
      <c r="F85" s="47">
        <f t="shared" si="13"/>
        <v>7</v>
      </c>
      <c r="G85" s="178" t="b">
        <f>_xlfn.NUMBERVALUE(MID($E$75,5,2))=F85</f>
        <v>1</v>
      </c>
    </row>
    <row r="86" spans="1:7">
      <c r="A86" s="175"/>
      <c r="D86" s="68"/>
      <c r="E86" s="52" t="s">
        <v>588</v>
      </c>
      <c r="F86" s="47">
        <f t="shared" si="13"/>
        <v>7</v>
      </c>
      <c r="G86" s="178" t="b">
        <f t="shared" si="14"/>
        <v>1</v>
      </c>
    </row>
    <row r="87" spans="1:7">
      <c r="A87" s="175"/>
      <c r="D87" s="68"/>
      <c r="E87" s="52" t="s">
        <v>589</v>
      </c>
      <c r="F87" s="47">
        <f t="shared" si="13"/>
        <v>7</v>
      </c>
      <c r="G87" s="178" t="b">
        <f t="shared" si="14"/>
        <v>1</v>
      </c>
    </row>
    <row r="88" spans="1:7">
      <c r="A88" s="175"/>
      <c r="D88" s="68"/>
      <c r="E88" s="52" t="s">
        <v>246</v>
      </c>
      <c r="F88" s="47" t="e">
        <f t="shared" si="0"/>
        <v>#N/A</v>
      </c>
      <c r="G88" s="178" t="e">
        <f>_xlfn.NUMBERVALUE(MID($E$88,5,2))=F88</f>
        <v>#N/A</v>
      </c>
    </row>
    <row r="89" spans="1:7">
      <c r="A89" s="175"/>
      <c r="D89" s="68"/>
      <c r="E89" s="52" t="s">
        <v>1022</v>
      </c>
      <c r="F89" s="47" t="e">
        <f t="shared" ref="F89:F94" si="15">VLOOKUP($E89,Modelpuntoverzicht,37,FALSE)</f>
        <v>#N/A</v>
      </c>
      <c r="G89" s="178" t="e">
        <f t="shared" ref="G89:G94" si="16">_xlfn.NUMBERVALUE(MID($E$88,5,2))=F89</f>
        <v>#N/A</v>
      </c>
    </row>
    <row r="90" spans="1:7">
      <c r="A90" s="175"/>
      <c r="D90" s="68"/>
      <c r="E90" s="52" t="s">
        <v>578</v>
      </c>
      <c r="F90" s="47">
        <f t="shared" si="15"/>
        <v>8</v>
      </c>
      <c r="G90" s="178" t="b">
        <f t="shared" si="16"/>
        <v>1</v>
      </c>
    </row>
    <row r="91" spans="1:7">
      <c r="A91" s="175"/>
      <c r="D91" s="68"/>
      <c r="E91" s="52" t="s">
        <v>579</v>
      </c>
      <c r="F91" s="47">
        <f t="shared" si="15"/>
        <v>8</v>
      </c>
      <c r="G91" s="178" t="b">
        <f t="shared" si="16"/>
        <v>1</v>
      </c>
    </row>
    <row r="92" spans="1:7">
      <c r="A92" s="175"/>
      <c r="D92" s="68"/>
      <c r="E92" s="52" t="s">
        <v>580</v>
      </c>
      <c r="F92" s="47">
        <f t="shared" si="15"/>
        <v>8</v>
      </c>
      <c r="G92" s="178" t="b">
        <f t="shared" si="16"/>
        <v>1</v>
      </c>
    </row>
    <row r="93" spans="1:7">
      <c r="A93" s="175"/>
      <c r="D93" s="68"/>
      <c r="E93" s="52" t="s">
        <v>581</v>
      </c>
      <c r="F93" s="47">
        <f t="shared" si="15"/>
        <v>8</v>
      </c>
      <c r="G93" s="178" t="b">
        <f t="shared" si="16"/>
        <v>1</v>
      </c>
    </row>
    <row r="94" spans="1:7">
      <c r="A94" s="175"/>
      <c r="D94" s="68"/>
      <c r="E94" s="52" t="s">
        <v>583</v>
      </c>
      <c r="F94" s="47">
        <f t="shared" si="15"/>
        <v>8</v>
      </c>
      <c r="G94" s="178" t="b">
        <f t="shared" si="16"/>
        <v>1</v>
      </c>
    </row>
    <row r="95" spans="1:7">
      <c r="A95" s="175"/>
      <c r="D95" s="68"/>
      <c r="E95" s="52" t="s">
        <v>247</v>
      </c>
      <c r="F95" s="47" t="e">
        <f t="shared" si="0"/>
        <v>#N/A</v>
      </c>
      <c r="G95" s="178" t="e">
        <f>_xlfn.NUMBERVALUE(MID($E$95,5,2))=F95</f>
        <v>#N/A</v>
      </c>
    </row>
    <row r="96" spans="1:7">
      <c r="A96" s="175"/>
      <c r="D96" s="68"/>
      <c r="E96" s="52" t="s">
        <v>1019</v>
      </c>
      <c r="F96" s="47" t="e">
        <f t="shared" ref="F96:F120" si="17">VLOOKUP($E96,Modelpuntoverzicht,37,FALSE)</f>
        <v>#N/A</v>
      </c>
      <c r="G96" s="178" t="e">
        <f t="shared" ref="G96:G120" si="18">_xlfn.NUMBERVALUE(MID($E$95,5,2))=F96</f>
        <v>#N/A</v>
      </c>
    </row>
    <row r="97" spans="1:7">
      <c r="A97" s="175"/>
      <c r="D97" s="68"/>
      <c r="E97" s="52" t="s">
        <v>556</v>
      </c>
      <c r="F97" s="47">
        <f t="shared" si="17"/>
        <v>9</v>
      </c>
      <c r="G97" s="178" t="b">
        <f t="shared" si="18"/>
        <v>1</v>
      </c>
    </row>
    <row r="98" spans="1:7">
      <c r="A98" s="175"/>
      <c r="D98" s="68"/>
      <c r="E98" s="52" t="s">
        <v>1085</v>
      </c>
      <c r="F98" s="47">
        <f t="shared" si="17"/>
        <v>9</v>
      </c>
      <c r="G98" s="178" t="b">
        <f>_xlfn.NUMBERVALUE(MID($E$95,5,2))=F98</f>
        <v>1</v>
      </c>
    </row>
    <row r="99" spans="1:7">
      <c r="A99" s="175"/>
      <c r="D99" s="68"/>
      <c r="E99" s="52" t="s">
        <v>557</v>
      </c>
      <c r="F99" s="47">
        <f t="shared" si="17"/>
        <v>9</v>
      </c>
      <c r="G99" s="178" t="b">
        <f t="shared" si="18"/>
        <v>1</v>
      </c>
    </row>
    <row r="100" spans="1:7">
      <c r="A100" s="175"/>
      <c r="D100" s="68"/>
      <c r="E100" s="52" t="s">
        <v>558</v>
      </c>
      <c r="F100" s="47">
        <f t="shared" si="17"/>
        <v>9</v>
      </c>
      <c r="G100" s="178" t="b">
        <f t="shared" si="18"/>
        <v>1</v>
      </c>
    </row>
    <row r="101" spans="1:7">
      <c r="A101" s="175"/>
      <c r="D101" s="68"/>
      <c r="E101" s="52" t="s">
        <v>559</v>
      </c>
      <c r="F101" s="47">
        <f t="shared" si="17"/>
        <v>9</v>
      </c>
      <c r="G101" s="178" t="b">
        <f t="shared" si="18"/>
        <v>1</v>
      </c>
    </row>
    <row r="102" spans="1:7">
      <c r="A102" s="175"/>
      <c r="D102" s="68"/>
      <c r="E102" s="52" t="s">
        <v>560</v>
      </c>
      <c r="F102" s="47">
        <f t="shared" si="17"/>
        <v>9</v>
      </c>
      <c r="G102" s="178" t="b">
        <f t="shared" si="18"/>
        <v>1</v>
      </c>
    </row>
    <row r="103" spans="1:7">
      <c r="A103" s="175"/>
      <c r="D103" s="68"/>
      <c r="E103" s="52" t="s">
        <v>561</v>
      </c>
      <c r="F103" s="47">
        <f t="shared" si="17"/>
        <v>9</v>
      </c>
      <c r="G103" s="178" t="b">
        <f t="shared" si="18"/>
        <v>1</v>
      </c>
    </row>
    <row r="104" spans="1:7">
      <c r="A104" s="175"/>
      <c r="D104" s="68"/>
      <c r="E104" s="52" t="s">
        <v>562</v>
      </c>
      <c r="F104" s="47">
        <f t="shared" si="17"/>
        <v>9</v>
      </c>
      <c r="G104" s="178" t="b">
        <f t="shared" si="18"/>
        <v>1</v>
      </c>
    </row>
    <row r="105" spans="1:7">
      <c r="A105" s="175"/>
      <c r="D105" s="68"/>
      <c r="E105" s="52" t="s">
        <v>563</v>
      </c>
      <c r="F105" s="47">
        <f t="shared" si="17"/>
        <v>9</v>
      </c>
      <c r="G105" s="178" t="b">
        <f t="shared" si="18"/>
        <v>1</v>
      </c>
    </row>
    <row r="106" spans="1:7">
      <c r="A106" s="175"/>
      <c r="D106" s="68"/>
      <c r="E106" s="52" t="s">
        <v>564</v>
      </c>
      <c r="F106" s="47">
        <f t="shared" si="17"/>
        <v>9</v>
      </c>
      <c r="G106" s="178" t="b">
        <f t="shared" si="18"/>
        <v>1</v>
      </c>
    </row>
    <row r="107" spans="1:7">
      <c r="A107" s="175"/>
      <c r="D107" s="68"/>
      <c r="E107" s="52" t="s">
        <v>565</v>
      </c>
      <c r="F107" s="47">
        <f t="shared" si="17"/>
        <v>9</v>
      </c>
      <c r="G107" s="178" t="b">
        <f t="shared" si="18"/>
        <v>1</v>
      </c>
    </row>
    <row r="108" spans="1:7">
      <c r="A108" s="175"/>
      <c r="D108" s="68"/>
      <c r="E108" s="52" t="s">
        <v>566</v>
      </c>
      <c r="F108" s="47">
        <f t="shared" si="17"/>
        <v>9</v>
      </c>
      <c r="G108" s="178" t="b">
        <f t="shared" si="18"/>
        <v>1</v>
      </c>
    </row>
    <row r="109" spans="1:7">
      <c r="A109" s="175"/>
      <c r="D109" s="68"/>
      <c r="E109" s="52" t="s">
        <v>567</v>
      </c>
      <c r="F109" s="47">
        <f t="shared" si="17"/>
        <v>9</v>
      </c>
      <c r="G109" s="178" t="b">
        <f t="shared" si="18"/>
        <v>1</v>
      </c>
    </row>
    <row r="110" spans="1:7">
      <c r="A110" s="175"/>
      <c r="D110" s="68"/>
      <c r="E110" s="52" t="s">
        <v>568</v>
      </c>
      <c r="F110" s="47">
        <f t="shared" si="17"/>
        <v>9</v>
      </c>
      <c r="G110" s="178" t="b">
        <f t="shared" si="18"/>
        <v>1</v>
      </c>
    </row>
    <row r="111" spans="1:7">
      <c r="A111" s="175"/>
      <c r="D111" s="68"/>
      <c r="E111" s="52" t="s">
        <v>569</v>
      </c>
      <c r="F111" s="47">
        <f t="shared" si="17"/>
        <v>9</v>
      </c>
      <c r="G111" s="178" t="b">
        <f t="shared" si="18"/>
        <v>1</v>
      </c>
    </row>
    <row r="112" spans="1:7">
      <c r="A112" s="175"/>
      <c r="D112" s="68"/>
      <c r="E112" s="52" t="s">
        <v>570</v>
      </c>
      <c r="F112" s="47">
        <f t="shared" si="17"/>
        <v>9</v>
      </c>
      <c r="G112" s="178" t="b">
        <f t="shared" si="18"/>
        <v>1</v>
      </c>
    </row>
    <row r="113" spans="1:7">
      <c r="A113" s="175"/>
      <c r="D113" s="68"/>
      <c r="E113" s="52" t="s">
        <v>571</v>
      </c>
      <c r="F113" s="47">
        <f t="shared" si="17"/>
        <v>9</v>
      </c>
      <c r="G113" s="178" t="b">
        <f t="shared" si="18"/>
        <v>1</v>
      </c>
    </row>
    <row r="114" spans="1:7">
      <c r="A114" s="175"/>
      <c r="D114" s="68"/>
      <c r="E114" s="52" t="s">
        <v>572</v>
      </c>
      <c r="F114" s="47">
        <f t="shared" si="17"/>
        <v>9</v>
      </c>
      <c r="G114" s="178" t="b">
        <f t="shared" si="18"/>
        <v>1</v>
      </c>
    </row>
    <row r="115" spans="1:7">
      <c r="A115" s="175"/>
      <c r="D115" s="68"/>
      <c r="E115" s="52" t="s">
        <v>573</v>
      </c>
      <c r="F115" s="47">
        <f t="shared" si="17"/>
        <v>9</v>
      </c>
      <c r="G115" s="178" t="b">
        <f t="shared" si="18"/>
        <v>1</v>
      </c>
    </row>
    <row r="116" spans="1:7">
      <c r="A116" s="175"/>
      <c r="D116" s="68"/>
      <c r="E116" s="52" t="s">
        <v>1086</v>
      </c>
      <c r="F116" s="47">
        <f t="shared" si="17"/>
        <v>9</v>
      </c>
      <c r="G116" s="178" t="b">
        <f>_xlfn.NUMBERVALUE(MID($E$95,5,2))=F116</f>
        <v>1</v>
      </c>
    </row>
    <row r="117" spans="1:7">
      <c r="A117" s="175"/>
      <c r="D117" s="68"/>
      <c r="E117" s="52" t="s">
        <v>1087</v>
      </c>
      <c r="F117" s="47">
        <f t="shared" si="17"/>
        <v>9</v>
      </c>
      <c r="G117" s="178" t="b">
        <f>_xlfn.NUMBERVALUE(MID($E$95,5,2))=F117</f>
        <v>1</v>
      </c>
    </row>
    <row r="118" spans="1:7">
      <c r="A118" s="175"/>
      <c r="D118" s="68"/>
      <c r="E118" s="52" t="s">
        <v>574</v>
      </c>
      <c r="F118" s="47">
        <f t="shared" si="17"/>
        <v>9</v>
      </c>
      <c r="G118" s="178" t="b">
        <f t="shared" si="18"/>
        <v>1</v>
      </c>
    </row>
    <row r="119" spans="1:7">
      <c r="A119" s="175"/>
      <c r="D119" s="68"/>
      <c r="E119" s="52" t="s">
        <v>576</v>
      </c>
      <c r="F119" s="47">
        <f t="shared" si="17"/>
        <v>9</v>
      </c>
      <c r="G119" s="178" t="b">
        <f t="shared" si="18"/>
        <v>1</v>
      </c>
    </row>
    <row r="120" spans="1:7">
      <c r="A120" s="175"/>
      <c r="D120" s="68"/>
      <c r="E120" s="52" t="s">
        <v>577</v>
      </c>
      <c r="F120" s="47">
        <f t="shared" si="17"/>
        <v>9</v>
      </c>
      <c r="G120" s="178" t="b">
        <f t="shared" si="18"/>
        <v>1</v>
      </c>
    </row>
    <row r="121" spans="1:7">
      <c r="A121" s="175"/>
      <c r="D121" s="68"/>
      <c r="E121" s="52" t="s">
        <v>248</v>
      </c>
      <c r="F121" s="47" t="e">
        <f t="shared" si="0"/>
        <v>#N/A</v>
      </c>
      <c r="G121" s="178" t="e">
        <f>_xlfn.NUMBERVALUE(MID($E$121,5,2))=F121</f>
        <v>#N/A</v>
      </c>
    </row>
    <row r="122" spans="1:7">
      <c r="A122" s="175"/>
      <c r="D122" s="68"/>
      <c r="E122" s="52" t="s">
        <v>1017</v>
      </c>
      <c r="F122" s="47" t="e">
        <f t="shared" ref="F122:F126" si="19">VLOOKUP($E122,Modelpuntoverzicht,37,FALSE)</f>
        <v>#N/A</v>
      </c>
      <c r="G122" s="178" t="e">
        <f t="shared" ref="G122:G126" si="20">_xlfn.NUMBERVALUE(MID($E$121,5,2))=F122</f>
        <v>#N/A</v>
      </c>
    </row>
    <row r="123" spans="1:7">
      <c r="A123" s="175"/>
      <c r="D123" s="68"/>
      <c r="E123" s="52" t="s">
        <v>534</v>
      </c>
      <c r="F123" s="47">
        <f t="shared" si="19"/>
        <v>10</v>
      </c>
      <c r="G123" s="178" t="b">
        <f t="shared" si="20"/>
        <v>1</v>
      </c>
    </row>
    <row r="124" spans="1:7">
      <c r="A124" s="175"/>
      <c r="D124" s="68"/>
      <c r="E124" s="52" t="s">
        <v>535</v>
      </c>
      <c r="F124" s="47">
        <f t="shared" si="19"/>
        <v>10</v>
      </c>
      <c r="G124" s="178" t="b">
        <f t="shared" si="20"/>
        <v>1</v>
      </c>
    </row>
    <row r="125" spans="1:7">
      <c r="A125" s="175"/>
      <c r="D125" s="68"/>
      <c r="E125" s="52" t="s">
        <v>536</v>
      </c>
      <c r="F125" s="47">
        <f t="shared" si="19"/>
        <v>10</v>
      </c>
      <c r="G125" s="178" t="b">
        <f t="shared" si="20"/>
        <v>1</v>
      </c>
    </row>
    <row r="126" spans="1:7">
      <c r="A126" s="175"/>
      <c r="D126" s="68"/>
      <c r="E126" s="52" t="s">
        <v>537</v>
      </c>
      <c r="F126" s="47">
        <f t="shared" si="19"/>
        <v>10</v>
      </c>
      <c r="G126" s="178" t="b">
        <f t="shared" si="20"/>
        <v>1</v>
      </c>
    </row>
    <row r="127" spans="1:7">
      <c r="A127" s="175"/>
      <c r="D127" s="68"/>
      <c r="E127" s="52" t="s">
        <v>249</v>
      </c>
      <c r="F127" s="47" t="e">
        <f t="shared" si="0"/>
        <v>#N/A</v>
      </c>
      <c r="G127" s="178" t="e">
        <f>_xlfn.NUMBERVALUE(MID($E$127,5,2))=F127</f>
        <v>#N/A</v>
      </c>
    </row>
    <row r="128" spans="1:7">
      <c r="A128" s="175"/>
      <c r="D128" s="68"/>
      <c r="E128" s="52" t="s">
        <v>513</v>
      </c>
      <c r="F128" s="47">
        <f t="shared" si="0"/>
        <v>11</v>
      </c>
      <c r="G128" s="178" t="b">
        <f t="shared" ref="G128:G154" si="21">_xlfn.NUMBERVALUE(MID($E$127,5,2))=F128</f>
        <v>1</v>
      </c>
    </row>
    <row r="129" spans="1:7">
      <c r="A129" s="175"/>
      <c r="D129" s="68"/>
      <c r="E129" s="52" t="s">
        <v>514</v>
      </c>
      <c r="F129" s="47">
        <f t="shared" si="0"/>
        <v>11</v>
      </c>
      <c r="G129" s="178" t="b">
        <f t="shared" si="21"/>
        <v>1</v>
      </c>
    </row>
    <row r="130" spans="1:7">
      <c r="A130" s="175"/>
      <c r="D130" s="68"/>
      <c r="E130" s="52" t="s">
        <v>515</v>
      </c>
      <c r="F130" s="47">
        <f t="shared" si="0"/>
        <v>11</v>
      </c>
      <c r="G130" s="178" t="b">
        <f t="shared" si="21"/>
        <v>1</v>
      </c>
    </row>
    <row r="131" spans="1:7">
      <c r="A131" s="175"/>
      <c r="D131" s="68"/>
      <c r="E131" s="52" t="s">
        <v>1014</v>
      </c>
      <c r="F131" s="47" t="e">
        <f t="shared" si="0"/>
        <v>#N/A</v>
      </c>
      <c r="G131" s="178" t="e">
        <f t="shared" si="21"/>
        <v>#N/A</v>
      </c>
    </row>
    <row r="132" spans="1:7">
      <c r="A132" s="175"/>
      <c r="D132" s="68"/>
      <c r="E132" s="52" t="s">
        <v>516</v>
      </c>
      <c r="F132" s="47">
        <f t="shared" si="0"/>
        <v>11</v>
      </c>
      <c r="G132" s="178" t="b">
        <f t="shared" si="21"/>
        <v>1</v>
      </c>
    </row>
    <row r="133" spans="1:7">
      <c r="A133" s="175"/>
      <c r="D133" s="68"/>
      <c r="E133" s="52" t="s">
        <v>517</v>
      </c>
      <c r="F133" s="47">
        <f t="shared" si="0"/>
        <v>11</v>
      </c>
      <c r="G133" s="178" t="b">
        <f t="shared" si="21"/>
        <v>1</v>
      </c>
    </row>
    <row r="134" spans="1:7">
      <c r="A134" s="175"/>
      <c r="D134" s="68"/>
      <c r="E134" s="52" t="s">
        <v>518</v>
      </c>
      <c r="F134" s="47">
        <f t="shared" si="0"/>
        <v>11</v>
      </c>
      <c r="G134" s="178" t="b">
        <f t="shared" si="21"/>
        <v>1</v>
      </c>
    </row>
    <row r="135" spans="1:7">
      <c r="A135" s="175"/>
      <c r="D135" s="68"/>
      <c r="E135" s="52" t="s">
        <v>1015</v>
      </c>
      <c r="F135" s="47">
        <f t="shared" si="0"/>
        <v>11</v>
      </c>
      <c r="G135" s="178" t="b">
        <f>_xlfn.NUMBERVALUE(MID($E$127,5,2))=F135</f>
        <v>1</v>
      </c>
    </row>
    <row r="136" spans="1:7">
      <c r="A136" s="175"/>
      <c r="D136" s="68"/>
      <c r="E136" s="52" t="s">
        <v>575</v>
      </c>
      <c r="F136" s="47">
        <f t="shared" si="0"/>
        <v>11</v>
      </c>
      <c r="G136" s="178" t="b">
        <f t="shared" si="21"/>
        <v>1</v>
      </c>
    </row>
    <row r="137" spans="1:7">
      <c r="A137" s="175"/>
      <c r="D137" s="68"/>
      <c r="E137" s="52" t="s">
        <v>519</v>
      </c>
      <c r="F137" s="47">
        <f t="shared" si="0"/>
        <v>11</v>
      </c>
      <c r="G137" s="178" t="b">
        <f t="shared" si="21"/>
        <v>1</v>
      </c>
    </row>
    <row r="138" spans="1:7">
      <c r="A138" s="175"/>
      <c r="D138" s="68"/>
      <c r="E138" s="52" t="s">
        <v>520</v>
      </c>
      <c r="F138" s="47">
        <f t="shared" si="0"/>
        <v>11</v>
      </c>
      <c r="G138" s="178" t="b">
        <f t="shared" si="21"/>
        <v>1</v>
      </c>
    </row>
    <row r="139" spans="1:7">
      <c r="A139" s="175"/>
      <c r="D139" s="68"/>
      <c r="E139" s="52" t="s">
        <v>521</v>
      </c>
      <c r="F139" s="47">
        <f t="shared" si="0"/>
        <v>11</v>
      </c>
      <c r="G139" s="178" t="b">
        <f t="shared" si="21"/>
        <v>1</v>
      </c>
    </row>
    <row r="140" spans="1:7">
      <c r="A140" s="175"/>
      <c r="D140" s="68"/>
      <c r="E140" s="52" t="s">
        <v>522</v>
      </c>
      <c r="F140" s="47">
        <f t="shared" si="0"/>
        <v>11</v>
      </c>
      <c r="G140" s="178" t="b">
        <f t="shared" si="21"/>
        <v>1</v>
      </c>
    </row>
    <row r="141" spans="1:7">
      <c r="A141" s="175"/>
      <c r="D141" s="68"/>
      <c r="E141" s="52" t="s">
        <v>523</v>
      </c>
      <c r="F141" s="47">
        <f t="shared" si="0"/>
        <v>11</v>
      </c>
      <c r="G141" s="178" t="b">
        <f t="shared" si="21"/>
        <v>1</v>
      </c>
    </row>
    <row r="142" spans="1:7">
      <c r="A142" s="175"/>
      <c r="D142" s="68"/>
      <c r="E142" s="52" t="s">
        <v>524</v>
      </c>
      <c r="F142" s="47">
        <f t="shared" si="0"/>
        <v>11</v>
      </c>
      <c r="G142" s="178" t="b">
        <f t="shared" si="21"/>
        <v>1</v>
      </c>
    </row>
    <row r="143" spans="1:7">
      <c r="A143" s="175"/>
      <c r="D143" s="68"/>
      <c r="E143" s="52" t="s">
        <v>525</v>
      </c>
      <c r="F143" s="47">
        <f t="shared" si="0"/>
        <v>11</v>
      </c>
      <c r="G143" s="178" t="b">
        <f t="shared" si="21"/>
        <v>1</v>
      </c>
    </row>
    <row r="144" spans="1:7">
      <c r="A144" s="175"/>
      <c r="D144" s="68"/>
      <c r="E144" s="52" t="s">
        <v>526</v>
      </c>
      <c r="F144" s="47">
        <f t="shared" ref="F144:F154" si="22">VLOOKUP($E144,Modelpuntoverzicht,37,FALSE)</f>
        <v>11</v>
      </c>
      <c r="G144" s="178" t="b">
        <f t="shared" si="21"/>
        <v>1</v>
      </c>
    </row>
    <row r="145" spans="1:7">
      <c r="A145" s="175"/>
      <c r="D145" s="68"/>
      <c r="E145" s="52" t="s">
        <v>527</v>
      </c>
      <c r="F145" s="47">
        <f t="shared" si="22"/>
        <v>11</v>
      </c>
      <c r="G145" s="178" t="b">
        <f t="shared" si="21"/>
        <v>1</v>
      </c>
    </row>
    <row r="146" spans="1:7">
      <c r="A146" s="175"/>
      <c r="D146" s="68"/>
      <c r="E146" s="52" t="s">
        <v>528</v>
      </c>
      <c r="F146" s="47">
        <f t="shared" si="22"/>
        <v>11</v>
      </c>
      <c r="G146" s="178" t="b">
        <f t="shared" si="21"/>
        <v>1</v>
      </c>
    </row>
    <row r="147" spans="1:7">
      <c r="A147" s="175"/>
      <c r="D147" s="68"/>
      <c r="E147" s="52" t="s">
        <v>1016</v>
      </c>
      <c r="F147" s="47">
        <f t="shared" si="22"/>
        <v>11</v>
      </c>
      <c r="G147" s="178" t="b">
        <f>_xlfn.NUMBERVALUE(MID($E$127,5,2))=F147</f>
        <v>1</v>
      </c>
    </row>
    <row r="148" spans="1:7">
      <c r="A148" s="175"/>
      <c r="D148" s="68"/>
      <c r="E148" s="52" t="s">
        <v>529</v>
      </c>
      <c r="F148" s="47">
        <f t="shared" si="22"/>
        <v>11</v>
      </c>
      <c r="G148" s="178" t="b">
        <f t="shared" si="21"/>
        <v>1</v>
      </c>
    </row>
    <row r="149" spans="1:7">
      <c r="A149" s="175"/>
      <c r="D149" s="68"/>
      <c r="E149" s="52" t="s">
        <v>530</v>
      </c>
      <c r="F149" s="47">
        <f t="shared" si="22"/>
        <v>11</v>
      </c>
      <c r="G149" s="178" t="b">
        <f t="shared" si="21"/>
        <v>1</v>
      </c>
    </row>
    <row r="150" spans="1:7">
      <c r="A150" s="175"/>
      <c r="D150" s="68"/>
      <c r="E150" s="52" t="s">
        <v>531</v>
      </c>
      <c r="F150" s="47">
        <f t="shared" si="22"/>
        <v>11</v>
      </c>
      <c r="G150" s="178" t="b">
        <f t="shared" si="21"/>
        <v>1</v>
      </c>
    </row>
    <row r="151" spans="1:7">
      <c r="A151" s="175"/>
      <c r="D151" s="68"/>
      <c r="E151" s="52" t="s">
        <v>532</v>
      </c>
      <c r="F151" s="47">
        <f t="shared" si="22"/>
        <v>11</v>
      </c>
      <c r="G151" s="178" t="b">
        <f t="shared" si="21"/>
        <v>1</v>
      </c>
    </row>
    <row r="152" spans="1:7">
      <c r="A152" s="175"/>
      <c r="D152" s="68"/>
      <c r="E152" s="52" t="s">
        <v>1083</v>
      </c>
      <c r="F152" s="47">
        <f t="shared" si="22"/>
        <v>11</v>
      </c>
      <c r="G152" s="178" t="b">
        <f>_xlfn.NUMBERVALUE(MID($E$127,5,2))=F152</f>
        <v>1</v>
      </c>
    </row>
    <row r="153" spans="1:7">
      <c r="A153" s="175"/>
      <c r="D153" s="68"/>
      <c r="E153" s="52" t="s">
        <v>1084</v>
      </c>
      <c r="F153" s="47">
        <f t="shared" si="22"/>
        <v>11</v>
      </c>
      <c r="G153" s="178" t="b">
        <f>_xlfn.NUMBERVALUE(MID($E$127,5,2))=F153</f>
        <v>1</v>
      </c>
    </row>
    <row r="154" spans="1:7">
      <c r="A154" s="175"/>
      <c r="D154" s="68"/>
      <c r="E154" s="52" t="s">
        <v>533</v>
      </c>
      <c r="F154" s="47">
        <f t="shared" si="22"/>
        <v>11</v>
      </c>
      <c r="G154" s="178" t="b">
        <f t="shared" si="21"/>
        <v>1</v>
      </c>
    </row>
    <row r="155" spans="1:7">
      <c r="A155" s="175"/>
      <c r="D155" s="68"/>
      <c r="E155" s="52" t="s">
        <v>250</v>
      </c>
      <c r="F155" s="47" t="e">
        <f t="shared" si="0"/>
        <v>#N/A</v>
      </c>
      <c r="G155" s="178" t="e">
        <f>_xlfn.NUMBERVALUE(MID($E$155,5,2))=F155</f>
        <v>#N/A</v>
      </c>
    </row>
    <row r="156" spans="1:7">
      <c r="A156" s="175"/>
      <c r="D156" s="68"/>
      <c r="E156" s="52" t="s">
        <v>495</v>
      </c>
      <c r="F156" s="47">
        <f t="shared" si="0"/>
        <v>12</v>
      </c>
      <c r="G156" s="178" t="b">
        <f t="shared" ref="G156:G175" si="23">_xlfn.NUMBERVALUE(MID($E$155,5,2))=F156</f>
        <v>1</v>
      </c>
    </row>
    <row r="157" spans="1:7">
      <c r="A157" s="175"/>
      <c r="D157" s="68"/>
      <c r="E157" s="52" t="s">
        <v>496</v>
      </c>
      <c r="F157" s="47">
        <f t="shared" si="0"/>
        <v>12</v>
      </c>
      <c r="G157" s="178" t="b">
        <f t="shared" si="23"/>
        <v>1</v>
      </c>
    </row>
    <row r="158" spans="1:7">
      <c r="A158" s="175"/>
      <c r="D158" s="68"/>
      <c r="E158" s="52" t="s">
        <v>497</v>
      </c>
      <c r="F158" s="47">
        <f t="shared" si="0"/>
        <v>12</v>
      </c>
      <c r="G158" s="178" t="b">
        <f t="shared" si="23"/>
        <v>1</v>
      </c>
    </row>
    <row r="159" spans="1:7">
      <c r="A159" s="175"/>
      <c r="D159" s="68"/>
      <c r="E159" s="52" t="s">
        <v>498</v>
      </c>
      <c r="F159" s="47">
        <f t="shared" si="0"/>
        <v>12</v>
      </c>
      <c r="G159" s="178" t="b">
        <f t="shared" si="23"/>
        <v>1</v>
      </c>
    </row>
    <row r="160" spans="1:7">
      <c r="A160" s="175"/>
      <c r="D160" s="68"/>
      <c r="E160" s="52" t="s">
        <v>1012</v>
      </c>
      <c r="F160" s="47" t="e">
        <f t="shared" si="0"/>
        <v>#N/A</v>
      </c>
      <c r="G160" s="178" t="e">
        <f t="shared" si="23"/>
        <v>#N/A</v>
      </c>
    </row>
    <row r="161" spans="1:7">
      <c r="A161" s="175"/>
      <c r="D161" s="68"/>
      <c r="E161" s="52" t="s">
        <v>499</v>
      </c>
      <c r="F161" s="47">
        <f t="shared" si="0"/>
        <v>12</v>
      </c>
      <c r="G161" s="178" t="b">
        <f t="shared" si="23"/>
        <v>1</v>
      </c>
    </row>
    <row r="162" spans="1:7">
      <c r="A162" s="175"/>
      <c r="D162" s="68"/>
      <c r="E162" s="52" t="s">
        <v>500</v>
      </c>
      <c r="F162" s="47">
        <f t="shared" si="0"/>
        <v>12</v>
      </c>
      <c r="G162" s="178" t="b">
        <f t="shared" si="23"/>
        <v>1</v>
      </c>
    </row>
    <row r="163" spans="1:7">
      <c r="A163" s="175"/>
      <c r="D163" s="68"/>
      <c r="E163" s="52" t="s">
        <v>501</v>
      </c>
      <c r="F163" s="47">
        <f t="shared" si="0"/>
        <v>12</v>
      </c>
      <c r="G163" s="178" t="b">
        <f t="shared" si="23"/>
        <v>1</v>
      </c>
    </row>
    <row r="164" spans="1:7">
      <c r="A164" s="175"/>
      <c r="D164" s="68"/>
      <c r="E164" s="52" t="s">
        <v>502</v>
      </c>
      <c r="F164" s="47">
        <f t="shared" si="0"/>
        <v>12</v>
      </c>
      <c r="G164" s="178" t="b">
        <f t="shared" si="23"/>
        <v>1</v>
      </c>
    </row>
    <row r="165" spans="1:7">
      <c r="A165" s="175"/>
      <c r="D165" s="68"/>
      <c r="E165" s="52" t="s">
        <v>503</v>
      </c>
      <c r="F165" s="47">
        <f t="shared" si="0"/>
        <v>12</v>
      </c>
      <c r="G165" s="178" t="b">
        <f t="shared" si="23"/>
        <v>1</v>
      </c>
    </row>
    <row r="166" spans="1:7">
      <c r="A166" s="175"/>
      <c r="D166" s="68"/>
      <c r="E166" s="52" t="s">
        <v>504</v>
      </c>
      <c r="F166" s="47">
        <f t="shared" si="0"/>
        <v>12</v>
      </c>
      <c r="G166" s="178" t="b">
        <f t="shared" si="23"/>
        <v>1</v>
      </c>
    </row>
    <row r="167" spans="1:7">
      <c r="A167" s="175"/>
      <c r="D167" s="68"/>
      <c r="E167" s="52" t="s">
        <v>505</v>
      </c>
      <c r="F167" s="47">
        <f t="shared" si="0"/>
        <v>12</v>
      </c>
      <c r="G167" s="178" t="b">
        <f t="shared" si="23"/>
        <v>1</v>
      </c>
    </row>
    <row r="168" spans="1:7">
      <c r="A168" s="175"/>
      <c r="D168" s="68"/>
      <c r="E168" s="52" t="s">
        <v>506</v>
      </c>
      <c r="F168" s="47">
        <f t="shared" si="0"/>
        <v>12</v>
      </c>
      <c r="G168" s="178" t="b">
        <f t="shared" si="23"/>
        <v>1</v>
      </c>
    </row>
    <row r="169" spans="1:7">
      <c r="A169" s="175"/>
      <c r="D169" s="68"/>
      <c r="E169" s="52" t="s">
        <v>507</v>
      </c>
      <c r="F169" s="47">
        <f t="shared" si="0"/>
        <v>12</v>
      </c>
      <c r="G169" s="178" t="b">
        <f t="shared" si="23"/>
        <v>1</v>
      </c>
    </row>
    <row r="170" spans="1:7">
      <c r="A170" s="175"/>
      <c r="D170" s="68"/>
      <c r="E170" s="52" t="s">
        <v>508</v>
      </c>
      <c r="F170" s="47">
        <f t="shared" si="0"/>
        <v>12</v>
      </c>
      <c r="G170" s="178" t="b">
        <f t="shared" si="23"/>
        <v>1</v>
      </c>
    </row>
    <row r="171" spans="1:7">
      <c r="A171" s="175"/>
      <c r="D171" s="68"/>
      <c r="E171" s="52" t="s">
        <v>1013</v>
      </c>
      <c r="F171" s="47">
        <f t="shared" si="0"/>
        <v>12</v>
      </c>
      <c r="G171" s="178" t="b">
        <f>_xlfn.NUMBERVALUE(MID($E$155,5,2))=F171</f>
        <v>1</v>
      </c>
    </row>
    <row r="172" spans="1:7">
      <c r="A172" s="175"/>
      <c r="D172" s="68"/>
      <c r="E172" s="52" t="s">
        <v>509</v>
      </c>
      <c r="F172" s="47">
        <f t="shared" si="0"/>
        <v>12</v>
      </c>
      <c r="G172" s="178" t="b">
        <f t="shared" si="23"/>
        <v>1</v>
      </c>
    </row>
    <row r="173" spans="1:7">
      <c r="A173" s="175"/>
      <c r="D173" s="68"/>
      <c r="E173" s="52" t="s">
        <v>510</v>
      </c>
      <c r="F173" s="47">
        <f t="shared" si="0"/>
        <v>12</v>
      </c>
      <c r="G173" s="178" t="b">
        <f t="shared" si="23"/>
        <v>1</v>
      </c>
    </row>
    <row r="174" spans="1:7">
      <c r="A174" s="175"/>
      <c r="D174" s="68"/>
      <c r="E174" s="52" t="s">
        <v>511</v>
      </c>
      <c r="F174" s="47">
        <f t="shared" si="0"/>
        <v>12</v>
      </c>
      <c r="G174" s="178" t="b">
        <f t="shared" si="23"/>
        <v>1</v>
      </c>
    </row>
    <row r="175" spans="1:7">
      <c r="A175" s="175"/>
      <c r="D175" s="68"/>
      <c r="E175" s="52" t="s">
        <v>512</v>
      </c>
      <c r="F175" s="47">
        <f t="shared" si="0"/>
        <v>12</v>
      </c>
      <c r="G175" s="178" t="b">
        <f t="shared" si="23"/>
        <v>1</v>
      </c>
    </row>
    <row r="176" spans="1:7">
      <c r="A176" s="175"/>
      <c r="D176" s="68"/>
      <c r="E176" s="52" t="s">
        <v>251</v>
      </c>
      <c r="F176" s="47" t="e">
        <f t="shared" si="0"/>
        <v>#N/A</v>
      </c>
      <c r="G176" s="178" t="e">
        <f>_xlfn.NUMBERVALUE(MID($E$176,5,2))=F176</f>
        <v>#N/A</v>
      </c>
    </row>
    <row r="177" spans="1:7">
      <c r="A177" s="175"/>
      <c r="D177" s="68"/>
      <c r="E177" s="52" t="s">
        <v>1009</v>
      </c>
      <c r="F177" s="47" t="e">
        <f t="shared" si="0"/>
        <v>#N/A</v>
      </c>
      <c r="G177" s="178" t="e">
        <f t="shared" ref="G177:G189" si="24">_xlfn.NUMBERVALUE(MID($E$176,5,2))=F177</f>
        <v>#N/A</v>
      </c>
    </row>
    <row r="178" spans="1:7">
      <c r="A178" s="175"/>
      <c r="D178" s="68"/>
      <c r="E178" s="52" t="s">
        <v>488</v>
      </c>
      <c r="F178" s="47">
        <f t="shared" si="0"/>
        <v>13</v>
      </c>
      <c r="G178" s="178" t="b">
        <f t="shared" si="24"/>
        <v>1</v>
      </c>
    </row>
    <row r="179" spans="1:7">
      <c r="A179" s="175"/>
      <c r="D179" s="68"/>
      <c r="E179" s="52" t="s">
        <v>489</v>
      </c>
      <c r="F179" s="47">
        <f t="shared" si="0"/>
        <v>13</v>
      </c>
      <c r="G179" s="178" t="b">
        <f t="shared" si="24"/>
        <v>1</v>
      </c>
    </row>
    <row r="180" spans="1:7">
      <c r="A180" s="175"/>
      <c r="D180" s="68"/>
      <c r="E180" s="52" t="s">
        <v>1010</v>
      </c>
      <c r="F180" s="47">
        <f t="shared" si="0"/>
        <v>13</v>
      </c>
      <c r="G180" s="178" t="b">
        <f>_xlfn.NUMBERVALUE(MID($E$176,5,2))=F180</f>
        <v>1</v>
      </c>
    </row>
    <row r="181" spans="1:7">
      <c r="A181" s="175"/>
      <c r="D181" s="68"/>
      <c r="E181" s="52" t="s">
        <v>1011</v>
      </c>
      <c r="F181" s="47">
        <f t="shared" si="0"/>
        <v>13</v>
      </c>
      <c r="G181" s="178" t="b">
        <f>_xlfn.NUMBERVALUE(MID($E$176,5,2))=F181</f>
        <v>1</v>
      </c>
    </row>
    <row r="182" spans="1:7">
      <c r="A182" s="175"/>
      <c r="D182" s="68"/>
      <c r="E182" s="52" t="s">
        <v>490</v>
      </c>
      <c r="F182" s="47">
        <f t="shared" si="0"/>
        <v>13</v>
      </c>
      <c r="G182" s="178" t="b">
        <f t="shared" si="24"/>
        <v>1</v>
      </c>
    </row>
    <row r="183" spans="1:7">
      <c r="A183" s="175"/>
      <c r="D183" s="68"/>
      <c r="E183" s="52" t="s">
        <v>491</v>
      </c>
      <c r="F183" s="47">
        <f t="shared" si="0"/>
        <v>13</v>
      </c>
      <c r="G183" s="178" t="b">
        <f t="shared" si="24"/>
        <v>1</v>
      </c>
    </row>
    <row r="184" spans="1:7">
      <c r="A184" s="175"/>
      <c r="D184" s="68"/>
      <c r="E184" s="52" t="s">
        <v>492</v>
      </c>
      <c r="F184" s="47">
        <f t="shared" si="0"/>
        <v>13</v>
      </c>
      <c r="G184" s="178" t="b">
        <f t="shared" si="24"/>
        <v>1</v>
      </c>
    </row>
    <row r="185" spans="1:7">
      <c r="A185" s="175"/>
      <c r="D185" s="68"/>
      <c r="E185" s="52" t="s">
        <v>1081</v>
      </c>
      <c r="F185" s="47">
        <f t="shared" ref="F185:F186" si="25">VLOOKUP($E185,Modelpuntoverzicht,37,FALSE)</f>
        <v>13</v>
      </c>
      <c r="G185" s="178" t="b">
        <f>_xlfn.NUMBERVALUE(MID($E$176,5,2))=F185</f>
        <v>1</v>
      </c>
    </row>
    <row r="186" spans="1:7">
      <c r="A186" s="175"/>
      <c r="D186" s="68"/>
      <c r="E186" s="52" t="s">
        <v>1082</v>
      </c>
      <c r="F186" s="47">
        <f t="shared" si="25"/>
        <v>13</v>
      </c>
      <c r="G186" s="178" t="b">
        <f>_xlfn.NUMBERVALUE(MID($E$176,5,2))=F186</f>
        <v>1</v>
      </c>
    </row>
    <row r="187" spans="1:7">
      <c r="A187" s="175"/>
      <c r="D187" s="68"/>
      <c r="E187" s="52" t="s">
        <v>582</v>
      </c>
      <c r="F187" s="47">
        <f t="shared" si="0"/>
        <v>13</v>
      </c>
      <c r="G187" s="178" t="b">
        <f t="shared" si="24"/>
        <v>1</v>
      </c>
    </row>
    <row r="188" spans="1:7">
      <c r="A188" s="175"/>
      <c r="D188" s="68"/>
      <c r="E188" s="52" t="s">
        <v>493</v>
      </c>
      <c r="F188" s="47">
        <f t="shared" si="0"/>
        <v>13</v>
      </c>
      <c r="G188" s="178" t="b">
        <f t="shared" si="24"/>
        <v>1</v>
      </c>
    </row>
    <row r="189" spans="1:7">
      <c r="A189" s="175"/>
      <c r="D189" s="68"/>
      <c r="E189" s="52" t="s">
        <v>494</v>
      </c>
      <c r="F189" s="47">
        <f t="shared" si="0"/>
        <v>13</v>
      </c>
      <c r="G189" s="178" t="b">
        <f t="shared" si="24"/>
        <v>1</v>
      </c>
    </row>
    <row r="190" spans="1:7">
      <c r="A190" s="175"/>
      <c r="D190" s="68"/>
      <c r="E190" s="52" t="s">
        <v>252</v>
      </c>
      <c r="F190" s="47" t="e">
        <f t="shared" si="0"/>
        <v>#N/A</v>
      </c>
      <c r="G190" s="178" t="e">
        <f>_xlfn.NUMBERVALUE(MID($E$190,5,2))=F190</f>
        <v>#N/A</v>
      </c>
    </row>
    <row r="191" spans="1:7">
      <c r="A191" s="175"/>
      <c r="D191" s="68"/>
      <c r="E191" s="52" t="s">
        <v>1008</v>
      </c>
      <c r="F191" s="47" t="e">
        <f t="shared" si="0"/>
        <v>#N/A</v>
      </c>
      <c r="G191" s="178" t="e">
        <f t="shared" ref="G191:G202" si="26">_xlfn.NUMBERVALUE(MID($E$190,5,2))=F191</f>
        <v>#N/A</v>
      </c>
    </row>
    <row r="192" spans="1:7">
      <c r="A192" s="175"/>
      <c r="D192" s="68"/>
      <c r="E192" s="52" t="s">
        <v>478</v>
      </c>
      <c r="F192" s="47">
        <f t="shared" si="0"/>
        <v>14</v>
      </c>
      <c r="G192" s="178" t="b">
        <f t="shared" si="26"/>
        <v>1</v>
      </c>
    </row>
    <row r="193" spans="1:7">
      <c r="A193" s="175"/>
      <c r="D193" s="68"/>
      <c r="E193" s="52" t="s">
        <v>1193</v>
      </c>
      <c r="F193" s="47">
        <f t="shared" ref="F193" si="27">VLOOKUP($E193,Modelpuntoverzicht,37,FALSE)</f>
        <v>14</v>
      </c>
      <c r="G193" s="178" t="b">
        <f>_xlfn.NUMBERVALUE(MID($E$190,5,2))=F193</f>
        <v>1</v>
      </c>
    </row>
    <row r="194" spans="1:7">
      <c r="A194" s="175"/>
      <c r="D194" s="68"/>
      <c r="E194" s="52" t="s">
        <v>479</v>
      </c>
      <c r="F194" s="47">
        <f t="shared" si="0"/>
        <v>14</v>
      </c>
      <c r="G194" s="178" t="b">
        <f t="shared" si="26"/>
        <v>1</v>
      </c>
    </row>
    <row r="195" spans="1:7">
      <c r="A195" s="175"/>
      <c r="D195" s="68"/>
      <c r="E195" s="52" t="s">
        <v>480</v>
      </c>
      <c r="F195" s="47">
        <f t="shared" si="0"/>
        <v>14</v>
      </c>
      <c r="G195" s="178" t="b">
        <f t="shared" si="26"/>
        <v>1</v>
      </c>
    </row>
    <row r="196" spans="1:7">
      <c r="A196" s="175"/>
      <c r="D196" s="68"/>
      <c r="E196" s="52" t="s">
        <v>481</v>
      </c>
      <c r="F196" s="47">
        <f t="shared" si="0"/>
        <v>14</v>
      </c>
      <c r="G196" s="178" t="b">
        <f t="shared" si="26"/>
        <v>1</v>
      </c>
    </row>
    <row r="197" spans="1:7">
      <c r="A197" s="175"/>
      <c r="D197" s="68"/>
      <c r="E197" s="52" t="s">
        <v>482</v>
      </c>
      <c r="F197" s="47">
        <f t="shared" si="0"/>
        <v>14</v>
      </c>
      <c r="G197" s="178" t="b">
        <f t="shared" si="26"/>
        <v>1</v>
      </c>
    </row>
    <row r="198" spans="1:7">
      <c r="A198" s="175"/>
      <c r="D198" s="68"/>
      <c r="E198" s="52" t="s">
        <v>483</v>
      </c>
      <c r="F198" s="47">
        <f t="shared" si="0"/>
        <v>14</v>
      </c>
      <c r="G198" s="178" t="b">
        <f t="shared" si="26"/>
        <v>1</v>
      </c>
    </row>
    <row r="199" spans="1:7">
      <c r="A199" s="175"/>
      <c r="D199" s="68"/>
      <c r="E199" s="52" t="s">
        <v>484</v>
      </c>
      <c r="F199" s="47">
        <f t="shared" si="0"/>
        <v>14</v>
      </c>
      <c r="G199" s="178" t="b">
        <f t="shared" si="26"/>
        <v>1</v>
      </c>
    </row>
    <row r="200" spans="1:7">
      <c r="A200" s="175"/>
      <c r="D200" s="68"/>
      <c r="E200" s="52" t="s">
        <v>485</v>
      </c>
      <c r="F200" s="47">
        <f t="shared" si="0"/>
        <v>14</v>
      </c>
      <c r="G200" s="178" t="b">
        <f t="shared" si="26"/>
        <v>1</v>
      </c>
    </row>
    <row r="201" spans="1:7">
      <c r="A201" s="175"/>
      <c r="D201" s="68"/>
      <c r="E201" s="52" t="s">
        <v>486</v>
      </c>
      <c r="F201" s="47">
        <f t="shared" si="0"/>
        <v>14</v>
      </c>
      <c r="G201" s="178" t="b">
        <f t="shared" si="26"/>
        <v>1</v>
      </c>
    </row>
    <row r="202" spans="1:7">
      <c r="A202" s="175"/>
      <c r="D202" s="68"/>
      <c r="E202" s="52" t="s">
        <v>487</v>
      </c>
      <c r="F202" s="47">
        <f t="shared" si="0"/>
        <v>14</v>
      </c>
      <c r="G202" s="178" t="b">
        <f t="shared" si="26"/>
        <v>1</v>
      </c>
    </row>
    <row r="203" spans="1:7">
      <c r="A203" s="175"/>
      <c r="D203" s="68"/>
      <c r="E203" s="52" t="s">
        <v>253</v>
      </c>
      <c r="F203" s="47" t="e">
        <f t="shared" si="0"/>
        <v>#N/A</v>
      </c>
      <c r="G203" s="178" t="e">
        <f>_xlfn.NUMBERVALUE(MID($E$203,5,2))=F203</f>
        <v>#N/A</v>
      </c>
    </row>
    <row r="204" spans="1:7">
      <c r="A204" s="175"/>
      <c r="D204" s="68"/>
      <c r="E204" s="52" t="s">
        <v>1007</v>
      </c>
      <c r="F204" s="47" t="e">
        <f t="shared" si="0"/>
        <v>#N/A</v>
      </c>
      <c r="G204" s="178" t="e">
        <f t="shared" ref="G204:G210" si="28">_xlfn.NUMBERVALUE(MID($E$203,5,2))=F204</f>
        <v>#N/A</v>
      </c>
    </row>
    <row r="205" spans="1:7">
      <c r="A205" s="175"/>
      <c r="D205" s="68"/>
      <c r="E205" s="52" t="s">
        <v>472</v>
      </c>
      <c r="F205" s="47">
        <f t="shared" si="0"/>
        <v>15</v>
      </c>
      <c r="G205" s="178" t="b">
        <f t="shared" si="28"/>
        <v>1</v>
      </c>
    </row>
    <row r="206" spans="1:7">
      <c r="A206" s="175"/>
      <c r="D206" s="68"/>
      <c r="E206" s="52" t="s">
        <v>473</v>
      </c>
      <c r="F206" s="47">
        <f t="shared" si="0"/>
        <v>15</v>
      </c>
      <c r="G206" s="178" t="b">
        <f t="shared" si="28"/>
        <v>1</v>
      </c>
    </row>
    <row r="207" spans="1:7">
      <c r="A207" s="175"/>
      <c r="D207" s="68"/>
      <c r="E207" s="52" t="s">
        <v>474</v>
      </c>
      <c r="F207" s="47">
        <f t="shared" si="0"/>
        <v>15</v>
      </c>
      <c r="G207" s="178" t="b">
        <f t="shared" si="28"/>
        <v>1</v>
      </c>
    </row>
    <row r="208" spans="1:7">
      <c r="A208" s="175"/>
      <c r="D208" s="68"/>
      <c r="E208" s="52" t="s">
        <v>475</v>
      </c>
      <c r="F208" s="47">
        <f t="shared" si="0"/>
        <v>15</v>
      </c>
      <c r="G208" s="178" t="b">
        <f t="shared" si="28"/>
        <v>1</v>
      </c>
    </row>
    <row r="209" spans="1:7">
      <c r="A209" s="175"/>
      <c r="D209" s="68"/>
      <c r="E209" s="52" t="s">
        <v>476</v>
      </c>
      <c r="F209" s="47">
        <f t="shared" si="0"/>
        <v>15</v>
      </c>
      <c r="G209" s="178" t="b">
        <f t="shared" si="28"/>
        <v>1</v>
      </c>
    </row>
    <row r="210" spans="1:7">
      <c r="A210" s="175"/>
      <c r="D210" s="68"/>
      <c r="E210" s="52" t="s">
        <v>477</v>
      </c>
      <c r="F210" s="47">
        <f t="shared" si="0"/>
        <v>15</v>
      </c>
      <c r="G210" s="178" t="b">
        <f t="shared" si="28"/>
        <v>1</v>
      </c>
    </row>
    <row r="211" spans="1:7">
      <c r="A211" s="175"/>
      <c r="D211" s="68"/>
      <c r="E211" s="52" t="s">
        <v>254</v>
      </c>
      <c r="F211" s="47" t="e">
        <f t="shared" si="0"/>
        <v>#N/A</v>
      </c>
      <c r="G211" s="178" t="e">
        <f>_xlfn.NUMBERVALUE(MID($E$211,5,2))=F211</f>
        <v>#N/A</v>
      </c>
    </row>
    <row r="212" spans="1:7">
      <c r="A212" s="175"/>
      <c r="D212" s="68"/>
      <c r="E212" s="52" t="s">
        <v>1006</v>
      </c>
      <c r="F212" s="47" t="e">
        <f t="shared" si="0"/>
        <v>#N/A</v>
      </c>
      <c r="G212" s="178" t="e">
        <f t="shared" ref="G212:G218" si="29">_xlfn.NUMBERVALUE(MID($E$211,5,2))=F212</f>
        <v>#N/A</v>
      </c>
    </row>
    <row r="213" spans="1:7">
      <c r="A213" s="175"/>
      <c r="D213" s="68"/>
      <c r="E213" s="52" t="s">
        <v>1079</v>
      </c>
      <c r="F213" s="47">
        <f t="shared" ref="F213" si="30">VLOOKUP($E213,Modelpuntoverzicht,37,FALSE)</f>
        <v>16</v>
      </c>
      <c r="G213" s="178" t="b">
        <f>_xlfn.NUMBERVALUE(MID($E$211,5,2))=F213</f>
        <v>1</v>
      </c>
    </row>
    <row r="214" spans="1:7">
      <c r="A214" s="175"/>
      <c r="D214" s="68"/>
      <c r="E214" s="52" t="s">
        <v>468</v>
      </c>
      <c r="F214" s="47">
        <f t="shared" si="0"/>
        <v>16</v>
      </c>
      <c r="G214" s="178" t="b">
        <f t="shared" si="29"/>
        <v>1</v>
      </c>
    </row>
    <row r="215" spans="1:7">
      <c r="A215" s="175"/>
      <c r="D215" s="68"/>
      <c r="E215" s="52" t="s">
        <v>469</v>
      </c>
      <c r="F215" s="47">
        <f t="shared" si="0"/>
        <v>16</v>
      </c>
      <c r="G215" s="178" t="b">
        <f t="shared" si="29"/>
        <v>1</v>
      </c>
    </row>
    <row r="216" spans="1:7">
      <c r="A216" s="175"/>
      <c r="D216" s="68"/>
      <c r="E216" s="52" t="s">
        <v>470</v>
      </c>
      <c r="F216" s="47">
        <f t="shared" si="0"/>
        <v>16</v>
      </c>
      <c r="G216" s="178" t="b">
        <f t="shared" si="29"/>
        <v>1</v>
      </c>
    </row>
    <row r="217" spans="1:7">
      <c r="A217" s="175"/>
      <c r="D217" s="68"/>
      <c r="E217" s="52" t="s">
        <v>1080</v>
      </c>
      <c r="F217" s="47">
        <f t="shared" ref="F217" si="31">VLOOKUP($E217,Modelpuntoverzicht,37,FALSE)</f>
        <v>16</v>
      </c>
      <c r="G217" s="178" t="b">
        <f>_xlfn.NUMBERVALUE(MID($E$211,5,2))=F217</f>
        <v>1</v>
      </c>
    </row>
    <row r="218" spans="1:7">
      <c r="A218" s="175"/>
      <c r="D218" s="68"/>
      <c r="E218" s="52" t="s">
        <v>471</v>
      </c>
      <c r="F218" s="47">
        <f t="shared" si="0"/>
        <v>16</v>
      </c>
      <c r="G218" s="178" t="b">
        <f t="shared" si="29"/>
        <v>1</v>
      </c>
    </row>
    <row r="219" spans="1:7">
      <c r="A219" s="175"/>
      <c r="D219" s="68"/>
      <c r="E219" s="52" t="s">
        <v>255</v>
      </c>
      <c r="F219" s="47" t="e">
        <f t="shared" si="0"/>
        <v>#N/A</v>
      </c>
      <c r="G219" s="178" t="e">
        <f>_xlfn.NUMBERVALUE(MID($E$219,5,2))=F219</f>
        <v>#N/A</v>
      </c>
    </row>
    <row r="220" spans="1:7">
      <c r="A220" s="175"/>
      <c r="D220" s="68"/>
      <c r="E220" s="52" t="s">
        <v>418</v>
      </c>
      <c r="F220" s="47">
        <f t="shared" si="0"/>
        <v>17</v>
      </c>
      <c r="G220" s="178" t="b">
        <f t="shared" ref="G220:G270" si="32">_xlfn.NUMBERVALUE(MID($E$219,5,2))=F220</f>
        <v>1</v>
      </c>
    </row>
    <row r="221" spans="1:7">
      <c r="A221" s="175"/>
      <c r="D221" s="68"/>
      <c r="E221" s="52" t="s">
        <v>419</v>
      </c>
      <c r="F221" s="47">
        <f t="shared" si="0"/>
        <v>17</v>
      </c>
      <c r="G221" s="178" t="b">
        <f t="shared" si="32"/>
        <v>1</v>
      </c>
    </row>
    <row r="222" spans="1:7">
      <c r="A222" s="175"/>
      <c r="D222" s="68"/>
      <c r="E222" s="52" t="s">
        <v>420</v>
      </c>
      <c r="F222" s="47">
        <f t="shared" si="0"/>
        <v>17</v>
      </c>
      <c r="G222" s="178" t="b">
        <f t="shared" si="32"/>
        <v>1</v>
      </c>
    </row>
    <row r="223" spans="1:7">
      <c r="A223" s="175"/>
      <c r="D223" s="68"/>
      <c r="E223" s="52" t="s">
        <v>421</v>
      </c>
      <c r="F223" s="47">
        <f t="shared" si="0"/>
        <v>17</v>
      </c>
      <c r="G223" s="178" t="b">
        <f t="shared" si="32"/>
        <v>1</v>
      </c>
    </row>
    <row r="224" spans="1:7">
      <c r="A224" s="175"/>
      <c r="D224" s="68"/>
      <c r="E224" s="52" t="s">
        <v>422</v>
      </c>
      <c r="F224" s="47">
        <f t="shared" si="0"/>
        <v>17</v>
      </c>
      <c r="G224" s="178" t="b">
        <f t="shared" si="32"/>
        <v>1</v>
      </c>
    </row>
    <row r="225" spans="1:7">
      <c r="A225" s="175"/>
      <c r="D225" s="68"/>
      <c r="E225" s="52" t="s">
        <v>423</v>
      </c>
      <c r="F225" s="47">
        <f t="shared" si="0"/>
        <v>17</v>
      </c>
      <c r="G225" s="178" t="b">
        <f t="shared" si="32"/>
        <v>1</v>
      </c>
    </row>
    <row r="226" spans="1:7">
      <c r="A226" s="175"/>
      <c r="D226" s="68"/>
      <c r="E226" s="52" t="s">
        <v>424</v>
      </c>
      <c r="F226" s="47">
        <f t="shared" si="0"/>
        <v>17</v>
      </c>
      <c r="G226" s="178" t="b">
        <f t="shared" si="32"/>
        <v>1</v>
      </c>
    </row>
    <row r="227" spans="1:7">
      <c r="A227" s="175"/>
      <c r="D227" s="68"/>
      <c r="E227" s="52" t="s">
        <v>425</v>
      </c>
      <c r="F227" s="47">
        <f t="shared" si="0"/>
        <v>17</v>
      </c>
      <c r="G227" s="178" t="b">
        <f t="shared" si="32"/>
        <v>1</v>
      </c>
    </row>
    <row r="228" spans="1:7">
      <c r="A228" s="175"/>
      <c r="D228" s="68"/>
      <c r="E228" s="52" t="s">
        <v>426</v>
      </c>
      <c r="F228" s="47">
        <f t="shared" si="0"/>
        <v>17</v>
      </c>
      <c r="G228" s="178" t="b">
        <f t="shared" si="32"/>
        <v>1</v>
      </c>
    </row>
    <row r="229" spans="1:7">
      <c r="A229" s="175"/>
      <c r="D229" s="68"/>
      <c r="E229" s="52" t="s">
        <v>427</v>
      </c>
      <c r="F229" s="47">
        <f t="shared" si="0"/>
        <v>17</v>
      </c>
      <c r="G229" s="178" t="b">
        <f t="shared" si="32"/>
        <v>1</v>
      </c>
    </row>
    <row r="230" spans="1:7">
      <c r="A230" s="175"/>
      <c r="D230" s="68"/>
      <c r="E230" s="52" t="s">
        <v>428</v>
      </c>
      <c r="F230" s="47">
        <f t="shared" si="0"/>
        <v>17</v>
      </c>
      <c r="G230" s="178" t="b">
        <f t="shared" si="32"/>
        <v>1</v>
      </c>
    </row>
    <row r="231" spans="1:7">
      <c r="A231" s="175"/>
      <c r="D231" s="68"/>
      <c r="E231" s="52" t="s">
        <v>429</v>
      </c>
      <c r="F231" s="47">
        <f t="shared" si="0"/>
        <v>17</v>
      </c>
      <c r="G231" s="178" t="b">
        <f t="shared" si="32"/>
        <v>1</v>
      </c>
    </row>
    <row r="232" spans="1:7">
      <c r="A232" s="175"/>
      <c r="D232" s="68"/>
      <c r="E232" s="52" t="s">
        <v>430</v>
      </c>
      <c r="F232" s="47">
        <f t="shared" si="0"/>
        <v>17</v>
      </c>
      <c r="G232" s="178" t="b">
        <f t="shared" si="32"/>
        <v>1</v>
      </c>
    </row>
    <row r="233" spans="1:7">
      <c r="A233" s="175"/>
      <c r="D233" s="68"/>
      <c r="E233" s="52" t="s">
        <v>431</v>
      </c>
      <c r="F233" s="47">
        <f t="shared" si="0"/>
        <v>17</v>
      </c>
      <c r="G233" s="178" t="b">
        <f t="shared" si="32"/>
        <v>1</v>
      </c>
    </row>
    <row r="234" spans="1:7">
      <c r="A234" s="175"/>
      <c r="D234" s="68"/>
      <c r="E234" s="52" t="s">
        <v>432</v>
      </c>
      <c r="F234" s="47">
        <f t="shared" si="0"/>
        <v>17</v>
      </c>
      <c r="G234" s="178" t="b">
        <f t="shared" si="32"/>
        <v>1</v>
      </c>
    </row>
    <row r="235" spans="1:7">
      <c r="A235" s="175"/>
      <c r="D235" s="68"/>
      <c r="E235" s="52" t="s">
        <v>433</v>
      </c>
      <c r="F235" s="47">
        <f t="shared" si="0"/>
        <v>17</v>
      </c>
      <c r="G235" s="178" t="b">
        <f t="shared" si="32"/>
        <v>1</v>
      </c>
    </row>
    <row r="236" spans="1:7">
      <c r="A236" s="175"/>
      <c r="D236" s="68"/>
      <c r="E236" s="52" t="s">
        <v>434</v>
      </c>
      <c r="F236" s="47">
        <f t="shared" si="0"/>
        <v>17</v>
      </c>
      <c r="G236" s="178" t="b">
        <f t="shared" si="32"/>
        <v>1</v>
      </c>
    </row>
    <row r="237" spans="1:7">
      <c r="A237" s="175"/>
      <c r="D237" s="68"/>
      <c r="E237" s="52" t="s">
        <v>435</v>
      </c>
      <c r="F237" s="47">
        <f t="shared" si="0"/>
        <v>17</v>
      </c>
      <c r="G237" s="178" t="b">
        <f t="shared" si="32"/>
        <v>1</v>
      </c>
    </row>
    <row r="238" spans="1:7">
      <c r="A238" s="175"/>
      <c r="D238" s="68"/>
      <c r="E238" s="52" t="s">
        <v>436</v>
      </c>
      <c r="F238" s="47">
        <f t="shared" si="0"/>
        <v>17</v>
      </c>
      <c r="G238" s="178" t="b">
        <f t="shared" si="32"/>
        <v>1</v>
      </c>
    </row>
    <row r="239" spans="1:7">
      <c r="A239" s="175"/>
      <c r="D239" s="68"/>
      <c r="E239" s="52" t="s">
        <v>437</v>
      </c>
      <c r="F239" s="47">
        <f t="shared" si="0"/>
        <v>17</v>
      </c>
      <c r="G239" s="178" t="b">
        <f t="shared" si="32"/>
        <v>1</v>
      </c>
    </row>
    <row r="240" spans="1:7">
      <c r="A240" s="175"/>
      <c r="D240" s="68"/>
      <c r="E240" s="52" t="s">
        <v>438</v>
      </c>
      <c r="F240" s="47">
        <f t="shared" si="0"/>
        <v>17</v>
      </c>
      <c r="G240" s="178" t="b">
        <f t="shared" si="32"/>
        <v>1</v>
      </c>
    </row>
    <row r="241" spans="1:7">
      <c r="A241" s="175"/>
      <c r="D241" s="68"/>
      <c r="E241" s="52" t="s">
        <v>439</v>
      </c>
      <c r="F241" s="47">
        <f t="shared" si="0"/>
        <v>17</v>
      </c>
      <c r="G241" s="178" t="b">
        <f t="shared" si="32"/>
        <v>1</v>
      </c>
    </row>
    <row r="242" spans="1:7">
      <c r="A242" s="175"/>
      <c r="D242" s="68"/>
      <c r="E242" s="52" t="s">
        <v>440</v>
      </c>
      <c r="F242" s="47">
        <f t="shared" si="0"/>
        <v>17</v>
      </c>
      <c r="G242" s="178" t="b">
        <f t="shared" si="32"/>
        <v>1</v>
      </c>
    </row>
    <row r="243" spans="1:7">
      <c r="A243" s="175"/>
      <c r="D243" s="68"/>
      <c r="E243" s="52" t="s">
        <v>441</v>
      </c>
      <c r="F243" s="47">
        <f t="shared" si="0"/>
        <v>17</v>
      </c>
      <c r="G243" s="178" t="b">
        <f t="shared" si="32"/>
        <v>1</v>
      </c>
    </row>
    <row r="244" spans="1:7">
      <c r="A244" s="175"/>
      <c r="D244" s="68"/>
      <c r="E244" s="52" t="s">
        <v>442</v>
      </c>
      <c r="F244" s="47">
        <f t="shared" si="0"/>
        <v>17</v>
      </c>
      <c r="G244" s="178" t="b">
        <f t="shared" si="32"/>
        <v>1</v>
      </c>
    </row>
    <row r="245" spans="1:7">
      <c r="A245" s="175"/>
      <c r="D245" s="68"/>
      <c r="E245" s="52" t="s">
        <v>443</v>
      </c>
      <c r="F245" s="47">
        <f t="shared" si="0"/>
        <v>17</v>
      </c>
      <c r="G245" s="178" t="b">
        <f t="shared" si="32"/>
        <v>1</v>
      </c>
    </row>
    <row r="246" spans="1:7">
      <c r="A246" s="175"/>
      <c r="D246" s="68"/>
      <c r="E246" s="52" t="s">
        <v>445</v>
      </c>
      <c r="F246" s="47">
        <f t="shared" si="0"/>
        <v>17</v>
      </c>
      <c r="G246" s="178" t="b">
        <f t="shared" si="32"/>
        <v>1</v>
      </c>
    </row>
    <row r="247" spans="1:7">
      <c r="A247" s="175"/>
      <c r="D247" s="68"/>
      <c r="E247" s="52" t="s">
        <v>446</v>
      </c>
      <c r="F247" s="47">
        <f t="shared" si="0"/>
        <v>17</v>
      </c>
      <c r="G247" s="178" t="b">
        <f t="shared" si="32"/>
        <v>1</v>
      </c>
    </row>
    <row r="248" spans="1:7">
      <c r="A248" s="175"/>
      <c r="D248" s="68"/>
      <c r="E248" s="52" t="s">
        <v>447</v>
      </c>
      <c r="F248" s="47">
        <f t="shared" si="0"/>
        <v>17</v>
      </c>
      <c r="G248" s="178" t="b">
        <f t="shared" si="32"/>
        <v>1</v>
      </c>
    </row>
    <row r="249" spans="1:7">
      <c r="A249" s="175"/>
      <c r="D249" s="68"/>
      <c r="E249" s="52" t="s">
        <v>448</v>
      </c>
      <c r="F249" s="47">
        <f t="shared" si="0"/>
        <v>17</v>
      </c>
      <c r="G249" s="178" t="b">
        <f t="shared" si="32"/>
        <v>1</v>
      </c>
    </row>
    <row r="250" spans="1:7">
      <c r="A250" s="175"/>
      <c r="D250" s="68"/>
      <c r="E250" s="52" t="s">
        <v>449</v>
      </c>
      <c r="F250" s="47">
        <f t="shared" si="0"/>
        <v>17</v>
      </c>
      <c r="G250" s="178" t="b">
        <f t="shared" si="32"/>
        <v>1</v>
      </c>
    </row>
    <row r="251" spans="1:7">
      <c r="A251" s="175"/>
      <c r="D251" s="68"/>
      <c r="E251" s="52" t="s">
        <v>450</v>
      </c>
      <c r="F251" s="47">
        <f t="shared" si="0"/>
        <v>17</v>
      </c>
      <c r="G251" s="178" t="b">
        <f t="shared" si="32"/>
        <v>1</v>
      </c>
    </row>
    <row r="252" spans="1:7">
      <c r="A252" s="175"/>
      <c r="D252" s="68"/>
      <c r="E252" s="52" t="s">
        <v>451</v>
      </c>
      <c r="F252" s="47">
        <f t="shared" si="0"/>
        <v>17</v>
      </c>
      <c r="G252" s="178" t="b">
        <f t="shared" si="32"/>
        <v>1</v>
      </c>
    </row>
    <row r="253" spans="1:7">
      <c r="A253" s="175"/>
      <c r="D253" s="68"/>
      <c r="E253" s="52" t="s">
        <v>452</v>
      </c>
      <c r="F253" s="47">
        <f t="shared" si="0"/>
        <v>17</v>
      </c>
      <c r="G253" s="178" t="b">
        <f t="shared" si="32"/>
        <v>1</v>
      </c>
    </row>
    <row r="254" spans="1:7">
      <c r="A254" s="175"/>
      <c r="D254" s="68"/>
      <c r="E254" s="52" t="s">
        <v>453</v>
      </c>
      <c r="F254" s="47">
        <f t="shared" si="0"/>
        <v>17</v>
      </c>
      <c r="G254" s="178" t="b">
        <f t="shared" si="32"/>
        <v>1</v>
      </c>
    </row>
    <row r="255" spans="1:7">
      <c r="A255" s="175"/>
      <c r="D255" s="68"/>
      <c r="E255" s="52" t="s">
        <v>454</v>
      </c>
      <c r="F255" s="47">
        <f t="shared" si="0"/>
        <v>17</v>
      </c>
      <c r="G255" s="178" t="b">
        <f t="shared" si="32"/>
        <v>1</v>
      </c>
    </row>
    <row r="256" spans="1:7">
      <c r="A256" s="175"/>
      <c r="D256" s="68"/>
      <c r="E256" s="52" t="s">
        <v>455</v>
      </c>
      <c r="F256" s="47">
        <f t="shared" si="0"/>
        <v>17</v>
      </c>
      <c r="G256" s="178" t="b">
        <f t="shared" si="32"/>
        <v>1</v>
      </c>
    </row>
    <row r="257" spans="1:7">
      <c r="A257" s="175"/>
      <c r="D257" s="68"/>
      <c r="E257" s="52" t="s">
        <v>456</v>
      </c>
      <c r="F257" s="47">
        <f t="shared" si="0"/>
        <v>17</v>
      </c>
      <c r="G257" s="178" t="b">
        <f t="shared" si="32"/>
        <v>1</v>
      </c>
    </row>
    <row r="258" spans="1:7">
      <c r="A258" s="175"/>
      <c r="D258" s="68"/>
      <c r="E258" s="52" t="s">
        <v>457</v>
      </c>
      <c r="F258" s="47">
        <f t="shared" si="0"/>
        <v>17</v>
      </c>
      <c r="G258" s="178" t="b">
        <f t="shared" si="32"/>
        <v>1</v>
      </c>
    </row>
    <row r="259" spans="1:7">
      <c r="A259" s="175"/>
      <c r="D259" s="68"/>
      <c r="E259" s="52" t="s">
        <v>1004</v>
      </c>
      <c r="F259" s="47" t="e">
        <f t="shared" si="0"/>
        <v>#N/A</v>
      </c>
      <c r="G259" s="178" t="e">
        <f>_xlfn.NUMBERVALUE(MID($E$219,5,2))=F259</f>
        <v>#N/A</v>
      </c>
    </row>
    <row r="260" spans="1:7">
      <c r="A260" s="175"/>
      <c r="D260" s="68"/>
      <c r="E260" s="52" t="s">
        <v>458</v>
      </c>
      <c r="F260" s="47" t="e">
        <f t="shared" si="0"/>
        <v>#N/A</v>
      </c>
      <c r="G260" s="178" t="e">
        <f t="shared" si="32"/>
        <v>#N/A</v>
      </c>
    </row>
    <row r="261" spans="1:7">
      <c r="A261" s="175"/>
      <c r="D261" s="68"/>
      <c r="E261" s="52" t="s">
        <v>459</v>
      </c>
      <c r="F261" s="47" t="e">
        <f t="shared" si="0"/>
        <v>#N/A</v>
      </c>
      <c r="G261" s="178" t="e">
        <f t="shared" si="32"/>
        <v>#N/A</v>
      </c>
    </row>
    <row r="262" spans="1:7">
      <c r="A262" s="175"/>
      <c r="D262" s="68"/>
      <c r="E262" s="52" t="s">
        <v>460</v>
      </c>
      <c r="F262" s="47" t="e">
        <f t="shared" si="0"/>
        <v>#N/A</v>
      </c>
      <c r="G262" s="178" t="e">
        <f t="shared" si="32"/>
        <v>#N/A</v>
      </c>
    </row>
    <row r="263" spans="1:7">
      <c r="A263" s="175"/>
      <c r="D263" s="68"/>
      <c r="E263" s="52" t="s">
        <v>461</v>
      </c>
      <c r="F263" s="47" t="e">
        <f t="shared" si="0"/>
        <v>#N/A</v>
      </c>
      <c r="G263" s="178" t="e">
        <f t="shared" si="32"/>
        <v>#N/A</v>
      </c>
    </row>
    <row r="264" spans="1:7">
      <c r="A264" s="175"/>
      <c r="D264" s="68"/>
      <c r="E264" s="52" t="s">
        <v>462</v>
      </c>
      <c r="F264" s="47" t="e">
        <f t="shared" si="0"/>
        <v>#N/A</v>
      </c>
      <c r="G264" s="178" t="e">
        <f t="shared" si="32"/>
        <v>#N/A</v>
      </c>
    </row>
    <row r="265" spans="1:7">
      <c r="A265" s="175"/>
      <c r="D265" s="68"/>
      <c r="E265" s="52" t="s">
        <v>463</v>
      </c>
      <c r="F265" s="47" t="e">
        <f t="shared" si="0"/>
        <v>#N/A</v>
      </c>
      <c r="G265" s="178" t="e">
        <f t="shared" si="32"/>
        <v>#N/A</v>
      </c>
    </row>
    <row r="266" spans="1:7">
      <c r="A266" s="175"/>
      <c r="D266" s="68"/>
      <c r="E266" s="52" t="s">
        <v>464</v>
      </c>
      <c r="F266" s="47" t="e">
        <f t="shared" si="0"/>
        <v>#N/A</v>
      </c>
      <c r="G266" s="178" t="e">
        <f t="shared" si="32"/>
        <v>#N/A</v>
      </c>
    </row>
    <row r="267" spans="1:7">
      <c r="A267" s="175"/>
      <c r="D267" s="68"/>
      <c r="E267" s="52" t="s">
        <v>465</v>
      </c>
      <c r="F267" s="47" t="e">
        <f t="shared" si="0"/>
        <v>#N/A</v>
      </c>
      <c r="G267" s="178" t="e">
        <f t="shared" si="32"/>
        <v>#N/A</v>
      </c>
    </row>
    <row r="268" spans="1:7">
      <c r="A268" s="175"/>
      <c r="D268" s="68"/>
      <c r="E268" s="52" t="s">
        <v>466</v>
      </c>
      <c r="F268" s="47" t="e">
        <f t="shared" si="0"/>
        <v>#N/A</v>
      </c>
      <c r="G268" s="178" t="e">
        <f t="shared" si="32"/>
        <v>#N/A</v>
      </c>
    </row>
    <row r="269" spans="1:7">
      <c r="A269" s="175"/>
      <c r="D269" s="68"/>
      <c r="E269" s="52" t="s">
        <v>1005</v>
      </c>
      <c r="F269" s="47" t="e">
        <f t="shared" si="0"/>
        <v>#N/A</v>
      </c>
      <c r="G269" s="178" t="e">
        <f t="shared" si="32"/>
        <v>#N/A</v>
      </c>
    </row>
    <row r="270" spans="1:7">
      <c r="A270" s="175"/>
      <c r="D270" s="68"/>
      <c r="E270" s="52" t="s">
        <v>467</v>
      </c>
      <c r="F270" s="47" t="e">
        <f t="shared" si="0"/>
        <v>#N/A</v>
      </c>
      <c r="G270" s="178" t="e">
        <f t="shared" si="32"/>
        <v>#N/A</v>
      </c>
    </row>
    <row r="271" spans="1:7">
      <c r="A271" s="175"/>
      <c r="D271" s="68"/>
      <c r="E271" s="52" t="s">
        <v>256</v>
      </c>
      <c r="F271" s="47" t="e">
        <f t="shared" si="0"/>
        <v>#N/A</v>
      </c>
      <c r="G271" s="178" t="e">
        <f>_xlfn.NUMBERVALUE(MID($E$271,5,2))=F271</f>
        <v>#N/A</v>
      </c>
    </row>
    <row r="272" spans="1:7">
      <c r="A272" s="175"/>
      <c r="D272" s="68"/>
      <c r="E272" s="52" t="s">
        <v>444</v>
      </c>
      <c r="F272" s="47">
        <f t="shared" si="0"/>
        <v>18</v>
      </c>
      <c r="G272" s="178" t="b">
        <f t="shared" ref="G272:G276" si="33">_xlfn.NUMBERVALUE(MID($E$271,5,2))=F272</f>
        <v>1</v>
      </c>
    </row>
    <row r="273" spans="1:7">
      <c r="A273" s="175"/>
      <c r="D273" s="68"/>
      <c r="E273" s="52" t="s">
        <v>1070</v>
      </c>
      <c r="F273" s="47">
        <f t="shared" ref="F273" si="34">VLOOKUP($E273,Modelpuntoverzicht,37,FALSE)</f>
        <v>18</v>
      </c>
      <c r="G273" s="178" t="b">
        <f>_xlfn.NUMBERVALUE(MID($E$271,5,2))=F273</f>
        <v>1</v>
      </c>
    </row>
    <row r="274" spans="1:7">
      <c r="A274" s="175"/>
      <c r="D274" s="68"/>
      <c r="E274" s="52" t="s">
        <v>1003</v>
      </c>
      <c r="F274" s="47" t="e">
        <f t="shared" si="0"/>
        <v>#N/A</v>
      </c>
      <c r="G274" s="178" t="e">
        <f t="shared" si="33"/>
        <v>#N/A</v>
      </c>
    </row>
    <row r="275" spans="1:7">
      <c r="A275" s="175"/>
      <c r="D275" s="68"/>
      <c r="E275" s="52" t="s">
        <v>416</v>
      </c>
      <c r="F275" s="47">
        <f t="shared" si="0"/>
        <v>18</v>
      </c>
      <c r="G275" s="178" t="b">
        <f t="shared" si="33"/>
        <v>1</v>
      </c>
    </row>
    <row r="276" spans="1:7">
      <c r="A276" s="175"/>
      <c r="D276" s="68"/>
      <c r="E276" s="52" t="s">
        <v>417</v>
      </c>
      <c r="F276" s="47" t="e">
        <f t="shared" si="0"/>
        <v>#N/A</v>
      </c>
      <c r="G276" s="178" t="e">
        <f t="shared" si="33"/>
        <v>#N/A</v>
      </c>
    </row>
    <row r="277" spans="1:7">
      <c r="A277" s="175"/>
      <c r="D277" s="68"/>
      <c r="E277" s="52" t="s">
        <v>257</v>
      </c>
      <c r="F277" s="47" t="e">
        <f t="shared" si="0"/>
        <v>#N/A</v>
      </c>
      <c r="G277" s="178" t="e">
        <f>_xlfn.NUMBERVALUE(MID($E$277,5,2))=F277</f>
        <v>#N/A</v>
      </c>
    </row>
    <row r="278" spans="1:7">
      <c r="A278" s="175"/>
      <c r="D278" s="68"/>
      <c r="E278" s="52" t="s">
        <v>354</v>
      </c>
      <c r="F278" s="47">
        <f t="shared" si="0"/>
        <v>19</v>
      </c>
      <c r="G278" s="178" t="b">
        <f t="shared" ref="G278:G341" si="35">_xlfn.NUMBERVALUE(MID($E$277,5,2))=F278</f>
        <v>1</v>
      </c>
    </row>
    <row r="279" spans="1:7">
      <c r="A279" s="175"/>
      <c r="D279" s="68"/>
      <c r="E279" s="52" t="s">
        <v>355</v>
      </c>
      <c r="F279" s="47">
        <f t="shared" si="0"/>
        <v>19</v>
      </c>
      <c r="G279" s="178" t="b">
        <f t="shared" si="35"/>
        <v>1</v>
      </c>
    </row>
    <row r="280" spans="1:7">
      <c r="A280" s="175"/>
      <c r="D280" s="68"/>
      <c r="E280" s="52" t="s">
        <v>356</v>
      </c>
      <c r="F280" s="47">
        <f t="shared" si="0"/>
        <v>19</v>
      </c>
      <c r="G280" s="178" t="b">
        <f t="shared" si="35"/>
        <v>1</v>
      </c>
    </row>
    <row r="281" spans="1:7">
      <c r="A281" s="175"/>
      <c r="D281" s="68"/>
      <c r="E281" s="52" t="s">
        <v>357</v>
      </c>
      <c r="F281" s="47">
        <f t="shared" si="0"/>
        <v>19</v>
      </c>
      <c r="G281" s="178" t="b">
        <f t="shared" si="35"/>
        <v>1</v>
      </c>
    </row>
    <row r="282" spans="1:7">
      <c r="A282" s="175"/>
      <c r="D282" s="68"/>
      <c r="E282" s="52" t="s">
        <v>358</v>
      </c>
      <c r="F282" s="47">
        <f t="shared" si="0"/>
        <v>19</v>
      </c>
      <c r="G282" s="178" t="b">
        <f t="shared" si="35"/>
        <v>1</v>
      </c>
    </row>
    <row r="283" spans="1:7">
      <c r="A283" s="175"/>
      <c r="D283" s="68"/>
      <c r="E283" s="52" t="s">
        <v>359</v>
      </c>
      <c r="F283" s="47">
        <f t="shared" si="0"/>
        <v>19</v>
      </c>
      <c r="G283" s="178" t="b">
        <f t="shared" si="35"/>
        <v>1</v>
      </c>
    </row>
    <row r="284" spans="1:7">
      <c r="A284" s="175"/>
      <c r="D284" s="68"/>
      <c r="E284" s="52" t="s">
        <v>360</v>
      </c>
      <c r="F284" s="47">
        <f t="shared" si="0"/>
        <v>19</v>
      </c>
      <c r="G284" s="178" t="b">
        <f t="shared" si="35"/>
        <v>1</v>
      </c>
    </row>
    <row r="285" spans="1:7">
      <c r="A285" s="175"/>
      <c r="D285" s="68"/>
      <c r="E285" s="52" t="s">
        <v>1001</v>
      </c>
      <c r="F285" s="47" t="e">
        <f t="shared" si="0"/>
        <v>#N/A</v>
      </c>
      <c r="G285" s="178" t="e">
        <f t="shared" si="35"/>
        <v>#N/A</v>
      </c>
    </row>
    <row r="286" spans="1:7">
      <c r="A286" s="175"/>
      <c r="D286" s="68"/>
      <c r="E286" s="52" t="s">
        <v>361</v>
      </c>
      <c r="F286" s="47">
        <f t="shared" si="0"/>
        <v>19</v>
      </c>
      <c r="G286" s="178" t="b">
        <f t="shared" si="35"/>
        <v>1</v>
      </c>
    </row>
    <row r="287" spans="1:7">
      <c r="A287" s="175"/>
      <c r="D287" s="68"/>
      <c r="E287" s="52" t="s">
        <v>362</v>
      </c>
      <c r="F287" s="47" t="e">
        <f t="shared" si="0"/>
        <v>#N/A</v>
      </c>
      <c r="G287" s="178" t="e">
        <f t="shared" si="35"/>
        <v>#N/A</v>
      </c>
    </row>
    <row r="288" spans="1:7">
      <c r="A288" s="175"/>
      <c r="D288" s="68"/>
      <c r="E288" s="52" t="s">
        <v>363</v>
      </c>
      <c r="F288" s="47" t="e">
        <f t="shared" si="0"/>
        <v>#N/A</v>
      </c>
      <c r="G288" s="178" t="e">
        <f t="shared" si="35"/>
        <v>#N/A</v>
      </c>
    </row>
    <row r="289" spans="1:7">
      <c r="A289" s="175"/>
      <c r="D289" s="68"/>
      <c r="E289" s="52" t="s">
        <v>364</v>
      </c>
      <c r="F289" s="47" t="e">
        <f t="shared" si="0"/>
        <v>#N/A</v>
      </c>
      <c r="G289" s="178" t="e">
        <f t="shared" si="35"/>
        <v>#N/A</v>
      </c>
    </row>
    <row r="290" spans="1:7">
      <c r="A290" s="175"/>
      <c r="D290" s="68"/>
      <c r="E290" s="52" t="s">
        <v>365</v>
      </c>
      <c r="F290" s="47">
        <f t="shared" si="0"/>
        <v>19</v>
      </c>
      <c r="G290" s="178" t="b">
        <f t="shared" si="35"/>
        <v>1</v>
      </c>
    </row>
    <row r="291" spans="1:7">
      <c r="A291" s="175"/>
      <c r="D291" s="68"/>
      <c r="E291" s="52" t="s">
        <v>366</v>
      </c>
      <c r="F291" s="47" t="e">
        <f t="shared" si="0"/>
        <v>#N/A</v>
      </c>
      <c r="G291" s="178" t="e">
        <f t="shared" si="35"/>
        <v>#N/A</v>
      </c>
    </row>
    <row r="292" spans="1:7">
      <c r="A292" s="175"/>
      <c r="D292" s="68"/>
      <c r="E292" s="52" t="s">
        <v>367</v>
      </c>
      <c r="F292" s="47" t="e">
        <f t="shared" si="0"/>
        <v>#N/A</v>
      </c>
      <c r="G292" s="178" t="e">
        <f t="shared" si="35"/>
        <v>#N/A</v>
      </c>
    </row>
    <row r="293" spans="1:7">
      <c r="A293" s="175"/>
      <c r="D293" s="68"/>
      <c r="E293" s="52" t="s">
        <v>368</v>
      </c>
      <c r="F293" s="47" t="e">
        <f t="shared" si="0"/>
        <v>#N/A</v>
      </c>
      <c r="G293" s="178" t="e">
        <f t="shared" si="35"/>
        <v>#N/A</v>
      </c>
    </row>
    <row r="294" spans="1:7">
      <c r="A294" s="175"/>
      <c r="D294" s="68"/>
      <c r="E294" s="52" t="s">
        <v>1002</v>
      </c>
      <c r="F294" s="47" t="e">
        <f t="shared" si="0"/>
        <v>#N/A</v>
      </c>
      <c r="G294" s="178" t="e">
        <f>_xlfn.NUMBERVALUE(MID($E$277,5,2))=F294</f>
        <v>#N/A</v>
      </c>
    </row>
    <row r="295" spans="1:7">
      <c r="A295" s="175"/>
      <c r="D295" s="68"/>
      <c r="E295" s="52" t="s">
        <v>369</v>
      </c>
      <c r="F295" s="47" t="e">
        <f t="shared" si="0"/>
        <v>#N/A</v>
      </c>
      <c r="G295" s="178" t="e">
        <f t="shared" si="35"/>
        <v>#N/A</v>
      </c>
    </row>
    <row r="296" spans="1:7">
      <c r="A296" s="175"/>
      <c r="D296" s="68"/>
      <c r="E296" s="52" t="s">
        <v>370</v>
      </c>
      <c r="F296" s="47" t="e">
        <f t="shared" si="0"/>
        <v>#N/A</v>
      </c>
      <c r="G296" s="178" t="e">
        <f t="shared" si="35"/>
        <v>#N/A</v>
      </c>
    </row>
    <row r="297" spans="1:7">
      <c r="A297" s="175"/>
      <c r="D297" s="68"/>
      <c r="E297" s="52" t="s">
        <v>371</v>
      </c>
      <c r="F297" s="47" t="e">
        <f t="shared" si="0"/>
        <v>#N/A</v>
      </c>
      <c r="G297" s="178" t="e">
        <f t="shared" si="35"/>
        <v>#N/A</v>
      </c>
    </row>
    <row r="298" spans="1:7">
      <c r="A298" s="175"/>
      <c r="D298" s="68"/>
      <c r="E298" s="52" t="s">
        <v>372</v>
      </c>
      <c r="F298" s="47" t="e">
        <f t="shared" si="0"/>
        <v>#N/A</v>
      </c>
      <c r="G298" s="178" t="e">
        <f t="shared" si="35"/>
        <v>#N/A</v>
      </c>
    </row>
    <row r="299" spans="1:7">
      <c r="A299" s="175"/>
      <c r="D299" s="68"/>
      <c r="E299" s="52" t="s">
        <v>373</v>
      </c>
      <c r="F299" s="47" t="e">
        <f t="shared" si="0"/>
        <v>#N/A</v>
      </c>
      <c r="G299" s="178" t="e">
        <f t="shared" si="35"/>
        <v>#N/A</v>
      </c>
    </row>
    <row r="300" spans="1:7">
      <c r="A300" s="175"/>
      <c r="D300" s="68"/>
      <c r="E300" s="52" t="s">
        <v>374</v>
      </c>
      <c r="F300" s="47" t="e">
        <f t="shared" si="0"/>
        <v>#N/A</v>
      </c>
      <c r="G300" s="178" t="e">
        <f t="shared" si="35"/>
        <v>#N/A</v>
      </c>
    </row>
    <row r="301" spans="1:7">
      <c r="A301" s="175"/>
      <c r="D301" s="68"/>
      <c r="E301" s="52" t="s">
        <v>375</v>
      </c>
      <c r="F301" s="47" t="e">
        <f t="shared" si="0"/>
        <v>#N/A</v>
      </c>
      <c r="G301" s="178" t="e">
        <f t="shared" si="35"/>
        <v>#N/A</v>
      </c>
    </row>
    <row r="302" spans="1:7">
      <c r="A302" s="175"/>
      <c r="D302" s="68"/>
      <c r="E302" s="52" t="s">
        <v>376</v>
      </c>
      <c r="F302" s="47">
        <f t="shared" si="0"/>
        <v>19</v>
      </c>
      <c r="G302" s="178" t="b">
        <f t="shared" si="35"/>
        <v>1</v>
      </c>
    </row>
    <row r="303" spans="1:7">
      <c r="A303" s="175"/>
      <c r="D303" s="68"/>
      <c r="E303" s="52" t="s">
        <v>377</v>
      </c>
      <c r="F303" s="47" t="e">
        <f t="shared" si="0"/>
        <v>#N/A</v>
      </c>
      <c r="G303" s="178" t="e">
        <f t="shared" si="35"/>
        <v>#N/A</v>
      </c>
    </row>
    <row r="304" spans="1:7">
      <c r="A304" s="175"/>
      <c r="D304" s="68"/>
      <c r="E304" s="52" t="s">
        <v>378</v>
      </c>
      <c r="F304" s="47" t="e">
        <f t="shared" si="0"/>
        <v>#N/A</v>
      </c>
      <c r="G304" s="178" t="e">
        <f t="shared" si="35"/>
        <v>#N/A</v>
      </c>
    </row>
    <row r="305" spans="1:7">
      <c r="A305" s="175"/>
      <c r="D305" s="68"/>
      <c r="E305" s="52" t="s">
        <v>379</v>
      </c>
      <c r="F305" s="47" t="e">
        <f t="shared" si="0"/>
        <v>#N/A</v>
      </c>
      <c r="G305" s="178" t="e">
        <f t="shared" si="35"/>
        <v>#N/A</v>
      </c>
    </row>
    <row r="306" spans="1:7">
      <c r="A306" s="175"/>
      <c r="D306" s="68"/>
      <c r="E306" s="52" t="s">
        <v>380</v>
      </c>
      <c r="F306" s="47" t="e">
        <f t="shared" si="0"/>
        <v>#N/A</v>
      </c>
      <c r="G306" s="178" t="e">
        <f t="shared" si="35"/>
        <v>#N/A</v>
      </c>
    </row>
    <row r="307" spans="1:7">
      <c r="A307" s="175"/>
      <c r="D307" s="68"/>
      <c r="E307" s="52" t="s">
        <v>381</v>
      </c>
      <c r="F307" s="47">
        <f t="shared" si="0"/>
        <v>19</v>
      </c>
      <c r="G307" s="178" t="b">
        <f t="shared" si="35"/>
        <v>1</v>
      </c>
    </row>
    <row r="308" spans="1:7">
      <c r="A308" s="175"/>
      <c r="D308" s="68"/>
      <c r="E308" s="52" t="s">
        <v>382</v>
      </c>
      <c r="F308" s="47" t="e">
        <f t="shared" si="0"/>
        <v>#N/A</v>
      </c>
      <c r="G308" s="178" t="e">
        <f t="shared" si="35"/>
        <v>#N/A</v>
      </c>
    </row>
    <row r="309" spans="1:7">
      <c r="A309" s="175"/>
      <c r="D309" s="68"/>
      <c r="E309" s="52" t="s">
        <v>383</v>
      </c>
      <c r="F309" s="47">
        <f t="shared" si="0"/>
        <v>19</v>
      </c>
      <c r="G309" s="178" t="b">
        <f t="shared" si="35"/>
        <v>1</v>
      </c>
    </row>
    <row r="310" spans="1:7">
      <c r="A310" s="175"/>
      <c r="D310" s="68"/>
      <c r="E310" s="52" t="s">
        <v>384</v>
      </c>
      <c r="F310" s="47" t="e">
        <f t="shared" si="0"/>
        <v>#N/A</v>
      </c>
      <c r="G310" s="178" t="e">
        <f t="shared" si="35"/>
        <v>#N/A</v>
      </c>
    </row>
    <row r="311" spans="1:7">
      <c r="A311" s="175"/>
      <c r="D311" s="68"/>
      <c r="E311" s="52" t="s">
        <v>385</v>
      </c>
      <c r="F311" s="47">
        <f t="shared" si="0"/>
        <v>19</v>
      </c>
      <c r="G311" s="178" t="b">
        <f t="shared" si="35"/>
        <v>1</v>
      </c>
    </row>
    <row r="312" spans="1:7">
      <c r="A312" s="175"/>
      <c r="D312" s="68"/>
      <c r="E312" s="52" t="s">
        <v>386</v>
      </c>
      <c r="F312" s="47" t="e">
        <f t="shared" si="0"/>
        <v>#N/A</v>
      </c>
      <c r="G312" s="178" t="e">
        <f t="shared" si="35"/>
        <v>#N/A</v>
      </c>
    </row>
    <row r="313" spans="1:7">
      <c r="A313" s="175"/>
      <c r="D313" s="68"/>
      <c r="E313" s="52" t="s">
        <v>387</v>
      </c>
      <c r="F313" s="47" t="e">
        <f t="shared" si="0"/>
        <v>#N/A</v>
      </c>
      <c r="G313" s="178" t="e">
        <f t="shared" si="35"/>
        <v>#N/A</v>
      </c>
    </row>
    <row r="314" spans="1:7">
      <c r="A314" s="175"/>
      <c r="D314" s="68"/>
      <c r="E314" s="52" t="s">
        <v>388</v>
      </c>
      <c r="F314" s="47" t="e">
        <f t="shared" si="0"/>
        <v>#N/A</v>
      </c>
      <c r="G314" s="178" t="e">
        <f t="shared" si="35"/>
        <v>#N/A</v>
      </c>
    </row>
    <row r="315" spans="1:7">
      <c r="A315" s="175"/>
      <c r="D315" s="68"/>
      <c r="E315" s="52" t="s">
        <v>389</v>
      </c>
      <c r="F315" s="47" t="e">
        <f t="shared" si="0"/>
        <v>#N/A</v>
      </c>
      <c r="G315" s="178" t="e">
        <f t="shared" si="35"/>
        <v>#N/A</v>
      </c>
    </row>
    <row r="316" spans="1:7">
      <c r="A316" s="175"/>
      <c r="D316" s="68"/>
      <c r="E316" s="52" t="s">
        <v>390</v>
      </c>
      <c r="F316" s="47" t="e">
        <f t="shared" si="0"/>
        <v>#N/A</v>
      </c>
      <c r="G316" s="178" t="e">
        <f t="shared" si="35"/>
        <v>#N/A</v>
      </c>
    </row>
    <row r="317" spans="1:7">
      <c r="A317" s="175"/>
      <c r="D317" s="68"/>
      <c r="E317" s="52" t="s">
        <v>391</v>
      </c>
      <c r="F317" s="47" t="e">
        <f t="shared" si="0"/>
        <v>#N/A</v>
      </c>
      <c r="G317" s="178" t="e">
        <f t="shared" si="35"/>
        <v>#N/A</v>
      </c>
    </row>
    <row r="318" spans="1:7">
      <c r="A318" s="175"/>
      <c r="D318" s="68"/>
      <c r="E318" s="52" t="s">
        <v>392</v>
      </c>
      <c r="F318" s="47">
        <f t="shared" si="0"/>
        <v>19</v>
      </c>
      <c r="G318" s="178" t="b">
        <f t="shared" si="35"/>
        <v>1</v>
      </c>
    </row>
    <row r="319" spans="1:7">
      <c r="A319" s="175"/>
      <c r="D319" s="68"/>
      <c r="E319" s="52" t="s">
        <v>393</v>
      </c>
      <c r="F319" s="47" t="e">
        <f t="shared" si="0"/>
        <v>#N/A</v>
      </c>
      <c r="G319" s="178" t="e">
        <f t="shared" si="35"/>
        <v>#N/A</v>
      </c>
    </row>
    <row r="320" spans="1:7">
      <c r="A320" s="175"/>
      <c r="D320" s="68"/>
      <c r="E320" s="52" t="s">
        <v>394</v>
      </c>
      <c r="F320" s="47" t="e">
        <f t="shared" si="0"/>
        <v>#N/A</v>
      </c>
      <c r="G320" s="178" t="e">
        <f t="shared" si="35"/>
        <v>#N/A</v>
      </c>
    </row>
    <row r="321" spans="1:7">
      <c r="A321" s="175"/>
      <c r="D321" s="68"/>
      <c r="E321" s="52" t="s">
        <v>395</v>
      </c>
      <c r="F321" s="47" t="e">
        <f t="shared" si="0"/>
        <v>#N/A</v>
      </c>
      <c r="G321" s="178" t="e">
        <f t="shared" si="35"/>
        <v>#N/A</v>
      </c>
    </row>
    <row r="322" spans="1:7">
      <c r="A322" s="175"/>
      <c r="D322" s="68"/>
      <c r="E322" s="52" t="s">
        <v>396</v>
      </c>
      <c r="F322" s="47" t="e">
        <f t="shared" si="0"/>
        <v>#N/A</v>
      </c>
      <c r="G322" s="178" t="e">
        <f t="shared" si="35"/>
        <v>#N/A</v>
      </c>
    </row>
    <row r="323" spans="1:7">
      <c r="A323" s="175"/>
      <c r="D323" s="68"/>
      <c r="E323" s="52" t="s">
        <v>397</v>
      </c>
      <c r="F323" s="47" t="e">
        <f t="shared" si="0"/>
        <v>#N/A</v>
      </c>
      <c r="G323" s="178" t="e">
        <f t="shared" si="35"/>
        <v>#N/A</v>
      </c>
    </row>
    <row r="324" spans="1:7">
      <c r="A324" s="175"/>
      <c r="D324" s="68"/>
      <c r="E324" s="52" t="s">
        <v>398</v>
      </c>
      <c r="F324" s="47" t="e">
        <f t="shared" si="0"/>
        <v>#N/A</v>
      </c>
      <c r="G324" s="178" t="e">
        <f t="shared" si="35"/>
        <v>#N/A</v>
      </c>
    </row>
    <row r="325" spans="1:7">
      <c r="A325" s="175"/>
      <c r="D325" s="68"/>
      <c r="E325" s="52" t="s">
        <v>399</v>
      </c>
      <c r="F325" s="47">
        <f t="shared" si="0"/>
        <v>19</v>
      </c>
      <c r="G325" s="178" t="b">
        <f t="shared" si="35"/>
        <v>1</v>
      </c>
    </row>
    <row r="326" spans="1:7">
      <c r="A326" s="175"/>
      <c r="D326" s="68"/>
      <c r="E326" s="52" t="s">
        <v>400</v>
      </c>
      <c r="F326" s="47" t="e">
        <f t="shared" si="0"/>
        <v>#N/A</v>
      </c>
      <c r="G326" s="178" t="e">
        <f t="shared" si="35"/>
        <v>#N/A</v>
      </c>
    </row>
    <row r="327" spans="1:7">
      <c r="A327" s="175"/>
      <c r="D327" s="68"/>
      <c r="E327" s="52" t="s">
        <v>401</v>
      </c>
      <c r="F327" s="47">
        <f t="shared" si="0"/>
        <v>19</v>
      </c>
      <c r="G327" s="178" t="b">
        <f t="shared" si="35"/>
        <v>1</v>
      </c>
    </row>
    <row r="328" spans="1:7">
      <c r="A328" s="175"/>
      <c r="D328" s="68"/>
      <c r="E328" s="52" t="s">
        <v>402</v>
      </c>
      <c r="F328" s="47" t="e">
        <f t="shared" si="0"/>
        <v>#N/A</v>
      </c>
      <c r="G328" s="178" t="e">
        <f t="shared" si="35"/>
        <v>#N/A</v>
      </c>
    </row>
    <row r="329" spans="1:7">
      <c r="A329" s="175"/>
      <c r="D329" s="68"/>
      <c r="E329" s="52" t="s">
        <v>403</v>
      </c>
      <c r="F329" s="47" t="e">
        <f t="shared" si="0"/>
        <v>#N/A</v>
      </c>
      <c r="G329" s="178" t="e">
        <f t="shared" si="35"/>
        <v>#N/A</v>
      </c>
    </row>
    <row r="330" spans="1:7">
      <c r="A330" s="175"/>
      <c r="D330" s="68"/>
      <c r="E330" s="52" t="s">
        <v>404</v>
      </c>
      <c r="F330" s="47" t="e">
        <f t="shared" si="0"/>
        <v>#N/A</v>
      </c>
      <c r="G330" s="178" t="e">
        <f t="shared" si="35"/>
        <v>#N/A</v>
      </c>
    </row>
    <row r="331" spans="1:7">
      <c r="A331" s="175"/>
      <c r="D331" s="68"/>
      <c r="E331" s="52" t="s">
        <v>405</v>
      </c>
      <c r="F331" s="47" t="e">
        <f t="shared" si="0"/>
        <v>#N/A</v>
      </c>
      <c r="G331" s="178" t="e">
        <f t="shared" si="35"/>
        <v>#N/A</v>
      </c>
    </row>
    <row r="332" spans="1:7">
      <c r="A332" s="175"/>
      <c r="D332" s="68"/>
      <c r="E332" s="52" t="s">
        <v>406</v>
      </c>
      <c r="F332" s="47" t="e">
        <f t="shared" si="0"/>
        <v>#N/A</v>
      </c>
      <c r="G332" s="178" t="e">
        <f t="shared" si="35"/>
        <v>#N/A</v>
      </c>
    </row>
    <row r="333" spans="1:7">
      <c r="A333" s="175"/>
      <c r="D333" s="68"/>
      <c r="E333" s="52" t="s">
        <v>407</v>
      </c>
      <c r="F333" s="47">
        <f t="shared" si="0"/>
        <v>19</v>
      </c>
      <c r="G333" s="178" t="b">
        <f t="shared" si="35"/>
        <v>1</v>
      </c>
    </row>
    <row r="334" spans="1:7">
      <c r="A334" s="175"/>
      <c r="D334" s="68"/>
      <c r="E334" s="52" t="s">
        <v>408</v>
      </c>
      <c r="F334" s="47" t="e">
        <f t="shared" si="0"/>
        <v>#N/A</v>
      </c>
      <c r="G334" s="178" t="e">
        <f t="shared" si="35"/>
        <v>#N/A</v>
      </c>
    </row>
    <row r="335" spans="1:7">
      <c r="A335" s="175"/>
      <c r="D335" s="68"/>
      <c r="E335" s="52" t="s">
        <v>409</v>
      </c>
      <c r="F335" s="47" t="e">
        <f t="shared" si="0"/>
        <v>#N/A</v>
      </c>
      <c r="G335" s="178" t="e">
        <f t="shared" si="35"/>
        <v>#N/A</v>
      </c>
    </row>
    <row r="336" spans="1:7">
      <c r="A336" s="175"/>
      <c r="D336" s="68"/>
      <c r="E336" s="52" t="s">
        <v>410</v>
      </c>
      <c r="F336" s="47" t="e">
        <f t="shared" si="0"/>
        <v>#N/A</v>
      </c>
      <c r="G336" s="178" t="e">
        <f t="shared" si="35"/>
        <v>#N/A</v>
      </c>
    </row>
    <row r="337" spans="1:7">
      <c r="A337" s="175"/>
      <c r="D337" s="68"/>
      <c r="E337" s="52" t="s">
        <v>411</v>
      </c>
      <c r="F337" s="47" t="e">
        <f t="shared" si="0"/>
        <v>#N/A</v>
      </c>
      <c r="G337" s="178" t="e">
        <f t="shared" si="35"/>
        <v>#N/A</v>
      </c>
    </row>
    <row r="338" spans="1:7">
      <c r="A338" s="175"/>
      <c r="D338" s="68"/>
      <c r="E338" s="52" t="s">
        <v>412</v>
      </c>
      <c r="F338" s="47" t="e">
        <f t="shared" si="0"/>
        <v>#N/A</v>
      </c>
      <c r="G338" s="178" t="e">
        <f t="shared" si="35"/>
        <v>#N/A</v>
      </c>
    </row>
    <row r="339" spans="1:7">
      <c r="A339" s="175"/>
      <c r="D339" s="68"/>
      <c r="E339" s="52" t="s">
        <v>413</v>
      </c>
      <c r="F339" s="47" t="e">
        <f t="shared" si="0"/>
        <v>#N/A</v>
      </c>
      <c r="G339" s="178" t="e">
        <f t="shared" si="35"/>
        <v>#N/A</v>
      </c>
    </row>
    <row r="340" spans="1:7">
      <c r="A340" s="175"/>
      <c r="D340" s="68"/>
      <c r="E340" s="52" t="s">
        <v>414</v>
      </c>
      <c r="F340" s="47" t="e">
        <f t="shared" si="0"/>
        <v>#N/A</v>
      </c>
      <c r="G340" s="178" t="e">
        <f t="shared" si="35"/>
        <v>#N/A</v>
      </c>
    </row>
    <row r="341" spans="1:7">
      <c r="A341" s="175"/>
      <c r="D341" s="68"/>
      <c r="E341" s="52" t="s">
        <v>415</v>
      </c>
      <c r="F341" s="47" t="e">
        <f t="shared" si="0"/>
        <v>#N/A</v>
      </c>
      <c r="G341" s="178" t="e">
        <f t="shared" si="35"/>
        <v>#N/A</v>
      </c>
    </row>
    <row r="342" spans="1:7">
      <c r="A342" s="175"/>
      <c r="D342" s="68"/>
      <c r="E342" s="52" t="s">
        <v>258</v>
      </c>
      <c r="F342" s="47" t="e">
        <f t="shared" si="0"/>
        <v>#N/A</v>
      </c>
      <c r="G342" s="178" t="e">
        <f>_xlfn.NUMBERVALUE(MID($E$342,5,2))=F342</f>
        <v>#N/A</v>
      </c>
    </row>
    <row r="343" spans="1:7">
      <c r="A343" s="175"/>
      <c r="D343" s="68"/>
      <c r="E343" s="52" t="s">
        <v>1000</v>
      </c>
      <c r="F343" s="47" t="e">
        <f t="shared" si="0"/>
        <v>#N/A</v>
      </c>
      <c r="G343" s="178" t="e">
        <f t="shared" ref="G343:G346" si="36">_xlfn.NUMBERVALUE(MID($E$342,5,2))=F343</f>
        <v>#N/A</v>
      </c>
    </row>
    <row r="344" spans="1:7">
      <c r="A344" s="175"/>
      <c r="D344" s="68"/>
      <c r="E344" s="52" t="s">
        <v>351</v>
      </c>
      <c r="F344" s="47" t="e">
        <f t="shared" si="0"/>
        <v>#N/A</v>
      </c>
      <c r="G344" s="178" t="e">
        <f t="shared" si="36"/>
        <v>#N/A</v>
      </c>
    </row>
    <row r="345" spans="1:7">
      <c r="A345" s="175"/>
      <c r="D345" s="68"/>
      <c r="E345" s="52" t="s">
        <v>352</v>
      </c>
      <c r="F345" s="47" t="e">
        <f t="shared" si="0"/>
        <v>#N/A</v>
      </c>
      <c r="G345" s="178" t="e">
        <f t="shared" si="36"/>
        <v>#N/A</v>
      </c>
    </row>
    <row r="346" spans="1:7">
      <c r="A346" s="175"/>
      <c r="D346" s="68"/>
      <c r="E346" s="52" t="s">
        <v>353</v>
      </c>
      <c r="F346" s="47" t="e">
        <f t="shared" si="0"/>
        <v>#N/A</v>
      </c>
      <c r="G346" s="178" t="e">
        <f t="shared" si="36"/>
        <v>#N/A</v>
      </c>
    </row>
    <row r="347" spans="1:7">
      <c r="A347" s="175"/>
      <c r="D347" s="68"/>
      <c r="E347" s="52" t="s">
        <v>259</v>
      </c>
      <c r="F347" s="47" t="e">
        <f t="shared" si="0"/>
        <v>#N/A</v>
      </c>
      <c r="G347" s="178" t="e">
        <f>_xlfn.NUMBERVALUE(MID($E$347,5,2))=F347</f>
        <v>#N/A</v>
      </c>
    </row>
    <row r="348" spans="1:7">
      <c r="A348" s="175"/>
      <c r="D348" s="68"/>
      <c r="E348" s="52" t="s">
        <v>972</v>
      </c>
      <c r="F348" s="47">
        <f t="shared" si="0"/>
        <v>21</v>
      </c>
      <c r="G348" s="178" t="b">
        <f>_xlfn.NUMBERVALUE(MID($E$347,5,2))=F348</f>
        <v>1</v>
      </c>
    </row>
    <row r="349" spans="1:7">
      <c r="A349" s="175"/>
      <c r="D349" s="68"/>
      <c r="E349" s="52" t="s">
        <v>349</v>
      </c>
      <c r="F349" s="47">
        <f t="shared" si="0"/>
        <v>21</v>
      </c>
      <c r="G349" s="178" t="b">
        <f t="shared" ref="G349:G352" si="37">_xlfn.NUMBERVALUE(MID($E$347,5,2))=F349</f>
        <v>1</v>
      </c>
    </row>
    <row r="350" spans="1:7">
      <c r="A350" s="175"/>
      <c r="D350" s="68"/>
      <c r="E350" s="52" t="s">
        <v>999</v>
      </c>
      <c r="F350" s="47" t="e">
        <f t="shared" si="0"/>
        <v>#N/A</v>
      </c>
      <c r="G350" s="178" t="e">
        <f t="shared" si="37"/>
        <v>#N/A</v>
      </c>
    </row>
    <row r="351" spans="1:7">
      <c r="A351" s="175"/>
      <c r="D351" s="68"/>
      <c r="E351" s="52" t="s">
        <v>1189</v>
      </c>
      <c r="F351" s="47">
        <f t="shared" ref="F351" si="38">VLOOKUP($E351,Modelpuntoverzicht,37,FALSE)</f>
        <v>21</v>
      </c>
      <c r="G351" s="178" t="b">
        <f>_xlfn.NUMBERVALUE(MID($E$347,5,2))=F351</f>
        <v>1</v>
      </c>
    </row>
    <row r="352" spans="1:7">
      <c r="A352" s="175"/>
      <c r="D352" s="68"/>
      <c r="E352" s="52" t="s">
        <v>350</v>
      </c>
      <c r="F352" s="47">
        <f t="shared" si="0"/>
        <v>21</v>
      </c>
      <c r="G352" s="178" t="b">
        <f t="shared" si="37"/>
        <v>1</v>
      </c>
    </row>
    <row r="353" spans="1:7">
      <c r="A353" s="175"/>
      <c r="D353" s="68"/>
      <c r="E353" s="52" t="s">
        <v>260</v>
      </c>
      <c r="F353" s="47" t="e">
        <f t="shared" si="0"/>
        <v>#N/A</v>
      </c>
      <c r="G353" s="178" t="e">
        <f>_xlfn.NUMBERVALUE(MID($E$353,5,2))=F353</f>
        <v>#N/A</v>
      </c>
    </row>
    <row r="354" spans="1:7">
      <c r="A354" s="175"/>
      <c r="D354" s="68"/>
      <c r="E354" s="52" t="s">
        <v>347</v>
      </c>
      <c r="F354" s="47">
        <f t="shared" si="0"/>
        <v>22</v>
      </c>
      <c r="G354" s="178" t="b">
        <f t="shared" ref="G354:G356" si="39">_xlfn.NUMBERVALUE(MID($E$353,5,2))=F354</f>
        <v>1</v>
      </c>
    </row>
    <row r="355" spans="1:7">
      <c r="A355" s="175"/>
      <c r="D355" s="68"/>
      <c r="E355" s="52" t="s">
        <v>998</v>
      </c>
      <c r="F355" s="47" t="e">
        <f t="shared" si="0"/>
        <v>#N/A</v>
      </c>
      <c r="G355" s="178" t="e">
        <f t="shared" si="39"/>
        <v>#N/A</v>
      </c>
    </row>
    <row r="356" spans="1:7">
      <c r="A356" s="175"/>
      <c r="D356" s="68"/>
      <c r="E356" s="52" t="s">
        <v>348</v>
      </c>
      <c r="F356" s="47" t="e">
        <f t="shared" si="0"/>
        <v>#N/A</v>
      </c>
      <c r="G356" s="178" t="e">
        <f t="shared" si="39"/>
        <v>#N/A</v>
      </c>
    </row>
    <row r="357" spans="1:7">
      <c r="A357" s="175"/>
      <c r="D357" s="68"/>
      <c r="E357" s="52" t="s">
        <v>261</v>
      </c>
      <c r="F357" s="47" t="e">
        <f t="shared" si="0"/>
        <v>#N/A</v>
      </c>
      <c r="G357" s="178" t="e">
        <f>_xlfn.NUMBERVALUE(MID($E$357,5,2))=F357</f>
        <v>#N/A</v>
      </c>
    </row>
    <row r="358" spans="1:7">
      <c r="A358" s="175"/>
      <c r="D358" s="68"/>
      <c r="E358" s="52" t="s">
        <v>997</v>
      </c>
      <c r="F358" s="47" t="e">
        <f t="shared" si="0"/>
        <v>#N/A</v>
      </c>
      <c r="G358" s="178" t="e">
        <f t="shared" ref="G358" si="40">_xlfn.NUMBERVALUE(MID($E$357,5,2))=F358</f>
        <v>#N/A</v>
      </c>
    </row>
    <row r="359" spans="1:7">
      <c r="A359" s="175"/>
      <c r="D359" s="68"/>
      <c r="E359" s="52" t="s">
        <v>262</v>
      </c>
      <c r="F359" s="47" t="e">
        <f t="shared" si="0"/>
        <v>#N/A</v>
      </c>
      <c r="G359" s="178" t="e">
        <f>_xlfn.NUMBERVALUE(MID($E$359,5,2))=F359</f>
        <v>#N/A</v>
      </c>
    </row>
    <row r="360" spans="1:7">
      <c r="A360" s="175"/>
      <c r="D360" s="68"/>
      <c r="E360" s="52" t="s">
        <v>995</v>
      </c>
      <c r="F360" s="47" t="e">
        <f t="shared" si="0"/>
        <v>#N/A</v>
      </c>
      <c r="G360" s="178" t="e">
        <f t="shared" ref="G360:G364" si="41">_xlfn.NUMBERVALUE(MID($E$359,5,2))=F360</f>
        <v>#N/A</v>
      </c>
    </row>
    <row r="361" spans="1:7">
      <c r="A361" s="175"/>
      <c r="D361" s="68"/>
      <c r="E361" s="52" t="s">
        <v>996</v>
      </c>
      <c r="F361" s="47" t="e">
        <f t="shared" si="0"/>
        <v>#N/A</v>
      </c>
      <c r="G361" s="178" t="e">
        <f>_xlfn.NUMBERVALUE(MID($E$359,5,2))=F361</f>
        <v>#N/A</v>
      </c>
    </row>
    <row r="362" spans="1:7">
      <c r="A362" s="175"/>
      <c r="D362" s="68"/>
      <c r="E362" s="52" t="s">
        <v>343</v>
      </c>
      <c r="F362" s="47" t="e">
        <f t="shared" si="0"/>
        <v>#N/A</v>
      </c>
      <c r="G362" s="178" t="e">
        <f t="shared" si="41"/>
        <v>#N/A</v>
      </c>
    </row>
    <row r="363" spans="1:7">
      <c r="A363" s="175"/>
      <c r="D363" s="68"/>
      <c r="E363" s="52" t="s">
        <v>344</v>
      </c>
      <c r="F363" s="47" t="e">
        <f t="shared" si="0"/>
        <v>#N/A</v>
      </c>
      <c r="G363" s="178" t="e">
        <f t="shared" si="41"/>
        <v>#N/A</v>
      </c>
    </row>
    <row r="364" spans="1:7">
      <c r="A364" s="175"/>
      <c r="D364" s="68"/>
      <c r="E364" s="52" t="s">
        <v>345</v>
      </c>
      <c r="F364" s="47" t="e">
        <f t="shared" si="0"/>
        <v>#N/A</v>
      </c>
      <c r="G364" s="178" t="e">
        <f t="shared" si="41"/>
        <v>#N/A</v>
      </c>
    </row>
    <row r="365" spans="1:7">
      <c r="A365" s="175"/>
      <c r="D365" s="68"/>
      <c r="E365" s="52" t="s">
        <v>263</v>
      </c>
      <c r="F365" s="47" t="e">
        <f t="shared" si="0"/>
        <v>#N/A</v>
      </c>
      <c r="G365" s="178" t="e">
        <f>_xlfn.NUMBERVALUE(MID($E$365,5,2))=F365</f>
        <v>#N/A</v>
      </c>
    </row>
    <row r="366" spans="1:7">
      <c r="A366" s="175"/>
      <c r="D366" s="68"/>
      <c r="E366" s="52" t="s">
        <v>993</v>
      </c>
      <c r="F366" s="47" t="e">
        <f t="shared" si="0"/>
        <v>#N/A</v>
      </c>
      <c r="G366" s="178" t="e">
        <f t="shared" ref="G366:G371" si="42">_xlfn.NUMBERVALUE(MID($E$365,5,2))=F366</f>
        <v>#N/A</v>
      </c>
    </row>
    <row r="367" spans="1:7">
      <c r="A367" s="175"/>
      <c r="D367" s="68"/>
      <c r="E367" s="52" t="s">
        <v>339</v>
      </c>
      <c r="F367" s="47" t="e">
        <f t="shared" si="0"/>
        <v>#N/A</v>
      </c>
      <c r="G367" s="178" t="e">
        <f t="shared" si="42"/>
        <v>#N/A</v>
      </c>
    </row>
    <row r="368" spans="1:7">
      <c r="A368" s="175"/>
      <c r="D368" s="68"/>
      <c r="E368" s="52" t="s">
        <v>994</v>
      </c>
      <c r="F368" s="47" t="e">
        <f t="shared" si="0"/>
        <v>#N/A</v>
      </c>
      <c r="G368" s="178" t="e">
        <f>_xlfn.NUMBERVALUE(MID($E$365,5,2))=F368</f>
        <v>#N/A</v>
      </c>
    </row>
    <row r="369" spans="1:7">
      <c r="A369" s="175"/>
      <c r="D369" s="68"/>
      <c r="E369" s="52" t="s">
        <v>340</v>
      </c>
      <c r="F369" s="47" t="e">
        <f t="shared" si="0"/>
        <v>#N/A</v>
      </c>
      <c r="G369" s="178" t="e">
        <f t="shared" si="42"/>
        <v>#N/A</v>
      </c>
    </row>
    <row r="370" spans="1:7">
      <c r="A370" s="175"/>
      <c r="D370" s="68"/>
      <c r="E370" s="52" t="s">
        <v>341</v>
      </c>
      <c r="F370" s="47" t="e">
        <f t="shared" si="0"/>
        <v>#N/A</v>
      </c>
      <c r="G370" s="178" t="e">
        <f t="shared" si="42"/>
        <v>#N/A</v>
      </c>
    </row>
    <row r="371" spans="1:7">
      <c r="A371" s="175"/>
      <c r="D371" s="68"/>
      <c r="E371" s="52" t="s">
        <v>342</v>
      </c>
      <c r="F371" s="47" t="e">
        <f t="shared" si="0"/>
        <v>#N/A</v>
      </c>
      <c r="G371" s="178" t="e">
        <f t="shared" si="42"/>
        <v>#N/A</v>
      </c>
    </row>
    <row r="372" spans="1:7">
      <c r="A372" s="175"/>
      <c r="D372" s="68"/>
      <c r="E372" s="52" t="s">
        <v>264</v>
      </c>
      <c r="F372" s="47" t="e">
        <f t="shared" si="0"/>
        <v>#N/A</v>
      </c>
      <c r="G372" s="178" t="e">
        <f>_xlfn.NUMBERVALUE(MID($E$372,5,2))=F372</f>
        <v>#N/A</v>
      </c>
    </row>
    <row r="373" spans="1:7">
      <c r="A373" s="175"/>
      <c r="D373" s="68"/>
      <c r="E373" s="52" t="s">
        <v>337</v>
      </c>
      <c r="F373" s="47">
        <f t="shared" si="0"/>
        <v>26</v>
      </c>
      <c r="G373" s="178" t="b">
        <f t="shared" ref="G373:G375" si="43">_xlfn.NUMBERVALUE(MID($E$372,5,2))=F373</f>
        <v>1</v>
      </c>
    </row>
    <row r="374" spans="1:7">
      <c r="A374" s="175"/>
      <c r="D374" s="68"/>
      <c r="E374" s="52" t="s">
        <v>338</v>
      </c>
      <c r="F374" s="47">
        <f t="shared" si="0"/>
        <v>26</v>
      </c>
      <c r="G374" s="178" t="b">
        <f t="shared" si="43"/>
        <v>1</v>
      </c>
    </row>
    <row r="375" spans="1:7">
      <c r="A375" s="175"/>
      <c r="D375" s="68"/>
      <c r="E375" s="52" t="s">
        <v>992</v>
      </c>
      <c r="F375" s="47" t="e">
        <f t="shared" si="0"/>
        <v>#N/A</v>
      </c>
      <c r="G375" s="178" t="e">
        <f t="shared" si="43"/>
        <v>#N/A</v>
      </c>
    </row>
    <row r="376" spans="1:7">
      <c r="A376" s="175"/>
      <c r="D376" s="68"/>
      <c r="E376" s="52" t="s">
        <v>265</v>
      </c>
      <c r="F376" s="47" t="e">
        <f t="shared" si="0"/>
        <v>#N/A</v>
      </c>
      <c r="G376" s="178" t="e">
        <f>_xlfn.NUMBERVALUE(MID($E$376,5,2))=F376</f>
        <v>#N/A</v>
      </c>
    </row>
    <row r="377" spans="1:7">
      <c r="A377" s="175"/>
      <c r="D377" s="68"/>
      <c r="E377" s="52" t="s">
        <v>1191</v>
      </c>
      <c r="F377" s="47">
        <f t="shared" ref="F377" si="44">VLOOKUP($E377,Modelpuntoverzicht,37,FALSE)</f>
        <v>27</v>
      </c>
      <c r="G377" s="178" t="b">
        <f>_xlfn.NUMBERVALUE(MID($E$376,5,2))=F377</f>
        <v>1</v>
      </c>
    </row>
    <row r="378" spans="1:7">
      <c r="A378" s="175"/>
      <c r="D378" s="68"/>
      <c r="E378" s="52" t="s">
        <v>332</v>
      </c>
      <c r="F378" s="47">
        <f t="shared" si="0"/>
        <v>27</v>
      </c>
      <c r="G378" s="178" t="b">
        <f t="shared" ref="G378:G387" si="45">_xlfn.NUMBERVALUE(MID($E$376,5,2))=F378</f>
        <v>1</v>
      </c>
    </row>
    <row r="379" spans="1:7">
      <c r="A379" s="175"/>
      <c r="D379" s="68"/>
      <c r="E379" s="52" t="s">
        <v>333</v>
      </c>
      <c r="F379" s="47">
        <f t="shared" si="0"/>
        <v>27</v>
      </c>
      <c r="G379" s="178" t="b">
        <f t="shared" si="45"/>
        <v>1</v>
      </c>
    </row>
    <row r="380" spans="1:7">
      <c r="A380" s="175"/>
      <c r="D380" s="68"/>
      <c r="E380" s="52" t="s">
        <v>971</v>
      </c>
      <c r="F380" s="47">
        <f t="shared" si="0"/>
        <v>27</v>
      </c>
      <c r="G380" s="178" t="b">
        <f t="shared" si="45"/>
        <v>1</v>
      </c>
    </row>
    <row r="381" spans="1:7">
      <c r="A381" s="175"/>
      <c r="D381" s="68"/>
      <c r="E381" s="52" t="s">
        <v>334</v>
      </c>
      <c r="F381" s="47">
        <f t="shared" si="0"/>
        <v>27</v>
      </c>
      <c r="G381" s="178" t="b">
        <f t="shared" si="45"/>
        <v>1</v>
      </c>
    </row>
    <row r="382" spans="1:7">
      <c r="A382" s="175"/>
      <c r="D382" s="68"/>
      <c r="E382" s="52" t="s">
        <v>990</v>
      </c>
      <c r="F382" s="47">
        <f t="shared" si="0"/>
        <v>27</v>
      </c>
      <c r="G382" s="178" t="b">
        <f>_xlfn.NUMBERVALUE(MID($E$376,5,2))=F382</f>
        <v>1</v>
      </c>
    </row>
    <row r="383" spans="1:7">
      <c r="A383" s="175"/>
      <c r="D383" s="68"/>
      <c r="E383" s="52" t="s">
        <v>335</v>
      </c>
      <c r="F383" s="47" t="e">
        <f t="shared" si="0"/>
        <v>#N/A</v>
      </c>
      <c r="G383" s="178" t="e">
        <f t="shared" si="45"/>
        <v>#N/A</v>
      </c>
    </row>
    <row r="384" spans="1:7">
      <c r="A384" s="175"/>
      <c r="D384" s="68"/>
      <c r="E384" s="52" t="s">
        <v>991</v>
      </c>
      <c r="F384" s="47" t="e">
        <f t="shared" si="0"/>
        <v>#N/A</v>
      </c>
      <c r="G384" s="178" t="e">
        <f t="shared" si="45"/>
        <v>#N/A</v>
      </c>
    </row>
    <row r="385" spans="1:7">
      <c r="A385" s="175"/>
      <c r="D385" s="68"/>
      <c r="E385" s="52" t="s">
        <v>1187</v>
      </c>
      <c r="F385" s="47">
        <f t="shared" ref="F385:F386" si="46">VLOOKUP($E385,Modelpuntoverzicht,37,FALSE)</f>
        <v>27</v>
      </c>
      <c r="G385" s="178" t="b">
        <f>_xlfn.NUMBERVALUE(MID($E$376,5,2))=F385</f>
        <v>1</v>
      </c>
    </row>
    <row r="386" spans="1:7">
      <c r="A386" s="175"/>
      <c r="D386" s="68"/>
      <c r="E386" s="52" t="s">
        <v>1188</v>
      </c>
      <c r="F386" s="47">
        <f t="shared" si="46"/>
        <v>27</v>
      </c>
      <c r="G386" s="178" t="b">
        <f>_xlfn.NUMBERVALUE(MID($E$376,5,2))=F386</f>
        <v>1</v>
      </c>
    </row>
    <row r="387" spans="1:7">
      <c r="A387" s="175"/>
      <c r="D387" s="68"/>
      <c r="E387" s="52" t="s">
        <v>336</v>
      </c>
      <c r="F387" s="47">
        <f t="shared" si="0"/>
        <v>27</v>
      </c>
      <c r="G387" s="178" t="b">
        <f t="shared" si="45"/>
        <v>1</v>
      </c>
    </row>
    <row r="388" spans="1:7">
      <c r="A388" s="175"/>
      <c r="D388" s="68"/>
      <c r="E388" s="52" t="s">
        <v>346</v>
      </c>
      <c r="F388" s="47">
        <f t="shared" si="0"/>
        <v>27</v>
      </c>
      <c r="G388" s="178" t="b">
        <f>_xlfn.NUMBERVALUE(MID($E$376,5,2))=F388</f>
        <v>1</v>
      </c>
    </row>
    <row r="389" spans="1:7">
      <c r="A389" s="175"/>
      <c r="D389" s="68"/>
      <c r="E389" s="52" t="s">
        <v>266</v>
      </c>
      <c r="F389" s="47" t="e">
        <f t="shared" si="0"/>
        <v>#N/A</v>
      </c>
      <c r="G389" s="178" t="e">
        <f>_xlfn.NUMBERVALUE(MID($E$389,5,2))=F389</f>
        <v>#N/A</v>
      </c>
    </row>
    <row r="390" spans="1:7">
      <c r="A390" s="175"/>
      <c r="D390" s="68"/>
      <c r="E390" s="52" t="s">
        <v>330</v>
      </c>
      <c r="F390" s="47">
        <f t="shared" si="0"/>
        <v>28</v>
      </c>
      <c r="G390" s="178" t="b">
        <f t="shared" ref="G390:G392" si="47">_xlfn.NUMBERVALUE(MID($E$389,5,2))=F390</f>
        <v>1</v>
      </c>
    </row>
    <row r="391" spans="1:7">
      <c r="A391" s="175"/>
      <c r="D391" s="68"/>
      <c r="E391" s="52" t="s">
        <v>989</v>
      </c>
      <c r="F391" s="47" t="e">
        <f t="shared" si="0"/>
        <v>#N/A</v>
      </c>
      <c r="G391" s="178" t="e">
        <f t="shared" si="47"/>
        <v>#N/A</v>
      </c>
    </row>
    <row r="392" spans="1:7">
      <c r="A392" s="175"/>
      <c r="D392" s="68"/>
      <c r="E392" s="52" t="s">
        <v>331</v>
      </c>
      <c r="F392" s="47" t="e">
        <f t="shared" si="0"/>
        <v>#N/A</v>
      </c>
      <c r="G392" s="178" t="e">
        <f t="shared" si="47"/>
        <v>#N/A</v>
      </c>
    </row>
  </sheetData>
  <sheetProtection algorithmName="SHA-512" hashValue="VzxXtwEkA9AmU5KAf+KDE+8AlcVQQBs5SJPt8NI51wp/BHOYSNuo8d/hakuBFZilLztKfgZLCP4gBD7vB7SOLA==" saltValue="hAiPwWlJgFKZ5k3yEl4Eow==" spinCount="100000" sheet="1" objects="1" scenarios="1" formatColumns="0" formatRows="0"/>
  <conditionalFormatting sqref="G14 G366:G367 G360 G278:G293 G220:G258 G177:G179 G156:G170 G128:G134 G76:G77 G383:G384 G369:G371 G362:G364 G295:G341 G260:G270 G182:G184 G172:G175 G136:G146 G148:G151 G80:G83 G378:G381 G187:G189 G154 G86:G87 G387">
    <cfRule type="cellIs" dxfId="210" priority="825" operator="equal">
      <formula>TRUE</formula>
    </cfRule>
  </conditionalFormatting>
  <conditionalFormatting sqref="G19 G95 G88 G75 G65 G52 G40 G35 G22">
    <cfRule type="cellIs" dxfId="209" priority="824" operator="equal">
      <formula>TRUE</formula>
    </cfRule>
  </conditionalFormatting>
  <conditionalFormatting sqref="G121 G389 G376 G372 G365 G359 G357 G353 G347 G342 G277 G271 G219 G211 G203 G190 G176 G155 G127">
    <cfRule type="cellIs" dxfId="208" priority="813" operator="equal">
      <formula>TRUE</formula>
    </cfRule>
  </conditionalFormatting>
  <conditionalFormatting sqref="G390:G392">
    <cfRule type="cellIs" dxfId="207" priority="61" operator="equal">
      <formula>TRUE</formula>
    </cfRule>
  </conditionalFormatting>
  <conditionalFormatting sqref="G373:G375">
    <cfRule type="cellIs" dxfId="206" priority="59" operator="equal">
      <formula>TRUE</formula>
    </cfRule>
  </conditionalFormatting>
  <conditionalFormatting sqref="G358">
    <cfRule type="cellIs" dxfId="205" priority="56" operator="equal">
      <formula>TRUE</formula>
    </cfRule>
  </conditionalFormatting>
  <conditionalFormatting sqref="G354:G356">
    <cfRule type="cellIs" dxfId="204" priority="55" operator="equal">
      <formula>TRUE</formula>
    </cfRule>
  </conditionalFormatting>
  <conditionalFormatting sqref="G349:G350 G352">
    <cfRule type="cellIs" dxfId="203" priority="54" operator="equal">
      <formula>TRUE</formula>
    </cfRule>
  </conditionalFormatting>
  <conditionalFormatting sqref="G343:G346">
    <cfRule type="cellIs" dxfId="202" priority="53" operator="equal">
      <formula>TRUE</formula>
    </cfRule>
  </conditionalFormatting>
  <conditionalFormatting sqref="G272 G274:G276">
    <cfRule type="cellIs" dxfId="201" priority="51" operator="equal">
      <formula>TRUE</formula>
    </cfRule>
  </conditionalFormatting>
  <conditionalFormatting sqref="G212 G214:G216 G218">
    <cfRule type="cellIs" dxfId="200" priority="49" operator="equal">
      <formula>TRUE</formula>
    </cfRule>
  </conditionalFormatting>
  <conditionalFormatting sqref="G204:G210">
    <cfRule type="cellIs" dxfId="199" priority="48" operator="equal">
      <formula>TRUE</formula>
    </cfRule>
  </conditionalFormatting>
  <conditionalFormatting sqref="G191:G192 G194:G202">
    <cfRule type="cellIs" dxfId="198" priority="47" operator="equal">
      <formula>TRUE</formula>
    </cfRule>
  </conditionalFormatting>
  <conditionalFormatting sqref="G122:G126">
    <cfRule type="cellIs" dxfId="197" priority="43" operator="equal">
      <formula>TRUE</formula>
    </cfRule>
  </conditionalFormatting>
  <conditionalFormatting sqref="G96:G97 G99:G115 G118:G120">
    <cfRule type="cellIs" dxfId="196" priority="42" operator="equal">
      <formula>TRUE</formula>
    </cfRule>
  </conditionalFormatting>
  <conditionalFormatting sqref="G89:G94">
    <cfRule type="cellIs" dxfId="195" priority="41" operator="equal">
      <formula>TRUE</formula>
    </cfRule>
  </conditionalFormatting>
  <conditionalFormatting sqref="G66:G74">
    <cfRule type="cellIs" dxfId="194" priority="39" operator="equal">
      <formula>TRUE</formula>
    </cfRule>
  </conditionalFormatting>
  <conditionalFormatting sqref="G53:G54 G56:G64">
    <cfRule type="cellIs" dxfId="193" priority="38" operator="equal">
      <formula>TRUE</formula>
    </cfRule>
  </conditionalFormatting>
  <conditionalFormatting sqref="G41:G51">
    <cfRule type="cellIs" dxfId="192" priority="37" operator="equal">
      <formula>TRUE</formula>
    </cfRule>
  </conditionalFormatting>
  <conditionalFormatting sqref="G36:G39">
    <cfRule type="cellIs" dxfId="191" priority="36" operator="equal">
      <formula>TRUE</formula>
    </cfRule>
  </conditionalFormatting>
  <conditionalFormatting sqref="G23:G34">
    <cfRule type="cellIs" dxfId="190" priority="35" operator="equal">
      <formula>TRUE</formula>
    </cfRule>
  </conditionalFormatting>
  <conditionalFormatting sqref="G20:G21">
    <cfRule type="cellIs" dxfId="189" priority="34" operator="equal">
      <formula>TRUE</formula>
    </cfRule>
  </conditionalFormatting>
  <conditionalFormatting sqref="G382">
    <cfRule type="cellIs" dxfId="188" priority="33" operator="equal">
      <formula>TRUE</formula>
    </cfRule>
  </conditionalFormatting>
  <conditionalFormatting sqref="G368">
    <cfRule type="cellIs" dxfId="187" priority="32" operator="equal">
      <formula>TRUE</formula>
    </cfRule>
  </conditionalFormatting>
  <conditionalFormatting sqref="G361">
    <cfRule type="cellIs" dxfId="186" priority="31" operator="equal">
      <formula>TRUE</formula>
    </cfRule>
  </conditionalFormatting>
  <conditionalFormatting sqref="G294">
    <cfRule type="cellIs" dxfId="185" priority="30" operator="equal">
      <formula>TRUE</formula>
    </cfRule>
  </conditionalFormatting>
  <conditionalFormatting sqref="G259">
    <cfRule type="cellIs" dxfId="184" priority="29" operator="equal">
      <formula>TRUE</formula>
    </cfRule>
  </conditionalFormatting>
  <conditionalFormatting sqref="G180">
    <cfRule type="cellIs" dxfId="183" priority="28" operator="equal">
      <formula>TRUE</formula>
    </cfRule>
  </conditionalFormatting>
  <conditionalFormatting sqref="G181">
    <cfRule type="cellIs" dxfId="182" priority="27" operator="equal">
      <formula>TRUE</formula>
    </cfRule>
  </conditionalFormatting>
  <conditionalFormatting sqref="G171">
    <cfRule type="cellIs" dxfId="181" priority="26" operator="equal">
      <formula>TRUE</formula>
    </cfRule>
  </conditionalFormatting>
  <conditionalFormatting sqref="G135">
    <cfRule type="cellIs" dxfId="180" priority="25" operator="equal">
      <formula>TRUE</formula>
    </cfRule>
  </conditionalFormatting>
  <conditionalFormatting sqref="G147">
    <cfRule type="cellIs" dxfId="179" priority="24" operator="equal">
      <formula>TRUE</formula>
    </cfRule>
  </conditionalFormatting>
  <conditionalFormatting sqref="G78">
    <cfRule type="cellIs" dxfId="178" priority="23" operator="equal">
      <formula>TRUE</formula>
    </cfRule>
  </conditionalFormatting>
  <conditionalFormatting sqref="G79">
    <cfRule type="cellIs" dxfId="177" priority="22" operator="equal">
      <formula>TRUE</formula>
    </cfRule>
  </conditionalFormatting>
  <conditionalFormatting sqref="G388">
    <cfRule type="cellIs" dxfId="176" priority="21" operator="equal">
      <formula>TRUE</formula>
    </cfRule>
  </conditionalFormatting>
  <conditionalFormatting sqref="G348">
    <cfRule type="cellIs" dxfId="175" priority="19" operator="equal">
      <formula>TRUE</formula>
    </cfRule>
  </conditionalFormatting>
  <conditionalFormatting sqref="G273">
    <cfRule type="cellIs" dxfId="174" priority="18" operator="equal">
      <formula>TRUE</formula>
    </cfRule>
  </conditionalFormatting>
  <conditionalFormatting sqref="G213">
    <cfRule type="cellIs" dxfId="173" priority="17" operator="equal">
      <formula>TRUE</formula>
    </cfRule>
  </conditionalFormatting>
  <conditionalFormatting sqref="G217">
    <cfRule type="cellIs" dxfId="172" priority="16" operator="equal">
      <formula>TRUE</formula>
    </cfRule>
  </conditionalFormatting>
  <conditionalFormatting sqref="G185">
    <cfRule type="cellIs" dxfId="171" priority="15" operator="equal">
      <formula>TRUE</formula>
    </cfRule>
  </conditionalFormatting>
  <conditionalFormatting sqref="G186">
    <cfRule type="cellIs" dxfId="170" priority="14" operator="equal">
      <formula>TRUE</formula>
    </cfRule>
  </conditionalFormatting>
  <conditionalFormatting sqref="G152">
    <cfRule type="cellIs" dxfId="169" priority="13" operator="equal">
      <formula>TRUE</formula>
    </cfRule>
  </conditionalFormatting>
  <conditionalFormatting sqref="G153">
    <cfRule type="cellIs" dxfId="168" priority="12" operator="equal">
      <formula>TRUE</formula>
    </cfRule>
  </conditionalFormatting>
  <conditionalFormatting sqref="G98">
    <cfRule type="cellIs" dxfId="167" priority="11" operator="equal">
      <formula>TRUE</formula>
    </cfRule>
  </conditionalFormatting>
  <conditionalFormatting sqref="G116">
    <cfRule type="cellIs" dxfId="166" priority="10" operator="equal">
      <formula>TRUE</formula>
    </cfRule>
  </conditionalFormatting>
  <conditionalFormatting sqref="G117">
    <cfRule type="cellIs" dxfId="165" priority="9" operator="equal">
      <formula>TRUE</formula>
    </cfRule>
  </conditionalFormatting>
  <conditionalFormatting sqref="G84">
    <cfRule type="cellIs" dxfId="164" priority="8" operator="equal">
      <formula>TRUE</formula>
    </cfRule>
  </conditionalFormatting>
  <conditionalFormatting sqref="G85">
    <cfRule type="cellIs" dxfId="163" priority="7" operator="equal">
      <formula>TRUE</formula>
    </cfRule>
  </conditionalFormatting>
  <conditionalFormatting sqref="G385">
    <cfRule type="cellIs" dxfId="162" priority="6" operator="equal">
      <formula>TRUE</formula>
    </cfRule>
  </conditionalFormatting>
  <conditionalFormatting sqref="G386">
    <cfRule type="cellIs" dxfId="161" priority="5" operator="equal">
      <formula>TRUE</formula>
    </cfRule>
  </conditionalFormatting>
  <conditionalFormatting sqref="G351">
    <cfRule type="cellIs" dxfId="160" priority="4" operator="equal">
      <formula>TRUE</formula>
    </cfRule>
  </conditionalFormatting>
  <conditionalFormatting sqref="G377">
    <cfRule type="cellIs" dxfId="159" priority="3" operator="equal">
      <formula>TRUE</formula>
    </cfRule>
  </conditionalFormatting>
  <conditionalFormatting sqref="G193">
    <cfRule type="cellIs" dxfId="158" priority="2" operator="equal">
      <formula>TRUE</formula>
    </cfRule>
  </conditionalFormatting>
  <conditionalFormatting sqref="G55">
    <cfRule type="cellIs" dxfId="157" priority="1" operator="equal">
      <formula>TRUE</formula>
    </cfRule>
  </conditionalFormatting>
  <pageMargins left="0.7" right="0.7" top="0.75" bottom="0.75" header="0.3" footer="0.3"/>
  <pageSetup paperSize="9" orientation="portrait" verticalDpi="0" r:id="rId1"/>
  <ignoredErrors>
    <ignoredError sqref="F35:G35 F22:G22 F19:G19 F95 G95 G88 F88 F75 G75 G65 F65 F52 G52 G40 F40 G389 F389 F376 G376 G372 F372 F365 G365 G359 F359 F357 G357 G353 F353 F347 G347 G342 F342 F277 G277 G271 F271 F219 G219 G211 F211 F203 G203 G190 F190 F176 G176 G155 F155 F127 G127 G121 F121" evalError="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35210-3707-42F4-BB1A-5C5A4BACBD64}">
  <sheetPr codeName="Blad14">
    <tabColor rgb="FFCCFFCC"/>
  </sheetPr>
  <dimension ref="A1:H375"/>
  <sheetViews>
    <sheetView topLeftCell="E11" workbookViewId="0">
      <selection activeCell="K17" sqref="K17"/>
    </sheetView>
  </sheetViews>
  <sheetFormatPr defaultRowHeight="12.75"/>
  <cols>
    <col min="1" max="3" width="18.28515625" hidden="1" customWidth="1" collapsed="1"/>
    <col min="4" max="4" width="23.5703125" hidden="1" customWidth="1" collapsed="1"/>
    <col min="5" max="5" width="30.5703125" customWidth="1" collapsed="1"/>
    <col min="6" max="6" width="24.140625" customWidth="1" collapsed="1"/>
    <col min="7" max="7" width="26.85546875" bestFit="1" customWidth="1" collapsed="1"/>
  </cols>
  <sheetData>
    <row r="1" spans="1:7" hidden="1">
      <c r="A1" s="175" t="s">
        <v>113</v>
      </c>
      <c r="B1" s="175" t="s">
        <v>114</v>
      </c>
      <c r="C1" s="175" t="s">
        <v>114</v>
      </c>
      <c r="D1" s="175" t="s">
        <v>114</v>
      </c>
      <c r="F1" s="175"/>
    </row>
    <row r="2" spans="1:7" hidden="1">
      <c r="A2" s="175" t="s">
        <v>113</v>
      </c>
      <c r="B2" s="179" t="s">
        <v>115</v>
      </c>
      <c r="C2" s="179" t="s">
        <v>267</v>
      </c>
      <c r="D2" s="179"/>
    </row>
    <row r="3" spans="1:7" hidden="1">
      <c r="A3" s="175" t="s">
        <v>113</v>
      </c>
      <c r="B3" s="180" t="s">
        <v>116</v>
      </c>
      <c r="C3" s="180" t="s">
        <v>117</v>
      </c>
      <c r="D3" s="180" t="s">
        <v>118</v>
      </c>
    </row>
    <row r="4" spans="1:7" hidden="1">
      <c r="A4" s="175" t="s">
        <v>113</v>
      </c>
      <c r="B4" s="179" t="s">
        <v>90</v>
      </c>
      <c r="C4" s="179" t="s">
        <v>124</v>
      </c>
      <c r="D4" s="181"/>
    </row>
    <row r="5" spans="1:7" hidden="1">
      <c r="A5" s="175" t="s">
        <v>113</v>
      </c>
      <c r="B5" s="179" t="s">
        <v>91</v>
      </c>
      <c r="C5" s="179" t="s">
        <v>124</v>
      </c>
      <c r="D5" s="181"/>
    </row>
    <row r="6" spans="1:7" hidden="1">
      <c r="A6" s="175" t="s">
        <v>113</v>
      </c>
      <c r="B6" s="179" t="s">
        <v>86</v>
      </c>
      <c r="C6" s="179" t="s">
        <v>122</v>
      </c>
      <c r="D6" s="179"/>
    </row>
    <row r="7" spans="1:7" hidden="1">
      <c r="A7" s="175" t="s">
        <v>113</v>
      </c>
      <c r="B7" s="179" t="s">
        <v>120</v>
      </c>
      <c r="C7" s="179" t="s">
        <v>119</v>
      </c>
      <c r="D7" s="179" t="s">
        <v>125</v>
      </c>
    </row>
    <row r="8" spans="1:7" hidden="1">
      <c r="A8" s="175" t="s">
        <v>113</v>
      </c>
      <c r="B8" s="179" t="s">
        <v>92</v>
      </c>
      <c r="C8" s="179" t="s">
        <v>119</v>
      </c>
      <c r="D8" s="179" t="s">
        <v>170</v>
      </c>
    </row>
    <row r="9" spans="1:7" hidden="1">
      <c r="A9" s="175" t="s">
        <v>113</v>
      </c>
      <c r="B9" s="179" t="s">
        <v>121</v>
      </c>
      <c r="C9" s="179" t="s">
        <v>119</v>
      </c>
      <c r="D9" s="179" t="s">
        <v>227</v>
      </c>
    </row>
    <row r="10" spans="1:7" hidden="1">
      <c r="A10" s="175" t="s">
        <v>113</v>
      </c>
      <c r="B10" s="179" t="s">
        <v>123</v>
      </c>
      <c r="C10" s="179" t="s">
        <v>119</v>
      </c>
      <c r="D10" s="179" t="s">
        <v>126</v>
      </c>
    </row>
    <row r="11" spans="1:7" ht="18.75">
      <c r="A11" s="175" t="s">
        <v>114</v>
      </c>
      <c r="B11" s="59"/>
      <c r="C11" s="59"/>
      <c r="D11" s="59"/>
      <c r="E11" s="60" t="s">
        <v>285</v>
      </c>
      <c r="F11" s="64"/>
    </row>
    <row r="12" spans="1:7" ht="15.75">
      <c r="E12" s="61" t="s">
        <v>67</v>
      </c>
      <c r="F12" s="65" t="str">
        <f>$F$22&amp;$F$23</f>
        <v>2021Q2</v>
      </c>
    </row>
    <row r="13" spans="1:7" ht="15.75">
      <c r="E13" s="61"/>
      <c r="F13" s="65"/>
    </row>
    <row r="14" spans="1:7">
      <c r="E14" s="52" t="s">
        <v>281</v>
      </c>
      <c r="F14" s="47">
        <f>COUNTIF($H25:$H376,TRUE)</f>
        <v>242</v>
      </c>
      <c r="G14" s="178" t="b">
        <f>$F$14='Overview MP Life'!$B$5</f>
        <v>1</v>
      </c>
    </row>
    <row r="15" spans="1:7" ht="15.75">
      <c r="E15" s="61"/>
      <c r="F15" s="65"/>
    </row>
    <row r="16" spans="1:7" ht="15.75">
      <c r="A16" s="175"/>
      <c r="E16" s="52" t="s">
        <v>274</v>
      </c>
      <c r="F16" s="65"/>
    </row>
    <row r="17" spans="1:8">
      <c r="A17" s="175"/>
      <c r="E17" s="47" t="s">
        <v>277</v>
      </c>
      <c r="F17" s="47">
        <v>1</v>
      </c>
    </row>
    <row r="18" spans="1:8">
      <c r="A18" s="175"/>
      <c r="E18" s="47" t="s">
        <v>278</v>
      </c>
      <c r="F18" s="47">
        <v>2</v>
      </c>
    </row>
    <row r="19" spans="1:8">
      <c r="A19" s="175"/>
      <c r="E19" s="47" t="s">
        <v>282</v>
      </c>
      <c r="F19" s="47">
        <v>3</v>
      </c>
    </row>
    <row r="20" spans="1:8">
      <c r="A20" s="175"/>
      <c r="E20" s="47" t="s">
        <v>279</v>
      </c>
      <c r="F20" s="47">
        <v>4</v>
      </c>
    </row>
    <row r="21" spans="1:8" ht="15.75">
      <c r="A21" s="175"/>
      <c r="E21" s="47" t="s">
        <v>280</v>
      </c>
      <c r="F21" s="47">
        <v>5</v>
      </c>
      <c r="G21" s="65"/>
    </row>
    <row r="22" spans="1:8" ht="15.75" hidden="1">
      <c r="A22" s="175" t="s">
        <v>113</v>
      </c>
      <c r="D22" s="181"/>
      <c r="E22" s="61"/>
      <c r="F22" s="65">
        <f>Selectie!$C$2</f>
        <v>2021</v>
      </c>
      <c r="G22" s="65"/>
    </row>
    <row r="23" spans="1:8" ht="15.75" hidden="1">
      <c r="A23" s="175" t="s">
        <v>113</v>
      </c>
      <c r="D23" s="181"/>
      <c r="F23" s="176" t="str">
        <f>Selectie!$C$3</f>
        <v>Q2</v>
      </c>
      <c r="G23" s="176"/>
    </row>
    <row r="24" spans="1:8">
      <c r="E24" s="52" t="s">
        <v>268</v>
      </c>
      <c r="F24" s="52" t="s">
        <v>275</v>
      </c>
      <c r="G24" s="52" t="s">
        <v>276</v>
      </c>
      <c r="H24" s="52" t="s">
        <v>240</v>
      </c>
    </row>
    <row r="25" spans="1:8">
      <c r="A25" s="175"/>
      <c r="D25" s="181"/>
      <c r="E25" s="52" t="s">
        <v>269</v>
      </c>
      <c r="F25" s="47" t="e">
        <f t="shared" ref="F25:F148" si="0">VLOOKUP($E25,Modelpuntoverzicht,6,FALSE)</f>
        <v>#N/A</v>
      </c>
      <c r="G25" s="47" t="e">
        <f t="shared" ref="G25:G148" si="1">IF(VLOOKUP($E25,Modelpuntoverzicht,9,FALSE)=2,"U","N")</f>
        <v>#N/A</v>
      </c>
      <c r="H25" s="178" t="e">
        <f>_xlfn.NUMBERVALUE(MID($E$25,11,1))=VLOOKUP($F25&amp;$G25,$E$17:$F$21,2,FALSE)</f>
        <v>#N/A</v>
      </c>
    </row>
    <row r="26" spans="1:8">
      <c r="A26" s="175"/>
      <c r="D26" s="181"/>
      <c r="E26" s="52" t="s">
        <v>1026</v>
      </c>
      <c r="F26" s="47" t="e">
        <f t="shared" si="0"/>
        <v>#N/A</v>
      </c>
      <c r="G26" s="47" t="e">
        <f t="shared" si="1"/>
        <v>#N/A</v>
      </c>
      <c r="H26" s="178" t="e">
        <f t="shared" ref="H26:H75" si="2">_xlfn.NUMBERVALUE(MID($E$25,11,1))=VLOOKUP($F26&amp;$G26,$E$17:$F$21,2,FALSE)</f>
        <v>#N/A</v>
      </c>
    </row>
    <row r="27" spans="1:8">
      <c r="A27" s="175"/>
      <c r="D27" s="181"/>
      <c r="E27" s="52" t="s">
        <v>1027</v>
      </c>
      <c r="F27" s="47" t="e">
        <f t="shared" si="0"/>
        <v>#N/A</v>
      </c>
      <c r="G27" s="47" t="e">
        <f t="shared" si="1"/>
        <v>#N/A</v>
      </c>
      <c r="H27" s="178" t="e">
        <f t="shared" si="2"/>
        <v>#N/A</v>
      </c>
    </row>
    <row r="28" spans="1:8">
      <c r="A28" s="175"/>
      <c r="D28" s="181"/>
      <c r="E28" s="52" t="s">
        <v>1028</v>
      </c>
      <c r="F28" s="47" t="e">
        <f t="shared" si="0"/>
        <v>#N/A</v>
      </c>
      <c r="G28" s="47" t="e">
        <f t="shared" si="1"/>
        <v>#N/A</v>
      </c>
      <c r="H28" s="178" t="e">
        <f t="shared" si="2"/>
        <v>#N/A</v>
      </c>
    </row>
    <row r="29" spans="1:8">
      <c r="A29" s="175"/>
      <c r="D29" s="181"/>
      <c r="E29" s="52" t="s">
        <v>1029</v>
      </c>
      <c r="F29" s="47" t="e">
        <f t="shared" si="0"/>
        <v>#N/A</v>
      </c>
      <c r="G29" s="47" t="e">
        <f t="shared" si="1"/>
        <v>#N/A</v>
      </c>
      <c r="H29" s="178" t="e">
        <f t="shared" si="2"/>
        <v>#N/A</v>
      </c>
    </row>
    <row r="30" spans="1:8">
      <c r="A30" s="175"/>
      <c r="D30" s="181"/>
      <c r="E30" s="52" t="s">
        <v>1020</v>
      </c>
      <c r="F30" s="47" t="e">
        <f t="shared" si="0"/>
        <v>#N/A</v>
      </c>
      <c r="G30" s="47" t="e">
        <f t="shared" si="1"/>
        <v>#N/A</v>
      </c>
      <c r="H30" s="178" t="e">
        <f t="shared" si="2"/>
        <v>#N/A</v>
      </c>
    </row>
    <row r="31" spans="1:8">
      <c r="A31" s="175"/>
      <c r="D31" s="181"/>
      <c r="E31" s="52" t="s">
        <v>1021</v>
      </c>
      <c r="F31" s="47" t="e">
        <f t="shared" si="0"/>
        <v>#N/A</v>
      </c>
      <c r="G31" s="47" t="e">
        <f t="shared" si="1"/>
        <v>#N/A</v>
      </c>
      <c r="H31" s="178" t="e">
        <f t="shared" si="2"/>
        <v>#N/A</v>
      </c>
    </row>
    <row r="32" spans="1:8">
      <c r="A32" s="175"/>
      <c r="D32" s="181"/>
      <c r="E32" s="52" t="s">
        <v>538</v>
      </c>
      <c r="F32" s="47">
        <f t="shared" si="0"/>
        <v>1</v>
      </c>
      <c r="G32" s="47" t="str">
        <f t="shared" si="1"/>
        <v>N</v>
      </c>
      <c r="H32" s="178" t="b">
        <f t="shared" si="2"/>
        <v>1</v>
      </c>
    </row>
    <row r="33" spans="1:8">
      <c r="A33" s="175"/>
      <c r="D33" s="181"/>
      <c r="E33" s="52" t="s">
        <v>590</v>
      </c>
      <c r="F33" s="47">
        <f t="shared" si="0"/>
        <v>1</v>
      </c>
      <c r="G33" s="47" t="str">
        <f t="shared" si="1"/>
        <v>N</v>
      </c>
      <c r="H33" s="178" t="b">
        <f t="shared" si="2"/>
        <v>1</v>
      </c>
    </row>
    <row r="34" spans="1:8">
      <c r="A34" s="175"/>
      <c r="D34" s="181"/>
      <c r="E34" s="52" t="s">
        <v>591</v>
      </c>
      <c r="F34" s="47">
        <f t="shared" si="0"/>
        <v>1</v>
      </c>
      <c r="G34" s="47" t="str">
        <f t="shared" si="1"/>
        <v>N</v>
      </c>
      <c r="H34" s="178" t="b">
        <f t="shared" si="2"/>
        <v>1</v>
      </c>
    </row>
    <row r="35" spans="1:8">
      <c r="A35" s="175"/>
      <c r="D35" s="181"/>
      <c r="E35" s="52" t="s">
        <v>592</v>
      </c>
      <c r="F35" s="47">
        <f t="shared" si="0"/>
        <v>1</v>
      </c>
      <c r="G35" s="47" t="str">
        <f t="shared" si="1"/>
        <v>N</v>
      </c>
      <c r="H35" s="178" t="b">
        <f t="shared" si="2"/>
        <v>1</v>
      </c>
    </row>
    <row r="36" spans="1:8">
      <c r="A36" s="175"/>
      <c r="D36" s="181"/>
      <c r="E36" s="52" t="s">
        <v>593</v>
      </c>
      <c r="F36" s="47">
        <f t="shared" si="0"/>
        <v>1</v>
      </c>
      <c r="G36" s="47" t="str">
        <f t="shared" si="1"/>
        <v>N</v>
      </c>
      <c r="H36" s="178" t="b">
        <f t="shared" si="2"/>
        <v>1</v>
      </c>
    </row>
    <row r="37" spans="1:8">
      <c r="A37" s="175"/>
      <c r="D37" s="181"/>
      <c r="E37" s="52" t="s">
        <v>594</v>
      </c>
      <c r="F37" s="47">
        <f t="shared" si="0"/>
        <v>1</v>
      </c>
      <c r="G37" s="47" t="str">
        <f t="shared" si="1"/>
        <v>N</v>
      </c>
      <c r="H37" s="178" t="b">
        <f t="shared" si="2"/>
        <v>1</v>
      </c>
    </row>
    <row r="38" spans="1:8">
      <c r="A38" s="175"/>
      <c r="D38" s="181"/>
      <c r="E38" s="52" t="s">
        <v>539</v>
      </c>
      <c r="F38" s="47">
        <f t="shared" si="0"/>
        <v>1</v>
      </c>
      <c r="G38" s="47" t="str">
        <f t="shared" si="1"/>
        <v>N</v>
      </c>
      <c r="H38" s="178" t="b">
        <f t="shared" si="2"/>
        <v>1</v>
      </c>
    </row>
    <row r="39" spans="1:8">
      <c r="A39" s="175"/>
      <c r="D39" s="181"/>
      <c r="E39" s="52" t="s">
        <v>1217</v>
      </c>
      <c r="F39" s="47" t="e">
        <f t="shared" si="0"/>
        <v>#N/A</v>
      </c>
      <c r="G39" s="47" t="e">
        <f t="shared" si="1"/>
        <v>#N/A</v>
      </c>
      <c r="H39" s="178" t="e">
        <f>_xlfn.NUMBERVALUE(MID($E$25,11,1))=VLOOKUP($F39&amp;$G39,$E$17:$F$21,2,FALSE)</f>
        <v>#N/A</v>
      </c>
    </row>
    <row r="40" spans="1:8">
      <c r="A40" s="175"/>
      <c r="D40" s="181"/>
      <c r="E40" s="52" t="s">
        <v>595</v>
      </c>
      <c r="F40" s="47">
        <f t="shared" si="0"/>
        <v>1</v>
      </c>
      <c r="G40" s="47" t="str">
        <f t="shared" si="1"/>
        <v>N</v>
      </c>
      <c r="H40" s="178" t="b">
        <f t="shared" si="2"/>
        <v>1</v>
      </c>
    </row>
    <row r="41" spans="1:8">
      <c r="A41" s="175"/>
      <c r="D41" s="181"/>
      <c r="E41" s="52" t="s">
        <v>596</v>
      </c>
      <c r="F41" s="47">
        <f t="shared" si="0"/>
        <v>1</v>
      </c>
      <c r="G41" s="47" t="str">
        <f t="shared" si="1"/>
        <v>N</v>
      </c>
      <c r="H41" s="178" t="b">
        <f t="shared" si="2"/>
        <v>1</v>
      </c>
    </row>
    <row r="42" spans="1:8">
      <c r="A42" s="175"/>
      <c r="D42" s="181"/>
      <c r="E42" s="52" t="s">
        <v>540</v>
      </c>
      <c r="F42" s="47">
        <f t="shared" si="0"/>
        <v>1</v>
      </c>
      <c r="G42" s="47" t="str">
        <f t="shared" si="1"/>
        <v>N</v>
      </c>
      <c r="H42" s="178" t="b">
        <f t="shared" si="2"/>
        <v>1</v>
      </c>
    </row>
    <row r="43" spans="1:8">
      <c r="A43" s="175"/>
      <c r="D43" s="181"/>
      <c r="E43" s="52" t="s">
        <v>541</v>
      </c>
      <c r="F43" s="47">
        <f t="shared" si="0"/>
        <v>1</v>
      </c>
      <c r="G43" s="47" t="str">
        <f t="shared" si="1"/>
        <v>N</v>
      </c>
      <c r="H43" s="178" t="b">
        <f t="shared" si="2"/>
        <v>1</v>
      </c>
    </row>
    <row r="44" spans="1:8">
      <c r="A44" s="175"/>
      <c r="D44" s="181"/>
      <c r="E44" s="52" t="s">
        <v>542</v>
      </c>
      <c r="F44" s="47">
        <f t="shared" si="0"/>
        <v>1</v>
      </c>
      <c r="G44" s="47" t="str">
        <f t="shared" si="1"/>
        <v>N</v>
      </c>
      <c r="H44" s="178" t="b">
        <f t="shared" si="2"/>
        <v>1</v>
      </c>
    </row>
    <row r="45" spans="1:8">
      <c r="A45" s="175"/>
      <c r="D45" s="181"/>
      <c r="E45" s="52" t="s">
        <v>597</v>
      </c>
      <c r="F45" s="47">
        <f t="shared" si="0"/>
        <v>1</v>
      </c>
      <c r="G45" s="47" t="str">
        <f t="shared" si="1"/>
        <v>N</v>
      </c>
      <c r="H45" s="178" t="b">
        <f t="shared" si="2"/>
        <v>1</v>
      </c>
    </row>
    <row r="46" spans="1:8">
      <c r="A46" s="175"/>
      <c r="D46" s="181"/>
      <c r="E46" s="52" t="s">
        <v>598</v>
      </c>
      <c r="F46" s="47">
        <f t="shared" si="0"/>
        <v>1</v>
      </c>
      <c r="G46" s="47" t="str">
        <f t="shared" si="1"/>
        <v>N</v>
      </c>
      <c r="H46" s="178" t="b">
        <f t="shared" si="2"/>
        <v>1</v>
      </c>
    </row>
    <row r="47" spans="1:8">
      <c r="A47" s="175"/>
      <c r="D47" s="181"/>
      <c r="E47" s="52" t="s">
        <v>599</v>
      </c>
      <c r="F47" s="47">
        <f t="shared" si="0"/>
        <v>1</v>
      </c>
      <c r="G47" s="47" t="str">
        <f t="shared" si="1"/>
        <v>N</v>
      </c>
      <c r="H47" s="178" t="b">
        <f t="shared" si="2"/>
        <v>1</v>
      </c>
    </row>
    <row r="48" spans="1:8">
      <c r="A48" s="175"/>
      <c r="D48" s="181"/>
      <c r="E48" s="52" t="s">
        <v>543</v>
      </c>
      <c r="F48" s="47">
        <f t="shared" si="0"/>
        <v>1</v>
      </c>
      <c r="G48" s="47" t="str">
        <f t="shared" si="1"/>
        <v>N</v>
      </c>
      <c r="H48" s="178" t="b">
        <f t="shared" si="2"/>
        <v>1</v>
      </c>
    </row>
    <row r="49" spans="1:8">
      <c r="A49" s="175"/>
      <c r="D49" s="181"/>
      <c r="E49" s="52" t="s">
        <v>544</v>
      </c>
      <c r="F49" s="47">
        <f t="shared" si="0"/>
        <v>1</v>
      </c>
      <c r="G49" s="47" t="str">
        <f t="shared" si="1"/>
        <v>N</v>
      </c>
      <c r="H49" s="178" t="b">
        <f t="shared" si="2"/>
        <v>1</v>
      </c>
    </row>
    <row r="50" spans="1:8">
      <c r="A50" s="175"/>
      <c r="D50" s="181"/>
      <c r="E50" s="52" t="s">
        <v>545</v>
      </c>
      <c r="F50" s="47">
        <f t="shared" si="0"/>
        <v>1</v>
      </c>
      <c r="G50" s="47" t="str">
        <f t="shared" si="1"/>
        <v>N</v>
      </c>
      <c r="H50" s="178" t="b">
        <f t="shared" si="2"/>
        <v>1</v>
      </c>
    </row>
    <row r="51" spans="1:8">
      <c r="A51" s="175"/>
      <c r="D51" s="181"/>
      <c r="E51" s="52" t="s">
        <v>546</v>
      </c>
      <c r="F51" s="47">
        <f t="shared" si="0"/>
        <v>1</v>
      </c>
      <c r="G51" s="47" t="str">
        <f t="shared" si="1"/>
        <v>N</v>
      </c>
      <c r="H51" s="178" t="b">
        <f t="shared" si="2"/>
        <v>1</v>
      </c>
    </row>
    <row r="52" spans="1:8">
      <c r="A52" s="175"/>
      <c r="D52" s="181"/>
      <c r="E52" s="52" t="s">
        <v>547</v>
      </c>
      <c r="F52" s="47">
        <f t="shared" si="0"/>
        <v>1</v>
      </c>
      <c r="G52" s="47" t="str">
        <f t="shared" si="1"/>
        <v>N</v>
      </c>
      <c r="H52" s="178" t="b">
        <f t="shared" si="2"/>
        <v>1</v>
      </c>
    </row>
    <row r="53" spans="1:8">
      <c r="A53" s="175"/>
      <c r="D53" s="181"/>
      <c r="E53" s="52" t="s">
        <v>548</v>
      </c>
      <c r="F53" s="47" t="e">
        <f t="shared" si="0"/>
        <v>#N/A</v>
      </c>
      <c r="G53" s="47" t="e">
        <f t="shared" si="1"/>
        <v>#N/A</v>
      </c>
      <c r="H53" s="178" t="e">
        <f t="shared" si="2"/>
        <v>#N/A</v>
      </c>
    </row>
    <row r="54" spans="1:8">
      <c r="A54" s="175"/>
      <c r="D54" s="181"/>
      <c r="E54" s="52" t="s">
        <v>600</v>
      </c>
      <c r="F54" s="47" t="e">
        <f t="shared" si="0"/>
        <v>#N/A</v>
      </c>
      <c r="G54" s="47" t="e">
        <f t="shared" si="1"/>
        <v>#N/A</v>
      </c>
      <c r="H54" s="178" t="e">
        <f t="shared" si="2"/>
        <v>#N/A</v>
      </c>
    </row>
    <row r="55" spans="1:8">
      <c r="A55" s="175"/>
      <c r="D55" s="181"/>
      <c r="E55" s="52" t="s">
        <v>549</v>
      </c>
      <c r="F55" s="47">
        <f t="shared" si="0"/>
        <v>1</v>
      </c>
      <c r="G55" s="47" t="str">
        <f t="shared" si="1"/>
        <v>N</v>
      </c>
      <c r="H55" s="178" t="b">
        <f t="shared" si="2"/>
        <v>1</v>
      </c>
    </row>
    <row r="56" spans="1:8">
      <c r="A56" s="175"/>
      <c r="D56" s="181"/>
      <c r="E56" s="52" t="s">
        <v>601</v>
      </c>
      <c r="F56" s="47">
        <f t="shared" si="0"/>
        <v>1</v>
      </c>
      <c r="G56" s="47" t="str">
        <f t="shared" si="1"/>
        <v>N</v>
      </c>
      <c r="H56" s="178" t="b">
        <f t="shared" si="2"/>
        <v>1</v>
      </c>
    </row>
    <row r="57" spans="1:8">
      <c r="A57" s="175"/>
      <c r="D57" s="181"/>
      <c r="E57" s="52" t="s">
        <v>602</v>
      </c>
      <c r="F57" s="47">
        <f t="shared" si="0"/>
        <v>1</v>
      </c>
      <c r="G57" s="47" t="str">
        <f t="shared" si="1"/>
        <v>N</v>
      </c>
      <c r="H57" s="178" t="b">
        <f t="shared" si="2"/>
        <v>1</v>
      </c>
    </row>
    <row r="58" spans="1:8">
      <c r="A58" s="175"/>
      <c r="D58" s="181"/>
      <c r="E58" s="52" t="s">
        <v>550</v>
      </c>
      <c r="F58" s="47">
        <f t="shared" si="0"/>
        <v>1</v>
      </c>
      <c r="G58" s="47" t="str">
        <f t="shared" si="1"/>
        <v>N</v>
      </c>
      <c r="H58" s="178" t="b">
        <f t="shared" si="2"/>
        <v>1</v>
      </c>
    </row>
    <row r="59" spans="1:8">
      <c r="A59" s="175"/>
      <c r="D59" s="181"/>
      <c r="E59" s="52" t="s">
        <v>551</v>
      </c>
      <c r="F59" s="47">
        <f t="shared" si="0"/>
        <v>1</v>
      </c>
      <c r="G59" s="47" t="str">
        <f t="shared" si="1"/>
        <v>N</v>
      </c>
      <c r="H59" s="178" t="b">
        <f t="shared" si="2"/>
        <v>1</v>
      </c>
    </row>
    <row r="60" spans="1:8">
      <c r="A60" s="175"/>
      <c r="D60" s="181"/>
      <c r="E60" s="52" t="s">
        <v>603</v>
      </c>
      <c r="F60" s="47">
        <f t="shared" si="0"/>
        <v>1</v>
      </c>
      <c r="G60" s="47" t="str">
        <f t="shared" si="1"/>
        <v>N</v>
      </c>
      <c r="H60" s="178" t="b">
        <f t="shared" si="2"/>
        <v>1</v>
      </c>
    </row>
    <row r="61" spans="1:8">
      <c r="A61" s="175"/>
      <c r="D61" s="181"/>
      <c r="E61" s="52" t="s">
        <v>604</v>
      </c>
      <c r="F61" s="47">
        <f t="shared" si="0"/>
        <v>1</v>
      </c>
      <c r="G61" s="47" t="str">
        <f t="shared" si="1"/>
        <v>N</v>
      </c>
      <c r="H61" s="178" t="b">
        <f t="shared" si="2"/>
        <v>1</v>
      </c>
    </row>
    <row r="62" spans="1:8">
      <c r="A62" s="175"/>
      <c r="D62" s="181"/>
      <c r="E62" s="52" t="s">
        <v>605</v>
      </c>
      <c r="F62" s="47">
        <f t="shared" si="0"/>
        <v>1</v>
      </c>
      <c r="G62" s="47" t="str">
        <f t="shared" si="1"/>
        <v>N</v>
      </c>
      <c r="H62" s="178" t="b">
        <f t="shared" si="2"/>
        <v>1</v>
      </c>
    </row>
    <row r="63" spans="1:8">
      <c r="A63" s="175"/>
      <c r="D63" s="181"/>
      <c r="E63" s="52" t="s">
        <v>606</v>
      </c>
      <c r="F63" s="47">
        <f t="shared" si="0"/>
        <v>1</v>
      </c>
      <c r="G63" s="47" t="str">
        <f t="shared" si="1"/>
        <v>N</v>
      </c>
      <c r="H63" s="178" t="b">
        <f t="shared" si="2"/>
        <v>1</v>
      </c>
    </row>
    <row r="64" spans="1:8">
      <c r="A64" s="175"/>
      <c r="D64" s="181"/>
      <c r="E64" s="52" t="s">
        <v>607</v>
      </c>
      <c r="F64" s="47">
        <f t="shared" si="0"/>
        <v>1</v>
      </c>
      <c r="G64" s="47" t="str">
        <f t="shared" si="1"/>
        <v>N</v>
      </c>
      <c r="H64" s="178" t="b">
        <f t="shared" si="2"/>
        <v>1</v>
      </c>
    </row>
    <row r="65" spans="1:8">
      <c r="A65" s="175"/>
      <c r="D65" s="181"/>
      <c r="E65" s="52" t="s">
        <v>608</v>
      </c>
      <c r="F65" s="47">
        <f t="shared" si="0"/>
        <v>1</v>
      </c>
      <c r="G65" s="47" t="str">
        <f t="shared" si="1"/>
        <v>N</v>
      </c>
      <c r="H65" s="178" t="b">
        <f t="shared" si="2"/>
        <v>1</v>
      </c>
    </row>
    <row r="66" spans="1:8">
      <c r="A66" s="175"/>
      <c r="D66" s="181"/>
      <c r="E66" s="52" t="s">
        <v>552</v>
      </c>
      <c r="F66" s="47">
        <f t="shared" si="0"/>
        <v>1</v>
      </c>
      <c r="G66" s="47" t="str">
        <f t="shared" si="1"/>
        <v>N</v>
      </c>
      <c r="H66" s="178" t="b">
        <f t="shared" si="2"/>
        <v>1</v>
      </c>
    </row>
    <row r="67" spans="1:8">
      <c r="A67" s="175"/>
      <c r="D67" s="181"/>
      <c r="E67" s="52" t="s">
        <v>609</v>
      </c>
      <c r="F67" s="47">
        <f t="shared" si="0"/>
        <v>1</v>
      </c>
      <c r="G67" s="47" t="str">
        <f t="shared" si="1"/>
        <v>N</v>
      </c>
      <c r="H67" s="178" t="b">
        <f t="shared" si="2"/>
        <v>1</v>
      </c>
    </row>
    <row r="68" spans="1:8">
      <c r="A68" s="175"/>
      <c r="D68" s="181"/>
      <c r="E68" s="52" t="s">
        <v>610</v>
      </c>
      <c r="F68" s="47">
        <f t="shared" si="0"/>
        <v>1</v>
      </c>
      <c r="G68" s="47" t="str">
        <f t="shared" si="1"/>
        <v>N</v>
      </c>
      <c r="H68" s="178" t="b">
        <f t="shared" si="2"/>
        <v>1</v>
      </c>
    </row>
    <row r="69" spans="1:8">
      <c r="A69" s="175"/>
      <c r="D69" s="181"/>
      <c r="E69" s="52" t="s">
        <v>611</v>
      </c>
      <c r="F69" s="47">
        <f t="shared" si="0"/>
        <v>1</v>
      </c>
      <c r="G69" s="47" t="str">
        <f t="shared" si="1"/>
        <v>N</v>
      </c>
      <c r="H69" s="178" t="b">
        <f t="shared" si="2"/>
        <v>1</v>
      </c>
    </row>
    <row r="70" spans="1:8">
      <c r="A70" s="175"/>
      <c r="D70" s="181"/>
      <c r="E70" s="52" t="s">
        <v>612</v>
      </c>
      <c r="F70" s="47">
        <f t="shared" si="0"/>
        <v>1</v>
      </c>
      <c r="G70" s="47" t="str">
        <f t="shared" si="1"/>
        <v>N</v>
      </c>
      <c r="H70" s="178" t="b">
        <f t="shared" si="2"/>
        <v>1</v>
      </c>
    </row>
    <row r="71" spans="1:8">
      <c r="A71" s="175"/>
      <c r="D71" s="181"/>
      <c r="E71" s="52" t="s">
        <v>553</v>
      </c>
      <c r="F71" s="47">
        <f t="shared" si="0"/>
        <v>1</v>
      </c>
      <c r="G71" s="47" t="str">
        <f t="shared" si="1"/>
        <v>N</v>
      </c>
      <c r="H71" s="178" t="b">
        <f t="shared" si="2"/>
        <v>1</v>
      </c>
    </row>
    <row r="72" spans="1:8">
      <c r="A72" s="175"/>
      <c r="D72" s="181"/>
      <c r="E72" s="52" t="s">
        <v>613</v>
      </c>
      <c r="F72" s="47">
        <f t="shared" si="0"/>
        <v>1</v>
      </c>
      <c r="G72" s="47" t="str">
        <f t="shared" si="1"/>
        <v>N</v>
      </c>
      <c r="H72" s="178" t="b">
        <f t="shared" si="2"/>
        <v>1</v>
      </c>
    </row>
    <row r="73" spans="1:8">
      <c r="A73" s="175"/>
      <c r="D73" s="181"/>
      <c r="E73" s="52" t="s">
        <v>614</v>
      </c>
      <c r="F73" s="47">
        <f t="shared" si="0"/>
        <v>1</v>
      </c>
      <c r="G73" s="47" t="str">
        <f t="shared" si="1"/>
        <v>N</v>
      </c>
      <c r="H73" s="178" t="b">
        <f t="shared" si="2"/>
        <v>1</v>
      </c>
    </row>
    <row r="74" spans="1:8">
      <c r="A74" s="175"/>
      <c r="D74" s="181"/>
      <c r="E74" s="52" t="s">
        <v>554</v>
      </c>
      <c r="F74" s="47">
        <f t="shared" si="0"/>
        <v>1</v>
      </c>
      <c r="G74" s="47" t="str">
        <f t="shared" si="1"/>
        <v>N</v>
      </c>
      <c r="H74" s="178" t="b">
        <f t="shared" si="2"/>
        <v>1</v>
      </c>
    </row>
    <row r="75" spans="1:8">
      <c r="A75" s="175"/>
      <c r="D75" s="181"/>
      <c r="E75" s="52" t="s">
        <v>555</v>
      </c>
      <c r="F75" s="47">
        <f t="shared" si="0"/>
        <v>1</v>
      </c>
      <c r="G75" s="47" t="str">
        <f t="shared" si="1"/>
        <v>N</v>
      </c>
      <c r="H75" s="178" t="b">
        <f t="shared" si="2"/>
        <v>1</v>
      </c>
    </row>
    <row r="76" spans="1:8">
      <c r="A76" s="175"/>
      <c r="D76" s="181"/>
      <c r="E76" s="52" t="s">
        <v>270</v>
      </c>
      <c r="F76" s="47" t="e">
        <f t="shared" si="0"/>
        <v>#N/A</v>
      </c>
      <c r="G76" s="47" t="e">
        <f t="shared" si="1"/>
        <v>#N/A</v>
      </c>
      <c r="H76" s="178" t="e">
        <f>_xlfn.NUMBERVALUE(MID($E$76,11,1))=VLOOKUP($F76&amp;$G76,$E$17:$F$21,2,FALSE)</f>
        <v>#N/A</v>
      </c>
    </row>
    <row r="77" spans="1:8">
      <c r="A77" s="175"/>
      <c r="D77" s="181"/>
      <c r="E77" s="52" t="s">
        <v>1023</v>
      </c>
      <c r="F77" s="47" t="e">
        <f t="shared" si="0"/>
        <v>#N/A</v>
      </c>
      <c r="G77" s="47" t="e">
        <f t="shared" si="1"/>
        <v>#N/A</v>
      </c>
      <c r="H77" s="178" t="e">
        <f t="shared" ref="H77:H150" si="3">_xlfn.NUMBERVALUE(MID($E$76,11,1))=VLOOKUP($F77&amp;$G77,$E$17:$F$21,2,FALSE)</f>
        <v>#N/A</v>
      </c>
    </row>
    <row r="78" spans="1:8">
      <c r="A78" s="175"/>
      <c r="D78" s="181"/>
      <c r="E78" s="52" t="s">
        <v>1022</v>
      </c>
      <c r="F78" s="47" t="e">
        <f t="shared" si="0"/>
        <v>#N/A</v>
      </c>
      <c r="G78" s="47" t="e">
        <f t="shared" si="1"/>
        <v>#N/A</v>
      </c>
      <c r="H78" s="178" t="e">
        <f t="shared" si="3"/>
        <v>#N/A</v>
      </c>
    </row>
    <row r="79" spans="1:8">
      <c r="A79" s="175"/>
      <c r="D79" s="181"/>
      <c r="E79" s="52" t="s">
        <v>1019</v>
      </c>
      <c r="F79" s="47" t="e">
        <f t="shared" si="0"/>
        <v>#N/A</v>
      </c>
      <c r="G79" s="47" t="e">
        <f t="shared" si="1"/>
        <v>#N/A</v>
      </c>
      <c r="H79" s="178" t="e">
        <f t="shared" si="3"/>
        <v>#N/A</v>
      </c>
    </row>
    <row r="80" spans="1:8">
      <c r="A80" s="175"/>
      <c r="D80" s="181"/>
      <c r="E80" s="52" t="s">
        <v>1017</v>
      </c>
      <c r="F80" s="47" t="e">
        <f t="shared" si="0"/>
        <v>#N/A</v>
      </c>
      <c r="G80" s="47" t="e">
        <f t="shared" si="1"/>
        <v>#N/A</v>
      </c>
      <c r="H80" s="178" t="e">
        <f t="shared" si="3"/>
        <v>#N/A</v>
      </c>
    </row>
    <row r="81" spans="1:8">
      <c r="A81" s="175"/>
      <c r="D81" s="181"/>
      <c r="E81" s="52" t="s">
        <v>1009</v>
      </c>
      <c r="F81" s="47" t="e">
        <f t="shared" si="0"/>
        <v>#N/A</v>
      </c>
      <c r="G81" s="47" t="e">
        <f t="shared" si="1"/>
        <v>#N/A</v>
      </c>
      <c r="H81" s="178" t="e">
        <f t="shared" si="3"/>
        <v>#N/A</v>
      </c>
    </row>
    <row r="82" spans="1:8">
      <c r="A82" s="175"/>
      <c r="D82" s="181"/>
      <c r="E82" s="52" t="s">
        <v>1008</v>
      </c>
      <c r="F82" s="47" t="e">
        <f t="shared" si="0"/>
        <v>#N/A</v>
      </c>
      <c r="G82" s="47" t="e">
        <f t="shared" si="1"/>
        <v>#N/A</v>
      </c>
      <c r="H82" s="178" t="e">
        <f t="shared" si="3"/>
        <v>#N/A</v>
      </c>
    </row>
    <row r="83" spans="1:8">
      <c r="A83" s="175"/>
      <c r="D83" s="181"/>
      <c r="E83" s="52" t="s">
        <v>1007</v>
      </c>
      <c r="F83" s="47" t="e">
        <f t="shared" si="0"/>
        <v>#N/A</v>
      </c>
      <c r="G83" s="47" t="e">
        <f t="shared" si="1"/>
        <v>#N/A</v>
      </c>
      <c r="H83" s="178" t="e">
        <f t="shared" si="3"/>
        <v>#N/A</v>
      </c>
    </row>
    <row r="84" spans="1:8">
      <c r="A84" s="175"/>
      <c r="D84" s="181"/>
      <c r="E84" s="52" t="s">
        <v>1006</v>
      </c>
      <c r="F84" s="47" t="e">
        <f t="shared" si="0"/>
        <v>#N/A</v>
      </c>
      <c r="G84" s="47" t="e">
        <f t="shared" si="1"/>
        <v>#N/A</v>
      </c>
      <c r="H84" s="178" t="e">
        <f t="shared" si="3"/>
        <v>#N/A</v>
      </c>
    </row>
    <row r="85" spans="1:8">
      <c r="A85" s="175"/>
      <c r="D85" s="181"/>
      <c r="E85" s="52" t="s">
        <v>488</v>
      </c>
      <c r="F85" s="47">
        <f t="shared" si="0"/>
        <v>2</v>
      </c>
      <c r="G85" s="47" t="str">
        <f t="shared" si="1"/>
        <v>N</v>
      </c>
      <c r="H85" s="178" t="b">
        <f t="shared" si="3"/>
        <v>1</v>
      </c>
    </row>
    <row r="86" spans="1:8">
      <c r="A86" s="175"/>
      <c r="D86" s="181"/>
      <c r="E86" s="52" t="s">
        <v>478</v>
      </c>
      <c r="F86" s="47">
        <f t="shared" si="0"/>
        <v>2</v>
      </c>
      <c r="G86" s="47" t="str">
        <f t="shared" si="1"/>
        <v>N</v>
      </c>
      <c r="H86" s="178" t="b">
        <f t="shared" si="3"/>
        <v>1</v>
      </c>
    </row>
    <row r="87" spans="1:8">
      <c r="A87" s="175"/>
      <c r="D87" s="181"/>
      <c r="E87" s="52" t="s">
        <v>556</v>
      </c>
      <c r="F87" s="47">
        <f t="shared" si="0"/>
        <v>2</v>
      </c>
      <c r="G87" s="47" t="str">
        <f t="shared" si="1"/>
        <v>N</v>
      </c>
      <c r="H87" s="178" t="b">
        <f t="shared" si="3"/>
        <v>1</v>
      </c>
    </row>
    <row r="88" spans="1:8">
      <c r="A88" s="175"/>
      <c r="D88" s="181"/>
      <c r="E88" s="52" t="s">
        <v>584</v>
      </c>
      <c r="F88" s="47">
        <f t="shared" si="0"/>
        <v>2</v>
      </c>
      <c r="G88" s="47" t="str">
        <f t="shared" si="1"/>
        <v>N</v>
      </c>
      <c r="H88" s="178" t="b">
        <f t="shared" si="3"/>
        <v>1</v>
      </c>
    </row>
    <row r="89" spans="1:8">
      <c r="A89" s="175"/>
      <c r="D89" s="181"/>
      <c r="E89" s="52" t="s">
        <v>489</v>
      </c>
      <c r="F89" s="47">
        <f t="shared" si="0"/>
        <v>2</v>
      </c>
      <c r="G89" s="47" t="str">
        <f t="shared" si="1"/>
        <v>N</v>
      </c>
      <c r="H89" s="178" t="b">
        <f t="shared" si="3"/>
        <v>1</v>
      </c>
    </row>
    <row r="90" spans="1:8">
      <c r="A90" s="175"/>
      <c r="D90" s="181"/>
      <c r="E90" s="52" t="s">
        <v>1024</v>
      </c>
      <c r="F90" s="47">
        <f t="shared" si="0"/>
        <v>2</v>
      </c>
      <c r="G90" s="47" t="str">
        <f t="shared" si="1"/>
        <v>N</v>
      </c>
      <c r="H90" s="178" t="b">
        <f t="shared" ref="H90:H96" si="4">_xlfn.NUMBERVALUE(MID($E$76,11,1))=VLOOKUP($F90&amp;$G90,$E$17:$F$21,2,FALSE)</f>
        <v>1</v>
      </c>
    </row>
    <row r="91" spans="1:8">
      <c r="A91" s="175"/>
      <c r="D91" s="181"/>
      <c r="E91" s="52" t="s">
        <v>1025</v>
      </c>
      <c r="F91" s="47">
        <f t="shared" si="0"/>
        <v>2</v>
      </c>
      <c r="G91" s="47" t="str">
        <f t="shared" si="1"/>
        <v>N</v>
      </c>
      <c r="H91" s="178" t="b">
        <f t="shared" si="4"/>
        <v>1</v>
      </c>
    </row>
    <row r="92" spans="1:8">
      <c r="A92" s="175"/>
      <c r="D92" s="181"/>
      <c r="E92" s="52" t="s">
        <v>1079</v>
      </c>
      <c r="F92" s="47">
        <f t="shared" si="0"/>
        <v>2</v>
      </c>
      <c r="G92" s="47" t="str">
        <f t="shared" si="1"/>
        <v>N</v>
      </c>
      <c r="H92" s="178" t="b">
        <f t="shared" si="4"/>
        <v>1</v>
      </c>
    </row>
    <row r="93" spans="1:8">
      <c r="A93" s="175"/>
      <c r="D93" s="181"/>
      <c r="E93" s="52" t="s">
        <v>1010</v>
      </c>
      <c r="F93" s="47">
        <f t="shared" si="0"/>
        <v>2</v>
      </c>
      <c r="G93" s="47" t="str">
        <f t="shared" si="1"/>
        <v>N</v>
      </c>
      <c r="H93" s="178" t="b">
        <f t="shared" si="4"/>
        <v>1</v>
      </c>
    </row>
    <row r="94" spans="1:8">
      <c r="A94" s="175"/>
      <c r="D94" s="181"/>
      <c r="E94" s="52" t="s">
        <v>1011</v>
      </c>
      <c r="F94" s="47">
        <f t="shared" si="0"/>
        <v>2</v>
      </c>
      <c r="G94" s="47" t="str">
        <f t="shared" si="1"/>
        <v>N</v>
      </c>
      <c r="H94" s="178" t="b">
        <f t="shared" si="4"/>
        <v>1</v>
      </c>
    </row>
    <row r="95" spans="1:8">
      <c r="A95" s="175"/>
      <c r="D95" s="181"/>
      <c r="E95" s="52" t="s">
        <v>1193</v>
      </c>
      <c r="F95" s="47">
        <f t="shared" si="0"/>
        <v>2</v>
      </c>
      <c r="G95" s="47" t="str">
        <f t="shared" si="1"/>
        <v>N</v>
      </c>
      <c r="H95" s="178" t="b">
        <f>_xlfn.NUMBERVALUE(MID($E$76,11,1))=VLOOKUP($F95&amp;$G95,$E$17:$F$21,2,FALSE)</f>
        <v>1</v>
      </c>
    </row>
    <row r="96" spans="1:8">
      <c r="A96" s="175"/>
      <c r="D96" s="181"/>
      <c r="E96" s="52" t="s">
        <v>1085</v>
      </c>
      <c r="F96" s="47">
        <f t="shared" si="0"/>
        <v>2</v>
      </c>
      <c r="G96" s="47" t="str">
        <f t="shared" si="1"/>
        <v>N</v>
      </c>
      <c r="H96" s="178" t="b">
        <f t="shared" si="4"/>
        <v>1</v>
      </c>
    </row>
    <row r="97" spans="1:8">
      <c r="A97" s="175"/>
      <c r="D97" s="181"/>
      <c r="E97" s="52" t="s">
        <v>557</v>
      </c>
      <c r="F97" s="47">
        <f t="shared" si="0"/>
        <v>2</v>
      </c>
      <c r="G97" s="47" t="str">
        <f t="shared" si="1"/>
        <v>N</v>
      </c>
      <c r="H97" s="178" t="b">
        <f t="shared" si="3"/>
        <v>1</v>
      </c>
    </row>
    <row r="98" spans="1:8">
      <c r="A98" s="175"/>
      <c r="D98" s="181"/>
      <c r="E98" s="52" t="s">
        <v>558</v>
      </c>
      <c r="F98" s="47">
        <f t="shared" si="0"/>
        <v>2</v>
      </c>
      <c r="G98" s="47" t="str">
        <f t="shared" si="1"/>
        <v>N</v>
      </c>
      <c r="H98" s="178" t="b">
        <f t="shared" si="3"/>
        <v>1</v>
      </c>
    </row>
    <row r="99" spans="1:8">
      <c r="A99" s="175"/>
      <c r="D99" s="181"/>
      <c r="E99" s="52" t="s">
        <v>973</v>
      </c>
      <c r="F99" s="47">
        <f t="shared" si="0"/>
        <v>2</v>
      </c>
      <c r="G99" s="47" t="str">
        <f t="shared" si="1"/>
        <v>N</v>
      </c>
      <c r="H99" s="178" t="b">
        <f t="shared" si="3"/>
        <v>1</v>
      </c>
    </row>
    <row r="100" spans="1:8">
      <c r="A100" s="175"/>
      <c r="D100" s="181"/>
      <c r="E100" s="52" t="s">
        <v>472</v>
      </c>
      <c r="F100" s="47">
        <f t="shared" si="0"/>
        <v>2</v>
      </c>
      <c r="G100" s="47" t="str">
        <f t="shared" si="1"/>
        <v>N</v>
      </c>
      <c r="H100" s="178" t="b">
        <f t="shared" si="3"/>
        <v>1</v>
      </c>
    </row>
    <row r="101" spans="1:8">
      <c r="A101" s="175"/>
      <c r="D101" s="181"/>
      <c r="E101" s="52" t="s">
        <v>585</v>
      </c>
      <c r="F101" s="47">
        <f t="shared" si="0"/>
        <v>2</v>
      </c>
      <c r="G101" s="47" t="str">
        <f t="shared" si="1"/>
        <v>N</v>
      </c>
      <c r="H101" s="178" t="b">
        <f t="shared" si="3"/>
        <v>1</v>
      </c>
    </row>
    <row r="102" spans="1:8">
      <c r="A102" s="175"/>
      <c r="D102" s="181"/>
      <c r="E102" s="52" t="s">
        <v>468</v>
      </c>
      <c r="F102" s="47">
        <f t="shared" si="0"/>
        <v>2</v>
      </c>
      <c r="G102" s="47" t="str">
        <f t="shared" si="1"/>
        <v>N</v>
      </c>
      <c r="H102" s="178" t="b">
        <f t="shared" si="3"/>
        <v>1</v>
      </c>
    </row>
    <row r="103" spans="1:8">
      <c r="A103" s="175"/>
      <c r="D103" s="181"/>
      <c r="E103" s="52" t="s">
        <v>490</v>
      </c>
      <c r="F103" s="47">
        <f t="shared" si="0"/>
        <v>2</v>
      </c>
      <c r="G103" s="47" t="str">
        <f t="shared" si="1"/>
        <v>N</v>
      </c>
      <c r="H103" s="178" t="b">
        <f t="shared" si="3"/>
        <v>1</v>
      </c>
    </row>
    <row r="104" spans="1:8">
      <c r="A104" s="175"/>
      <c r="D104" s="181"/>
      <c r="E104" s="52" t="s">
        <v>479</v>
      </c>
      <c r="F104" s="47">
        <f t="shared" si="0"/>
        <v>2</v>
      </c>
      <c r="G104" s="47" t="str">
        <f t="shared" si="1"/>
        <v>N</v>
      </c>
      <c r="H104" s="178" t="b">
        <f t="shared" si="3"/>
        <v>1</v>
      </c>
    </row>
    <row r="105" spans="1:8">
      <c r="A105" s="175"/>
      <c r="D105" s="181"/>
      <c r="E105" s="52" t="s">
        <v>473</v>
      </c>
      <c r="F105" s="47">
        <f t="shared" si="0"/>
        <v>2</v>
      </c>
      <c r="G105" s="47" t="str">
        <f t="shared" si="1"/>
        <v>N</v>
      </c>
      <c r="H105" s="178" t="b">
        <f t="shared" si="3"/>
        <v>1</v>
      </c>
    </row>
    <row r="106" spans="1:8">
      <c r="A106" s="175"/>
      <c r="D106" s="181"/>
      <c r="E106" s="52" t="s">
        <v>559</v>
      </c>
      <c r="F106" s="47">
        <f t="shared" si="0"/>
        <v>2</v>
      </c>
      <c r="G106" s="47" t="str">
        <f t="shared" si="1"/>
        <v>N</v>
      </c>
      <c r="H106" s="178" t="b">
        <f t="shared" si="3"/>
        <v>1</v>
      </c>
    </row>
    <row r="107" spans="1:8">
      <c r="A107" s="175"/>
      <c r="D107" s="181"/>
      <c r="E107" s="52" t="s">
        <v>586</v>
      </c>
      <c r="F107" s="47">
        <f t="shared" si="0"/>
        <v>2</v>
      </c>
      <c r="G107" s="47" t="str">
        <f t="shared" si="1"/>
        <v>N</v>
      </c>
      <c r="H107" s="178" t="b">
        <f t="shared" si="3"/>
        <v>1</v>
      </c>
    </row>
    <row r="108" spans="1:8">
      <c r="A108" s="175"/>
      <c r="D108" s="181"/>
      <c r="E108" s="52" t="s">
        <v>578</v>
      </c>
      <c r="F108" s="47">
        <f t="shared" si="0"/>
        <v>2</v>
      </c>
      <c r="G108" s="47" t="str">
        <f t="shared" si="1"/>
        <v>N</v>
      </c>
      <c r="H108" s="178" t="b">
        <f t="shared" si="3"/>
        <v>1</v>
      </c>
    </row>
    <row r="109" spans="1:8">
      <c r="A109" s="175"/>
      <c r="D109" s="181"/>
      <c r="E109" s="52" t="s">
        <v>579</v>
      </c>
      <c r="F109" s="47">
        <f t="shared" si="0"/>
        <v>2</v>
      </c>
      <c r="G109" s="47" t="str">
        <f t="shared" si="1"/>
        <v>N</v>
      </c>
      <c r="H109" s="178" t="b">
        <f t="shared" si="3"/>
        <v>1</v>
      </c>
    </row>
    <row r="110" spans="1:8">
      <c r="A110" s="175"/>
      <c r="D110" s="181"/>
      <c r="E110" s="52" t="s">
        <v>469</v>
      </c>
      <c r="F110" s="47">
        <f t="shared" si="0"/>
        <v>2</v>
      </c>
      <c r="G110" s="47" t="str">
        <f t="shared" si="1"/>
        <v>N</v>
      </c>
      <c r="H110" s="178" t="b">
        <f t="shared" si="3"/>
        <v>1</v>
      </c>
    </row>
    <row r="111" spans="1:8">
      <c r="A111" s="175"/>
      <c r="D111" s="181"/>
      <c r="E111" s="52" t="s">
        <v>491</v>
      </c>
      <c r="F111" s="47">
        <f t="shared" si="0"/>
        <v>2</v>
      </c>
      <c r="G111" s="47" t="str">
        <f t="shared" si="1"/>
        <v>N</v>
      </c>
      <c r="H111" s="178" t="b">
        <f t="shared" si="3"/>
        <v>1</v>
      </c>
    </row>
    <row r="112" spans="1:8">
      <c r="A112" s="175"/>
      <c r="D112" s="181"/>
      <c r="E112" s="52" t="s">
        <v>480</v>
      </c>
      <c r="F112" s="47">
        <f t="shared" si="0"/>
        <v>2</v>
      </c>
      <c r="G112" s="47" t="str">
        <f t="shared" si="1"/>
        <v>N</v>
      </c>
      <c r="H112" s="178" t="b">
        <f t="shared" si="3"/>
        <v>1</v>
      </c>
    </row>
    <row r="113" spans="1:8">
      <c r="A113" s="175"/>
      <c r="D113" s="181"/>
      <c r="E113" s="52" t="s">
        <v>560</v>
      </c>
      <c r="F113" s="47">
        <f t="shared" si="0"/>
        <v>2</v>
      </c>
      <c r="G113" s="47" t="str">
        <f t="shared" si="1"/>
        <v>N</v>
      </c>
      <c r="H113" s="178" t="b">
        <f t="shared" si="3"/>
        <v>1</v>
      </c>
    </row>
    <row r="114" spans="1:8">
      <c r="A114" s="175"/>
      <c r="D114" s="181"/>
      <c r="E114" s="52" t="s">
        <v>561</v>
      </c>
      <c r="F114" s="47">
        <f t="shared" si="0"/>
        <v>2</v>
      </c>
      <c r="G114" s="47" t="str">
        <f t="shared" si="1"/>
        <v>N</v>
      </c>
      <c r="H114" s="178" t="b">
        <f t="shared" si="3"/>
        <v>1</v>
      </c>
    </row>
    <row r="115" spans="1:8">
      <c r="A115" s="175"/>
      <c r="D115" s="181"/>
      <c r="E115" s="52" t="s">
        <v>562</v>
      </c>
      <c r="F115" s="47">
        <f t="shared" si="0"/>
        <v>2</v>
      </c>
      <c r="G115" s="47" t="str">
        <f t="shared" si="1"/>
        <v>N</v>
      </c>
      <c r="H115" s="178" t="b">
        <f t="shared" si="3"/>
        <v>1</v>
      </c>
    </row>
    <row r="116" spans="1:8">
      <c r="A116" s="175"/>
      <c r="D116" s="181"/>
      <c r="E116" s="52" t="s">
        <v>563</v>
      </c>
      <c r="F116" s="47">
        <f t="shared" si="0"/>
        <v>2</v>
      </c>
      <c r="G116" s="47" t="str">
        <f t="shared" si="1"/>
        <v>N</v>
      </c>
      <c r="H116" s="178" t="b">
        <f t="shared" si="3"/>
        <v>1</v>
      </c>
    </row>
    <row r="117" spans="1:8">
      <c r="A117" s="175"/>
      <c r="D117" s="181"/>
      <c r="E117" s="52" t="s">
        <v>564</v>
      </c>
      <c r="F117" s="47">
        <f t="shared" si="0"/>
        <v>2</v>
      </c>
      <c r="G117" s="47" t="str">
        <f t="shared" si="1"/>
        <v>N</v>
      </c>
      <c r="H117" s="178" t="b">
        <f t="shared" si="3"/>
        <v>1</v>
      </c>
    </row>
    <row r="118" spans="1:8">
      <c r="A118" s="175"/>
      <c r="D118" s="181"/>
      <c r="E118" s="52" t="s">
        <v>474</v>
      </c>
      <c r="F118" s="47">
        <f t="shared" si="0"/>
        <v>2</v>
      </c>
      <c r="G118" s="47" t="str">
        <f t="shared" si="1"/>
        <v>N</v>
      </c>
      <c r="H118" s="178" t="b">
        <f t="shared" si="3"/>
        <v>1</v>
      </c>
    </row>
    <row r="119" spans="1:8">
      <c r="A119" s="175"/>
      <c r="D119" s="181"/>
      <c r="E119" s="52" t="s">
        <v>565</v>
      </c>
      <c r="F119" s="47">
        <f t="shared" si="0"/>
        <v>2</v>
      </c>
      <c r="G119" s="47" t="str">
        <f t="shared" si="1"/>
        <v>N</v>
      </c>
      <c r="H119" s="178" t="b">
        <f t="shared" si="3"/>
        <v>1</v>
      </c>
    </row>
    <row r="120" spans="1:8">
      <c r="A120" s="175"/>
      <c r="D120" s="181"/>
      <c r="E120" s="52" t="s">
        <v>587</v>
      </c>
      <c r="F120" s="47">
        <f t="shared" si="0"/>
        <v>2</v>
      </c>
      <c r="G120" s="47" t="str">
        <f t="shared" si="1"/>
        <v>N</v>
      </c>
      <c r="H120" s="178" t="b">
        <f t="shared" si="3"/>
        <v>1</v>
      </c>
    </row>
    <row r="121" spans="1:8">
      <c r="A121" s="175"/>
      <c r="D121" s="181"/>
      <c r="E121" s="52" t="s">
        <v>566</v>
      </c>
      <c r="F121" s="47">
        <f t="shared" si="0"/>
        <v>2</v>
      </c>
      <c r="G121" s="47" t="str">
        <f t="shared" si="1"/>
        <v>N</v>
      </c>
      <c r="H121" s="178" t="b">
        <f t="shared" si="3"/>
        <v>1</v>
      </c>
    </row>
    <row r="122" spans="1:8">
      <c r="A122" s="175"/>
      <c r="D122" s="181"/>
      <c r="E122" s="52" t="s">
        <v>470</v>
      </c>
      <c r="F122" s="47">
        <f t="shared" si="0"/>
        <v>2</v>
      </c>
      <c r="G122" s="47" t="str">
        <f t="shared" si="1"/>
        <v>N</v>
      </c>
      <c r="H122" s="178" t="b">
        <f t="shared" si="3"/>
        <v>1</v>
      </c>
    </row>
    <row r="123" spans="1:8">
      <c r="A123" s="175"/>
      <c r="D123" s="181"/>
      <c r="E123" s="52" t="s">
        <v>481</v>
      </c>
      <c r="F123" s="47">
        <f t="shared" si="0"/>
        <v>2</v>
      </c>
      <c r="G123" s="47" t="str">
        <f t="shared" si="1"/>
        <v>N</v>
      </c>
      <c r="H123" s="178" t="b">
        <f t="shared" si="3"/>
        <v>1</v>
      </c>
    </row>
    <row r="124" spans="1:8">
      <c r="A124" s="175"/>
      <c r="D124" s="181"/>
      <c r="E124" s="52" t="s">
        <v>567</v>
      </c>
      <c r="F124" s="47">
        <f t="shared" si="0"/>
        <v>2</v>
      </c>
      <c r="G124" s="47" t="str">
        <f t="shared" si="1"/>
        <v>N</v>
      </c>
      <c r="H124" s="178" t="b">
        <f t="shared" si="3"/>
        <v>1</v>
      </c>
    </row>
    <row r="125" spans="1:8">
      <c r="A125" s="175"/>
      <c r="D125" s="181"/>
      <c r="E125" s="52" t="s">
        <v>568</v>
      </c>
      <c r="F125" s="47">
        <f t="shared" si="0"/>
        <v>2</v>
      </c>
      <c r="G125" s="47" t="str">
        <f t="shared" si="1"/>
        <v>N</v>
      </c>
      <c r="H125" s="178" t="b">
        <f t="shared" si="3"/>
        <v>1</v>
      </c>
    </row>
    <row r="126" spans="1:8">
      <c r="A126" s="175"/>
      <c r="D126" s="181"/>
      <c r="E126" s="52" t="s">
        <v>569</v>
      </c>
      <c r="F126" s="47">
        <f t="shared" si="0"/>
        <v>2</v>
      </c>
      <c r="G126" s="47" t="str">
        <f t="shared" si="1"/>
        <v>N</v>
      </c>
      <c r="H126" s="178" t="b">
        <f t="shared" si="3"/>
        <v>1</v>
      </c>
    </row>
    <row r="127" spans="1:8">
      <c r="A127" s="175"/>
      <c r="D127" s="181"/>
      <c r="E127" s="52" t="s">
        <v>570</v>
      </c>
      <c r="F127" s="47">
        <f t="shared" si="0"/>
        <v>2</v>
      </c>
      <c r="G127" s="47" t="str">
        <f t="shared" si="1"/>
        <v>N</v>
      </c>
      <c r="H127" s="178" t="b">
        <f t="shared" si="3"/>
        <v>1</v>
      </c>
    </row>
    <row r="128" spans="1:8">
      <c r="A128" s="175"/>
      <c r="D128" s="181"/>
      <c r="E128" s="52" t="s">
        <v>571</v>
      </c>
      <c r="F128" s="47">
        <f t="shared" si="0"/>
        <v>2</v>
      </c>
      <c r="G128" s="47" t="str">
        <f t="shared" si="1"/>
        <v>N</v>
      </c>
      <c r="H128" s="178" t="b">
        <f t="shared" si="3"/>
        <v>1</v>
      </c>
    </row>
    <row r="129" spans="1:8">
      <c r="A129" s="175"/>
      <c r="D129" s="181"/>
      <c r="E129" s="52" t="s">
        <v>475</v>
      </c>
      <c r="F129" s="47">
        <f t="shared" si="0"/>
        <v>2</v>
      </c>
      <c r="G129" s="47" t="str">
        <f t="shared" si="1"/>
        <v>N</v>
      </c>
      <c r="H129" s="178" t="b">
        <f t="shared" si="3"/>
        <v>1</v>
      </c>
    </row>
    <row r="130" spans="1:8">
      <c r="A130" s="175"/>
      <c r="D130" s="181"/>
      <c r="E130" s="52" t="s">
        <v>476</v>
      </c>
      <c r="F130" s="47">
        <f t="shared" si="0"/>
        <v>2</v>
      </c>
      <c r="G130" s="47" t="str">
        <f t="shared" si="1"/>
        <v>N</v>
      </c>
      <c r="H130" s="178" t="b">
        <f t="shared" si="3"/>
        <v>1</v>
      </c>
    </row>
    <row r="131" spans="1:8">
      <c r="A131" s="175"/>
      <c r="D131" s="181"/>
      <c r="E131" s="52" t="s">
        <v>482</v>
      </c>
      <c r="F131" s="47">
        <f t="shared" si="0"/>
        <v>2</v>
      </c>
      <c r="G131" s="47" t="str">
        <f t="shared" si="1"/>
        <v>N</v>
      </c>
      <c r="H131" s="178" t="b">
        <f t="shared" si="3"/>
        <v>1</v>
      </c>
    </row>
    <row r="132" spans="1:8">
      <c r="A132" s="175"/>
      <c r="D132" s="181"/>
      <c r="E132" s="52" t="s">
        <v>492</v>
      </c>
      <c r="F132" s="47">
        <f t="shared" si="0"/>
        <v>2</v>
      </c>
      <c r="G132" s="47" t="str">
        <f t="shared" si="1"/>
        <v>N</v>
      </c>
      <c r="H132" s="178" t="b">
        <f t="shared" si="3"/>
        <v>1</v>
      </c>
    </row>
    <row r="133" spans="1:8">
      <c r="A133" s="175"/>
      <c r="D133" s="181"/>
      <c r="E133" s="52" t="s">
        <v>483</v>
      </c>
      <c r="F133" s="47">
        <f t="shared" si="0"/>
        <v>2</v>
      </c>
      <c r="G133" s="47" t="str">
        <f t="shared" si="1"/>
        <v>N</v>
      </c>
      <c r="H133" s="178" t="b">
        <f t="shared" si="3"/>
        <v>1</v>
      </c>
    </row>
    <row r="134" spans="1:8">
      <c r="A134" s="175"/>
      <c r="D134" s="181"/>
      <c r="E134" s="52" t="s">
        <v>484</v>
      </c>
      <c r="F134" s="47">
        <f t="shared" si="0"/>
        <v>2</v>
      </c>
      <c r="G134" s="47" t="str">
        <f t="shared" si="1"/>
        <v>N</v>
      </c>
      <c r="H134" s="178" t="b">
        <f t="shared" si="3"/>
        <v>1</v>
      </c>
    </row>
    <row r="135" spans="1:8">
      <c r="A135" s="175"/>
      <c r="D135" s="181"/>
      <c r="E135" s="52" t="s">
        <v>485</v>
      </c>
      <c r="F135" s="47">
        <f t="shared" si="0"/>
        <v>2</v>
      </c>
      <c r="G135" s="47" t="str">
        <f t="shared" si="1"/>
        <v>N</v>
      </c>
      <c r="H135" s="178" t="b">
        <f t="shared" si="3"/>
        <v>1</v>
      </c>
    </row>
    <row r="136" spans="1:8">
      <c r="A136" s="175"/>
      <c r="D136" s="181"/>
      <c r="E136" s="52" t="s">
        <v>572</v>
      </c>
      <c r="F136" s="47">
        <f t="shared" si="0"/>
        <v>2</v>
      </c>
      <c r="G136" s="47" t="str">
        <f t="shared" si="1"/>
        <v>N</v>
      </c>
      <c r="H136" s="178" t="b">
        <f t="shared" si="3"/>
        <v>1</v>
      </c>
    </row>
    <row r="137" spans="1:8">
      <c r="A137" s="175"/>
      <c r="D137" s="181"/>
      <c r="E137" s="52" t="s">
        <v>573</v>
      </c>
      <c r="F137" s="47">
        <f t="shared" si="0"/>
        <v>2</v>
      </c>
      <c r="G137" s="47" t="str">
        <f t="shared" si="1"/>
        <v>N</v>
      </c>
      <c r="H137" s="178" t="b">
        <f t="shared" si="3"/>
        <v>1</v>
      </c>
    </row>
    <row r="138" spans="1:8">
      <c r="A138" s="175"/>
      <c r="D138" s="181"/>
      <c r="E138" s="52" t="s">
        <v>1088</v>
      </c>
      <c r="F138" s="47">
        <f t="shared" si="0"/>
        <v>2</v>
      </c>
      <c r="G138" s="47" t="str">
        <f t="shared" si="1"/>
        <v>N</v>
      </c>
      <c r="H138" s="178" t="b">
        <f t="shared" ref="H138:H144" si="5">_xlfn.NUMBERVALUE(MID($E$76,11,1))=VLOOKUP($F138&amp;$G138,$E$17:$F$21,2,FALSE)</f>
        <v>1</v>
      </c>
    </row>
    <row r="139" spans="1:8">
      <c r="A139" s="175"/>
      <c r="D139" s="181"/>
      <c r="E139" s="52" t="s">
        <v>1089</v>
      </c>
      <c r="F139" s="47">
        <f t="shared" si="0"/>
        <v>2</v>
      </c>
      <c r="G139" s="47" t="str">
        <f t="shared" si="1"/>
        <v>N</v>
      </c>
      <c r="H139" s="178" t="b">
        <f t="shared" si="5"/>
        <v>1</v>
      </c>
    </row>
    <row r="140" spans="1:8">
      <c r="A140" s="175"/>
      <c r="D140" s="181"/>
      <c r="E140" s="52" t="s">
        <v>1080</v>
      </c>
      <c r="F140" s="47">
        <f t="shared" si="0"/>
        <v>2</v>
      </c>
      <c r="G140" s="47" t="str">
        <f t="shared" si="1"/>
        <v>N</v>
      </c>
      <c r="H140" s="178" t="b">
        <f t="shared" si="5"/>
        <v>1</v>
      </c>
    </row>
    <row r="141" spans="1:8">
      <c r="A141" s="175"/>
      <c r="D141" s="181"/>
      <c r="E141" s="52" t="s">
        <v>1086</v>
      </c>
      <c r="F141" s="47">
        <f t="shared" si="0"/>
        <v>2</v>
      </c>
      <c r="G141" s="47" t="str">
        <f t="shared" si="1"/>
        <v>N</v>
      </c>
      <c r="H141" s="178" t="b">
        <f t="shared" si="5"/>
        <v>1</v>
      </c>
    </row>
    <row r="142" spans="1:8">
      <c r="A142" s="175"/>
      <c r="D142" s="181"/>
      <c r="E142" s="52" t="s">
        <v>1087</v>
      </c>
      <c r="F142" s="47">
        <f t="shared" si="0"/>
        <v>2</v>
      </c>
      <c r="G142" s="47" t="str">
        <f t="shared" si="1"/>
        <v>N</v>
      </c>
      <c r="H142" s="178" t="b">
        <f t="shared" si="5"/>
        <v>1</v>
      </c>
    </row>
    <row r="143" spans="1:8">
      <c r="A143" s="175"/>
      <c r="D143" s="181"/>
      <c r="E143" s="52" t="s">
        <v>1081</v>
      </c>
      <c r="F143" s="47">
        <f t="shared" si="0"/>
        <v>2</v>
      </c>
      <c r="G143" s="47" t="str">
        <f t="shared" si="1"/>
        <v>N</v>
      </c>
      <c r="H143" s="178" t="b">
        <f t="shared" si="5"/>
        <v>1</v>
      </c>
    </row>
    <row r="144" spans="1:8">
      <c r="A144" s="175"/>
      <c r="D144" s="181"/>
      <c r="E144" s="52" t="s">
        <v>1082</v>
      </c>
      <c r="F144" s="47">
        <f t="shared" si="0"/>
        <v>2</v>
      </c>
      <c r="G144" s="47" t="str">
        <f t="shared" si="1"/>
        <v>N</v>
      </c>
      <c r="H144" s="178" t="b">
        <f t="shared" si="5"/>
        <v>1</v>
      </c>
    </row>
    <row r="145" spans="1:8">
      <c r="A145" s="175"/>
      <c r="D145" s="181"/>
      <c r="E145" s="52" t="s">
        <v>574</v>
      </c>
      <c r="F145" s="47">
        <f t="shared" si="0"/>
        <v>2</v>
      </c>
      <c r="G145" s="47" t="str">
        <f t="shared" si="1"/>
        <v>N</v>
      </c>
      <c r="H145" s="178" t="b">
        <f t="shared" si="3"/>
        <v>1</v>
      </c>
    </row>
    <row r="146" spans="1:8">
      <c r="A146" s="175"/>
      <c r="D146" s="181"/>
      <c r="E146" s="52" t="s">
        <v>580</v>
      </c>
      <c r="F146" s="47">
        <f t="shared" si="0"/>
        <v>2</v>
      </c>
      <c r="G146" s="47" t="str">
        <f t="shared" si="1"/>
        <v>N</v>
      </c>
      <c r="H146" s="178" t="b">
        <f t="shared" si="3"/>
        <v>1</v>
      </c>
    </row>
    <row r="147" spans="1:8">
      <c r="A147" s="175"/>
      <c r="D147" s="181"/>
      <c r="E147" s="52" t="s">
        <v>477</v>
      </c>
      <c r="F147" s="47">
        <f t="shared" si="0"/>
        <v>2</v>
      </c>
      <c r="G147" s="47" t="str">
        <f t="shared" si="1"/>
        <v>N</v>
      </c>
      <c r="H147" s="178" t="b">
        <f t="shared" si="3"/>
        <v>1</v>
      </c>
    </row>
    <row r="148" spans="1:8">
      <c r="A148" s="175"/>
      <c r="D148" s="181"/>
      <c r="E148" s="52" t="s">
        <v>581</v>
      </c>
      <c r="F148" s="47">
        <f t="shared" si="0"/>
        <v>2</v>
      </c>
      <c r="G148" s="47" t="str">
        <f t="shared" si="1"/>
        <v>N</v>
      </c>
      <c r="H148" s="178" t="b">
        <f t="shared" si="3"/>
        <v>1</v>
      </c>
    </row>
    <row r="149" spans="1:8">
      <c r="A149" s="175"/>
      <c r="D149" s="181"/>
      <c r="E149" s="52" t="s">
        <v>582</v>
      </c>
      <c r="F149" s="47">
        <f t="shared" ref="F149:F163" si="6">VLOOKUP($E149,Modelpuntoverzicht,6,FALSE)</f>
        <v>2</v>
      </c>
      <c r="G149" s="47" t="str">
        <f t="shared" ref="G149:G163" si="7">IF(VLOOKUP($E149,Modelpuntoverzicht,9,FALSE)=2,"U","N")</f>
        <v>N</v>
      </c>
      <c r="H149" s="178" t="b">
        <f t="shared" si="3"/>
        <v>1</v>
      </c>
    </row>
    <row r="150" spans="1:8">
      <c r="A150" s="175"/>
      <c r="D150" s="181"/>
      <c r="E150" s="52" t="s">
        <v>583</v>
      </c>
      <c r="F150" s="47">
        <f t="shared" si="6"/>
        <v>2</v>
      </c>
      <c r="G150" s="47" t="str">
        <f t="shared" si="7"/>
        <v>N</v>
      </c>
      <c r="H150" s="178" t="b">
        <f t="shared" si="3"/>
        <v>1</v>
      </c>
    </row>
    <row r="151" spans="1:8">
      <c r="A151" s="175"/>
      <c r="D151" s="181"/>
      <c r="E151" s="52" t="s">
        <v>576</v>
      </c>
      <c r="F151" s="47">
        <f t="shared" si="6"/>
        <v>2</v>
      </c>
      <c r="G151" s="47" t="str">
        <f t="shared" si="7"/>
        <v>N</v>
      </c>
      <c r="H151" s="178" t="b">
        <f t="shared" ref="H151:H163" si="8">_xlfn.NUMBERVALUE(MID($E$76,11,1))=VLOOKUP($F151&amp;$G151,$E$17:$F$21,2,FALSE)</f>
        <v>1</v>
      </c>
    </row>
    <row r="152" spans="1:8">
      <c r="A152" s="175"/>
      <c r="D152" s="181"/>
      <c r="E152" s="52" t="s">
        <v>588</v>
      </c>
      <c r="F152" s="47">
        <f t="shared" si="6"/>
        <v>2</v>
      </c>
      <c r="G152" s="47" t="str">
        <f t="shared" si="7"/>
        <v>N</v>
      </c>
      <c r="H152" s="178" t="b">
        <f t="shared" si="8"/>
        <v>1</v>
      </c>
    </row>
    <row r="153" spans="1:8">
      <c r="A153" s="175"/>
      <c r="D153" s="181"/>
      <c r="E153" s="52" t="s">
        <v>589</v>
      </c>
      <c r="F153" s="47">
        <f t="shared" si="6"/>
        <v>2</v>
      </c>
      <c r="G153" s="47" t="str">
        <f t="shared" si="7"/>
        <v>N</v>
      </c>
      <c r="H153" s="178" t="b">
        <f t="shared" si="8"/>
        <v>1</v>
      </c>
    </row>
    <row r="154" spans="1:8">
      <c r="A154" s="175"/>
      <c r="D154" s="181"/>
      <c r="E154" s="52" t="s">
        <v>471</v>
      </c>
      <c r="F154" s="47">
        <f t="shared" si="6"/>
        <v>2</v>
      </c>
      <c r="G154" s="47" t="str">
        <f t="shared" si="7"/>
        <v>N</v>
      </c>
      <c r="H154" s="178" t="b">
        <f t="shared" si="8"/>
        <v>1</v>
      </c>
    </row>
    <row r="155" spans="1:8">
      <c r="A155" s="175"/>
      <c r="D155" s="181"/>
      <c r="E155" s="52" t="s">
        <v>486</v>
      </c>
      <c r="F155" s="47">
        <f t="shared" si="6"/>
        <v>2</v>
      </c>
      <c r="G155" s="47" t="str">
        <f t="shared" si="7"/>
        <v>N</v>
      </c>
      <c r="H155" s="178" t="b">
        <f t="shared" si="8"/>
        <v>1</v>
      </c>
    </row>
    <row r="156" spans="1:8">
      <c r="A156" s="175"/>
      <c r="D156" s="181"/>
      <c r="E156" s="52" t="s">
        <v>577</v>
      </c>
      <c r="F156" s="47">
        <f t="shared" si="6"/>
        <v>2</v>
      </c>
      <c r="G156" s="47" t="str">
        <f t="shared" si="7"/>
        <v>N</v>
      </c>
      <c r="H156" s="178" t="b">
        <f t="shared" si="8"/>
        <v>1</v>
      </c>
    </row>
    <row r="157" spans="1:8">
      <c r="A157" s="175"/>
      <c r="D157" s="181"/>
      <c r="E157" s="52" t="s">
        <v>534</v>
      </c>
      <c r="F157" s="47">
        <f t="shared" si="6"/>
        <v>2</v>
      </c>
      <c r="G157" s="47" t="str">
        <f t="shared" si="7"/>
        <v>N</v>
      </c>
      <c r="H157" s="178" t="b">
        <f t="shared" si="8"/>
        <v>1</v>
      </c>
    </row>
    <row r="158" spans="1:8">
      <c r="A158" s="175"/>
      <c r="D158" s="181"/>
      <c r="E158" s="52" t="s">
        <v>487</v>
      </c>
      <c r="F158" s="47">
        <f t="shared" si="6"/>
        <v>2</v>
      </c>
      <c r="G158" s="47" t="str">
        <f t="shared" si="7"/>
        <v>N</v>
      </c>
      <c r="H158" s="178" t="b">
        <f t="shared" si="8"/>
        <v>1</v>
      </c>
    </row>
    <row r="159" spans="1:8">
      <c r="A159" s="175"/>
      <c r="D159" s="181"/>
      <c r="E159" s="52" t="s">
        <v>535</v>
      </c>
      <c r="F159" s="47">
        <f t="shared" si="6"/>
        <v>2</v>
      </c>
      <c r="G159" s="47" t="str">
        <f t="shared" si="7"/>
        <v>N</v>
      </c>
      <c r="H159" s="178" t="b">
        <f t="shared" si="8"/>
        <v>1</v>
      </c>
    </row>
    <row r="160" spans="1:8">
      <c r="A160" s="175"/>
      <c r="D160" s="181"/>
      <c r="E160" s="52" t="s">
        <v>493</v>
      </c>
      <c r="F160" s="47">
        <f t="shared" si="6"/>
        <v>2</v>
      </c>
      <c r="G160" s="47" t="str">
        <f t="shared" si="7"/>
        <v>N</v>
      </c>
      <c r="H160" s="178" t="b">
        <f t="shared" si="8"/>
        <v>1</v>
      </c>
    </row>
    <row r="161" spans="1:8">
      <c r="A161" s="175"/>
      <c r="D161" s="181"/>
      <c r="E161" s="52" t="s">
        <v>536</v>
      </c>
      <c r="F161" s="47">
        <f t="shared" si="6"/>
        <v>2</v>
      </c>
      <c r="G161" s="47" t="str">
        <f t="shared" si="7"/>
        <v>N</v>
      </c>
      <c r="H161" s="178" t="b">
        <f t="shared" si="8"/>
        <v>1</v>
      </c>
    </row>
    <row r="162" spans="1:8">
      <c r="A162" s="175"/>
      <c r="D162" s="181"/>
      <c r="E162" s="52" t="s">
        <v>537</v>
      </c>
      <c r="F162" s="47">
        <f t="shared" si="6"/>
        <v>2</v>
      </c>
      <c r="G162" s="47" t="str">
        <f t="shared" si="7"/>
        <v>N</v>
      </c>
      <c r="H162" s="178" t="b">
        <f t="shared" si="8"/>
        <v>1</v>
      </c>
    </row>
    <row r="163" spans="1:8">
      <c r="A163" s="175"/>
      <c r="D163" s="181"/>
      <c r="E163" s="52" t="s">
        <v>494</v>
      </c>
      <c r="F163" s="47">
        <f t="shared" si="6"/>
        <v>2</v>
      </c>
      <c r="G163" s="47" t="str">
        <f t="shared" si="7"/>
        <v>N</v>
      </c>
      <c r="H163" s="178" t="b">
        <f t="shared" si="8"/>
        <v>1</v>
      </c>
    </row>
    <row r="164" spans="1:8">
      <c r="A164" s="175"/>
      <c r="D164" s="181"/>
      <c r="E164" s="52" t="s">
        <v>271</v>
      </c>
      <c r="F164" s="47" t="e">
        <f t="shared" ref="F164:F211" si="9">VLOOKUP($E164,Modelpuntoverzicht,6,FALSE)</f>
        <v>#N/A</v>
      </c>
      <c r="G164" s="47" t="e">
        <f t="shared" ref="G164:G211" si="10">IF(VLOOKUP($E164,Modelpuntoverzicht,9,FALSE)=2,"U","N")</f>
        <v>#N/A</v>
      </c>
      <c r="H164" s="178" t="e">
        <f t="shared" ref="H164:H211" si="11">_xlfn.NUMBERVALUE(MID($E$164,11,1))=VLOOKUP($F164&amp;$G164,$E$17:$F$21,2,FALSE)</f>
        <v>#N/A</v>
      </c>
    </row>
    <row r="165" spans="1:8">
      <c r="A165" s="175"/>
      <c r="D165" s="181"/>
      <c r="E165" s="52" t="s">
        <v>495</v>
      </c>
      <c r="F165" s="47">
        <f t="shared" si="9"/>
        <v>2</v>
      </c>
      <c r="G165" s="47" t="str">
        <f t="shared" si="10"/>
        <v>U</v>
      </c>
      <c r="H165" s="178" t="b">
        <f t="shared" si="11"/>
        <v>1</v>
      </c>
    </row>
    <row r="166" spans="1:8">
      <c r="A166" s="175"/>
      <c r="D166" s="181"/>
      <c r="E166" s="52" t="s">
        <v>496</v>
      </c>
      <c r="F166" s="47">
        <f t="shared" si="9"/>
        <v>2</v>
      </c>
      <c r="G166" s="47" t="str">
        <f t="shared" si="10"/>
        <v>U</v>
      </c>
      <c r="H166" s="178" t="b">
        <f t="shared" si="11"/>
        <v>1</v>
      </c>
    </row>
    <row r="167" spans="1:8">
      <c r="A167" s="175"/>
      <c r="D167" s="181"/>
      <c r="E167" s="52" t="s">
        <v>513</v>
      </c>
      <c r="F167" s="47">
        <f t="shared" si="9"/>
        <v>2</v>
      </c>
      <c r="G167" s="47" t="str">
        <f t="shared" si="10"/>
        <v>U</v>
      </c>
      <c r="H167" s="178" t="b">
        <f t="shared" si="11"/>
        <v>1</v>
      </c>
    </row>
    <row r="168" spans="1:8">
      <c r="A168" s="175"/>
      <c r="D168" s="181"/>
      <c r="E168" s="52" t="s">
        <v>497</v>
      </c>
      <c r="F168" s="47">
        <f t="shared" si="9"/>
        <v>2</v>
      </c>
      <c r="G168" s="47" t="str">
        <f t="shared" si="10"/>
        <v>U</v>
      </c>
      <c r="H168" s="178" t="b">
        <f t="shared" si="11"/>
        <v>1</v>
      </c>
    </row>
    <row r="169" spans="1:8">
      <c r="A169" s="175"/>
      <c r="D169" s="181"/>
      <c r="E169" s="52" t="s">
        <v>514</v>
      </c>
      <c r="F169" s="47">
        <f t="shared" si="9"/>
        <v>2</v>
      </c>
      <c r="G169" s="47" t="str">
        <f t="shared" si="10"/>
        <v>U</v>
      </c>
      <c r="H169" s="178" t="b">
        <f t="shared" si="11"/>
        <v>1</v>
      </c>
    </row>
    <row r="170" spans="1:8">
      <c r="A170" s="175"/>
      <c r="D170" s="181"/>
      <c r="E170" s="52" t="s">
        <v>515</v>
      </c>
      <c r="F170" s="47">
        <f t="shared" si="9"/>
        <v>2</v>
      </c>
      <c r="G170" s="47" t="str">
        <f t="shared" si="10"/>
        <v>U</v>
      </c>
      <c r="H170" s="178" t="b">
        <f t="shared" si="11"/>
        <v>1</v>
      </c>
    </row>
    <row r="171" spans="1:8">
      <c r="A171" s="175"/>
      <c r="D171" s="181"/>
      <c r="E171" s="52" t="s">
        <v>498</v>
      </c>
      <c r="F171" s="47">
        <f t="shared" si="9"/>
        <v>2</v>
      </c>
      <c r="G171" s="47" t="str">
        <f t="shared" si="10"/>
        <v>U</v>
      </c>
      <c r="H171" s="178" t="b">
        <f t="shared" si="11"/>
        <v>1</v>
      </c>
    </row>
    <row r="172" spans="1:8">
      <c r="A172" s="175"/>
      <c r="D172" s="181"/>
      <c r="E172" s="52" t="s">
        <v>1014</v>
      </c>
      <c r="F172" s="47" t="e">
        <f t="shared" si="9"/>
        <v>#N/A</v>
      </c>
      <c r="G172" s="47" t="e">
        <f t="shared" si="10"/>
        <v>#N/A</v>
      </c>
      <c r="H172" s="178" t="e">
        <f t="shared" si="11"/>
        <v>#N/A</v>
      </c>
    </row>
    <row r="173" spans="1:8">
      <c r="A173" s="175"/>
      <c r="D173" s="181"/>
      <c r="E173" s="52" t="s">
        <v>1012</v>
      </c>
      <c r="F173" s="47" t="e">
        <f t="shared" si="9"/>
        <v>#N/A</v>
      </c>
      <c r="G173" s="47" t="e">
        <f t="shared" si="10"/>
        <v>#N/A</v>
      </c>
      <c r="H173" s="178" t="e">
        <f t="shared" si="11"/>
        <v>#N/A</v>
      </c>
    </row>
    <row r="174" spans="1:8">
      <c r="A174" s="175"/>
      <c r="D174" s="181"/>
      <c r="E174" s="52" t="s">
        <v>516</v>
      </c>
      <c r="F174" s="47">
        <f t="shared" si="9"/>
        <v>2</v>
      </c>
      <c r="G174" s="47" t="str">
        <f t="shared" si="10"/>
        <v>U</v>
      </c>
      <c r="H174" s="178" t="b">
        <f t="shared" si="11"/>
        <v>1</v>
      </c>
    </row>
    <row r="175" spans="1:8">
      <c r="A175" s="175"/>
      <c r="D175" s="181"/>
      <c r="E175" s="52" t="s">
        <v>499</v>
      </c>
      <c r="F175" s="47">
        <f t="shared" si="9"/>
        <v>2</v>
      </c>
      <c r="G175" s="47" t="str">
        <f t="shared" si="10"/>
        <v>U</v>
      </c>
      <c r="H175" s="178" t="b">
        <f t="shared" si="11"/>
        <v>1</v>
      </c>
    </row>
    <row r="176" spans="1:8">
      <c r="A176" s="175"/>
      <c r="D176" s="181"/>
      <c r="E176" s="52" t="s">
        <v>500</v>
      </c>
      <c r="F176" s="47">
        <f t="shared" si="9"/>
        <v>2</v>
      </c>
      <c r="G176" s="47" t="str">
        <f t="shared" si="10"/>
        <v>U</v>
      </c>
      <c r="H176" s="178" t="b">
        <f t="shared" si="11"/>
        <v>1</v>
      </c>
    </row>
    <row r="177" spans="1:8">
      <c r="A177" s="175"/>
      <c r="D177" s="181"/>
      <c r="E177" s="52" t="s">
        <v>517</v>
      </c>
      <c r="F177" s="47">
        <f t="shared" si="9"/>
        <v>2</v>
      </c>
      <c r="G177" s="47" t="str">
        <f t="shared" si="10"/>
        <v>U</v>
      </c>
      <c r="H177" s="178" t="b">
        <f t="shared" si="11"/>
        <v>1</v>
      </c>
    </row>
    <row r="178" spans="1:8">
      <c r="A178" s="175"/>
      <c r="D178" s="181"/>
      <c r="E178" s="52" t="s">
        <v>518</v>
      </c>
      <c r="F178" s="47">
        <f t="shared" si="9"/>
        <v>2</v>
      </c>
      <c r="G178" s="47" t="str">
        <f t="shared" si="10"/>
        <v>U</v>
      </c>
      <c r="H178" s="178" t="b">
        <f t="shared" si="11"/>
        <v>1</v>
      </c>
    </row>
    <row r="179" spans="1:8">
      <c r="A179" s="175"/>
      <c r="D179" s="181"/>
      <c r="E179" s="52" t="s">
        <v>1015</v>
      </c>
      <c r="F179" s="47">
        <f t="shared" si="9"/>
        <v>2</v>
      </c>
      <c r="G179" s="47" t="str">
        <f t="shared" si="10"/>
        <v>U</v>
      </c>
      <c r="H179" s="178" t="b">
        <f t="shared" si="11"/>
        <v>1</v>
      </c>
    </row>
    <row r="180" spans="1:8">
      <c r="A180" s="175"/>
      <c r="D180" s="181"/>
      <c r="E180" s="52" t="s">
        <v>501</v>
      </c>
      <c r="F180" s="47">
        <f t="shared" si="9"/>
        <v>2</v>
      </c>
      <c r="G180" s="47" t="str">
        <f t="shared" si="10"/>
        <v>U</v>
      </c>
      <c r="H180" s="178" t="b">
        <f t="shared" si="11"/>
        <v>1</v>
      </c>
    </row>
    <row r="181" spans="1:8">
      <c r="A181" s="175"/>
      <c r="D181" s="181"/>
      <c r="E181" s="52" t="s">
        <v>575</v>
      </c>
      <c r="F181" s="47">
        <f t="shared" si="9"/>
        <v>2</v>
      </c>
      <c r="G181" s="47" t="str">
        <f t="shared" si="10"/>
        <v>U</v>
      </c>
      <c r="H181" s="178" t="b">
        <f t="shared" si="11"/>
        <v>1</v>
      </c>
    </row>
    <row r="182" spans="1:8">
      <c r="A182" s="175"/>
      <c r="D182" s="181"/>
      <c r="E182" s="52" t="s">
        <v>502</v>
      </c>
      <c r="F182" s="47">
        <f t="shared" si="9"/>
        <v>2</v>
      </c>
      <c r="G182" s="47" t="str">
        <f t="shared" si="10"/>
        <v>U</v>
      </c>
      <c r="H182" s="178" t="b">
        <f t="shared" si="11"/>
        <v>1</v>
      </c>
    </row>
    <row r="183" spans="1:8">
      <c r="A183" s="175"/>
      <c r="D183" s="181"/>
      <c r="E183" s="52" t="s">
        <v>503</v>
      </c>
      <c r="F183" s="47">
        <f t="shared" si="9"/>
        <v>2</v>
      </c>
      <c r="G183" s="47" t="str">
        <f t="shared" si="10"/>
        <v>U</v>
      </c>
      <c r="H183" s="178" t="b">
        <f t="shared" si="11"/>
        <v>1</v>
      </c>
    </row>
    <row r="184" spans="1:8">
      <c r="A184" s="175"/>
      <c r="D184" s="181"/>
      <c r="E184" s="52" t="s">
        <v>519</v>
      </c>
      <c r="F184" s="47">
        <f t="shared" si="9"/>
        <v>2</v>
      </c>
      <c r="G184" s="47" t="str">
        <f t="shared" si="10"/>
        <v>U</v>
      </c>
      <c r="H184" s="178" t="b">
        <f t="shared" si="11"/>
        <v>1</v>
      </c>
    </row>
    <row r="185" spans="1:8">
      <c r="A185" s="175"/>
      <c r="D185" s="181"/>
      <c r="E185" s="52" t="s">
        <v>520</v>
      </c>
      <c r="F185" s="47">
        <f t="shared" si="9"/>
        <v>2</v>
      </c>
      <c r="G185" s="47" t="str">
        <f t="shared" si="10"/>
        <v>U</v>
      </c>
      <c r="H185" s="178" t="b">
        <f t="shared" si="11"/>
        <v>1</v>
      </c>
    </row>
    <row r="186" spans="1:8">
      <c r="A186" s="175"/>
      <c r="D186" s="181"/>
      <c r="E186" s="52" t="s">
        <v>504</v>
      </c>
      <c r="F186" s="47">
        <f t="shared" si="9"/>
        <v>2</v>
      </c>
      <c r="G186" s="47" t="str">
        <f t="shared" si="10"/>
        <v>U</v>
      </c>
      <c r="H186" s="178" t="b">
        <f t="shared" si="11"/>
        <v>1</v>
      </c>
    </row>
    <row r="187" spans="1:8">
      <c r="A187" s="175"/>
      <c r="D187" s="181"/>
      <c r="E187" s="52" t="s">
        <v>521</v>
      </c>
      <c r="F187" s="47">
        <f t="shared" si="9"/>
        <v>2</v>
      </c>
      <c r="G187" s="47" t="str">
        <f t="shared" si="10"/>
        <v>U</v>
      </c>
      <c r="H187" s="178" t="b">
        <f t="shared" si="11"/>
        <v>1</v>
      </c>
    </row>
    <row r="188" spans="1:8">
      <c r="A188" s="175"/>
      <c r="D188" s="181"/>
      <c r="E188" s="52" t="s">
        <v>505</v>
      </c>
      <c r="F188" s="47">
        <f t="shared" si="9"/>
        <v>2</v>
      </c>
      <c r="G188" s="47" t="str">
        <f t="shared" si="10"/>
        <v>U</v>
      </c>
      <c r="H188" s="178" t="b">
        <f t="shared" si="11"/>
        <v>1</v>
      </c>
    </row>
    <row r="189" spans="1:8">
      <c r="A189" s="175"/>
      <c r="D189" s="181"/>
      <c r="E189" s="52" t="s">
        <v>506</v>
      </c>
      <c r="F189" s="47">
        <f t="shared" si="9"/>
        <v>2</v>
      </c>
      <c r="G189" s="47" t="str">
        <f t="shared" si="10"/>
        <v>U</v>
      </c>
      <c r="H189" s="178" t="b">
        <f t="shared" si="11"/>
        <v>1</v>
      </c>
    </row>
    <row r="190" spans="1:8">
      <c r="A190" s="175"/>
      <c r="D190" s="181"/>
      <c r="E190" s="52" t="s">
        <v>522</v>
      </c>
      <c r="F190" s="47">
        <f t="shared" si="9"/>
        <v>2</v>
      </c>
      <c r="G190" s="47" t="str">
        <f t="shared" si="10"/>
        <v>U</v>
      </c>
      <c r="H190" s="178" t="b">
        <f t="shared" si="11"/>
        <v>1</v>
      </c>
    </row>
    <row r="191" spans="1:8">
      <c r="A191" s="175"/>
      <c r="D191" s="181"/>
      <c r="E191" s="52" t="s">
        <v>523</v>
      </c>
      <c r="F191" s="47">
        <f t="shared" si="9"/>
        <v>2</v>
      </c>
      <c r="G191" s="47" t="str">
        <f t="shared" si="10"/>
        <v>U</v>
      </c>
      <c r="H191" s="178" t="b">
        <f t="shared" si="11"/>
        <v>1</v>
      </c>
    </row>
    <row r="192" spans="1:8">
      <c r="A192" s="175"/>
      <c r="D192" s="181"/>
      <c r="E192" s="52" t="s">
        <v>507</v>
      </c>
      <c r="F192" s="47">
        <f t="shared" si="9"/>
        <v>2</v>
      </c>
      <c r="G192" s="47" t="str">
        <f t="shared" si="10"/>
        <v>U</v>
      </c>
      <c r="H192" s="178" t="b">
        <f t="shared" si="11"/>
        <v>1</v>
      </c>
    </row>
    <row r="193" spans="1:8">
      <c r="A193" s="175"/>
      <c r="D193" s="181"/>
      <c r="E193" s="52" t="s">
        <v>508</v>
      </c>
      <c r="F193" s="47">
        <f t="shared" si="9"/>
        <v>2</v>
      </c>
      <c r="G193" s="47" t="str">
        <f t="shared" si="10"/>
        <v>U</v>
      </c>
      <c r="H193" s="178" t="b">
        <f t="shared" si="11"/>
        <v>1</v>
      </c>
    </row>
    <row r="194" spans="1:8">
      <c r="A194" s="175"/>
      <c r="D194" s="181"/>
      <c r="E194" s="52" t="s">
        <v>524</v>
      </c>
      <c r="F194" s="47">
        <f t="shared" si="9"/>
        <v>2</v>
      </c>
      <c r="G194" s="47" t="str">
        <f t="shared" si="10"/>
        <v>U</v>
      </c>
      <c r="H194" s="178" t="b">
        <f t="shared" si="11"/>
        <v>1</v>
      </c>
    </row>
    <row r="195" spans="1:8">
      <c r="A195" s="175"/>
      <c r="D195" s="181"/>
      <c r="E195" s="52" t="s">
        <v>525</v>
      </c>
      <c r="F195" s="47">
        <f t="shared" si="9"/>
        <v>2</v>
      </c>
      <c r="G195" s="47" t="str">
        <f t="shared" si="10"/>
        <v>U</v>
      </c>
      <c r="H195" s="178" t="b">
        <f t="shared" si="11"/>
        <v>1</v>
      </c>
    </row>
    <row r="196" spans="1:8">
      <c r="A196" s="175"/>
      <c r="D196" s="181"/>
      <c r="E196" s="52" t="s">
        <v>526</v>
      </c>
      <c r="F196" s="47">
        <f t="shared" si="9"/>
        <v>2</v>
      </c>
      <c r="G196" s="47" t="str">
        <f t="shared" si="10"/>
        <v>U</v>
      </c>
      <c r="H196" s="178" t="b">
        <f t="shared" si="11"/>
        <v>1</v>
      </c>
    </row>
    <row r="197" spans="1:8">
      <c r="A197" s="175"/>
      <c r="D197" s="181"/>
      <c r="E197" s="52" t="s">
        <v>527</v>
      </c>
      <c r="F197" s="47">
        <f t="shared" si="9"/>
        <v>2</v>
      </c>
      <c r="G197" s="47" t="str">
        <f t="shared" si="10"/>
        <v>U</v>
      </c>
      <c r="H197" s="178" t="b">
        <f t="shared" si="11"/>
        <v>1</v>
      </c>
    </row>
    <row r="198" spans="1:8">
      <c r="A198" s="175"/>
      <c r="D198" s="181"/>
      <c r="E198" s="52" t="s">
        <v>528</v>
      </c>
      <c r="F198" s="47">
        <f t="shared" si="9"/>
        <v>2</v>
      </c>
      <c r="G198" s="47" t="str">
        <f t="shared" si="10"/>
        <v>U</v>
      </c>
      <c r="H198" s="178" t="b">
        <f t="shared" si="11"/>
        <v>1</v>
      </c>
    </row>
    <row r="199" spans="1:8">
      <c r="A199" s="175"/>
      <c r="D199" s="181"/>
      <c r="E199" s="52" t="s">
        <v>1013</v>
      </c>
      <c r="F199" s="47">
        <f t="shared" si="9"/>
        <v>2</v>
      </c>
      <c r="G199" s="47" t="str">
        <f t="shared" si="10"/>
        <v>U</v>
      </c>
      <c r="H199" s="178" t="b">
        <f t="shared" si="11"/>
        <v>1</v>
      </c>
    </row>
    <row r="200" spans="1:8">
      <c r="A200" s="175"/>
      <c r="D200" s="181"/>
      <c r="E200" s="52" t="s">
        <v>1016</v>
      </c>
      <c r="F200" s="47">
        <f t="shared" si="9"/>
        <v>2</v>
      </c>
      <c r="G200" s="47" t="str">
        <f t="shared" si="10"/>
        <v>U</v>
      </c>
      <c r="H200" s="178" t="b">
        <f t="shared" si="11"/>
        <v>1</v>
      </c>
    </row>
    <row r="201" spans="1:8">
      <c r="A201" s="175"/>
      <c r="D201" s="181"/>
      <c r="E201" s="52" t="s">
        <v>509</v>
      </c>
      <c r="F201" s="47">
        <f t="shared" si="9"/>
        <v>2</v>
      </c>
      <c r="G201" s="47" t="str">
        <f t="shared" si="10"/>
        <v>U</v>
      </c>
      <c r="H201" s="178" t="b">
        <f t="shared" si="11"/>
        <v>1</v>
      </c>
    </row>
    <row r="202" spans="1:8">
      <c r="A202" s="175"/>
      <c r="D202" s="181"/>
      <c r="E202" s="52" t="s">
        <v>510</v>
      </c>
      <c r="F202" s="47">
        <f t="shared" si="9"/>
        <v>2</v>
      </c>
      <c r="G202" s="47" t="str">
        <f t="shared" si="10"/>
        <v>U</v>
      </c>
      <c r="H202" s="178" t="b">
        <f t="shared" si="11"/>
        <v>1</v>
      </c>
    </row>
    <row r="203" spans="1:8">
      <c r="A203" s="175"/>
      <c r="D203" s="181"/>
      <c r="E203" s="52" t="s">
        <v>529</v>
      </c>
      <c r="F203" s="47">
        <f t="shared" si="9"/>
        <v>2</v>
      </c>
      <c r="G203" s="47" t="str">
        <f t="shared" si="10"/>
        <v>U</v>
      </c>
      <c r="H203" s="178" t="b">
        <f t="shared" si="11"/>
        <v>1</v>
      </c>
    </row>
    <row r="204" spans="1:8">
      <c r="A204" s="175"/>
      <c r="D204" s="181"/>
      <c r="E204" s="52" t="s">
        <v>530</v>
      </c>
      <c r="F204" s="47">
        <f t="shared" si="9"/>
        <v>2</v>
      </c>
      <c r="G204" s="47" t="str">
        <f t="shared" si="10"/>
        <v>U</v>
      </c>
      <c r="H204" s="178" t="b">
        <f t="shared" si="11"/>
        <v>1</v>
      </c>
    </row>
    <row r="205" spans="1:8">
      <c r="A205" s="175"/>
      <c r="D205" s="181"/>
      <c r="E205" s="52" t="s">
        <v>511</v>
      </c>
      <c r="F205" s="47">
        <f t="shared" si="9"/>
        <v>2</v>
      </c>
      <c r="G205" s="47" t="str">
        <f t="shared" si="10"/>
        <v>U</v>
      </c>
      <c r="H205" s="178" t="b">
        <f t="shared" si="11"/>
        <v>1</v>
      </c>
    </row>
    <row r="206" spans="1:8">
      <c r="A206" s="175"/>
      <c r="D206" s="181"/>
      <c r="E206" s="52" t="s">
        <v>512</v>
      </c>
      <c r="F206" s="47">
        <f t="shared" si="9"/>
        <v>2</v>
      </c>
      <c r="G206" s="47" t="str">
        <f t="shared" si="10"/>
        <v>U</v>
      </c>
      <c r="H206" s="178" t="b">
        <f t="shared" si="11"/>
        <v>1</v>
      </c>
    </row>
    <row r="207" spans="1:8">
      <c r="A207" s="175"/>
      <c r="D207" s="181"/>
      <c r="E207" s="52" t="s">
        <v>531</v>
      </c>
      <c r="F207" s="47">
        <f t="shared" si="9"/>
        <v>2</v>
      </c>
      <c r="G207" s="47" t="str">
        <f t="shared" si="10"/>
        <v>U</v>
      </c>
      <c r="H207" s="178" t="b">
        <f t="shared" si="11"/>
        <v>1</v>
      </c>
    </row>
    <row r="208" spans="1:8">
      <c r="A208" s="175"/>
      <c r="D208" s="181"/>
      <c r="E208" s="52" t="s">
        <v>532</v>
      </c>
      <c r="F208" s="47">
        <f t="shared" si="9"/>
        <v>2</v>
      </c>
      <c r="G208" s="47" t="str">
        <f t="shared" si="10"/>
        <v>U</v>
      </c>
      <c r="H208" s="178" t="b">
        <f t="shared" si="11"/>
        <v>1</v>
      </c>
    </row>
    <row r="209" spans="1:8">
      <c r="A209" s="175"/>
      <c r="D209" s="181"/>
      <c r="E209" s="52" t="s">
        <v>1083</v>
      </c>
      <c r="F209" s="47">
        <f t="shared" si="9"/>
        <v>2</v>
      </c>
      <c r="G209" s="47" t="str">
        <f t="shared" si="10"/>
        <v>U</v>
      </c>
      <c r="H209" s="178" t="b">
        <f t="shared" si="11"/>
        <v>1</v>
      </c>
    </row>
    <row r="210" spans="1:8">
      <c r="A210" s="175"/>
      <c r="D210" s="181"/>
      <c r="E210" s="52" t="s">
        <v>1084</v>
      </c>
      <c r="F210" s="47">
        <f t="shared" si="9"/>
        <v>2</v>
      </c>
      <c r="G210" s="47" t="str">
        <f t="shared" si="10"/>
        <v>U</v>
      </c>
      <c r="H210" s="178" t="b">
        <f t="shared" si="11"/>
        <v>1</v>
      </c>
    </row>
    <row r="211" spans="1:8">
      <c r="A211" s="175"/>
      <c r="D211" s="181"/>
      <c r="E211" s="52" t="s">
        <v>533</v>
      </c>
      <c r="F211" s="47">
        <f t="shared" si="9"/>
        <v>2</v>
      </c>
      <c r="G211" s="47" t="str">
        <f t="shared" si="10"/>
        <v>U</v>
      </c>
      <c r="H211" s="178" t="b">
        <f t="shared" si="11"/>
        <v>1</v>
      </c>
    </row>
    <row r="212" spans="1:8">
      <c r="A212" s="175"/>
      <c r="D212" s="181"/>
      <c r="E212" s="52" t="s">
        <v>272</v>
      </c>
      <c r="F212" s="47" t="e">
        <f t="shared" ref="F212:F276" si="12">VLOOKUP($E212,Modelpuntoverzicht,6,FALSE)</f>
        <v>#N/A</v>
      </c>
      <c r="G212" s="47" t="e">
        <f t="shared" ref="G212:G276" si="13">IF(VLOOKUP($E212,Modelpuntoverzicht,9,FALSE)=2,"U","N")</f>
        <v>#N/A</v>
      </c>
      <c r="H212" s="178" t="e">
        <f t="shared" ref="H212:H245" si="14">_xlfn.NUMBERVALUE(MID($E$212,11,1))=VLOOKUP($F212&amp;$G212,$E$17:$F$21,2,FALSE)</f>
        <v>#N/A</v>
      </c>
    </row>
    <row r="213" spans="1:8">
      <c r="A213" s="175"/>
      <c r="D213" s="181"/>
      <c r="E213" s="52" t="s">
        <v>1191</v>
      </c>
      <c r="F213" s="47">
        <f t="shared" si="12"/>
        <v>3</v>
      </c>
      <c r="G213" s="47" t="str">
        <f t="shared" si="13"/>
        <v>N</v>
      </c>
      <c r="H213" s="178" t="b">
        <f t="shared" si="14"/>
        <v>1</v>
      </c>
    </row>
    <row r="214" spans="1:8">
      <c r="A214" s="175"/>
      <c r="D214" s="181"/>
      <c r="E214" s="52" t="s">
        <v>418</v>
      </c>
      <c r="F214" s="47">
        <f t="shared" si="12"/>
        <v>3</v>
      </c>
      <c r="G214" s="47" t="str">
        <f t="shared" si="13"/>
        <v>N</v>
      </c>
      <c r="H214" s="178" t="b">
        <f t="shared" si="14"/>
        <v>1</v>
      </c>
    </row>
    <row r="215" spans="1:8">
      <c r="A215" s="175"/>
      <c r="D215" s="181"/>
      <c r="E215" s="52" t="s">
        <v>419</v>
      </c>
      <c r="F215" s="47">
        <f t="shared" si="12"/>
        <v>3</v>
      </c>
      <c r="G215" s="47" t="str">
        <f t="shared" si="13"/>
        <v>N</v>
      </c>
      <c r="H215" s="178" t="b">
        <f t="shared" si="14"/>
        <v>1</v>
      </c>
    </row>
    <row r="216" spans="1:8">
      <c r="A216" s="175"/>
      <c r="D216" s="181"/>
      <c r="E216" s="52" t="s">
        <v>420</v>
      </c>
      <c r="F216" s="47">
        <f t="shared" si="12"/>
        <v>3</v>
      </c>
      <c r="G216" s="47" t="str">
        <f t="shared" si="13"/>
        <v>N</v>
      </c>
      <c r="H216" s="178" t="b">
        <f t="shared" si="14"/>
        <v>1</v>
      </c>
    </row>
    <row r="217" spans="1:8">
      <c r="A217" s="175"/>
      <c r="D217" s="181"/>
      <c r="E217" s="52" t="s">
        <v>421</v>
      </c>
      <c r="F217" s="47">
        <f t="shared" si="12"/>
        <v>3</v>
      </c>
      <c r="G217" s="47" t="str">
        <f t="shared" si="13"/>
        <v>N</v>
      </c>
      <c r="H217" s="178" t="b">
        <f t="shared" si="14"/>
        <v>1</v>
      </c>
    </row>
    <row r="218" spans="1:8">
      <c r="A218" s="175"/>
      <c r="D218" s="181"/>
      <c r="E218" s="52" t="s">
        <v>422</v>
      </c>
      <c r="F218" s="47">
        <f t="shared" si="12"/>
        <v>3</v>
      </c>
      <c r="G218" s="47" t="str">
        <f t="shared" si="13"/>
        <v>N</v>
      </c>
      <c r="H218" s="178" t="b">
        <f t="shared" si="14"/>
        <v>1</v>
      </c>
    </row>
    <row r="219" spans="1:8">
      <c r="A219" s="175"/>
      <c r="D219" s="181"/>
      <c r="E219" s="52" t="s">
        <v>423</v>
      </c>
      <c r="F219" s="47">
        <f t="shared" si="12"/>
        <v>3</v>
      </c>
      <c r="G219" s="47" t="str">
        <f t="shared" si="13"/>
        <v>N</v>
      </c>
      <c r="H219" s="178" t="b">
        <f t="shared" si="14"/>
        <v>1</v>
      </c>
    </row>
    <row r="220" spans="1:8">
      <c r="A220" s="175"/>
      <c r="D220" s="181"/>
      <c r="E220" s="52" t="s">
        <v>424</v>
      </c>
      <c r="F220" s="47">
        <f t="shared" si="12"/>
        <v>3</v>
      </c>
      <c r="G220" s="47" t="str">
        <f t="shared" si="13"/>
        <v>N</v>
      </c>
      <c r="H220" s="178" t="b">
        <f t="shared" si="14"/>
        <v>1</v>
      </c>
    </row>
    <row r="221" spans="1:8">
      <c r="A221" s="175"/>
      <c r="D221" s="181"/>
      <c r="E221" s="52" t="s">
        <v>425</v>
      </c>
      <c r="F221" s="47">
        <f t="shared" si="12"/>
        <v>3</v>
      </c>
      <c r="G221" s="47" t="str">
        <f t="shared" si="13"/>
        <v>N</v>
      </c>
      <c r="H221" s="178" t="b">
        <f t="shared" si="14"/>
        <v>1</v>
      </c>
    </row>
    <row r="222" spans="1:8">
      <c r="A222" s="175"/>
      <c r="D222" s="181"/>
      <c r="E222" s="52" t="s">
        <v>426</v>
      </c>
      <c r="F222" s="47">
        <f t="shared" si="12"/>
        <v>3</v>
      </c>
      <c r="G222" s="47" t="str">
        <f t="shared" si="13"/>
        <v>N</v>
      </c>
      <c r="H222" s="178" t="b">
        <f t="shared" si="14"/>
        <v>1</v>
      </c>
    </row>
    <row r="223" spans="1:8">
      <c r="A223" s="175"/>
      <c r="D223" s="181"/>
      <c r="E223" s="52" t="s">
        <v>427</v>
      </c>
      <c r="F223" s="47">
        <f t="shared" si="12"/>
        <v>3</v>
      </c>
      <c r="G223" s="47" t="str">
        <f t="shared" si="13"/>
        <v>N</v>
      </c>
      <c r="H223" s="178" t="b">
        <f t="shared" si="14"/>
        <v>1</v>
      </c>
    </row>
    <row r="224" spans="1:8">
      <c r="A224" s="175"/>
      <c r="D224" s="181"/>
      <c r="E224" s="52" t="s">
        <v>428</v>
      </c>
      <c r="F224" s="47">
        <f t="shared" si="12"/>
        <v>3</v>
      </c>
      <c r="G224" s="47" t="str">
        <f t="shared" si="13"/>
        <v>N</v>
      </c>
      <c r="H224" s="178" t="b">
        <f t="shared" si="14"/>
        <v>1</v>
      </c>
    </row>
    <row r="225" spans="1:8">
      <c r="A225" s="175"/>
      <c r="D225" s="181"/>
      <c r="E225" s="52" t="s">
        <v>429</v>
      </c>
      <c r="F225" s="47">
        <f t="shared" si="12"/>
        <v>3</v>
      </c>
      <c r="G225" s="47" t="str">
        <f t="shared" si="13"/>
        <v>N</v>
      </c>
      <c r="H225" s="178" t="b">
        <f t="shared" si="14"/>
        <v>1</v>
      </c>
    </row>
    <row r="226" spans="1:8">
      <c r="A226" s="175"/>
      <c r="D226" s="181"/>
      <c r="E226" s="52" t="s">
        <v>430</v>
      </c>
      <c r="F226" s="47">
        <f t="shared" si="12"/>
        <v>3</v>
      </c>
      <c r="G226" s="47" t="str">
        <f t="shared" si="13"/>
        <v>N</v>
      </c>
      <c r="H226" s="178" t="b">
        <f t="shared" si="14"/>
        <v>1</v>
      </c>
    </row>
    <row r="227" spans="1:8">
      <c r="A227" s="175"/>
      <c r="D227" s="181"/>
      <c r="E227" s="52" t="s">
        <v>332</v>
      </c>
      <c r="F227" s="47">
        <f t="shared" si="12"/>
        <v>3</v>
      </c>
      <c r="G227" s="47" t="str">
        <f t="shared" si="13"/>
        <v>N</v>
      </c>
      <c r="H227" s="178" t="b">
        <f t="shared" si="14"/>
        <v>1</v>
      </c>
    </row>
    <row r="228" spans="1:8">
      <c r="A228" s="175"/>
      <c r="D228" s="181"/>
      <c r="E228" s="52" t="s">
        <v>333</v>
      </c>
      <c r="F228" s="47">
        <f t="shared" si="12"/>
        <v>3</v>
      </c>
      <c r="G228" s="47" t="str">
        <f t="shared" si="13"/>
        <v>N</v>
      </c>
      <c r="H228" s="178" t="b">
        <f t="shared" si="14"/>
        <v>1</v>
      </c>
    </row>
    <row r="229" spans="1:8">
      <c r="A229" s="175"/>
      <c r="D229" s="181"/>
      <c r="E229" s="52" t="s">
        <v>971</v>
      </c>
      <c r="F229" s="47">
        <f t="shared" si="12"/>
        <v>3</v>
      </c>
      <c r="G229" s="47" t="str">
        <f t="shared" si="13"/>
        <v>N</v>
      </c>
      <c r="H229" s="178" t="b">
        <f t="shared" si="14"/>
        <v>1</v>
      </c>
    </row>
    <row r="230" spans="1:8">
      <c r="A230" s="175"/>
      <c r="D230" s="181"/>
      <c r="E230" s="52" t="s">
        <v>334</v>
      </c>
      <c r="F230" s="47">
        <f t="shared" si="12"/>
        <v>3</v>
      </c>
      <c r="G230" s="47" t="str">
        <f t="shared" si="13"/>
        <v>N</v>
      </c>
      <c r="H230" s="178" t="b">
        <f t="shared" si="14"/>
        <v>1</v>
      </c>
    </row>
    <row r="231" spans="1:8">
      <c r="A231" s="175"/>
      <c r="D231" s="181"/>
      <c r="E231" s="52" t="s">
        <v>431</v>
      </c>
      <c r="F231" s="47">
        <f t="shared" si="12"/>
        <v>3</v>
      </c>
      <c r="G231" s="47" t="str">
        <f t="shared" si="13"/>
        <v>N</v>
      </c>
      <c r="H231" s="178" t="b">
        <f t="shared" si="14"/>
        <v>1</v>
      </c>
    </row>
    <row r="232" spans="1:8">
      <c r="A232" s="175"/>
      <c r="D232" s="181"/>
      <c r="E232" s="52" t="s">
        <v>432</v>
      </c>
      <c r="F232" s="47">
        <f t="shared" si="12"/>
        <v>3</v>
      </c>
      <c r="G232" s="47" t="str">
        <f t="shared" si="13"/>
        <v>N</v>
      </c>
      <c r="H232" s="178" t="b">
        <f t="shared" si="14"/>
        <v>1</v>
      </c>
    </row>
    <row r="233" spans="1:8">
      <c r="A233" s="175"/>
      <c r="D233" s="181"/>
      <c r="E233" s="52" t="s">
        <v>433</v>
      </c>
      <c r="F233" s="47">
        <f t="shared" si="12"/>
        <v>3</v>
      </c>
      <c r="G233" s="47" t="str">
        <f t="shared" si="13"/>
        <v>N</v>
      </c>
      <c r="H233" s="178" t="b">
        <f t="shared" si="14"/>
        <v>1</v>
      </c>
    </row>
    <row r="234" spans="1:8">
      <c r="A234" s="175"/>
      <c r="D234" s="181"/>
      <c r="E234" s="52" t="s">
        <v>434</v>
      </c>
      <c r="F234" s="47">
        <f t="shared" si="12"/>
        <v>3</v>
      </c>
      <c r="G234" s="47" t="str">
        <f t="shared" si="13"/>
        <v>N</v>
      </c>
      <c r="H234" s="178" t="b">
        <f t="shared" si="14"/>
        <v>1</v>
      </c>
    </row>
    <row r="235" spans="1:8">
      <c r="A235" s="175"/>
      <c r="D235" s="181"/>
      <c r="E235" s="52" t="s">
        <v>435</v>
      </c>
      <c r="F235" s="47">
        <f t="shared" si="12"/>
        <v>3</v>
      </c>
      <c r="G235" s="47" t="str">
        <f t="shared" si="13"/>
        <v>N</v>
      </c>
      <c r="H235" s="178" t="b">
        <f t="shared" si="14"/>
        <v>1</v>
      </c>
    </row>
    <row r="236" spans="1:8">
      <c r="A236" s="175"/>
      <c r="D236" s="181"/>
      <c r="E236" s="52" t="s">
        <v>436</v>
      </c>
      <c r="F236" s="47">
        <f t="shared" si="12"/>
        <v>3</v>
      </c>
      <c r="G236" s="47" t="str">
        <f t="shared" si="13"/>
        <v>N</v>
      </c>
      <c r="H236" s="178" t="b">
        <f t="shared" si="14"/>
        <v>1</v>
      </c>
    </row>
    <row r="237" spans="1:8">
      <c r="A237" s="175"/>
      <c r="D237" s="181"/>
      <c r="E237" s="52" t="s">
        <v>437</v>
      </c>
      <c r="F237" s="47">
        <f t="shared" si="12"/>
        <v>3</v>
      </c>
      <c r="G237" s="47" t="str">
        <f t="shared" si="13"/>
        <v>N</v>
      </c>
      <c r="H237" s="178" t="b">
        <f t="shared" si="14"/>
        <v>1</v>
      </c>
    </row>
    <row r="238" spans="1:8">
      <c r="A238" s="175"/>
      <c r="D238" s="181"/>
      <c r="E238" s="52" t="s">
        <v>438</v>
      </c>
      <c r="F238" s="47">
        <f t="shared" si="12"/>
        <v>3</v>
      </c>
      <c r="G238" s="47" t="str">
        <f t="shared" si="13"/>
        <v>N</v>
      </c>
      <c r="H238" s="178" t="b">
        <f t="shared" si="14"/>
        <v>1</v>
      </c>
    </row>
    <row r="239" spans="1:8">
      <c r="A239" s="175"/>
      <c r="D239" s="181"/>
      <c r="E239" s="52" t="s">
        <v>439</v>
      </c>
      <c r="F239" s="47">
        <f t="shared" si="12"/>
        <v>3</v>
      </c>
      <c r="G239" s="47" t="str">
        <f t="shared" si="13"/>
        <v>N</v>
      </c>
      <c r="H239" s="178" t="b">
        <f t="shared" si="14"/>
        <v>1</v>
      </c>
    </row>
    <row r="240" spans="1:8">
      <c r="A240" s="175"/>
      <c r="D240" s="181"/>
      <c r="E240" s="52" t="s">
        <v>440</v>
      </c>
      <c r="F240" s="47">
        <f t="shared" si="12"/>
        <v>3</v>
      </c>
      <c r="G240" s="47" t="str">
        <f t="shared" si="13"/>
        <v>N</v>
      </c>
      <c r="H240" s="178" t="b">
        <f t="shared" si="14"/>
        <v>1</v>
      </c>
    </row>
    <row r="241" spans="1:8">
      <c r="A241" s="175"/>
      <c r="D241" s="181"/>
      <c r="E241" s="52" t="s">
        <v>441</v>
      </c>
      <c r="F241" s="47">
        <f t="shared" si="12"/>
        <v>3</v>
      </c>
      <c r="G241" s="47" t="str">
        <f t="shared" si="13"/>
        <v>N</v>
      </c>
      <c r="H241" s="178" t="b">
        <f t="shared" si="14"/>
        <v>1</v>
      </c>
    </row>
    <row r="242" spans="1:8">
      <c r="A242" s="175"/>
      <c r="D242" s="181"/>
      <c r="E242" s="52" t="s">
        <v>442</v>
      </c>
      <c r="F242" s="47">
        <f t="shared" si="12"/>
        <v>3</v>
      </c>
      <c r="G242" s="47" t="str">
        <f t="shared" si="13"/>
        <v>N</v>
      </c>
      <c r="H242" s="178" t="b">
        <f t="shared" si="14"/>
        <v>1</v>
      </c>
    </row>
    <row r="243" spans="1:8">
      <c r="A243" s="175"/>
      <c r="D243" s="181"/>
      <c r="E243" s="52" t="s">
        <v>443</v>
      </c>
      <c r="F243" s="47">
        <f t="shared" si="12"/>
        <v>3</v>
      </c>
      <c r="G243" s="47" t="str">
        <f t="shared" si="13"/>
        <v>N</v>
      </c>
      <c r="H243" s="178" t="b">
        <f t="shared" si="14"/>
        <v>1</v>
      </c>
    </row>
    <row r="244" spans="1:8">
      <c r="A244" s="175"/>
      <c r="D244" s="181"/>
      <c r="E244" s="52" t="s">
        <v>444</v>
      </c>
      <c r="F244" s="47">
        <f t="shared" si="12"/>
        <v>3</v>
      </c>
      <c r="G244" s="47" t="str">
        <f t="shared" si="13"/>
        <v>N</v>
      </c>
      <c r="H244" s="178" t="b">
        <f t="shared" ref="H244:H276" si="15">_xlfn.NUMBERVALUE(MID($E$212,11,1))=VLOOKUP($F244&amp;$G244,$E$17:$F$21,2,FALSE)</f>
        <v>1</v>
      </c>
    </row>
    <row r="245" spans="1:8">
      <c r="A245" s="175"/>
      <c r="D245" s="181"/>
      <c r="E245" s="52" t="s">
        <v>1070</v>
      </c>
      <c r="F245" s="47">
        <f t="shared" si="12"/>
        <v>3</v>
      </c>
      <c r="G245" s="47" t="str">
        <f t="shared" si="13"/>
        <v>N</v>
      </c>
      <c r="H245" s="178" t="b">
        <f t="shared" si="14"/>
        <v>1</v>
      </c>
    </row>
    <row r="246" spans="1:8">
      <c r="A246" s="175"/>
      <c r="D246" s="181"/>
      <c r="E246" s="52" t="s">
        <v>445</v>
      </c>
      <c r="F246" s="47">
        <f t="shared" si="12"/>
        <v>3</v>
      </c>
      <c r="G246" s="47" t="str">
        <f t="shared" si="13"/>
        <v>N</v>
      </c>
      <c r="H246" s="178" t="b">
        <f t="shared" si="15"/>
        <v>1</v>
      </c>
    </row>
    <row r="247" spans="1:8">
      <c r="A247" s="175"/>
      <c r="D247" s="181"/>
      <c r="E247" s="52" t="s">
        <v>446</v>
      </c>
      <c r="F247" s="47">
        <f t="shared" si="12"/>
        <v>3</v>
      </c>
      <c r="G247" s="47" t="str">
        <f t="shared" si="13"/>
        <v>N</v>
      </c>
      <c r="H247" s="178" t="b">
        <f t="shared" si="15"/>
        <v>1</v>
      </c>
    </row>
    <row r="248" spans="1:8">
      <c r="A248" s="175"/>
      <c r="D248" s="181"/>
      <c r="E248" s="52" t="s">
        <v>447</v>
      </c>
      <c r="F248" s="47">
        <f t="shared" si="12"/>
        <v>3</v>
      </c>
      <c r="G248" s="47" t="str">
        <f t="shared" si="13"/>
        <v>N</v>
      </c>
      <c r="H248" s="178" t="b">
        <f t="shared" si="15"/>
        <v>1</v>
      </c>
    </row>
    <row r="249" spans="1:8">
      <c r="A249" s="175"/>
      <c r="D249" s="181"/>
      <c r="E249" s="52" t="s">
        <v>448</v>
      </c>
      <c r="F249" s="47">
        <f t="shared" si="12"/>
        <v>3</v>
      </c>
      <c r="G249" s="47" t="str">
        <f t="shared" si="13"/>
        <v>N</v>
      </c>
      <c r="H249" s="178" t="b">
        <f t="shared" si="15"/>
        <v>1</v>
      </c>
    </row>
    <row r="250" spans="1:8">
      <c r="A250" s="175"/>
      <c r="D250" s="181"/>
      <c r="E250" s="52" t="s">
        <v>449</v>
      </c>
      <c r="F250" s="47">
        <f t="shared" si="12"/>
        <v>3</v>
      </c>
      <c r="G250" s="47" t="str">
        <f t="shared" si="13"/>
        <v>N</v>
      </c>
      <c r="H250" s="178" t="b">
        <f t="shared" si="15"/>
        <v>1</v>
      </c>
    </row>
    <row r="251" spans="1:8">
      <c r="A251" s="175"/>
      <c r="D251" s="181"/>
      <c r="E251" s="52" t="s">
        <v>450</v>
      </c>
      <c r="F251" s="47">
        <f t="shared" si="12"/>
        <v>3</v>
      </c>
      <c r="G251" s="47" t="str">
        <f t="shared" si="13"/>
        <v>N</v>
      </c>
      <c r="H251" s="178" t="b">
        <f t="shared" si="15"/>
        <v>1</v>
      </c>
    </row>
    <row r="252" spans="1:8">
      <c r="A252" s="175"/>
      <c r="D252" s="181"/>
      <c r="E252" s="52" t="s">
        <v>451</v>
      </c>
      <c r="F252" s="47">
        <f t="shared" si="12"/>
        <v>3</v>
      </c>
      <c r="G252" s="47" t="str">
        <f t="shared" si="13"/>
        <v>N</v>
      </c>
      <c r="H252" s="178" t="b">
        <f t="shared" si="15"/>
        <v>1</v>
      </c>
    </row>
    <row r="253" spans="1:8">
      <c r="A253" s="175"/>
      <c r="D253" s="181"/>
      <c r="E253" s="52" t="s">
        <v>452</v>
      </c>
      <c r="F253" s="47">
        <f t="shared" si="12"/>
        <v>3</v>
      </c>
      <c r="G253" s="47" t="str">
        <f t="shared" si="13"/>
        <v>N</v>
      </c>
      <c r="H253" s="178" t="b">
        <f t="shared" si="15"/>
        <v>1</v>
      </c>
    </row>
    <row r="254" spans="1:8">
      <c r="A254" s="175"/>
      <c r="D254" s="181"/>
      <c r="E254" s="52" t="s">
        <v>453</v>
      </c>
      <c r="F254" s="47">
        <f t="shared" si="12"/>
        <v>3</v>
      </c>
      <c r="G254" s="47" t="str">
        <f t="shared" si="13"/>
        <v>N</v>
      </c>
      <c r="H254" s="178" t="b">
        <f t="shared" si="15"/>
        <v>1</v>
      </c>
    </row>
    <row r="255" spans="1:8">
      <c r="A255" s="175"/>
      <c r="D255" s="181"/>
      <c r="E255" s="52" t="s">
        <v>454</v>
      </c>
      <c r="F255" s="47">
        <f t="shared" si="12"/>
        <v>3</v>
      </c>
      <c r="G255" s="47" t="str">
        <f t="shared" si="13"/>
        <v>N</v>
      </c>
      <c r="H255" s="178" t="b">
        <f t="shared" si="15"/>
        <v>1</v>
      </c>
    </row>
    <row r="256" spans="1:8">
      <c r="A256" s="175"/>
      <c r="D256" s="181"/>
      <c r="E256" s="52" t="s">
        <v>455</v>
      </c>
      <c r="F256" s="47">
        <f t="shared" si="12"/>
        <v>3</v>
      </c>
      <c r="G256" s="47" t="str">
        <f t="shared" si="13"/>
        <v>N</v>
      </c>
      <c r="H256" s="178" t="b">
        <f t="shared" si="15"/>
        <v>1</v>
      </c>
    </row>
    <row r="257" spans="1:8">
      <c r="A257" s="175"/>
      <c r="D257" s="181"/>
      <c r="E257" s="52" t="s">
        <v>456</v>
      </c>
      <c r="F257" s="47">
        <f t="shared" si="12"/>
        <v>3</v>
      </c>
      <c r="G257" s="47" t="str">
        <f t="shared" si="13"/>
        <v>N</v>
      </c>
      <c r="H257" s="178" t="b">
        <f t="shared" si="15"/>
        <v>1</v>
      </c>
    </row>
    <row r="258" spans="1:8">
      <c r="A258" s="175"/>
      <c r="D258" s="181"/>
      <c r="E258" s="52" t="s">
        <v>457</v>
      </c>
      <c r="F258" s="47">
        <f t="shared" si="12"/>
        <v>3</v>
      </c>
      <c r="G258" s="47" t="str">
        <f t="shared" si="13"/>
        <v>N</v>
      </c>
      <c r="H258" s="178" t="b">
        <f t="shared" si="15"/>
        <v>1</v>
      </c>
    </row>
    <row r="259" spans="1:8">
      <c r="A259" s="175"/>
      <c r="D259" s="181"/>
      <c r="E259" s="52" t="s">
        <v>354</v>
      </c>
      <c r="F259" s="47">
        <f t="shared" si="12"/>
        <v>3</v>
      </c>
      <c r="G259" s="47" t="str">
        <f t="shared" si="13"/>
        <v>N</v>
      </c>
      <c r="H259" s="178" t="b">
        <f t="shared" si="15"/>
        <v>1</v>
      </c>
    </row>
    <row r="260" spans="1:8">
      <c r="A260" s="175"/>
      <c r="D260" s="181"/>
      <c r="E260" s="52" t="s">
        <v>355</v>
      </c>
      <c r="F260" s="47">
        <f t="shared" si="12"/>
        <v>3</v>
      </c>
      <c r="G260" s="47" t="str">
        <f t="shared" si="13"/>
        <v>N</v>
      </c>
      <c r="H260" s="178" t="b">
        <f t="shared" si="15"/>
        <v>1</v>
      </c>
    </row>
    <row r="261" spans="1:8">
      <c r="A261" s="175"/>
      <c r="D261" s="181"/>
      <c r="E261" s="52" t="s">
        <v>356</v>
      </c>
      <c r="F261" s="47">
        <f t="shared" si="12"/>
        <v>3</v>
      </c>
      <c r="G261" s="47" t="str">
        <f t="shared" si="13"/>
        <v>N</v>
      </c>
      <c r="H261" s="178" t="b">
        <f t="shared" si="15"/>
        <v>1</v>
      </c>
    </row>
    <row r="262" spans="1:8">
      <c r="A262" s="175"/>
      <c r="D262" s="181"/>
      <c r="E262" s="52" t="s">
        <v>357</v>
      </c>
      <c r="F262" s="47">
        <f t="shared" si="12"/>
        <v>3</v>
      </c>
      <c r="G262" s="47" t="str">
        <f t="shared" si="13"/>
        <v>N</v>
      </c>
      <c r="H262" s="178" t="b">
        <f t="shared" si="15"/>
        <v>1</v>
      </c>
    </row>
    <row r="263" spans="1:8">
      <c r="A263" s="175"/>
      <c r="D263" s="181"/>
      <c r="E263" s="52" t="s">
        <v>358</v>
      </c>
      <c r="F263" s="47">
        <f t="shared" si="12"/>
        <v>3</v>
      </c>
      <c r="G263" s="47" t="str">
        <f t="shared" si="13"/>
        <v>N</v>
      </c>
      <c r="H263" s="178" t="b">
        <f t="shared" si="15"/>
        <v>1</v>
      </c>
    </row>
    <row r="264" spans="1:8">
      <c r="A264" s="175"/>
      <c r="D264" s="181"/>
      <c r="E264" s="52" t="s">
        <v>359</v>
      </c>
      <c r="F264" s="47">
        <f t="shared" si="12"/>
        <v>3</v>
      </c>
      <c r="G264" s="47" t="str">
        <f t="shared" si="13"/>
        <v>N</v>
      </c>
      <c r="H264" s="178" t="b">
        <f t="shared" si="15"/>
        <v>1</v>
      </c>
    </row>
    <row r="265" spans="1:8">
      <c r="A265" s="175"/>
      <c r="D265" s="181"/>
      <c r="E265" s="52" t="s">
        <v>360</v>
      </c>
      <c r="F265" s="47">
        <f t="shared" si="12"/>
        <v>3</v>
      </c>
      <c r="G265" s="47" t="str">
        <f t="shared" si="13"/>
        <v>N</v>
      </c>
      <c r="H265" s="178" t="b">
        <f t="shared" si="15"/>
        <v>1</v>
      </c>
    </row>
    <row r="266" spans="1:8">
      <c r="A266" s="175"/>
      <c r="D266" s="181"/>
      <c r="E266" s="52" t="s">
        <v>990</v>
      </c>
      <c r="F266" s="47">
        <f t="shared" si="12"/>
        <v>3</v>
      </c>
      <c r="G266" s="47" t="str">
        <f t="shared" si="13"/>
        <v>N</v>
      </c>
      <c r="H266" s="178" t="b">
        <f t="shared" si="15"/>
        <v>1</v>
      </c>
    </row>
    <row r="267" spans="1:8">
      <c r="A267" s="175"/>
      <c r="D267" s="181"/>
      <c r="E267" s="52" t="s">
        <v>1004</v>
      </c>
      <c r="F267" s="47" t="e">
        <f t="shared" si="12"/>
        <v>#N/A</v>
      </c>
      <c r="G267" s="47" t="e">
        <f t="shared" si="13"/>
        <v>#N/A</v>
      </c>
      <c r="H267" s="178" t="e">
        <f t="shared" si="15"/>
        <v>#N/A</v>
      </c>
    </row>
    <row r="268" spans="1:8">
      <c r="A268" s="175"/>
      <c r="D268" s="181"/>
      <c r="E268" s="52" t="s">
        <v>458</v>
      </c>
      <c r="F268" s="47" t="e">
        <f t="shared" si="12"/>
        <v>#N/A</v>
      </c>
      <c r="G268" s="47" t="e">
        <f t="shared" si="13"/>
        <v>#N/A</v>
      </c>
      <c r="H268" s="178" t="e">
        <f t="shared" si="15"/>
        <v>#N/A</v>
      </c>
    </row>
    <row r="269" spans="1:8">
      <c r="A269" s="175"/>
      <c r="D269" s="181"/>
      <c r="E269" s="52" t="s">
        <v>335</v>
      </c>
      <c r="F269" s="47" t="e">
        <f t="shared" si="12"/>
        <v>#N/A</v>
      </c>
      <c r="G269" s="47" t="e">
        <f t="shared" si="13"/>
        <v>#N/A</v>
      </c>
      <c r="H269" s="178" t="e">
        <f t="shared" si="15"/>
        <v>#N/A</v>
      </c>
    </row>
    <row r="270" spans="1:8">
      <c r="A270" s="175"/>
      <c r="D270" s="181"/>
      <c r="E270" s="52" t="s">
        <v>459</v>
      </c>
      <c r="F270" s="47" t="e">
        <f t="shared" si="12"/>
        <v>#N/A</v>
      </c>
      <c r="G270" s="47" t="e">
        <f t="shared" si="13"/>
        <v>#N/A</v>
      </c>
      <c r="H270" s="178" t="e">
        <f t="shared" si="15"/>
        <v>#N/A</v>
      </c>
    </row>
    <row r="271" spans="1:8">
      <c r="A271" s="175"/>
      <c r="D271" s="181"/>
      <c r="E271" s="52" t="s">
        <v>460</v>
      </c>
      <c r="F271" s="47" t="e">
        <f t="shared" si="12"/>
        <v>#N/A</v>
      </c>
      <c r="G271" s="47" t="e">
        <f t="shared" si="13"/>
        <v>#N/A</v>
      </c>
      <c r="H271" s="178" t="e">
        <f t="shared" si="15"/>
        <v>#N/A</v>
      </c>
    </row>
    <row r="272" spans="1:8">
      <c r="A272" s="175"/>
      <c r="D272" s="181"/>
      <c r="E272" s="52" t="s">
        <v>461</v>
      </c>
      <c r="F272" s="47" t="e">
        <f t="shared" si="12"/>
        <v>#N/A</v>
      </c>
      <c r="G272" s="47" t="e">
        <f t="shared" si="13"/>
        <v>#N/A</v>
      </c>
      <c r="H272" s="178" t="e">
        <f t="shared" si="15"/>
        <v>#N/A</v>
      </c>
    </row>
    <row r="273" spans="1:8">
      <c r="A273" s="175"/>
      <c r="D273" s="181"/>
      <c r="E273" s="52" t="s">
        <v>462</v>
      </c>
      <c r="F273" s="47" t="e">
        <f t="shared" si="12"/>
        <v>#N/A</v>
      </c>
      <c r="G273" s="47" t="e">
        <f t="shared" si="13"/>
        <v>#N/A</v>
      </c>
      <c r="H273" s="178" t="e">
        <f t="shared" si="15"/>
        <v>#N/A</v>
      </c>
    </row>
    <row r="274" spans="1:8">
      <c r="A274" s="175"/>
      <c r="D274" s="181"/>
      <c r="E274" s="52" t="s">
        <v>463</v>
      </c>
      <c r="F274" s="47" t="e">
        <f t="shared" si="12"/>
        <v>#N/A</v>
      </c>
      <c r="G274" s="47" t="e">
        <f t="shared" si="13"/>
        <v>#N/A</v>
      </c>
      <c r="H274" s="178" t="e">
        <f t="shared" si="15"/>
        <v>#N/A</v>
      </c>
    </row>
    <row r="275" spans="1:8">
      <c r="A275" s="175"/>
      <c r="D275" s="181"/>
      <c r="E275" s="52" t="s">
        <v>464</v>
      </c>
      <c r="F275" s="47" t="e">
        <f t="shared" si="12"/>
        <v>#N/A</v>
      </c>
      <c r="G275" s="47" t="e">
        <f t="shared" si="13"/>
        <v>#N/A</v>
      </c>
      <c r="H275" s="178" t="e">
        <f t="shared" si="15"/>
        <v>#N/A</v>
      </c>
    </row>
    <row r="276" spans="1:8">
      <c r="A276" s="175"/>
      <c r="D276" s="181"/>
      <c r="E276" s="52" t="s">
        <v>465</v>
      </c>
      <c r="F276" s="47" t="e">
        <f t="shared" si="12"/>
        <v>#N/A</v>
      </c>
      <c r="G276" s="47" t="e">
        <f t="shared" si="13"/>
        <v>#N/A</v>
      </c>
      <c r="H276" s="178" t="e">
        <f t="shared" si="15"/>
        <v>#N/A</v>
      </c>
    </row>
    <row r="277" spans="1:8">
      <c r="A277" s="175"/>
      <c r="D277" s="181"/>
      <c r="E277" s="52" t="s">
        <v>466</v>
      </c>
      <c r="F277" s="47" t="e">
        <f t="shared" ref="F277:F343" si="16">VLOOKUP($E277,Modelpuntoverzicht,6,FALSE)</f>
        <v>#N/A</v>
      </c>
      <c r="G277" s="47" t="e">
        <f t="shared" ref="G277:G343" si="17">IF(VLOOKUP($E277,Modelpuntoverzicht,9,FALSE)=2,"U","N")</f>
        <v>#N/A</v>
      </c>
      <c r="H277" s="178" t="e">
        <f t="shared" ref="H277:H311" si="18">_xlfn.NUMBERVALUE(MID($E$212,11,1))=VLOOKUP($F277&amp;$G277,$E$17:$F$21,2,FALSE)</f>
        <v>#N/A</v>
      </c>
    </row>
    <row r="278" spans="1:8">
      <c r="A278" s="175"/>
      <c r="D278" s="181"/>
      <c r="E278" s="52" t="s">
        <v>330</v>
      </c>
      <c r="F278" s="47">
        <f t="shared" si="16"/>
        <v>3</v>
      </c>
      <c r="G278" s="47" t="str">
        <f t="shared" si="17"/>
        <v>N</v>
      </c>
      <c r="H278" s="178" t="b">
        <f t="shared" si="18"/>
        <v>1</v>
      </c>
    </row>
    <row r="279" spans="1:8">
      <c r="A279" s="175"/>
      <c r="D279" s="181"/>
      <c r="E279" s="52" t="s">
        <v>337</v>
      </c>
      <c r="F279" s="47">
        <f t="shared" si="16"/>
        <v>3</v>
      </c>
      <c r="G279" s="47" t="str">
        <f t="shared" si="17"/>
        <v>N</v>
      </c>
      <c r="H279" s="178" t="b">
        <f t="shared" si="18"/>
        <v>1</v>
      </c>
    </row>
    <row r="280" spans="1:8">
      <c r="A280" s="175"/>
      <c r="D280" s="181"/>
      <c r="E280" s="52" t="s">
        <v>338</v>
      </c>
      <c r="F280" s="47">
        <f t="shared" si="16"/>
        <v>3</v>
      </c>
      <c r="G280" s="47" t="str">
        <f t="shared" si="17"/>
        <v>N</v>
      </c>
      <c r="H280" s="178" t="b">
        <f t="shared" si="18"/>
        <v>1</v>
      </c>
    </row>
    <row r="281" spans="1:8">
      <c r="A281" s="175"/>
      <c r="D281" s="181"/>
      <c r="E281" s="52" t="s">
        <v>1005</v>
      </c>
      <c r="F281" s="47" t="e">
        <f t="shared" si="16"/>
        <v>#N/A</v>
      </c>
      <c r="G281" s="47" t="e">
        <f t="shared" si="17"/>
        <v>#N/A</v>
      </c>
      <c r="H281" s="178" t="e">
        <f t="shared" si="18"/>
        <v>#N/A</v>
      </c>
    </row>
    <row r="282" spans="1:8">
      <c r="A282" s="175"/>
      <c r="D282" s="181"/>
      <c r="E282" s="52" t="s">
        <v>1003</v>
      </c>
      <c r="F282" s="47" t="e">
        <f t="shared" si="16"/>
        <v>#N/A</v>
      </c>
      <c r="G282" s="47" t="e">
        <f t="shared" si="17"/>
        <v>#N/A</v>
      </c>
      <c r="H282" s="178" t="e">
        <f t="shared" si="18"/>
        <v>#N/A</v>
      </c>
    </row>
    <row r="283" spans="1:8">
      <c r="A283" s="175"/>
      <c r="D283" s="181"/>
      <c r="E283" s="52" t="s">
        <v>1001</v>
      </c>
      <c r="F283" s="47" t="e">
        <f t="shared" si="16"/>
        <v>#N/A</v>
      </c>
      <c r="G283" s="47" t="e">
        <f t="shared" si="17"/>
        <v>#N/A</v>
      </c>
      <c r="H283" s="178" t="e">
        <f t="shared" si="18"/>
        <v>#N/A</v>
      </c>
    </row>
    <row r="284" spans="1:8">
      <c r="A284" s="175"/>
      <c r="D284" s="181"/>
      <c r="E284" s="52" t="s">
        <v>1000</v>
      </c>
      <c r="F284" s="47" t="e">
        <f t="shared" si="16"/>
        <v>#N/A</v>
      </c>
      <c r="G284" s="47" t="e">
        <f t="shared" si="17"/>
        <v>#N/A</v>
      </c>
      <c r="H284" s="178" t="e">
        <f t="shared" si="18"/>
        <v>#N/A</v>
      </c>
    </row>
    <row r="285" spans="1:8">
      <c r="A285" s="175"/>
      <c r="D285" s="181"/>
      <c r="E285" s="52" t="s">
        <v>992</v>
      </c>
      <c r="F285" s="47" t="e">
        <f t="shared" si="16"/>
        <v>#N/A</v>
      </c>
      <c r="G285" s="47" t="e">
        <f t="shared" si="17"/>
        <v>#N/A</v>
      </c>
      <c r="H285" s="178" t="e">
        <f t="shared" si="18"/>
        <v>#N/A</v>
      </c>
    </row>
    <row r="286" spans="1:8">
      <c r="A286" s="175"/>
      <c r="D286" s="181"/>
      <c r="E286" s="52" t="s">
        <v>991</v>
      </c>
      <c r="F286" s="47" t="e">
        <f t="shared" si="16"/>
        <v>#N/A</v>
      </c>
      <c r="G286" s="47" t="e">
        <f t="shared" si="17"/>
        <v>#N/A</v>
      </c>
      <c r="H286" s="178" t="e">
        <f t="shared" si="18"/>
        <v>#N/A</v>
      </c>
    </row>
    <row r="287" spans="1:8">
      <c r="A287" s="175"/>
      <c r="D287" s="181"/>
      <c r="E287" s="52" t="s">
        <v>989</v>
      </c>
      <c r="F287" s="47" t="e">
        <f t="shared" si="16"/>
        <v>#N/A</v>
      </c>
      <c r="G287" s="47" t="e">
        <f t="shared" si="17"/>
        <v>#N/A</v>
      </c>
      <c r="H287" s="178" t="e">
        <f t="shared" si="18"/>
        <v>#N/A</v>
      </c>
    </row>
    <row r="288" spans="1:8">
      <c r="A288" s="175"/>
      <c r="D288" s="181"/>
      <c r="E288" s="52" t="s">
        <v>351</v>
      </c>
      <c r="F288" s="47" t="e">
        <f t="shared" si="16"/>
        <v>#N/A</v>
      </c>
      <c r="G288" s="47" t="e">
        <f t="shared" si="17"/>
        <v>#N/A</v>
      </c>
      <c r="H288" s="178" t="e">
        <f t="shared" si="18"/>
        <v>#N/A</v>
      </c>
    </row>
    <row r="289" spans="1:8">
      <c r="A289" s="175"/>
      <c r="D289" s="181"/>
      <c r="E289" s="52" t="s">
        <v>352</v>
      </c>
      <c r="F289" s="47" t="e">
        <f t="shared" si="16"/>
        <v>#N/A</v>
      </c>
      <c r="G289" s="47" t="e">
        <f t="shared" si="17"/>
        <v>#N/A</v>
      </c>
      <c r="H289" s="178" t="e">
        <f t="shared" si="18"/>
        <v>#N/A</v>
      </c>
    </row>
    <row r="290" spans="1:8">
      <c r="A290" s="175"/>
      <c r="D290" s="181"/>
      <c r="E290" s="52" t="s">
        <v>353</v>
      </c>
      <c r="F290" s="47" t="e">
        <f t="shared" si="16"/>
        <v>#N/A</v>
      </c>
      <c r="G290" s="47" t="e">
        <f t="shared" si="17"/>
        <v>#N/A</v>
      </c>
      <c r="H290" s="178" t="e">
        <f t="shared" si="18"/>
        <v>#N/A</v>
      </c>
    </row>
    <row r="291" spans="1:8">
      <c r="A291" s="175"/>
      <c r="D291" s="181"/>
      <c r="E291" s="52" t="s">
        <v>467</v>
      </c>
      <c r="F291" s="47" t="e">
        <f t="shared" si="16"/>
        <v>#N/A</v>
      </c>
      <c r="G291" s="47" t="e">
        <f t="shared" si="17"/>
        <v>#N/A</v>
      </c>
      <c r="H291" s="178" t="e">
        <f t="shared" si="18"/>
        <v>#N/A</v>
      </c>
    </row>
    <row r="292" spans="1:8">
      <c r="A292" s="175"/>
      <c r="D292" s="181"/>
      <c r="E292" s="52" t="s">
        <v>331</v>
      </c>
      <c r="F292" s="47" t="e">
        <f t="shared" si="16"/>
        <v>#N/A</v>
      </c>
      <c r="G292" s="47" t="e">
        <f t="shared" si="17"/>
        <v>#N/A</v>
      </c>
      <c r="H292" s="178" t="e">
        <f t="shared" si="18"/>
        <v>#N/A</v>
      </c>
    </row>
    <row r="293" spans="1:8">
      <c r="A293" s="175"/>
      <c r="D293" s="181"/>
      <c r="E293" s="52" t="s">
        <v>1187</v>
      </c>
      <c r="F293" s="47">
        <f t="shared" si="16"/>
        <v>3</v>
      </c>
      <c r="G293" s="47" t="str">
        <f t="shared" si="17"/>
        <v>N</v>
      </c>
      <c r="H293" s="178" t="b">
        <f t="shared" si="18"/>
        <v>1</v>
      </c>
    </row>
    <row r="294" spans="1:8">
      <c r="A294" s="175"/>
      <c r="D294" s="181"/>
      <c r="E294" s="52" t="s">
        <v>1188</v>
      </c>
      <c r="F294" s="47">
        <f t="shared" si="16"/>
        <v>3</v>
      </c>
      <c r="G294" s="47" t="str">
        <f t="shared" si="17"/>
        <v>N</v>
      </c>
      <c r="H294" s="178" t="b">
        <f t="shared" si="18"/>
        <v>1</v>
      </c>
    </row>
    <row r="295" spans="1:8">
      <c r="A295" s="175"/>
      <c r="D295" s="181"/>
      <c r="E295" s="52" t="s">
        <v>336</v>
      </c>
      <c r="F295" s="47">
        <f t="shared" si="16"/>
        <v>3</v>
      </c>
      <c r="G295" s="47" t="str">
        <f t="shared" si="17"/>
        <v>N</v>
      </c>
      <c r="H295" s="178" t="b">
        <f t="shared" si="18"/>
        <v>1</v>
      </c>
    </row>
    <row r="296" spans="1:8">
      <c r="A296" s="175"/>
      <c r="D296" s="181"/>
      <c r="E296" s="52" t="s">
        <v>346</v>
      </c>
      <c r="F296" s="47">
        <f t="shared" si="16"/>
        <v>3</v>
      </c>
      <c r="G296" s="47" t="str">
        <f t="shared" si="17"/>
        <v>N</v>
      </c>
      <c r="H296" s="178" t="b">
        <f t="shared" si="18"/>
        <v>1</v>
      </c>
    </row>
    <row r="297" spans="1:8">
      <c r="A297" s="175"/>
      <c r="D297" s="181"/>
      <c r="E297" s="52" t="s">
        <v>361</v>
      </c>
      <c r="F297" s="47">
        <f t="shared" si="16"/>
        <v>3</v>
      </c>
      <c r="G297" s="47" t="str">
        <f t="shared" si="17"/>
        <v>N</v>
      </c>
      <c r="H297" s="178" t="b">
        <f t="shared" si="18"/>
        <v>1</v>
      </c>
    </row>
    <row r="298" spans="1:8">
      <c r="A298" s="175"/>
      <c r="D298" s="181"/>
      <c r="E298" s="52" t="s">
        <v>362</v>
      </c>
      <c r="F298" s="47" t="e">
        <f t="shared" si="16"/>
        <v>#N/A</v>
      </c>
      <c r="G298" s="47" t="e">
        <f t="shared" si="17"/>
        <v>#N/A</v>
      </c>
      <c r="H298" s="178" t="e">
        <f t="shared" si="18"/>
        <v>#N/A</v>
      </c>
    </row>
    <row r="299" spans="1:8">
      <c r="A299" s="175"/>
      <c r="D299" s="181"/>
      <c r="E299" s="52" t="s">
        <v>363</v>
      </c>
      <c r="F299" s="47" t="e">
        <f t="shared" si="16"/>
        <v>#N/A</v>
      </c>
      <c r="G299" s="47" t="e">
        <f t="shared" si="17"/>
        <v>#N/A</v>
      </c>
      <c r="H299" s="178" t="e">
        <f t="shared" si="18"/>
        <v>#N/A</v>
      </c>
    </row>
    <row r="300" spans="1:8">
      <c r="A300" s="175"/>
      <c r="D300" s="181"/>
      <c r="E300" s="52" t="s">
        <v>364</v>
      </c>
      <c r="F300" s="47" t="e">
        <f t="shared" si="16"/>
        <v>#N/A</v>
      </c>
      <c r="G300" s="47" t="e">
        <f t="shared" si="17"/>
        <v>#N/A</v>
      </c>
      <c r="H300" s="178" t="e">
        <f t="shared" si="18"/>
        <v>#N/A</v>
      </c>
    </row>
    <row r="301" spans="1:8">
      <c r="A301" s="175"/>
      <c r="D301" s="181"/>
      <c r="E301" s="52" t="s">
        <v>365</v>
      </c>
      <c r="F301" s="47">
        <f t="shared" si="16"/>
        <v>3</v>
      </c>
      <c r="G301" s="47" t="str">
        <f t="shared" si="17"/>
        <v>N</v>
      </c>
      <c r="H301" s="178" t="b">
        <f t="shared" si="18"/>
        <v>1</v>
      </c>
    </row>
    <row r="302" spans="1:8">
      <c r="A302" s="175"/>
      <c r="D302" s="181"/>
      <c r="E302" s="52" t="s">
        <v>366</v>
      </c>
      <c r="F302" s="47" t="e">
        <f t="shared" si="16"/>
        <v>#N/A</v>
      </c>
      <c r="G302" s="47" t="e">
        <f t="shared" si="17"/>
        <v>#N/A</v>
      </c>
      <c r="H302" s="178" t="e">
        <f t="shared" si="18"/>
        <v>#N/A</v>
      </c>
    </row>
    <row r="303" spans="1:8">
      <c r="A303" s="175"/>
      <c r="D303" s="181"/>
      <c r="E303" s="52" t="s">
        <v>367</v>
      </c>
      <c r="F303" s="47" t="e">
        <f t="shared" si="16"/>
        <v>#N/A</v>
      </c>
      <c r="G303" s="47" t="e">
        <f t="shared" si="17"/>
        <v>#N/A</v>
      </c>
      <c r="H303" s="178" t="e">
        <f t="shared" si="18"/>
        <v>#N/A</v>
      </c>
    </row>
    <row r="304" spans="1:8">
      <c r="A304" s="175"/>
      <c r="D304" s="181"/>
      <c r="E304" s="52" t="s">
        <v>368</v>
      </c>
      <c r="F304" s="47" t="e">
        <f t="shared" si="16"/>
        <v>#N/A</v>
      </c>
      <c r="G304" s="47" t="e">
        <f t="shared" si="17"/>
        <v>#N/A</v>
      </c>
      <c r="H304" s="178" t="e">
        <f t="shared" si="18"/>
        <v>#N/A</v>
      </c>
    </row>
    <row r="305" spans="1:8">
      <c r="A305" s="175"/>
      <c r="D305" s="181"/>
      <c r="E305" s="52" t="s">
        <v>1002</v>
      </c>
      <c r="F305" s="47" t="e">
        <f t="shared" si="16"/>
        <v>#N/A</v>
      </c>
      <c r="G305" s="47" t="e">
        <f t="shared" si="17"/>
        <v>#N/A</v>
      </c>
      <c r="H305" s="178" t="e">
        <f t="shared" si="18"/>
        <v>#N/A</v>
      </c>
    </row>
    <row r="306" spans="1:8">
      <c r="A306" s="175"/>
      <c r="D306" s="181"/>
      <c r="E306" s="52" t="s">
        <v>369</v>
      </c>
      <c r="F306" s="47" t="e">
        <f t="shared" si="16"/>
        <v>#N/A</v>
      </c>
      <c r="G306" s="47" t="e">
        <f t="shared" si="17"/>
        <v>#N/A</v>
      </c>
      <c r="H306" s="178" t="e">
        <f t="shared" si="18"/>
        <v>#N/A</v>
      </c>
    </row>
    <row r="307" spans="1:8">
      <c r="A307" s="175"/>
      <c r="D307" s="181"/>
      <c r="E307" s="52" t="s">
        <v>370</v>
      </c>
      <c r="F307" s="47" t="e">
        <f t="shared" si="16"/>
        <v>#N/A</v>
      </c>
      <c r="G307" s="47" t="e">
        <f t="shared" si="17"/>
        <v>#N/A</v>
      </c>
      <c r="H307" s="178" t="e">
        <f t="shared" si="18"/>
        <v>#N/A</v>
      </c>
    </row>
    <row r="308" spans="1:8">
      <c r="A308" s="175"/>
      <c r="D308" s="181"/>
      <c r="E308" s="52" t="s">
        <v>371</v>
      </c>
      <c r="F308" s="47" t="e">
        <f t="shared" si="16"/>
        <v>#N/A</v>
      </c>
      <c r="G308" s="47" t="e">
        <f t="shared" si="17"/>
        <v>#N/A</v>
      </c>
      <c r="H308" s="178" t="e">
        <f t="shared" si="18"/>
        <v>#N/A</v>
      </c>
    </row>
    <row r="309" spans="1:8">
      <c r="A309" s="175"/>
      <c r="D309" s="181"/>
      <c r="E309" s="52" t="s">
        <v>372</v>
      </c>
      <c r="F309" s="47" t="e">
        <f t="shared" si="16"/>
        <v>#N/A</v>
      </c>
      <c r="G309" s="47" t="e">
        <f t="shared" si="17"/>
        <v>#N/A</v>
      </c>
      <c r="H309" s="178" t="e">
        <f t="shared" si="18"/>
        <v>#N/A</v>
      </c>
    </row>
    <row r="310" spans="1:8">
      <c r="A310" s="175"/>
      <c r="D310" s="181"/>
      <c r="E310" s="52" t="s">
        <v>373</v>
      </c>
      <c r="F310" s="47" t="e">
        <f t="shared" si="16"/>
        <v>#N/A</v>
      </c>
      <c r="G310" s="47" t="e">
        <f t="shared" si="17"/>
        <v>#N/A</v>
      </c>
      <c r="H310" s="178" t="e">
        <f t="shared" si="18"/>
        <v>#N/A</v>
      </c>
    </row>
    <row r="311" spans="1:8">
      <c r="A311" s="175"/>
      <c r="D311" s="181"/>
      <c r="E311" s="52" t="s">
        <v>374</v>
      </c>
      <c r="F311" s="47" t="e">
        <f t="shared" si="16"/>
        <v>#N/A</v>
      </c>
      <c r="G311" s="47" t="e">
        <f t="shared" si="17"/>
        <v>#N/A</v>
      </c>
      <c r="H311" s="178" t="e">
        <f t="shared" si="18"/>
        <v>#N/A</v>
      </c>
    </row>
    <row r="312" spans="1:8">
      <c r="A312" s="175"/>
      <c r="D312" s="181"/>
      <c r="E312" s="52" t="s">
        <v>375</v>
      </c>
      <c r="F312" s="47" t="e">
        <f t="shared" si="16"/>
        <v>#N/A</v>
      </c>
      <c r="G312" s="47" t="e">
        <f t="shared" si="17"/>
        <v>#N/A</v>
      </c>
      <c r="H312" s="178" t="e">
        <f t="shared" ref="H312:H343" si="19">_xlfn.NUMBERVALUE(MID($E$212,11,1))=VLOOKUP($F312&amp;$G312,$E$17:$F$21,2,FALSE)</f>
        <v>#N/A</v>
      </c>
    </row>
    <row r="313" spans="1:8">
      <c r="A313" s="175"/>
      <c r="D313" s="181"/>
      <c r="E313" s="52" t="s">
        <v>376</v>
      </c>
      <c r="F313" s="47">
        <f t="shared" si="16"/>
        <v>3</v>
      </c>
      <c r="G313" s="47" t="str">
        <f t="shared" si="17"/>
        <v>N</v>
      </c>
      <c r="H313" s="178" t="b">
        <f t="shared" si="19"/>
        <v>1</v>
      </c>
    </row>
    <row r="314" spans="1:8">
      <c r="A314" s="175"/>
      <c r="D314" s="181"/>
      <c r="E314" s="52" t="s">
        <v>377</v>
      </c>
      <c r="F314" s="47" t="e">
        <f t="shared" si="16"/>
        <v>#N/A</v>
      </c>
      <c r="G314" s="47" t="e">
        <f t="shared" si="17"/>
        <v>#N/A</v>
      </c>
      <c r="H314" s="178" t="e">
        <f t="shared" si="19"/>
        <v>#N/A</v>
      </c>
    </row>
    <row r="315" spans="1:8">
      <c r="A315" s="175"/>
      <c r="D315" s="181"/>
      <c r="E315" s="52" t="s">
        <v>378</v>
      </c>
      <c r="F315" s="47" t="e">
        <f t="shared" si="16"/>
        <v>#N/A</v>
      </c>
      <c r="G315" s="47" t="e">
        <f t="shared" si="17"/>
        <v>#N/A</v>
      </c>
      <c r="H315" s="178" t="e">
        <f t="shared" si="19"/>
        <v>#N/A</v>
      </c>
    </row>
    <row r="316" spans="1:8">
      <c r="A316" s="175"/>
      <c r="D316" s="181"/>
      <c r="E316" s="52" t="s">
        <v>379</v>
      </c>
      <c r="F316" s="47" t="e">
        <f t="shared" si="16"/>
        <v>#N/A</v>
      </c>
      <c r="G316" s="47" t="e">
        <f t="shared" si="17"/>
        <v>#N/A</v>
      </c>
      <c r="H316" s="178" t="e">
        <f t="shared" si="19"/>
        <v>#N/A</v>
      </c>
    </row>
    <row r="317" spans="1:8">
      <c r="A317" s="175"/>
      <c r="D317" s="181"/>
      <c r="E317" s="52" t="s">
        <v>380</v>
      </c>
      <c r="F317" s="47" t="e">
        <f t="shared" si="16"/>
        <v>#N/A</v>
      </c>
      <c r="G317" s="47" t="e">
        <f t="shared" si="17"/>
        <v>#N/A</v>
      </c>
      <c r="H317" s="178" t="e">
        <f t="shared" si="19"/>
        <v>#N/A</v>
      </c>
    </row>
    <row r="318" spans="1:8">
      <c r="A318" s="175"/>
      <c r="D318" s="181"/>
      <c r="E318" s="52" t="s">
        <v>381</v>
      </c>
      <c r="F318" s="47">
        <f t="shared" si="16"/>
        <v>3</v>
      </c>
      <c r="G318" s="47" t="str">
        <f t="shared" si="17"/>
        <v>N</v>
      </c>
      <c r="H318" s="178" t="b">
        <f t="shared" si="19"/>
        <v>1</v>
      </c>
    </row>
    <row r="319" spans="1:8">
      <c r="A319" s="175"/>
      <c r="D319" s="181"/>
      <c r="E319" s="52" t="s">
        <v>382</v>
      </c>
      <c r="F319" s="47" t="e">
        <f t="shared" si="16"/>
        <v>#N/A</v>
      </c>
      <c r="G319" s="47" t="e">
        <f t="shared" si="17"/>
        <v>#N/A</v>
      </c>
      <c r="H319" s="178" t="e">
        <f t="shared" si="19"/>
        <v>#N/A</v>
      </c>
    </row>
    <row r="320" spans="1:8">
      <c r="A320" s="175"/>
      <c r="D320" s="181"/>
      <c r="E320" s="52" t="s">
        <v>383</v>
      </c>
      <c r="F320" s="47">
        <f t="shared" si="16"/>
        <v>3</v>
      </c>
      <c r="G320" s="47" t="str">
        <f t="shared" si="17"/>
        <v>N</v>
      </c>
      <c r="H320" s="178" t="b">
        <f t="shared" si="19"/>
        <v>1</v>
      </c>
    </row>
    <row r="321" spans="1:8">
      <c r="A321" s="175"/>
      <c r="D321" s="181"/>
      <c r="E321" s="52" t="s">
        <v>384</v>
      </c>
      <c r="F321" s="47" t="e">
        <f t="shared" si="16"/>
        <v>#N/A</v>
      </c>
      <c r="G321" s="47" t="e">
        <f t="shared" si="17"/>
        <v>#N/A</v>
      </c>
      <c r="H321" s="178" t="e">
        <f t="shared" si="19"/>
        <v>#N/A</v>
      </c>
    </row>
    <row r="322" spans="1:8">
      <c r="A322" s="175"/>
      <c r="D322" s="181"/>
      <c r="E322" s="52" t="s">
        <v>385</v>
      </c>
      <c r="F322" s="47">
        <f t="shared" si="16"/>
        <v>3</v>
      </c>
      <c r="G322" s="47" t="str">
        <f t="shared" si="17"/>
        <v>N</v>
      </c>
      <c r="H322" s="178" t="b">
        <f t="shared" si="19"/>
        <v>1</v>
      </c>
    </row>
    <row r="323" spans="1:8">
      <c r="A323" s="175"/>
      <c r="D323" s="181"/>
      <c r="E323" s="52" t="s">
        <v>386</v>
      </c>
      <c r="F323" s="47" t="e">
        <f t="shared" si="16"/>
        <v>#N/A</v>
      </c>
      <c r="G323" s="47" t="e">
        <f t="shared" si="17"/>
        <v>#N/A</v>
      </c>
      <c r="H323" s="178" t="e">
        <f t="shared" si="19"/>
        <v>#N/A</v>
      </c>
    </row>
    <row r="324" spans="1:8">
      <c r="A324" s="175"/>
      <c r="D324" s="181"/>
      <c r="E324" s="52" t="s">
        <v>387</v>
      </c>
      <c r="F324" s="47" t="e">
        <f t="shared" si="16"/>
        <v>#N/A</v>
      </c>
      <c r="G324" s="47" t="e">
        <f t="shared" si="17"/>
        <v>#N/A</v>
      </c>
      <c r="H324" s="178" t="e">
        <f t="shared" si="19"/>
        <v>#N/A</v>
      </c>
    </row>
    <row r="325" spans="1:8">
      <c r="A325" s="175"/>
      <c r="D325" s="181"/>
      <c r="E325" s="52" t="s">
        <v>388</v>
      </c>
      <c r="F325" s="47" t="e">
        <f t="shared" si="16"/>
        <v>#N/A</v>
      </c>
      <c r="G325" s="47" t="e">
        <f t="shared" si="17"/>
        <v>#N/A</v>
      </c>
      <c r="H325" s="178" t="e">
        <f t="shared" si="19"/>
        <v>#N/A</v>
      </c>
    </row>
    <row r="326" spans="1:8">
      <c r="A326" s="175"/>
      <c r="D326" s="181"/>
      <c r="E326" s="52" t="s">
        <v>389</v>
      </c>
      <c r="F326" s="47" t="e">
        <f t="shared" si="16"/>
        <v>#N/A</v>
      </c>
      <c r="G326" s="47" t="e">
        <f t="shared" si="17"/>
        <v>#N/A</v>
      </c>
      <c r="H326" s="178" t="e">
        <f t="shared" si="19"/>
        <v>#N/A</v>
      </c>
    </row>
    <row r="327" spans="1:8">
      <c r="A327" s="175"/>
      <c r="D327" s="181"/>
      <c r="E327" s="52" t="s">
        <v>390</v>
      </c>
      <c r="F327" s="47" t="e">
        <f t="shared" si="16"/>
        <v>#N/A</v>
      </c>
      <c r="G327" s="47" t="e">
        <f t="shared" si="17"/>
        <v>#N/A</v>
      </c>
      <c r="H327" s="178" t="e">
        <f t="shared" si="19"/>
        <v>#N/A</v>
      </c>
    </row>
    <row r="328" spans="1:8">
      <c r="A328" s="175"/>
      <c r="D328" s="181"/>
      <c r="E328" s="52" t="s">
        <v>391</v>
      </c>
      <c r="F328" s="47" t="e">
        <f t="shared" si="16"/>
        <v>#N/A</v>
      </c>
      <c r="G328" s="47" t="e">
        <f t="shared" si="17"/>
        <v>#N/A</v>
      </c>
      <c r="H328" s="178" t="e">
        <f t="shared" si="19"/>
        <v>#N/A</v>
      </c>
    </row>
    <row r="329" spans="1:8">
      <c r="A329" s="175"/>
      <c r="D329" s="181"/>
      <c r="E329" s="52" t="s">
        <v>392</v>
      </c>
      <c r="F329" s="47">
        <f t="shared" si="16"/>
        <v>3</v>
      </c>
      <c r="G329" s="47" t="str">
        <f t="shared" si="17"/>
        <v>N</v>
      </c>
      <c r="H329" s="178" t="b">
        <f t="shared" si="19"/>
        <v>1</v>
      </c>
    </row>
    <row r="330" spans="1:8">
      <c r="A330" s="175"/>
      <c r="D330" s="181"/>
      <c r="E330" s="52" t="s">
        <v>393</v>
      </c>
      <c r="F330" s="47" t="e">
        <f t="shared" si="16"/>
        <v>#N/A</v>
      </c>
      <c r="G330" s="47" t="e">
        <f t="shared" si="17"/>
        <v>#N/A</v>
      </c>
      <c r="H330" s="178" t="e">
        <f t="shared" si="19"/>
        <v>#N/A</v>
      </c>
    </row>
    <row r="331" spans="1:8">
      <c r="A331" s="175"/>
      <c r="D331" s="181"/>
      <c r="E331" s="52" t="s">
        <v>394</v>
      </c>
      <c r="F331" s="47" t="e">
        <f t="shared" si="16"/>
        <v>#N/A</v>
      </c>
      <c r="G331" s="47" t="e">
        <f t="shared" si="17"/>
        <v>#N/A</v>
      </c>
      <c r="H331" s="178" t="e">
        <f t="shared" si="19"/>
        <v>#N/A</v>
      </c>
    </row>
    <row r="332" spans="1:8">
      <c r="A332" s="175"/>
      <c r="D332" s="181"/>
      <c r="E332" s="52" t="s">
        <v>395</v>
      </c>
      <c r="F332" s="47" t="e">
        <f t="shared" si="16"/>
        <v>#N/A</v>
      </c>
      <c r="G332" s="47" t="e">
        <f t="shared" si="17"/>
        <v>#N/A</v>
      </c>
      <c r="H332" s="178" t="e">
        <f t="shared" si="19"/>
        <v>#N/A</v>
      </c>
    </row>
    <row r="333" spans="1:8">
      <c r="A333" s="175"/>
      <c r="D333" s="181"/>
      <c r="E333" s="52" t="s">
        <v>396</v>
      </c>
      <c r="F333" s="47" t="e">
        <f t="shared" si="16"/>
        <v>#N/A</v>
      </c>
      <c r="G333" s="47" t="e">
        <f t="shared" si="17"/>
        <v>#N/A</v>
      </c>
      <c r="H333" s="178" t="e">
        <f t="shared" si="19"/>
        <v>#N/A</v>
      </c>
    </row>
    <row r="334" spans="1:8">
      <c r="A334" s="175"/>
      <c r="D334" s="181"/>
      <c r="E334" s="52" t="s">
        <v>416</v>
      </c>
      <c r="F334" s="47">
        <f t="shared" si="16"/>
        <v>3</v>
      </c>
      <c r="G334" s="47" t="str">
        <f t="shared" si="17"/>
        <v>N</v>
      </c>
      <c r="H334" s="178" t="b">
        <f t="shared" si="19"/>
        <v>1</v>
      </c>
    </row>
    <row r="335" spans="1:8">
      <c r="A335" s="175"/>
      <c r="D335" s="181"/>
      <c r="E335" s="52" t="s">
        <v>397</v>
      </c>
      <c r="F335" s="47" t="e">
        <f t="shared" si="16"/>
        <v>#N/A</v>
      </c>
      <c r="G335" s="47" t="e">
        <f t="shared" si="17"/>
        <v>#N/A</v>
      </c>
      <c r="H335" s="178" t="e">
        <f t="shared" si="19"/>
        <v>#N/A</v>
      </c>
    </row>
    <row r="336" spans="1:8">
      <c r="A336" s="175"/>
      <c r="D336" s="181"/>
      <c r="E336" s="52" t="s">
        <v>417</v>
      </c>
      <c r="F336" s="47" t="e">
        <f t="shared" si="16"/>
        <v>#N/A</v>
      </c>
      <c r="G336" s="47" t="e">
        <f t="shared" si="17"/>
        <v>#N/A</v>
      </c>
      <c r="H336" s="178" t="e">
        <f t="shared" si="19"/>
        <v>#N/A</v>
      </c>
    </row>
    <row r="337" spans="1:8">
      <c r="A337" s="175"/>
      <c r="D337" s="181"/>
      <c r="E337" s="52" t="s">
        <v>398</v>
      </c>
      <c r="F337" s="47" t="e">
        <f t="shared" si="16"/>
        <v>#N/A</v>
      </c>
      <c r="G337" s="47" t="e">
        <f t="shared" si="17"/>
        <v>#N/A</v>
      </c>
      <c r="H337" s="178" t="e">
        <f t="shared" si="19"/>
        <v>#N/A</v>
      </c>
    </row>
    <row r="338" spans="1:8">
      <c r="A338" s="175"/>
      <c r="D338" s="181"/>
      <c r="E338" s="52" t="s">
        <v>399</v>
      </c>
      <c r="F338" s="47">
        <f t="shared" si="16"/>
        <v>3</v>
      </c>
      <c r="G338" s="47" t="str">
        <f t="shared" si="17"/>
        <v>N</v>
      </c>
      <c r="H338" s="178" t="b">
        <f t="shared" si="19"/>
        <v>1</v>
      </c>
    </row>
    <row r="339" spans="1:8">
      <c r="A339" s="175"/>
      <c r="D339" s="181"/>
      <c r="E339" s="52" t="s">
        <v>400</v>
      </c>
      <c r="F339" s="47" t="e">
        <f t="shared" si="16"/>
        <v>#N/A</v>
      </c>
      <c r="G339" s="47" t="e">
        <f t="shared" si="17"/>
        <v>#N/A</v>
      </c>
      <c r="H339" s="178" t="e">
        <f t="shared" si="19"/>
        <v>#N/A</v>
      </c>
    </row>
    <row r="340" spans="1:8">
      <c r="A340" s="175"/>
      <c r="D340" s="181"/>
      <c r="E340" s="52" t="s">
        <v>401</v>
      </c>
      <c r="F340" s="47">
        <f t="shared" si="16"/>
        <v>3</v>
      </c>
      <c r="G340" s="47" t="str">
        <f t="shared" si="17"/>
        <v>N</v>
      </c>
      <c r="H340" s="178" t="b">
        <f t="shared" si="19"/>
        <v>1</v>
      </c>
    </row>
    <row r="341" spans="1:8">
      <c r="A341" s="175"/>
      <c r="D341" s="181"/>
      <c r="E341" s="52" t="s">
        <v>402</v>
      </c>
      <c r="F341" s="47" t="e">
        <f t="shared" si="16"/>
        <v>#N/A</v>
      </c>
      <c r="G341" s="47" t="e">
        <f t="shared" si="17"/>
        <v>#N/A</v>
      </c>
      <c r="H341" s="178" t="e">
        <f t="shared" si="19"/>
        <v>#N/A</v>
      </c>
    </row>
    <row r="342" spans="1:8">
      <c r="A342" s="175"/>
      <c r="D342" s="181"/>
      <c r="E342" s="52" t="s">
        <v>403</v>
      </c>
      <c r="F342" s="47" t="e">
        <f t="shared" si="16"/>
        <v>#N/A</v>
      </c>
      <c r="G342" s="47" t="e">
        <f t="shared" si="17"/>
        <v>#N/A</v>
      </c>
      <c r="H342" s="178" t="e">
        <f t="shared" si="19"/>
        <v>#N/A</v>
      </c>
    </row>
    <row r="343" spans="1:8">
      <c r="A343" s="175"/>
      <c r="D343" s="181"/>
      <c r="E343" s="52" t="s">
        <v>404</v>
      </c>
      <c r="F343" s="47" t="e">
        <f t="shared" si="16"/>
        <v>#N/A</v>
      </c>
      <c r="G343" s="47" t="e">
        <f t="shared" si="17"/>
        <v>#N/A</v>
      </c>
      <c r="H343" s="178" t="e">
        <f t="shared" si="19"/>
        <v>#N/A</v>
      </c>
    </row>
    <row r="344" spans="1:8">
      <c r="A344" s="175"/>
      <c r="D344" s="181"/>
      <c r="E344" s="52" t="s">
        <v>405</v>
      </c>
      <c r="F344" s="47" t="e">
        <f t="shared" ref="F344:F354" si="20">VLOOKUP($E344,Modelpuntoverzicht,6,FALSE)</f>
        <v>#N/A</v>
      </c>
      <c r="G344" s="47" t="e">
        <f t="shared" ref="G344:G354" si="21">IF(VLOOKUP($E344,Modelpuntoverzicht,9,FALSE)=2,"U","N")</f>
        <v>#N/A</v>
      </c>
      <c r="H344" s="178" t="e">
        <f t="shared" ref="H344:H354" si="22">_xlfn.NUMBERVALUE(MID($E$212,11,1))=VLOOKUP($F344&amp;$G344,$E$17:$F$21,2,FALSE)</f>
        <v>#N/A</v>
      </c>
    </row>
    <row r="345" spans="1:8">
      <c r="A345" s="175"/>
      <c r="D345" s="181"/>
      <c r="E345" s="52" t="s">
        <v>406</v>
      </c>
      <c r="F345" s="47" t="e">
        <f t="shared" si="20"/>
        <v>#N/A</v>
      </c>
      <c r="G345" s="47" t="e">
        <f t="shared" si="21"/>
        <v>#N/A</v>
      </c>
      <c r="H345" s="178" t="e">
        <f t="shared" si="22"/>
        <v>#N/A</v>
      </c>
    </row>
    <row r="346" spans="1:8">
      <c r="A346" s="175"/>
      <c r="D346" s="181"/>
      <c r="E346" s="52" t="s">
        <v>407</v>
      </c>
      <c r="F346" s="47">
        <f t="shared" si="20"/>
        <v>3</v>
      </c>
      <c r="G346" s="47" t="str">
        <f t="shared" si="21"/>
        <v>N</v>
      </c>
      <c r="H346" s="178" t="b">
        <f t="shared" si="22"/>
        <v>1</v>
      </c>
    </row>
    <row r="347" spans="1:8">
      <c r="A347" s="175"/>
      <c r="D347" s="181"/>
      <c r="E347" s="52" t="s">
        <v>408</v>
      </c>
      <c r="F347" s="47" t="e">
        <f t="shared" si="20"/>
        <v>#N/A</v>
      </c>
      <c r="G347" s="47" t="e">
        <f t="shared" si="21"/>
        <v>#N/A</v>
      </c>
      <c r="H347" s="178" t="e">
        <f t="shared" si="22"/>
        <v>#N/A</v>
      </c>
    </row>
    <row r="348" spans="1:8">
      <c r="A348" s="175"/>
      <c r="D348" s="181"/>
      <c r="E348" s="52" t="s">
        <v>409</v>
      </c>
      <c r="F348" s="47" t="e">
        <f t="shared" si="20"/>
        <v>#N/A</v>
      </c>
      <c r="G348" s="47" t="e">
        <f t="shared" si="21"/>
        <v>#N/A</v>
      </c>
      <c r="H348" s="178" t="e">
        <f t="shared" si="22"/>
        <v>#N/A</v>
      </c>
    </row>
    <row r="349" spans="1:8">
      <c r="A349" s="175"/>
      <c r="D349" s="181"/>
      <c r="E349" s="52" t="s">
        <v>410</v>
      </c>
      <c r="F349" s="47" t="e">
        <f t="shared" si="20"/>
        <v>#N/A</v>
      </c>
      <c r="G349" s="47" t="e">
        <f t="shared" si="21"/>
        <v>#N/A</v>
      </c>
      <c r="H349" s="178" t="e">
        <f t="shared" si="22"/>
        <v>#N/A</v>
      </c>
    </row>
    <row r="350" spans="1:8">
      <c r="A350" s="175"/>
      <c r="D350" s="181"/>
      <c r="E350" s="52" t="s">
        <v>411</v>
      </c>
      <c r="F350" s="47" t="e">
        <f t="shared" si="20"/>
        <v>#N/A</v>
      </c>
      <c r="G350" s="47" t="e">
        <f t="shared" si="21"/>
        <v>#N/A</v>
      </c>
      <c r="H350" s="178" t="e">
        <f t="shared" si="22"/>
        <v>#N/A</v>
      </c>
    </row>
    <row r="351" spans="1:8">
      <c r="A351" s="175"/>
      <c r="D351" s="181"/>
      <c r="E351" s="52" t="s">
        <v>412</v>
      </c>
      <c r="F351" s="47" t="e">
        <f t="shared" si="20"/>
        <v>#N/A</v>
      </c>
      <c r="G351" s="47" t="e">
        <f t="shared" si="21"/>
        <v>#N/A</v>
      </c>
      <c r="H351" s="178" t="e">
        <f t="shared" si="22"/>
        <v>#N/A</v>
      </c>
    </row>
    <row r="352" spans="1:8">
      <c r="A352" s="175"/>
      <c r="D352" s="181"/>
      <c r="E352" s="52" t="s">
        <v>413</v>
      </c>
      <c r="F352" s="47" t="e">
        <f t="shared" si="20"/>
        <v>#N/A</v>
      </c>
      <c r="G352" s="47" t="e">
        <f t="shared" si="21"/>
        <v>#N/A</v>
      </c>
      <c r="H352" s="178" t="e">
        <f t="shared" si="22"/>
        <v>#N/A</v>
      </c>
    </row>
    <row r="353" spans="1:8">
      <c r="A353" s="175"/>
      <c r="D353" s="181"/>
      <c r="E353" s="52" t="s">
        <v>414</v>
      </c>
      <c r="F353" s="47" t="e">
        <f t="shared" si="20"/>
        <v>#N/A</v>
      </c>
      <c r="G353" s="47" t="e">
        <f t="shared" si="21"/>
        <v>#N/A</v>
      </c>
      <c r="H353" s="178" t="e">
        <f t="shared" si="22"/>
        <v>#N/A</v>
      </c>
    </row>
    <row r="354" spans="1:8">
      <c r="A354" s="175"/>
      <c r="D354" s="181"/>
      <c r="E354" s="52" t="s">
        <v>415</v>
      </c>
      <c r="F354" s="47" t="e">
        <f t="shared" si="20"/>
        <v>#N/A</v>
      </c>
      <c r="G354" s="47" t="e">
        <f t="shared" si="21"/>
        <v>#N/A</v>
      </c>
      <c r="H354" s="178" t="e">
        <f t="shared" si="22"/>
        <v>#N/A</v>
      </c>
    </row>
    <row r="355" spans="1:8">
      <c r="A355" s="175"/>
      <c r="D355" s="181"/>
      <c r="E355" s="52" t="s">
        <v>273</v>
      </c>
      <c r="F355" s="47" t="e">
        <f t="shared" ref="F355:F375" si="23">VLOOKUP($E355,Modelpuntoverzicht,6,FALSE)</f>
        <v>#N/A</v>
      </c>
      <c r="G355" s="47" t="e">
        <f t="shared" ref="G355:G375" si="24">IF(VLOOKUP($E355,Modelpuntoverzicht,9,FALSE)=2,"U","N")</f>
        <v>#N/A</v>
      </c>
      <c r="H355" s="178" t="e">
        <f t="shared" ref="H355:H375" si="25">_xlfn.NUMBERVALUE(MID($E$355,11,1))=VLOOKUP($F355&amp;$G355,$E$17:$F$21,2,FALSE)</f>
        <v>#N/A</v>
      </c>
    </row>
    <row r="356" spans="1:8">
      <c r="A356" s="175"/>
      <c r="D356" s="181"/>
      <c r="E356" s="52" t="s">
        <v>972</v>
      </c>
      <c r="F356" s="47">
        <f t="shared" si="23"/>
        <v>3</v>
      </c>
      <c r="G356" s="47" t="str">
        <f t="shared" si="24"/>
        <v>U</v>
      </c>
      <c r="H356" s="178" t="b">
        <f t="shared" si="25"/>
        <v>1</v>
      </c>
    </row>
    <row r="357" spans="1:8">
      <c r="A357" s="175"/>
      <c r="D357" s="181"/>
      <c r="E357" s="52" t="s">
        <v>347</v>
      </c>
      <c r="F357" s="47">
        <f t="shared" si="23"/>
        <v>3</v>
      </c>
      <c r="G357" s="47" t="str">
        <f t="shared" si="24"/>
        <v>U</v>
      </c>
      <c r="H357" s="178" t="b">
        <f t="shared" si="25"/>
        <v>1</v>
      </c>
    </row>
    <row r="358" spans="1:8">
      <c r="A358" s="175"/>
      <c r="D358" s="181"/>
      <c r="E358" s="52" t="s">
        <v>349</v>
      </c>
      <c r="F358" s="47">
        <f t="shared" si="23"/>
        <v>3</v>
      </c>
      <c r="G358" s="47" t="str">
        <f t="shared" si="24"/>
        <v>U</v>
      </c>
      <c r="H358" s="178" t="b">
        <f t="shared" si="25"/>
        <v>1</v>
      </c>
    </row>
    <row r="359" spans="1:8">
      <c r="A359" s="175"/>
      <c r="D359" s="181"/>
      <c r="E359" s="52" t="s">
        <v>999</v>
      </c>
      <c r="F359" s="47" t="e">
        <f t="shared" si="23"/>
        <v>#N/A</v>
      </c>
      <c r="G359" s="47" t="e">
        <f t="shared" si="24"/>
        <v>#N/A</v>
      </c>
      <c r="H359" s="178" t="e">
        <f t="shared" si="25"/>
        <v>#N/A</v>
      </c>
    </row>
    <row r="360" spans="1:8">
      <c r="A360" s="175"/>
      <c r="D360" s="181"/>
      <c r="E360" s="52" t="s">
        <v>998</v>
      </c>
      <c r="F360" s="47" t="e">
        <f t="shared" si="23"/>
        <v>#N/A</v>
      </c>
      <c r="G360" s="47" t="e">
        <f t="shared" si="24"/>
        <v>#N/A</v>
      </c>
      <c r="H360" s="178" t="e">
        <f t="shared" si="25"/>
        <v>#N/A</v>
      </c>
    </row>
    <row r="361" spans="1:8">
      <c r="A361" s="175"/>
      <c r="D361" s="181"/>
      <c r="E361" s="52" t="s">
        <v>997</v>
      </c>
      <c r="F361" s="47" t="e">
        <f t="shared" si="23"/>
        <v>#N/A</v>
      </c>
      <c r="G361" s="47" t="e">
        <f t="shared" si="24"/>
        <v>#N/A</v>
      </c>
      <c r="H361" s="178" t="e">
        <f t="shared" si="25"/>
        <v>#N/A</v>
      </c>
    </row>
    <row r="362" spans="1:8">
      <c r="A362" s="175"/>
      <c r="D362" s="181"/>
      <c r="E362" s="52" t="s">
        <v>995</v>
      </c>
      <c r="F362" s="47" t="e">
        <f t="shared" si="23"/>
        <v>#N/A</v>
      </c>
      <c r="G362" s="47" t="e">
        <f t="shared" si="24"/>
        <v>#N/A</v>
      </c>
      <c r="H362" s="178" t="e">
        <f t="shared" si="25"/>
        <v>#N/A</v>
      </c>
    </row>
    <row r="363" spans="1:8">
      <c r="A363" s="175"/>
      <c r="D363" s="181"/>
      <c r="E363" s="52" t="s">
        <v>993</v>
      </c>
      <c r="F363" s="47" t="e">
        <f t="shared" si="23"/>
        <v>#N/A</v>
      </c>
      <c r="G363" s="47" t="e">
        <f t="shared" si="24"/>
        <v>#N/A</v>
      </c>
      <c r="H363" s="178" t="e">
        <f t="shared" si="25"/>
        <v>#N/A</v>
      </c>
    </row>
    <row r="364" spans="1:8">
      <c r="A364" s="175"/>
      <c r="D364" s="181"/>
      <c r="E364" s="52" t="s">
        <v>339</v>
      </c>
      <c r="F364" s="47" t="e">
        <f t="shared" si="23"/>
        <v>#N/A</v>
      </c>
      <c r="G364" s="47" t="e">
        <f t="shared" si="24"/>
        <v>#N/A</v>
      </c>
      <c r="H364" s="178" t="e">
        <f t="shared" si="25"/>
        <v>#N/A</v>
      </c>
    </row>
    <row r="365" spans="1:8">
      <c r="A365" s="175"/>
      <c r="D365" s="181"/>
      <c r="E365" s="52" t="s">
        <v>994</v>
      </c>
      <c r="F365" s="47" t="e">
        <f t="shared" si="23"/>
        <v>#N/A</v>
      </c>
      <c r="G365" s="47" t="e">
        <f t="shared" si="24"/>
        <v>#N/A</v>
      </c>
      <c r="H365" s="178" t="e">
        <f t="shared" si="25"/>
        <v>#N/A</v>
      </c>
    </row>
    <row r="366" spans="1:8">
      <c r="A366" s="175"/>
      <c r="D366" s="181"/>
      <c r="E366" s="52" t="s">
        <v>996</v>
      </c>
      <c r="F366" s="47" t="e">
        <f t="shared" si="23"/>
        <v>#N/A</v>
      </c>
      <c r="G366" s="47" t="e">
        <f t="shared" si="24"/>
        <v>#N/A</v>
      </c>
      <c r="H366" s="178" t="e">
        <f t="shared" si="25"/>
        <v>#N/A</v>
      </c>
    </row>
    <row r="367" spans="1:8">
      <c r="A367" s="175"/>
      <c r="D367" s="181"/>
      <c r="E367" s="52" t="s">
        <v>340</v>
      </c>
      <c r="F367" s="47" t="e">
        <f t="shared" si="23"/>
        <v>#N/A</v>
      </c>
      <c r="G367" s="47" t="e">
        <f t="shared" si="24"/>
        <v>#N/A</v>
      </c>
      <c r="H367" s="178" t="e">
        <f t="shared" si="25"/>
        <v>#N/A</v>
      </c>
    </row>
    <row r="368" spans="1:8">
      <c r="A368" s="175"/>
      <c r="D368" s="181"/>
      <c r="E368" s="52" t="s">
        <v>343</v>
      </c>
      <c r="F368" s="47" t="e">
        <f t="shared" si="23"/>
        <v>#N/A</v>
      </c>
      <c r="G368" s="47" t="e">
        <f t="shared" si="24"/>
        <v>#N/A</v>
      </c>
      <c r="H368" s="178" t="e">
        <f t="shared" si="25"/>
        <v>#N/A</v>
      </c>
    </row>
    <row r="369" spans="1:8">
      <c r="A369" s="175"/>
      <c r="D369" s="181"/>
      <c r="E369" s="52" t="s">
        <v>348</v>
      </c>
      <c r="F369" s="47" t="e">
        <f t="shared" si="23"/>
        <v>#N/A</v>
      </c>
      <c r="G369" s="47" t="e">
        <f t="shared" si="24"/>
        <v>#N/A</v>
      </c>
      <c r="H369" s="178" t="e">
        <f t="shared" si="25"/>
        <v>#N/A</v>
      </c>
    </row>
    <row r="370" spans="1:8">
      <c r="A370" s="175"/>
      <c r="D370" s="181"/>
      <c r="E370" s="52" t="s">
        <v>341</v>
      </c>
      <c r="F370" s="47" t="e">
        <f t="shared" si="23"/>
        <v>#N/A</v>
      </c>
      <c r="G370" s="47" t="e">
        <f t="shared" si="24"/>
        <v>#N/A</v>
      </c>
      <c r="H370" s="178" t="e">
        <f t="shared" si="25"/>
        <v>#N/A</v>
      </c>
    </row>
    <row r="371" spans="1:8">
      <c r="A371" s="175"/>
      <c r="D371" s="181"/>
      <c r="E371" s="52" t="s">
        <v>342</v>
      </c>
      <c r="F371" s="47" t="e">
        <f t="shared" si="23"/>
        <v>#N/A</v>
      </c>
      <c r="G371" s="47" t="e">
        <f t="shared" si="24"/>
        <v>#N/A</v>
      </c>
      <c r="H371" s="178" t="e">
        <f t="shared" si="25"/>
        <v>#N/A</v>
      </c>
    </row>
    <row r="372" spans="1:8">
      <c r="A372" s="175"/>
      <c r="D372" s="181"/>
      <c r="E372" s="52" t="s">
        <v>344</v>
      </c>
      <c r="F372" s="47" t="e">
        <f t="shared" si="23"/>
        <v>#N/A</v>
      </c>
      <c r="G372" s="47" t="e">
        <f t="shared" si="24"/>
        <v>#N/A</v>
      </c>
      <c r="H372" s="178" t="e">
        <f t="shared" si="25"/>
        <v>#N/A</v>
      </c>
    </row>
    <row r="373" spans="1:8">
      <c r="A373" s="175"/>
      <c r="D373" s="181"/>
      <c r="E373" s="52" t="s">
        <v>345</v>
      </c>
      <c r="F373" s="47" t="e">
        <f t="shared" si="23"/>
        <v>#N/A</v>
      </c>
      <c r="G373" s="47" t="e">
        <f t="shared" si="24"/>
        <v>#N/A</v>
      </c>
      <c r="H373" s="178" t="e">
        <f t="shared" si="25"/>
        <v>#N/A</v>
      </c>
    </row>
    <row r="374" spans="1:8">
      <c r="A374" s="175"/>
      <c r="D374" s="181"/>
      <c r="E374" s="52" t="s">
        <v>1189</v>
      </c>
      <c r="F374" s="47">
        <f t="shared" si="23"/>
        <v>3</v>
      </c>
      <c r="G374" s="47" t="str">
        <f t="shared" si="24"/>
        <v>U</v>
      </c>
      <c r="H374" s="178" t="b">
        <f t="shared" si="25"/>
        <v>1</v>
      </c>
    </row>
    <row r="375" spans="1:8">
      <c r="A375" s="175"/>
      <c r="D375" s="181"/>
      <c r="E375" s="52" t="s">
        <v>350</v>
      </c>
      <c r="F375" s="47">
        <f t="shared" si="23"/>
        <v>3</v>
      </c>
      <c r="G375" s="47" t="str">
        <f t="shared" si="24"/>
        <v>U</v>
      </c>
      <c r="H375" s="178" t="b">
        <f t="shared" si="25"/>
        <v>1</v>
      </c>
    </row>
  </sheetData>
  <sheetProtection algorithmName="SHA-512" hashValue="nJAKkIdImGGgd6lmHEWo2scu32UZOpl70WomTT3n2ZDJpsyeNCCV80bfwquEyevCzuHmxRub/uUWrglBavhqPQ==" saltValue="igCfjL1IpRzab8oMU7sLCQ==" spinCount="100000" sheet="1" objects="1" scenarios="1" formatColumns="0" formatRows="0"/>
  <conditionalFormatting sqref="G14 H357:H364 H165:H178 H77:H89 H367:H373 H268:H292 H306:H354 H180:H198 H201:H208 H97:H137 H297:H304 H214:H244 H246:H265 H211 H145:H163 H375 H295">
    <cfRule type="cellIs" dxfId="156" priority="204" operator="equal">
      <formula>TRUE</formula>
    </cfRule>
  </conditionalFormatting>
  <conditionalFormatting sqref="H25 H355 H212 H164 H76">
    <cfRule type="cellIs" dxfId="155" priority="203" operator="equal">
      <formula>TRUE</formula>
    </cfRule>
  </conditionalFormatting>
  <conditionalFormatting sqref="H26:H38 H40:H75">
    <cfRule type="cellIs" dxfId="154" priority="34" operator="equal">
      <formula>TRUE</formula>
    </cfRule>
  </conditionalFormatting>
  <conditionalFormatting sqref="H365">
    <cfRule type="cellIs" dxfId="153" priority="33" operator="equal">
      <formula>TRUE</formula>
    </cfRule>
  </conditionalFormatting>
  <conditionalFormatting sqref="H366">
    <cfRule type="cellIs" dxfId="152" priority="32" operator="equal">
      <formula>TRUE</formula>
    </cfRule>
  </conditionalFormatting>
  <conditionalFormatting sqref="H266">
    <cfRule type="cellIs" dxfId="151" priority="31" operator="equal">
      <formula>TRUE</formula>
    </cfRule>
  </conditionalFormatting>
  <conditionalFormatting sqref="H267">
    <cfRule type="cellIs" dxfId="150" priority="30" operator="equal">
      <formula>TRUE</formula>
    </cfRule>
  </conditionalFormatting>
  <conditionalFormatting sqref="H305">
    <cfRule type="cellIs" dxfId="149" priority="29" operator="equal">
      <formula>TRUE</formula>
    </cfRule>
  </conditionalFormatting>
  <conditionalFormatting sqref="H179">
    <cfRule type="cellIs" dxfId="148" priority="28" operator="equal">
      <formula>TRUE</formula>
    </cfRule>
  </conditionalFormatting>
  <conditionalFormatting sqref="H199">
    <cfRule type="cellIs" dxfId="147" priority="27" operator="equal">
      <formula>TRUE</formula>
    </cfRule>
  </conditionalFormatting>
  <conditionalFormatting sqref="H200">
    <cfRule type="cellIs" dxfId="146" priority="26" operator="equal">
      <formula>TRUE</formula>
    </cfRule>
  </conditionalFormatting>
  <conditionalFormatting sqref="H90">
    <cfRule type="cellIs" dxfId="145" priority="25" operator="equal">
      <formula>TRUE</formula>
    </cfRule>
  </conditionalFormatting>
  <conditionalFormatting sqref="H91">
    <cfRule type="cellIs" dxfId="144" priority="24" operator="equal">
      <formula>TRUE</formula>
    </cfRule>
  </conditionalFormatting>
  <conditionalFormatting sqref="H93">
    <cfRule type="cellIs" dxfId="143" priority="23" operator="equal">
      <formula>TRUE</formula>
    </cfRule>
  </conditionalFormatting>
  <conditionalFormatting sqref="H94">
    <cfRule type="cellIs" dxfId="142" priority="22" operator="equal">
      <formula>TRUE</formula>
    </cfRule>
  </conditionalFormatting>
  <conditionalFormatting sqref="H296">
    <cfRule type="cellIs" dxfId="141" priority="20" operator="equal">
      <formula>TRUE</formula>
    </cfRule>
  </conditionalFormatting>
  <conditionalFormatting sqref="H356">
    <cfRule type="cellIs" dxfId="140" priority="19" operator="equal">
      <formula>TRUE</formula>
    </cfRule>
  </conditionalFormatting>
  <conditionalFormatting sqref="H245">
    <cfRule type="cellIs" dxfId="139" priority="18" operator="equal">
      <formula>TRUE</formula>
    </cfRule>
  </conditionalFormatting>
  <conditionalFormatting sqref="H209">
    <cfRule type="cellIs" dxfId="138" priority="17" operator="equal">
      <formula>TRUE</formula>
    </cfRule>
  </conditionalFormatting>
  <conditionalFormatting sqref="H210">
    <cfRule type="cellIs" dxfId="137" priority="16" operator="equal">
      <formula>TRUE</formula>
    </cfRule>
  </conditionalFormatting>
  <conditionalFormatting sqref="H92">
    <cfRule type="cellIs" dxfId="136" priority="15" operator="equal">
      <formula>TRUE</formula>
    </cfRule>
  </conditionalFormatting>
  <conditionalFormatting sqref="H96">
    <cfRule type="cellIs" dxfId="135" priority="14" operator="equal">
      <formula>TRUE</formula>
    </cfRule>
  </conditionalFormatting>
  <conditionalFormatting sqref="H138">
    <cfRule type="cellIs" dxfId="134" priority="13" operator="equal">
      <formula>TRUE</formula>
    </cfRule>
  </conditionalFormatting>
  <conditionalFormatting sqref="H139">
    <cfRule type="cellIs" dxfId="133" priority="12" operator="equal">
      <formula>TRUE</formula>
    </cfRule>
  </conditionalFormatting>
  <conditionalFormatting sqref="H140">
    <cfRule type="cellIs" dxfId="132" priority="11" operator="equal">
      <formula>TRUE</formula>
    </cfRule>
  </conditionalFormatting>
  <conditionalFormatting sqref="H141">
    <cfRule type="cellIs" dxfId="131" priority="10" operator="equal">
      <formula>TRUE</formula>
    </cfRule>
  </conditionalFormatting>
  <conditionalFormatting sqref="H142">
    <cfRule type="cellIs" dxfId="130" priority="9" operator="equal">
      <formula>TRUE</formula>
    </cfRule>
  </conditionalFormatting>
  <conditionalFormatting sqref="H143">
    <cfRule type="cellIs" dxfId="129" priority="8" operator="equal">
      <formula>TRUE</formula>
    </cfRule>
  </conditionalFormatting>
  <conditionalFormatting sqref="H144">
    <cfRule type="cellIs" dxfId="128" priority="7" operator="equal">
      <formula>TRUE</formula>
    </cfRule>
  </conditionalFormatting>
  <conditionalFormatting sqref="H374">
    <cfRule type="cellIs" dxfId="127" priority="6" operator="equal">
      <formula>TRUE</formula>
    </cfRule>
  </conditionalFormatting>
  <conditionalFormatting sqref="H293">
    <cfRule type="cellIs" dxfId="126" priority="5" operator="equal">
      <formula>TRUE</formula>
    </cfRule>
  </conditionalFormatting>
  <conditionalFormatting sqref="H294">
    <cfRule type="cellIs" dxfId="125" priority="4" operator="equal">
      <formula>TRUE</formula>
    </cfRule>
  </conditionalFormatting>
  <conditionalFormatting sqref="H213">
    <cfRule type="cellIs" dxfId="124" priority="3" operator="equal">
      <formula>TRUE</formula>
    </cfRule>
  </conditionalFormatting>
  <conditionalFormatting sqref="H95">
    <cfRule type="cellIs" dxfId="123" priority="2" operator="equal">
      <formula>TRUE</formula>
    </cfRule>
  </conditionalFormatting>
  <conditionalFormatting sqref="H39">
    <cfRule type="cellIs" dxfId="122" priority="1" operator="equal">
      <formula>TRUE</formula>
    </cfRule>
  </conditionalFormatting>
  <pageMargins left="0.7" right="0.7" top="0.75" bottom="0.75" header="0.3" footer="0.3"/>
  <ignoredErrors>
    <ignoredError sqref="F212:H212 F355:H355 F164:H164 F76:H76 F25:H2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F166D-9CC3-4999-9D3C-DAB42658CA68}">
  <sheetPr codeName="Blad12">
    <tabColor rgb="FFCCFFCC"/>
  </sheetPr>
  <dimension ref="A1:G370"/>
  <sheetViews>
    <sheetView topLeftCell="E11" workbookViewId="0"/>
  </sheetViews>
  <sheetFormatPr defaultRowHeight="12.75"/>
  <cols>
    <col min="1" max="3" width="18.28515625" hidden="1" customWidth="1" collapsed="1"/>
    <col min="4" max="4" width="23.5703125" hidden="1" customWidth="1" collapsed="1"/>
    <col min="5" max="5" width="75.85546875" bestFit="1" customWidth="1" collapsed="1"/>
    <col min="6" max="6" width="24.140625" customWidth="1" collapsed="1"/>
    <col min="7" max="7" width="26.85546875" bestFit="1" customWidth="1" collapsed="1"/>
  </cols>
  <sheetData>
    <row r="1" spans="1:7" hidden="1">
      <c r="A1" s="175" t="s">
        <v>113</v>
      </c>
      <c r="B1" s="175" t="s">
        <v>114</v>
      </c>
      <c r="C1" s="175" t="s">
        <v>114</v>
      </c>
      <c r="D1" s="175" t="s">
        <v>114</v>
      </c>
      <c r="F1" s="175"/>
    </row>
    <row r="2" spans="1:7" hidden="1">
      <c r="A2" s="175" t="s">
        <v>113</v>
      </c>
      <c r="B2" s="182" t="s">
        <v>115</v>
      </c>
      <c r="C2" s="182" t="s">
        <v>283</v>
      </c>
      <c r="D2" s="182"/>
    </row>
    <row r="3" spans="1:7" hidden="1">
      <c r="A3" s="175" t="s">
        <v>113</v>
      </c>
      <c r="B3" s="183" t="s">
        <v>116</v>
      </c>
      <c r="C3" s="183" t="s">
        <v>117</v>
      </c>
      <c r="D3" s="183" t="s">
        <v>118</v>
      </c>
    </row>
    <row r="4" spans="1:7" hidden="1">
      <c r="A4" s="175" t="s">
        <v>113</v>
      </c>
      <c r="B4" s="182" t="s">
        <v>90</v>
      </c>
      <c r="C4" s="182" t="s">
        <v>124</v>
      </c>
      <c r="D4" s="184"/>
    </row>
    <row r="5" spans="1:7" hidden="1">
      <c r="A5" s="175" t="s">
        <v>113</v>
      </c>
      <c r="B5" s="182" t="s">
        <v>91</v>
      </c>
      <c r="C5" s="182" t="s">
        <v>124</v>
      </c>
      <c r="D5" s="184"/>
    </row>
    <row r="6" spans="1:7" hidden="1">
      <c r="A6" s="175" t="s">
        <v>113</v>
      </c>
      <c r="B6" s="182" t="s">
        <v>86</v>
      </c>
      <c r="C6" s="182" t="s">
        <v>122</v>
      </c>
      <c r="D6" s="182"/>
    </row>
    <row r="7" spans="1:7" hidden="1">
      <c r="A7" s="175" t="s">
        <v>113</v>
      </c>
      <c r="B7" s="182" t="s">
        <v>120</v>
      </c>
      <c r="C7" s="182" t="s">
        <v>119</v>
      </c>
      <c r="D7" s="182" t="s">
        <v>125</v>
      </c>
    </row>
    <row r="8" spans="1:7" hidden="1">
      <c r="A8" s="175" t="s">
        <v>113</v>
      </c>
      <c r="B8" s="182" t="s">
        <v>92</v>
      </c>
      <c r="C8" s="182" t="s">
        <v>119</v>
      </c>
      <c r="D8" s="182" t="s">
        <v>170</v>
      </c>
    </row>
    <row r="9" spans="1:7" hidden="1">
      <c r="A9" s="175" t="s">
        <v>113</v>
      </c>
      <c r="B9" s="182" t="s">
        <v>121</v>
      </c>
      <c r="C9" s="182" t="s">
        <v>119</v>
      </c>
      <c r="D9" s="182" t="s">
        <v>227</v>
      </c>
    </row>
    <row r="10" spans="1:7" hidden="1">
      <c r="A10" s="175" t="s">
        <v>113</v>
      </c>
      <c r="B10" s="182" t="s">
        <v>123</v>
      </c>
      <c r="C10" s="182" t="s">
        <v>119</v>
      </c>
      <c r="D10" s="182" t="s">
        <v>126</v>
      </c>
    </row>
    <row r="11" spans="1:7" ht="18.75">
      <c r="A11" s="175" t="s">
        <v>114</v>
      </c>
      <c r="B11" s="59"/>
      <c r="C11" s="59"/>
      <c r="D11" s="59"/>
      <c r="E11" s="60" t="s">
        <v>284</v>
      </c>
      <c r="F11" s="64"/>
    </row>
    <row r="12" spans="1:7" ht="15.75">
      <c r="E12" s="61" t="s">
        <v>67</v>
      </c>
      <c r="F12" s="65" t="str">
        <f>$F$16&amp;$F$17</f>
        <v>2021Q2</v>
      </c>
    </row>
    <row r="13" spans="1:7" ht="15.75">
      <c r="E13" s="61"/>
      <c r="F13" s="65"/>
    </row>
    <row r="14" spans="1:7">
      <c r="E14" s="52" t="s">
        <v>289</v>
      </c>
      <c r="F14" s="47">
        <f>COUNTIF($G19:$G371,TRUE)</f>
        <v>242</v>
      </c>
      <c r="G14" s="178" t="b">
        <f>$F$14='Overview MP Life'!$B$5</f>
        <v>1</v>
      </c>
    </row>
    <row r="15" spans="1:7" ht="15.75">
      <c r="E15" s="61"/>
      <c r="F15" s="65"/>
    </row>
    <row r="16" spans="1:7" ht="15.75" hidden="1">
      <c r="A16" s="175" t="s">
        <v>113</v>
      </c>
      <c r="D16" s="184"/>
      <c r="E16" s="61"/>
      <c r="F16" s="65">
        <f>Selectie!$C$2</f>
        <v>2021</v>
      </c>
      <c r="G16" s="65"/>
    </row>
    <row r="17" spans="1:7" ht="15.75" hidden="1">
      <c r="A17" s="175" t="s">
        <v>113</v>
      </c>
      <c r="D17" s="184"/>
      <c r="F17" s="176" t="str">
        <f>Selectie!$C$3</f>
        <v>Q2</v>
      </c>
    </row>
    <row r="18" spans="1:7">
      <c r="E18" s="52" t="s">
        <v>268</v>
      </c>
      <c r="F18" s="52" t="s">
        <v>275</v>
      </c>
      <c r="G18" s="52" t="s">
        <v>240</v>
      </c>
    </row>
    <row r="19" spans="1:7">
      <c r="A19" s="175"/>
      <c r="D19" s="184"/>
      <c r="E19" s="52" t="s">
        <v>286</v>
      </c>
      <c r="F19" s="47" t="e">
        <f t="shared" ref="F19:F136" si="0">VLOOKUP($E19,Modelpuntoverzicht,6,FALSE)</f>
        <v>#N/A</v>
      </c>
      <c r="G19" s="178" t="e">
        <f>_xlfn.NUMBERVALUE(MID($E$19,4,1))=F19</f>
        <v>#N/A</v>
      </c>
    </row>
    <row r="20" spans="1:7">
      <c r="A20" s="175"/>
      <c r="D20" s="184"/>
      <c r="E20" s="52" t="s">
        <v>1026</v>
      </c>
      <c r="F20" s="47" t="e">
        <f t="shared" si="0"/>
        <v>#N/A</v>
      </c>
      <c r="G20" s="178" t="e">
        <f t="shared" ref="G20:G70" si="1">_xlfn.NUMBERVALUE(MID($E$19,4,1))=F20</f>
        <v>#N/A</v>
      </c>
    </row>
    <row r="21" spans="1:7">
      <c r="A21" s="175"/>
      <c r="D21" s="184"/>
      <c r="E21" s="52" t="s">
        <v>1027</v>
      </c>
      <c r="F21" s="47" t="e">
        <f t="shared" si="0"/>
        <v>#N/A</v>
      </c>
      <c r="G21" s="178" t="e">
        <f t="shared" si="1"/>
        <v>#N/A</v>
      </c>
    </row>
    <row r="22" spans="1:7">
      <c r="A22" s="175"/>
      <c r="D22" s="184"/>
      <c r="E22" s="52" t="s">
        <v>1028</v>
      </c>
      <c r="F22" s="47" t="e">
        <f t="shared" si="0"/>
        <v>#N/A</v>
      </c>
      <c r="G22" s="178" t="e">
        <f t="shared" si="1"/>
        <v>#N/A</v>
      </c>
    </row>
    <row r="23" spans="1:7">
      <c r="A23" s="175"/>
      <c r="D23" s="184"/>
      <c r="E23" s="52" t="s">
        <v>1029</v>
      </c>
      <c r="F23" s="47" t="e">
        <f t="shared" si="0"/>
        <v>#N/A</v>
      </c>
      <c r="G23" s="178" t="e">
        <f t="shared" si="1"/>
        <v>#N/A</v>
      </c>
    </row>
    <row r="24" spans="1:7">
      <c r="A24" s="175"/>
      <c r="D24" s="184"/>
      <c r="E24" s="52" t="s">
        <v>1020</v>
      </c>
      <c r="F24" s="47" t="e">
        <f t="shared" si="0"/>
        <v>#N/A</v>
      </c>
      <c r="G24" s="178" t="e">
        <f t="shared" si="1"/>
        <v>#N/A</v>
      </c>
    </row>
    <row r="25" spans="1:7">
      <c r="A25" s="175"/>
      <c r="D25" s="184"/>
      <c r="E25" s="52" t="s">
        <v>1021</v>
      </c>
      <c r="F25" s="47" t="e">
        <f t="shared" si="0"/>
        <v>#N/A</v>
      </c>
      <c r="G25" s="178" t="e">
        <f t="shared" si="1"/>
        <v>#N/A</v>
      </c>
    </row>
    <row r="26" spans="1:7">
      <c r="A26" s="175"/>
      <c r="D26" s="184"/>
      <c r="E26" s="52" t="s">
        <v>538</v>
      </c>
      <c r="F26" s="47">
        <f t="shared" si="0"/>
        <v>1</v>
      </c>
      <c r="G26" s="178" t="b">
        <f t="shared" si="1"/>
        <v>1</v>
      </c>
    </row>
    <row r="27" spans="1:7">
      <c r="A27" s="175"/>
      <c r="D27" s="184"/>
      <c r="E27" s="52" t="s">
        <v>590</v>
      </c>
      <c r="F27" s="47">
        <f t="shared" si="0"/>
        <v>1</v>
      </c>
      <c r="G27" s="178" t="b">
        <f t="shared" si="1"/>
        <v>1</v>
      </c>
    </row>
    <row r="28" spans="1:7">
      <c r="A28" s="175"/>
      <c r="D28" s="184"/>
      <c r="E28" s="52" t="s">
        <v>591</v>
      </c>
      <c r="F28" s="47">
        <f t="shared" si="0"/>
        <v>1</v>
      </c>
      <c r="G28" s="178" t="b">
        <f t="shared" si="1"/>
        <v>1</v>
      </c>
    </row>
    <row r="29" spans="1:7">
      <c r="A29" s="175"/>
      <c r="D29" s="184"/>
      <c r="E29" s="52" t="s">
        <v>592</v>
      </c>
      <c r="F29" s="47">
        <f t="shared" si="0"/>
        <v>1</v>
      </c>
      <c r="G29" s="178" t="b">
        <f t="shared" si="1"/>
        <v>1</v>
      </c>
    </row>
    <row r="30" spans="1:7">
      <c r="A30" s="175"/>
      <c r="D30" s="184"/>
      <c r="E30" s="52" t="s">
        <v>593</v>
      </c>
      <c r="F30" s="47">
        <f t="shared" si="0"/>
        <v>1</v>
      </c>
      <c r="G30" s="178" t="b">
        <f t="shared" si="1"/>
        <v>1</v>
      </c>
    </row>
    <row r="31" spans="1:7">
      <c r="A31" s="175"/>
      <c r="D31" s="184"/>
      <c r="E31" s="52" t="s">
        <v>594</v>
      </c>
      <c r="F31" s="47">
        <f t="shared" si="0"/>
        <v>1</v>
      </c>
      <c r="G31" s="178" t="b">
        <f t="shared" si="1"/>
        <v>1</v>
      </c>
    </row>
    <row r="32" spans="1:7">
      <c r="A32" s="175"/>
      <c r="D32" s="184"/>
      <c r="E32" s="52" t="s">
        <v>539</v>
      </c>
      <c r="F32" s="47">
        <f t="shared" si="0"/>
        <v>1</v>
      </c>
      <c r="G32" s="178" t="b">
        <f t="shared" si="1"/>
        <v>1</v>
      </c>
    </row>
    <row r="33" spans="1:7">
      <c r="A33" s="175"/>
      <c r="D33" s="184"/>
      <c r="E33" s="52" t="s">
        <v>1217</v>
      </c>
      <c r="F33" s="47" t="e">
        <f t="shared" si="0"/>
        <v>#N/A</v>
      </c>
      <c r="G33" s="178" t="e">
        <f>_xlfn.NUMBERVALUE(MID($E$19,4,1))=F33</f>
        <v>#N/A</v>
      </c>
    </row>
    <row r="34" spans="1:7">
      <c r="A34" s="175"/>
      <c r="D34" s="184"/>
      <c r="E34" s="52" t="s">
        <v>595</v>
      </c>
      <c r="F34" s="47">
        <f t="shared" si="0"/>
        <v>1</v>
      </c>
      <c r="G34" s="178" t="b">
        <f t="shared" si="1"/>
        <v>1</v>
      </c>
    </row>
    <row r="35" spans="1:7">
      <c r="A35" s="175"/>
      <c r="D35" s="184"/>
      <c r="E35" s="52" t="s">
        <v>596</v>
      </c>
      <c r="F35" s="47">
        <f t="shared" si="0"/>
        <v>1</v>
      </c>
      <c r="G35" s="178" t="b">
        <f t="shared" si="1"/>
        <v>1</v>
      </c>
    </row>
    <row r="36" spans="1:7">
      <c r="A36" s="175"/>
      <c r="D36" s="184"/>
      <c r="E36" s="52" t="s">
        <v>540</v>
      </c>
      <c r="F36" s="47">
        <f t="shared" si="0"/>
        <v>1</v>
      </c>
      <c r="G36" s="178" t="b">
        <f t="shared" si="1"/>
        <v>1</v>
      </c>
    </row>
    <row r="37" spans="1:7">
      <c r="A37" s="175"/>
      <c r="D37" s="184"/>
      <c r="E37" s="52" t="s">
        <v>541</v>
      </c>
      <c r="F37" s="47">
        <f t="shared" si="0"/>
        <v>1</v>
      </c>
      <c r="G37" s="178" t="b">
        <f t="shared" si="1"/>
        <v>1</v>
      </c>
    </row>
    <row r="38" spans="1:7">
      <c r="A38" s="175"/>
      <c r="D38" s="184"/>
      <c r="E38" s="52" t="s">
        <v>542</v>
      </c>
      <c r="F38" s="47">
        <f t="shared" si="0"/>
        <v>1</v>
      </c>
      <c r="G38" s="178" t="b">
        <f t="shared" si="1"/>
        <v>1</v>
      </c>
    </row>
    <row r="39" spans="1:7">
      <c r="A39" s="175"/>
      <c r="D39" s="184"/>
      <c r="E39" s="52" t="s">
        <v>597</v>
      </c>
      <c r="F39" s="47">
        <f t="shared" si="0"/>
        <v>1</v>
      </c>
      <c r="G39" s="178" t="b">
        <f t="shared" si="1"/>
        <v>1</v>
      </c>
    </row>
    <row r="40" spans="1:7">
      <c r="A40" s="175"/>
      <c r="D40" s="184"/>
      <c r="E40" s="52" t="s">
        <v>598</v>
      </c>
      <c r="F40" s="47">
        <f t="shared" si="0"/>
        <v>1</v>
      </c>
      <c r="G40" s="178" t="b">
        <f t="shared" si="1"/>
        <v>1</v>
      </c>
    </row>
    <row r="41" spans="1:7">
      <c r="A41" s="175"/>
      <c r="D41" s="184"/>
      <c r="E41" s="52" t="s">
        <v>599</v>
      </c>
      <c r="F41" s="47">
        <f t="shared" si="0"/>
        <v>1</v>
      </c>
      <c r="G41" s="178" t="b">
        <f t="shared" si="1"/>
        <v>1</v>
      </c>
    </row>
    <row r="42" spans="1:7">
      <c r="A42" s="175"/>
      <c r="D42" s="184"/>
      <c r="E42" s="52" t="s">
        <v>543</v>
      </c>
      <c r="F42" s="47">
        <f t="shared" si="0"/>
        <v>1</v>
      </c>
      <c r="G42" s="178" t="b">
        <f t="shared" si="1"/>
        <v>1</v>
      </c>
    </row>
    <row r="43" spans="1:7">
      <c r="A43" s="175"/>
      <c r="D43" s="184"/>
      <c r="E43" s="52" t="s">
        <v>544</v>
      </c>
      <c r="F43" s="47">
        <f t="shared" si="0"/>
        <v>1</v>
      </c>
      <c r="G43" s="178" t="b">
        <f t="shared" si="1"/>
        <v>1</v>
      </c>
    </row>
    <row r="44" spans="1:7">
      <c r="A44" s="175"/>
      <c r="D44" s="184"/>
      <c r="E44" s="52" t="s">
        <v>545</v>
      </c>
      <c r="F44" s="47">
        <f t="shared" si="0"/>
        <v>1</v>
      </c>
      <c r="G44" s="178" t="b">
        <f t="shared" si="1"/>
        <v>1</v>
      </c>
    </row>
    <row r="45" spans="1:7">
      <c r="A45" s="175"/>
      <c r="D45" s="184"/>
      <c r="E45" s="52" t="s">
        <v>546</v>
      </c>
      <c r="F45" s="47">
        <f t="shared" si="0"/>
        <v>1</v>
      </c>
      <c r="G45" s="178" t="b">
        <f t="shared" si="1"/>
        <v>1</v>
      </c>
    </row>
    <row r="46" spans="1:7">
      <c r="A46" s="175"/>
      <c r="D46" s="184"/>
      <c r="E46" s="52" t="s">
        <v>547</v>
      </c>
      <c r="F46" s="47">
        <f t="shared" si="0"/>
        <v>1</v>
      </c>
      <c r="G46" s="178" t="b">
        <f t="shared" si="1"/>
        <v>1</v>
      </c>
    </row>
    <row r="47" spans="1:7">
      <c r="A47" s="175"/>
      <c r="D47" s="184"/>
      <c r="E47" s="52" t="s">
        <v>548</v>
      </c>
      <c r="F47" s="47" t="e">
        <f t="shared" si="0"/>
        <v>#N/A</v>
      </c>
      <c r="G47" s="178" t="e">
        <f t="shared" si="1"/>
        <v>#N/A</v>
      </c>
    </row>
    <row r="48" spans="1:7">
      <c r="A48" s="175"/>
      <c r="D48" s="184"/>
      <c r="E48" s="52" t="s">
        <v>600</v>
      </c>
      <c r="F48" s="47" t="e">
        <f t="shared" si="0"/>
        <v>#N/A</v>
      </c>
      <c r="G48" s="178" t="e">
        <f t="shared" si="1"/>
        <v>#N/A</v>
      </c>
    </row>
    <row r="49" spans="1:7">
      <c r="A49" s="175"/>
      <c r="D49" s="184"/>
      <c r="E49" s="52" t="s">
        <v>549</v>
      </c>
      <c r="F49" s="47">
        <f t="shared" si="0"/>
        <v>1</v>
      </c>
      <c r="G49" s="178" t="b">
        <f t="shared" si="1"/>
        <v>1</v>
      </c>
    </row>
    <row r="50" spans="1:7">
      <c r="A50" s="175"/>
      <c r="D50" s="184"/>
      <c r="E50" s="52" t="s">
        <v>601</v>
      </c>
      <c r="F50" s="47">
        <f t="shared" si="0"/>
        <v>1</v>
      </c>
      <c r="G50" s="178" t="b">
        <f t="shared" si="1"/>
        <v>1</v>
      </c>
    </row>
    <row r="51" spans="1:7">
      <c r="A51" s="175"/>
      <c r="D51" s="184"/>
      <c r="E51" s="52" t="s">
        <v>602</v>
      </c>
      <c r="F51" s="47">
        <f t="shared" si="0"/>
        <v>1</v>
      </c>
      <c r="G51" s="178" t="b">
        <f t="shared" si="1"/>
        <v>1</v>
      </c>
    </row>
    <row r="52" spans="1:7">
      <c r="A52" s="175"/>
      <c r="D52" s="184"/>
      <c r="E52" s="52" t="s">
        <v>550</v>
      </c>
      <c r="F52" s="47">
        <f t="shared" si="0"/>
        <v>1</v>
      </c>
      <c r="G52" s="178" t="b">
        <f t="shared" si="1"/>
        <v>1</v>
      </c>
    </row>
    <row r="53" spans="1:7">
      <c r="A53" s="175"/>
      <c r="D53" s="184"/>
      <c r="E53" s="52" t="s">
        <v>551</v>
      </c>
      <c r="F53" s="47">
        <f t="shared" si="0"/>
        <v>1</v>
      </c>
      <c r="G53" s="178" t="b">
        <f t="shared" si="1"/>
        <v>1</v>
      </c>
    </row>
    <row r="54" spans="1:7">
      <c r="A54" s="175"/>
      <c r="D54" s="184"/>
      <c r="E54" s="52" t="s">
        <v>603</v>
      </c>
      <c r="F54" s="47">
        <f t="shared" si="0"/>
        <v>1</v>
      </c>
      <c r="G54" s="178" t="b">
        <f t="shared" si="1"/>
        <v>1</v>
      </c>
    </row>
    <row r="55" spans="1:7">
      <c r="A55" s="175"/>
      <c r="D55" s="184"/>
      <c r="E55" s="52" t="s">
        <v>604</v>
      </c>
      <c r="F55" s="47">
        <f t="shared" si="0"/>
        <v>1</v>
      </c>
      <c r="G55" s="178" t="b">
        <f t="shared" si="1"/>
        <v>1</v>
      </c>
    </row>
    <row r="56" spans="1:7">
      <c r="A56" s="175"/>
      <c r="D56" s="184"/>
      <c r="E56" s="52" t="s">
        <v>605</v>
      </c>
      <c r="F56" s="47">
        <f t="shared" si="0"/>
        <v>1</v>
      </c>
      <c r="G56" s="178" t="b">
        <f t="shared" si="1"/>
        <v>1</v>
      </c>
    </row>
    <row r="57" spans="1:7">
      <c r="A57" s="175"/>
      <c r="D57" s="184"/>
      <c r="E57" s="52" t="s">
        <v>606</v>
      </c>
      <c r="F57" s="47">
        <f t="shared" si="0"/>
        <v>1</v>
      </c>
      <c r="G57" s="178" t="b">
        <f t="shared" si="1"/>
        <v>1</v>
      </c>
    </row>
    <row r="58" spans="1:7">
      <c r="A58" s="175"/>
      <c r="D58" s="184"/>
      <c r="E58" s="52" t="s">
        <v>607</v>
      </c>
      <c r="F58" s="47">
        <f t="shared" si="0"/>
        <v>1</v>
      </c>
      <c r="G58" s="178" t="b">
        <f t="shared" si="1"/>
        <v>1</v>
      </c>
    </row>
    <row r="59" spans="1:7">
      <c r="A59" s="175"/>
      <c r="D59" s="184"/>
      <c r="E59" s="52" t="s">
        <v>608</v>
      </c>
      <c r="F59" s="47">
        <f t="shared" si="0"/>
        <v>1</v>
      </c>
      <c r="G59" s="178" t="b">
        <f t="shared" si="1"/>
        <v>1</v>
      </c>
    </row>
    <row r="60" spans="1:7">
      <c r="A60" s="175"/>
      <c r="D60" s="184"/>
      <c r="E60" s="52" t="s">
        <v>552</v>
      </c>
      <c r="F60" s="47">
        <f t="shared" si="0"/>
        <v>1</v>
      </c>
      <c r="G60" s="178" t="b">
        <f t="shared" si="1"/>
        <v>1</v>
      </c>
    </row>
    <row r="61" spans="1:7">
      <c r="A61" s="175"/>
      <c r="D61" s="184"/>
      <c r="E61" s="52" t="s">
        <v>609</v>
      </c>
      <c r="F61" s="47">
        <f t="shared" si="0"/>
        <v>1</v>
      </c>
      <c r="G61" s="178" t="b">
        <f t="shared" si="1"/>
        <v>1</v>
      </c>
    </row>
    <row r="62" spans="1:7">
      <c r="A62" s="175"/>
      <c r="D62" s="184"/>
      <c r="E62" s="52" t="s">
        <v>610</v>
      </c>
      <c r="F62" s="47">
        <f t="shared" si="0"/>
        <v>1</v>
      </c>
      <c r="G62" s="178" t="b">
        <f t="shared" si="1"/>
        <v>1</v>
      </c>
    </row>
    <row r="63" spans="1:7">
      <c r="A63" s="175"/>
      <c r="D63" s="184"/>
      <c r="E63" s="52" t="s">
        <v>611</v>
      </c>
      <c r="F63" s="47">
        <f t="shared" si="0"/>
        <v>1</v>
      </c>
      <c r="G63" s="178" t="b">
        <f t="shared" si="1"/>
        <v>1</v>
      </c>
    </row>
    <row r="64" spans="1:7">
      <c r="A64" s="175"/>
      <c r="D64" s="184"/>
      <c r="E64" s="52" t="s">
        <v>612</v>
      </c>
      <c r="F64" s="47">
        <f t="shared" si="0"/>
        <v>1</v>
      </c>
      <c r="G64" s="178" t="b">
        <f t="shared" si="1"/>
        <v>1</v>
      </c>
    </row>
    <row r="65" spans="1:7">
      <c r="A65" s="175"/>
      <c r="D65" s="184"/>
      <c r="E65" s="52" t="s">
        <v>553</v>
      </c>
      <c r="F65" s="47">
        <f t="shared" si="0"/>
        <v>1</v>
      </c>
      <c r="G65" s="178" t="b">
        <f t="shared" si="1"/>
        <v>1</v>
      </c>
    </row>
    <row r="66" spans="1:7">
      <c r="A66" s="175"/>
      <c r="D66" s="184"/>
      <c r="E66" s="52" t="s">
        <v>613</v>
      </c>
      <c r="F66" s="47">
        <f t="shared" si="0"/>
        <v>1</v>
      </c>
      <c r="G66" s="178" t="b">
        <f t="shared" si="1"/>
        <v>1</v>
      </c>
    </row>
    <row r="67" spans="1:7">
      <c r="A67" s="175"/>
      <c r="D67" s="184"/>
      <c r="E67" s="52" t="s">
        <v>614</v>
      </c>
      <c r="F67" s="47">
        <f t="shared" si="0"/>
        <v>1</v>
      </c>
      <c r="G67" s="178" t="b">
        <f t="shared" si="1"/>
        <v>1</v>
      </c>
    </row>
    <row r="68" spans="1:7">
      <c r="A68" s="175"/>
      <c r="D68" s="184"/>
      <c r="E68" s="52" t="s">
        <v>554</v>
      </c>
      <c r="F68" s="47">
        <f t="shared" si="0"/>
        <v>1</v>
      </c>
      <c r="G68" s="178" t="b">
        <f t="shared" si="1"/>
        <v>1</v>
      </c>
    </row>
    <row r="69" spans="1:7">
      <c r="A69" s="175"/>
      <c r="D69" s="184"/>
      <c r="E69" s="52" t="s">
        <v>555</v>
      </c>
      <c r="F69" s="47">
        <f t="shared" si="0"/>
        <v>1</v>
      </c>
      <c r="G69" s="178" t="b">
        <f t="shared" si="1"/>
        <v>1</v>
      </c>
    </row>
    <row r="70" spans="1:7">
      <c r="A70" s="175"/>
      <c r="D70" s="184"/>
      <c r="E70" s="52" t="s">
        <v>1061</v>
      </c>
      <c r="F70" s="47" t="e">
        <f t="shared" si="0"/>
        <v>#N/A</v>
      </c>
      <c r="G70" s="178" t="e">
        <f t="shared" si="1"/>
        <v>#N/A</v>
      </c>
    </row>
    <row r="71" spans="1:7">
      <c r="A71" s="175"/>
      <c r="D71" s="184"/>
      <c r="E71" s="52" t="s">
        <v>287</v>
      </c>
      <c r="F71" s="47" t="e">
        <f t="shared" si="0"/>
        <v>#N/A</v>
      </c>
      <c r="G71" s="178" t="e">
        <f>_xlfn.NUMBERVALUE(MID($E$71,4,1))=F71</f>
        <v>#N/A</v>
      </c>
    </row>
    <row r="72" spans="1:7">
      <c r="A72" s="175"/>
      <c r="D72" s="184"/>
      <c r="E72" s="52" t="s">
        <v>495</v>
      </c>
      <c r="F72" s="47">
        <f t="shared" si="0"/>
        <v>2</v>
      </c>
      <c r="G72" s="178" t="b">
        <f t="shared" ref="G72:G138" si="2">_xlfn.NUMBERVALUE(MID($E$71,4,1))=F72</f>
        <v>1</v>
      </c>
    </row>
    <row r="73" spans="1:7">
      <c r="A73" s="175"/>
      <c r="D73" s="184"/>
      <c r="E73" s="52" t="s">
        <v>496</v>
      </c>
      <c r="F73" s="47">
        <f t="shared" si="0"/>
        <v>2</v>
      </c>
      <c r="G73" s="178" t="b">
        <f t="shared" si="2"/>
        <v>1</v>
      </c>
    </row>
    <row r="74" spans="1:7">
      <c r="A74" s="175"/>
      <c r="D74" s="184"/>
      <c r="E74" s="52" t="s">
        <v>513</v>
      </c>
      <c r="F74" s="47">
        <f t="shared" si="0"/>
        <v>2</v>
      </c>
      <c r="G74" s="178" t="b">
        <f t="shared" si="2"/>
        <v>1</v>
      </c>
    </row>
    <row r="75" spans="1:7">
      <c r="A75" s="175"/>
      <c r="D75" s="184"/>
      <c r="E75" s="52" t="s">
        <v>497</v>
      </c>
      <c r="F75" s="47">
        <f t="shared" si="0"/>
        <v>2</v>
      </c>
      <c r="G75" s="178" t="b">
        <f t="shared" si="2"/>
        <v>1</v>
      </c>
    </row>
    <row r="76" spans="1:7">
      <c r="A76" s="175"/>
      <c r="D76" s="184"/>
      <c r="E76" s="52" t="s">
        <v>514</v>
      </c>
      <c r="F76" s="47">
        <f t="shared" si="0"/>
        <v>2</v>
      </c>
      <c r="G76" s="178" t="b">
        <f t="shared" si="2"/>
        <v>1</v>
      </c>
    </row>
    <row r="77" spans="1:7">
      <c r="A77" s="175"/>
      <c r="D77" s="184"/>
      <c r="E77" s="52" t="s">
        <v>515</v>
      </c>
      <c r="F77" s="47">
        <f t="shared" si="0"/>
        <v>2</v>
      </c>
      <c r="G77" s="178" t="b">
        <f t="shared" si="2"/>
        <v>1</v>
      </c>
    </row>
    <row r="78" spans="1:7">
      <c r="A78" s="175"/>
      <c r="D78" s="184"/>
      <c r="E78" s="52" t="s">
        <v>498</v>
      </c>
      <c r="F78" s="47">
        <f t="shared" si="0"/>
        <v>2</v>
      </c>
      <c r="G78" s="178" t="b">
        <f t="shared" si="2"/>
        <v>1</v>
      </c>
    </row>
    <row r="79" spans="1:7">
      <c r="A79" s="175"/>
      <c r="D79" s="184"/>
      <c r="E79" s="52" t="s">
        <v>1023</v>
      </c>
      <c r="F79" s="47" t="e">
        <f t="shared" si="0"/>
        <v>#N/A</v>
      </c>
      <c r="G79" s="178" t="e">
        <f t="shared" si="2"/>
        <v>#N/A</v>
      </c>
    </row>
    <row r="80" spans="1:7">
      <c r="A80" s="175"/>
      <c r="D80" s="184"/>
      <c r="E80" s="52" t="s">
        <v>1022</v>
      </c>
      <c r="F80" s="47" t="e">
        <f t="shared" si="0"/>
        <v>#N/A</v>
      </c>
      <c r="G80" s="178" t="e">
        <f t="shared" si="2"/>
        <v>#N/A</v>
      </c>
    </row>
    <row r="81" spans="1:7">
      <c r="A81" s="175"/>
      <c r="D81" s="184"/>
      <c r="E81" s="52" t="s">
        <v>1019</v>
      </c>
      <c r="F81" s="47" t="e">
        <f t="shared" si="0"/>
        <v>#N/A</v>
      </c>
      <c r="G81" s="178" t="e">
        <f t="shared" si="2"/>
        <v>#N/A</v>
      </c>
    </row>
    <row r="82" spans="1:7">
      <c r="A82" s="175"/>
      <c r="D82" s="184"/>
      <c r="E82" s="52" t="s">
        <v>1017</v>
      </c>
      <c r="F82" s="47" t="e">
        <f t="shared" si="0"/>
        <v>#N/A</v>
      </c>
      <c r="G82" s="178" t="e">
        <f t="shared" si="2"/>
        <v>#N/A</v>
      </c>
    </row>
    <row r="83" spans="1:7">
      <c r="A83" s="175"/>
      <c r="D83" s="184"/>
      <c r="E83" s="52" t="s">
        <v>1014</v>
      </c>
      <c r="F83" s="47" t="e">
        <f t="shared" si="0"/>
        <v>#N/A</v>
      </c>
      <c r="G83" s="178" t="e">
        <f t="shared" si="2"/>
        <v>#N/A</v>
      </c>
    </row>
    <row r="84" spans="1:7">
      <c r="A84" s="175"/>
      <c r="D84" s="184"/>
      <c r="E84" s="52" t="s">
        <v>1012</v>
      </c>
      <c r="F84" s="47" t="e">
        <f t="shared" si="0"/>
        <v>#N/A</v>
      </c>
      <c r="G84" s="178" t="e">
        <f t="shared" si="2"/>
        <v>#N/A</v>
      </c>
    </row>
    <row r="85" spans="1:7">
      <c r="A85" s="175"/>
      <c r="D85" s="184"/>
      <c r="E85" s="52" t="s">
        <v>1009</v>
      </c>
      <c r="F85" s="47" t="e">
        <f t="shared" si="0"/>
        <v>#N/A</v>
      </c>
      <c r="G85" s="178" t="e">
        <f t="shared" si="2"/>
        <v>#N/A</v>
      </c>
    </row>
    <row r="86" spans="1:7">
      <c r="A86" s="175"/>
      <c r="D86" s="184"/>
      <c r="E86" s="52" t="s">
        <v>1008</v>
      </c>
      <c r="F86" s="47" t="e">
        <f t="shared" si="0"/>
        <v>#N/A</v>
      </c>
      <c r="G86" s="178" t="e">
        <f t="shared" si="2"/>
        <v>#N/A</v>
      </c>
    </row>
    <row r="87" spans="1:7">
      <c r="A87" s="175"/>
      <c r="D87" s="184"/>
      <c r="E87" s="52" t="s">
        <v>1007</v>
      </c>
      <c r="F87" s="47" t="e">
        <f t="shared" si="0"/>
        <v>#N/A</v>
      </c>
      <c r="G87" s="178" t="e">
        <f t="shared" si="2"/>
        <v>#N/A</v>
      </c>
    </row>
    <row r="88" spans="1:7">
      <c r="A88" s="175"/>
      <c r="D88" s="184"/>
      <c r="E88" s="52" t="s">
        <v>1006</v>
      </c>
      <c r="F88" s="47" t="e">
        <f t="shared" si="0"/>
        <v>#N/A</v>
      </c>
      <c r="G88" s="178" t="e">
        <f t="shared" si="2"/>
        <v>#N/A</v>
      </c>
    </row>
    <row r="89" spans="1:7">
      <c r="A89" s="175"/>
      <c r="D89" s="184"/>
      <c r="E89" s="52" t="s">
        <v>516</v>
      </c>
      <c r="F89" s="47">
        <f t="shared" si="0"/>
        <v>2</v>
      </c>
      <c r="G89" s="178" t="b">
        <f t="shared" si="2"/>
        <v>1</v>
      </c>
    </row>
    <row r="90" spans="1:7">
      <c r="A90" s="175"/>
      <c r="D90" s="184"/>
      <c r="E90" s="52" t="s">
        <v>488</v>
      </c>
      <c r="F90" s="47">
        <f t="shared" si="0"/>
        <v>2</v>
      </c>
      <c r="G90" s="178" t="b">
        <f t="shared" si="2"/>
        <v>1</v>
      </c>
    </row>
    <row r="91" spans="1:7">
      <c r="A91" s="175"/>
      <c r="D91" s="184"/>
      <c r="E91" s="52" t="s">
        <v>478</v>
      </c>
      <c r="F91" s="47">
        <f t="shared" si="0"/>
        <v>2</v>
      </c>
      <c r="G91" s="178" t="b">
        <f t="shared" si="2"/>
        <v>1</v>
      </c>
    </row>
    <row r="92" spans="1:7">
      <c r="A92" s="175"/>
      <c r="D92" s="184"/>
      <c r="E92" s="52" t="s">
        <v>556</v>
      </c>
      <c r="F92" s="47">
        <f t="shared" si="0"/>
        <v>2</v>
      </c>
      <c r="G92" s="178" t="b">
        <f t="shared" si="2"/>
        <v>1</v>
      </c>
    </row>
    <row r="93" spans="1:7">
      <c r="A93" s="175"/>
      <c r="D93" s="184"/>
      <c r="E93" s="52" t="s">
        <v>499</v>
      </c>
      <c r="F93" s="47">
        <f t="shared" si="0"/>
        <v>2</v>
      </c>
      <c r="G93" s="178" t="b">
        <f t="shared" si="2"/>
        <v>1</v>
      </c>
    </row>
    <row r="94" spans="1:7">
      <c r="A94" s="175"/>
      <c r="D94" s="184"/>
      <c r="E94" s="52" t="s">
        <v>584</v>
      </c>
      <c r="F94" s="47">
        <f t="shared" si="0"/>
        <v>2</v>
      </c>
      <c r="G94" s="178" t="b">
        <f t="shared" si="2"/>
        <v>1</v>
      </c>
    </row>
    <row r="95" spans="1:7">
      <c r="A95" s="175"/>
      <c r="D95" s="184"/>
      <c r="E95" s="52" t="s">
        <v>489</v>
      </c>
      <c r="F95" s="47">
        <f t="shared" si="0"/>
        <v>2</v>
      </c>
      <c r="G95" s="178" t="b">
        <f t="shared" si="2"/>
        <v>1</v>
      </c>
    </row>
    <row r="96" spans="1:7">
      <c r="A96" s="175"/>
      <c r="D96" s="184"/>
      <c r="E96" s="52" t="s">
        <v>500</v>
      </c>
      <c r="F96" s="47">
        <f t="shared" si="0"/>
        <v>2</v>
      </c>
      <c r="G96" s="178" t="b">
        <f t="shared" si="2"/>
        <v>1</v>
      </c>
    </row>
    <row r="97" spans="1:7">
      <c r="A97" s="175"/>
      <c r="D97" s="184"/>
      <c r="E97" s="52" t="s">
        <v>517</v>
      </c>
      <c r="F97" s="47">
        <f t="shared" si="0"/>
        <v>2</v>
      </c>
      <c r="G97" s="178" t="b">
        <f t="shared" si="2"/>
        <v>1</v>
      </c>
    </row>
    <row r="98" spans="1:7">
      <c r="A98" s="175"/>
      <c r="D98" s="184"/>
      <c r="E98" s="52" t="s">
        <v>518</v>
      </c>
      <c r="F98" s="47">
        <f t="shared" si="0"/>
        <v>2</v>
      </c>
      <c r="G98" s="178" t="b">
        <f t="shared" si="2"/>
        <v>1</v>
      </c>
    </row>
    <row r="99" spans="1:7">
      <c r="A99" s="175"/>
      <c r="D99" s="184"/>
      <c r="E99" s="52" t="s">
        <v>1024</v>
      </c>
      <c r="F99" s="47">
        <f t="shared" si="0"/>
        <v>2</v>
      </c>
      <c r="G99" s="178" t="b">
        <f t="shared" ref="G99:G106" si="3">_xlfn.NUMBERVALUE(MID($E$71,4,1))=F99</f>
        <v>1</v>
      </c>
    </row>
    <row r="100" spans="1:7">
      <c r="A100" s="175"/>
      <c r="D100" s="184"/>
      <c r="E100" s="52" t="s">
        <v>1025</v>
      </c>
      <c r="F100" s="47">
        <f t="shared" si="0"/>
        <v>2</v>
      </c>
      <c r="G100" s="178" t="b">
        <f t="shared" si="3"/>
        <v>1</v>
      </c>
    </row>
    <row r="101" spans="1:7">
      <c r="A101" s="175"/>
      <c r="D101" s="184"/>
      <c r="E101" s="52" t="s">
        <v>1079</v>
      </c>
      <c r="F101" s="47">
        <f t="shared" si="0"/>
        <v>2</v>
      </c>
      <c r="G101" s="178" t="b">
        <f t="shared" si="3"/>
        <v>1</v>
      </c>
    </row>
    <row r="102" spans="1:7">
      <c r="A102" s="175"/>
      <c r="D102" s="184"/>
      <c r="E102" s="52" t="s">
        <v>1010</v>
      </c>
      <c r="F102" s="47">
        <f t="shared" si="0"/>
        <v>2</v>
      </c>
      <c r="G102" s="178" t="b">
        <f t="shared" si="3"/>
        <v>1</v>
      </c>
    </row>
    <row r="103" spans="1:7">
      <c r="A103" s="175"/>
      <c r="D103" s="184"/>
      <c r="E103" s="52" t="s">
        <v>1011</v>
      </c>
      <c r="F103" s="47">
        <f t="shared" si="0"/>
        <v>2</v>
      </c>
      <c r="G103" s="178" t="b">
        <f t="shared" si="3"/>
        <v>1</v>
      </c>
    </row>
    <row r="104" spans="1:7">
      <c r="A104" s="175"/>
      <c r="D104" s="184"/>
      <c r="E104" s="52" t="s">
        <v>1193</v>
      </c>
      <c r="F104" s="47">
        <f t="shared" si="0"/>
        <v>2</v>
      </c>
      <c r="G104" s="178" t="b">
        <f>_xlfn.NUMBERVALUE(MID($E$71,4,1))=F104</f>
        <v>1</v>
      </c>
    </row>
    <row r="105" spans="1:7">
      <c r="A105" s="175"/>
      <c r="D105" s="184"/>
      <c r="E105" s="52" t="s">
        <v>1015</v>
      </c>
      <c r="F105" s="47">
        <f t="shared" si="0"/>
        <v>2</v>
      </c>
      <c r="G105" s="178" t="b">
        <f t="shared" si="3"/>
        <v>1</v>
      </c>
    </row>
    <row r="106" spans="1:7">
      <c r="A106" s="175"/>
      <c r="D106" s="184"/>
      <c r="E106" s="52" t="s">
        <v>1085</v>
      </c>
      <c r="F106" s="47">
        <f t="shared" si="0"/>
        <v>2</v>
      </c>
      <c r="G106" s="178" t="b">
        <f t="shared" si="3"/>
        <v>1</v>
      </c>
    </row>
    <row r="107" spans="1:7">
      <c r="A107" s="175"/>
      <c r="D107" s="184"/>
      <c r="E107" s="52" t="s">
        <v>557</v>
      </c>
      <c r="F107" s="47">
        <f t="shared" si="0"/>
        <v>2</v>
      </c>
      <c r="G107" s="178" t="b">
        <f t="shared" si="2"/>
        <v>1</v>
      </c>
    </row>
    <row r="108" spans="1:7">
      <c r="A108" s="175"/>
      <c r="D108" s="184"/>
      <c r="E108" s="52" t="s">
        <v>558</v>
      </c>
      <c r="F108" s="47">
        <f t="shared" si="0"/>
        <v>2</v>
      </c>
      <c r="G108" s="178" t="b">
        <f t="shared" si="2"/>
        <v>1</v>
      </c>
    </row>
    <row r="109" spans="1:7">
      <c r="A109" s="175"/>
      <c r="D109" s="184"/>
      <c r="E109" s="52" t="s">
        <v>973</v>
      </c>
      <c r="F109" s="47">
        <f t="shared" si="0"/>
        <v>2</v>
      </c>
      <c r="G109" s="178" t="b">
        <f t="shared" si="2"/>
        <v>1</v>
      </c>
    </row>
    <row r="110" spans="1:7">
      <c r="A110" s="175"/>
      <c r="D110" s="184"/>
      <c r="E110" s="52" t="s">
        <v>472</v>
      </c>
      <c r="F110" s="47">
        <f t="shared" si="0"/>
        <v>2</v>
      </c>
      <c r="G110" s="178" t="b">
        <f t="shared" si="2"/>
        <v>1</v>
      </c>
    </row>
    <row r="111" spans="1:7">
      <c r="A111" s="175"/>
      <c r="D111" s="184"/>
      <c r="E111" s="52" t="s">
        <v>585</v>
      </c>
      <c r="F111" s="47">
        <f t="shared" si="0"/>
        <v>2</v>
      </c>
      <c r="G111" s="178" t="b">
        <f t="shared" si="2"/>
        <v>1</v>
      </c>
    </row>
    <row r="112" spans="1:7">
      <c r="A112" s="175"/>
      <c r="D112" s="184"/>
      <c r="E112" s="52" t="s">
        <v>468</v>
      </c>
      <c r="F112" s="47">
        <f t="shared" si="0"/>
        <v>2</v>
      </c>
      <c r="G112" s="178" t="b">
        <f t="shared" si="2"/>
        <v>1</v>
      </c>
    </row>
    <row r="113" spans="1:7">
      <c r="A113" s="175"/>
      <c r="D113" s="184"/>
      <c r="E113" s="52" t="s">
        <v>490</v>
      </c>
      <c r="F113" s="47">
        <f t="shared" si="0"/>
        <v>2</v>
      </c>
      <c r="G113" s="178" t="b">
        <f t="shared" si="2"/>
        <v>1</v>
      </c>
    </row>
    <row r="114" spans="1:7">
      <c r="A114" s="175"/>
      <c r="D114" s="184"/>
      <c r="E114" s="52" t="s">
        <v>479</v>
      </c>
      <c r="F114" s="47">
        <f t="shared" si="0"/>
        <v>2</v>
      </c>
      <c r="G114" s="178" t="b">
        <f t="shared" si="2"/>
        <v>1</v>
      </c>
    </row>
    <row r="115" spans="1:7">
      <c r="A115" s="175"/>
      <c r="D115" s="184"/>
      <c r="E115" s="52" t="s">
        <v>501</v>
      </c>
      <c r="F115" s="47">
        <f t="shared" si="0"/>
        <v>2</v>
      </c>
      <c r="G115" s="178" t="b">
        <f t="shared" si="2"/>
        <v>1</v>
      </c>
    </row>
    <row r="116" spans="1:7">
      <c r="A116" s="175"/>
      <c r="D116" s="184"/>
      <c r="E116" s="52" t="s">
        <v>473</v>
      </c>
      <c r="F116" s="47">
        <f t="shared" si="0"/>
        <v>2</v>
      </c>
      <c r="G116" s="178" t="b">
        <f t="shared" si="2"/>
        <v>1</v>
      </c>
    </row>
    <row r="117" spans="1:7">
      <c r="A117" s="175"/>
      <c r="D117" s="184"/>
      <c r="E117" s="52" t="s">
        <v>559</v>
      </c>
      <c r="F117" s="47">
        <f t="shared" si="0"/>
        <v>2</v>
      </c>
      <c r="G117" s="178" t="b">
        <f t="shared" si="2"/>
        <v>1</v>
      </c>
    </row>
    <row r="118" spans="1:7">
      <c r="A118" s="175"/>
      <c r="D118" s="184"/>
      <c r="E118" s="52" t="s">
        <v>586</v>
      </c>
      <c r="F118" s="47">
        <f t="shared" si="0"/>
        <v>2</v>
      </c>
      <c r="G118" s="178" t="b">
        <f t="shared" si="2"/>
        <v>1</v>
      </c>
    </row>
    <row r="119" spans="1:7">
      <c r="A119" s="175"/>
      <c r="D119" s="184"/>
      <c r="E119" s="52" t="s">
        <v>578</v>
      </c>
      <c r="F119" s="47">
        <f t="shared" si="0"/>
        <v>2</v>
      </c>
      <c r="G119" s="178" t="b">
        <f t="shared" si="2"/>
        <v>1</v>
      </c>
    </row>
    <row r="120" spans="1:7">
      <c r="A120" s="175"/>
      <c r="D120" s="184"/>
      <c r="E120" s="52" t="s">
        <v>579</v>
      </c>
      <c r="F120" s="47">
        <f t="shared" si="0"/>
        <v>2</v>
      </c>
      <c r="G120" s="178" t="b">
        <f t="shared" si="2"/>
        <v>1</v>
      </c>
    </row>
    <row r="121" spans="1:7">
      <c r="A121" s="175"/>
      <c r="D121" s="184"/>
      <c r="E121" s="52" t="s">
        <v>469</v>
      </c>
      <c r="F121" s="47">
        <f t="shared" si="0"/>
        <v>2</v>
      </c>
      <c r="G121" s="178" t="b">
        <f t="shared" si="2"/>
        <v>1</v>
      </c>
    </row>
    <row r="122" spans="1:7">
      <c r="A122" s="175"/>
      <c r="D122" s="184"/>
      <c r="E122" s="52" t="s">
        <v>491</v>
      </c>
      <c r="F122" s="47">
        <f t="shared" si="0"/>
        <v>2</v>
      </c>
      <c r="G122" s="178" t="b">
        <f t="shared" si="2"/>
        <v>1</v>
      </c>
    </row>
    <row r="123" spans="1:7">
      <c r="A123" s="175"/>
      <c r="D123" s="184"/>
      <c r="E123" s="52" t="s">
        <v>480</v>
      </c>
      <c r="F123" s="47">
        <f t="shared" si="0"/>
        <v>2</v>
      </c>
      <c r="G123" s="178" t="b">
        <f t="shared" si="2"/>
        <v>1</v>
      </c>
    </row>
    <row r="124" spans="1:7">
      <c r="A124" s="175"/>
      <c r="D124" s="184"/>
      <c r="E124" s="52" t="s">
        <v>560</v>
      </c>
      <c r="F124" s="47">
        <f t="shared" si="0"/>
        <v>2</v>
      </c>
      <c r="G124" s="178" t="b">
        <f t="shared" si="2"/>
        <v>1</v>
      </c>
    </row>
    <row r="125" spans="1:7">
      <c r="A125" s="175"/>
      <c r="D125" s="184"/>
      <c r="E125" s="52" t="s">
        <v>561</v>
      </c>
      <c r="F125" s="47">
        <f t="shared" si="0"/>
        <v>2</v>
      </c>
      <c r="G125" s="178" t="b">
        <f t="shared" si="2"/>
        <v>1</v>
      </c>
    </row>
    <row r="126" spans="1:7">
      <c r="A126" s="175"/>
      <c r="D126" s="184"/>
      <c r="E126" s="52" t="s">
        <v>562</v>
      </c>
      <c r="F126" s="47">
        <f t="shared" si="0"/>
        <v>2</v>
      </c>
      <c r="G126" s="178" t="b">
        <f t="shared" si="2"/>
        <v>1</v>
      </c>
    </row>
    <row r="127" spans="1:7">
      <c r="A127" s="175"/>
      <c r="D127" s="184"/>
      <c r="E127" s="52" t="s">
        <v>563</v>
      </c>
      <c r="F127" s="47">
        <f t="shared" si="0"/>
        <v>2</v>
      </c>
      <c r="G127" s="178" t="b">
        <f t="shared" si="2"/>
        <v>1</v>
      </c>
    </row>
    <row r="128" spans="1:7">
      <c r="A128" s="175"/>
      <c r="D128" s="184"/>
      <c r="E128" s="52" t="s">
        <v>564</v>
      </c>
      <c r="F128" s="47">
        <f t="shared" si="0"/>
        <v>2</v>
      </c>
      <c r="G128" s="178" t="b">
        <f t="shared" si="2"/>
        <v>1</v>
      </c>
    </row>
    <row r="129" spans="1:7">
      <c r="A129" s="175"/>
      <c r="D129" s="184"/>
      <c r="E129" s="52" t="s">
        <v>474</v>
      </c>
      <c r="F129" s="47">
        <f t="shared" si="0"/>
        <v>2</v>
      </c>
      <c r="G129" s="178" t="b">
        <f t="shared" si="2"/>
        <v>1</v>
      </c>
    </row>
    <row r="130" spans="1:7">
      <c r="A130" s="175"/>
      <c r="D130" s="184"/>
      <c r="E130" s="52" t="s">
        <v>565</v>
      </c>
      <c r="F130" s="47">
        <f t="shared" si="0"/>
        <v>2</v>
      </c>
      <c r="G130" s="178" t="b">
        <f t="shared" si="2"/>
        <v>1</v>
      </c>
    </row>
    <row r="131" spans="1:7">
      <c r="A131" s="175"/>
      <c r="D131" s="184"/>
      <c r="E131" s="52" t="s">
        <v>587</v>
      </c>
      <c r="F131" s="47">
        <f t="shared" si="0"/>
        <v>2</v>
      </c>
      <c r="G131" s="178" t="b">
        <f t="shared" si="2"/>
        <v>1</v>
      </c>
    </row>
    <row r="132" spans="1:7">
      <c r="A132" s="175"/>
      <c r="D132" s="184"/>
      <c r="E132" s="52" t="s">
        <v>566</v>
      </c>
      <c r="F132" s="47">
        <f t="shared" si="0"/>
        <v>2</v>
      </c>
      <c r="G132" s="178" t="b">
        <f t="shared" si="2"/>
        <v>1</v>
      </c>
    </row>
    <row r="133" spans="1:7">
      <c r="A133" s="175"/>
      <c r="D133" s="184"/>
      <c r="E133" s="52" t="s">
        <v>470</v>
      </c>
      <c r="F133" s="47">
        <f t="shared" si="0"/>
        <v>2</v>
      </c>
      <c r="G133" s="178" t="b">
        <f t="shared" si="2"/>
        <v>1</v>
      </c>
    </row>
    <row r="134" spans="1:7">
      <c r="A134" s="175"/>
      <c r="D134" s="184"/>
      <c r="E134" s="52" t="s">
        <v>481</v>
      </c>
      <c r="F134" s="47">
        <f t="shared" si="0"/>
        <v>2</v>
      </c>
      <c r="G134" s="178" t="b">
        <f t="shared" si="2"/>
        <v>1</v>
      </c>
    </row>
    <row r="135" spans="1:7">
      <c r="A135" s="175"/>
      <c r="D135" s="184"/>
      <c r="E135" s="52" t="s">
        <v>567</v>
      </c>
      <c r="F135" s="47">
        <f t="shared" si="0"/>
        <v>2</v>
      </c>
      <c r="G135" s="178" t="b">
        <f t="shared" si="2"/>
        <v>1</v>
      </c>
    </row>
    <row r="136" spans="1:7">
      <c r="A136" s="175"/>
      <c r="D136" s="184"/>
      <c r="E136" s="52" t="s">
        <v>568</v>
      </c>
      <c r="F136" s="47">
        <f t="shared" si="0"/>
        <v>2</v>
      </c>
      <c r="G136" s="178" t="b">
        <f t="shared" si="2"/>
        <v>1</v>
      </c>
    </row>
    <row r="137" spans="1:7">
      <c r="A137" s="175"/>
      <c r="D137" s="184"/>
      <c r="E137" s="52" t="s">
        <v>569</v>
      </c>
      <c r="F137" s="47">
        <f t="shared" ref="F137:F206" si="4">VLOOKUP($E137,Modelpuntoverzicht,6,FALSE)</f>
        <v>2</v>
      </c>
      <c r="G137" s="178" t="b">
        <f t="shared" si="2"/>
        <v>1</v>
      </c>
    </row>
    <row r="138" spans="1:7">
      <c r="A138" s="175"/>
      <c r="D138" s="184"/>
      <c r="E138" s="52" t="s">
        <v>570</v>
      </c>
      <c r="F138" s="47">
        <f t="shared" si="4"/>
        <v>2</v>
      </c>
      <c r="G138" s="178" t="b">
        <f t="shared" si="2"/>
        <v>1</v>
      </c>
    </row>
    <row r="139" spans="1:7">
      <c r="A139" s="175"/>
      <c r="D139" s="184"/>
      <c r="E139" s="52" t="s">
        <v>571</v>
      </c>
      <c r="F139" s="47">
        <f t="shared" si="4"/>
        <v>2</v>
      </c>
      <c r="G139" s="178" t="b">
        <f t="shared" ref="G139:G206" si="5">_xlfn.NUMBERVALUE(MID($E$71,4,1))=F139</f>
        <v>1</v>
      </c>
    </row>
    <row r="140" spans="1:7">
      <c r="A140" s="175"/>
      <c r="D140" s="184"/>
      <c r="E140" s="52" t="s">
        <v>475</v>
      </c>
      <c r="F140" s="47">
        <f t="shared" si="4"/>
        <v>2</v>
      </c>
      <c r="G140" s="178" t="b">
        <f t="shared" si="5"/>
        <v>1</v>
      </c>
    </row>
    <row r="141" spans="1:7">
      <c r="A141" s="175"/>
      <c r="D141" s="184"/>
      <c r="E141" s="52" t="s">
        <v>476</v>
      </c>
      <c r="F141" s="47">
        <f t="shared" si="4"/>
        <v>2</v>
      </c>
      <c r="G141" s="178" t="b">
        <f t="shared" si="5"/>
        <v>1</v>
      </c>
    </row>
    <row r="142" spans="1:7">
      <c r="A142" s="175"/>
      <c r="D142" s="184"/>
      <c r="E142" s="52" t="s">
        <v>482</v>
      </c>
      <c r="F142" s="47">
        <f t="shared" si="4"/>
        <v>2</v>
      </c>
      <c r="G142" s="178" t="b">
        <f t="shared" si="5"/>
        <v>1</v>
      </c>
    </row>
    <row r="143" spans="1:7">
      <c r="A143" s="175"/>
      <c r="D143" s="184"/>
      <c r="E143" s="52" t="s">
        <v>492</v>
      </c>
      <c r="F143" s="47">
        <f t="shared" si="4"/>
        <v>2</v>
      </c>
      <c r="G143" s="178" t="b">
        <f t="shared" si="5"/>
        <v>1</v>
      </c>
    </row>
    <row r="144" spans="1:7">
      <c r="A144" s="175"/>
      <c r="D144" s="184"/>
      <c r="E144" s="52" t="s">
        <v>483</v>
      </c>
      <c r="F144" s="47">
        <f t="shared" si="4"/>
        <v>2</v>
      </c>
      <c r="G144" s="178" t="b">
        <f t="shared" si="5"/>
        <v>1</v>
      </c>
    </row>
    <row r="145" spans="1:7">
      <c r="A145" s="175"/>
      <c r="D145" s="184"/>
      <c r="E145" s="52" t="s">
        <v>484</v>
      </c>
      <c r="F145" s="47">
        <f t="shared" si="4"/>
        <v>2</v>
      </c>
      <c r="G145" s="178" t="b">
        <f t="shared" si="5"/>
        <v>1</v>
      </c>
    </row>
    <row r="146" spans="1:7">
      <c r="A146" s="175"/>
      <c r="D146" s="184"/>
      <c r="E146" s="52" t="s">
        <v>485</v>
      </c>
      <c r="F146" s="47">
        <f t="shared" si="4"/>
        <v>2</v>
      </c>
      <c r="G146" s="178" t="b">
        <f t="shared" si="5"/>
        <v>1</v>
      </c>
    </row>
    <row r="147" spans="1:7">
      <c r="A147" s="175"/>
      <c r="D147" s="184"/>
      <c r="E147" s="52" t="s">
        <v>572</v>
      </c>
      <c r="F147" s="47">
        <f t="shared" si="4"/>
        <v>2</v>
      </c>
      <c r="G147" s="178" t="b">
        <f t="shared" si="5"/>
        <v>1</v>
      </c>
    </row>
    <row r="148" spans="1:7">
      <c r="A148" s="175"/>
      <c r="D148" s="184"/>
      <c r="E148" s="52" t="s">
        <v>573</v>
      </c>
      <c r="F148" s="47">
        <f t="shared" si="4"/>
        <v>2</v>
      </c>
      <c r="G148" s="178" t="b">
        <f t="shared" si="5"/>
        <v>1</v>
      </c>
    </row>
    <row r="149" spans="1:7">
      <c r="A149" s="175"/>
      <c r="D149" s="184"/>
      <c r="E149" s="52" t="s">
        <v>1088</v>
      </c>
      <c r="F149" s="47">
        <f t="shared" si="4"/>
        <v>2</v>
      </c>
      <c r="G149" s="178" t="b">
        <f t="shared" ref="G149:G155" si="6">_xlfn.NUMBERVALUE(MID($E$71,4,1))=F149</f>
        <v>1</v>
      </c>
    </row>
    <row r="150" spans="1:7">
      <c r="A150" s="175"/>
      <c r="D150" s="184"/>
      <c r="E150" s="52" t="s">
        <v>1089</v>
      </c>
      <c r="F150" s="47">
        <f t="shared" si="4"/>
        <v>2</v>
      </c>
      <c r="G150" s="178" t="b">
        <f t="shared" si="6"/>
        <v>1</v>
      </c>
    </row>
    <row r="151" spans="1:7">
      <c r="A151" s="175"/>
      <c r="D151" s="184"/>
      <c r="E151" s="52" t="s">
        <v>1080</v>
      </c>
      <c r="F151" s="47">
        <f t="shared" si="4"/>
        <v>2</v>
      </c>
      <c r="G151" s="178" t="b">
        <f t="shared" si="6"/>
        <v>1</v>
      </c>
    </row>
    <row r="152" spans="1:7">
      <c r="A152" s="175"/>
      <c r="D152" s="184"/>
      <c r="E152" s="52" t="s">
        <v>1086</v>
      </c>
      <c r="F152" s="47">
        <f t="shared" si="4"/>
        <v>2</v>
      </c>
      <c r="G152" s="178" t="b">
        <f t="shared" si="6"/>
        <v>1</v>
      </c>
    </row>
    <row r="153" spans="1:7">
      <c r="A153" s="175"/>
      <c r="D153" s="184"/>
      <c r="E153" s="52" t="s">
        <v>1087</v>
      </c>
      <c r="F153" s="47">
        <f t="shared" si="4"/>
        <v>2</v>
      </c>
      <c r="G153" s="178" t="b">
        <f t="shared" si="6"/>
        <v>1</v>
      </c>
    </row>
    <row r="154" spans="1:7">
      <c r="A154" s="175"/>
      <c r="D154" s="184"/>
      <c r="E154" s="52" t="s">
        <v>1081</v>
      </c>
      <c r="F154" s="47">
        <f t="shared" si="4"/>
        <v>2</v>
      </c>
      <c r="G154" s="178" t="b">
        <f t="shared" si="6"/>
        <v>1</v>
      </c>
    </row>
    <row r="155" spans="1:7">
      <c r="A155" s="175"/>
      <c r="D155" s="184"/>
      <c r="E155" s="52" t="s">
        <v>1082</v>
      </c>
      <c r="F155" s="47">
        <f t="shared" si="4"/>
        <v>2</v>
      </c>
      <c r="G155" s="178" t="b">
        <f t="shared" si="6"/>
        <v>1</v>
      </c>
    </row>
    <row r="156" spans="1:7">
      <c r="A156" s="175"/>
      <c r="D156" s="184"/>
      <c r="E156" s="52" t="s">
        <v>574</v>
      </c>
      <c r="F156" s="47">
        <f t="shared" si="4"/>
        <v>2</v>
      </c>
      <c r="G156" s="178" t="b">
        <f t="shared" si="5"/>
        <v>1</v>
      </c>
    </row>
    <row r="157" spans="1:7">
      <c r="A157" s="175"/>
      <c r="D157" s="184"/>
      <c r="E157" s="52" t="s">
        <v>580</v>
      </c>
      <c r="F157" s="47">
        <f t="shared" si="4"/>
        <v>2</v>
      </c>
      <c r="G157" s="178" t="b">
        <f t="shared" si="5"/>
        <v>1</v>
      </c>
    </row>
    <row r="158" spans="1:7">
      <c r="A158" s="175"/>
      <c r="D158" s="184"/>
      <c r="E158" s="52" t="s">
        <v>477</v>
      </c>
      <c r="F158" s="47">
        <f t="shared" si="4"/>
        <v>2</v>
      </c>
      <c r="G158" s="178" t="b">
        <f t="shared" si="5"/>
        <v>1</v>
      </c>
    </row>
    <row r="159" spans="1:7">
      <c r="A159" s="175"/>
      <c r="D159" s="184"/>
      <c r="E159" s="52" t="s">
        <v>581</v>
      </c>
      <c r="F159" s="47">
        <f t="shared" si="4"/>
        <v>2</v>
      </c>
      <c r="G159" s="178" t="b">
        <f t="shared" si="5"/>
        <v>1</v>
      </c>
    </row>
    <row r="160" spans="1:7">
      <c r="A160" s="175"/>
      <c r="D160" s="184"/>
      <c r="E160" s="52" t="s">
        <v>582</v>
      </c>
      <c r="F160" s="47">
        <f t="shared" si="4"/>
        <v>2</v>
      </c>
      <c r="G160" s="178" t="b">
        <f t="shared" si="5"/>
        <v>1</v>
      </c>
    </row>
    <row r="161" spans="1:7">
      <c r="A161" s="175"/>
      <c r="D161" s="184"/>
      <c r="E161" s="52" t="s">
        <v>575</v>
      </c>
      <c r="F161" s="47">
        <f t="shared" si="4"/>
        <v>2</v>
      </c>
      <c r="G161" s="178" t="b">
        <f t="shared" si="5"/>
        <v>1</v>
      </c>
    </row>
    <row r="162" spans="1:7">
      <c r="A162" s="175"/>
      <c r="D162" s="184"/>
      <c r="E162" s="52" t="s">
        <v>583</v>
      </c>
      <c r="F162" s="47">
        <f t="shared" si="4"/>
        <v>2</v>
      </c>
      <c r="G162" s="178" t="b">
        <f t="shared" si="5"/>
        <v>1</v>
      </c>
    </row>
    <row r="163" spans="1:7">
      <c r="A163" s="175"/>
      <c r="D163" s="184"/>
      <c r="E163" s="52" t="s">
        <v>576</v>
      </c>
      <c r="F163" s="47">
        <f t="shared" si="4"/>
        <v>2</v>
      </c>
      <c r="G163" s="178" t="b">
        <f t="shared" si="5"/>
        <v>1</v>
      </c>
    </row>
    <row r="164" spans="1:7">
      <c r="A164" s="175"/>
      <c r="D164" s="184"/>
      <c r="E164" s="52" t="s">
        <v>588</v>
      </c>
      <c r="F164" s="47">
        <f t="shared" si="4"/>
        <v>2</v>
      </c>
      <c r="G164" s="178" t="b">
        <f t="shared" si="5"/>
        <v>1</v>
      </c>
    </row>
    <row r="165" spans="1:7">
      <c r="A165" s="175"/>
      <c r="D165" s="184"/>
      <c r="E165" s="52" t="s">
        <v>589</v>
      </c>
      <c r="F165" s="47">
        <f t="shared" si="4"/>
        <v>2</v>
      </c>
      <c r="G165" s="178" t="b">
        <f t="shared" si="5"/>
        <v>1</v>
      </c>
    </row>
    <row r="166" spans="1:7">
      <c r="A166" s="175"/>
      <c r="D166" s="184"/>
      <c r="E166" s="52" t="s">
        <v>471</v>
      </c>
      <c r="F166" s="47">
        <f t="shared" si="4"/>
        <v>2</v>
      </c>
      <c r="G166" s="178" t="b">
        <f t="shared" si="5"/>
        <v>1</v>
      </c>
    </row>
    <row r="167" spans="1:7">
      <c r="A167" s="175"/>
      <c r="D167" s="184"/>
      <c r="E167" s="52" t="s">
        <v>486</v>
      </c>
      <c r="F167" s="47">
        <f t="shared" si="4"/>
        <v>2</v>
      </c>
      <c r="G167" s="178" t="b">
        <f t="shared" si="5"/>
        <v>1</v>
      </c>
    </row>
    <row r="168" spans="1:7">
      <c r="A168" s="175"/>
      <c r="D168" s="184"/>
      <c r="E168" s="52" t="s">
        <v>577</v>
      </c>
      <c r="F168" s="47">
        <f t="shared" si="4"/>
        <v>2</v>
      </c>
      <c r="G168" s="178" t="b">
        <f t="shared" si="5"/>
        <v>1</v>
      </c>
    </row>
    <row r="169" spans="1:7">
      <c r="A169" s="175"/>
      <c r="D169" s="184"/>
      <c r="E169" s="52" t="s">
        <v>1059</v>
      </c>
      <c r="F169" s="47" t="e">
        <f t="shared" si="4"/>
        <v>#N/A</v>
      </c>
      <c r="G169" s="178" t="e">
        <f t="shared" si="5"/>
        <v>#N/A</v>
      </c>
    </row>
    <row r="170" spans="1:7">
      <c r="A170" s="175"/>
      <c r="D170" s="184"/>
      <c r="E170" s="52" t="s">
        <v>534</v>
      </c>
      <c r="F170" s="47">
        <f t="shared" si="4"/>
        <v>2</v>
      </c>
      <c r="G170" s="178" t="b">
        <f t="shared" si="5"/>
        <v>1</v>
      </c>
    </row>
    <row r="171" spans="1:7">
      <c r="A171" s="175"/>
      <c r="D171" s="184"/>
      <c r="E171" s="52" t="s">
        <v>487</v>
      </c>
      <c r="F171" s="47">
        <f t="shared" si="4"/>
        <v>2</v>
      </c>
      <c r="G171" s="178" t="b">
        <f t="shared" si="5"/>
        <v>1</v>
      </c>
    </row>
    <row r="172" spans="1:7">
      <c r="A172" s="175"/>
      <c r="D172" s="184"/>
      <c r="E172" s="52" t="s">
        <v>502</v>
      </c>
      <c r="F172" s="47">
        <f t="shared" si="4"/>
        <v>2</v>
      </c>
      <c r="G172" s="178" t="b">
        <f t="shared" si="5"/>
        <v>1</v>
      </c>
    </row>
    <row r="173" spans="1:7">
      <c r="A173" s="175"/>
      <c r="D173" s="184"/>
      <c r="E173" s="52" t="s">
        <v>503</v>
      </c>
      <c r="F173" s="47">
        <f t="shared" si="4"/>
        <v>2</v>
      </c>
      <c r="G173" s="178" t="b">
        <f t="shared" si="5"/>
        <v>1</v>
      </c>
    </row>
    <row r="174" spans="1:7">
      <c r="A174" s="175"/>
      <c r="D174" s="184"/>
      <c r="E174" s="52" t="s">
        <v>519</v>
      </c>
      <c r="F174" s="47">
        <f t="shared" si="4"/>
        <v>2</v>
      </c>
      <c r="G174" s="178" t="b">
        <f t="shared" si="5"/>
        <v>1</v>
      </c>
    </row>
    <row r="175" spans="1:7">
      <c r="A175" s="175"/>
      <c r="D175" s="184"/>
      <c r="E175" s="52" t="s">
        <v>535</v>
      </c>
      <c r="F175" s="47">
        <f t="shared" si="4"/>
        <v>2</v>
      </c>
      <c r="G175" s="178" t="b">
        <f t="shared" si="5"/>
        <v>1</v>
      </c>
    </row>
    <row r="176" spans="1:7">
      <c r="A176" s="175"/>
      <c r="D176" s="184"/>
      <c r="E176" s="52" t="s">
        <v>520</v>
      </c>
      <c r="F176" s="47">
        <f t="shared" si="4"/>
        <v>2</v>
      </c>
      <c r="G176" s="178" t="b">
        <f t="shared" si="5"/>
        <v>1</v>
      </c>
    </row>
    <row r="177" spans="1:7">
      <c r="A177" s="175"/>
      <c r="D177" s="184"/>
      <c r="E177" s="52" t="s">
        <v>493</v>
      </c>
      <c r="F177" s="47">
        <f t="shared" si="4"/>
        <v>2</v>
      </c>
      <c r="G177" s="178" t="b">
        <f t="shared" si="5"/>
        <v>1</v>
      </c>
    </row>
    <row r="178" spans="1:7">
      <c r="A178" s="175"/>
      <c r="D178" s="184"/>
      <c r="E178" s="52" t="s">
        <v>504</v>
      </c>
      <c r="F178" s="47">
        <f t="shared" si="4"/>
        <v>2</v>
      </c>
      <c r="G178" s="178" t="b">
        <f t="shared" si="5"/>
        <v>1</v>
      </c>
    </row>
    <row r="179" spans="1:7">
      <c r="A179" s="175"/>
      <c r="D179" s="184"/>
      <c r="E179" s="52" t="s">
        <v>521</v>
      </c>
      <c r="F179" s="47">
        <f t="shared" si="4"/>
        <v>2</v>
      </c>
      <c r="G179" s="178" t="b">
        <f t="shared" si="5"/>
        <v>1</v>
      </c>
    </row>
    <row r="180" spans="1:7">
      <c r="A180" s="175"/>
      <c r="D180" s="184"/>
      <c r="E180" s="52" t="s">
        <v>505</v>
      </c>
      <c r="F180" s="47">
        <f t="shared" si="4"/>
        <v>2</v>
      </c>
      <c r="G180" s="178" t="b">
        <f t="shared" si="5"/>
        <v>1</v>
      </c>
    </row>
    <row r="181" spans="1:7">
      <c r="A181" s="175"/>
      <c r="D181" s="184"/>
      <c r="E181" s="52" t="s">
        <v>506</v>
      </c>
      <c r="F181" s="47">
        <f t="shared" si="4"/>
        <v>2</v>
      </c>
      <c r="G181" s="178" t="b">
        <f t="shared" si="5"/>
        <v>1</v>
      </c>
    </row>
    <row r="182" spans="1:7">
      <c r="A182" s="175"/>
      <c r="D182" s="184"/>
      <c r="E182" s="52" t="s">
        <v>522</v>
      </c>
      <c r="F182" s="47">
        <f t="shared" si="4"/>
        <v>2</v>
      </c>
      <c r="G182" s="178" t="b">
        <f t="shared" si="5"/>
        <v>1</v>
      </c>
    </row>
    <row r="183" spans="1:7">
      <c r="A183" s="175"/>
      <c r="D183" s="184"/>
      <c r="E183" s="52" t="s">
        <v>523</v>
      </c>
      <c r="F183" s="47">
        <f t="shared" si="4"/>
        <v>2</v>
      </c>
      <c r="G183" s="178" t="b">
        <f t="shared" si="5"/>
        <v>1</v>
      </c>
    </row>
    <row r="184" spans="1:7">
      <c r="A184" s="175"/>
      <c r="D184" s="184"/>
      <c r="E184" s="52" t="s">
        <v>507</v>
      </c>
      <c r="F184" s="47">
        <f t="shared" si="4"/>
        <v>2</v>
      </c>
      <c r="G184" s="178" t="b">
        <f t="shared" si="5"/>
        <v>1</v>
      </c>
    </row>
    <row r="185" spans="1:7">
      <c r="A185" s="175"/>
      <c r="D185" s="184"/>
      <c r="E185" s="52" t="s">
        <v>508</v>
      </c>
      <c r="F185" s="47">
        <f t="shared" si="4"/>
        <v>2</v>
      </c>
      <c r="G185" s="178" t="b">
        <f t="shared" si="5"/>
        <v>1</v>
      </c>
    </row>
    <row r="186" spans="1:7">
      <c r="A186" s="175"/>
      <c r="D186" s="184"/>
      <c r="E186" s="52" t="s">
        <v>524</v>
      </c>
      <c r="F186" s="47">
        <f t="shared" si="4"/>
        <v>2</v>
      </c>
      <c r="G186" s="178" t="b">
        <f t="shared" si="5"/>
        <v>1</v>
      </c>
    </row>
    <row r="187" spans="1:7">
      <c r="A187" s="175"/>
      <c r="D187" s="184"/>
      <c r="E187" s="52" t="s">
        <v>525</v>
      </c>
      <c r="F187" s="47">
        <f t="shared" si="4"/>
        <v>2</v>
      </c>
      <c r="G187" s="178" t="b">
        <f t="shared" si="5"/>
        <v>1</v>
      </c>
    </row>
    <row r="188" spans="1:7">
      <c r="A188" s="175"/>
      <c r="D188" s="184"/>
      <c r="E188" s="52" t="s">
        <v>526</v>
      </c>
      <c r="F188" s="47">
        <f t="shared" si="4"/>
        <v>2</v>
      </c>
      <c r="G188" s="178" t="b">
        <f t="shared" si="5"/>
        <v>1</v>
      </c>
    </row>
    <row r="189" spans="1:7">
      <c r="A189" s="175"/>
      <c r="D189" s="184"/>
      <c r="E189" s="52" t="s">
        <v>527</v>
      </c>
      <c r="F189" s="47">
        <f t="shared" si="4"/>
        <v>2</v>
      </c>
      <c r="G189" s="178" t="b">
        <f t="shared" si="5"/>
        <v>1</v>
      </c>
    </row>
    <row r="190" spans="1:7">
      <c r="A190" s="175"/>
      <c r="D190" s="184"/>
      <c r="E190" s="52" t="s">
        <v>536</v>
      </c>
      <c r="F190" s="47">
        <f t="shared" si="4"/>
        <v>2</v>
      </c>
      <c r="G190" s="178" t="b">
        <f t="shared" si="5"/>
        <v>1</v>
      </c>
    </row>
    <row r="191" spans="1:7">
      <c r="A191" s="175"/>
      <c r="D191" s="184"/>
      <c r="E191" s="52" t="s">
        <v>537</v>
      </c>
      <c r="F191" s="47">
        <f t="shared" si="4"/>
        <v>2</v>
      </c>
      <c r="G191" s="178" t="b">
        <f t="shared" si="5"/>
        <v>1</v>
      </c>
    </row>
    <row r="192" spans="1:7">
      <c r="A192" s="175"/>
      <c r="D192" s="184"/>
      <c r="E192" s="52" t="s">
        <v>528</v>
      </c>
      <c r="F192" s="47">
        <f t="shared" si="4"/>
        <v>2</v>
      </c>
      <c r="G192" s="178" t="b">
        <f t="shared" si="5"/>
        <v>1</v>
      </c>
    </row>
    <row r="193" spans="1:7">
      <c r="A193" s="175"/>
      <c r="D193" s="184"/>
      <c r="E193" s="52" t="s">
        <v>1013</v>
      </c>
      <c r="F193" s="47">
        <f t="shared" si="4"/>
        <v>2</v>
      </c>
      <c r="G193" s="178" t="b">
        <f>_xlfn.NUMBERVALUE(MID($E$71,4,1))=F193</f>
        <v>1</v>
      </c>
    </row>
    <row r="194" spans="1:7">
      <c r="A194" s="175"/>
      <c r="D194" s="184"/>
      <c r="E194" s="52" t="s">
        <v>1016</v>
      </c>
      <c r="F194" s="47">
        <f t="shared" si="4"/>
        <v>2</v>
      </c>
      <c r="G194" s="178" t="b">
        <f>_xlfn.NUMBERVALUE(MID($E$71,4,1))=F194</f>
        <v>1</v>
      </c>
    </row>
    <row r="195" spans="1:7">
      <c r="A195" s="175"/>
      <c r="D195" s="184"/>
      <c r="E195" s="52" t="s">
        <v>509</v>
      </c>
      <c r="F195" s="47">
        <f t="shared" si="4"/>
        <v>2</v>
      </c>
      <c r="G195" s="178" t="b">
        <f t="shared" si="5"/>
        <v>1</v>
      </c>
    </row>
    <row r="196" spans="1:7">
      <c r="A196" s="175"/>
      <c r="D196" s="184"/>
      <c r="E196" s="52" t="s">
        <v>510</v>
      </c>
      <c r="F196" s="47">
        <f t="shared" si="4"/>
        <v>2</v>
      </c>
      <c r="G196" s="178" t="b">
        <f t="shared" si="5"/>
        <v>1</v>
      </c>
    </row>
    <row r="197" spans="1:7">
      <c r="A197" s="175"/>
      <c r="D197" s="184"/>
      <c r="E197" s="52" t="s">
        <v>529</v>
      </c>
      <c r="F197" s="47">
        <f t="shared" si="4"/>
        <v>2</v>
      </c>
      <c r="G197" s="178" t="b">
        <f t="shared" si="5"/>
        <v>1</v>
      </c>
    </row>
    <row r="198" spans="1:7">
      <c r="A198" s="175"/>
      <c r="D198" s="184"/>
      <c r="E198" s="52" t="s">
        <v>530</v>
      </c>
      <c r="F198" s="47">
        <f t="shared" si="4"/>
        <v>2</v>
      </c>
      <c r="G198" s="178" t="b">
        <f t="shared" si="5"/>
        <v>1</v>
      </c>
    </row>
    <row r="199" spans="1:7">
      <c r="A199" s="175"/>
      <c r="D199" s="184"/>
      <c r="E199" s="52" t="s">
        <v>511</v>
      </c>
      <c r="F199" s="47">
        <f t="shared" si="4"/>
        <v>2</v>
      </c>
      <c r="G199" s="178" t="b">
        <f t="shared" si="5"/>
        <v>1</v>
      </c>
    </row>
    <row r="200" spans="1:7">
      <c r="A200" s="175"/>
      <c r="D200" s="184"/>
      <c r="E200" s="52" t="s">
        <v>512</v>
      </c>
      <c r="F200" s="47">
        <f t="shared" si="4"/>
        <v>2</v>
      </c>
      <c r="G200" s="178" t="b">
        <f t="shared" si="5"/>
        <v>1</v>
      </c>
    </row>
    <row r="201" spans="1:7">
      <c r="A201" s="175"/>
      <c r="D201" s="184"/>
      <c r="E201" s="52" t="s">
        <v>531</v>
      </c>
      <c r="F201" s="47">
        <f t="shared" si="4"/>
        <v>2</v>
      </c>
      <c r="G201" s="178" t="b">
        <f t="shared" si="5"/>
        <v>1</v>
      </c>
    </row>
    <row r="202" spans="1:7">
      <c r="A202" s="175"/>
      <c r="D202" s="184"/>
      <c r="E202" s="52" t="s">
        <v>532</v>
      </c>
      <c r="F202" s="47">
        <f t="shared" si="4"/>
        <v>2</v>
      </c>
      <c r="G202" s="178" t="b">
        <f t="shared" si="5"/>
        <v>1</v>
      </c>
    </row>
    <row r="203" spans="1:7">
      <c r="A203" s="175"/>
      <c r="D203" s="184"/>
      <c r="E203" s="52" t="s">
        <v>1083</v>
      </c>
      <c r="F203" s="47">
        <f t="shared" si="4"/>
        <v>2</v>
      </c>
      <c r="G203" s="178" t="b">
        <f>_xlfn.NUMBERVALUE(MID($E$71,4,1))=F203</f>
        <v>1</v>
      </c>
    </row>
    <row r="204" spans="1:7">
      <c r="A204" s="175"/>
      <c r="D204" s="184"/>
      <c r="E204" s="52" t="s">
        <v>1084</v>
      </c>
      <c r="F204" s="47">
        <f t="shared" si="4"/>
        <v>2</v>
      </c>
      <c r="G204" s="178" t="b">
        <f>_xlfn.NUMBERVALUE(MID($E$71,4,1))=F204</f>
        <v>1</v>
      </c>
    </row>
    <row r="205" spans="1:7">
      <c r="A205" s="175"/>
      <c r="D205" s="184"/>
      <c r="E205" s="52" t="s">
        <v>533</v>
      </c>
      <c r="F205" s="47">
        <f t="shared" si="4"/>
        <v>2</v>
      </c>
      <c r="G205" s="178" t="b">
        <f t="shared" si="5"/>
        <v>1</v>
      </c>
    </row>
    <row r="206" spans="1:7">
      <c r="A206" s="175"/>
      <c r="D206" s="184"/>
      <c r="E206" s="52" t="s">
        <v>494</v>
      </c>
      <c r="F206" s="47">
        <f t="shared" si="4"/>
        <v>2</v>
      </c>
      <c r="G206" s="178" t="b">
        <f t="shared" si="5"/>
        <v>1</v>
      </c>
    </row>
    <row r="207" spans="1:7">
      <c r="A207" s="175"/>
      <c r="D207" s="184"/>
      <c r="E207" s="52" t="s">
        <v>288</v>
      </c>
      <c r="F207" s="47" t="e">
        <f t="shared" ref="F207:F272" si="7">VLOOKUP($E207,Modelpuntoverzicht,6,FALSE)</f>
        <v>#N/A</v>
      </c>
      <c r="G207" s="178" t="e">
        <f>_xlfn.NUMBERVALUE(MID($E$207,4,1))=F207</f>
        <v>#N/A</v>
      </c>
    </row>
    <row r="208" spans="1:7">
      <c r="A208" s="175"/>
      <c r="D208" s="184"/>
      <c r="E208" s="52" t="s">
        <v>1191</v>
      </c>
      <c r="F208" s="47">
        <f t="shared" si="7"/>
        <v>3</v>
      </c>
      <c r="G208" s="178" t="b">
        <f>_xlfn.NUMBERVALUE(MID($E$207,4,1))=F208</f>
        <v>1</v>
      </c>
    </row>
    <row r="209" spans="1:7">
      <c r="A209" s="175"/>
      <c r="D209" s="184"/>
      <c r="E209" s="52" t="s">
        <v>418</v>
      </c>
      <c r="F209" s="47">
        <f t="shared" si="7"/>
        <v>3</v>
      </c>
      <c r="G209" s="178" t="b">
        <f t="shared" ref="G209:G273" si="8">_xlfn.NUMBERVALUE(MID($E$207,4,1))=F209</f>
        <v>1</v>
      </c>
    </row>
    <row r="210" spans="1:7">
      <c r="A210" s="175"/>
      <c r="D210" s="184"/>
      <c r="E210" s="52" t="s">
        <v>419</v>
      </c>
      <c r="F210" s="47">
        <f t="shared" si="7"/>
        <v>3</v>
      </c>
      <c r="G210" s="178" t="b">
        <f t="shared" si="8"/>
        <v>1</v>
      </c>
    </row>
    <row r="211" spans="1:7">
      <c r="A211" s="175"/>
      <c r="D211" s="184"/>
      <c r="E211" s="52" t="s">
        <v>420</v>
      </c>
      <c r="F211" s="47">
        <f t="shared" si="7"/>
        <v>3</v>
      </c>
      <c r="G211" s="178" t="b">
        <f t="shared" si="8"/>
        <v>1</v>
      </c>
    </row>
    <row r="212" spans="1:7">
      <c r="A212" s="175"/>
      <c r="D212" s="184"/>
      <c r="E212" s="52" t="s">
        <v>421</v>
      </c>
      <c r="F212" s="47">
        <f t="shared" si="7"/>
        <v>3</v>
      </c>
      <c r="G212" s="178" t="b">
        <f t="shared" si="8"/>
        <v>1</v>
      </c>
    </row>
    <row r="213" spans="1:7">
      <c r="A213" s="175"/>
      <c r="D213" s="184"/>
      <c r="E213" s="52" t="s">
        <v>422</v>
      </c>
      <c r="F213" s="47">
        <f t="shared" si="7"/>
        <v>3</v>
      </c>
      <c r="G213" s="178" t="b">
        <f t="shared" si="8"/>
        <v>1</v>
      </c>
    </row>
    <row r="214" spans="1:7">
      <c r="A214" s="175"/>
      <c r="D214" s="184"/>
      <c r="E214" s="52" t="s">
        <v>423</v>
      </c>
      <c r="F214" s="47">
        <f t="shared" si="7"/>
        <v>3</v>
      </c>
      <c r="G214" s="178" t="b">
        <f t="shared" si="8"/>
        <v>1</v>
      </c>
    </row>
    <row r="215" spans="1:7">
      <c r="A215" s="175"/>
      <c r="D215" s="184"/>
      <c r="E215" s="52" t="s">
        <v>424</v>
      </c>
      <c r="F215" s="47">
        <f t="shared" si="7"/>
        <v>3</v>
      </c>
      <c r="G215" s="178" t="b">
        <f t="shared" si="8"/>
        <v>1</v>
      </c>
    </row>
    <row r="216" spans="1:7">
      <c r="A216" s="175"/>
      <c r="D216" s="184"/>
      <c r="E216" s="52" t="s">
        <v>425</v>
      </c>
      <c r="F216" s="47">
        <f t="shared" si="7"/>
        <v>3</v>
      </c>
      <c r="G216" s="178" t="b">
        <f t="shared" si="8"/>
        <v>1</v>
      </c>
    </row>
    <row r="217" spans="1:7">
      <c r="A217" s="175"/>
      <c r="D217" s="184"/>
      <c r="E217" s="52" t="s">
        <v>426</v>
      </c>
      <c r="F217" s="47">
        <f t="shared" si="7"/>
        <v>3</v>
      </c>
      <c r="G217" s="178" t="b">
        <f t="shared" si="8"/>
        <v>1</v>
      </c>
    </row>
    <row r="218" spans="1:7">
      <c r="A218" s="175"/>
      <c r="D218" s="184"/>
      <c r="E218" s="52" t="s">
        <v>427</v>
      </c>
      <c r="F218" s="47">
        <f t="shared" si="7"/>
        <v>3</v>
      </c>
      <c r="G218" s="178" t="b">
        <f t="shared" si="8"/>
        <v>1</v>
      </c>
    </row>
    <row r="219" spans="1:7">
      <c r="A219" s="175"/>
      <c r="D219" s="184"/>
      <c r="E219" s="52" t="s">
        <v>428</v>
      </c>
      <c r="F219" s="47">
        <f t="shared" si="7"/>
        <v>3</v>
      </c>
      <c r="G219" s="178" t="b">
        <f t="shared" si="8"/>
        <v>1</v>
      </c>
    </row>
    <row r="220" spans="1:7">
      <c r="A220" s="175"/>
      <c r="D220" s="184"/>
      <c r="E220" s="52" t="s">
        <v>429</v>
      </c>
      <c r="F220" s="47">
        <f t="shared" si="7"/>
        <v>3</v>
      </c>
      <c r="G220" s="178" t="b">
        <f t="shared" si="8"/>
        <v>1</v>
      </c>
    </row>
    <row r="221" spans="1:7">
      <c r="A221" s="175"/>
      <c r="D221" s="184"/>
      <c r="E221" s="52" t="s">
        <v>430</v>
      </c>
      <c r="F221" s="47">
        <f t="shared" si="7"/>
        <v>3</v>
      </c>
      <c r="G221" s="178" t="b">
        <f t="shared" si="8"/>
        <v>1</v>
      </c>
    </row>
    <row r="222" spans="1:7">
      <c r="A222" s="175"/>
      <c r="D222" s="184"/>
      <c r="E222" s="52" t="s">
        <v>332</v>
      </c>
      <c r="F222" s="47">
        <f t="shared" si="7"/>
        <v>3</v>
      </c>
      <c r="G222" s="178" t="b">
        <f t="shared" si="8"/>
        <v>1</v>
      </c>
    </row>
    <row r="223" spans="1:7">
      <c r="A223" s="175"/>
      <c r="D223" s="184"/>
      <c r="E223" s="52" t="s">
        <v>333</v>
      </c>
      <c r="F223" s="47">
        <f t="shared" si="7"/>
        <v>3</v>
      </c>
      <c r="G223" s="178" t="b">
        <f t="shared" si="8"/>
        <v>1</v>
      </c>
    </row>
    <row r="224" spans="1:7">
      <c r="A224" s="175"/>
      <c r="D224" s="184"/>
      <c r="E224" s="52" t="s">
        <v>971</v>
      </c>
      <c r="F224" s="47">
        <f t="shared" si="7"/>
        <v>3</v>
      </c>
      <c r="G224" s="178" t="b">
        <f t="shared" si="8"/>
        <v>1</v>
      </c>
    </row>
    <row r="225" spans="1:7">
      <c r="A225" s="175"/>
      <c r="D225" s="184"/>
      <c r="E225" s="52" t="s">
        <v>972</v>
      </c>
      <c r="F225" s="47">
        <f t="shared" si="7"/>
        <v>3</v>
      </c>
      <c r="G225" s="178" t="b">
        <f t="shared" si="8"/>
        <v>1</v>
      </c>
    </row>
    <row r="226" spans="1:7">
      <c r="A226" s="175"/>
      <c r="D226" s="184"/>
      <c r="E226" s="52" t="s">
        <v>334</v>
      </c>
      <c r="F226" s="47">
        <f t="shared" si="7"/>
        <v>3</v>
      </c>
      <c r="G226" s="178" t="b">
        <f t="shared" si="8"/>
        <v>1</v>
      </c>
    </row>
    <row r="227" spans="1:7">
      <c r="A227" s="175"/>
      <c r="D227" s="184"/>
      <c r="E227" s="52" t="s">
        <v>431</v>
      </c>
      <c r="F227" s="47">
        <f t="shared" si="7"/>
        <v>3</v>
      </c>
      <c r="G227" s="178" t="b">
        <f t="shared" si="8"/>
        <v>1</v>
      </c>
    </row>
    <row r="228" spans="1:7">
      <c r="A228" s="175"/>
      <c r="D228" s="184"/>
      <c r="E228" s="52" t="s">
        <v>432</v>
      </c>
      <c r="F228" s="47">
        <f t="shared" si="7"/>
        <v>3</v>
      </c>
      <c r="G228" s="178" t="b">
        <f t="shared" si="8"/>
        <v>1</v>
      </c>
    </row>
    <row r="229" spans="1:7">
      <c r="A229" s="175"/>
      <c r="D229" s="184"/>
      <c r="E229" s="52" t="s">
        <v>433</v>
      </c>
      <c r="F229" s="47">
        <f t="shared" si="7"/>
        <v>3</v>
      </c>
      <c r="G229" s="178" t="b">
        <f t="shared" si="8"/>
        <v>1</v>
      </c>
    </row>
    <row r="230" spans="1:7">
      <c r="A230" s="175"/>
      <c r="D230" s="184"/>
      <c r="E230" s="52" t="s">
        <v>434</v>
      </c>
      <c r="F230" s="47">
        <f t="shared" si="7"/>
        <v>3</v>
      </c>
      <c r="G230" s="178" t="b">
        <f t="shared" si="8"/>
        <v>1</v>
      </c>
    </row>
    <row r="231" spans="1:7">
      <c r="A231" s="175"/>
      <c r="D231" s="184"/>
      <c r="E231" s="52" t="s">
        <v>435</v>
      </c>
      <c r="F231" s="47">
        <f t="shared" si="7"/>
        <v>3</v>
      </c>
      <c r="G231" s="178" t="b">
        <f t="shared" si="8"/>
        <v>1</v>
      </c>
    </row>
    <row r="232" spans="1:7">
      <c r="A232" s="175"/>
      <c r="D232" s="184"/>
      <c r="E232" s="52" t="s">
        <v>436</v>
      </c>
      <c r="F232" s="47">
        <f t="shared" si="7"/>
        <v>3</v>
      </c>
      <c r="G232" s="178" t="b">
        <f t="shared" si="8"/>
        <v>1</v>
      </c>
    </row>
    <row r="233" spans="1:7">
      <c r="A233" s="175"/>
      <c r="D233" s="184"/>
      <c r="E233" s="52" t="s">
        <v>437</v>
      </c>
      <c r="F233" s="47">
        <f t="shared" si="7"/>
        <v>3</v>
      </c>
      <c r="G233" s="178" t="b">
        <f t="shared" si="8"/>
        <v>1</v>
      </c>
    </row>
    <row r="234" spans="1:7">
      <c r="A234" s="175"/>
      <c r="D234" s="184"/>
      <c r="E234" s="52" t="s">
        <v>438</v>
      </c>
      <c r="F234" s="47">
        <f t="shared" si="7"/>
        <v>3</v>
      </c>
      <c r="G234" s="178" t="b">
        <f t="shared" si="8"/>
        <v>1</v>
      </c>
    </row>
    <row r="235" spans="1:7">
      <c r="A235" s="175"/>
      <c r="D235" s="184"/>
      <c r="E235" s="52" t="s">
        <v>439</v>
      </c>
      <c r="F235" s="47">
        <f t="shared" si="7"/>
        <v>3</v>
      </c>
      <c r="G235" s="178" t="b">
        <f t="shared" si="8"/>
        <v>1</v>
      </c>
    </row>
    <row r="236" spans="1:7">
      <c r="A236" s="175"/>
      <c r="D236" s="184"/>
      <c r="E236" s="52" t="s">
        <v>440</v>
      </c>
      <c r="F236" s="47">
        <f t="shared" si="7"/>
        <v>3</v>
      </c>
      <c r="G236" s="178" t="b">
        <f t="shared" si="8"/>
        <v>1</v>
      </c>
    </row>
    <row r="237" spans="1:7">
      <c r="A237" s="175"/>
      <c r="D237" s="184"/>
      <c r="E237" s="52" t="s">
        <v>441</v>
      </c>
      <c r="F237" s="47">
        <f t="shared" si="7"/>
        <v>3</v>
      </c>
      <c r="G237" s="178" t="b">
        <f t="shared" si="8"/>
        <v>1</v>
      </c>
    </row>
    <row r="238" spans="1:7">
      <c r="A238" s="175"/>
      <c r="D238" s="184"/>
      <c r="E238" s="52" t="s">
        <v>442</v>
      </c>
      <c r="F238" s="47">
        <f t="shared" si="7"/>
        <v>3</v>
      </c>
      <c r="G238" s="178" t="b">
        <f t="shared" si="8"/>
        <v>1</v>
      </c>
    </row>
    <row r="239" spans="1:7">
      <c r="A239" s="175"/>
      <c r="D239" s="184"/>
      <c r="E239" s="52" t="s">
        <v>443</v>
      </c>
      <c r="F239" s="47">
        <f t="shared" si="7"/>
        <v>3</v>
      </c>
      <c r="G239" s="178" t="b">
        <f t="shared" si="8"/>
        <v>1</v>
      </c>
    </row>
    <row r="240" spans="1:7">
      <c r="A240" s="175"/>
      <c r="D240" s="184"/>
      <c r="E240" s="52" t="s">
        <v>444</v>
      </c>
      <c r="F240" s="47">
        <f t="shared" si="7"/>
        <v>3</v>
      </c>
      <c r="G240" s="178" t="b">
        <f t="shared" si="8"/>
        <v>1</v>
      </c>
    </row>
    <row r="241" spans="1:7">
      <c r="A241" s="175"/>
      <c r="D241" s="184"/>
      <c r="E241" s="52" t="s">
        <v>1070</v>
      </c>
      <c r="F241" s="47">
        <f t="shared" si="7"/>
        <v>3</v>
      </c>
      <c r="G241" s="178" t="b">
        <f>_xlfn.NUMBERVALUE(MID($E$207,4,1))=F241</f>
        <v>1</v>
      </c>
    </row>
    <row r="242" spans="1:7">
      <c r="A242" s="175"/>
      <c r="D242" s="184"/>
      <c r="E242" s="52" t="s">
        <v>445</v>
      </c>
      <c r="F242" s="47">
        <f t="shared" si="7"/>
        <v>3</v>
      </c>
      <c r="G242" s="178" t="b">
        <f t="shared" si="8"/>
        <v>1</v>
      </c>
    </row>
    <row r="243" spans="1:7">
      <c r="A243" s="175"/>
      <c r="D243" s="184"/>
      <c r="E243" s="52" t="s">
        <v>446</v>
      </c>
      <c r="F243" s="47">
        <f t="shared" si="7"/>
        <v>3</v>
      </c>
      <c r="G243" s="178" t="b">
        <f t="shared" si="8"/>
        <v>1</v>
      </c>
    </row>
    <row r="244" spans="1:7">
      <c r="A244" s="175"/>
      <c r="D244" s="184"/>
      <c r="E244" s="52" t="s">
        <v>447</v>
      </c>
      <c r="F244" s="47">
        <f t="shared" si="7"/>
        <v>3</v>
      </c>
      <c r="G244" s="178" t="b">
        <f t="shared" si="8"/>
        <v>1</v>
      </c>
    </row>
    <row r="245" spans="1:7">
      <c r="A245" s="175"/>
      <c r="D245" s="184"/>
      <c r="E245" s="52" t="s">
        <v>448</v>
      </c>
      <c r="F245" s="47">
        <f t="shared" si="7"/>
        <v>3</v>
      </c>
      <c r="G245" s="178" t="b">
        <f t="shared" si="8"/>
        <v>1</v>
      </c>
    </row>
    <row r="246" spans="1:7">
      <c r="A246" s="175"/>
      <c r="D246" s="184"/>
      <c r="E246" s="52" t="s">
        <v>449</v>
      </c>
      <c r="F246" s="47">
        <f t="shared" si="7"/>
        <v>3</v>
      </c>
      <c r="G246" s="178" t="b">
        <f t="shared" si="8"/>
        <v>1</v>
      </c>
    </row>
    <row r="247" spans="1:7">
      <c r="A247" s="175"/>
      <c r="D247" s="184"/>
      <c r="E247" s="52" t="s">
        <v>450</v>
      </c>
      <c r="F247" s="47">
        <f t="shared" si="7"/>
        <v>3</v>
      </c>
      <c r="G247" s="178" t="b">
        <f t="shared" si="8"/>
        <v>1</v>
      </c>
    </row>
    <row r="248" spans="1:7">
      <c r="A248" s="175"/>
      <c r="D248" s="184"/>
      <c r="E248" s="52" t="s">
        <v>451</v>
      </c>
      <c r="F248" s="47">
        <f t="shared" si="7"/>
        <v>3</v>
      </c>
      <c r="G248" s="178" t="b">
        <f t="shared" si="8"/>
        <v>1</v>
      </c>
    </row>
    <row r="249" spans="1:7">
      <c r="A249" s="175"/>
      <c r="D249" s="184"/>
      <c r="E249" s="52" t="s">
        <v>452</v>
      </c>
      <c r="F249" s="47">
        <f t="shared" si="7"/>
        <v>3</v>
      </c>
      <c r="G249" s="178" t="b">
        <f t="shared" si="8"/>
        <v>1</v>
      </c>
    </row>
    <row r="250" spans="1:7">
      <c r="A250" s="175"/>
      <c r="D250" s="184"/>
      <c r="E250" s="52" t="s">
        <v>453</v>
      </c>
      <c r="F250" s="47">
        <f t="shared" si="7"/>
        <v>3</v>
      </c>
      <c r="G250" s="178" t="b">
        <f t="shared" si="8"/>
        <v>1</v>
      </c>
    </row>
    <row r="251" spans="1:7">
      <c r="A251" s="175"/>
      <c r="D251" s="184"/>
      <c r="E251" s="52" t="s">
        <v>454</v>
      </c>
      <c r="F251" s="47">
        <f t="shared" si="7"/>
        <v>3</v>
      </c>
      <c r="G251" s="178" t="b">
        <f t="shared" si="8"/>
        <v>1</v>
      </c>
    </row>
    <row r="252" spans="1:7">
      <c r="A252" s="175"/>
      <c r="D252" s="184"/>
      <c r="E252" s="52" t="s">
        <v>455</v>
      </c>
      <c r="F252" s="47">
        <f t="shared" si="7"/>
        <v>3</v>
      </c>
      <c r="G252" s="178" t="b">
        <f t="shared" si="8"/>
        <v>1</v>
      </c>
    </row>
    <row r="253" spans="1:7">
      <c r="A253" s="175"/>
      <c r="D253" s="184"/>
      <c r="E253" s="52" t="s">
        <v>456</v>
      </c>
      <c r="F253" s="47">
        <f t="shared" si="7"/>
        <v>3</v>
      </c>
      <c r="G253" s="178" t="b">
        <f t="shared" si="8"/>
        <v>1</v>
      </c>
    </row>
    <row r="254" spans="1:7">
      <c r="A254" s="175"/>
      <c r="D254" s="184"/>
      <c r="E254" s="52" t="s">
        <v>457</v>
      </c>
      <c r="F254" s="47">
        <f t="shared" si="7"/>
        <v>3</v>
      </c>
      <c r="G254" s="178" t="b">
        <f t="shared" si="8"/>
        <v>1</v>
      </c>
    </row>
    <row r="255" spans="1:7">
      <c r="A255" s="175"/>
      <c r="D255" s="184"/>
      <c r="E255" s="52" t="s">
        <v>354</v>
      </c>
      <c r="F255" s="47">
        <f t="shared" si="7"/>
        <v>3</v>
      </c>
      <c r="G255" s="178" t="b">
        <f t="shared" si="8"/>
        <v>1</v>
      </c>
    </row>
    <row r="256" spans="1:7">
      <c r="A256" s="175"/>
      <c r="D256" s="184"/>
      <c r="E256" s="52" t="s">
        <v>355</v>
      </c>
      <c r="F256" s="47">
        <f t="shared" si="7"/>
        <v>3</v>
      </c>
      <c r="G256" s="178" t="b">
        <f t="shared" si="8"/>
        <v>1</v>
      </c>
    </row>
    <row r="257" spans="1:7">
      <c r="A257" s="175"/>
      <c r="D257" s="184"/>
      <c r="E257" s="52" t="s">
        <v>356</v>
      </c>
      <c r="F257" s="47">
        <f t="shared" si="7"/>
        <v>3</v>
      </c>
      <c r="G257" s="178" t="b">
        <f t="shared" si="8"/>
        <v>1</v>
      </c>
    </row>
    <row r="258" spans="1:7">
      <c r="A258" s="175"/>
      <c r="D258" s="184"/>
      <c r="E258" s="52" t="s">
        <v>357</v>
      </c>
      <c r="F258" s="47">
        <f t="shared" si="7"/>
        <v>3</v>
      </c>
      <c r="G258" s="178" t="b">
        <f t="shared" si="8"/>
        <v>1</v>
      </c>
    </row>
    <row r="259" spans="1:7">
      <c r="A259" s="175"/>
      <c r="D259" s="184"/>
      <c r="E259" s="52" t="s">
        <v>358</v>
      </c>
      <c r="F259" s="47">
        <f t="shared" si="7"/>
        <v>3</v>
      </c>
      <c r="G259" s="178" t="b">
        <f t="shared" si="8"/>
        <v>1</v>
      </c>
    </row>
    <row r="260" spans="1:7">
      <c r="A260" s="175"/>
      <c r="D260" s="184"/>
      <c r="E260" s="52" t="s">
        <v>359</v>
      </c>
      <c r="F260" s="47">
        <f t="shared" si="7"/>
        <v>3</v>
      </c>
      <c r="G260" s="178" t="b">
        <f t="shared" si="8"/>
        <v>1</v>
      </c>
    </row>
    <row r="261" spans="1:7">
      <c r="A261" s="175"/>
      <c r="D261" s="184"/>
      <c r="E261" s="52" t="s">
        <v>360</v>
      </c>
      <c r="F261" s="47">
        <f t="shared" si="7"/>
        <v>3</v>
      </c>
      <c r="G261" s="178" t="b">
        <f t="shared" si="8"/>
        <v>1</v>
      </c>
    </row>
    <row r="262" spans="1:7">
      <c r="A262" s="175"/>
      <c r="D262" s="184"/>
      <c r="E262" s="52" t="s">
        <v>990</v>
      </c>
      <c r="F262" s="47">
        <f t="shared" si="7"/>
        <v>3</v>
      </c>
      <c r="G262" s="178" t="b">
        <f>_xlfn.NUMBERVALUE(MID($E$207,4,1))=F262</f>
        <v>1</v>
      </c>
    </row>
    <row r="263" spans="1:7">
      <c r="A263" s="175"/>
      <c r="D263" s="184"/>
      <c r="E263" s="52" t="s">
        <v>1004</v>
      </c>
      <c r="F263" s="47" t="e">
        <f t="shared" si="7"/>
        <v>#N/A</v>
      </c>
      <c r="G263" s="178" t="e">
        <f>_xlfn.NUMBERVALUE(MID($E$207,4,1))=F263</f>
        <v>#N/A</v>
      </c>
    </row>
    <row r="264" spans="1:7">
      <c r="A264" s="175"/>
      <c r="D264" s="184"/>
      <c r="E264" s="52" t="s">
        <v>458</v>
      </c>
      <c r="F264" s="47" t="e">
        <f t="shared" si="7"/>
        <v>#N/A</v>
      </c>
      <c r="G264" s="178" t="e">
        <f t="shared" si="8"/>
        <v>#N/A</v>
      </c>
    </row>
    <row r="265" spans="1:7">
      <c r="A265" s="175"/>
      <c r="D265" s="184"/>
      <c r="E265" s="52" t="s">
        <v>335</v>
      </c>
      <c r="F265" s="47" t="e">
        <f t="shared" si="7"/>
        <v>#N/A</v>
      </c>
      <c r="G265" s="178" t="e">
        <f t="shared" si="8"/>
        <v>#N/A</v>
      </c>
    </row>
    <row r="266" spans="1:7">
      <c r="A266" s="175"/>
      <c r="D266" s="184"/>
      <c r="E266" s="52" t="s">
        <v>459</v>
      </c>
      <c r="F266" s="47" t="e">
        <f t="shared" si="7"/>
        <v>#N/A</v>
      </c>
      <c r="G266" s="178" t="e">
        <f t="shared" si="8"/>
        <v>#N/A</v>
      </c>
    </row>
    <row r="267" spans="1:7">
      <c r="A267" s="175"/>
      <c r="D267" s="184"/>
      <c r="E267" s="52" t="s">
        <v>460</v>
      </c>
      <c r="F267" s="47" t="e">
        <f t="shared" si="7"/>
        <v>#N/A</v>
      </c>
      <c r="G267" s="178" t="e">
        <f t="shared" si="8"/>
        <v>#N/A</v>
      </c>
    </row>
    <row r="268" spans="1:7">
      <c r="A268" s="175"/>
      <c r="D268" s="184"/>
      <c r="E268" s="52" t="s">
        <v>461</v>
      </c>
      <c r="F268" s="47" t="e">
        <f t="shared" si="7"/>
        <v>#N/A</v>
      </c>
      <c r="G268" s="178" t="e">
        <f t="shared" si="8"/>
        <v>#N/A</v>
      </c>
    </row>
    <row r="269" spans="1:7">
      <c r="A269" s="175"/>
      <c r="D269" s="184"/>
      <c r="E269" s="52" t="s">
        <v>462</v>
      </c>
      <c r="F269" s="47" t="e">
        <f t="shared" si="7"/>
        <v>#N/A</v>
      </c>
      <c r="G269" s="178" t="e">
        <f t="shared" si="8"/>
        <v>#N/A</v>
      </c>
    </row>
    <row r="270" spans="1:7">
      <c r="A270" s="175"/>
      <c r="D270" s="184"/>
      <c r="E270" s="52" t="s">
        <v>463</v>
      </c>
      <c r="F270" s="47" t="e">
        <f t="shared" si="7"/>
        <v>#N/A</v>
      </c>
      <c r="G270" s="178" t="e">
        <f t="shared" si="8"/>
        <v>#N/A</v>
      </c>
    </row>
    <row r="271" spans="1:7">
      <c r="A271" s="175"/>
      <c r="D271" s="184"/>
      <c r="E271" s="52" t="s">
        <v>464</v>
      </c>
      <c r="F271" s="47" t="e">
        <f t="shared" si="7"/>
        <v>#N/A</v>
      </c>
      <c r="G271" s="178" t="e">
        <f t="shared" si="8"/>
        <v>#N/A</v>
      </c>
    </row>
    <row r="272" spans="1:7">
      <c r="A272" s="175"/>
      <c r="D272" s="184"/>
      <c r="E272" s="52" t="s">
        <v>465</v>
      </c>
      <c r="F272" s="47" t="e">
        <f t="shared" si="7"/>
        <v>#N/A</v>
      </c>
      <c r="G272" s="178" t="e">
        <f t="shared" si="8"/>
        <v>#N/A</v>
      </c>
    </row>
    <row r="273" spans="1:7">
      <c r="A273" s="175"/>
      <c r="D273" s="184"/>
      <c r="E273" s="52" t="s">
        <v>466</v>
      </c>
      <c r="F273" s="47" t="e">
        <f t="shared" ref="F273:F339" si="9">VLOOKUP($E273,Modelpuntoverzicht,6,FALSE)</f>
        <v>#N/A</v>
      </c>
      <c r="G273" s="178" t="e">
        <f t="shared" si="8"/>
        <v>#N/A</v>
      </c>
    </row>
    <row r="274" spans="1:7">
      <c r="A274" s="175"/>
      <c r="D274" s="184"/>
      <c r="E274" s="52" t="s">
        <v>330</v>
      </c>
      <c r="F274" s="47">
        <f t="shared" si="9"/>
        <v>3</v>
      </c>
      <c r="G274" s="178" t="b">
        <f t="shared" ref="G274:G340" si="10">_xlfn.NUMBERVALUE(MID($E$207,4,1))=F274</f>
        <v>1</v>
      </c>
    </row>
    <row r="275" spans="1:7">
      <c r="A275" s="175"/>
      <c r="D275" s="184"/>
      <c r="E275" s="52" t="s">
        <v>337</v>
      </c>
      <c r="F275" s="47">
        <f t="shared" si="9"/>
        <v>3</v>
      </c>
      <c r="G275" s="178" t="b">
        <f t="shared" si="10"/>
        <v>1</v>
      </c>
    </row>
    <row r="276" spans="1:7">
      <c r="A276" s="175"/>
      <c r="D276" s="184"/>
      <c r="E276" s="52" t="s">
        <v>338</v>
      </c>
      <c r="F276" s="47">
        <f t="shared" si="9"/>
        <v>3</v>
      </c>
      <c r="G276" s="178" t="b">
        <f t="shared" si="10"/>
        <v>1</v>
      </c>
    </row>
    <row r="277" spans="1:7">
      <c r="A277" s="175"/>
      <c r="D277" s="184"/>
      <c r="E277" s="52" t="s">
        <v>347</v>
      </c>
      <c r="F277" s="47">
        <f t="shared" si="9"/>
        <v>3</v>
      </c>
      <c r="G277" s="178" t="b">
        <f t="shared" si="10"/>
        <v>1</v>
      </c>
    </row>
    <row r="278" spans="1:7">
      <c r="A278" s="175"/>
      <c r="D278" s="184"/>
      <c r="E278" s="52" t="s">
        <v>349</v>
      </c>
      <c r="F278" s="47">
        <f t="shared" si="9"/>
        <v>3</v>
      </c>
      <c r="G278" s="178" t="b">
        <f t="shared" si="10"/>
        <v>1</v>
      </c>
    </row>
    <row r="279" spans="1:7">
      <c r="A279" s="175"/>
      <c r="D279" s="184"/>
      <c r="E279" s="52" t="s">
        <v>1005</v>
      </c>
      <c r="F279" s="47" t="e">
        <f t="shared" si="9"/>
        <v>#N/A</v>
      </c>
      <c r="G279" s="178" t="e">
        <f t="shared" si="10"/>
        <v>#N/A</v>
      </c>
    </row>
    <row r="280" spans="1:7">
      <c r="A280" s="175"/>
      <c r="D280" s="184"/>
      <c r="E280" s="52" t="s">
        <v>1003</v>
      </c>
      <c r="F280" s="47" t="e">
        <f t="shared" si="9"/>
        <v>#N/A</v>
      </c>
      <c r="G280" s="178" t="e">
        <f t="shared" si="10"/>
        <v>#N/A</v>
      </c>
    </row>
    <row r="281" spans="1:7">
      <c r="A281" s="175"/>
      <c r="D281" s="184"/>
      <c r="E281" s="52" t="s">
        <v>1001</v>
      </c>
      <c r="F281" s="47" t="e">
        <f t="shared" si="9"/>
        <v>#N/A</v>
      </c>
      <c r="G281" s="178" t="e">
        <f t="shared" si="10"/>
        <v>#N/A</v>
      </c>
    </row>
    <row r="282" spans="1:7">
      <c r="A282" s="175"/>
      <c r="D282" s="184"/>
      <c r="E282" s="52" t="s">
        <v>1000</v>
      </c>
      <c r="F282" s="47" t="e">
        <f t="shared" si="9"/>
        <v>#N/A</v>
      </c>
      <c r="G282" s="178" t="e">
        <f t="shared" si="10"/>
        <v>#N/A</v>
      </c>
    </row>
    <row r="283" spans="1:7">
      <c r="A283" s="175"/>
      <c r="D283" s="184"/>
      <c r="E283" s="52" t="s">
        <v>999</v>
      </c>
      <c r="F283" s="47" t="e">
        <f t="shared" si="9"/>
        <v>#N/A</v>
      </c>
      <c r="G283" s="178" t="e">
        <f t="shared" si="10"/>
        <v>#N/A</v>
      </c>
    </row>
    <row r="284" spans="1:7">
      <c r="A284" s="175"/>
      <c r="D284" s="184"/>
      <c r="E284" s="52" t="s">
        <v>998</v>
      </c>
      <c r="F284" s="47" t="e">
        <f t="shared" si="9"/>
        <v>#N/A</v>
      </c>
      <c r="G284" s="178" t="e">
        <f t="shared" si="10"/>
        <v>#N/A</v>
      </c>
    </row>
    <row r="285" spans="1:7">
      <c r="A285" s="175"/>
      <c r="D285" s="184"/>
      <c r="E285" s="52" t="s">
        <v>997</v>
      </c>
      <c r="F285" s="47" t="e">
        <f t="shared" si="9"/>
        <v>#N/A</v>
      </c>
      <c r="G285" s="178" t="e">
        <f t="shared" si="10"/>
        <v>#N/A</v>
      </c>
    </row>
    <row r="286" spans="1:7">
      <c r="A286" s="175"/>
      <c r="D286" s="184"/>
      <c r="E286" s="52" t="s">
        <v>995</v>
      </c>
      <c r="F286" s="47" t="e">
        <f t="shared" si="9"/>
        <v>#N/A</v>
      </c>
      <c r="G286" s="178" t="e">
        <f t="shared" si="10"/>
        <v>#N/A</v>
      </c>
    </row>
    <row r="287" spans="1:7">
      <c r="A287" s="175"/>
      <c r="D287" s="184"/>
      <c r="E287" s="52" t="s">
        <v>993</v>
      </c>
      <c r="F287" s="47" t="e">
        <f t="shared" si="9"/>
        <v>#N/A</v>
      </c>
      <c r="G287" s="178" t="e">
        <f t="shared" si="10"/>
        <v>#N/A</v>
      </c>
    </row>
    <row r="288" spans="1:7">
      <c r="A288" s="175"/>
      <c r="D288" s="184"/>
      <c r="E288" s="52" t="s">
        <v>992</v>
      </c>
      <c r="F288" s="47" t="e">
        <f t="shared" si="9"/>
        <v>#N/A</v>
      </c>
      <c r="G288" s="178" t="e">
        <f t="shared" si="10"/>
        <v>#N/A</v>
      </c>
    </row>
    <row r="289" spans="1:7">
      <c r="A289" s="175"/>
      <c r="D289" s="184"/>
      <c r="E289" s="52" t="s">
        <v>991</v>
      </c>
      <c r="F289" s="47" t="e">
        <f t="shared" si="9"/>
        <v>#N/A</v>
      </c>
      <c r="G289" s="178" t="e">
        <f t="shared" si="10"/>
        <v>#N/A</v>
      </c>
    </row>
    <row r="290" spans="1:7">
      <c r="A290" s="175"/>
      <c r="D290" s="184"/>
      <c r="E290" s="52" t="s">
        <v>989</v>
      </c>
      <c r="F290" s="47" t="e">
        <f t="shared" si="9"/>
        <v>#N/A</v>
      </c>
      <c r="G290" s="178" t="e">
        <f t="shared" si="10"/>
        <v>#N/A</v>
      </c>
    </row>
    <row r="291" spans="1:7">
      <c r="A291" s="175"/>
      <c r="D291" s="184"/>
      <c r="E291" s="52" t="s">
        <v>351</v>
      </c>
      <c r="F291" s="47" t="e">
        <f t="shared" si="9"/>
        <v>#N/A</v>
      </c>
      <c r="G291" s="178" t="e">
        <f t="shared" si="10"/>
        <v>#N/A</v>
      </c>
    </row>
    <row r="292" spans="1:7">
      <c r="A292" s="175"/>
      <c r="D292" s="184"/>
      <c r="E292" s="52" t="s">
        <v>352</v>
      </c>
      <c r="F292" s="47" t="e">
        <f t="shared" si="9"/>
        <v>#N/A</v>
      </c>
      <c r="G292" s="178" t="e">
        <f t="shared" si="10"/>
        <v>#N/A</v>
      </c>
    </row>
    <row r="293" spans="1:7">
      <c r="A293" s="175"/>
      <c r="D293" s="184"/>
      <c r="E293" s="52" t="s">
        <v>353</v>
      </c>
      <c r="F293" s="47" t="e">
        <f t="shared" si="9"/>
        <v>#N/A</v>
      </c>
      <c r="G293" s="178" t="e">
        <f t="shared" si="10"/>
        <v>#N/A</v>
      </c>
    </row>
    <row r="294" spans="1:7">
      <c r="A294" s="175"/>
      <c r="D294" s="184"/>
      <c r="E294" s="52" t="s">
        <v>467</v>
      </c>
      <c r="F294" s="47" t="e">
        <f t="shared" si="9"/>
        <v>#N/A</v>
      </c>
      <c r="G294" s="178" t="e">
        <f t="shared" si="10"/>
        <v>#N/A</v>
      </c>
    </row>
    <row r="295" spans="1:7">
      <c r="A295" s="175"/>
      <c r="D295" s="184"/>
      <c r="E295" s="52" t="s">
        <v>331</v>
      </c>
      <c r="F295" s="47" t="e">
        <f t="shared" si="9"/>
        <v>#N/A</v>
      </c>
      <c r="G295" s="178" t="e">
        <f t="shared" si="10"/>
        <v>#N/A</v>
      </c>
    </row>
    <row r="296" spans="1:7">
      <c r="A296" s="175"/>
      <c r="D296" s="184"/>
      <c r="E296" s="52" t="s">
        <v>339</v>
      </c>
      <c r="F296" s="47" t="e">
        <f t="shared" si="9"/>
        <v>#N/A</v>
      </c>
      <c r="G296" s="178" t="e">
        <f t="shared" si="10"/>
        <v>#N/A</v>
      </c>
    </row>
    <row r="297" spans="1:7">
      <c r="A297" s="175"/>
      <c r="D297" s="184"/>
      <c r="E297" s="52" t="s">
        <v>1060</v>
      </c>
      <c r="F297" s="47" t="e">
        <f t="shared" si="9"/>
        <v>#N/A</v>
      </c>
      <c r="G297" s="178" t="e">
        <f t="shared" si="10"/>
        <v>#N/A</v>
      </c>
    </row>
    <row r="298" spans="1:7">
      <c r="A298" s="175"/>
      <c r="D298" s="184"/>
      <c r="E298" s="52" t="s">
        <v>994</v>
      </c>
      <c r="F298" s="47" t="e">
        <f t="shared" si="9"/>
        <v>#N/A</v>
      </c>
      <c r="G298" s="178" t="e">
        <f>_xlfn.NUMBERVALUE(MID($E$207,4,1))=F298</f>
        <v>#N/A</v>
      </c>
    </row>
    <row r="299" spans="1:7">
      <c r="A299" s="175"/>
      <c r="D299" s="184"/>
      <c r="E299" s="52" t="s">
        <v>996</v>
      </c>
      <c r="F299" s="47" t="e">
        <f t="shared" si="9"/>
        <v>#N/A</v>
      </c>
      <c r="G299" s="178" t="e">
        <f>_xlfn.NUMBERVALUE(MID($E$207,4,1))=F299</f>
        <v>#N/A</v>
      </c>
    </row>
    <row r="300" spans="1:7">
      <c r="A300" s="175"/>
      <c r="D300" s="184"/>
      <c r="E300" s="52" t="s">
        <v>340</v>
      </c>
      <c r="F300" s="47" t="e">
        <f t="shared" si="9"/>
        <v>#N/A</v>
      </c>
      <c r="G300" s="178" t="e">
        <f t="shared" si="10"/>
        <v>#N/A</v>
      </c>
    </row>
    <row r="301" spans="1:7">
      <c r="A301" s="175"/>
      <c r="D301" s="184"/>
      <c r="E301" s="52" t="s">
        <v>343</v>
      </c>
      <c r="F301" s="47" t="e">
        <f t="shared" si="9"/>
        <v>#N/A</v>
      </c>
      <c r="G301" s="178" t="e">
        <f t="shared" si="10"/>
        <v>#N/A</v>
      </c>
    </row>
    <row r="302" spans="1:7">
      <c r="A302" s="175"/>
      <c r="D302" s="184"/>
      <c r="E302" s="52" t="s">
        <v>348</v>
      </c>
      <c r="F302" s="47" t="e">
        <f t="shared" si="9"/>
        <v>#N/A</v>
      </c>
      <c r="G302" s="178" t="e">
        <f t="shared" si="10"/>
        <v>#N/A</v>
      </c>
    </row>
    <row r="303" spans="1:7">
      <c r="A303" s="175"/>
      <c r="D303" s="184"/>
      <c r="E303" s="52" t="s">
        <v>341</v>
      </c>
      <c r="F303" s="47" t="e">
        <f t="shared" si="9"/>
        <v>#N/A</v>
      </c>
      <c r="G303" s="178" t="e">
        <f t="shared" si="10"/>
        <v>#N/A</v>
      </c>
    </row>
    <row r="304" spans="1:7">
      <c r="A304" s="175"/>
      <c r="D304" s="184"/>
      <c r="E304" s="52" t="s">
        <v>342</v>
      </c>
      <c r="F304" s="47" t="e">
        <f t="shared" si="9"/>
        <v>#N/A</v>
      </c>
      <c r="G304" s="178" t="e">
        <f t="shared" si="10"/>
        <v>#N/A</v>
      </c>
    </row>
    <row r="305" spans="1:7">
      <c r="A305" s="175"/>
      <c r="D305" s="184"/>
      <c r="E305" s="52" t="s">
        <v>344</v>
      </c>
      <c r="F305" s="47" t="e">
        <f t="shared" si="9"/>
        <v>#N/A</v>
      </c>
      <c r="G305" s="178" t="e">
        <f t="shared" si="10"/>
        <v>#N/A</v>
      </c>
    </row>
    <row r="306" spans="1:7">
      <c r="A306" s="175"/>
      <c r="D306" s="184"/>
      <c r="E306" s="52" t="s">
        <v>345</v>
      </c>
      <c r="F306" s="47" t="e">
        <f t="shared" si="9"/>
        <v>#N/A</v>
      </c>
      <c r="G306" s="178" t="e">
        <f t="shared" si="10"/>
        <v>#N/A</v>
      </c>
    </row>
    <row r="307" spans="1:7">
      <c r="A307" s="175"/>
      <c r="D307" s="184"/>
      <c r="E307" s="52" t="s">
        <v>1187</v>
      </c>
      <c r="F307" s="47">
        <f t="shared" si="9"/>
        <v>3</v>
      </c>
      <c r="G307" s="178" t="b">
        <f>_xlfn.NUMBERVALUE(MID($E$207,4,1))=F307</f>
        <v>1</v>
      </c>
    </row>
    <row r="308" spans="1:7">
      <c r="A308" s="175"/>
      <c r="D308" s="184"/>
      <c r="E308" s="52" t="s">
        <v>1189</v>
      </c>
      <c r="F308" s="47">
        <f t="shared" si="9"/>
        <v>3</v>
      </c>
      <c r="G308" s="178" t="b">
        <f>_xlfn.NUMBERVALUE(MID($E$207,4,1))=F308</f>
        <v>1</v>
      </c>
    </row>
    <row r="309" spans="1:7">
      <c r="A309" s="175"/>
      <c r="D309" s="184"/>
      <c r="E309" s="52" t="s">
        <v>1188</v>
      </c>
      <c r="F309" s="47">
        <f t="shared" si="9"/>
        <v>3</v>
      </c>
      <c r="G309" s="178" t="b">
        <f>_xlfn.NUMBERVALUE(MID($E$207,4,1))=F309</f>
        <v>1</v>
      </c>
    </row>
    <row r="310" spans="1:7">
      <c r="A310" s="175"/>
      <c r="D310" s="184"/>
      <c r="E310" s="52" t="s">
        <v>336</v>
      </c>
      <c r="F310" s="47">
        <f t="shared" si="9"/>
        <v>3</v>
      </c>
      <c r="G310" s="178" t="b">
        <f t="shared" si="10"/>
        <v>1</v>
      </c>
    </row>
    <row r="311" spans="1:7">
      <c r="A311" s="175"/>
      <c r="D311" s="184"/>
      <c r="E311" s="52" t="s">
        <v>350</v>
      </c>
      <c r="F311" s="47">
        <f t="shared" si="9"/>
        <v>3</v>
      </c>
      <c r="G311" s="178" t="b">
        <f t="shared" si="10"/>
        <v>1</v>
      </c>
    </row>
    <row r="312" spans="1:7">
      <c r="A312" s="175"/>
      <c r="D312" s="184"/>
      <c r="E312" s="52" t="s">
        <v>346</v>
      </c>
      <c r="F312" s="47">
        <f t="shared" si="9"/>
        <v>3</v>
      </c>
      <c r="G312" s="178" t="b">
        <f t="shared" si="10"/>
        <v>1</v>
      </c>
    </row>
    <row r="313" spans="1:7">
      <c r="A313" s="175"/>
      <c r="D313" s="184"/>
      <c r="E313" s="52" t="s">
        <v>361</v>
      </c>
      <c r="F313" s="47">
        <f t="shared" si="9"/>
        <v>3</v>
      </c>
      <c r="G313" s="178" t="b">
        <f t="shared" si="10"/>
        <v>1</v>
      </c>
    </row>
    <row r="314" spans="1:7">
      <c r="A314" s="175"/>
      <c r="D314" s="184"/>
      <c r="E314" s="52" t="s">
        <v>362</v>
      </c>
      <c r="F314" s="47" t="e">
        <f t="shared" si="9"/>
        <v>#N/A</v>
      </c>
      <c r="G314" s="178" t="e">
        <f t="shared" si="10"/>
        <v>#N/A</v>
      </c>
    </row>
    <row r="315" spans="1:7">
      <c r="A315" s="175"/>
      <c r="D315" s="184"/>
      <c r="E315" s="52" t="s">
        <v>363</v>
      </c>
      <c r="F315" s="47" t="e">
        <f t="shared" si="9"/>
        <v>#N/A</v>
      </c>
      <c r="G315" s="178" t="e">
        <f t="shared" si="10"/>
        <v>#N/A</v>
      </c>
    </row>
    <row r="316" spans="1:7">
      <c r="A316" s="175"/>
      <c r="D316" s="184"/>
      <c r="E316" s="52" t="s">
        <v>364</v>
      </c>
      <c r="F316" s="47" t="e">
        <f t="shared" si="9"/>
        <v>#N/A</v>
      </c>
      <c r="G316" s="178" t="e">
        <f t="shared" si="10"/>
        <v>#N/A</v>
      </c>
    </row>
    <row r="317" spans="1:7">
      <c r="A317" s="175"/>
      <c r="D317" s="184"/>
      <c r="E317" s="52" t="s">
        <v>365</v>
      </c>
      <c r="F317" s="47">
        <f t="shared" si="9"/>
        <v>3</v>
      </c>
      <c r="G317" s="178" t="b">
        <f t="shared" si="10"/>
        <v>1</v>
      </c>
    </row>
    <row r="318" spans="1:7">
      <c r="A318" s="175"/>
      <c r="D318" s="184"/>
      <c r="E318" s="52" t="s">
        <v>366</v>
      </c>
      <c r="F318" s="47" t="e">
        <f t="shared" si="9"/>
        <v>#N/A</v>
      </c>
      <c r="G318" s="178" t="e">
        <f t="shared" si="10"/>
        <v>#N/A</v>
      </c>
    </row>
    <row r="319" spans="1:7">
      <c r="A319" s="175"/>
      <c r="D319" s="184"/>
      <c r="E319" s="52" t="s">
        <v>367</v>
      </c>
      <c r="F319" s="47" t="e">
        <f t="shared" si="9"/>
        <v>#N/A</v>
      </c>
      <c r="G319" s="178" t="e">
        <f t="shared" si="10"/>
        <v>#N/A</v>
      </c>
    </row>
    <row r="320" spans="1:7">
      <c r="A320" s="175"/>
      <c r="D320" s="184"/>
      <c r="E320" s="52" t="s">
        <v>368</v>
      </c>
      <c r="F320" s="47" t="e">
        <f t="shared" si="9"/>
        <v>#N/A</v>
      </c>
      <c r="G320" s="178" t="e">
        <f t="shared" si="10"/>
        <v>#N/A</v>
      </c>
    </row>
    <row r="321" spans="1:7">
      <c r="A321" s="175"/>
      <c r="D321" s="184"/>
      <c r="E321" s="52" t="s">
        <v>1002</v>
      </c>
      <c r="F321" s="47" t="e">
        <f t="shared" si="9"/>
        <v>#N/A</v>
      </c>
      <c r="G321" s="178" t="e">
        <f>_xlfn.NUMBERVALUE(MID($E$207,4,1))=F321</f>
        <v>#N/A</v>
      </c>
    </row>
    <row r="322" spans="1:7">
      <c r="A322" s="175"/>
      <c r="D322" s="184"/>
      <c r="E322" s="52" t="s">
        <v>369</v>
      </c>
      <c r="F322" s="47" t="e">
        <f t="shared" si="9"/>
        <v>#N/A</v>
      </c>
      <c r="G322" s="178" t="e">
        <f t="shared" si="10"/>
        <v>#N/A</v>
      </c>
    </row>
    <row r="323" spans="1:7">
      <c r="A323" s="175"/>
      <c r="D323" s="184"/>
      <c r="E323" s="52" t="s">
        <v>370</v>
      </c>
      <c r="F323" s="47" t="e">
        <f t="shared" si="9"/>
        <v>#N/A</v>
      </c>
      <c r="G323" s="178" t="e">
        <f t="shared" si="10"/>
        <v>#N/A</v>
      </c>
    </row>
    <row r="324" spans="1:7">
      <c r="A324" s="175"/>
      <c r="D324" s="184"/>
      <c r="E324" s="52" t="s">
        <v>371</v>
      </c>
      <c r="F324" s="47" t="e">
        <f t="shared" si="9"/>
        <v>#N/A</v>
      </c>
      <c r="G324" s="178" t="e">
        <f t="shared" si="10"/>
        <v>#N/A</v>
      </c>
    </row>
    <row r="325" spans="1:7">
      <c r="A325" s="175"/>
      <c r="D325" s="184"/>
      <c r="E325" s="52" t="s">
        <v>372</v>
      </c>
      <c r="F325" s="47" t="e">
        <f t="shared" si="9"/>
        <v>#N/A</v>
      </c>
      <c r="G325" s="178" t="e">
        <f t="shared" si="10"/>
        <v>#N/A</v>
      </c>
    </row>
    <row r="326" spans="1:7">
      <c r="A326" s="175"/>
      <c r="D326" s="184"/>
      <c r="E326" s="52" t="s">
        <v>373</v>
      </c>
      <c r="F326" s="47" t="e">
        <f t="shared" si="9"/>
        <v>#N/A</v>
      </c>
      <c r="G326" s="178" t="e">
        <f t="shared" si="10"/>
        <v>#N/A</v>
      </c>
    </row>
    <row r="327" spans="1:7">
      <c r="A327" s="175"/>
      <c r="D327" s="184"/>
      <c r="E327" s="52" t="s">
        <v>374</v>
      </c>
      <c r="F327" s="47" t="e">
        <f t="shared" si="9"/>
        <v>#N/A</v>
      </c>
      <c r="G327" s="178" t="e">
        <f t="shared" si="10"/>
        <v>#N/A</v>
      </c>
    </row>
    <row r="328" spans="1:7">
      <c r="A328" s="175"/>
      <c r="D328" s="184"/>
      <c r="E328" s="52" t="s">
        <v>375</v>
      </c>
      <c r="F328" s="47" t="e">
        <f t="shared" si="9"/>
        <v>#N/A</v>
      </c>
      <c r="G328" s="178" t="e">
        <f t="shared" si="10"/>
        <v>#N/A</v>
      </c>
    </row>
    <row r="329" spans="1:7">
      <c r="A329" s="175"/>
      <c r="D329" s="184"/>
      <c r="E329" s="52" t="s">
        <v>376</v>
      </c>
      <c r="F329" s="47">
        <f t="shared" si="9"/>
        <v>3</v>
      </c>
      <c r="G329" s="178" t="b">
        <f t="shared" si="10"/>
        <v>1</v>
      </c>
    </row>
    <row r="330" spans="1:7">
      <c r="A330" s="175"/>
      <c r="D330" s="184"/>
      <c r="E330" s="52" t="s">
        <v>377</v>
      </c>
      <c r="F330" s="47" t="e">
        <f t="shared" si="9"/>
        <v>#N/A</v>
      </c>
      <c r="G330" s="178" t="e">
        <f t="shared" si="10"/>
        <v>#N/A</v>
      </c>
    </row>
    <row r="331" spans="1:7">
      <c r="A331" s="175"/>
      <c r="D331" s="184"/>
      <c r="E331" s="52" t="s">
        <v>378</v>
      </c>
      <c r="F331" s="47" t="e">
        <f t="shared" si="9"/>
        <v>#N/A</v>
      </c>
      <c r="G331" s="178" t="e">
        <f t="shared" si="10"/>
        <v>#N/A</v>
      </c>
    </row>
    <row r="332" spans="1:7">
      <c r="A332" s="175"/>
      <c r="D332" s="184"/>
      <c r="E332" s="52" t="s">
        <v>379</v>
      </c>
      <c r="F332" s="47" t="e">
        <f t="shared" si="9"/>
        <v>#N/A</v>
      </c>
      <c r="G332" s="178" t="e">
        <f t="shared" si="10"/>
        <v>#N/A</v>
      </c>
    </row>
    <row r="333" spans="1:7">
      <c r="A333" s="175"/>
      <c r="D333" s="184"/>
      <c r="E333" s="52" t="s">
        <v>380</v>
      </c>
      <c r="F333" s="47" t="e">
        <f t="shared" si="9"/>
        <v>#N/A</v>
      </c>
      <c r="G333" s="178" t="e">
        <f t="shared" si="10"/>
        <v>#N/A</v>
      </c>
    </row>
    <row r="334" spans="1:7">
      <c r="A334" s="175"/>
      <c r="D334" s="184"/>
      <c r="E334" s="52" t="s">
        <v>381</v>
      </c>
      <c r="F334" s="47">
        <f t="shared" si="9"/>
        <v>3</v>
      </c>
      <c r="G334" s="178" t="b">
        <f t="shared" si="10"/>
        <v>1</v>
      </c>
    </row>
    <row r="335" spans="1:7">
      <c r="A335" s="175"/>
      <c r="D335" s="184"/>
      <c r="E335" s="52" t="s">
        <v>382</v>
      </c>
      <c r="F335" s="47" t="e">
        <f t="shared" si="9"/>
        <v>#N/A</v>
      </c>
      <c r="G335" s="178" t="e">
        <f t="shared" si="10"/>
        <v>#N/A</v>
      </c>
    </row>
    <row r="336" spans="1:7">
      <c r="A336" s="175"/>
      <c r="D336" s="184"/>
      <c r="E336" s="52" t="s">
        <v>383</v>
      </c>
      <c r="F336" s="47">
        <f t="shared" si="9"/>
        <v>3</v>
      </c>
      <c r="G336" s="178" t="b">
        <f t="shared" si="10"/>
        <v>1</v>
      </c>
    </row>
    <row r="337" spans="1:7">
      <c r="A337" s="175"/>
      <c r="D337" s="184"/>
      <c r="E337" s="52" t="s">
        <v>384</v>
      </c>
      <c r="F337" s="47" t="e">
        <f t="shared" si="9"/>
        <v>#N/A</v>
      </c>
      <c r="G337" s="178" t="e">
        <f t="shared" si="10"/>
        <v>#N/A</v>
      </c>
    </row>
    <row r="338" spans="1:7">
      <c r="A338" s="175"/>
      <c r="D338" s="184"/>
      <c r="E338" s="52" t="s">
        <v>385</v>
      </c>
      <c r="F338" s="47">
        <f t="shared" si="9"/>
        <v>3</v>
      </c>
      <c r="G338" s="178" t="b">
        <f t="shared" si="10"/>
        <v>1</v>
      </c>
    </row>
    <row r="339" spans="1:7">
      <c r="A339" s="175"/>
      <c r="D339" s="184"/>
      <c r="E339" s="52" t="s">
        <v>386</v>
      </c>
      <c r="F339" s="47" t="e">
        <f t="shared" si="9"/>
        <v>#N/A</v>
      </c>
      <c r="G339" s="178" t="e">
        <f t="shared" si="10"/>
        <v>#N/A</v>
      </c>
    </row>
    <row r="340" spans="1:7">
      <c r="A340" s="175"/>
      <c r="D340" s="184"/>
      <c r="E340" s="52" t="s">
        <v>387</v>
      </c>
      <c r="F340" s="47" t="e">
        <f t="shared" ref="F340:F370" si="11">VLOOKUP($E340,Modelpuntoverzicht,6,FALSE)</f>
        <v>#N/A</v>
      </c>
      <c r="G340" s="178" t="e">
        <f t="shared" si="10"/>
        <v>#N/A</v>
      </c>
    </row>
    <row r="341" spans="1:7">
      <c r="A341" s="175"/>
      <c r="D341" s="184"/>
      <c r="E341" s="52" t="s">
        <v>388</v>
      </c>
      <c r="F341" s="47" t="e">
        <f t="shared" si="11"/>
        <v>#N/A</v>
      </c>
      <c r="G341" s="178" t="e">
        <f t="shared" ref="G341:G370" si="12">_xlfn.NUMBERVALUE(MID($E$207,4,1))=F341</f>
        <v>#N/A</v>
      </c>
    </row>
    <row r="342" spans="1:7">
      <c r="A342" s="175"/>
      <c r="D342" s="184"/>
      <c r="E342" s="52" t="s">
        <v>389</v>
      </c>
      <c r="F342" s="47" t="e">
        <f t="shared" si="11"/>
        <v>#N/A</v>
      </c>
      <c r="G342" s="178" t="e">
        <f t="shared" si="12"/>
        <v>#N/A</v>
      </c>
    </row>
    <row r="343" spans="1:7">
      <c r="A343" s="175"/>
      <c r="D343" s="184"/>
      <c r="E343" s="52" t="s">
        <v>390</v>
      </c>
      <c r="F343" s="47" t="e">
        <f t="shared" si="11"/>
        <v>#N/A</v>
      </c>
      <c r="G343" s="178" t="e">
        <f t="shared" si="12"/>
        <v>#N/A</v>
      </c>
    </row>
    <row r="344" spans="1:7">
      <c r="A344" s="175"/>
      <c r="D344" s="184"/>
      <c r="E344" s="52" t="s">
        <v>391</v>
      </c>
      <c r="F344" s="47" t="e">
        <f t="shared" si="11"/>
        <v>#N/A</v>
      </c>
      <c r="G344" s="178" t="e">
        <f t="shared" si="12"/>
        <v>#N/A</v>
      </c>
    </row>
    <row r="345" spans="1:7">
      <c r="A345" s="175"/>
      <c r="D345" s="184"/>
      <c r="E345" s="52" t="s">
        <v>392</v>
      </c>
      <c r="F345" s="47">
        <f t="shared" si="11"/>
        <v>3</v>
      </c>
      <c r="G345" s="178" t="b">
        <f t="shared" si="12"/>
        <v>1</v>
      </c>
    </row>
    <row r="346" spans="1:7">
      <c r="A346" s="175"/>
      <c r="D346" s="184"/>
      <c r="E346" s="52" t="s">
        <v>393</v>
      </c>
      <c r="F346" s="47" t="e">
        <f t="shared" si="11"/>
        <v>#N/A</v>
      </c>
      <c r="G346" s="178" t="e">
        <f t="shared" si="12"/>
        <v>#N/A</v>
      </c>
    </row>
    <row r="347" spans="1:7">
      <c r="A347" s="175"/>
      <c r="D347" s="184"/>
      <c r="E347" s="52" t="s">
        <v>394</v>
      </c>
      <c r="F347" s="47" t="e">
        <f t="shared" si="11"/>
        <v>#N/A</v>
      </c>
      <c r="G347" s="178" t="e">
        <f t="shared" si="12"/>
        <v>#N/A</v>
      </c>
    </row>
    <row r="348" spans="1:7">
      <c r="A348" s="175"/>
      <c r="D348" s="184"/>
      <c r="E348" s="52" t="s">
        <v>395</v>
      </c>
      <c r="F348" s="47" t="e">
        <f t="shared" si="11"/>
        <v>#N/A</v>
      </c>
      <c r="G348" s="178" t="e">
        <f t="shared" si="12"/>
        <v>#N/A</v>
      </c>
    </row>
    <row r="349" spans="1:7">
      <c r="A349" s="175"/>
      <c r="D349" s="184"/>
      <c r="E349" s="52" t="s">
        <v>396</v>
      </c>
      <c r="F349" s="47" t="e">
        <f t="shared" si="11"/>
        <v>#N/A</v>
      </c>
      <c r="G349" s="178" t="e">
        <f t="shared" si="12"/>
        <v>#N/A</v>
      </c>
    </row>
    <row r="350" spans="1:7">
      <c r="A350" s="175"/>
      <c r="D350" s="184"/>
      <c r="E350" s="52" t="s">
        <v>416</v>
      </c>
      <c r="F350" s="47">
        <f t="shared" si="11"/>
        <v>3</v>
      </c>
      <c r="G350" s="178" t="b">
        <f t="shared" si="12"/>
        <v>1</v>
      </c>
    </row>
    <row r="351" spans="1:7">
      <c r="A351" s="175"/>
      <c r="D351" s="184"/>
      <c r="E351" s="52" t="s">
        <v>397</v>
      </c>
      <c r="F351" s="47" t="e">
        <f t="shared" si="11"/>
        <v>#N/A</v>
      </c>
      <c r="G351" s="178" t="e">
        <f t="shared" si="12"/>
        <v>#N/A</v>
      </c>
    </row>
    <row r="352" spans="1:7">
      <c r="A352" s="175"/>
      <c r="D352" s="184"/>
      <c r="E352" s="52" t="s">
        <v>417</v>
      </c>
      <c r="F352" s="47" t="e">
        <f t="shared" si="11"/>
        <v>#N/A</v>
      </c>
      <c r="G352" s="178" t="e">
        <f t="shared" si="12"/>
        <v>#N/A</v>
      </c>
    </row>
    <row r="353" spans="1:7">
      <c r="A353" s="175"/>
      <c r="D353" s="184"/>
      <c r="E353" s="52" t="s">
        <v>398</v>
      </c>
      <c r="F353" s="47" t="e">
        <f t="shared" si="11"/>
        <v>#N/A</v>
      </c>
      <c r="G353" s="178" t="e">
        <f t="shared" si="12"/>
        <v>#N/A</v>
      </c>
    </row>
    <row r="354" spans="1:7">
      <c r="A354" s="175"/>
      <c r="D354" s="184"/>
      <c r="E354" s="52" t="s">
        <v>399</v>
      </c>
      <c r="F354" s="47">
        <f t="shared" si="11"/>
        <v>3</v>
      </c>
      <c r="G354" s="178" t="b">
        <f t="shared" si="12"/>
        <v>1</v>
      </c>
    </row>
    <row r="355" spans="1:7">
      <c r="A355" s="175"/>
      <c r="D355" s="184"/>
      <c r="E355" s="52" t="s">
        <v>400</v>
      </c>
      <c r="F355" s="47" t="e">
        <f t="shared" si="11"/>
        <v>#N/A</v>
      </c>
      <c r="G355" s="178" t="e">
        <f t="shared" si="12"/>
        <v>#N/A</v>
      </c>
    </row>
    <row r="356" spans="1:7">
      <c r="A356" s="175"/>
      <c r="D356" s="184"/>
      <c r="E356" s="52" t="s">
        <v>401</v>
      </c>
      <c r="F356" s="47">
        <f t="shared" si="11"/>
        <v>3</v>
      </c>
      <c r="G356" s="178" t="b">
        <f t="shared" si="12"/>
        <v>1</v>
      </c>
    </row>
    <row r="357" spans="1:7">
      <c r="A357" s="175"/>
      <c r="D357" s="184"/>
      <c r="E357" s="52" t="s">
        <v>402</v>
      </c>
      <c r="F357" s="47" t="e">
        <f t="shared" si="11"/>
        <v>#N/A</v>
      </c>
      <c r="G357" s="178" t="e">
        <f t="shared" si="12"/>
        <v>#N/A</v>
      </c>
    </row>
    <row r="358" spans="1:7">
      <c r="A358" s="175"/>
      <c r="D358" s="184"/>
      <c r="E358" s="52" t="s">
        <v>403</v>
      </c>
      <c r="F358" s="47" t="e">
        <f t="shared" si="11"/>
        <v>#N/A</v>
      </c>
      <c r="G358" s="178" t="e">
        <f t="shared" si="12"/>
        <v>#N/A</v>
      </c>
    </row>
    <row r="359" spans="1:7">
      <c r="A359" s="175"/>
      <c r="D359" s="184"/>
      <c r="E359" s="52" t="s">
        <v>404</v>
      </c>
      <c r="F359" s="47" t="e">
        <f t="shared" si="11"/>
        <v>#N/A</v>
      </c>
      <c r="G359" s="178" t="e">
        <f t="shared" si="12"/>
        <v>#N/A</v>
      </c>
    </row>
    <row r="360" spans="1:7">
      <c r="A360" s="175"/>
      <c r="D360" s="184"/>
      <c r="E360" s="52" t="s">
        <v>405</v>
      </c>
      <c r="F360" s="47" t="e">
        <f t="shared" si="11"/>
        <v>#N/A</v>
      </c>
      <c r="G360" s="178" t="e">
        <f t="shared" si="12"/>
        <v>#N/A</v>
      </c>
    </row>
    <row r="361" spans="1:7">
      <c r="A361" s="175"/>
      <c r="D361" s="184"/>
      <c r="E361" s="52" t="s">
        <v>406</v>
      </c>
      <c r="F361" s="47" t="e">
        <f t="shared" si="11"/>
        <v>#N/A</v>
      </c>
      <c r="G361" s="178" t="e">
        <f t="shared" si="12"/>
        <v>#N/A</v>
      </c>
    </row>
    <row r="362" spans="1:7">
      <c r="A362" s="175"/>
      <c r="D362" s="184"/>
      <c r="E362" s="52" t="s">
        <v>407</v>
      </c>
      <c r="F362" s="47">
        <f t="shared" si="11"/>
        <v>3</v>
      </c>
      <c r="G362" s="178" t="b">
        <f t="shared" si="12"/>
        <v>1</v>
      </c>
    </row>
    <row r="363" spans="1:7">
      <c r="A363" s="175"/>
      <c r="D363" s="184"/>
      <c r="E363" s="52" t="s">
        <v>408</v>
      </c>
      <c r="F363" s="47" t="e">
        <f t="shared" si="11"/>
        <v>#N/A</v>
      </c>
      <c r="G363" s="178" t="e">
        <f t="shared" si="12"/>
        <v>#N/A</v>
      </c>
    </row>
    <row r="364" spans="1:7">
      <c r="A364" s="175"/>
      <c r="D364" s="184"/>
      <c r="E364" s="52" t="s">
        <v>409</v>
      </c>
      <c r="F364" s="47" t="e">
        <f t="shared" si="11"/>
        <v>#N/A</v>
      </c>
      <c r="G364" s="178" t="e">
        <f t="shared" si="12"/>
        <v>#N/A</v>
      </c>
    </row>
    <row r="365" spans="1:7">
      <c r="A365" s="175"/>
      <c r="D365" s="184"/>
      <c r="E365" s="52" t="s">
        <v>410</v>
      </c>
      <c r="F365" s="47" t="e">
        <f t="shared" si="11"/>
        <v>#N/A</v>
      </c>
      <c r="G365" s="178" t="e">
        <f t="shared" si="12"/>
        <v>#N/A</v>
      </c>
    </row>
    <row r="366" spans="1:7">
      <c r="A366" s="175"/>
      <c r="D366" s="184"/>
      <c r="E366" s="52" t="s">
        <v>411</v>
      </c>
      <c r="F366" s="47" t="e">
        <f t="shared" si="11"/>
        <v>#N/A</v>
      </c>
      <c r="G366" s="178" t="e">
        <f t="shared" si="12"/>
        <v>#N/A</v>
      </c>
    </row>
    <row r="367" spans="1:7">
      <c r="A367" s="175"/>
      <c r="D367" s="184"/>
      <c r="E367" s="52" t="s">
        <v>412</v>
      </c>
      <c r="F367" s="47" t="e">
        <f t="shared" si="11"/>
        <v>#N/A</v>
      </c>
      <c r="G367" s="178" t="e">
        <f t="shared" si="12"/>
        <v>#N/A</v>
      </c>
    </row>
    <row r="368" spans="1:7">
      <c r="A368" s="175"/>
      <c r="D368" s="184"/>
      <c r="E368" s="52" t="s">
        <v>413</v>
      </c>
      <c r="F368" s="47" t="e">
        <f t="shared" si="11"/>
        <v>#N/A</v>
      </c>
      <c r="G368" s="178" t="e">
        <f t="shared" si="12"/>
        <v>#N/A</v>
      </c>
    </row>
    <row r="369" spans="1:7">
      <c r="A369" s="175"/>
      <c r="D369" s="184"/>
      <c r="E369" s="52" t="s">
        <v>414</v>
      </c>
      <c r="F369" s="47" t="e">
        <f t="shared" si="11"/>
        <v>#N/A</v>
      </c>
      <c r="G369" s="178" t="e">
        <f t="shared" si="12"/>
        <v>#N/A</v>
      </c>
    </row>
    <row r="370" spans="1:7">
      <c r="A370" s="175"/>
      <c r="D370" s="184"/>
      <c r="E370" s="52" t="s">
        <v>415</v>
      </c>
      <c r="F370" s="47" t="e">
        <f t="shared" si="11"/>
        <v>#N/A</v>
      </c>
      <c r="G370" s="178" t="e">
        <f t="shared" si="12"/>
        <v>#N/A</v>
      </c>
    </row>
  </sheetData>
  <sheetProtection algorithmName="SHA-512" hashValue="P6PnqgV8TW/7WNV64rCbVne8aOiSNttFhfgprFhAtKe/c2e0a1e8rBbyRE9rPhJx05DfF4yCfsV5/+J/bLNgVw==" saltValue="2JXdSSWTZewCLcMaIsIExg==" spinCount="100000" sheet="1" objects="1" scenarios="1" formatColumns="0" formatRows="0"/>
  <conditionalFormatting sqref="G14 G72:G98 G264:G297 G300:G306 G322:G370 G107:G148 G195:G202 G209:G240 G242:G261 G156:G192 G205:G206 G310:G320">
    <cfRule type="cellIs" dxfId="121" priority="145" operator="equal">
      <formula>TRUE</formula>
    </cfRule>
  </conditionalFormatting>
  <conditionalFormatting sqref="G19 G207 G71">
    <cfRule type="cellIs" dxfId="120" priority="144" operator="equal">
      <formula>TRUE</formula>
    </cfRule>
  </conditionalFormatting>
  <conditionalFormatting sqref="G20:G32 G34:G70">
    <cfRule type="cellIs" dxfId="119" priority="32" operator="equal">
      <formula>TRUE</formula>
    </cfRule>
  </conditionalFormatting>
  <conditionalFormatting sqref="G262">
    <cfRule type="cellIs" dxfId="118" priority="31" operator="equal">
      <formula>TRUE</formula>
    </cfRule>
  </conditionalFormatting>
  <conditionalFormatting sqref="G263">
    <cfRule type="cellIs" dxfId="117" priority="30" operator="equal">
      <formula>TRUE</formula>
    </cfRule>
  </conditionalFormatting>
  <conditionalFormatting sqref="G298">
    <cfRule type="cellIs" dxfId="116" priority="29" operator="equal">
      <formula>TRUE</formula>
    </cfRule>
  </conditionalFormatting>
  <conditionalFormatting sqref="G299">
    <cfRule type="cellIs" dxfId="115" priority="28" operator="equal">
      <formula>TRUE</formula>
    </cfRule>
  </conditionalFormatting>
  <conditionalFormatting sqref="G321">
    <cfRule type="cellIs" dxfId="114" priority="27" operator="equal">
      <formula>TRUE</formula>
    </cfRule>
  </conditionalFormatting>
  <conditionalFormatting sqref="G99">
    <cfRule type="cellIs" dxfId="113" priority="26" operator="equal">
      <formula>TRUE</formula>
    </cfRule>
  </conditionalFormatting>
  <conditionalFormatting sqref="G100">
    <cfRule type="cellIs" dxfId="112" priority="25" operator="equal">
      <formula>TRUE</formula>
    </cfRule>
  </conditionalFormatting>
  <conditionalFormatting sqref="G102">
    <cfRule type="cellIs" dxfId="111" priority="24" operator="equal">
      <formula>TRUE</formula>
    </cfRule>
  </conditionalFormatting>
  <conditionalFormatting sqref="G103">
    <cfRule type="cellIs" dxfId="110" priority="23" operator="equal">
      <formula>TRUE</formula>
    </cfRule>
  </conditionalFormatting>
  <conditionalFormatting sqref="G105">
    <cfRule type="cellIs" dxfId="109" priority="22" operator="equal">
      <formula>TRUE</formula>
    </cfRule>
  </conditionalFormatting>
  <conditionalFormatting sqref="G193">
    <cfRule type="cellIs" dxfId="108" priority="21" operator="equal">
      <formula>TRUE</formula>
    </cfRule>
  </conditionalFormatting>
  <conditionalFormatting sqref="G194">
    <cfRule type="cellIs" dxfId="107" priority="20" operator="equal">
      <formula>TRUE</formula>
    </cfRule>
  </conditionalFormatting>
  <conditionalFormatting sqref="G241">
    <cfRule type="cellIs" dxfId="106" priority="18" operator="equal">
      <formula>TRUE</formula>
    </cfRule>
  </conditionalFormatting>
  <conditionalFormatting sqref="G101">
    <cfRule type="cellIs" dxfId="105" priority="17" operator="equal">
      <formula>TRUE</formula>
    </cfRule>
  </conditionalFormatting>
  <conditionalFormatting sqref="G106">
    <cfRule type="cellIs" dxfId="104" priority="16" operator="equal">
      <formula>TRUE</formula>
    </cfRule>
  </conditionalFormatting>
  <conditionalFormatting sqref="G149">
    <cfRule type="cellIs" dxfId="103" priority="15" operator="equal">
      <formula>TRUE</formula>
    </cfRule>
  </conditionalFormatting>
  <conditionalFormatting sqref="G150">
    <cfRule type="cellIs" dxfId="102" priority="14" operator="equal">
      <formula>TRUE</formula>
    </cfRule>
  </conditionalFormatting>
  <conditionalFormatting sqref="G151">
    <cfRule type="cellIs" dxfId="101" priority="13" operator="equal">
      <formula>TRUE</formula>
    </cfRule>
  </conditionalFormatting>
  <conditionalFormatting sqref="G152">
    <cfRule type="cellIs" dxfId="100" priority="12" operator="equal">
      <formula>TRUE</formula>
    </cfRule>
  </conditionalFormatting>
  <conditionalFormatting sqref="G153">
    <cfRule type="cellIs" dxfId="99" priority="11" operator="equal">
      <formula>TRUE</formula>
    </cfRule>
  </conditionalFormatting>
  <conditionalFormatting sqref="G154">
    <cfRule type="cellIs" dxfId="98" priority="10" operator="equal">
      <formula>TRUE</formula>
    </cfRule>
  </conditionalFormatting>
  <conditionalFormatting sqref="G155">
    <cfRule type="cellIs" dxfId="97" priority="9" operator="equal">
      <formula>TRUE</formula>
    </cfRule>
  </conditionalFormatting>
  <conditionalFormatting sqref="G203">
    <cfRule type="cellIs" dxfId="96" priority="8" operator="equal">
      <formula>TRUE</formula>
    </cfRule>
  </conditionalFormatting>
  <conditionalFormatting sqref="G204">
    <cfRule type="cellIs" dxfId="95" priority="7" operator="equal">
      <formula>TRUE</formula>
    </cfRule>
  </conditionalFormatting>
  <conditionalFormatting sqref="G307">
    <cfRule type="cellIs" dxfId="94" priority="6" operator="equal">
      <formula>TRUE</formula>
    </cfRule>
  </conditionalFormatting>
  <conditionalFormatting sqref="G308">
    <cfRule type="cellIs" dxfId="93" priority="5" operator="equal">
      <formula>TRUE</formula>
    </cfRule>
  </conditionalFormatting>
  <conditionalFormatting sqref="G309">
    <cfRule type="cellIs" dxfId="92" priority="4" operator="equal">
      <formula>TRUE</formula>
    </cfRule>
  </conditionalFormatting>
  <conditionalFormatting sqref="G208">
    <cfRule type="cellIs" dxfId="91" priority="3" operator="equal">
      <formula>TRUE</formula>
    </cfRule>
  </conditionalFormatting>
  <conditionalFormatting sqref="G104">
    <cfRule type="cellIs" dxfId="90" priority="2" operator="equal">
      <formula>TRUE</formula>
    </cfRule>
  </conditionalFormatting>
  <conditionalFormatting sqref="G33">
    <cfRule type="cellIs" dxfId="89" priority="1" operator="equal">
      <formula>TRUE</formula>
    </cfRule>
  </conditionalFormatting>
  <pageMargins left="0.7" right="0.7" top="0.75" bottom="0.75" header="0.3" footer="0.3"/>
  <ignoredErrors>
    <ignoredError sqref="F207 F71 F19" evalError="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6C2DF-C732-4D48-A9F2-56477C6BCD2F}">
  <sheetPr codeName="Blad17">
    <tabColor rgb="FFCCFFCC"/>
  </sheetPr>
  <dimension ref="A1:G25"/>
  <sheetViews>
    <sheetView topLeftCell="E11" workbookViewId="0">
      <selection activeCell="A19" sqref="A19"/>
    </sheetView>
  </sheetViews>
  <sheetFormatPr defaultRowHeight="12.75"/>
  <cols>
    <col min="1" max="3" width="18.28515625" hidden="1" customWidth="1" collapsed="1"/>
    <col min="4" max="4" width="23.5703125" hidden="1" customWidth="1" collapsed="1"/>
    <col min="5" max="5" width="75.85546875" bestFit="1" customWidth="1" collapsed="1"/>
    <col min="6" max="6" width="24.140625" customWidth="1" collapsed="1"/>
    <col min="7" max="7" width="26.85546875" bestFit="1" customWidth="1" collapsed="1"/>
  </cols>
  <sheetData>
    <row r="1" spans="1:7" hidden="1">
      <c r="A1" s="175" t="s">
        <v>113</v>
      </c>
      <c r="B1" s="175" t="s">
        <v>114</v>
      </c>
      <c r="C1" s="175" t="s">
        <v>114</v>
      </c>
      <c r="D1" s="175" t="s">
        <v>114</v>
      </c>
      <c r="F1" s="175"/>
    </row>
    <row r="2" spans="1:7" hidden="1">
      <c r="A2" s="175" t="s">
        <v>113</v>
      </c>
      <c r="B2" s="185" t="s">
        <v>115</v>
      </c>
      <c r="C2" s="185" t="s">
        <v>290</v>
      </c>
      <c r="D2" s="185"/>
    </row>
    <row r="3" spans="1:7" hidden="1">
      <c r="A3" s="175" t="s">
        <v>113</v>
      </c>
      <c r="B3" s="186" t="s">
        <v>116</v>
      </c>
      <c r="C3" s="186" t="s">
        <v>117</v>
      </c>
      <c r="D3" s="186" t="s">
        <v>118</v>
      </c>
    </row>
    <row r="4" spans="1:7" hidden="1">
      <c r="A4" s="175" t="s">
        <v>113</v>
      </c>
      <c r="B4" s="185" t="s">
        <v>90</v>
      </c>
      <c r="C4" s="185" t="s">
        <v>124</v>
      </c>
      <c r="D4" s="187"/>
    </row>
    <row r="5" spans="1:7" hidden="1">
      <c r="A5" s="175" t="s">
        <v>113</v>
      </c>
      <c r="B5" s="185" t="s">
        <v>91</v>
      </c>
      <c r="C5" s="185" t="s">
        <v>124</v>
      </c>
      <c r="D5" s="187"/>
    </row>
    <row r="6" spans="1:7" hidden="1">
      <c r="A6" s="175" t="s">
        <v>113</v>
      </c>
      <c r="B6" s="185" t="s">
        <v>86</v>
      </c>
      <c r="C6" s="185" t="s">
        <v>122</v>
      </c>
      <c r="D6" s="185"/>
    </row>
    <row r="7" spans="1:7" hidden="1">
      <c r="A7" s="175" t="s">
        <v>113</v>
      </c>
      <c r="B7" s="185" t="s">
        <v>120</v>
      </c>
      <c r="C7" s="185" t="s">
        <v>119</v>
      </c>
      <c r="D7" s="185" t="s">
        <v>125</v>
      </c>
    </row>
    <row r="8" spans="1:7" hidden="1">
      <c r="A8" s="175" t="s">
        <v>113</v>
      </c>
      <c r="B8" s="185" t="s">
        <v>92</v>
      </c>
      <c r="C8" s="185" t="s">
        <v>119</v>
      </c>
      <c r="D8" s="185" t="s">
        <v>170</v>
      </c>
    </row>
    <row r="9" spans="1:7" hidden="1">
      <c r="A9" s="175" t="s">
        <v>113</v>
      </c>
      <c r="B9" s="185" t="s">
        <v>121</v>
      </c>
      <c r="C9" s="185" t="s">
        <v>119</v>
      </c>
      <c r="D9" s="185" t="s">
        <v>227</v>
      </c>
    </row>
    <row r="10" spans="1:7" hidden="1">
      <c r="A10" s="175" t="s">
        <v>113</v>
      </c>
      <c r="B10" s="185" t="s">
        <v>123</v>
      </c>
      <c r="C10" s="185" t="s">
        <v>119</v>
      </c>
      <c r="D10" s="185" t="s">
        <v>126</v>
      </c>
    </row>
    <row r="11" spans="1:7" ht="18.75">
      <c r="A11" s="175" t="s">
        <v>114</v>
      </c>
      <c r="B11" s="59"/>
      <c r="C11" s="59"/>
      <c r="D11" s="59"/>
      <c r="E11" s="60" t="s">
        <v>293</v>
      </c>
      <c r="F11" s="64"/>
    </row>
    <row r="12" spans="1:7" ht="15.75">
      <c r="E12" s="61" t="s">
        <v>67</v>
      </c>
      <c r="F12" s="65" t="str">
        <f>$F$16&amp;$F$17</f>
        <v>2021Q2</v>
      </c>
    </row>
    <row r="13" spans="1:7" ht="15.75">
      <c r="E13" s="61"/>
      <c r="F13" s="65"/>
    </row>
    <row r="14" spans="1:7">
      <c r="E14" s="52" t="s">
        <v>295</v>
      </c>
      <c r="F14" s="47">
        <f>COUNT($F19:$F26)</f>
        <v>3</v>
      </c>
      <c r="G14" s="178" t="b">
        <f>$F$14=COUNTIF('Overview MP Life'!$AK$10:$AK$409,18)</f>
        <v>1</v>
      </c>
    </row>
    <row r="15" spans="1:7" ht="15.75">
      <c r="E15" s="61"/>
      <c r="F15" s="65"/>
    </row>
    <row r="16" spans="1:7" ht="15.75" hidden="1">
      <c r="A16" s="175" t="s">
        <v>113</v>
      </c>
      <c r="D16" s="187"/>
      <c r="E16" s="61"/>
      <c r="F16" s="65">
        <f>Selectie!$C$2</f>
        <v>2021</v>
      </c>
      <c r="G16" s="65"/>
    </row>
    <row r="17" spans="1:7" ht="15.75" hidden="1">
      <c r="A17" s="175" t="s">
        <v>113</v>
      </c>
      <c r="D17" s="187"/>
      <c r="F17" s="176" t="str">
        <f>Selectie!$C$3</f>
        <v>Q2</v>
      </c>
    </row>
    <row r="18" spans="1:7">
      <c r="E18" s="52" t="s">
        <v>296</v>
      </c>
      <c r="F18" s="52" t="s">
        <v>239</v>
      </c>
      <c r="G18" s="52" t="s">
        <v>240</v>
      </c>
    </row>
    <row r="19" spans="1:7">
      <c r="A19" s="175"/>
      <c r="D19" s="187"/>
      <c r="E19" s="52" t="s">
        <v>291</v>
      </c>
      <c r="F19" s="47" t="e">
        <f t="shared" ref="F19:F25" si="0">VLOOKUP($E19,Modelpuntoverzicht,37,FALSE)</f>
        <v>#N/A</v>
      </c>
      <c r="G19" s="178" t="e">
        <f>F19=18</f>
        <v>#N/A</v>
      </c>
    </row>
    <row r="20" spans="1:7">
      <c r="A20" s="175"/>
      <c r="D20" s="187"/>
      <c r="E20" s="52" t="s">
        <v>444</v>
      </c>
      <c r="F20" s="47">
        <f t="shared" si="0"/>
        <v>18</v>
      </c>
      <c r="G20" s="178" t="b">
        <f t="shared" ref="G20:G25" si="1">F20=18</f>
        <v>1</v>
      </c>
    </row>
    <row r="21" spans="1:7">
      <c r="A21" s="175"/>
      <c r="D21" s="187"/>
      <c r="E21" s="52" t="s">
        <v>1070</v>
      </c>
      <c r="F21" s="47">
        <f t="shared" si="0"/>
        <v>18</v>
      </c>
      <c r="G21" s="178" t="b">
        <f>F21=18</f>
        <v>1</v>
      </c>
    </row>
    <row r="22" spans="1:7">
      <c r="A22" s="175"/>
      <c r="D22" s="187"/>
      <c r="E22" s="52" t="s">
        <v>1062</v>
      </c>
      <c r="F22" s="47" t="e">
        <f t="shared" si="0"/>
        <v>#N/A</v>
      </c>
      <c r="G22" s="178" t="e">
        <f t="shared" si="1"/>
        <v>#N/A</v>
      </c>
    </row>
    <row r="23" spans="1:7">
      <c r="A23" s="175"/>
      <c r="D23" s="187"/>
      <c r="E23" s="52" t="s">
        <v>1003</v>
      </c>
      <c r="F23" s="47" t="e">
        <f t="shared" si="0"/>
        <v>#N/A</v>
      </c>
      <c r="G23" s="178" t="e">
        <f t="shared" si="1"/>
        <v>#N/A</v>
      </c>
    </row>
    <row r="24" spans="1:7">
      <c r="A24" s="175"/>
      <c r="D24" s="187"/>
      <c r="E24" s="52" t="s">
        <v>416</v>
      </c>
      <c r="F24" s="47">
        <f t="shared" si="0"/>
        <v>18</v>
      </c>
      <c r="G24" s="178" t="b">
        <f t="shared" si="1"/>
        <v>1</v>
      </c>
    </row>
    <row r="25" spans="1:7">
      <c r="A25" s="175"/>
      <c r="D25" s="187"/>
      <c r="E25" s="52" t="s">
        <v>417</v>
      </c>
      <c r="F25" s="47" t="e">
        <f t="shared" si="0"/>
        <v>#N/A</v>
      </c>
      <c r="G25" s="178" t="e">
        <f t="shared" si="1"/>
        <v>#N/A</v>
      </c>
    </row>
  </sheetData>
  <sheetProtection algorithmName="SHA-512" hashValue="qicz+AkWwndL3BEa+//yqnSpZs0axvj3CGB1MLqiOundNrIYURPiSniwM+ZoaevNpLTFgywy8tA4Bp6s+KFn4A==" saltValue="+YHvQQzYJNUztEQXVqwAnQ==" spinCount="100000" sheet="1" objects="1" scenarios="1" formatColumns="0" formatRows="0"/>
  <conditionalFormatting sqref="G14">
    <cfRule type="cellIs" dxfId="88" priority="25" operator="equal">
      <formula>TRUE</formula>
    </cfRule>
  </conditionalFormatting>
  <conditionalFormatting sqref="G19">
    <cfRule type="cellIs" dxfId="87" priority="24" operator="equal">
      <formula>TRUE</formula>
    </cfRule>
  </conditionalFormatting>
  <conditionalFormatting sqref="G20 G22:G25">
    <cfRule type="cellIs" dxfId="86" priority="3" operator="equal">
      <formula>TRUE</formula>
    </cfRule>
  </conditionalFormatting>
  <conditionalFormatting sqref="G21">
    <cfRule type="cellIs" dxfId="85" priority="1" operator="equal">
      <formula>TRUE</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8002-3589-4BB0-AA72-C81918AF49F7}">
  <sheetPr codeName="Blad15">
    <tabColor rgb="FFCCFFCC"/>
  </sheetPr>
  <dimension ref="A1:H380"/>
  <sheetViews>
    <sheetView topLeftCell="E11" workbookViewId="0">
      <selection activeCell="J35" sqref="J35"/>
    </sheetView>
  </sheetViews>
  <sheetFormatPr defaultRowHeight="12.75"/>
  <cols>
    <col min="1" max="2" width="18.28515625" hidden="1" customWidth="1" collapsed="1"/>
    <col min="3" max="3" width="20.42578125" hidden="1" customWidth="1" collapsed="1"/>
    <col min="4" max="4" width="23.5703125" hidden="1" customWidth="1" collapsed="1"/>
    <col min="5" max="5" width="75.85546875" bestFit="1" customWidth="1" collapsed="1"/>
    <col min="6" max="6" width="24.140625" customWidth="1" collapsed="1"/>
    <col min="7" max="7" width="26" customWidth="1" collapsed="1"/>
  </cols>
  <sheetData>
    <row r="1" spans="1:7" hidden="1">
      <c r="A1" s="175" t="s">
        <v>113</v>
      </c>
      <c r="B1" s="175" t="s">
        <v>114</v>
      </c>
      <c r="C1" s="175" t="s">
        <v>114</v>
      </c>
      <c r="D1" s="175" t="s">
        <v>114</v>
      </c>
      <c r="F1" s="175"/>
    </row>
    <row r="2" spans="1:7" hidden="1">
      <c r="A2" s="175" t="s">
        <v>113</v>
      </c>
      <c r="B2" s="188" t="s">
        <v>115</v>
      </c>
      <c r="C2" s="188" t="s">
        <v>292</v>
      </c>
      <c r="D2" s="188"/>
    </row>
    <row r="3" spans="1:7" hidden="1">
      <c r="A3" s="175" t="s">
        <v>113</v>
      </c>
      <c r="B3" s="189" t="s">
        <v>116</v>
      </c>
      <c r="C3" s="189" t="s">
        <v>117</v>
      </c>
      <c r="D3" s="189" t="s">
        <v>118</v>
      </c>
    </row>
    <row r="4" spans="1:7" hidden="1">
      <c r="A4" s="175" t="s">
        <v>113</v>
      </c>
      <c r="B4" s="188" t="s">
        <v>90</v>
      </c>
      <c r="C4" s="188" t="s">
        <v>124</v>
      </c>
      <c r="D4" s="190"/>
    </row>
    <row r="5" spans="1:7" hidden="1">
      <c r="A5" s="175" t="s">
        <v>113</v>
      </c>
      <c r="B5" s="188" t="s">
        <v>91</v>
      </c>
      <c r="C5" s="188" t="s">
        <v>124</v>
      </c>
      <c r="D5" s="190"/>
    </row>
    <row r="6" spans="1:7" hidden="1">
      <c r="A6" s="175" t="s">
        <v>113</v>
      </c>
      <c r="B6" s="188" t="s">
        <v>86</v>
      </c>
      <c r="C6" s="188" t="s">
        <v>122</v>
      </c>
      <c r="D6" s="188"/>
    </row>
    <row r="7" spans="1:7" hidden="1">
      <c r="A7" s="175" t="s">
        <v>113</v>
      </c>
      <c r="B7" s="188" t="s">
        <v>120</v>
      </c>
      <c r="C7" s="188" t="s">
        <v>119</v>
      </c>
      <c r="D7" s="188" t="s">
        <v>125</v>
      </c>
    </row>
    <row r="8" spans="1:7" hidden="1">
      <c r="A8" s="175" t="s">
        <v>113</v>
      </c>
      <c r="B8" s="188" t="s">
        <v>92</v>
      </c>
      <c r="C8" s="188" t="s">
        <v>119</v>
      </c>
      <c r="D8" s="188" t="s">
        <v>170</v>
      </c>
    </row>
    <row r="9" spans="1:7" hidden="1">
      <c r="A9" s="175" t="s">
        <v>113</v>
      </c>
      <c r="B9" s="188" t="s">
        <v>121</v>
      </c>
      <c r="C9" s="188" t="s">
        <v>119</v>
      </c>
      <c r="D9" s="188" t="s">
        <v>227</v>
      </c>
    </row>
    <row r="10" spans="1:7" hidden="1">
      <c r="A10" s="175" t="s">
        <v>113</v>
      </c>
      <c r="B10" s="188" t="s">
        <v>123</v>
      </c>
      <c r="C10" s="188" t="s">
        <v>119</v>
      </c>
      <c r="D10" s="188" t="s">
        <v>126</v>
      </c>
    </row>
    <row r="11" spans="1:7" ht="18.75">
      <c r="A11" s="175" t="s">
        <v>114</v>
      </c>
      <c r="B11" s="59"/>
      <c r="C11" s="59"/>
      <c r="D11" s="59"/>
      <c r="E11" s="60" t="s">
        <v>294</v>
      </c>
      <c r="F11" s="64"/>
    </row>
    <row r="12" spans="1:7" ht="15.75">
      <c r="E12" s="61" t="s">
        <v>67</v>
      </c>
      <c r="F12" s="65" t="str">
        <f>$F$21&amp;$F$22</f>
        <v>2021Q2</v>
      </c>
    </row>
    <row r="13" spans="1:7" ht="15.75">
      <c r="E13" s="61"/>
      <c r="F13" s="65"/>
    </row>
    <row r="14" spans="1:7">
      <c r="E14" s="52" t="s">
        <v>303</v>
      </c>
      <c r="F14" s="47">
        <f>COUNTIF($H24:$H381,TRUE)</f>
        <v>242</v>
      </c>
      <c r="G14" s="178" t="b">
        <f>$F$14='Overview MP Life'!$B$5</f>
        <v>1</v>
      </c>
    </row>
    <row r="15" spans="1:7" ht="15.75">
      <c r="E15" s="61"/>
      <c r="F15" s="65"/>
    </row>
    <row r="16" spans="1:7" ht="15.75">
      <c r="A16" s="175"/>
      <c r="E16" s="52" t="s">
        <v>274</v>
      </c>
      <c r="F16" s="65"/>
    </row>
    <row r="17" spans="1:8">
      <c r="A17" s="175"/>
      <c r="E17" s="191">
        <v>10</v>
      </c>
      <c r="F17" s="47" t="s">
        <v>304</v>
      </c>
    </row>
    <row r="18" spans="1:8">
      <c r="A18" s="175"/>
      <c r="E18" s="191">
        <v>20</v>
      </c>
      <c r="F18" s="47" t="s">
        <v>305</v>
      </c>
    </row>
    <row r="19" spans="1:8">
      <c r="A19" s="175"/>
      <c r="E19" s="191">
        <v>21</v>
      </c>
      <c r="F19" s="47" t="s">
        <v>306</v>
      </c>
    </row>
    <row r="20" spans="1:8">
      <c r="A20" s="175"/>
      <c r="E20" s="191">
        <v>30</v>
      </c>
      <c r="F20" s="47" t="s">
        <v>970</v>
      </c>
    </row>
    <row r="21" spans="1:8" ht="15.75" hidden="1">
      <c r="A21" s="175" t="s">
        <v>113</v>
      </c>
      <c r="D21" s="190"/>
      <c r="E21" s="61"/>
      <c r="F21" s="65">
        <f>Selectie!$C$2</f>
        <v>2021</v>
      </c>
    </row>
    <row r="22" spans="1:8" ht="15.75" hidden="1">
      <c r="A22" s="175" t="s">
        <v>113</v>
      </c>
      <c r="D22" s="190"/>
      <c r="F22" s="176" t="str">
        <f>Selectie!$C$3</f>
        <v>Q2</v>
      </c>
    </row>
    <row r="23" spans="1:8">
      <c r="E23" s="52" t="s">
        <v>302</v>
      </c>
      <c r="F23" s="52" t="s">
        <v>307</v>
      </c>
      <c r="G23" s="52" t="s">
        <v>308</v>
      </c>
      <c r="H23" s="52" t="s">
        <v>240</v>
      </c>
    </row>
    <row r="24" spans="1:8">
      <c r="A24" s="175"/>
      <c r="D24" s="190"/>
      <c r="E24" s="52" t="s">
        <v>297</v>
      </c>
      <c r="F24" s="47" t="e">
        <f t="shared" ref="F24:F88" si="0">VLOOKUP($E24,Modelpuntoverzicht,9,FALSE)</f>
        <v>#N/A</v>
      </c>
      <c r="G24" s="47" t="e">
        <f t="shared" ref="G24:G88" si="1">VLOOKUP($E24,Modelpuntoverzicht,11,FALSE)</f>
        <v>#N/A</v>
      </c>
      <c r="H24" s="178" t="e">
        <f>MID($E$24,15,2)=VLOOKUP(_xlfn.NUMBERVALUE($F24&amp;$G24),$E$17:$F$20,2,FALSE)</f>
        <v>#N/A</v>
      </c>
    </row>
    <row r="25" spans="1:8">
      <c r="A25" s="175"/>
      <c r="D25" s="190"/>
      <c r="E25" s="52" t="s">
        <v>418</v>
      </c>
      <c r="F25" s="47">
        <f t="shared" si="0"/>
        <v>1</v>
      </c>
      <c r="G25" s="47">
        <f t="shared" si="1"/>
        <v>0</v>
      </c>
      <c r="H25" s="178" t="b">
        <f t="shared" ref="H25:H89" si="2">MID($E$24,15,2)=VLOOKUP(_xlfn.NUMBERVALUE($F25&amp;$G25),$E$17:$F$20,2,FALSE)</f>
        <v>1</v>
      </c>
    </row>
    <row r="26" spans="1:8">
      <c r="A26" s="175"/>
      <c r="D26" s="190"/>
      <c r="E26" s="52" t="s">
        <v>419</v>
      </c>
      <c r="F26" s="47">
        <f t="shared" si="0"/>
        <v>1</v>
      </c>
      <c r="G26" s="47">
        <f t="shared" si="1"/>
        <v>0</v>
      </c>
      <c r="H26" s="178" t="b">
        <f t="shared" si="2"/>
        <v>1</v>
      </c>
    </row>
    <row r="27" spans="1:8">
      <c r="A27" s="175"/>
      <c r="D27" s="190"/>
      <c r="E27" s="52" t="s">
        <v>420</v>
      </c>
      <c r="F27" s="47">
        <f t="shared" si="0"/>
        <v>1</v>
      </c>
      <c r="G27" s="47">
        <f t="shared" si="1"/>
        <v>0</v>
      </c>
      <c r="H27" s="178" t="b">
        <f t="shared" si="2"/>
        <v>1</v>
      </c>
    </row>
    <row r="28" spans="1:8">
      <c r="A28" s="175"/>
      <c r="D28" s="190"/>
      <c r="E28" s="52" t="s">
        <v>421</v>
      </c>
      <c r="F28" s="47">
        <f t="shared" si="0"/>
        <v>1</v>
      </c>
      <c r="G28" s="47">
        <f t="shared" si="1"/>
        <v>0</v>
      </c>
      <c r="H28" s="178" t="b">
        <f t="shared" si="2"/>
        <v>1</v>
      </c>
    </row>
    <row r="29" spans="1:8">
      <c r="A29" s="175"/>
      <c r="D29" s="190"/>
      <c r="E29" s="52" t="s">
        <v>422</v>
      </c>
      <c r="F29" s="47">
        <f t="shared" si="0"/>
        <v>1</v>
      </c>
      <c r="G29" s="47">
        <f t="shared" si="1"/>
        <v>0</v>
      </c>
      <c r="H29" s="178" t="b">
        <f t="shared" si="2"/>
        <v>1</v>
      </c>
    </row>
    <row r="30" spans="1:8">
      <c r="A30" s="175"/>
      <c r="D30" s="190"/>
      <c r="E30" s="52" t="s">
        <v>423</v>
      </c>
      <c r="F30" s="47">
        <f t="shared" si="0"/>
        <v>1</v>
      </c>
      <c r="G30" s="47">
        <f t="shared" si="1"/>
        <v>0</v>
      </c>
      <c r="H30" s="178" t="b">
        <f t="shared" si="2"/>
        <v>1</v>
      </c>
    </row>
    <row r="31" spans="1:8">
      <c r="A31" s="175"/>
      <c r="D31" s="190"/>
      <c r="E31" s="52" t="s">
        <v>424</v>
      </c>
      <c r="F31" s="47">
        <f t="shared" si="0"/>
        <v>1</v>
      </c>
      <c r="G31" s="47">
        <f t="shared" si="1"/>
        <v>0</v>
      </c>
      <c r="H31" s="178" t="b">
        <f t="shared" si="2"/>
        <v>1</v>
      </c>
    </row>
    <row r="32" spans="1:8">
      <c r="A32" s="175"/>
      <c r="D32" s="190"/>
      <c r="E32" s="52" t="s">
        <v>425</v>
      </c>
      <c r="F32" s="47">
        <f t="shared" si="0"/>
        <v>1</v>
      </c>
      <c r="G32" s="47">
        <f t="shared" si="1"/>
        <v>0</v>
      </c>
      <c r="H32" s="178" t="b">
        <f t="shared" si="2"/>
        <v>1</v>
      </c>
    </row>
    <row r="33" spans="1:8">
      <c r="A33" s="175"/>
      <c r="D33" s="190"/>
      <c r="E33" s="52" t="s">
        <v>426</v>
      </c>
      <c r="F33" s="47">
        <f t="shared" si="0"/>
        <v>1</v>
      </c>
      <c r="G33" s="47">
        <f t="shared" si="1"/>
        <v>0</v>
      </c>
      <c r="H33" s="178" t="b">
        <f t="shared" si="2"/>
        <v>1</v>
      </c>
    </row>
    <row r="34" spans="1:8">
      <c r="A34" s="175"/>
      <c r="D34" s="190"/>
      <c r="E34" s="52" t="s">
        <v>427</v>
      </c>
      <c r="F34" s="47">
        <f t="shared" si="0"/>
        <v>1</v>
      </c>
      <c r="G34" s="47">
        <f t="shared" si="1"/>
        <v>0</v>
      </c>
      <c r="H34" s="178" t="b">
        <f t="shared" si="2"/>
        <v>1</v>
      </c>
    </row>
    <row r="35" spans="1:8">
      <c r="A35" s="175"/>
      <c r="D35" s="190"/>
      <c r="E35" s="52" t="s">
        <v>428</v>
      </c>
      <c r="F35" s="47">
        <f t="shared" si="0"/>
        <v>1</v>
      </c>
      <c r="G35" s="47">
        <f t="shared" si="1"/>
        <v>0</v>
      </c>
      <c r="H35" s="178" t="b">
        <f t="shared" si="2"/>
        <v>1</v>
      </c>
    </row>
    <row r="36" spans="1:8">
      <c r="A36" s="175"/>
      <c r="D36" s="190"/>
      <c r="E36" s="52" t="s">
        <v>429</v>
      </c>
      <c r="F36" s="47">
        <f t="shared" si="0"/>
        <v>1</v>
      </c>
      <c r="G36" s="47">
        <f t="shared" si="1"/>
        <v>0</v>
      </c>
      <c r="H36" s="178" t="b">
        <f t="shared" si="2"/>
        <v>1</v>
      </c>
    </row>
    <row r="37" spans="1:8">
      <c r="A37" s="175"/>
      <c r="D37" s="190"/>
      <c r="E37" s="52" t="s">
        <v>430</v>
      </c>
      <c r="F37" s="47">
        <f t="shared" si="0"/>
        <v>1</v>
      </c>
      <c r="G37" s="47">
        <f t="shared" si="1"/>
        <v>0</v>
      </c>
      <c r="H37" s="178" t="b">
        <f t="shared" si="2"/>
        <v>1</v>
      </c>
    </row>
    <row r="38" spans="1:8">
      <c r="A38" s="175"/>
      <c r="D38" s="190"/>
      <c r="E38" s="52" t="s">
        <v>431</v>
      </c>
      <c r="F38" s="47">
        <f t="shared" si="0"/>
        <v>1</v>
      </c>
      <c r="G38" s="47">
        <f t="shared" si="1"/>
        <v>0</v>
      </c>
      <c r="H38" s="178" t="b">
        <f t="shared" si="2"/>
        <v>1</v>
      </c>
    </row>
    <row r="39" spans="1:8">
      <c r="A39" s="175"/>
      <c r="D39" s="190"/>
      <c r="E39" s="52" t="s">
        <v>432</v>
      </c>
      <c r="F39" s="47">
        <f t="shared" si="0"/>
        <v>1</v>
      </c>
      <c r="G39" s="47">
        <f t="shared" si="1"/>
        <v>0</v>
      </c>
      <c r="H39" s="178" t="b">
        <f t="shared" si="2"/>
        <v>1</v>
      </c>
    </row>
    <row r="40" spans="1:8">
      <c r="A40" s="175"/>
      <c r="D40" s="190"/>
      <c r="E40" s="52" t="s">
        <v>433</v>
      </c>
      <c r="F40" s="47">
        <f t="shared" si="0"/>
        <v>1</v>
      </c>
      <c r="G40" s="47">
        <f t="shared" si="1"/>
        <v>0</v>
      </c>
      <c r="H40" s="178" t="b">
        <f t="shared" si="2"/>
        <v>1</v>
      </c>
    </row>
    <row r="41" spans="1:8">
      <c r="A41" s="175"/>
      <c r="D41" s="190"/>
      <c r="E41" s="52" t="s">
        <v>434</v>
      </c>
      <c r="F41" s="47">
        <f t="shared" si="0"/>
        <v>1</v>
      </c>
      <c r="G41" s="47">
        <f t="shared" si="1"/>
        <v>0</v>
      </c>
      <c r="H41" s="178" t="b">
        <f t="shared" si="2"/>
        <v>1</v>
      </c>
    </row>
    <row r="42" spans="1:8">
      <c r="A42" s="175"/>
      <c r="D42" s="190"/>
      <c r="E42" s="52" t="s">
        <v>435</v>
      </c>
      <c r="F42" s="47">
        <f t="shared" si="0"/>
        <v>1</v>
      </c>
      <c r="G42" s="47">
        <f t="shared" si="1"/>
        <v>0</v>
      </c>
      <c r="H42" s="178" t="b">
        <f t="shared" si="2"/>
        <v>1</v>
      </c>
    </row>
    <row r="43" spans="1:8">
      <c r="A43" s="175"/>
      <c r="D43" s="190"/>
      <c r="E43" s="52" t="s">
        <v>436</v>
      </c>
      <c r="F43" s="47">
        <f t="shared" si="0"/>
        <v>1</v>
      </c>
      <c r="G43" s="47">
        <f t="shared" si="1"/>
        <v>0</v>
      </c>
      <c r="H43" s="178" t="b">
        <f t="shared" si="2"/>
        <v>1</v>
      </c>
    </row>
    <row r="44" spans="1:8">
      <c r="A44" s="175"/>
      <c r="D44" s="190"/>
      <c r="E44" s="52" t="s">
        <v>437</v>
      </c>
      <c r="F44" s="47">
        <f t="shared" si="0"/>
        <v>1</v>
      </c>
      <c r="G44" s="47">
        <f t="shared" si="1"/>
        <v>0</v>
      </c>
      <c r="H44" s="178" t="b">
        <f t="shared" si="2"/>
        <v>1</v>
      </c>
    </row>
    <row r="45" spans="1:8">
      <c r="A45" s="175"/>
      <c r="D45" s="190"/>
      <c r="E45" s="52" t="s">
        <v>438</v>
      </c>
      <c r="F45" s="47">
        <f t="shared" si="0"/>
        <v>1</v>
      </c>
      <c r="G45" s="47">
        <f t="shared" si="1"/>
        <v>0</v>
      </c>
      <c r="H45" s="178" t="b">
        <f t="shared" si="2"/>
        <v>1</v>
      </c>
    </row>
    <row r="46" spans="1:8">
      <c r="A46" s="175"/>
      <c r="D46" s="190"/>
      <c r="E46" s="52" t="s">
        <v>439</v>
      </c>
      <c r="F46" s="47">
        <f t="shared" si="0"/>
        <v>1</v>
      </c>
      <c r="G46" s="47">
        <f t="shared" si="1"/>
        <v>0</v>
      </c>
      <c r="H46" s="178" t="b">
        <f t="shared" si="2"/>
        <v>1</v>
      </c>
    </row>
    <row r="47" spans="1:8">
      <c r="A47" s="175"/>
      <c r="D47" s="190"/>
      <c r="E47" s="52" t="s">
        <v>440</v>
      </c>
      <c r="F47" s="47">
        <f t="shared" si="0"/>
        <v>1</v>
      </c>
      <c r="G47" s="47">
        <f t="shared" si="1"/>
        <v>0</v>
      </c>
      <c r="H47" s="178" t="b">
        <f t="shared" si="2"/>
        <v>1</v>
      </c>
    </row>
    <row r="48" spans="1:8">
      <c r="A48" s="175"/>
      <c r="D48" s="190"/>
      <c r="E48" s="52" t="s">
        <v>441</v>
      </c>
      <c r="F48" s="47">
        <f t="shared" si="0"/>
        <v>1</v>
      </c>
      <c r="G48" s="47">
        <f t="shared" si="1"/>
        <v>0</v>
      </c>
      <c r="H48" s="178" t="b">
        <f t="shared" si="2"/>
        <v>1</v>
      </c>
    </row>
    <row r="49" spans="1:8">
      <c r="A49" s="175"/>
      <c r="D49" s="190"/>
      <c r="E49" s="52" t="s">
        <v>442</v>
      </c>
      <c r="F49" s="47">
        <f t="shared" si="0"/>
        <v>1</v>
      </c>
      <c r="G49" s="47">
        <f t="shared" si="1"/>
        <v>0</v>
      </c>
      <c r="H49" s="178" t="b">
        <f t="shared" si="2"/>
        <v>1</v>
      </c>
    </row>
    <row r="50" spans="1:8">
      <c r="A50" s="175"/>
      <c r="D50" s="190"/>
      <c r="E50" s="52" t="s">
        <v>443</v>
      </c>
      <c r="F50" s="47">
        <f t="shared" si="0"/>
        <v>1</v>
      </c>
      <c r="G50" s="47">
        <f t="shared" si="1"/>
        <v>0</v>
      </c>
      <c r="H50" s="178" t="b">
        <f t="shared" si="2"/>
        <v>1</v>
      </c>
    </row>
    <row r="51" spans="1:8">
      <c r="A51" s="175"/>
      <c r="D51" s="190"/>
      <c r="E51" s="52" t="s">
        <v>444</v>
      </c>
      <c r="F51" s="47">
        <f t="shared" si="0"/>
        <v>1</v>
      </c>
      <c r="G51" s="47">
        <f t="shared" si="1"/>
        <v>0</v>
      </c>
      <c r="H51" s="178" t="b">
        <f t="shared" si="2"/>
        <v>1</v>
      </c>
    </row>
    <row r="52" spans="1:8">
      <c r="A52" s="175"/>
      <c r="D52" s="190"/>
      <c r="E52" s="52" t="s">
        <v>1070</v>
      </c>
      <c r="F52" s="47">
        <f t="shared" si="0"/>
        <v>1</v>
      </c>
      <c r="G52" s="47">
        <f t="shared" si="1"/>
        <v>0</v>
      </c>
      <c r="H52" s="178" t="b">
        <f>MID($E$24,15,2)=VLOOKUP(_xlfn.NUMBERVALUE($F52&amp;$G52),$E$17:$F$20,2,FALSE)</f>
        <v>1</v>
      </c>
    </row>
    <row r="53" spans="1:8">
      <c r="A53" s="175"/>
      <c r="D53" s="190"/>
      <c r="E53" s="52" t="s">
        <v>445</v>
      </c>
      <c r="F53" s="47">
        <f t="shared" si="0"/>
        <v>1</v>
      </c>
      <c r="G53" s="47">
        <f t="shared" si="1"/>
        <v>0</v>
      </c>
      <c r="H53" s="178" t="b">
        <f t="shared" si="2"/>
        <v>1</v>
      </c>
    </row>
    <row r="54" spans="1:8">
      <c r="A54" s="175"/>
      <c r="D54" s="190"/>
      <c r="E54" s="52" t="s">
        <v>446</v>
      </c>
      <c r="F54" s="47">
        <f t="shared" si="0"/>
        <v>1</v>
      </c>
      <c r="G54" s="47">
        <f t="shared" si="1"/>
        <v>0</v>
      </c>
      <c r="H54" s="178" t="b">
        <f t="shared" si="2"/>
        <v>1</v>
      </c>
    </row>
    <row r="55" spans="1:8">
      <c r="A55" s="175"/>
      <c r="D55" s="190"/>
      <c r="E55" s="52" t="s">
        <v>447</v>
      </c>
      <c r="F55" s="47">
        <f t="shared" si="0"/>
        <v>1</v>
      </c>
      <c r="G55" s="47">
        <f t="shared" si="1"/>
        <v>0</v>
      </c>
      <c r="H55" s="178" t="b">
        <f t="shared" si="2"/>
        <v>1</v>
      </c>
    </row>
    <row r="56" spans="1:8">
      <c r="A56" s="175"/>
      <c r="D56" s="190"/>
      <c r="E56" s="52" t="s">
        <v>448</v>
      </c>
      <c r="F56" s="47">
        <f t="shared" si="0"/>
        <v>1</v>
      </c>
      <c r="G56" s="47">
        <f t="shared" si="1"/>
        <v>0</v>
      </c>
      <c r="H56" s="178" t="b">
        <f t="shared" si="2"/>
        <v>1</v>
      </c>
    </row>
    <row r="57" spans="1:8">
      <c r="A57" s="175"/>
      <c r="D57" s="190"/>
      <c r="E57" s="52" t="s">
        <v>449</v>
      </c>
      <c r="F57" s="47">
        <f t="shared" si="0"/>
        <v>1</v>
      </c>
      <c r="G57" s="47">
        <f t="shared" si="1"/>
        <v>0</v>
      </c>
      <c r="H57" s="178" t="b">
        <f t="shared" si="2"/>
        <v>1</v>
      </c>
    </row>
    <row r="58" spans="1:8">
      <c r="A58" s="175"/>
      <c r="D58" s="190"/>
      <c r="E58" s="52" t="s">
        <v>450</v>
      </c>
      <c r="F58" s="47">
        <f t="shared" si="0"/>
        <v>1</v>
      </c>
      <c r="G58" s="47">
        <f t="shared" si="1"/>
        <v>0</v>
      </c>
      <c r="H58" s="178" t="b">
        <f t="shared" si="2"/>
        <v>1</v>
      </c>
    </row>
    <row r="59" spans="1:8">
      <c r="A59" s="175"/>
      <c r="D59" s="190"/>
      <c r="E59" s="52" t="s">
        <v>451</v>
      </c>
      <c r="F59" s="47">
        <f t="shared" si="0"/>
        <v>1</v>
      </c>
      <c r="G59" s="47">
        <f t="shared" si="1"/>
        <v>0</v>
      </c>
      <c r="H59" s="178" t="b">
        <f t="shared" si="2"/>
        <v>1</v>
      </c>
    </row>
    <row r="60" spans="1:8">
      <c r="A60" s="175"/>
      <c r="D60" s="190"/>
      <c r="E60" s="52" t="s">
        <v>452</v>
      </c>
      <c r="F60" s="47">
        <f t="shared" si="0"/>
        <v>1</v>
      </c>
      <c r="G60" s="47">
        <f t="shared" si="1"/>
        <v>0</v>
      </c>
      <c r="H60" s="178" t="b">
        <f t="shared" si="2"/>
        <v>1</v>
      </c>
    </row>
    <row r="61" spans="1:8">
      <c r="A61" s="175"/>
      <c r="D61" s="190"/>
      <c r="E61" s="52" t="s">
        <v>453</v>
      </c>
      <c r="F61" s="47">
        <f t="shared" si="0"/>
        <v>1</v>
      </c>
      <c r="G61" s="47">
        <f t="shared" si="1"/>
        <v>0</v>
      </c>
      <c r="H61" s="178" t="b">
        <f t="shared" si="2"/>
        <v>1</v>
      </c>
    </row>
    <row r="62" spans="1:8">
      <c r="A62" s="175"/>
      <c r="D62" s="190"/>
      <c r="E62" s="52" t="s">
        <v>454</v>
      </c>
      <c r="F62" s="47">
        <f t="shared" si="0"/>
        <v>1</v>
      </c>
      <c r="G62" s="47">
        <f t="shared" si="1"/>
        <v>0</v>
      </c>
      <c r="H62" s="178" t="b">
        <f t="shared" si="2"/>
        <v>1</v>
      </c>
    </row>
    <row r="63" spans="1:8">
      <c r="A63" s="175"/>
      <c r="D63" s="190"/>
      <c r="E63" s="52" t="s">
        <v>455</v>
      </c>
      <c r="F63" s="47">
        <f t="shared" si="0"/>
        <v>1</v>
      </c>
      <c r="G63" s="47">
        <f t="shared" si="1"/>
        <v>0</v>
      </c>
      <c r="H63" s="178" t="b">
        <f t="shared" si="2"/>
        <v>1</v>
      </c>
    </row>
    <row r="64" spans="1:8">
      <c r="A64" s="175"/>
      <c r="D64" s="190"/>
      <c r="E64" s="52" t="s">
        <v>456</v>
      </c>
      <c r="F64" s="47">
        <f t="shared" si="0"/>
        <v>1</v>
      </c>
      <c r="G64" s="47">
        <f t="shared" si="1"/>
        <v>0</v>
      </c>
      <c r="H64" s="178" t="b">
        <f t="shared" si="2"/>
        <v>1</v>
      </c>
    </row>
    <row r="65" spans="1:8">
      <c r="A65" s="175"/>
      <c r="D65" s="190"/>
      <c r="E65" s="52" t="s">
        <v>457</v>
      </c>
      <c r="F65" s="47">
        <f t="shared" si="0"/>
        <v>1</v>
      </c>
      <c r="G65" s="47">
        <f t="shared" si="1"/>
        <v>0</v>
      </c>
      <c r="H65" s="178" t="b">
        <f t="shared" si="2"/>
        <v>1</v>
      </c>
    </row>
    <row r="66" spans="1:8">
      <c r="A66" s="175"/>
      <c r="D66" s="190"/>
      <c r="E66" s="52" t="s">
        <v>354</v>
      </c>
      <c r="F66" s="47">
        <f t="shared" si="0"/>
        <v>1</v>
      </c>
      <c r="G66" s="47">
        <f t="shared" si="1"/>
        <v>0</v>
      </c>
      <c r="H66" s="178" t="b">
        <f t="shared" si="2"/>
        <v>1</v>
      </c>
    </row>
    <row r="67" spans="1:8">
      <c r="A67" s="175"/>
      <c r="D67" s="190"/>
      <c r="E67" s="52" t="s">
        <v>355</v>
      </c>
      <c r="F67" s="47">
        <f t="shared" si="0"/>
        <v>1</v>
      </c>
      <c r="G67" s="47">
        <f t="shared" si="1"/>
        <v>0</v>
      </c>
      <c r="H67" s="178" t="b">
        <f t="shared" si="2"/>
        <v>1</v>
      </c>
    </row>
    <row r="68" spans="1:8">
      <c r="A68" s="175"/>
      <c r="D68" s="190"/>
      <c r="E68" s="52" t="s">
        <v>356</v>
      </c>
      <c r="F68" s="47">
        <f t="shared" si="0"/>
        <v>1</v>
      </c>
      <c r="G68" s="47">
        <f t="shared" si="1"/>
        <v>0</v>
      </c>
      <c r="H68" s="178" t="b">
        <f t="shared" si="2"/>
        <v>1</v>
      </c>
    </row>
    <row r="69" spans="1:8">
      <c r="A69" s="175"/>
      <c r="D69" s="190"/>
      <c r="E69" s="52" t="s">
        <v>357</v>
      </c>
      <c r="F69" s="47">
        <f t="shared" si="0"/>
        <v>1</v>
      </c>
      <c r="G69" s="47">
        <f t="shared" si="1"/>
        <v>0</v>
      </c>
      <c r="H69" s="178" t="b">
        <f t="shared" si="2"/>
        <v>1</v>
      </c>
    </row>
    <row r="70" spans="1:8">
      <c r="A70" s="175"/>
      <c r="D70" s="190"/>
      <c r="E70" s="52" t="s">
        <v>358</v>
      </c>
      <c r="F70" s="47">
        <f t="shared" si="0"/>
        <v>1</v>
      </c>
      <c r="G70" s="47">
        <f t="shared" si="1"/>
        <v>0</v>
      </c>
      <c r="H70" s="178" t="b">
        <f t="shared" si="2"/>
        <v>1</v>
      </c>
    </row>
    <row r="71" spans="1:8">
      <c r="A71" s="175"/>
      <c r="D71" s="190"/>
      <c r="E71" s="52" t="s">
        <v>359</v>
      </c>
      <c r="F71" s="47">
        <f t="shared" si="0"/>
        <v>1</v>
      </c>
      <c r="G71" s="47">
        <f t="shared" si="1"/>
        <v>0</v>
      </c>
      <c r="H71" s="178" t="b">
        <f t="shared" si="2"/>
        <v>1</v>
      </c>
    </row>
    <row r="72" spans="1:8">
      <c r="A72" s="175"/>
      <c r="D72" s="190"/>
      <c r="E72" s="52" t="s">
        <v>360</v>
      </c>
      <c r="F72" s="47">
        <f t="shared" si="0"/>
        <v>1</v>
      </c>
      <c r="G72" s="47">
        <f t="shared" si="1"/>
        <v>0</v>
      </c>
      <c r="H72" s="178" t="b">
        <f t="shared" si="2"/>
        <v>1</v>
      </c>
    </row>
    <row r="73" spans="1:8">
      <c r="A73" s="175"/>
      <c r="D73" s="190"/>
      <c r="E73" s="52" t="s">
        <v>1004</v>
      </c>
      <c r="F73" s="47" t="e">
        <f t="shared" si="0"/>
        <v>#N/A</v>
      </c>
      <c r="G73" s="47" t="e">
        <f t="shared" si="1"/>
        <v>#N/A</v>
      </c>
      <c r="H73" s="178" t="e">
        <f>MID($E$24,15,2)=VLOOKUP(_xlfn.NUMBERVALUE($F73&amp;$G73),$E$17:$F$20,2,FALSE)</f>
        <v>#N/A</v>
      </c>
    </row>
    <row r="74" spans="1:8">
      <c r="A74" s="175"/>
      <c r="D74" s="190"/>
      <c r="E74" s="52" t="s">
        <v>458</v>
      </c>
      <c r="F74" s="47" t="e">
        <f t="shared" si="0"/>
        <v>#N/A</v>
      </c>
      <c r="G74" s="47" t="e">
        <f t="shared" si="1"/>
        <v>#N/A</v>
      </c>
      <c r="H74" s="178" t="e">
        <f t="shared" si="2"/>
        <v>#N/A</v>
      </c>
    </row>
    <row r="75" spans="1:8">
      <c r="A75" s="175"/>
      <c r="D75" s="190"/>
      <c r="E75" s="52" t="s">
        <v>459</v>
      </c>
      <c r="F75" s="47" t="e">
        <f t="shared" si="0"/>
        <v>#N/A</v>
      </c>
      <c r="G75" s="47" t="e">
        <f t="shared" si="1"/>
        <v>#N/A</v>
      </c>
      <c r="H75" s="178" t="e">
        <f t="shared" si="2"/>
        <v>#N/A</v>
      </c>
    </row>
    <row r="76" spans="1:8">
      <c r="A76" s="175"/>
      <c r="D76" s="190"/>
      <c r="E76" s="52" t="s">
        <v>460</v>
      </c>
      <c r="F76" s="47" t="e">
        <f t="shared" si="0"/>
        <v>#N/A</v>
      </c>
      <c r="G76" s="47" t="e">
        <f t="shared" si="1"/>
        <v>#N/A</v>
      </c>
      <c r="H76" s="178" t="e">
        <f t="shared" si="2"/>
        <v>#N/A</v>
      </c>
    </row>
    <row r="77" spans="1:8">
      <c r="A77" s="175"/>
      <c r="D77" s="190"/>
      <c r="E77" s="52" t="s">
        <v>461</v>
      </c>
      <c r="F77" s="47" t="e">
        <f t="shared" si="0"/>
        <v>#N/A</v>
      </c>
      <c r="G77" s="47" t="e">
        <f t="shared" si="1"/>
        <v>#N/A</v>
      </c>
      <c r="H77" s="178" t="e">
        <f t="shared" si="2"/>
        <v>#N/A</v>
      </c>
    </row>
    <row r="78" spans="1:8">
      <c r="A78" s="175"/>
      <c r="D78" s="190"/>
      <c r="E78" s="52" t="s">
        <v>462</v>
      </c>
      <c r="F78" s="47" t="e">
        <f t="shared" si="0"/>
        <v>#N/A</v>
      </c>
      <c r="G78" s="47" t="e">
        <f t="shared" si="1"/>
        <v>#N/A</v>
      </c>
      <c r="H78" s="178" t="e">
        <f t="shared" si="2"/>
        <v>#N/A</v>
      </c>
    </row>
    <row r="79" spans="1:8">
      <c r="A79" s="175"/>
      <c r="D79" s="190"/>
      <c r="E79" s="52" t="s">
        <v>463</v>
      </c>
      <c r="F79" s="47" t="e">
        <f t="shared" si="0"/>
        <v>#N/A</v>
      </c>
      <c r="G79" s="47" t="e">
        <f t="shared" si="1"/>
        <v>#N/A</v>
      </c>
      <c r="H79" s="178" t="e">
        <f t="shared" si="2"/>
        <v>#N/A</v>
      </c>
    </row>
    <row r="80" spans="1:8">
      <c r="A80" s="175"/>
      <c r="D80" s="190"/>
      <c r="E80" s="52" t="s">
        <v>464</v>
      </c>
      <c r="F80" s="47" t="e">
        <f t="shared" si="0"/>
        <v>#N/A</v>
      </c>
      <c r="G80" s="47" t="e">
        <f t="shared" si="1"/>
        <v>#N/A</v>
      </c>
      <c r="H80" s="178" t="e">
        <f t="shared" si="2"/>
        <v>#N/A</v>
      </c>
    </row>
    <row r="81" spans="1:8">
      <c r="A81" s="175"/>
      <c r="D81" s="190"/>
      <c r="E81" s="52" t="s">
        <v>465</v>
      </c>
      <c r="F81" s="47" t="e">
        <f t="shared" si="0"/>
        <v>#N/A</v>
      </c>
      <c r="G81" s="47" t="e">
        <f t="shared" si="1"/>
        <v>#N/A</v>
      </c>
      <c r="H81" s="178" t="e">
        <f t="shared" si="2"/>
        <v>#N/A</v>
      </c>
    </row>
    <row r="82" spans="1:8">
      <c r="A82" s="175"/>
      <c r="D82" s="190"/>
      <c r="E82" s="52" t="s">
        <v>466</v>
      </c>
      <c r="F82" s="47" t="e">
        <f t="shared" si="0"/>
        <v>#N/A</v>
      </c>
      <c r="G82" s="47" t="e">
        <f t="shared" si="1"/>
        <v>#N/A</v>
      </c>
      <c r="H82" s="178" t="e">
        <f t="shared" si="2"/>
        <v>#N/A</v>
      </c>
    </row>
    <row r="83" spans="1:8">
      <c r="A83" s="175"/>
      <c r="D83" s="190"/>
      <c r="E83" s="52" t="s">
        <v>337</v>
      </c>
      <c r="F83" s="47">
        <f t="shared" si="0"/>
        <v>1</v>
      </c>
      <c r="G83" s="47">
        <f t="shared" si="1"/>
        <v>0</v>
      </c>
      <c r="H83" s="178" t="b">
        <f t="shared" si="2"/>
        <v>1</v>
      </c>
    </row>
    <row r="84" spans="1:8">
      <c r="A84" s="175"/>
      <c r="D84" s="190"/>
      <c r="E84" s="52" t="s">
        <v>338</v>
      </c>
      <c r="F84" s="47">
        <f t="shared" si="0"/>
        <v>1</v>
      </c>
      <c r="G84" s="47">
        <f t="shared" si="1"/>
        <v>0</v>
      </c>
      <c r="H84" s="178" t="b">
        <f t="shared" si="2"/>
        <v>1</v>
      </c>
    </row>
    <row r="85" spans="1:8">
      <c r="A85" s="175"/>
      <c r="D85" s="190"/>
      <c r="E85" s="52" t="s">
        <v>1026</v>
      </c>
      <c r="F85" s="47" t="e">
        <f t="shared" si="0"/>
        <v>#N/A</v>
      </c>
      <c r="G85" s="47" t="e">
        <f t="shared" si="1"/>
        <v>#N/A</v>
      </c>
      <c r="H85" s="178" t="e">
        <f t="shared" si="2"/>
        <v>#N/A</v>
      </c>
    </row>
    <row r="86" spans="1:8">
      <c r="A86" s="175"/>
      <c r="D86" s="190"/>
      <c r="E86" s="52" t="s">
        <v>1027</v>
      </c>
      <c r="F86" s="47" t="e">
        <f t="shared" si="0"/>
        <v>#N/A</v>
      </c>
      <c r="G86" s="47" t="e">
        <f t="shared" si="1"/>
        <v>#N/A</v>
      </c>
      <c r="H86" s="178" t="e">
        <f t="shared" si="2"/>
        <v>#N/A</v>
      </c>
    </row>
    <row r="87" spans="1:8">
      <c r="A87" s="175"/>
      <c r="D87" s="190"/>
      <c r="E87" s="52" t="s">
        <v>1028</v>
      </c>
      <c r="F87" s="47" t="e">
        <f t="shared" si="0"/>
        <v>#N/A</v>
      </c>
      <c r="G87" s="47" t="e">
        <f t="shared" si="1"/>
        <v>#N/A</v>
      </c>
      <c r="H87" s="178" t="e">
        <f t="shared" si="2"/>
        <v>#N/A</v>
      </c>
    </row>
    <row r="88" spans="1:8">
      <c r="A88" s="175"/>
      <c r="D88" s="190"/>
      <c r="E88" s="52" t="s">
        <v>1029</v>
      </c>
      <c r="F88" s="47" t="e">
        <f t="shared" si="0"/>
        <v>#N/A</v>
      </c>
      <c r="G88" s="47" t="e">
        <f t="shared" si="1"/>
        <v>#N/A</v>
      </c>
      <c r="H88" s="178" t="e">
        <f t="shared" si="2"/>
        <v>#N/A</v>
      </c>
    </row>
    <row r="89" spans="1:8">
      <c r="A89" s="175"/>
      <c r="D89" s="190"/>
      <c r="E89" s="52" t="s">
        <v>1023</v>
      </c>
      <c r="F89" s="47" t="e">
        <f t="shared" ref="F89:F153" si="3">VLOOKUP($E89,Modelpuntoverzicht,9,FALSE)</f>
        <v>#N/A</v>
      </c>
      <c r="G89" s="47" t="e">
        <f t="shared" ref="G89:G153" si="4">VLOOKUP($E89,Modelpuntoverzicht,11,FALSE)</f>
        <v>#N/A</v>
      </c>
      <c r="H89" s="178" t="e">
        <f t="shared" si="2"/>
        <v>#N/A</v>
      </c>
    </row>
    <row r="90" spans="1:8">
      <c r="A90" s="175"/>
      <c r="D90" s="190"/>
      <c r="E90" s="52" t="s">
        <v>1022</v>
      </c>
      <c r="F90" s="47" t="e">
        <f t="shared" si="3"/>
        <v>#N/A</v>
      </c>
      <c r="G90" s="47" t="e">
        <f t="shared" si="4"/>
        <v>#N/A</v>
      </c>
      <c r="H90" s="178" t="e">
        <f t="shared" ref="H90:H158" si="5">MID($E$24,15,2)=VLOOKUP(_xlfn.NUMBERVALUE($F90&amp;$G90),$E$17:$F$20,2,FALSE)</f>
        <v>#N/A</v>
      </c>
    </row>
    <row r="91" spans="1:8">
      <c r="A91" s="175"/>
      <c r="D91" s="190"/>
      <c r="E91" s="52" t="s">
        <v>1019</v>
      </c>
      <c r="F91" s="47" t="e">
        <f t="shared" si="3"/>
        <v>#N/A</v>
      </c>
      <c r="G91" s="47" t="e">
        <f t="shared" si="4"/>
        <v>#N/A</v>
      </c>
      <c r="H91" s="178" t="e">
        <f t="shared" si="5"/>
        <v>#N/A</v>
      </c>
    </row>
    <row r="92" spans="1:8">
      <c r="A92" s="175"/>
      <c r="D92" s="190"/>
      <c r="E92" s="52" t="s">
        <v>1005</v>
      </c>
      <c r="F92" s="47" t="e">
        <f t="shared" si="3"/>
        <v>#N/A</v>
      </c>
      <c r="G92" s="47" t="e">
        <f t="shared" si="4"/>
        <v>#N/A</v>
      </c>
      <c r="H92" s="178" t="e">
        <f t="shared" si="5"/>
        <v>#N/A</v>
      </c>
    </row>
    <row r="93" spans="1:8">
      <c r="A93" s="175"/>
      <c r="D93" s="190"/>
      <c r="E93" s="52" t="s">
        <v>1003</v>
      </c>
      <c r="F93" s="47" t="e">
        <f t="shared" si="3"/>
        <v>#N/A</v>
      </c>
      <c r="G93" s="47" t="e">
        <f t="shared" si="4"/>
        <v>#N/A</v>
      </c>
      <c r="H93" s="178" t="e">
        <f t="shared" si="5"/>
        <v>#N/A</v>
      </c>
    </row>
    <row r="94" spans="1:8">
      <c r="A94" s="175"/>
      <c r="D94" s="190"/>
      <c r="E94" s="52" t="s">
        <v>1001</v>
      </c>
      <c r="F94" s="47" t="e">
        <f t="shared" si="3"/>
        <v>#N/A</v>
      </c>
      <c r="G94" s="47" t="e">
        <f t="shared" si="4"/>
        <v>#N/A</v>
      </c>
      <c r="H94" s="178" t="e">
        <f t="shared" si="5"/>
        <v>#N/A</v>
      </c>
    </row>
    <row r="95" spans="1:8">
      <c r="A95" s="175"/>
      <c r="D95" s="190"/>
      <c r="E95" s="52" t="s">
        <v>1000</v>
      </c>
      <c r="F95" s="47" t="e">
        <f t="shared" si="3"/>
        <v>#N/A</v>
      </c>
      <c r="G95" s="47" t="e">
        <f t="shared" si="4"/>
        <v>#N/A</v>
      </c>
      <c r="H95" s="178" t="e">
        <f t="shared" si="5"/>
        <v>#N/A</v>
      </c>
    </row>
    <row r="96" spans="1:8">
      <c r="A96" s="175"/>
      <c r="D96" s="190"/>
      <c r="E96" s="52" t="s">
        <v>992</v>
      </c>
      <c r="F96" s="47" t="e">
        <f t="shared" si="3"/>
        <v>#N/A</v>
      </c>
      <c r="G96" s="47" t="e">
        <f t="shared" si="4"/>
        <v>#N/A</v>
      </c>
      <c r="H96" s="178" t="e">
        <f t="shared" si="5"/>
        <v>#N/A</v>
      </c>
    </row>
    <row r="97" spans="1:8">
      <c r="A97" s="175"/>
      <c r="D97" s="190"/>
      <c r="E97" s="52" t="s">
        <v>590</v>
      </c>
      <c r="F97" s="47">
        <f t="shared" si="3"/>
        <v>1</v>
      </c>
      <c r="G97" s="47">
        <f t="shared" si="4"/>
        <v>0</v>
      </c>
      <c r="H97" s="178" t="b">
        <f t="shared" si="5"/>
        <v>1</v>
      </c>
    </row>
    <row r="98" spans="1:8">
      <c r="A98" s="175"/>
      <c r="D98" s="190"/>
      <c r="E98" s="52" t="s">
        <v>591</v>
      </c>
      <c r="F98" s="47">
        <f t="shared" si="3"/>
        <v>1</v>
      </c>
      <c r="G98" s="47">
        <f t="shared" si="4"/>
        <v>0</v>
      </c>
      <c r="H98" s="178" t="b">
        <f t="shared" si="5"/>
        <v>1</v>
      </c>
    </row>
    <row r="99" spans="1:8">
      <c r="A99" s="175"/>
      <c r="D99" s="190"/>
      <c r="E99" s="52" t="s">
        <v>592</v>
      </c>
      <c r="F99" s="47">
        <f t="shared" si="3"/>
        <v>1</v>
      </c>
      <c r="G99" s="47">
        <f t="shared" si="4"/>
        <v>0</v>
      </c>
      <c r="H99" s="178" t="b">
        <f t="shared" si="5"/>
        <v>1</v>
      </c>
    </row>
    <row r="100" spans="1:8">
      <c r="A100" s="175"/>
      <c r="D100" s="190"/>
      <c r="E100" s="52" t="s">
        <v>593</v>
      </c>
      <c r="F100" s="47">
        <f t="shared" si="3"/>
        <v>1</v>
      </c>
      <c r="G100" s="47">
        <f t="shared" si="4"/>
        <v>0</v>
      </c>
      <c r="H100" s="178" t="b">
        <f t="shared" si="5"/>
        <v>1</v>
      </c>
    </row>
    <row r="101" spans="1:8">
      <c r="A101" s="175"/>
      <c r="D101" s="190"/>
      <c r="E101" s="52" t="s">
        <v>594</v>
      </c>
      <c r="F101" s="47">
        <f t="shared" si="3"/>
        <v>1</v>
      </c>
      <c r="G101" s="47">
        <f t="shared" si="4"/>
        <v>0</v>
      </c>
      <c r="H101" s="178" t="b">
        <f t="shared" si="5"/>
        <v>1</v>
      </c>
    </row>
    <row r="102" spans="1:8">
      <c r="A102" s="175"/>
      <c r="D102" s="190"/>
      <c r="E102" s="52" t="s">
        <v>595</v>
      </c>
      <c r="F102" s="47">
        <f t="shared" si="3"/>
        <v>1</v>
      </c>
      <c r="G102" s="47">
        <f t="shared" si="4"/>
        <v>0</v>
      </c>
      <c r="H102" s="178" t="b">
        <f t="shared" si="5"/>
        <v>1</v>
      </c>
    </row>
    <row r="103" spans="1:8">
      <c r="A103" s="175"/>
      <c r="D103" s="190"/>
      <c r="E103" s="52" t="s">
        <v>596</v>
      </c>
      <c r="F103" s="47">
        <f t="shared" si="3"/>
        <v>1</v>
      </c>
      <c r="G103" s="47">
        <f t="shared" si="4"/>
        <v>0</v>
      </c>
      <c r="H103" s="178" t="b">
        <f t="shared" si="5"/>
        <v>1</v>
      </c>
    </row>
    <row r="104" spans="1:8">
      <c r="A104" s="175"/>
      <c r="D104" s="190"/>
      <c r="E104" s="52" t="s">
        <v>597</v>
      </c>
      <c r="F104" s="47">
        <f t="shared" si="3"/>
        <v>1</v>
      </c>
      <c r="G104" s="47">
        <f t="shared" si="4"/>
        <v>0</v>
      </c>
      <c r="H104" s="178" t="b">
        <f t="shared" si="5"/>
        <v>1</v>
      </c>
    </row>
    <row r="105" spans="1:8">
      <c r="A105" s="175"/>
      <c r="D105" s="190"/>
      <c r="E105" s="52" t="s">
        <v>598</v>
      </c>
      <c r="F105" s="47">
        <f t="shared" si="3"/>
        <v>1</v>
      </c>
      <c r="G105" s="47">
        <f t="shared" si="4"/>
        <v>0</v>
      </c>
      <c r="H105" s="178" t="b">
        <f t="shared" si="5"/>
        <v>1</v>
      </c>
    </row>
    <row r="106" spans="1:8">
      <c r="A106" s="175"/>
      <c r="D106" s="190"/>
      <c r="E106" s="52" t="s">
        <v>599</v>
      </c>
      <c r="F106" s="47">
        <f t="shared" si="3"/>
        <v>1</v>
      </c>
      <c r="G106" s="47">
        <f t="shared" si="4"/>
        <v>0</v>
      </c>
      <c r="H106" s="178" t="b">
        <f t="shared" si="5"/>
        <v>1</v>
      </c>
    </row>
    <row r="107" spans="1:8">
      <c r="A107" s="175"/>
      <c r="D107" s="190"/>
      <c r="E107" s="52" t="s">
        <v>600</v>
      </c>
      <c r="F107" s="47" t="e">
        <f t="shared" si="3"/>
        <v>#N/A</v>
      </c>
      <c r="G107" s="47" t="e">
        <f t="shared" si="4"/>
        <v>#N/A</v>
      </c>
      <c r="H107" s="178" t="e">
        <f t="shared" si="5"/>
        <v>#N/A</v>
      </c>
    </row>
    <row r="108" spans="1:8">
      <c r="A108" s="175"/>
      <c r="D108" s="190"/>
      <c r="E108" s="52" t="s">
        <v>601</v>
      </c>
      <c r="F108" s="47">
        <f t="shared" si="3"/>
        <v>1</v>
      </c>
      <c r="G108" s="47">
        <f t="shared" si="4"/>
        <v>0</v>
      </c>
      <c r="H108" s="178" t="b">
        <f t="shared" si="5"/>
        <v>1</v>
      </c>
    </row>
    <row r="109" spans="1:8">
      <c r="A109" s="175"/>
      <c r="D109" s="190"/>
      <c r="E109" s="52" t="s">
        <v>602</v>
      </c>
      <c r="F109" s="47">
        <f t="shared" si="3"/>
        <v>1</v>
      </c>
      <c r="G109" s="47">
        <f t="shared" si="4"/>
        <v>0</v>
      </c>
      <c r="H109" s="178" t="b">
        <f t="shared" si="5"/>
        <v>1</v>
      </c>
    </row>
    <row r="110" spans="1:8">
      <c r="A110" s="175"/>
      <c r="D110" s="190"/>
      <c r="E110" s="52" t="s">
        <v>603</v>
      </c>
      <c r="F110" s="47">
        <f t="shared" si="3"/>
        <v>1</v>
      </c>
      <c r="G110" s="47">
        <f t="shared" si="4"/>
        <v>0</v>
      </c>
      <c r="H110" s="178" t="b">
        <f t="shared" si="5"/>
        <v>1</v>
      </c>
    </row>
    <row r="111" spans="1:8">
      <c r="A111" s="175"/>
      <c r="D111" s="190"/>
      <c r="E111" s="52" t="s">
        <v>604</v>
      </c>
      <c r="F111" s="47">
        <f t="shared" si="3"/>
        <v>1</v>
      </c>
      <c r="G111" s="47">
        <f t="shared" si="4"/>
        <v>0</v>
      </c>
      <c r="H111" s="178" t="b">
        <f t="shared" si="5"/>
        <v>1</v>
      </c>
    </row>
    <row r="112" spans="1:8">
      <c r="A112" s="175"/>
      <c r="D112" s="190"/>
      <c r="E112" s="52" t="s">
        <v>605</v>
      </c>
      <c r="F112" s="47">
        <f t="shared" si="3"/>
        <v>1</v>
      </c>
      <c r="G112" s="47">
        <f t="shared" si="4"/>
        <v>0</v>
      </c>
      <c r="H112" s="178" t="b">
        <f t="shared" si="5"/>
        <v>1</v>
      </c>
    </row>
    <row r="113" spans="1:8">
      <c r="A113" s="175"/>
      <c r="D113" s="190"/>
      <c r="E113" s="52" t="s">
        <v>606</v>
      </c>
      <c r="F113" s="47">
        <f t="shared" si="3"/>
        <v>1</v>
      </c>
      <c r="G113" s="47">
        <f t="shared" si="4"/>
        <v>0</v>
      </c>
      <c r="H113" s="178" t="b">
        <f t="shared" si="5"/>
        <v>1</v>
      </c>
    </row>
    <row r="114" spans="1:8">
      <c r="A114" s="175"/>
      <c r="D114" s="190"/>
      <c r="E114" s="52" t="s">
        <v>607</v>
      </c>
      <c r="F114" s="47">
        <f t="shared" si="3"/>
        <v>1</v>
      </c>
      <c r="G114" s="47">
        <f t="shared" si="4"/>
        <v>0</v>
      </c>
      <c r="H114" s="178" t="b">
        <f t="shared" si="5"/>
        <v>1</v>
      </c>
    </row>
    <row r="115" spans="1:8">
      <c r="A115" s="175"/>
      <c r="D115" s="190"/>
      <c r="E115" s="52" t="s">
        <v>608</v>
      </c>
      <c r="F115" s="47">
        <f t="shared" si="3"/>
        <v>1</v>
      </c>
      <c r="G115" s="47">
        <f t="shared" si="4"/>
        <v>0</v>
      </c>
      <c r="H115" s="178" t="b">
        <f t="shared" si="5"/>
        <v>1</v>
      </c>
    </row>
    <row r="116" spans="1:8">
      <c r="A116" s="175"/>
      <c r="D116" s="190"/>
      <c r="E116" s="52" t="s">
        <v>609</v>
      </c>
      <c r="F116" s="47">
        <f t="shared" si="3"/>
        <v>1</v>
      </c>
      <c r="G116" s="47">
        <f t="shared" si="4"/>
        <v>0</v>
      </c>
      <c r="H116" s="178" t="b">
        <f t="shared" si="5"/>
        <v>1</v>
      </c>
    </row>
    <row r="117" spans="1:8">
      <c r="A117" s="175"/>
      <c r="D117" s="190"/>
      <c r="E117" s="52" t="s">
        <v>610</v>
      </c>
      <c r="F117" s="47">
        <f t="shared" si="3"/>
        <v>1</v>
      </c>
      <c r="G117" s="47">
        <f t="shared" si="4"/>
        <v>0</v>
      </c>
      <c r="H117" s="178" t="b">
        <f t="shared" si="5"/>
        <v>1</v>
      </c>
    </row>
    <row r="118" spans="1:8">
      <c r="A118" s="175"/>
      <c r="D118" s="190"/>
      <c r="E118" s="52" t="s">
        <v>611</v>
      </c>
      <c r="F118" s="47">
        <f t="shared" si="3"/>
        <v>1</v>
      </c>
      <c r="G118" s="47">
        <f t="shared" si="4"/>
        <v>0</v>
      </c>
      <c r="H118" s="178" t="b">
        <f t="shared" si="5"/>
        <v>1</v>
      </c>
    </row>
    <row r="119" spans="1:8">
      <c r="A119" s="175"/>
      <c r="D119" s="190"/>
      <c r="E119" s="52" t="s">
        <v>612</v>
      </c>
      <c r="F119" s="47">
        <f t="shared" si="3"/>
        <v>1</v>
      </c>
      <c r="G119" s="47">
        <f t="shared" si="4"/>
        <v>0</v>
      </c>
      <c r="H119" s="178" t="b">
        <f t="shared" si="5"/>
        <v>1</v>
      </c>
    </row>
    <row r="120" spans="1:8">
      <c r="A120" s="175"/>
      <c r="D120" s="190"/>
      <c r="E120" s="52" t="s">
        <v>613</v>
      </c>
      <c r="F120" s="47">
        <f t="shared" si="3"/>
        <v>1</v>
      </c>
      <c r="G120" s="47">
        <f t="shared" si="4"/>
        <v>0</v>
      </c>
      <c r="H120" s="178" t="b">
        <f t="shared" si="5"/>
        <v>1</v>
      </c>
    </row>
    <row r="121" spans="1:8">
      <c r="A121" s="175"/>
      <c r="D121" s="190"/>
      <c r="E121" s="52" t="s">
        <v>614</v>
      </c>
      <c r="F121" s="47">
        <f t="shared" si="3"/>
        <v>1</v>
      </c>
      <c r="G121" s="47">
        <f t="shared" si="4"/>
        <v>0</v>
      </c>
      <c r="H121" s="178" t="b">
        <f t="shared" si="5"/>
        <v>1</v>
      </c>
    </row>
    <row r="122" spans="1:8">
      <c r="A122" s="175"/>
      <c r="D122" s="190"/>
      <c r="E122" s="52" t="s">
        <v>556</v>
      </c>
      <c r="F122" s="47">
        <f t="shared" si="3"/>
        <v>1</v>
      </c>
      <c r="G122" s="47">
        <f t="shared" si="4"/>
        <v>0</v>
      </c>
      <c r="H122" s="178" t="b">
        <f t="shared" si="5"/>
        <v>1</v>
      </c>
    </row>
    <row r="123" spans="1:8">
      <c r="A123" s="175"/>
      <c r="D123" s="190"/>
      <c r="E123" s="52" t="s">
        <v>584</v>
      </c>
      <c r="F123" s="47">
        <f t="shared" si="3"/>
        <v>1</v>
      </c>
      <c r="G123" s="47">
        <f t="shared" si="4"/>
        <v>0</v>
      </c>
      <c r="H123" s="178" t="b">
        <f t="shared" si="5"/>
        <v>1</v>
      </c>
    </row>
    <row r="124" spans="1:8">
      <c r="A124" s="175"/>
      <c r="D124" s="190"/>
      <c r="E124" s="52" t="s">
        <v>351</v>
      </c>
      <c r="F124" s="47" t="e">
        <f t="shared" si="3"/>
        <v>#N/A</v>
      </c>
      <c r="G124" s="47" t="e">
        <f t="shared" si="4"/>
        <v>#N/A</v>
      </c>
      <c r="H124" s="178" t="e">
        <f t="shared" si="5"/>
        <v>#N/A</v>
      </c>
    </row>
    <row r="125" spans="1:8">
      <c r="A125" s="175"/>
      <c r="D125" s="190"/>
      <c r="E125" s="52" t="s">
        <v>352</v>
      </c>
      <c r="F125" s="47" t="e">
        <f t="shared" si="3"/>
        <v>#N/A</v>
      </c>
      <c r="G125" s="47" t="e">
        <f t="shared" si="4"/>
        <v>#N/A</v>
      </c>
      <c r="H125" s="178" t="e">
        <f t="shared" si="5"/>
        <v>#N/A</v>
      </c>
    </row>
    <row r="126" spans="1:8">
      <c r="A126" s="175"/>
      <c r="D126" s="190"/>
      <c r="E126" s="52" t="s">
        <v>353</v>
      </c>
      <c r="F126" s="47" t="e">
        <f t="shared" si="3"/>
        <v>#N/A</v>
      </c>
      <c r="G126" s="47" t="e">
        <f t="shared" si="4"/>
        <v>#N/A</v>
      </c>
      <c r="H126" s="178" t="e">
        <f t="shared" si="5"/>
        <v>#N/A</v>
      </c>
    </row>
    <row r="127" spans="1:8">
      <c r="A127" s="175"/>
      <c r="D127" s="190"/>
      <c r="E127" s="52" t="s">
        <v>467</v>
      </c>
      <c r="F127" s="47" t="e">
        <f t="shared" si="3"/>
        <v>#N/A</v>
      </c>
      <c r="G127" s="47" t="e">
        <f t="shared" si="4"/>
        <v>#N/A</v>
      </c>
      <c r="H127" s="178" t="e">
        <f t="shared" si="5"/>
        <v>#N/A</v>
      </c>
    </row>
    <row r="128" spans="1:8">
      <c r="A128" s="175"/>
      <c r="D128" s="190"/>
      <c r="E128" s="52" t="s">
        <v>1024</v>
      </c>
      <c r="F128" s="47">
        <f t="shared" si="3"/>
        <v>1</v>
      </c>
      <c r="G128" s="47">
        <f t="shared" si="4"/>
        <v>0</v>
      </c>
      <c r="H128" s="178" t="b">
        <f>MID($E$24,15,2)=VLOOKUP(_xlfn.NUMBERVALUE($F128&amp;$G128),$E$17:$F$20,2,FALSE)</f>
        <v>1</v>
      </c>
    </row>
    <row r="129" spans="1:8">
      <c r="A129" s="175"/>
      <c r="D129" s="190"/>
      <c r="E129" s="52" t="s">
        <v>1025</v>
      </c>
      <c r="F129" s="47">
        <f t="shared" si="3"/>
        <v>1</v>
      </c>
      <c r="G129" s="47">
        <f t="shared" si="4"/>
        <v>0</v>
      </c>
      <c r="H129" s="178" t="b">
        <f>MID($E$24,15,2)=VLOOKUP(_xlfn.NUMBERVALUE($F129&amp;$G129),$E$17:$F$20,2,FALSE)</f>
        <v>1</v>
      </c>
    </row>
    <row r="130" spans="1:8">
      <c r="A130" s="175"/>
      <c r="D130" s="190"/>
      <c r="E130" s="52" t="s">
        <v>1085</v>
      </c>
      <c r="F130" s="47">
        <f t="shared" si="3"/>
        <v>1</v>
      </c>
      <c r="G130" s="47">
        <f t="shared" si="4"/>
        <v>0</v>
      </c>
      <c r="H130" s="178" t="b">
        <f>MID($E$24,15,2)=VLOOKUP(_xlfn.NUMBERVALUE($F130&amp;$G130),$E$17:$F$20,2,FALSE)</f>
        <v>1</v>
      </c>
    </row>
    <row r="131" spans="1:8">
      <c r="A131" s="175"/>
      <c r="D131" s="190"/>
      <c r="E131" s="52" t="s">
        <v>557</v>
      </c>
      <c r="F131" s="47">
        <f t="shared" si="3"/>
        <v>1</v>
      </c>
      <c r="G131" s="47">
        <f t="shared" si="4"/>
        <v>0</v>
      </c>
      <c r="H131" s="178" t="b">
        <f t="shared" si="5"/>
        <v>1</v>
      </c>
    </row>
    <row r="132" spans="1:8">
      <c r="A132" s="175"/>
      <c r="D132" s="190"/>
      <c r="E132" s="52" t="s">
        <v>558</v>
      </c>
      <c r="F132" s="47">
        <f t="shared" si="3"/>
        <v>1</v>
      </c>
      <c r="G132" s="47">
        <f t="shared" si="4"/>
        <v>0</v>
      </c>
      <c r="H132" s="178" t="b">
        <f t="shared" si="5"/>
        <v>1</v>
      </c>
    </row>
    <row r="133" spans="1:8">
      <c r="A133" s="175"/>
      <c r="D133" s="190"/>
      <c r="E133" s="52" t="s">
        <v>973</v>
      </c>
      <c r="F133" s="47">
        <f t="shared" si="3"/>
        <v>1</v>
      </c>
      <c r="G133" s="47">
        <f t="shared" si="4"/>
        <v>0</v>
      </c>
      <c r="H133" s="178" t="b">
        <f t="shared" si="5"/>
        <v>1</v>
      </c>
    </row>
    <row r="134" spans="1:8">
      <c r="A134" s="175"/>
      <c r="D134" s="190"/>
      <c r="E134" s="52" t="s">
        <v>585</v>
      </c>
      <c r="F134" s="47">
        <f t="shared" si="3"/>
        <v>1</v>
      </c>
      <c r="G134" s="47">
        <f t="shared" si="4"/>
        <v>0</v>
      </c>
      <c r="H134" s="178" t="b">
        <f t="shared" si="5"/>
        <v>1</v>
      </c>
    </row>
    <row r="135" spans="1:8">
      <c r="A135" s="175"/>
      <c r="D135" s="190"/>
      <c r="E135" s="52" t="s">
        <v>559</v>
      </c>
      <c r="F135" s="47">
        <f t="shared" si="3"/>
        <v>1</v>
      </c>
      <c r="G135" s="47">
        <f t="shared" si="4"/>
        <v>0</v>
      </c>
      <c r="H135" s="178" t="b">
        <f t="shared" si="5"/>
        <v>1</v>
      </c>
    </row>
    <row r="136" spans="1:8">
      <c r="A136" s="175"/>
      <c r="D136" s="190"/>
      <c r="E136" s="52" t="s">
        <v>586</v>
      </c>
      <c r="F136" s="47">
        <f t="shared" si="3"/>
        <v>1</v>
      </c>
      <c r="G136" s="47">
        <f t="shared" si="4"/>
        <v>0</v>
      </c>
      <c r="H136" s="178" t="b">
        <f t="shared" si="5"/>
        <v>1</v>
      </c>
    </row>
    <row r="137" spans="1:8">
      <c r="A137" s="175"/>
      <c r="D137" s="190"/>
      <c r="E137" s="52" t="s">
        <v>578</v>
      </c>
      <c r="F137" s="47">
        <f t="shared" si="3"/>
        <v>1</v>
      </c>
      <c r="G137" s="47">
        <f t="shared" si="4"/>
        <v>0</v>
      </c>
      <c r="H137" s="178" t="b">
        <f t="shared" si="5"/>
        <v>1</v>
      </c>
    </row>
    <row r="138" spans="1:8">
      <c r="A138" s="175"/>
      <c r="D138" s="190"/>
      <c r="E138" s="52" t="s">
        <v>579</v>
      </c>
      <c r="F138" s="47">
        <f t="shared" si="3"/>
        <v>1</v>
      </c>
      <c r="G138" s="47">
        <f t="shared" si="4"/>
        <v>0</v>
      </c>
      <c r="H138" s="178" t="b">
        <f t="shared" si="5"/>
        <v>1</v>
      </c>
    </row>
    <row r="139" spans="1:8">
      <c r="A139" s="175"/>
      <c r="D139" s="190"/>
      <c r="E139" s="52" t="s">
        <v>560</v>
      </c>
      <c r="F139" s="47">
        <f t="shared" si="3"/>
        <v>1</v>
      </c>
      <c r="G139" s="47">
        <f t="shared" si="4"/>
        <v>0</v>
      </c>
      <c r="H139" s="178" t="b">
        <f t="shared" si="5"/>
        <v>1</v>
      </c>
    </row>
    <row r="140" spans="1:8">
      <c r="A140" s="175"/>
      <c r="D140" s="190"/>
      <c r="E140" s="52" t="s">
        <v>561</v>
      </c>
      <c r="F140" s="47">
        <f t="shared" si="3"/>
        <v>1</v>
      </c>
      <c r="G140" s="47">
        <f t="shared" si="4"/>
        <v>0</v>
      </c>
      <c r="H140" s="178" t="b">
        <f t="shared" si="5"/>
        <v>1</v>
      </c>
    </row>
    <row r="141" spans="1:8">
      <c r="A141" s="175"/>
      <c r="D141" s="190"/>
      <c r="E141" s="52" t="s">
        <v>562</v>
      </c>
      <c r="F141" s="47">
        <f t="shared" si="3"/>
        <v>1</v>
      </c>
      <c r="G141" s="47">
        <f t="shared" si="4"/>
        <v>0</v>
      </c>
      <c r="H141" s="178" t="b">
        <f t="shared" si="5"/>
        <v>1</v>
      </c>
    </row>
    <row r="142" spans="1:8">
      <c r="A142" s="175"/>
      <c r="D142" s="190"/>
      <c r="E142" s="52" t="s">
        <v>563</v>
      </c>
      <c r="F142" s="47">
        <f t="shared" si="3"/>
        <v>1</v>
      </c>
      <c r="G142" s="47">
        <f t="shared" si="4"/>
        <v>0</v>
      </c>
      <c r="H142" s="178" t="b">
        <f t="shared" si="5"/>
        <v>1</v>
      </c>
    </row>
    <row r="143" spans="1:8">
      <c r="A143" s="175"/>
      <c r="D143" s="190"/>
      <c r="E143" s="52" t="s">
        <v>564</v>
      </c>
      <c r="F143" s="47">
        <f t="shared" si="3"/>
        <v>1</v>
      </c>
      <c r="G143" s="47">
        <f t="shared" si="4"/>
        <v>0</v>
      </c>
      <c r="H143" s="178" t="b">
        <f t="shared" si="5"/>
        <v>1</v>
      </c>
    </row>
    <row r="144" spans="1:8">
      <c r="A144" s="175"/>
      <c r="D144" s="190"/>
      <c r="E144" s="52" t="s">
        <v>565</v>
      </c>
      <c r="F144" s="47">
        <f t="shared" si="3"/>
        <v>1</v>
      </c>
      <c r="G144" s="47">
        <f t="shared" si="4"/>
        <v>0</v>
      </c>
      <c r="H144" s="178" t="b">
        <f t="shared" si="5"/>
        <v>1</v>
      </c>
    </row>
    <row r="145" spans="1:8">
      <c r="A145" s="175"/>
      <c r="D145" s="190"/>
      <c r="E145" s="52" t="s">
        <v>587</v>
      </c>
      <c r="F145" s="47">
        <f t="shared" si="3"/>
        <v>1</v>
      </c>
      <c r="G145" s="47">
        <f t="shared" si="4"/>
        <v>0</v>
      </c>
      <c r="H145" s="178" t="b">
        <f t="shared" si="5"/>
        <v>1</v>
      </c>
    </row>
    <row r="146" spans="1:8">
      <c r="A146" s="175"/>
      <c r="D146" s="190"/>
      <c r="E146" s="52" t="s">
        <v>566</v>
      </c>
      <c r="F146" s="47">
        <f t="shared" si="3"/>
        <v>1</v>
      </c>
      <c r="G146" s="47">
        <f t="shared" si="4"/>
        <v>0</v>
      </c>
      <c r="H146" s="178" t="b">
        <f t="shared" si="5"/>
        <v>1</v>
      </c>
    </row>
    <row r="147" spans="1:8">
      <c r="A147" s="175"/>
      <c r="D147" s="190"/>
      <c r="E147" s="52" t="s">
        <v>567</v>
      </c>
      <c r="F147" s="47">
        <f t="shared" si="3"/>
        <v>1</v>
      </c>
      <c r="G147" s="47">
        <f t="shared" si="4"/>
        <v>0</v>
      </c>
      <c r="H147" s="178" t="b">
        <f t="shared" si="5"/>
        <v>1</v>
      </c>
    </row>
    <row r="148" spans="1:8">
      <c r="A148" s="175"/>
      <c r="D148" s="190"/>
      <c r="E148" s="52" t="s">
        <v>568</v>
      </c>
      <c r="F148" s="47">
        <f t="shared" si="3"/>
        <v>1</v>
      </c>
      <c r="G148" s="47">
        <f t="shared" si="4"/>
        <v>0</v>
      </c>
      <c r="H148" s="178" t="b">
        <f t="shared" si="5"/>
        <v>1</v>
      </c>
    </row>
    <row r="149" spans="1:8">
      <c r="A149" s="175"/>
      <c r="D149" s="190"/>
      <c r="E149" s="52" t="s">
        <v>569</v>
      </c>
      <c r="F149" s="47">
        <f t="shared" si="3"/>
        <v>1</v>
      </c>
      <c r="G149" s="47">
        <f t="shared" si="4"/>
        <v>0</v>
      </c>
      <c r="H149" s="178" t="b">
        <f t="shared" si="5"/>
        <v>1</v>
      </c>
    </row>
    <row r="150" spans="1:8">
      <c r="A150" s="175"/>
      <c r="D150" s="190"/>
      <c r="E150" s="52" t="s">
        <v>570</v>
      </c>
      <c r="F150" s="47">
        <f t="shared" si="3"/>
        <v>1</v>
      </c>
      <c r="G150" s="47">
        <f t="shared" si="4"/>
        <v>0</v>
      </c>
      <c r="H150" s="178" t="b">
        <f t="shared" si="5"/>
        <v>1</v>
      </c>
    </row>
    <row r="151" spans="1:8">
      <c r="A151" s="175"/>
      <c r="D151" s="190"/>
      <c r="E151" s="52" t="s">
        <v>571</v>
      </c>
      <c r="F151" s="47">
        <f t="shared" si="3"/>
        <v>1</v>
      </c>
      <c r="G151" s="47">
        <f t="shared" si="4"/>
        <v>0</v>
      </c>
      <c r="H151" s="178" t="b">
        <f t="shared" si="5"/>
        <v>1</v>
      </c>
    </row>
    <row r="152" spans="1:8">
      <c r="A152" s="175"/>
      <c r="D152" s="190"/>
      <c r="E152" s="52" t="s">
        <v>572</v>
      </c>
      <c r="F152" s="47">
        <f t="shared" si="3"/>
        <v>1</v>
      </c>
      <c r="G152" s="47">
        <f t="shared" si="4"/>
        <v>0</v>
      </c>
      <c r="H152" s="178" t="b">
        <f t="shared" si="5"/>
        <v>1</v>
      </c>
    </row>
    <row r="153" spans="1:8">
      <c r="A153" s="175"/>
      <c r="D153" s="190"/>
      <c r="E153" s="52" t="s">
        <v>573</v>
      </c>
      <c r="F153" s="47">
        <f t="shared" si="3"/>
        <v>1</v>
      </c>
      <c r="G153" s="47">
        <f t="shared" si="4"/>
        <v>0</v>
      </c>
      <c r="H153" s="178" t="b">
        <f t="shared" si="5"/>
        <v>1</v>
      </c>
    </row>
    <row r="154" spans="1:8">
      <c r="A154" s="175"/>
      <c r="D154" s="190"/>
      <c r="E154" s="52" t="s">
        <v>1088</v>
      </c>
      <c r="F154" s="47">
        <f t="shared" ref="F154:F157" si="6">VLOOKUP($E154,Modelpuntoverzicht,9,FALSE)</f>
        <v>1</v>
      </c>
      <c r="G154" s="47">
        <f t="shared" ref="G154:G157" si="7">VLOOKUP($E154,Modelpuntoverzicht,11,FALSE)</f>
        <v>0</v>
      </c>
      <c r="H154" s="178" t="b">
        <f>MID($E$24,15,2)=VLOOKUP(_xlfn.NUMBERVALUE($F154&amp;$G154),$E$17:$F$20,2,FALSE)</f>
        <v>1</v>
      </c>
    </row>
    <row r="155" spans="1:8">
      <c r="A155" s="175"/>
      <c r="D155" s="190"/>
      <c r="E155" s="52" t="s">
        <v>1089</v>
      </c>
      <c r="F155" s="47">
        <f t="shared" si="6"/>
        <v>1</v>
      </c>
      <c r="G155" s="47">
        <f t="shared" si="7"/>
        <v>0</v>
      </c>
      <c r="H155" s="178" t="b">
        <f>MID($E$24,15,2)=VLOOKUP(_xlfn.NUMBERVALUE($F155&amp;$G155),$E$17:$F$20,2,FALSE)</f>
        <v>1</v>
      </c>
    </row>
    <row r="156" spans="1:8">
      <c r="A156" s="175"/>
      <c r="D156" s="190"/>
      <c r="E156" s="52" t="s">
        <v>1086</v>
      </c>
      <c r="F156" s="47">
        <f t="shared" si="6"/>
        <v>1</v>
      </c>
      <c r="G156" s="47">
        <f t="shared" si="7"/>
        <v>0</v>
      </c>
      <c r="H156" s="178" t="b">
        <f>MID($E$24,15,2)=VLOOKUP(_xlfn.NUMBERVALUE($F156&amp;$G156),$E$17:$F$20,2,FALSE)</f>
        <v>1</v>
      </c>
    </row>
    <row r="157" spans="1:8">
      <c r="A157" s="175"/>
      <c r="D157" s="190"/>
      <c r="E157" s="52" t="s">
        <v>1087</v>
      </c>
      <c r="F157" s="47">
        <f t="shared" si="6"/>
        <v>1</v>
      </c>
      <c r="G157" s="47">
        <f t="shared" si="7"/>
        <v>0</v>
      </c>
      <c r="H157" s="178" t="b">
        <f>MID($E$24,15,2)=VLOOKUP(_xlfn.NUMBERVALUE($F157&amp;$G157),$E$17:$F$20,2,FALSE)</f>
        <v>1</v>
      </c>
    </row>
    <row r="158" spans="1:8">
      <c r="A158" s="175"/>
      <c r="D158" s="190"/>
      <c r="E158" s="52" t="s">
        <v>574</v>
      </c>
      <c r="F158" s="47">
        <f t="shared" ref="F158:F222" si="8">VLOOKUP($E158,Modelpuntoverzicht,9,FALSE)</f>
        <v>1</v>
      </c>
      <c r="G158" s="47">
        <f t="shared" ref="G158:G222" si="9">VLOOKUP($E158,Modelpuntoverzicht,11,FALSE)</f>
        <v>0</v>
      </c>
      <c r="H158" s="178" t="b">
        <f t="shared" si="5"/>
        <v>1</v>
      </c>
    </row>
    <row r="159" spans="1:8">
      <c r="A159" s="175"/>
      <c r="D159" s="190"/>
      <c r="E159" s="52" t="s">
        <v>580</v>
      </c>
      <c r="F159" s="47">
        <f t="shared" si="8"/>
        <v>1</v>
      </c>
      <c r="G159" s="47">
        <f t="shared" si="9"/>
        <v>0</v>
      </c>
      <c r="H159" s="178" t="b">
        <f t="shared" ref="H159:H223" si="10">MID($E$24,15,2)=VLOOKUP(_xlfn.NUMBERVALUE($F159&amp;$G159),$E$17:$F$20,2,FALSE)</f>
        <v>1</v>
      </c>
    </row>
    <row r="160" spans="1:8">
      <c r="A160" s="175"/>
      <c r="D160" s="190"/>
      <c r="E160" s="52" t="s">
        <v>581</v>
      </c>
      <c r="F160" s="47">
        <f t="shared" si="8"/>
        <v>1</v>
      </c>
      <c r="G160" s="47">
        <f t="shared" si="9"/>
        <v>0</v>
      </c>
      <c r="H160" s="178" t="b">
        <f t="shared" si="10"/>
        <v>1</v>
      </c>
    </row>
    <row r="161" spans="1:8">
      <c r="A161" s="175"/>
      <c r="D161" s="190"/>
      <c r="E161" s="52" t="s">
        <v>583</v>
      </c>
      <c r="F161" s="47">
        <f t="shared" si="8"/>
        <v>1</v>
      </c>
      <c r="G161" s="47">
        <f t="shared" si="9"/>
        <v>0</v>
      </c>
      <c r="H161" s="178" t="b">
        <f t="shared" si="10"/>
        <v>1</v>
      </c>
    </row>
    <row r="162" spans="1:8">
      <c r="A162" s="175"/>
      <c r="D162" s="190"/>
      <c r="E162" s="52" t="s">
        <v>576</v>
      </c>
      <c r="F162" s="47">
        <f t="shared" si="8"/>
        <v>1</v>
      </c>
      <c r="G162" s="47">
        <f t="shared" si="9"/>
        <v>0</v>
      </c>
      <c r="H162" s="178" t="b">
        <f t="shared" si="10"/>
        <v>1</v>
      </c>
    </row>
    <row r="163" spans="1:8">
      <c r="A163" s="175"/>
      <c r="D163" s="190"/>
      <c r="E163" s="52" t="s">
        <v>588</v>
      </c>
      <c r="F163" s="47">
        <f t="shared" si="8"/>
        <v>1</v>
      </c>
      <c r="G163" s="47">
        <f t="shared" si="9"/>
        <v>0</v>
      </c>
      <c r="H163" s="178" t="b">
        <f t="shared" si="10"/>
        <v>1</v>
      </c>
    </row>
    <row r="164" spans="1:8">
      <c r="A164" s="175"/>
      <c r="D164" s="190"/>
      <c r="E164" s="52" t="s">
        <v>589</v>
      </c>
      <c r="F164" s="47">
        <f t="shared" si="8"/>
        <v>1</v>
      </c>
      <c r="G164" s="47">
        <f t="shared" si="9"/>
        <v>0</v>
      </c>
      <c r="H164" s="178" t="b">
        <f t="shared" si="10"/>
        <v>1</v>
      </c>
    </row>
    <row r="165" spans="1:8">
      <c r="A165" s="175"/>
      <c r="D165" s="190"/>
      <c r="E165" s="52" t="s">
        <v>577</v>
      </c>
      <c r="F165" s="47">
        <f t="shared" si="8"/>
        <v>1</v>
      </c>
      <c r="G165" s="47">
        <f t="shared" si="9"/>
        <v>0</v>
      </c>
      <c r="H165" s="178" t="b">
        <f t="shared" si="10"/>
        <v>1</v>
      </c>
    </row>
    <row r="166" spans="1:8">
      <c r="A166" s="175"/>
      <c r="D166" s="190"/>
      <c r="E166" s="52" t="s">
        <v>1197</v>
      </c>
      <c r="F166" s="47" t="e">
        <f t="shared" si="8"/>
        <v>#N/A</v>
      </c>
      <c r="G166" s="47" t="e">
        <f t="shared" si="9"/>
        <v>#N/A</v>
      </c>
      <c r="H166" s="178" t="e">
        <f>MID($E$24,15,2)=VLOOKUP(_xlfn.NUMBERVALUE($F166&amp;$G166),$E$17:$F$20,2,FALSE)</f>
        <v>#N/A</v>
      </c>
    </row>
    <row r="167" spans="1:8">
      <c r="A167" s="175"/>
      <c r="D167" s="190"/>
      <c r="E167" s="52" t="s">
        <v>361</v>
      </c>
      <c r="F167" s="47">
        <f t="shared" si="8"/>
        <v>1</v>
      </c>
      <c r="G167" s="47">
        <f t="shared" si="9"/>
        <v>0</v>
      </c>
      <c r="H167" s="178" t="b">
        <f t="shared" si="10"/>
        <v>1</v>
      </c>
    </row>
    <row r="168" spans="1:8">
      <c r="A168" s="175"/>
      <c r="D168" s="190"/>
      <c r="E168" s="52" t="s">
        <v>362</v>
      </c>
      <c r="F168" s="47" t="e">
        <f t="shared" si="8"/>
        <v>#N/A</v>
      </c>
      <c r="G168" s="47" t="e">
        <f t="shared" si="9"/>
        <v>#N/A</v>
      </c>
      <c r="H168" s="178" t="e">
        <f t="shared" si="10"/>
        <v>#N/A</v>
      </c>
    </row>
    <row r="169" spans="1:8">
      <c r="A169" s="175"/>
      <c r="D169" s="190"/>
      <c r="E169" s="52" t="s">
        <v>363</v>
      </c>
      <c r="F169" s="47" t="e">
        <f t="shared" si="8"/>
        <v>#N/A</v>
      </c>
      <c r="G169" s="47" t="e">
        <f t="shared" si="9"/>
        <v>#N/A</v>
      </c>
      <c r="H169" s="178" t="e">
        <f t="shared" si="10"/>
        <v>#N/A</v>
      </c>
    </row>
    <row r="170" spans="1:8">
      <c r="A170" s="175"/>
      <c r="D170" s="190"/>
      <c r="E170" s="52" t="s">
        <v>364</v>
      </c>
      <c r="F170" s="47" t="e">
        <f t="shared" si="8"/>
        <v>#N/A</v>
      </c>
      <c r="G170" s="47" t="e">
        <f t="shared" si="9"/>
        <v>#N/A</v>
      </c>
      <c r="H170" s="178" t="e">
        <f t="shared" si="10"/>
        <v>#N/A</v>
      </c>
    </row>
    <row r="171" spans="1:8">
      <c r="A171" s="175"/>
      <c r="D171" s="190"/>
      <c r="E171" s="52" t="s">
        <v>365</v>
      </c>
      <c r="F171" s="47">
        <f t="shared" si="8"/>
        <v>1</v>
      </c>
      <c r="G171" s="47">
        <f t="shared" si="9"/>
        <v>0</v>
      </c>
      <c r="H171" s="178" t="b">
        <f t="shared" si="10"/>
        <v>1</v>
      </c>
    </row>
    <row r="172" spans="1:8">
      <c r="A172" s="175"/>
      <c r="D172" s="190"/>
      <c r="E172" s="52" t="s">
        <v>366</v>
      </c>
      <c r="F172" s="47" t="e">
        <f t="shared" si="8"/>
        <v>#N/A</v>
      </c>
      <c r="G172" s="47" t="e">
        <f t="shared" si="9"/>
        <v>#N/A</v>
      </c>
      <c r="H172" s="178" t="e">
        <f t="shared" si="10"/>
        <v>#N/A</v>
      </c>
    </row>
    <row r="173" spans="1:8">
      <c r="A173" s="175"/>
      <c r="D173" s="190"/>
      <c r="E173" s="52" t="s">
        <v>367</v>
      </c>
      <c r="F173" s="47" t="e">
        <f t="shared" si="8"/>
        <v>#N/A</v>
      </c>
      <c r="G173" s="47" t="e">
        <f t="shared" si="9"/>
        <v>#N/A</v>
      </c>
      <c r="H173" s="178" t="e">
        <f t="shared" si="10"/>
        <v>#N/A</v>
      </c>
    </row>
    <row r="174" spans="1:8">
      <c r="A174" s="175"/>
      <c r="D174" s="190"/>
      <c r="E174" s="52" t="s">
        <v>368</v>
      </c>
      <c r="F174" s="47" t="e">
        <f t="shared" si="8"/>
        <v>#N/A</v>
      </c>
      <c r="G174" s="47" t="e">
        <f t="shared" si="9"/>
        <v>#N/A</v>
      </c>
      <c r="H174" s="178" t="e">
        <f t="shared" si="10"/>
        <v>#N/A</v>
      </c>
    </row>
    <row r="175" spans="1:8">
      <c r="A175" s="175"/>
      <c r="D175" s="190"/>
      <c r="E175" s="52" t="s">
        <v>1002</v>
      </c>
      <c r="F175" s="47" t="e">
        <f t="shared" si="8"/>
        <v>#N/A</v>
      </c>
      <c r="G175" s="47" t="e">
        <f t="shared" si="9"/>
        <v>#N/A</v>
      </c>
      <c r="H175" s="178" t="e">
        <f>MID($E$24,15,2)=VLOOKUP(_xlfn.NUMBERVALUE($F175&amp;$G175),$E$17:$F$20,2,FALSE)</f>
        <v>#N/A</v>
      </c>
    </row>
    <row r="176" spans="1:8">
      <c r="A176" s="175"/>
      <c r="D176" s="190"/>
      <c r="E176" s="52" t="s">
        <v>369</v>
      </c>
      <c r="F176" s="47" t="e">
        <f t="shared" si="8"/>
        <v>#N/A</v>
      </c>
      <c r="G176" s="47" t="e">
        <f t="shared" si="9"/>
        <v>#N/A</v>
      </c>
      <c r="H176" s="178" t="e">
        <f t="shared" si="10"/>
        <v>#N/A</v>
      </c>
    </row>
    <row r="177" spans="1:8">
      <c r="A177" s="175"/>
      <c r="D177" s="190"/>
      <c r="E177" s="52" t="s">
        <v>370</v>
      </c>
      <c r="F177" s="47" t="e">
        <f t="shared" si="8"/>
        <v>#N/A</v>
      </c>
      <c r="G177" s="47" t="e">
        <f t="shared" si="9"/>
        <v>#N/A</v>
      </c>
      <c r="H177" s="178" t="e">
        <f t="shared" si="10"/>
        <v>#N/A</v>
      </c>
    </row>
    <row r="178" spans="1:8">
      <c r="A178" s="175"/>
      <c r="D178" s="190"/>
      <c r="E178" s="52" t="s">
        <v>371</v>
      </c>
      <c r="F178" s="47" t="e">
        <f t="shared" si="8"/>
        <v>#N/A</v>
      </c>
      <c r="G178" s="47" t="e">
        <f t="shared" si="9"/>
        <v>#N/A</v>
      </c>
      <c r="H178" s="178" t="e">
        <f t="shared" si="10"/>
        <v>#N/A</v>
      </c>
    </row>
    <row r="179" spans="1:8">
      <c r="A179" s="175"/>
      <c r="D179" s="190"/>
      <c r="E179" s="52" t="s">
        <v>372</v>
      </c>
      <c r="F179" s="47" t="e">
        <f t="shared" si="8"/>
        <v>#N/A</v>
      </c>
      <c r="G179" s="47" t="e">
        <f t="shared" si="9"/>
        <v>#N/A</v>
      </c>
      <c r="H179" s="178" t="e">
        <f t="shared" si="10"/>
        <v>#N/A</v>
      </c>
    </row>
    <row r="180" spans="1:8">
      <c r="A180" s="175"/>
      <c r="D180" s="190"/>
      <c r="E180" s="52" t="s">
        <v>373</v>
      </c>
      <c r="F180" s="47" t="e">
        <f t="shared" si="8"/>
        <v>#N/A</v>
      </c>
      <c r="G180" s="47" t="e">
        <f t="shared" si="9"/>
        <v>#N/A</v>
      </c>
      <c r="H180" s="178" t="e">
        <f t="shared" si="10"/>
        <v>#N/A</v>
      </c>
    </row>
    <row r="181" spans="1:8">
      <c r="A181" s="175"/>
      <c r="D181" s="190"/>
      <c r="E181" s="52" t="s">
        <v>374</v>
      </c>
      <c r="F181" s="47" t="e">
        <f t="shared" si="8"/>
        <v>#N/A</v>
      </c>
      <c r="G181" s="47" t="e">
        <f t="shared" si="9"/>
        <v>#N/A</v>
      </c>
      <c r="H181" s="178" t="e">
        <f t="shared" si="10"/>
        <v>#N/A</v>
      </c>
    </row>
    <row r="182" spans="1:8">
      <c r="A182" s="175"/>
      <c r="D182" s="190"/>
      <c r="E182" s="52" t="s">
        <v>375</v>
      </c>
      <c r="F182" s="47" t="e">
        <f t="shared" si="8"/>
        <v>#N/A</v>
      </c>
      <c r="G182" s="47" t="e">
        <f t="shared" si="9"/>
        <v>#N/A</v>
      </c>
      <c r="H182" s="178" t="e">
        <f t="shared" si="10"/>
        <v>#N/A</v>
      </c>
    </row>
    <row r="183" spans="1:8">
      <c r="A183" s="175"/>
      <c r="D183" s="190"/>
      <c r="E183" s="52" t="s">
        <v>376</v>
      </c>
      <c r="F183" s="47">
        <f t="shared" si="8"/>
        <v>1</v>
      </c>
      <c r="G183" s="47">
        <f t="shared" si="9"/>
        <v>0</v>
      </c>
      <c r="H183" s="178" t="b">
        <f t="shared" si="10"/>
        <v>1</v>
      </c>
    </row>
    <row r="184" spans="1:8">
      <c r="A184" s="175"/>
      <c r="D184" s="190"/>
      <c r="E184" s="52" t="s">
        <v>377</v>
      </c>
      <c r="F184" s="47" t="e">
        <f t="shared" si="8"/>
        <v>#N/A</v>
      </c>
      <c r="G184" s="47" t="e">
        <f t="shared" si="9"/>
        <v>#N/A</v>
      </c>
      <c r="H184" s="178" t="e">
        <f t="shared" si="10"/>
        <v>#N/A</v>
      </c>
    </row>
    <row r="185" spans="1:8">
      <c r="A185" s="175"/>
      <c r="D185" s="190"/>
      <c r="E185" s="52" t="s">
        <v>378</v>
      </c>
      <c r="F185" s="47" t="e">
        <f t="shared" si="8"/>
        <v>#N/A</v>
      </c>
      <c r="G185" s="47" t="e">
        <f t="shared" si="9"/>
        <v>#N/A</v>
      </c>
      <c r="H185" s="178" t="e">
        <f t="shared" si="10"/>
        <v>#N/A</v>
      </c>
    </row>
    <row r="186" spans="1:8">
      <c r="A186" s="175"/>
      <c r="D186" s="190"/>
      <c r="E186" s="52" t="s">
        <v>379</v>
      </c>
      <c r="F186" s="47" t="e">
        <f t="shared" si="8"/>
        <v>#N/A</v>
      </c>
      <c r="G186" s="47" t="e">
        <f t="shared" si="9"/>
        <v>#N/A</v>
      </c>
      <c r="H186" s="178" t="e">
        <f t="shared" si="10"/>
        <v>#N/A</v>
      </c>
    </row>
    <row r="187" spans="1:8">
      <c r="A187" s="175"/>
      <c r="D187" s="190"/>
      <c r="E187" s="52" t="s">
        <v>380</v>
      </c>
      <c r="F187" s="47" t="e">
        <f t="shared" si="8"/>
        <v>#N/A</v>
      </c>
      <c r="G187" s="47" t="e">
        <f t="shared" si="9"/>
        <v>#N/A</v>
      </c>
      <c r="H187" s="178" t="e">
        <f t="shared" si="10"/>
        <v>#N/A</v>
      </c>
    </row>
    <row r="188" spans="1:8">
      <c r="A188" s="175"/>
      <c r="D188" s="190"/>
      <c r="E188" s="52" t="s">
        <v>381</v>
      </c>
      <c r="F188" s="47">
        <f t="shared" si="8"/>
        <v>1</v>
      </c>
      <c r="G188" s="47">
        <f t="shared" si="9"/>
        <v>0</v>
      </c>
      <c r="H188" s="178" t="b">
        <f t="shared" si="10"/>
        <v>1</v>
      </c>
    </row>
    <row r="189" spans="1:8">
      <c r="A189" s="175"/>
      <c r="D189" s="190"/>
      <c r="E189" s="52" t="s">
        <v>382</v>
      </c>
      <c r="F189" s="47" t="e">
        <f t="shared" si="8"/>
        <v>#N/A</v>
      </c>
      <c r="G189" s="47" t="e">
        <f t="shared" si="9"/>
        <v>#N/A</v>
      </c>
      <c r="H189" s="178" t="e">
        <f t="shared" si="10"/>
        <v>#N/A</v>
      </c>
    </row>
    <row r="190" spans="1:8">
      <c r="A190" s="175"/>
      <c r="D190" s="190"/>
      <c r="E190" s="52" t="s">
        <v>383</v>
      </c>
      <c r="F190" s="47">
        <f t="shared" si="8"/>
        <v>1</v>
      </c>
      <c r="G190" s="47">
        <f t="shared" si="9"/>
        <v>0</v>
      </c>
      <c r="H190" s="178" t="b">
        <f t="shared" si="10"/>
        <v>1</v>
      </c>
    </row>
    <row r="191" spans="1:8">
      <c r="A191" s="175"/>
      <c r="D191" s="190"/>
      <c r="E191" s="52" t="s">
        <v>384</v>
      </c>
      <c r="F191" s="47" t="e">
        <f t="shared" si="8"/>
        <v>#N/A</v>
      </c>
      <c r="G191" s="47" t="e">
        <f t="shared" si="9"/>
        <v>#N/A</v>
      </c>
      <c r="H191" s="178" t="e">
        <f t="shared" si="10"/>
        <v>#N/A</v>
      </c>
    </row>
    <row r="192" spans="1:8">
      <c r="A192" s="175"/>
      <c r="D192" s="190"/>
      <c r="E192" s="52" t="s">
        <v>385</v>
      </c>
      <c r="F192" s="47">
        <f t="shared" si="8"/>
        <v>1</v>
      </c>
      <c r="G192" s="47">
        <f t="shared" si="9"/>
        <v>0</v>
      </c>
      <c r="H192" s="178" t="b">
        <f t="shared" si="10"/>
        <v>1</v>
      </c>
    </row>
    <row r="193" spans="1:8">
      <c r="A193" s="175"/>
      <c r="D193" s="190"/>
      <c r="E193" s="52" t="s">
        <v>386</v>
      </c>
      <c r="F193" s="47" t="e">
        <f t="shared" si="8"/>
        <v>#N/A</v>
      </c>
      <c r="G193" s="47" t="e">
        <f t="shared" si="9"/>
        <v>#N/A</v>
      </c>
      <c r="H193" s="178" t="e">
        <f t="shared" si="10"/>
        <v>#N/A</v>
      </c>
    </row>
    <row r="194" spans="1:8">
      <c r="A194" s="175"/>
      <c r="D194" s="190"/>
      <c r="E194" s="52" t="s">
        <v>387</v>
      </c>
      <c r="F194" s="47" t="e">
        <f t="shared" si="8"/>
        <v>#N/A</v>
      </c>
      <c r="G194" s="47" t="e">
        <f t="shared" si="9"/>
        <v>#N/A</v>
      </c>
      <c r="H194" s="178" t="e">
        <f t="shared" si="10"/>
        <v>#N/A</v>
      </c>
    </row>
    <row r="195" spans="1:8">
      <c r="A195" s="175"/>
      <c r="D195" s="190"/>
      <c r="E195" s="52" t="s">
        <v>388</v>
      </c>
      <c r="F195" s="47" t="e">
        <f t="shared" si="8"/>
        <v>#N/A</v>
      </c>
      <c r="G195" s="47" t="e">
        <f t="shared" si="9"/>
        <v>#N/A</v>
      </c>
      <c r="H195" s="178" t="e">
        <f t="shared" si="10"/>
        <v>#N/A</v>
      </c>
    </row>
    <row r="196" spans="1:8">
      <c r="A196" s="175"/>
      <c r="D196" s="190"/>
      <c r="E196" s="52" t="s">
        <v>389</v>
      </c>
      <c r="F196" s="47" t="e">
        <f t="shared" si="8"/>
        <v>#N/A</v>
      </c>
      <c r="G196" s="47" t="e">
        <f t="shared" si="9"/>
        <v>#N/A</v>
      </c>
      <c r="H196" s="178" t="e">
        <f t="shared" si="10"/>
        <v>#N/A</v>
      </c>
    </row>
    <row r="197" spans="1:8">
      <c r="A197" s="175"/>
      <c r="D197" s="190"/>
      <c r="E197" s="52" t="s">
        <v>390</v>
      </c>
      <c r="F197" s="47" t="e">
        <f t="shared" si="8"/>
        <v>#N/A</v>
      </c>
      <c r="G197" s="47" t="e">
        <f t="shared" si="9"/>
        <v>#N/A</v>
      </c>
      <c r="H197" s="178" t="e">
        <f t="shared" si="10"/>
        <v>#N/A</v>
      </c>
    </row>
    <row r="198" spans="1:8">
      <c r="A198" s="175"/>
      <c r="D198" s="190"/>
      <c r="E198" s="52" t="s">
        <v>391</v>
      </c>
      <c r="F198" s="47" t="e">
        <f t="shared" si="8"/>
        <v>#N/A</v>
      </c>
      <c r="G198" s="47" t="e">
        <f t="shared" si="9"/>
        <v>#N/A</v>
      </c>
      <c r="H198" s="178" t="e">
        <f t="shared" si="10"/>
        <v>#N/A</v>
      </c>
    </row>
    <row r="199" spans="1:8">
      <c r="A199" s="175"/>
      <c r="D199" s="190"/>
      <c r="E199" s="52" t="s">
        <v>392</v>
      </c>
      <c r="F199" s="47">
        <f t="shared" si="8"/>
        <v>1</v>
      </c>
      <c r="G199" s="47">
        <f t="shared" si="9"/>
        <v>0</v>
      </c>
      <c r="H199" s="178" t="b">
        <f t="shared" si="10"/>
        <v>1</v>
      </c>
    </row>
    <row r="200" spans="1:8">
      <c r="A200" s="175"/>
      <c r="D200" s="190"/>
      <c r="E200" s="52" t="s">
        <v>393</v>
      </c>
      <c r="F200" s="47" t="e">
        <f t="shared" si="8"/>
        <v>#N/A</v>
      </c>
      <c r="G200" s="47" t="e">
        <f t="shared" si="9"/>
        <v>#N/A</v>
      </c>
      <c r="H200" s="178" t="e">
        <f t="shared" si="10"/>
        <v>#N/A</v>
      </c>
    </row>
    <row r="201" spans="1:8">
      <c r="A201" s="175"/>
      <c r="D201" s="190"/>
      <c r="E201" s="52" t="s">
        <v>394</v>
      </c>
      <c r="F201" s="47" t="e">
        <f t="shared" si="8"/>
        <v>#N/A</v>
      </c>
      <c r="G201" s="47" t="e">
        <f t="shared" si="9"/>
        <v>#N/A</v>
      </c>
      <c r="H201" s="178" t="e">
        <f t="shared" si="10"/>
        <v>#N/A</v>
      </c>
    </row>
    <row r="202" spans="1:8">
      <c r="A202" s="175"/>
      <c r="D202" s="190"/>
      <c r="E202" s="52" t="s">
        <v>395</v>
      </c>
      <c r="F202" s="47" t="e">
        <f t="shared" si="8"/>
        <v>#N/A</v>
      </c>
      <c r="G202" s="47" t="e">
        <f t="shared" si="9"/>
        <v>#N/A</v>
      </c>
      <c r="H202" s="178" t="e">
        <f t="shared" si="10"/>
        <v>#N/A</v>
      </c>
    </row>
    <row r="203" spans="1:8">
      <c r="A203" s="175"/>
      <c r="D203" s="190"/>
      <c r="E203" s="52" t="s">
        <v>396</v>
      </c>
      <c r="F203" s="47" t="e">
        <f t="shared" si="8"/>
        <v>#N/A</v>
      </c>
      <c r="G203" s="47" t="e">
        <f t="shared" si="9"/>
        <v>#N/A</v>
      </c>
      <c r="H203" s="178" t="e">
        <f t="shared" si="10"/>
        <v>#N/A</v>
      </c>
    </row>
    <row r="204" spans="1:8">
      <c r="A204" s="175"/>
      <c r="D204" s="190"/>
      <c r="E204" s="52" t="s">
        <v>416</v>
      </c>
      <c r="F204" s="47">
        <f t="shared" si="8"/>
        <v>1</v>
      </c>
      <c r="G204" s="47">
        <f t="shared" si="9"/>
        <v>0</v>
      </c>
      <c r="H204" s="178" t="b">
        <f t="shared" si="10"/>
        <v>1</v>
      </c>
    </row>
    <row r="205" spans="1:8">
      <c r="A205" s="175"/>
      <c r="D205" s="190"/>
      <c r="E205" s="52" t="s">
        <v>397</v>
      </c>
      <c r="F205" s="47" t="e">
        <f t="shared" si="8"/>
        <v>#N/A</v>
      </c>
      <c r="G205" s="47" t="e">
        <f t="shared" si="9"/>
        <v>#N/A</v>
      </c>
      <c r="H205" s="178" t="e">
        <f t="shared" si="10"/>
        <v>#N/A</v>
      </c>
    </row>
    <row r="206" spans="1:8">
      <c r="A206" s="175"/>
      <c r="D206" s="190"/>
      <c r="E206" s="52" t="s">
        <v>417</v>
      </c>
      <c r="F206" s="47" t="e">
        <f t="shared" si="8"/>
        <v>#N/A</v>
      </c>
      <c r="G206" s="47" t="e">
        <f t="shared" si="9"/>
        <v>#N/A</v>
      </c>
      <c r="H206" s="178" t="e">
        <f t="shared" si="10"/>
        <v>#N/A</v>
      </c>
    </row>
    <row r="207" spans="1:8">
      <c r="A207" s="175"/>
      <c r="D207" s="190"/>
      <c r="E207" s="52" t="s">
        <v>398</v>
      </c>
      <c r="F207" s="47" t="e">
        <f t="shared" si="8"/>
        <v>#N/A</v>
      </c>
      <c r="G207" s="47" t="e">
        <f t="shared" si="9"/>
        <v>#N/A</v>
      </c>
      <c r="H207" s="178" t="e">
        <f t="shared" si="10"/>
        <v>#N/A</v>
      </c>
    </row>
    <row r="208" spans="1:8">
      <c r="A208" s="175"/>
      <c r="D208" s="190"/>
      <c r="E208" s="52" t="s">
        <v>399</v>
      </c>
      <c r="F208" s="47">
        <f t="shared" si="8"/>
        <v>1</v>
      </c>
      <c r="G208" s="47">
        <f t="shared" si="9"/>
        <v>0</v>
      </c>
      <c r="H208" s="178" t="b">
        <f t="shared" si="10"/>
        <v>1</v>
      </c>
    </row>
    <row r="209" spans="1:8">
      <c r="A209" s="175"/>
      <c r="D209" s="190"/>
      <c r="E209" s="52" t="s">
        <v>400</v>
      </c>
      <c r="F209" s="47" t="e">
        <f t="shared" si="8"/>
        <v>#N/A</v>
      </c>
      <c r="G209" s="47" t="e">
        <f t="shared" si="9"/>
        <v>#N/A</v>
      </c>
      <c r="H209" s="178" t="e">
        <f t="shared" si="10"/>
        <v>#N/A</v>
      </c>
    </row>
    <row r="210" spans="1:8">
      <c r="A210" s="175"/>
      <c r="D210" s="190"/>
      <c r="E210" s="52" t="s">
        <v>401</v>
      </c>
      <c r="F210" s="47">
        <f t="shared" si="8"/>
        <v>1</v>
      </c>
      <c r="G210" s="47">
        <f t="shared" si="9"/>
        <v>0</v>
      </c>
      <c r="H210" s="178" t="b">
        <f t="shared" si="10"/>
        <v>1</v>
      </c>
    </row>
    <row r="211" spans="1:8">
      <c r="A211" s="175"/>
      <c r="D211" s="190"/>
      <c r="E211" s="52" t="s">
        <v>402</v>
      </c>
      <c r="F211" s="47" t="e">
        <f t="shared" si="8"/>
        <v>#N/A</v>
      </c>
      <c r="G211" s="47" t="e">
        <f t="shared" si="9"/>
        <v>#N/A</v>
      </c>
      <c r="H211" s="178" t="e">
        <f t="shared" si="10"/>
        <v>#N/A</v>
      </c>
    </row>
    <row r="212" spans="1:8">
      <c r="A212" s="175"/>
      <c r="D212" s="190"/>
      <c r="E212" s="52" t="s">
        <v>403</v>
      </c>
      <c r="F212" s="47" t="e">
        <f t="shared" si="8"/>
        <v>#N/A</v>
      </c>
      <c r="G212" s="47" t="e">
        <f t="shared" si="9"/>
        <v>#N/A</v>
      </c>
      <c r="H212" s="178" t="e">
        <f t="shared" si="10"/>
        <v>#N/A</v>
      </c>
    </row>
    <row r="213" spans="1:8">
      <c r="A213" s="175"/>
      <c r="D213" s="190"/>
      <c r="E213" s="52" t="s">
        <v>404</v>
      </c>
      <c r="F213" s="47" t="e">
        <f t="shared" si="8"/>
        <v>#N/A</v>
      </c>
      <c r="G213" s="47" t="e">
        <f t="shared" si="9"/>
        <v>#N/A</v>
      </c>
      <c r="H213" s="178" t="e">
        <f t="shared" si="10"/>
        <v>#N/A</v>
      </c>
    </row>
    <row r="214" spans="1:8">
      <c r="A214" s="175"/>
      <c r="D214" s="190"/>
      <c r="E214" s="52" t="s">
        <v>405</v>
      </c>
      <c r="F214" s="47" t="e">
        <f t="shared" si="8"/>
        <v>#N/A</v>
      </c>
      <c r="G214" s="47" t="e">
        <f t="shared" si="9"/>
        <v>#N/A</v>
      </c>
      <c r="H214" s="178" t="e">
        <f t="shared" si="10"/>
        <v>#N/A</v>
      </c>
    </row>
    <row r="215" spans="1:8">
      <c r="A215" s="175"/>
      <c r="D215" s="190"/>
      <c r="E215" s="52" t="s">
        <v>406</v>
      </c>
      <c r="F215" s="47" t="e">
        <f t="shared" si="8"/>
        <v>#N/A</v>
      </c>
      <c r="G215" s="47" t="e">
        <f t="shared" si="9"/>
        <v>#N/A</v>
      </c>
      <c r="H215" s="178" t="e">
        <f t="shared" si="10"/>
        <v>#N/A</v>
      </c>
    </row>
    <row r="216" spans="1:8">
      <c r="A216" s="175"/>
      <c r="D216" s="190"/>
      <c r="E216" s="52" t="s">
        <v>407</v>
      </c>
      <c r="F216" s="47">
        <f t="shared" si="8"/>
        <v>1</v>
      </c>
      <c r="G216" s="47">
        <f t="shared" si="9"/>
        <v>0</v>
      </c>
      <c r="H216" s="178" t="b">
        <f t="shared" si="10"/>
        <v>1</v>
      </c>
    </row>
    <row r="217" spans="1:8">
      <c r="A217" s="175"/>
      <c r="D217" s="190"/>
      <c r="E217" s="52" t="s">
        <v>408</v>
      </c>
      <c r="F217" s="47" t="e">
        <f t="shared" si="8"/>
        <v>#N/A</v>
      </c>
      <c r="G217" s="47" t="e">
        <f t="shared" si="9"/>
        <v>#N/A</v>
      </c>
      <c r="H217" s="178" t="e">
        <f t="shared" si="10"/>
        <v>#N/A</v>
      </c>
    </row>
    <row r="218" spans="1:8">
      <c r="A218" s="175"/>
      <c r="D218" s="190"/>
      <c r="E218" s="52" t="s">
        <v>409</v>
      </c>
      <c r="F218" s="47" t="e">
        <f t="shared" si="8"/>
        <v>#N/A</v>
      </c>
      <c r="G218" s="47" t="e">
        <f t="shared" si="9"/>
        <v>#N/A</v>
      </c>
      <c r="H218" s="178" t="e">
        <f t="shared" si="10"/>
        <v>#N/A</v>
      </c>
    </row>
    <row r="219" spans="1:8">
      <c r="A219" s="175"/>
      <c r="D219" s="190"/>
      <c r="E219" s="52" t="s">
        <v>410</v>
      </c>
      <c r="F219" s="47" t="e">
        <f t="shared" si="8"/>
        <v>#N/A</v>
      </c>
      <c r="G219" s="47" t="e">
        <f t="shared" si="9"/>
        <v>#N/A</v>
      </c>
      <c r="H219" s="178" t="e">
        <f t="shared" si="10"/>
        <v>#N/A</v>
      </c>
    </row>
    <row r="220" spans="1:8">
      <c r="A220" s="175"/>
      <c r="D220" s="190"/>
      <c r="E220" s="52" t="s">
        <v>411</v>
      </c>
      <c r="F220" s="47" t="e">
        <f t="shared" si="8"/>
        <v>#N/A</v>
      </c>
      <c r="G220" s="47" t="e">
        <f t="shared" si="9"/>
        <v>#N/A</v>
      </c>
      <c r="H220" s="178" t="e">
        <f t="shared" si="10"/>
        <v>#N/A</v>
      </c>
    </row>
    <row r="221" spans="1:8">
      <c r="A221" s="175"/>
      <c r="D221" s="190"/>
      <c r="E221" s="52" t="s">
        <v>412</v>
      </c>
      <c r="F221" s="47" t="e">
        <f t="shared" si="8"/>
        <v>#N/A</v>
      </c>
      <c r="G221" s="47" t="e">
        <f t="shared" si="9"/>
        <v>#N/A</v>
      </c>
      <c r="H221" s="178" t="e">
        <f t="shared" si="10"/>
        <v>#N/A</v>
      </c>
    </row>
    <row r="222" spans="1:8">
      <c r="A222" s="175"/>
      <c r="D222" s="190"/>
      <c r="E222" s="52" t="s">
        <v>413</v>
      </c>
      <c r="F222" s="47" t="e">
        <f t="shared" si="8"/>
        <v>#N/A</v>
      </c>
      <c r="G222" s="47" t="e">
        <f t="shared" si="9"/>
        <v>#N/A</v>
      </c>
      <c r="H222" s="178" t="e">
        <f t="shared" si="10"/>
        <v>#N/A</v>
      </c>
    </row>
    <row r="223" spans="1:8">
      <c r="A223" s="175"/>
      <c r="D223" s="190"/>
      <c r="E223" s="52" t="s">
        <v>414</v>
      </c>
      <c r="F223" s="47" t="e">
        <f t="shared" ref="F223:F224" si="11">VLOOKUP($E223,Modelpuntoverzicht,9,FALSE)</f>
        <v>#N/A</v>
      </c>
      <c r="G223" s="47" t="e">
        <f t="shared" ref="G223:G224" si="12">VLOOKUP($E223,Modelpuntoverzicht,11,FALSE)</f>
        <v>#N/A</v>
      </c>
      <c r="H223" s="178" t="e">
        <f t="shared" si="10"/>
        <v>#N/A</v>
      </c>
    </row>
    <row r="224" spans="1:8">
      <c r="A224" s="175"/>
      <c r="D224" s="190"/>
      <c r="E224" s="52" t="s">
        <v>415</v>
      </c>
      <c r="F224" s="47" t="e">
        <f t="shared" si="11"/>
        <v>#N/A</v>
      </c>
      <c r="G224" s="47" t="e">
        <f t="shared" si="12"/>
        <v>#N/A</v>
      </c>
      <c r="H224" s="178" t="e">
        <f t="shared" ref="H224" si="13">MID($E$24,15,2)=VLOOKUP(_xlfn.NUMBERVALUE($F224&amp;$G224),$E$17:$F$20,2,FALSE)</f>
        <v>#N/A</v>
      </c>
    </row>
    <row r="225" spans="1:8">
      <c r="A225" s="175"/>
      <c r="D225" s="190"/>
      <c r="E225" s="52" t="s">
        <v>298</v>
      </c>
      <c r="F225" s="47" t="e">
        <f t="shared" ref="F225:F263" si="14">VLOOKUP($E225,Modelpuntoverzicht,9,FALSE)</f>
        <v>#N/A</v>
      </c>
      <c r="G225" s="47" t="e">
        <f t="shared" ref="G225:G263" si="15">VLOOKUP($E225,Modelpuntoverzicht,11,FALSE)</f>
        <v>#N/A</v>
      </c>
      <c r="H225" s="178" t="e">
        <f t="shared" ref="H225:H263" si="16">MID($E$225,15,2)=VLOOKUP(_xlfn.NUMBERVALUE($F225&amp;$G225),$E$17:$F$20,2,FALSE)</f>
        <v>#N/A</v>
      </c>
    </row>
    <row r="226" spans="1:8">
      <c r="A226" s="175"/>
      <c r="D226" s="190"/>
      <c r="E226" s="52" t="s">
        <v>972</v>
      </c>
      <c r="F226" s="47">
        <f t="shared" si="14"/>
        <v>2</v>
      </c>
      <c r="G226" s="47">
        <f t="shared" si="15"/>
        <v>0</v>
      </c>
      <c r="H226" s="178" t="b">
        <f t="shared" si="16"/>
        <v>1</v>
      </c>
    </row>
    <row r="227" spans="1:8">
      <c r="A227" s="175"/>
      <c r="D227" s="190"/>
      <c r="E227" s="52" t="s">
        <v>513</v>
      </c>
      <c r="F227" s="47">
        <f t="shared" si="14"/>
        <v>2</v>
      </c>
      <c r="G227" s="47">
        <f t="shared" si="15"/>
        <v>0</v>
      </c>
      <c r="H227" s="178" t="b">
        <f t="shared" si="16"/>
        <v>1</v>
      </c>
    </row>
    <row r="228" spans="1:8">
      <c r="A228" s="175"/>
      <c r="D228" s="190"/>
      <c r="E228" s="52" t="s">
        <v>514</v>
      </c>
      <c r="F228" s="47">
        <f t="shared" si="14"/>
        <v>2</v>
      </c>
      <c r="G228" s="47">
        <f t="shared" si="15"/>
        <v>0</v>
      </c>
      <c r="H228" s="178" t="b">
        <f t="shared" si="16"/>
        <v>1</v>
      </c>
    </row>
    <row r="229" spans="1:8">
      <c r="A229" s="175"/>
      <c r="D229" s="190"/>
      <c r="E229" s="52" t="s">
        <v>515</v>
      </c>
      <c r="F229" s="47">
        <f t="shared" si="14"/>
        <v>2</v>
      </c>
      <c r="G229" s="47">
        <f t="shared" si="15"/>
        <v>0</v>
      </c>
      <c r="H229" s="178" t="b">
        <f t="shared" si="16"/>
        <v>1</v>
      </c>
    </row>
    <row r="230" spans="1:8">
      <c r="A230" s="175"/>
      <c r="D230" s="190"/>
      <c r="E230" s="52" t="s">
        <v>349</v>
      </c>
      <c r="F230" s="47">
        <f t="shared" si="14"/>
        <v>2</v>
      </c>
      <c r="G230" s="47">
        <f t="shared" si="15"/>
        <v>0</v>
      </c>
      <c r="H230" s="178" t="b">
        <f t="shared" si="16"/>
        <v>1</v>
      </c>
    </row>
    <row r="231" spans="1:8">
      <c r="A231" s="175"/>
      <c r="D231" s="190"/>
      <c r="E231" s="52" t="s">
        <v>1014</v>
      </c>
      <c r="F231" s="47" t="e">
        <f t="shared" si="14"/>
        <v>#N/A</v>
      </c>
      <c r="G231" s="47" t="e">
        <f t="shared" si="15"/>
        <v>#N/A</v>
      </c>
      <c r="H231" s="178" t="e">
        <f t="shared" si="16"/>
        <v>#N/A</v>
      </c>
    </row>
    <row r="232" spans="1:8">
      <c r="A232" s="175"/>
      <c r="D232" s="190"/>
      <c r="E232" s="52" t="s">
        <v>999</v>
      </c>
      <c r="F232" s="47" t="e">
        <f t="shared" si="14"/>
        <v>#N/A</v>
      </c>
      <c r="G232" s="47" t="e">
        <f t="shared" si="15"/>
        <v>#N/A</v>
      </c>
      <c r="H232" s="178" t="e">
        <f t="shared" si="16"/>
        <v>#N/A</v>
      </c>
    </row>
    <row r="233" spans="1:8">
      <c r="A233" s="175"/>
      <c r="D233" s="190"/>
      <c r="E233" s="52" t="s">
        <v>995</v>
      </c>
      <c r="F233" s="47" t="e">
        <f t="shared" si="14"/>
        <v>#N/A</v>
      </c>
      <c r="G233" s="47" t="e">
        <f t="shared" si="15"/>
        <v>#N/A</v>
      </c>
      <c r="H233" s="178" t="e">
        <f t="shared" si="16"/>
        <v>#N/A</v>
      </c>
    </row>
    <row r="234" spans="1:8">
      <c r="A234" s="175"/>
      <c r="D234" s="190"/>
      <c r="E234" s="52" t="s">
        <v>516</v>
      </c>
      <c r="F234" s="47">
        <f t="shared" si="14"/>
        <v>2</v>
      </c>
      <c r="G234" s="47">
        <f t="shared" si="15"/>
        <v>0</v>
      </c>
      <c r="H234" s="178" t="b">
        <f t="shared" si="16"/>
        <v>1</v>
      </c>
    </row>
    <row r="235" spans="1:8">
      <c r="A235" s="175"/>
      <c r="D235" s="190"/>
      <c r="E235" s="52" t="s">
        <v>517</v>
      </c>
      <c r="F235" s="47">
        <f t="shared" si="14"/>
        <v>2</v>
      </c>
      <c r="G235" s="47">
        <f t="shared" si="15"/>
        <v>0</v>
      </c>
      <c r="H235" s="178" t="b">
        <f t="shared" si="16"/>
        <v>1</v>
      </c>
    </row>
    <row r="236" spans="1:8">
      <c r="A236" s="175"/>
      <c r="D236" s="190"/>
      <c r="E236" s="52" t="s">
        <v>518</v>
      </c>
      <c r="F236" s="47">
        <f t="shared" si="14"/>
        <v>2</v>
      </c>
      <c r="G236" s="47">
        <f t="shared" si="15"/>
        <v>0</v>
      </c>
      <c r="H236" s="178" t="b">
        <f t="shared" si="16"/>
        <v>1</v>
      </c>
    </row>
    <row r="237" spans="1:8">
      <c r="A237" s="175"/>
      <c r="D237" s="190"/>
      <c r="E237" s="52" t="s">
        <v>1015</v>
      </c>
      <c r="F237" s="47">
        <f t="shared" si="14"/>
        <v>2</v>
      </c>
      <c r="G237" s="47">
        <f t="shared" si="15"/>
        <v>0</v>
      </c>
      <c r="H237" s="178" t="b">
        <f t="shared" si="16"/>
        <v>1</v>
      </c>
    </row>
    <row r="238" spans="1:8">
      <c r="A238" s="175"/>
      <c r="D238" s="190"/>
      <c r="E238" s="52" t="s">
        <v>575</v>
      </c>
      <c r="F238" s="47">
        <f t="shared" si="14"/>
        <v>2</v>
      </c>
      <c r="G238" s="47">
        <f t="shared" si="15"/>
        <v>0</v>
      </c>
      <c r="H238" s="178" t="b">
        <f t="shared" si="16"/>
        <v>1</v>
      </c>
    </row>
    <row r="239" spans="1:8">
      <c r="A239" s="175"/>
      <c r="D239" s="190"/>
      <c r="E239" s="52" t="s">
        <v>996</v>
      </c>
      <c r="F239" s="47" t="e">
        <f t="shared" si="14"/>
        <v>#N/A</v>
      </c>
      <c r="G239" s="47" t="e">
        <f t="shared" si="15"/>
        <v>#N/A</v>
      </c>
      <c r="H239" s="178" t="e">
        <f t="shared" si="16"/>
        <v>#N/A</v>
      </c>
    </row>
    <row r="240" spans="1:8">
      <c r="A240" s="175"/>
      <c r="D240" s="190"/>
      <c r="E240" s="52" t="s">
        <v>343</v>
      </c>
      <c r="F240" s="47" t="e">
        <f t="shared" si="14"/>
        <v>#N/A</v>
      </c>
      <c r="G240" s="47" t="e">
        <f t="shared" si="15"/>
        <v>#N/A</v>
      </c>
      <c r="H240" s="178" t="e">
        <f t="shared" si="16"/>
        <v>#N/A</v>
      </c>
    </row>
    <row r="241" spans="1:8">
      <c r="A241" s="175"/>
      <c r="D241" s="190"/>
      <c r="E241" s="52" t="s">
        <v>1196</v>
      </c>
      <c r="F241" s="47" t="e">
        <f t="shared" si="14"/>
        <v>#N/A</v>
      </c>
      <c r="G241" s="47" t="e">
        <f t="shared" si="15"/>
        <v>#N/A</v>
      </c>
      <c r="H241" s="178" t="e">
        <f t="shared" si="16"/>
        <v>#N/A</v>
      </c>
    </row>
    <row r="242" spans="1:8">
      <c r="A242" s="175"/>
      <c r="D242" s="190"/>
      <c r="E242" s="52" t="s">
        <v>519</v>
      </c>
      <c r="F242" s="47">
        <f t="shared" si="14"/>
        <v>2</v>
      </c>
      <c r="G242" s="47">
        <f t="shared" si="15"/>
        <v>0</v>
      </c>
      <c r="H242" s="178" t="b">
        <f t="shared" si="16"/>
        <v>1</v>
      </c>
    </row>
    <row r="243" spans="1:8">
      <c r="A243" s="175"/>
      <c r="D243" s="190"/>
      <c r="E243" s="52" t="s">
        <v>520</v>
      </c>
      <c r="F243" s="47">
        <f t="shared" si="14"/>
        <v>2</v>
      </c>
      <c r="G243" s="47">
        <f t="shared" si="15"/>
        <v>0</v>
      </c>
      <c r="H243" s="178" t="b">
        <f t="shared" si="16"/>
        <v>1</v>
      </c>
    </row>
    <row r="244" spans="1:8">
      <c r="A244" s="175"/>
      <c r="D244" s="190"/>
      <c r="E244" s="52" t="s">
        <v>521</v>
      </c>
      <c r="F244" s="47">
        <f t="shared" si="14"/>
        <v>2</v>
      </c>
      <c r="G244" s="47">
        <f t="shared" si="15"/>
        <v>0</v>
      </c>
      <c r="H244" s="178" t="b">
        <f t="shared" si="16"/>
        <v>1</v>
      </c>
    </row>
    <row r="245" spans="1:8">
      <c r="A245" s="175"/>
      <c r="D245" s="190"/>
      <c r="E245" s="52" t="s">
        <v>522</v>
      </c>
      <c r="F245" s="47">
        <f t="shared" si="14"/>
        <v>2</v>
      </c>
      <c r="G245" s="47">
        <f t="shared" si="15"/>
        <v>0</v>
      </c>
      <c r="H245" s="178" t="b">
        <f t="shared" si="16"/>
        <v>1</v>
      </c>
    </row>
    <row r="246" spans="1:8">
      <c r="A246" s="175"/>
      <c r="D246" s="190"/>
      <c r="E246" s="52" t="s">
        <v>523</v>
      </c>
      <c r="F246" s="47">
        <f t="shared" si="14"/>
        <v>2</v>
      </c>
      <c r="G246" s="47">
        <f t="shared" si="15"/>
        <v>0</v>
      </c>
      <c r="H246" s="178" t="b">
        <f t="shared" si="16"/>
        <v>1</v>
      </c>
    </row>
    <row r="247" spans="1:8">
      <c r="A247" s="175"/>
      <c r="D247" s="190"/>
      <c r="E247" s="52" t="s">
        <v>344</v>
      </c>
      <c r="F247" s="47" t="e">
        <f t="shared" si="14"/>
        <v>#N/A</v>
      </c>
      <c r="G247" s="47" t="e">
        <f t="shared" si="15"/>
        <v>#N/A</v>
      </c>
      <c r="H247" s="178" t="e">
        <f t="shared" si="16"/>
        <v>#N/A</v>
      </c>
    </row>
    <row r="248" spans="1:8">
      <c r="A248" s="175"/>
      <c r="D248" s="190"/>
      <c r="E248" s="52" t="s">
        <v>345</v>
      </c>
      <c r="F248" s="47" t="e">
        <f t="shared" si="14"/>
        <v>#N/A</v>
      </c>
      <c r="G248" s="47" t="e">
        <f t="shared" si="15"/>
        <v>#N/A</v>
      </c>
      <c r="H248" s="178" t="e">
        <f t="shared" si="16"/>
        <v>#N/A</v>
      </c>
    </row>
    <row r="249" spans="1:8">
      <c r="A249" s="175"/>
      <c r="D249" s="190"/>
      <c r="E249" s="52" t="s">
        <v>524</v>
      </c>
      <c r="F249" s="47">
        <f t="shared" si="14"/>
        <v>2</v>
      </c>
      <c r="G249" s="47">
        <f t="shared" si="15"/>
        <v>0</v>
      </c>
      <c r="H249" s="178" t="b">
        <f t="shared" si="16"/>
        <v>1</v>
      </c>
    </row>
    <row r="250" spans="1:8">
      <c r="A250" s="175"/>
      <c r="D250" s="190"/>
      <c r="E250" s="52" t="s">
        <v>525</v>
      </c>
      <c r="F250" s="47">
        <f t="shared" si="14"/>
        <v>2</v>
      </c>
      <c r="G250" s="47">
        <f t="shared" si="15"/>
        <v>0</v>
      </c>
      <c r="H250" s="178" t="b">
        <f t="shared" si="16"/>
        <v>1</v>
      </c>
    </row>
    <row r="251" spans="1:8">
      <c r="A251" s="175"/>
      <c r="D251" s="190"/>
      <c r="E251" s="52" t="s">
        <v>526</v>
      </c>
      <c r="F251" s="47">
        <f t="shared" si="14"/>
        <v>2</v>
      </c>
      <c r="G251" s="47">
        <f t="shared" si="15"/>
        <v>0</v>
      </c>
      <c r="H251" s="178" t="b">
        <f t="shared" si="16"/>
        <v>1</v>
      </c>
    </row>
    <row r="252" spans="1:8">
      <c r="A252" s="175"/>
      <c r="D252" s="190"/>
      <c r="E252" s="52" t="s">
        <v>527</v>
      </c>
      <c r="F252" s="47">
        <f t="shared" si="14"/>
        <v>2</v>
      </c>
      <c r="G252" s="47">
        <f t="shared" si="15"/>
        <v>0</v>
      </c>
      <c r="H252" s="178" t="b">
        <f t="shared" si="16"/>
        <v>1</v>
      </c>
    </row>
    <row r="253" spans="1:8">
      <c r="A253" s="175"/>
      <c r="D253" s="190"/>
      <c r="E253" s="52" t="s">
        <v>528</v>
      </c>
      <c r="F253" s="47">
        <f t="shared" si="14"/>
        <v>2</v>
      </c>
      <c r="G253" s="47">
        <f t="shared" si="15"/>
        <v>0</v>
      </c>
      <c r="H253" s="178" t="b">
        <f t="shared" si="16"/>
        <v>1</v>
      </c>
    </row>
    <row r="254" spans="1:8">
      <c r="A254" s="175"/>
      <c r="D254" s="190"/>
      <c r="E254" s="52" t="s">
        <v>1016</v>
      </c>
      <c r="F254" s="47">
        <f t="shared" si="14"/>
        <v>2</v>
      </c>
      <c r="G254" s="47">
        <f t="shared" si="15"/>
        <v>0</v>
      </c>
      <c r="H254" s="178" t="b">
        <f t="shared" si="16"/>
        <v>1</v>
      </c>
    </row>
    <row r="255" spans="1:8">
      <c r="A255" s="175"/>
      <c r="D255" s="190"/>
      <c r="E255" s="52" t="s">
        <v>529</v>
      </c>
      <c r="F255" s="47">
        <f t="shared" si="14"/>
        <v>2</v>
      </c>
      <c r="G255" s="47">
        <f t="shared" si="15"/>
        <v>0</v>
      </c>
      <c r="H255" s="178" t="b">
        <f t="shared" si="16"/>
        <v>1</v>
      </c>
    </row>
    <row r="256" spans="1:8">
      <c r="A256" s="175"/>
      <c r="D256" s="190"/>
      <c r="E256" s="52" t="s">
        <v>530</v>
      </c>
      <c r="F256" s="47">
        <f t="shared" si="14"/>
        <v>2</v>
      </c>
      <c r="G256" s="47">
        <f t="shared" si="15"/>
        <v>0</v>
      </c>
      <c r="H256" s="178" t="b">
        <f t="shared" si="16"/>
        <v>1</v>
      </c>
    </row>
    <row r="257" spans="1:8">
      <c r="A257" s="175"/>
      <c r="D257" s="190"/>
      <c r="E257" s="52" t="s">
        <v>531</v>
      </c>
      <c r="F257" s="47">
        <f t="shared" si="14"/>
        <v>2</v>
      </c>
      <c r="G257" s="47">
        <f t="shared" si="15"/>
        <v>0</v>
      </c>
      <c r="H257" s="178" t="b">
        <f t="shared" si="16"/>
        <v>1</v>
      </c>
    </row>
    <row r="258" spans="1:8">
      <c r="A258" s="175"/>
      <c r="D258" s="190"/>
      <c r="E258" s="52" t="s">
        <v>532</v>
      </c>
      <c r="F258" s="47">
        <f t="shared" si="14"/>
        <v>2</v>
      </c>
      <c r="G258" s="47">
        <f t="shared" si="15"/>
        <v>0</v>
      </c>
      <c r="H258" s="178" t="b">
        <f t="shared" si="16"/>
        <v>1</v>
      </c>
    </row>
    <row r="259" spans="1:8">
      <c r="A259" s="175"/>
      <c r="D259" s="190"/>
      <c r="E259" s="52" t="s">
        <v>1083</v>
      </c>
      <c r="F259" s="47">
        <f t="shared" si="14"/>
        <v>2</v>
      </c>
      <c r="G259" s="47">
        <f t="shared" si="15"/>
        <v>0</v>
      </c>
      <c r="H259" s="178" t="b">
        <f t="shared" si="16"/>
        <v>1</v>
      </c>
    </row>
    <row r="260" spans="1:8">
      <c r="A260" s="175"/>
      <c r="D260" s="190"/>
      <c r="E260" s="52" t="s">
        <v>1084</v>
      </c>
      <c r="F260" s="47">
        <f t="shared" si="14"/>
        <v>2</v>
      </c>
      <c r="G260" s="47">
        <f t="shared" si="15"/>
        <v>0</v>
      </c>
      <c r="H260" s="178" t="b">
        <f t="shared" si="16"/>
        <v>1</v>
      </c>
    </row>
    <row r="261" spans="1:8">
      <c r="A261" s="175"/>
      <c r="D261" s="190"/>
      <c r="E261" s="52" t="s">
        <v>533</v>
      </c>
      <c r="F261" s="47">
        <f t="shared" si="14"/>
        <v>2</v>
      </c>
      <c r="G261" s="47">
        <f t="shared" si="15"/>
        <v>0</v>
      </c>
      <c r="H261" s="178" t="b">
        <f t="shared" si="16"/>
        <v>1</v>
      </c>
    </row>
    <row r="262" spans="1:8">
      <c r="A262" s="175"/>
      <c r="D262" s="190"/>
      <c r="E262" s="52" t="s">
        <v>1189</v>
      </c>
      <c r="F262" s="47">
        <f t="shared" si="14"/>
        <v>2</v>
      </c>
      <c r="G262" s="47">
        <f t="shared" si="15"/>
        <v>0</v>
      </c>
      <c r="H262" s="178" t="b">
        <f t="shared" si="16"/>
        <v>1</v>
      </c>
    </row>
    <row r="263" spans="1:8">
      <c r="A263" s="175"/>
      <c r="D263" s="190"/>
      <c r="E263" s="52" t="s">
        <v>350</v>
      </c>
      <c r="F263" s="47">
        <f t="shared" si="14"/>
        <v>2</v>
      </c>
      <c r="G263" s="47">
        <f t="shared" si="15"/>
        <v>0</v>
      </c>
      <c r="H263" s="178" t="b">
        <f t="shared" si="16"/>
        <v>1</v>
      </c>
    </row>
    <row r="264" spans="1:8">
      <c r="A264" s="175"/>
      <c r="D264" s="190"/>
      <c r="E264" s="52" t="s">
        <v>299</v>
      </c>
      <c r="F264" s="47" t="e">
        <f t="shared" ref="F264:F380" si="17">VLOOKUP($E264,Modelpuntoverzicht,9,FALSE)</f>
        <v>#N/A</v>
      </c>
      <c r="G264" s="47" t="e">
        <f t="shared" ref="G264:G380" si="18">VLOOKUP($E264,Modelpuntoverzicht,11,FALSE)</f>
        <v>#N/A</v>
      </c>
      <c r="H264" s="178" t="e">
        <f t="shared" ref="H264:H295" si="19">MID($E$264,15,2)=VLOOKUP(_xlfn.NUMBERVALUE($F264&amp;$G264),$E$17:$F$20,2,FALSE)</f>
        <v>#N/A</v>
      </c>
    </row>
    <row r="265" spans="1:8">
      <c r="A265" s="175"/>
      <c r="D265" s="190"/>
      <c r="E265" s="52" t="s">
        <v>495</v>
      </c>
      <c r="F265" s="47">
        <f t="shared" si="17"/>
        <v>2</v>
      </c>
      <c r="G265" s="47">
        <f t="shared" si="18"/>
        <v>1</v>
      </c>
      <c r="H265" s="178" t="b">
        <f t="shared" si="19"/>
        <v>1</v>
      </c>
    </row>
    <row r="266" spans="1:8">
      <c r="A266" s="175"/>
      <c r="D266" s="190"/>
      <c r="E266" s="52" t="s">
        <v>496</v>
      </c>
      <c r="F266" s="47">
        <f t="shared" si="17"/>
        <v>2</v>
      </c>
      <c r="G266" s="47">
        <f t="shared" si="18"/>
        <v>1</v>
      </c>
      <c r="H266" s="178" t="b">
        <f t="shared" si="19"/>
        <v>1</v>
      </c>
    </row>
    <row r="267" spans="1:8">
      <c r="A267" s="175"/>
      <c r="D267" s="190"/>
      <c r="E267" s="52" t="s">
        <v>497</v>
      </c>
      <c r="F267" s="47">
        <f t="shared" si="17"/>
        <v>2</v>
      </c>
      <c r="G267" s="47">
        <f t="shared" si="18"/>
        <v>1</v>
      </c>
      <c r="H267" s="178" t="b">
        <f t="shared" si="19"/>
        <v>1</v>
      </c>
    </row>
    <row r="268" spans="1:8">
      <c r="A268" s="175"/>
      <c r="D268" s="190"/>
      <c r="E268" s="52" t="s">
        <v>498</v>
      </c>
      <c r="F268" s="47">
        <f t="shared" si="17"/>
        <v>2</v>
      </c>
      <c r="G268" s="47">
        <f t="shared" si="18"/>
        <v>1</v>
      </c>
      <c r="H268" s="178" t="b">
        <f t="shared" si="19"/>
        <v>1</v>
      </c>
    </row>
    <row r="269" spans="1:8">
      <c r="A269" s="175"/>
      <c r="D269" s="190"/>
      <c r="E269" s="52" t="s">
        <v>347</v>
      </c>
      <c r="F269" s="47">
        <f t="shared" si="17"/>
        <v>2</v>
      </c>
      <c r="G269" s="47">
        <f t="shared" si="18"/>
        <v>1</v>
      </c>
      <c r="H269" s="178" t="b">
        <f t="shared" si="19"/>
        <v>1</v>
      </c>
    </row>
    <row r="270" spans="1:8">
      <c r="A270" s="175"/>
      <c r="D270" s="190"/>
      <c r="E270" s="52" t="s">
        <v>1012</v>
      </c>
      <c r="F270" s="47" t="e">
        <f t="shared" si="17"/>
        <v>#N/A</v>
      </c>
      <c r="G270" s="47" t="e">
        <f t="shared" si="18"/>
        <v>#N/A</v>
      </c>
      <c r="H270" s="178" t="e">
        <f t="shared" si="19"/>
        <v>#N/A</v>
      </c>
    </row>
    <row r="271" spans="1:8">
      <c r="A271" s="175"/>
      <c r="D271" s="190"/>
      <c r="E271" s="52" t="s">
        <v>998</v>
      </c>
      <c r="F271" s="47" t="e">
        <f t="shared" si="17"/>
        <v>#N/A</v>
      </c>
      <c r="G271" s="47" t="e">
        <f t="shared" si="18"/>
        <v>#N/A</v>
      </c>
      <c r="H271" s="178" t="e">
        <f t="shared" si="19"/>
        <v>#N/A</v>
      </c>
    </row>
    <row r="272" spans="1:8">
      <c r="A272" s="175"/>
      <c r="D272" s="190"/>
      <c r="E272" s="52" t="s">
        <v>997</v>
      </c>
      <c r="F272" s="47" t="e">
        <f t="shared" si="17"/>
        <v>#N/A</v>
      </c>
      <c r="G272" s="47" t="e">
        <f t="shared" si="18"/>
        <v>#N/A</v>
      </c>
      <c r="H272" s="178" t="e">
        <f t="shared" si="19"/>
        <v>#N/A</v>
      </c>
    </row>
    <row r="273" spans="1:8">
      <c r="A273" s="175"/>
      <c r="D273" s="190"/>
      <c r="E273" s="52" t="s">
        <v>993</v>
      </c>
      <c r="F273" s="47" t="e">
        <f t="shared" si="17"/>
        <v>#N/A</v>
      </c>
      <c r="G273" s="47" t="e">
        <f t="shared" si="18"/>
        <v>#N/A</v>
      </c>
      <c r="H273" s="178" t="e">
        <f t="shared" si="19"/>
        <v>#N/A</v>
      </c>
    </row>
    <row r="274" spans="1:8">
      <c r="A274" s="175"/>
      <c r="D274" s="190"/>
      <c r="E274" s="52" t="s">
        <v>499</v>
      </c>
      <c r="F274" s="47">
        <f t="shared" si="17"/>
        <v>2</v>
      </c>
      <c r="G274" s="47">
        <f t="shared" si="18"/>
        <v>1</v>
      </c>
      <c r="H274" s="178" t="b">
        <f t="shared" si="19"/>
        <v>1</v>
      </c>
    </row>
    <row r="275" spans="1:8">
      <c r="A275" s="175"/>
      <c r="D275" s="190"/>
      <c r="E275" s="52" t="s">
        <v>500</v>
      </c>
      <c r="F275" s="47">
        <f t="shared" si="17"/>
        <v>2</v>
      </c>
      <c r="G275" s="47">
        <f t="shared" si="18"/>
        <v>1</v>
      </c>
      <c r="H275" s="178" t="b">
        <f t="shared" si="19"/>
        <v>1</v>
      </c>
    </row>
    <row r="276" spans="1:8">
      <c r="A276" s="175"/>
      <c r="D276" s="190"/>
      <c r="E276" s="52" t="s">
        <v>339</v>
      </c>
      <c r="F276" s="47" t="e">
        <f t="shared" si="17"/>
        <v>#N/A</v>
      </c>
      <c r="G276" s="47" t="e">
        <f t="shared" si="18"/>
        <v>#N/A</v>
      </c>
      <c r="H276" s="178" t="e">
        <f t="shared" si="19"/>
        <v>#N/A</v>
      </c>
    </row>
    <row r="277" spans="1:8">
      <c r="A277" s="175"/>
      <c r="D277" s="190"/>
      <c r="E277" s="52" t="s">
        <v>501</v>
      </c>
      <c r="F277" s="47">
        <f t="shared" si="17"/>
        <v>2</v>
      </c>
      <c r="G277" s="47">
        <f t="shared" si="18"/>
        <v>1</v>
      </c>
      <c r="H277" s="178" t="b">
        <f t="shared" si="19"/>
        <v>1</v>
      </c>
    </row>
    <row r="278" spans="1:8">
      <c r="A278" s="175"/>
      <c r="D278" s="190"/>
      <c r="E278" s="52" t="s">
        <v>994</v>
      </c>
      <c r="F278" s="47" t="e">
        <f t="shared" si="17"/>
        <v>#N/A</v>
      </c>
      <c r="G278" s="47" t="e">
        <f t="shared" si="18"/>
        <v>#N/A</v>
      </c>
      <c r="H278" s="178" t="e">
        <f t="shared" si="19"/>
        <v>#N/A</v>
      </c>
    </row>
    <row r="279" spans="1:8">
      <c r="A279" s="175"/>
      <c r="D279" s="190"/>
      <c r="E279" s="52" t="s">
        <v>340</v>
      </c>
      <c r="F279" s="47" t="e">
        <f t="shared" si="17"/>
        <v>#N/A</v>
      </c>
      <c r="G279" s="47" t="e">
        <f t="shared" si="18"/>
        <v>#N/A</v>
      </c>
      <c r="H279" s="178" t="e">
        <f t="shared" si="19"/>
        <v>#N/A</v>
      </c>
    </row>
    <row r="280" spans="1:8">
      <c r="A280" s="175"/>
      <c r="D280" s="190"/>
      <c r="E280" s="52" t="s">
        <v>348</v>
      </c>
      <c r="F280" s="47" t="e">
        <f t="shared" si="17"/>
        <v>#N/A</v>
      </c>
      <c r="G280" s="47" t="e">
        <f t="shared" si="18"/>
        <v>#N/A</v>
      </c>
      <c r="H280" s="178" t="e">
        <f t="shared" si="19"/>
        <v>#N/A</v>
      </c>
    </row>
    <row r="281" spans="1:8">
      <c r="A281" s="175"/>
      <c r="D281" s="190"/>
      <c r="E281" s="52" t="s">
        <v>1195</v>
      </c>
      <c r="F281" s="47" t="e">
        <f t="shared" si="17"/>
        <v>#N/A</v>
      </c>
      <c r="G281" s="47" t="e">
        <f t="shared" si="18"/>
        <v>#N/A</v>
      </c>
      <c r="H281" s="178" t="e">
        <f t="shared" si="19"/>
        <v>#N/A</v>
      </c>
    </row>
    <row r="282" spans="1:8">
      <c r="A282" s="175"/>
      <c r="D282" s="190"/>
      <c r="E282" s="52" t="s">
        <v>502</v>
      </c>
      <c r="F282" s="47">
        <f t="shared" si="17"/>
        <v>2</v>
      </c>
      <c r="G282" s="47">
        <f t="shared" si="18"/>
        <v>1</v>
      </c>
      <c r="H282" s="178" t="b">
        <f t="shared" si="19"/>
        <v>1</v>
      </c>
    </row>
    <row r="283" spans="1:8">
      <c r="A283" s="175"/>
      <c r="D283" s="190"/>
      <c r="E283" s="52" t="s">
        <v>503</v>
      </c>
      <c r="F283" s="47">
        <f t="shared" si="17"/>
        <v>2</v>
      </c>
      <c r="G283" s="47">
        <f t="shared" si="18"/>
        <v>1</v>
      </c>
      <c r="H283" s="178" t="b">
        <f t="shared" si="19"/>
        <v>1</v>
      </c>
    </row>
    <row r="284" spans="1:8">
      <c r="A284" s="175"/>
      <c r="D284" s="190"/>
      <c r="E284" s="52" t="s">
        <v>504</v>
      </c>
      <c r="F284" s="47">
        <f t="shared" si="17"/>
        <v>2</v>
      </c>
      <c r="G284" s="47">
        <f t="shared" si="18"/>
        <v>1</v>
      </c>
      <c r="H284" s="178" t="b">
        <f t="shared" si="19"/>
        <v>1</v>
      </c>
    </row>
    <row r="285" spans="1:8">
      <c r="A285" s="175"/>
      <c r="D285" s="190"/>
      <c r="E285" s="52" t="s">
        <v>505</v>
      </c>
      <c r="F285" s="47">
        <f t="shared" si="17"/>
        <v>2</v>
      </c>
      <c r="G285" s="47">
        <f t="shared" si="18"/>
        <v>1</v>
      </c>
      <c r="H285" s="178" t="b">
        <f t="shared" si="19"/>
        <v>1</v>
      </c>
    </row>
    <row r="286" spans="1:8">
      <c r="A286" s="175"/>
      <c r="D286" s="190"/>
      <c r="E286" s="52" t="s">
        <v>506</v>
      </c>
      <c r="F286" s="47">
        <f t="shared" si="17"/>
        <v>2</v>
      </c>
      <c r="G286" s="47">
        <f t="shared" si="18"/>
        <v>1</v>
      </c>
      <c r="H286" s="178" t="b">
        <f t="shared" si="19"/>
        <v>1</v>
      </c>
    </row>
    <row r="287" spans="1:8">
      <c r="A287" s="175"/>
      <c r="D287" s="190"/>
      <c r="E287" s="52" t="s">
        <v>341</v>
      </c>
      <c r="F287" s="47" t="e">
        <f t="shared" si="17"/>
        <v>#N/A</v>
      </c>
      <c r="G287" s="47" t="e">
        <f t="shared" si="18"/>
        <v>#N/A</v>
      </c>
      <c r="H287" s="178" t="e">
        <f t="shared" si="19"/>
        <v>#N/A</v>
      </c>
    </row>
    <row r="288" spans="1:8">
      <c r="A288" s="175"/>
      <c r="D288" s="190"/>
      <c r="E288" s="52" t="s">
        <v>342</v>
      </c>
      <c r="F288" s="47" t="e">
        <f t="shared" si="17"/>
        <v>#N/A</v>
      </c>
      <c r="G288" s="47" t="e">
        <f t="shared" si="18"/>
        <v>#N/A</v>
      </c>
      <c r="H288" s="178" t="e">
        <f t="shared" si="19"/>
        <v>#N/A</v>
      </c>
    </row>
    <row r="289" spans="1:8">
      <c r="A289" s="175"/>
      <c r="D289" s="190"/>
      <c r="E289" s="52" t="s">
        <v>507</v>
      </c>
      <c r="F289" s="47">
        <f t="shared" si="17"/>
        <v>2</v>
      </c>
      <c r="G289" s="47">
        <f t="shared" si="18"/>
        <v>1</v>
      </c>
      <c r="H289" s="178" t="b">
        <f t="shared" si="19"/>
        <v>1</v>
      </c>
    </row>
    <row r="290" spans="1:8">
      <c r="A290" s="175"/>
      <c r="D290" s="190"/>
      <c r="E290" s="52" t="s">
        <v>508</v>
      </c>
      <c r="F290" s="47">
        <f t="shared" si="17"/>
        <v>2</v>
      </c>
      <c r="G290" s="47">
        <f t="shared" si="18"/>
        <v>1</v>
      </c>
      <c r="H290" s="178" t="b">
        <f t="shared" si="19"/>
        <v>1</v>
      </c>
    </row>
    <row r="291" spans="1:8">
      <c r="A291" s="175"/>
      <c r="D291" s="190"/>
      <c r="E291" s="52" t="s">
        <v>1013</v>
      </c>
      <c r="F291" s="47">
        <f t="shared" si="17"/>
        <v>2</v>
      </c>
      <c r="G291" s="47">
        <f t="shared" si="18"/>
        <v>1</v>
      </c>
      <c r="H291" s="178" t="b">
        <f t="shared" si="19"/>
        <v>1</v>
      </c>
    </row>
    <row r="292" spans="1:8">
      <c r="A292" s="175"/>
      <c r="D292" s="190"/>
      <c r="E292" s="52" t="s">
        <v>509</v>
      </c>
      <c r="F292" s="47">
        <f t="shared" si="17"/>
        <v>2</v>
      </c>
      <c r="G292" s="47">
        <f t="shared" si="18"/>
        <v>1</v>
      </c>
      <c r="H292" s="178" t="b">
        <f t="shared" si="19"/>
        <v>1</v>
      </c>
    </row>
    <row r="293" spans="1:8">
      <c r="A293" s="175"/>
      <c r="D293" s="190"/>
      <c r="E293" s="52" t="s">
        <v>510</v>
      </c>
      <c r="F293" s="47">
        <f t="shared" si="17"/>
        <v>2</v>
      </c>
      <c r="G293" s="47">
        <f t="shared" si="18"/>
        <v>1</v>
      </c>
      <c r="H293" s="178" t="b">
        <f t="shared" si="19"/>
        <v>1</v>
      </c>
    </row>
    <row r="294" spans="1:8">
      <c r="A294" s="175"/>
      <c r="D294" s="190"/>
      <c r="E294" s="52" t="s">
        <v>511</v>
      </c>
      <c r="F294" s="47">
        <f t="shared" si="17"/>
        <v>2</v>
      </c>
      <c r="G294" s="47">
        <f t="shared" si="18"/>
        <v>1</v>
      </c>
      <c r="H294" s="178" t="b">
        <f t="shared" si="19"/>
        <v>1</v>
      </c>
    </row>
    <row r="295" spans="1:8">
      <c r="A295" s="175"/>
      <c r="D295" s="190"/>
      <c r="E295" s="52" t="s">
        <v>512</v>
      </c>
      <c r="F295" s="47">
        <f t="shared" si="17"/>
        <v>2</v>
      </c>
      <c r="G295" s="47">
        <f t="shared" si="18"/>
        <v>1</v>
      </c>
      <c r="H295" s="178" t="b">
        <f t="shared" si="19"/>
        <v>1</v>
      </c>
    </row>
    <row r="296" spans="1:8">
      <c r="A296" s="175"/>
      <c r="D296" s="190"/>
      <c r="E296" s="52" t="s">
        <v>300</v>
      </c>
      <c r="F296" s="47" t="e">
        <f t="shared" si="17"/>
        <v>#N/A</v>
      </c>
      <c r="G296" s="47" t="e">
        <f t="shared" si="18"/>
        <v>#N/A</v>
      </c>
      <c r="H296" s="178" t="e">
        <f t="shared" ref="H296:H329" si="20">MID($E$296,15,2)=VLOOKUP(_xlfn.NUMBERVALUE($F296&amp;$G296),$E$17:$F$20,2,FALSE)</f>
        <v>#N/A</v>
      </c>
    </row>
    <row r="297" spans="1:8">
      <c r="A297" s="175"/>
      <c r="D297" s="190"/>
      <c r="E297" s="52" t="s">
        <v>1191</v>
      </c>
      <c r="F297" s="47">
        <f t="shared" si="17"/>
        <v>3</v>
      </c>
      <c r="G297" s="47">
        <f t="shared" si="18"/>
        <v>0</v>
      </c>
      <c r="H297" s="178" t="b">
        <f t="shared" si="20"/>
        <v>1</v>
      </c>
    </row>
    <row r="298" spans="1:8">
      <c r="A298" s="175"/>
      <c r="D298" s="190"/>
      <c r="E298" s="52" t="s">
        <v>332</v>
      </c>
      <c r="F298" s="47">
        <f t="shared" si="17"/>
        <v>3</v>
      </c>
      <c r="G298" s="47">
        <f t="shared" si="18"/>
        <v>0</v>
      </c>
      <c r="H298" s="178" t="b">
        <f t="shared" si="20"/>
        <v>1</v>
      </c>
    </row>
    <row r="299" spans="1:8">
      <c r="A299" s="175"/>
      <c r="D299" s="190"/>
      <c r="E299" s="52" t="s">
        <v>333</v>
      </c>
      <c r="F299" s="47">
        <f t="shared" si="17"/>
        <v>3</v>
      </c>
      <c r="G299" s="47">
        <f t="shared" si="18"/>
        <v>0</v>
      </c>
      <c r="H299" s="178" t="b">
        <f t="shared" si="20"/>
        <v>1</v>
      </c>
    </row>
    <row r="300" spans="1:8">
      <c r="A300" s="175"/>
      <c r="D300" s="190"/>
      <c r="E300" s="52" t="s">
        <v>971</v>
      </c>
      <c r="F300" s="47">
        <f t="shared" si="17"/>
        <v>3</v>
      </c>
      <c r="G300" s="47">
        <f t="shared" si="18"/>
        <v>0</v>
      </c>
      <c r="H300" s="178" t="b">
        <f t="shared" si="20"/>
        <v>1</v>
      </c>
    </row>
    <row r="301" spans="1:8">
      <c r="A301" s="175"/>
      <c r="D301" s="190"/>
      <c r="E301" s="52" t="s">
        <v>334</v>
      </c>
      <c r="F301" s="47">
        <f t="shared" si="17"/>
        <v>3</v>
      </c>
      <c r="G301" s="47">
        <f t="shared" si="18"/>
        <v>0</v>
      </c>
      <c r="H301" s="178" t="b">
        <f t="shared" si="20"/>
        <v>1</v>
      </c>
    </row>
    <row r="302" spans="1:8">
      <c r="A302" s="175"/>
      <c r="D302" s="190"/>
      <c r="E302" s="52" t="s">
        <v>990</v>
      </c>
      <c r="F302" s="47">
        <f t="shared" si="17"/>
        <v>3</v>
      </c>
      <c r="G302" s="47">
        <f t="shared" si="18"/>
        <v>0</v>
      </c>
      <c r="H302" s="178" t="b">
        <f t="shared" si="20"/>
        <v>1</v>
      </c>
    </row>
    <row r="303" spans="1:8">
      <c r="A303" s="175"/>
      <c r="D303" s="190"/>
      <c r="E303" s="52" t="s">
        <v>335</v>
      </c>
      <c r="F303" s="47" t="e">
        <f t="shared" si="17"/>
        <v>#N/A</v>
      </c>
      <c r="G303" s="47" t="e">
        <f t="shared" si="18"/>
        <v>#N/A</v>
      </c>
      <c r="H303" s="178" t="e">
        <f t="shared" si="20"/>
        <v>#N/A</v>
      </c>
    </row>
    <row r="304" spans="1:8">
      <c r="A304" s="175"/>
      <c r="D304" s="190"/>
      <c r="E304" s="52" t="s">
        <v>330</v>
      </c>
      <c r="F304" s="47">
        <f t="shared" si="17"/>
        <v>3</v>
      </c>
      <c r="G304" s="47">
        <f t="shared" si="18"/>
        <v>0</v>
      </c>
      <c r="H304" s="178" t="b">
        <f t="shared" si="20"/>
        <v>1</v>
      </c>
    </row>
    <row r="305" spans="1:8">
      <c r="A305" s="175"/>
      <c r="D305" s="190"/>
      <c r="E305" s="52" t="s">
        <v>1020</v>
      </c>
      <c r="F305" s="47" t="e">
        <f t="shared" si="17"/>
        <v>#N/A</v>
      </c>
      <c r="G305" s="47" t="e">
        <f t="shared" si="18"/>
        <v>#N/A</v>
      </c>
      <c r="H305" s="178" t="e">
        <f t="shared" si="20"/>
        <v>#N/A</v>
      </c>
    </row>
    <row r="306" spans="1:8">
      <c r="A306" s="175"/>
      <c r="D306" s="190"/>
      <c r="E306" s="52" t="s">
        <v>1021</v>
      </c>
      <c r="F306" s="47" t="e">
        <f t="shared" si="17"/>
        <v>#N/A</v>
      </c>
      <c r="G306" s="47" t="e">
        <f t="shared" si="18"/>
        <v>#N/A</v>
      </c>
      <c r="H306" s="178" t="e">
        <f t="shared" si="20"/>
        <v>#N/A</v>
      </c>
    </row>
    <row r="307" spans="1:8">
      <c r="A307" s="175"/>
      <c r="D307" s="190"/>
      <c r="E307" s="52" t="s">
        <v>1017</v>
      </c>
      <c r="F307" s="47" t="e">
        <f t="shared" si="17"/>
        <v>#N/A</v>
      </c>
      <c r="G307" s="47" t="e">
        <f t="shared" si="18"/>
        <v>#N/A</v>
      </c>
      <c r="H307" s="178" t="e">
        <f t="shared" si="20"/>
        <v>#N/A</v>
      </c>
    </row>
    <row r="308" spans="1:8">
      <c r="A308" s="175"/>
      <c r="D308" s="190"/>
      <c r="E308" s="52" t="s">
        <v>1009</v>
      </c>
      <c r="F308" s="47" t="e">
        <f t="shared" si="17"/>
        <v>#N/A</v>
      </c>
      <c r="G308" s="47" t="e">
        <f t="shared" si="18"/>
        <v>#N/A</v>
      </c>
      <c r="H308" s="178" t="e">
        <f t="shared" si="20"/>
        <v>#N/A</v>
      </c>
    </row>
    <row r="309" spans="1:8">
      <c r="A309" s="175"/>
      <c r="D309" s="190"/>
      <c r="E309" s="52" t="s">
        <v>1008</v>
      </c>
      <c r="F309" s="47" t="e">
        <f t="shared" si="17"/>
        <v>#N/A</v>
      </c>
      <c r="G309" s="47" t="e">
        <f t="shared" si="18"/>
        <v>#N/A</v>
      </c>
      <c r="H309" s="178" t="e">
        <f t="shared" si="20"/>
        <v>#N/A</v>
      </c>
    </row>
    <row r="310" spans="1:8">
      <c r="A310" s="175"/>
      <c r="D310" s="190"/>
      <c r="E310" s="52" t="s">
        <v>1007</v>
      </c>
      <c r="F310" s="47" t="e">
        <f t="shared" si="17"/>
        <v>#N/A</v>
      </c>
      <c r="G310" s="47" t="e">
        <f t="shared" si="18"/>
        <v>#N/A</v>
      </c>
      <c r="H310" s="178" t="e">
        <f t="shared" si="20"/>
        <v>#N/A</v>
      </c>
    </row>
    <row r="311" spans="1:8">
      <c r="A311" s="175"/>
      <c r="D311" s="190"/>
      <c r="E311" s="52" t="s">
        <v>1006</v>
      </c>
      <c r="F311" s="47" t="e">
        <f t="shared" si="17"/>
        <v>#N/A</v>
      </c>
      <c r="G311" s="47" t="e">
        <f t="shared" si="18"/>
        <v>#N/A</v>
      </c>
      <c r="H311" s="178" t="e">
        <f t="shared" si="20"/>
        <v>#N/A</v>
      </c>
    </row>
    <row r="312" spans="1:8">
      <c r="A312" s="175"/>
      <c r="D312" s="190"/>
      <c r="E312" s="52" t="s">
        <v>991</v>
      </c>
      <c r="F312" s="47" t="e">
        <f t="shared" si="17"/>
        <v>#N/A</v>
      </c>
      <c r="G312" s="47" t="e">
        <f t="shared" si="18"/>
        <v>#N/A</v>
      </c>
      <c r="H312" s="178" t="e">
        <f t="shared" si="20"/>
        <v>#N/A</v>
      </c>
    </row>
    <row r="313" spans="1:8">
      <c r="A313" s="175"/>
      <c r="D313" s="190"/>
      <c r="E313" s="52" t="s">
        <v>989</v>
      </c>
      <c r="F313" s="47" t="e">
        <f t="shared" si="17"/>
        <v>#N/A</v>
      </c>
      <c r="G313" s="47" t="e">
        <f t="shared" si="18"/>
        <v>#N/A</v>
      </c>
      <c r="H313" s="178" t="e">
        <f t="shared" si="20"/>
        <v>#N/A</v>
      </c>
    </row>
    <row r="314" spans="1:8">
      <c r="A314" s="175"/>
      <c r="D314" s="190"/>
      <c r="E314" s="52" t="s">
        <v>538</v>
      </c>
      <c r="F314" s="47">
        <f t="shared" si="17"/>
        <v>3</v>
      </c>
      <c r="G314" s="47">
        <f t="shared" si="18"/>
        <v>0</v>
      </c>
      <c r="H314" s="178" t="b">
        <f t="shared" si="20"/>
        <v>1</v>
      </c>
    </row>
    <row r="315" spans="1:8">
      <c r="A315" s="175"/>
      <c r="D315" s="190"/>
      <c r="E315" s="52" t="s">
        <v>539</v>
      </c>
      <c r="F315" s="47">
        <f t="shared" si="17"/>
        <v>3</v>
      </c>
      <c r="G315" s="47">
        <f t="shared" si="18"/>
        <v>0</v>
      </c>
      <c r="H315" s="178" t="b">
        <f t="shared" si="20"/>
        <v>1</v>
      </c>
    </row>
    <row r="316" spans="1:8">
      <c r="A316" s="175"/>
      <c r="D316" s="190"/>
      <c r="E316" s="52" t="s">
        <v>1217</v>
      </c>
      <c r="F316" s="47" t="e">
        <f t="shared" si="17"/>
        <v>#N/A</v>
      </c>
      <c r="G316" s="47" t="e">
        <f t="shared" si="18"/>
        <v>#N/A</v>
      </c>
      <c r="H316" s="178" t="e">
        <f t="shared" si="20"/>
        <v>#N/A</v>
      </c>
    </row>
    <row r="317" spans="1:8">
      <c r="A317" s="175"/>
      <c r="D317" s="190"/>
      <c r="E317" s="52" t="s">
        <v>540</v>
      </c>
      <c r="F317" s="47">
        <f t="shared" si="17"/>
        <v>3</v>
      </c>
      <c r="G317" s="47">
        <f t="shared" si="18"/>
        <v>0</v>
      </c>
      <c r="H317" s="178" t="b">
        <f t="shared" si="20"/>
        <v>1</v>
      </c>
    </row>
    <row r="318" spans="1:8">
      <c r="A318" s="175"/>
      <c r="D318" s="190"/>
      <c r="E318" s="52" t="s">
        <v>541</v>
      </c>
      <c r="F318" s="47">
        <f t="shared" si="17"/>
        <v>3</v>
      </c>
      <c r="G318" s="47">
        <f t="shared" si="18"/>
        <v>0</v>
      </c>
      <c r="H318" s="178" t="b">
        <f t="shared" si="20"/>
        <v>1</v>
      </c>
    </row>
    <row r="319" spans="1:8">
      <c r="A319" s="175"/>
      <c r="D319" s="190"/>
      <c r="E319" s="52" t="s">
        <v>542</v>
      </c>
      <c r="F319" s="47">
        <f t="shared" si="17"/>
        <v>3</v>
      </c>
      <c r="G319" s="47">
        <f t="shared" si="18"/>
        <v>0</v>
      </c>
      <c r="H319" s="178" t="b">
        <f t="shared" si="20"/>
        <v>1</v>
      </c>
    </row>
    <row r="320" spans="1:8">
      <c r="A320" s="175"/>
      <c r="D320" s="190"/>
      <c r="E320" s="52" t="s">
        <v>543</v>
      </c>
      <c r="F320" s="47">
        <f t="shared" si="17"/>
        <v>3</v>
      </c>
      <c r="G320" s="47">
        <f t="shared" si="18"/>
        <v>0</v>
      </c>
      <c r="H320" s="178" t="b">
        <f t="shared" si="20"/>
        <v>1</v>
      </c>
    </row>
    <row r="321" spans="1:8">
      <c r="A321" s="175"/>
      <c r="D321" s="190"/>
      <c r="E321" s="52" t="s">
        <v>544</v>
      </c>
      <c r="F321" s="47">
        <f t="shared" si="17"/>
        <v>3</v>
      </c>
      <c r="G321" s="47">
        <f t="shared" si="18"/>
        <v>0</v>
      </c>
      <c r="H321" s="178" t="b">
        <f t="shared" si="20"/>
        <v>1</v>
      </c>
    </row>
    <row r="322" spans="1:8">
      <c r="A322" s="175"/>
      <c r="D322" s="190"/>
      <c r="E322" s="52" t="s">
        <v>545</v>
      </c>
      <c r="F322" s="47">
        <f t="shared" si="17"/>
        <v>3</v>
      </c>
      <c r="G322" s="47">
        <f t="shared" si="18"/>
        <v>0</v>
      </c>
      <c r="H322" s="178" t="b">
        <f t="shared" si="20"/>
        <v>1</v>
      </c>
    </row>
    <row r="323" spans="1:8">
      <c r="A323" s="175"/>
      <c r="D323" s="190"/>
      <c r="E323" s="52" t="s">
        <v>546</v>
      </c>
      <c r="F323" s="47">
        <f t="shared" si="17"/>
        <v>3</v>
      </c>
      <c r="G323" s="47">
        <f t="shared" si="18"/>
        <v>0</v>
      </c>
      <c r="H323" s="178" t="b">
        <f t="shared" si="20"/>
        <v>1</v>
      </c>
    </row>
    <row r="324" spans="1:8">
      <c r="A324" s="175"/>
      <c r="D324" s="190"/>
      <c r="E324" s="52" t="s">
        <v>547</v>
      </c>
      <c r="F324" s="47">
        <f t="shared" si="17"/>
        <v>3</v>
      </c>
      <c r="G324" s="47">
        <f t="shared" si="18"/>
        <v>0</v>
      </c>
      <c r="H324" s="178" t="b">
        <f t="shared" si="20"/>
        <v>1</v>
      </c>
    </row>
    <row r="325" spans="1:8">
      <c r="A325" s="175"/>
      <c r="D325" s="190"/>
      <c r="E325" s="52" t="s">
        <v>548</v>
      </c>
      <c r="F325" s="47" t="e">
        <f t="shared" si="17"/>
        <v>#N/A</v>
      </c>
      <c r="G325" s="47" t="e">
        <f t="shared" si="18"/>
        <v>#N/A</v>
      </c>
      <c r="H325" s="178" t="e">
        <f t="shared" si="20"/>
        <v>#N/A</v>
      </c>
    </row>
    <row r="326" spans="1:8">
      <c r="A326" s="175"/>
      <c r="D326" s="190"/>
      <c r="E326" s="52" t="s">
        <v>549</v>
      </c>
      <c r="F326" s="47">
        <f t="shared" si="17"/>
        <v>3</v>
      </c>
      <c r="G326" s="47">
        <f t="shared" si="18"/>
        <v>0</v>
      </c>
      <c r="H326" s="178" t="b">
        <f t="shared" si="20"/>
        <v>1</v>
      </c>
    </row>
    <row r="327" spans="1:8">
      <c r="A327" s="175"/>
      <c r="D327" s="190"/>
      <c r="E327" s="52" t="s">
        <v>550</v>
      </c>
      <c r="F327" s="47">
        <f t="shared" si="17"/>
        <v>3</v>
      </c>
      <c r="G327" s="47">
        <f t="shared" si="18"/>
        <v>0</v>
      </c>
      <c r="H327" s="178" t="b">
        <f t="shared" si="20"/>
        <v>1</v>
      </c>
    </row>
    <row r="328" spans="1:8">
      <c r="A328" s="175"/>
      <c r="D328" s="190"/>
      <c r="E328" s="52" t="s">
        <v>551</v>
      </c>
      <c r="F328" s="47">
        <f t="shared" si="17"/>
        <v>3</v>
      </c>
      <c r="G328" s="47">
        <f t="shared" si="18"/>
        <v>0</v>
      </c>
      <c r="H328" s="178" t="b">
        <f t="shared" si="20"/>
        <v>1</v>
      </c>
    </row>
    <row r="329" spans="1:8">
      <c r="A329" s="175"/>
      <c r="D329" s="190"/>
      <c r="E329" s="52" t="s">
        <v>552</v>
      </c>
      <c r="F329" s="47">
        <f t="shared" si="17"/>
        <v>3</v>
      </c>
      <c r="G329" s="47">
        <f t="shared" si="18"/>
        <v>0</v>
      </c>
      <c r="H329" s="178" t="b">
        <f t="shared" si="20"/>
        <v>1</v>
      </c>
    </row>
    <row r="330" spans="1:8">
      <c r="A330" s="175"/>
      <c r="D330" s="190"/>
      <c r="E330" s="52" t="s">
        <v>553</v>
      </c>
      <c r="F330" s="47">
        <f t="shared" si="17"/>
        <v>3</v>
      </c>
      <c r="G330" s="47">
        <f t="shared" si="18"/>
        <v>0</v>
      </c>
      <c r="H330" s="178" t="b">
        <f t="shared" ref="H330:H362" si="21">MID($E$296,15,2)=VLOOKUP(_xlfn.NUMBERVALUE($F330&amp;$G330),$E$17:$F$20,2,FALSE)</f>
        <v>1</v>
      </c>
    </row>
    <row r="331" spans="1:8">
      <c r="A331" s="175"/>
      <c r="D331" s="190"/>
      <c r="E331" s="52" t="s">
        <v>554</v>
      </c>
      <c r="F331" s="47">
        <f t="shared" si="17"/>
        <v>3</v>
      </c>
      <c r="G331" s="47">
        <f t="shared" si="18"/>
        <v>0</v>
      </c>
      <c r="H331" s="178" t="b">
        <f t="shared" si="21"/>
        <v>1</v>
      </c>
    </row>
    <row r="332" spans="1:8">
      <c r="A332" s="175"/>
      <c r="D332" s="190"/>
      <c r="E332" s="52" t="s">
        <v>555</v>
      </c>
      <c r="F332" s="47">
        <f t="shared" si="17"/>
        <v>3</v>
      </c>
      <c r="G332" s="47">
        <f t="shared" si="18"/>
        <v>0</v>
      </c>
      <c r="H332" s="178" t="b">
        <f t="shared" si="21"/>
        <v>1</v>
      </c>
    </row>
    <row r="333" spans="1:8">
      <c r="A333" s="175"/>
      <c r="D333" s="190"/>
      <c r="E333" s="52" t="s">
        <v>488</v>
      </c>
      <c r="F333" s="47">
        <f t="shared" si="17"/>
        <v>3</v>
      </c>
      <c r="G333" s="47">
        <f t="shared" si="18"/>
        <v>0</v>
      </c>
      <c r="H333" s="178" t="b">
        <f t="shared" si="21"/>
        <v>1</v>
      </c>
    </row>
    <row r="334" spans="1:8">
      <c r="A334" s="175"/>
      <c r="D334" s="190"/>
      <c r="E334" s="52" t="s">
        <v>478</v>
      </c>
      <c r="F334" s="47">
        <f t="shared" si="17"/>
        <v>3</v>
      </c>
      <c r="G334" s="47">
        <f t="shared" si="18"/>
        <v>0</v>
      </c>
      <c r="H334" s="178" t="b">
        <f t="shared" si="21"/>
        <v>1</v>
      </c>
    </row>
    <row r="335" spans="1:8">
      <c r="A335" s="175"/>
      <c r="D335" s="190"/>
      <c r="E335" s="52" t="s">
        <v>489</v>
      </c>
      <c r="F335" s="47">
        <f t="shared" si="17"/>
        <v>3</v>
      </c>
      <c r="G335" s="47">
        <f t="shared" si="18"/>
        <v>0</v>
      </c>
      <c r="H335" s="178" t="b">
        <f t="shared" si="21"/>
        <v>1</v>
      </c>
    </row>
    <row r="336" spans="1:8">
      <c r="A336" s="175"/>
      <c r="D336" s="190"/>
      <c r="E336" s="52" t="s">
        <v>331</v>
      </c>
      <c r="F336" s="47" t="e">
        <f t="shared" si="17"/>
        <v>#N/A</v>
      </c>
      <c r="G336" s="47" t="e">
        <f t="shared" si="18"/>
        <v>#N/A</v>
      </c>
      <c r="H336" s="178" t="e">
        <f t="shared" si="21"/>
        <v>#N/A</v>
      </c>
    </row>
    <row r="337" spans="1:8">
      <c r="A337" s="175"/>
      <c r="D337" s="190"/>
      <c r="E337" s="52" t="s">
        <v>1079</v>
      </c>
      <c r="F337" s="47">
        <f t="shared" si="17"/>
        <v>3</v>
      </c>
      <c r="G337" s="47">
        <f t="shared" si="18"/>
        <v>0</v>
      </c>
      <c r="H337" s="178" t="b">
        <f t="shared" si="21"/>
        <v>1</v>
      </c>
    </row>
    <row r="338" spans="1:8">
      <c r="A338" s="175"/>
      <c r="D338" s="190"/>
      <c r="E338" s="52" t="s">
        <v>1010</v>
      </c>
      <c r="F338" s="47">
        <f t="shared" si="17"/>
        <v>3</v>
      </c>
      <c r="G338" s="47">
        <f t="shared" si="18"/>
        <v>0</v>
      </c>
      <c r="H338" s="178" t="b">
        <f t="shared" si="21"/>
        <v>1</v>
      </c>
    </row>
    <row r="339" spans="1:8">
      <c r="A339" s="175"/>
      <c r="D339" s="190"/>
      <c r="E339" s="52" t="s">
        <v>1011</v>
      </c>
      <c r="F339" s="47">
        <f t="shared" si="17"/>
        <v>3</v>
      </c>
      <c r="G339" s="47">
        <f t="shared" si="18"/>
        <v>0</v>
      </c>
      <c r="H339" s="178" t="b">
        <f t="shared" si="21"/>
        <v>1</v>
      </c>
    </row>
    <row r="340" spans="1:8">
      <c r="A340" s="175"/>
      <c r="D340" s="190"/>
      <c r="E340" s="52" t="s">
        <v>1193</v>
      </c>
      <c r="F340" s="47">
        <f t="shared" si="17"/>
        <v>3</v>
      </c>
      <c r="G340" s="47">
        <f t="shared" si="18"/>
        <v>0</v>
      </c>
      <c r="H340" s="178" t="b">
        <f t="shared" si="21"/>
        <v>1</v>
      </c>
    </row>
    <row r="341" spans="1:8">
      <c r="A341" s="175"/>
      <c r="D341" s="190"/>
      <c r="E341" s="52" t="s">
        <v>472</v>
      </c>
      <c r="F341" s="47">
        <f t="shared" si="17"/>
        <v>3</v>
      </c>
      <c r="G341" s="47">
        <f t="shared" si="18"/>
        <v>0</v>
      </c>
      <c r="H341" s="178" t="b">
        <f t="shared" si="21"/>
        <v>1</v>
      </c>
    </row>
    <row r="342" spans="1:8">
      <c r="A342" s="175"/>
      <c r="D342" s="190"/>
      <c r="E342" s="52" t="s">
        <v>468</v>
      </c>
      <c r="F342" s="47">
        <f t="shared" si="17"/>
        <v>3</v>
      </c>
      <c r="G342" s="47">
        <f t="shared" si="18"/>
        <v>0</v>
      </c>
      <c r="H342" s="178" t="b">
        <f t="shared" si="21"/>
        <v>1</v>
      </c>
    </row>
    <row r="343" spans="1:8">
      <c r="A343" s="175"/>
      <c r="D343" s="190"/>
      <c r="E343" s="52" t="s">
        <v>490</v>
      </c>
      <c r="F343" s="47">
        <f t="shared" si="17"/>
        <v>3</v>
      </c>
      <c r="G343" s="47">
        <f t="shared" si="18"/>
        <v>0</v>
      </c>
      <c r="H343" s="178" t="b">
        <f t="shared" si="21"/>
        <v>1</v>
      </c>
    </row>
    <row r="344" spans="1:8">
      <c r="A344" s="175"/>
      <c r="D344" s="190"/>
      <c r="E344" s="52" t="s">
        <v>479</v>
      </c>
      <c r="F344" s="47">
        <f t="shared" si="17"/>
        <v>3</v>
      </c>
      <c r="G344" s="47">
        <f t="shared" si="18"/>
        <v>0</v>
      </c>
      <c r="H344" s="178" t="b">
        <f t="shared" si="21"/>
        <v>1</v>
      </c>
    </row>
    <row r="345" spans="1:8">
      <c r="A345" s="175"/>
      <c r="D345" s="190"/>
      <c r="E345" s="52" t="s">
        <v>473</v>
      </c>
      <c r="F345" s="47">
        <f t="shared" si="17"/>
        <v>3</v>
      </c>
      <c r="G345" s="47">
        <f t="shared" si="18"/>
        <v>0</v>
      </c>
      <c r="H345" s="178" t="b">
        <f t="shared" si="21"/>
        <v>1</v>
      </c>
    </row>
    <row r="346" spans="1:8">
      <c r="A346" s="175"/>
      <c r="D346" s="190"/>
      <c r="E346" s="52" t="s">
        <v>469</v>
      </c>
      <c r="F346" s="47">
        <f t="shared" si="17"/>
        <v>3</v>
      </c>
      <c r="G346" s="47">
        <f t="shared" si="18"/>
        <v>0</v>
      </c>
      <c r="H346" s="178" t="b">
        <f t="shared" si="21"/>
        <v>1</v>
      </c>
    </row>
    <row r="347" spans="1:8">
      <c r="A347" s="175"/>
      <c r="D347" s="190"/>
      <c r="E347" s="52" t="s">
        <v>491</v>
      </c>
      <c r="F347" s="47">
        <f t="shared" si="17"/>
        <v>3</v>
      </c>
      <c r="G347" s="47">
        <f t="shared" si="18"/>
        <v>0</v>
      </c>
      <c r="H347" s="178" t="b">
        <f t="shared" si="21"/>
        <v>1</v>
      </c>
    </row>
    <row r="348" spans="1:8">
      <c r="A348" s="175"/>
      <c r="D348" s="190"/>
      <c r="E348" s="52" t="s">
        <v>480</v>
      </c>
      <c r="F348" s="47">
        <f t="shared" si="17"/>
        <v>3</v>
      </c>
      <c r="G348" s="47">
        <f t="shared" si="18"/>
        <v>0</v>
      </c>
      <c r="H348" s="178" t="b">
        <f t="shared" si="21"/>
        <v>1</v>
      </c>
    </row>
    <row r="349" spans="1:8">
      <c r="A349" s="175"/>
      <c r="D349" s="190"/>
      <c r="E349" s="52" t="s">
        <v>474</v>
      </c>
      <c r="F349" s="47">
        <f t="shared" si="17"/>
        <v>3</v>
      </c>
      <c r="G349" s="47">
        <f t="shared" si="18"/>
        <v>0</v>
      </c>
      <c r="H349" s="178" t="b">
        <f t="shared" si="21"/>
        <v>1</v>
      </c>
    </row>
    <row r="350" spans="1:8">
      <c r="A350" s="175"/>
      <c r="D350" s="190"/>
      <c r="E350" s="52" t="s">
        <v>470</v>
      </c>
      <c r="F350" s="47">
        <f t="shared" si="17"/>
        <v>3</v>
      </c>
      <c r="G350" s="47">
        <f t="shared" si="18"/>
        <v>0</v>
      </c>
      <c r="H350" s="178" t="b">
        <f t="shared" si="21"/>
        <v>1</v>
      </c>
    </row>
    <row r="351" spans="1:8">
      <c r="A351" s="175"/>
      <c r="D351" s="190"/>
      <c r="E351" s="52" t="s">
        <v>481</v>
      </c>
      <c r="F351" s="47">
        <f t="shared" si="17"/>
        <v>3</v>
      </c>
      <c r="G351" s="47">
        <f t="shared" si="18"/>
        <v>0</v>
      </c>
      <c r="H351" s="178" t="b">
        <f t="shared" si="21"/>
        <v>1</v>
      </c>
    </row>
    <row r="352" spans="1:8">
      <c r="A352" s="175"/>
      <c r="D352" s="190"/>
      <c r="E352" s="52" t="s">
        <v>475</v>
      </c>
      <c r="F352" s="47">
        <f t="shared" si="17"/>
        <v>3</v>
      </c>
      <c r="G352" s="47">
        <f t="shared" si="18"/>
        <v>0</v>
      </c>
      <c r="H352" s="178" t="b">
        <f t="shared" si="21"/>
        <v>1</v>
      </c>
    </row>
    <row r="353" spans="1:8">
      <c r="A353" s="175"/>
      <c r="D353" s="190"/>
      <c r="E353" s="52" t="s">
        <v>476</v>
      </c>
      <c r="F353" s="47">
        <f t="shared" si="17"/>
        <v>3</v>
      </c>
      <c r="G353" s="47">
        <f t="shared" si="18"/>
        <v>0</v>
      </c>
      <c r="H353" s="178" t="b">
        <f t="shared" si="21"/>
        <v>1</v>
      </c>
    </row>
    <row r="354" spans="1:8">
      <c r="A354" s="175"/>
      <c r="D354" s="190"/>
      <c r="E354" s="52" t="s">
        <v>482</v>
      </c>
      <c r="F354" s="47">
        <f t="shared" si="17"/>
        <v>3</v>
      </c>
      <c r="G354" s="47">
        <f t="shared" si="18"/>
        <v>0</v>
      </c>
      <c r="H354" s="178" t="b">
        <f t="shared" si="21"/>
        <v>1</v>
      </c>
    </row>
    <row r="355" spans="1:8">
      <c r="A355" s="175"/>
      <c r="D355" s="190"/>
      <c r="E355" s="52" t="s">
        <v>492</v>
      </c>
      <c r="F355" s="47">
        <f t="shared" si="17"/>
        <v>3</v>
      </c>
      <c r="G355" s="47">
        <f t="shared" si="18"/>
        <v>0</v>
      </c>
      <c r="H355" s="178" t="b">
        <f t="shared" si="21"/>
        <v>1</v>
      </c>
    </row>
    <row r="356" spans="1:8">
      <c r="A356" s="175"/>
      <c r="D356" s="190"/>
      <c r="E356" s="52" t="s">
        <v>483</v>
      </c>
      <c r="F356" s="47">
        <f t="shared" si="17"/>
        <v>3</v>
      </c>
      <c r="G356" s="47">
        <f t="shared" si="18"/>
        <v>0</v>
      </c>
      <c r="H356" s="178" t="b">
        <f t="shared" si="21"/>
        <v>1</v>
      </c>
    </row>
    <row r="357" spans="1:8">
      <c r="A357" s="175"/>
      <c r="D357" s="190"/>
      <c r="E357" s="52" t="s">
        <v>484</v>
      </c>
      <c r="F357" s="47">
        <f t="shared" si="17"/>
        <v>3</v>
      </c>
      <c r="G357" s="47">
        <f t="shared" si="18"/>
        <v>0</v>
      </c>
      <c r="H357" s="178" t="b">
        <f t="shared" si="21"/>
        <v>1</v>
      </c>
    </row>
    <row r="358" spans="1:8">
      <c r="A358" s="175"/>
      <c r="D358" s="190"/>
      <c r="E358" s="52" t="s">
        <v>485</v>
      </c>
      <c r="F358" s="47">
        <f t="shared" si="17"/>
        <v>3</v>
      </c>
      <c r="G358" s="47">
        <f t="shared" si="18"/>
        <v>0</v>
      </c>
      <c r="H358" s="178" t="b">
        <f t="shared" si="21"/>
        <v>1</v>
      </c>
    </row>
    <row r="359" spans="1:8">
      <c r="A359" s="175"/>
      <c r="D359" s="190"/>
      <c r="E359" s="52" t="s">
        <v>1080</v>
      </c>
      <c r="F359" s="47">
        <f t="shared" si="17"/>
        <v>3</v>
      </c>
      <c r="G359" s="47">
        <f t="shared" si="18"/>
        <v>0</v>
      </c>
      <c r="H359" s="178" t="b">
        <f t="shared" si="21"/>
        <v>1</v>
      </c>
    </row>
    <row r="360" spans="1:8">
      <c r="A360" s="175"/>
      <c r="D360" s="190"/>
      <c r="E360" s="52" t="s">
        <v>1081</v>
      </c>
      <c r="F360" s="47">
        <f t="shared" si="17"/>
        <v>3</v>
      </c>
      <c r="G360" s="47">
        <f t="shared" si="18"/>
        <v>0</v>
      </c>
      <c r="H360" s="178" t="b">
        <f t="shared" si="21"/>
        <v>1</v>
      </c>
    </row>
    <row r="361" spans="1:8">
      <c r="A361" s="175"/>
      <c r="D361" s="190"/>
      <c r="E361" s="52" t="s">
        <v>1082</v>
      </c>
      <c r="F361" s="47">
        <f t="shared" si="17"/>
        <v>3</v>
      </c>
      <c r="G361" s="47">
        <f t="shared" si="18"/>
        <v>0</v>
      </c>
      <c r="H361" s="178" t="b">
        <f t="shared" si="21"/>
        <v>1</v>
      </c>
    </row>
    <row r="362" spans="1:8">
      <c r="A362" s="175"/>
      <c r="D362" s="190"/>
      <c r="E362" s="52" t="s">
        <v>477</v>
      </c>
      <c r="F362" s="47">
        <f t="shared" si="17"/>
        <v>3</v>
      </c>
      <c r="G362" s="47">
        <f t="shared" si="18"/>
        <v>0</v>
      </c>
      <c r="H362" s="178" t="b">
        <f t="shared" si="21"/>
        <v>1</v>
      </c>
    </row>
    <row r="363" spans="1:8">
      <c r="A363" s="175"/>
      <c r="D363" s="190"/>
      <c r="E363" s="52" t="s">
        <v>582</v>
      </c>
      <c r="F363" s="47">
        <f t="shared" si="17"/>
        <v>3</v>
      </c>
      <c r="G363" s="47">
        <f t="shared" si="18"/>
        <v>0</v>
      </c>
      <c r="H363" s="178" t="b">
        <f t="shared" ref="H363:H377" si="22">MID($E$296,15,2)=VLOOKUP(_xlfn.NUMBERVALUE($F363&amp;$G363),$E$17:$F$20,2,FALSE)</f>
        <v>1</v>
      </c>
    </row>
    <row r="364" spans="1:8">
      <c r="A364" s="175"/>
      <c r="D364" s="190"/>
      <c r="E364" s="52" t="s">
        <v>471</v>
      </c>
      <c r="F364" s="47">
        <f t="shared" si="17"/>
        <v>3</v>
      </c>
      <c r="G364" s="47">
        <f t="shared" si="18"/>
        <v>0</v>
      </c>
      <c r="H364" s="178" t="b">
        <f t="shared" si="22"/>
        <v>1</v>
      </c>
    </row>
    <row r="365" spans="1:8">
      <c r="A365" s="175"/>
      <c r="D365" s="190"/>
      <c r="E365" s="52" t="s">
        <v>486</v>
      </c>
      <c r="F365" s="47">
        <f t="shared" si="17"/>
        <v>3</v>
      </c>
      <c r="G365" s="47">
        <f t="shared" si="18"/>
        <v>0</v>
      </c>
      <c r="H365" s="178" t="b">
        <f t="shared" si="22"/>
        <v>1</v>
      </c>
    </row>
    <row r="366" spans="1:8">
      <c r="A366" s="175"/>
      <c r="D366" s="190"/>
      <c r="E366" s="52" t="s">
        <v>1194</v>
      </c>
      <c r="F366" s="47" t="e">
        <f t="shared" si="17"/>
        <v>#N/A</v>
      </c>
      <c r="G366" s="47" t="e">
        <f t="shared" si="18"/>
        <v>#N/A</v>
      </c>
      <c r="H366" s="178" t="e">
        <f t="shared" si="22"/>
        <v>#N/A</v>
      </c>
    </row>
    <row r="367" spans="1:8">
      <c r="A367" s="175"/>
      <c r="D367" s="190"/>
      <c r="E367" s="52" t="s">
        <v>534</v>
      </c>
      <c r="F367" s="47">
        <f t="shared" si="17"/>
        <v>3</v>
      </c>
      <c r="G367" s="47">
        <f t="shared" si="18"/>
        <v>0</v>
      </c>
      <c r="H367" s="178" t="b">
        <f t="shared" si="22"/>
        <v>1</v>
      </c>
    </row>
    <row r="368" spans="1:8">
      <c r="A368" s="175"/>
      <c r="D368" s="190"/>
      <c r="E368" s="52" t="s">
        <v>487</v>
      </c>
      <c r="F368" s="47">
        <f t="shared" si="17"/>
        <v>3</v>
      </c>
      <c r="G368" s="47">
        <f t="shared" si="18"/>
        <v>0</v>
      </c>
      <c r="H368" s="178" t="b">
        <f t="shared" si="22"/>
        <v>1</v>
      </c>
    </row>
    <row r="369" spans="1:8">
      <c r="A369" s="175"/>
      <c r="D369" s="190"/>
      <c r="E369" s="52" t="s">
        <v>535</v>
      </c>
      <c r="F369" s="47">
        <f t="shared" si="17"/>
        <v>3</v>
      </c>
      <c r="G369" s="47">
        <f t="shared" si="18"/>
        <v>0</v>
      </c>
      <c r="H369" s="178" t="b">
        <f t="shared" si="22"/>
        <v>1</v>
      </c>
    </row>
    <row r="370" spans="1:8">
      <c r="A370" s="175"/>
      <c r="D370" s="190"/>
      <c r="E370" s="52" t="s">
        <v>493</v>
      </c>
      <c r="F370" s="47">
        <f t="shared" si="17"/>
        <v>3</v>
      </c>
      <c r="G370" s="47">
        <f t="shared" si="18"/>
        <v>0</v>
      </c>
      <c r="H370" s="178" t="b">
        <f t="shared" si="22"/>
        <v>1</v>
      </c>
    </row>
    <row r="371" spans="1:8">
      <c r="A371" s="175"/>
      <c r="D371" s="190"/>
      <c r="E371" s="52" t="s">
        <v>536</v>
      </c>
      <c r="F371" s="47">
        <f t="shared" si="17"/>
        <v>3</v>
      </c>
      <c r="G371" s="47">
        <f t="shared" si="18"/>
        <v>0</v>
      </c>
      <c r="H371" s="178" t="b">
        <f t="shared" si="22"/>
        <v>1</v>
      </c>
    </row>
    <row r="372" spans="1:8">
      <c r="A372" s="175"/>
      <c r="D372" s="190"/>
      <c r="E372" s="52" t="s">
        <v>537</v>
      </c>
      <c r="F372" s="47">
        <f t="shared" si="17"/>
        <v>3</v>
      </c>
      <c r="G372" s="47">
        <f t="shared" si="18"/>
        <v>0</v>
      </c>
      <c r="H372" s="178" t="b">
        <f t="shared" si="22"/>
        <v>1</v>
      </c>
    </row>
    <row r="373" spans="1:8">
      <c r="A373" s="175"/>
      <c r="D373" s="190"/>
      <c r="E373" s="52" t="s">
        <v>494</v>
      </c>
      <c r="F373" s="47">
        <f t="shared" si="17"/>
        <v>3</v>
      </c>
      <c r="G373" s="47">
        <f t="shared" si="18"/>
        <v>0</v>
      </c>
      <c r="H373" s="178" t="b">
        <f t="shared" si="22"/>
        <v>1</v>
      </c>
    </row>
    <row r="374" spans="1:8">
      <c r="A374" s="175"/>
      <c r="D374" s="190"/>
      <c r="E374" s="52" t="s">
        <v>1187</v>
      </c>
      <c r="F374" s="47">
        <f t="shared" si="17"/>
        <v>3</v>
      </c>
      <c r="G374" s="47">
        <f t="shared" si="18"/>
        <v>0</v>
      </c>
      <c r="H374" s="178" t="b">
        <f t="shared" si="22"/>
        <v>1</v>
      </c>
    </row>
    <row r="375" spans="1:8">
      <c r="A375" s="175"/>
      <c r="D375" s="190"/>
      <c r="E375" s="52" t="s">
        <v>1188</v>
      </c>
      <c r="F375" s="47">
        <f t="shared" si="17"/>
        <v>3</v>
      </c>
      <c r="G375" s="47">
        <f t="shared" si="18"/>
        <v>0</v>
      </c>
      <c r="H375" s="178" t="b">
        <f t="shared" si="22"/>
        <v>1</v>
      </c>
    </row>
    <row r="376" spans="1:8">
      <c r="A376" s="175"/>
      <c r="D376" s="190"/>
      <c r="E376" s="52" t="s">
        <v>336</v>
      </c>
      <c r="F376" s="47">
        <f t="shared" si="17"/>
        <v>3</v>
      </c>
      <c r="G376" s="47">
        <f t="shared" si="18"/>
        <v>0</v>
      </c>
      <c r="H376" s="178" t="b">
        <f t="shared" si="22"/>
        <v>1</v>
      </c>
    </row>
    <row r="377" spans="1:8">
      <c r="A377" s="175"/>
      <c r="D377" s="190"/>
      <c r="E377" s="52" t="s">
        <v>346</v>
      </c>
      <c r="F377" s="47">
        <f t="shared" si="17"/>
        <v>3</v>
      </c>
      <c r="G377" s="47">
        <f t="shared" si="18"/>
        <v>0</v>
      </c>
      <c r="H377" s="178" t="b">
        <f t="shared" si="22"/>
        <v>1</v>
      </c>
    </row>
    <row r="378" spans="1:8">
      <c r="A378" s="175"/>
      <c r="D378" s="190"/>
      <c r="E378" s="52" t="s">
        <v>301</v>
      </c>
      <c r="F378" s="47" t="e">
        <f t="shared" si="17"/>
        <v>#N/A</v>
      </c>
      <c r="G378" s="47" t="e">
        <f t="shared" si="18"/>
        <v>#N/A</v>
      </c>
      <c r="H378" s="178" t="e">
        <f>MID($E$378,15,2)=VLOOKUP(_xlfn.NUMBERVALUE($F378&amp;$G378),$E$17:$F$20,2,FALSE)</f>
        <v>#N/A</v>
      </c>
    </row>
    <row r="379" spans="1:8">
      <c r="A379" s="175"/>
      <c r="D379" s="190"/>
      <c r="E379" s="52" t="s">
        <v>1018</v>
      </c>
      <c r="F379" s="47" t="e">
        <f t="shared" si="17"/>
        <v>#N/A</v>
      </c>
      <c r="G379" s="47" t="e">
        <f t="shared" si="18"/>
        <v>#N/A</v>
      </c>
      <c r="H379" s="178" t="e">
        <f>MID($E$378,15,2)=VLOOKUP(_xlfn.NUMBERVALUE($F379&amp;$G379),$E$17:$F$20,2,FALSE)</f>
        <v>#N/A</v>
      </c>
    </row>
    <row r="380" spans="1:8">
      <c r="A380" s="175"/>
      <c r="D380" s="190"/>
      <c r="E380" s="52" t="s">
        <v>1192</v>
      </c>
      <c r="F380" s="47" t="e">
        <f t="shared" si="17"/>
        <v>#N/A</v>
      </c>
      <c r="G380" s="47" t="e">
        <f t="shared" si="18"/>
        <v>#N/A</v>
      </c>
      <c r="H380" s="178" t="e">
        <f>MID($E$378,15,2)=VLOOKUP(_xlfn.NUMBERVALUE($F380&amp;$G380),$E$17:$F$20,2,FALSE)</f>
        <v>#N/A</v>
      </c>
    </row>
  </sheetData>
  <sheetProtection algorithmName="SHA-512" hashValue="+zxP9Z7HvamDQ7cFqQjQf0wxDlx8nq3KriCdkOnURUMLIUF3vyT4NFoxwSJTV0BZvSIRpMHQaT//D3JLvSGjpQ==" saltValue="kftcADttnEx0mAdOTcn3sw==" spinCount="100000" sheet="1" objects="1" scenarios="1" formatColumns="0" formatRows="0"/>
  <conditionalFormatting sqref="G14 H265:H277 H227:H236 H303:H315 H341:H358 H279:H280 H292:H295 H238 H240 H255:H258 H74:H127 H131:H153 H176:H224 H25:H51 H298:H301 H362:H365 H261 H53:H72 H158:H165 H376 H263 H367:H373 H282:H290 H242:H253 H167:H174 H317:H336">
    <cfRule type="cellIs" dxfId="84" priority="188" operator="equal">
      <formula>TRUE</formula>
    </cfRule>
  </conditionalFormatting>
  <conditionalFormatting sqref="H24">
    <cfRule type="cellIs" dxfId="83" priority="185" operator="equal">
      <formula>TRUE</formula>
    </cfRule>
  </conditionalFormatting>
  <conditionalFormatting sqref="H225 H378 H296 H264">
    <cfRule type="cellIs" dxfId="82" priority="173" operator="equal">
      <formula>TRUE</formula>
    </cfRule>
  </conditionalFormatting>
  <conditionalFormatting sqref="H379">
    <cfRule type="cellIs" dxfId="81" priority="43" operator="equal">
      <formula>TRUE</formula>
    </cfRule>
  </conditionalFormatting>
  <conditionalFormatting sqref="H302">
    <cfRule type="cellIs" dxfId="80" priority="38" operator="equal">
      <formula>TRUE</formula>
    </cfRule>
  </conditionalFormatting>
  <conditionalFormatting sqref="H338">
    <cfRule type="cellIs" dxfId="79" priority="37" operator="equal">
      <formula>TRUE</formula>
    </cfRule>
  </conditionalFormatting>
  <conditionalFormatting sqref="H339">
    <cfRule type="cellIs" dxfId="78" priority="36" operator="equal">
      <formula>TRUE</formula>
    </cfRule>
  </conditionalFormatting>
  <conditionalFormatting sqref="H278">
    <cfRule type="cellIs" dxfId="77" priority="35" operator="equal">
      <formula>TRUE</formula>
    </cfRule>
  </conditionalFormatting>
  <conditionalFormatting sqref="H291">
    <cfRule type="cellIs" dxfId="76" priority="34" operator="equal">
      <formula>TRUE</formula>
    </cfRule>
  </conditionalFormatting>
  <conditionalFormatting sqref="H237">
    <cfRule type="cellIs" dxfId="75" priority="33" operator="equal">
      <formula>TRUE</formula>
    </cfRule>
  </conditionalFormatting>
  <conditionalFormatting sqref="H239">
    <cfRule type="cellIs" dxfId="74" priority="32" operator="equal">
      <formula>TRUE</formula>
    </cfRule>
  </conditionalFormatting>
  <conditionalFormatting sqref="H254">
    <cfRule type="cellIs" dxfId="73" priority="31" operator="equal">
      <formula>TRUE</formula>
    </cfRule>
  </conditionalFormatting>
  <conditionalFormatting sqref="H73">
    <cfRule type="cellIs" dxfId="72" priority="30" operator="equal">
      <formula>TRUE</formula>
    </cfRule>
  </conditionalFormatting>
  <conditionalFormatting sqref="H128">
    <cfRule type="cellIs" dxfId="71" priority="29" operator="equal">
      <formula>TRUE</formula>
    </cfRule>
  </conditionalFormatting>
  <conditionalFormatting sqref="H129">
    <cfRule type="cellIs" dxfId="70" priority="28" operator="equal">
      <formula>TRUE</formula>
    </cfRule>
  </conditionalFormatting>
  <conditionalFormatting sqref="H175">
    <cfRule type="cellIs" dxfId="69" priority="27" operator="equal">
      <formula>TRUE</formula>
    </cfRule>
  </conditionalFormatting>
  <conditionalFormatting sqref="H377">
    <cfRule type="cellIs" dxfId="68" priority="26" operator="equal">
      <formula>TRUE</formula>
    </cfRule>
  </conditionalFormatting>
  <conditionalFormatting sqref="H337">
    <cfRule type="cellIs" dxfId="67" priority="24" operator="equal">
      <formula>TRUE</formula>
    </cfRule>
  </conditionalFormatting>
  <conditionalFormatting sqref="H359">
    <cfRule type="cellIs" dxfId="66" priority="23" operator="equal">
      <formula>TRUE</formula>
    </cfRule>
  </conditionalFormatting>
  <conditionalFormatting sqref="H360">
    <cfRule type="cellIs" dxfId="65" priority="22" operator="equal">
      <formula>TRUE</formula>
    </cfRule>
  </conditionalFormatting>
  <conditionalFormatting sqref="H361">
    <cfRule type="cellIs" dxfId="64" priority="21" operator="equal">
      <formula>TRUE</formula>
    </cfRule>
  </conditionalFormatting>
  <conditionalFormatting sqref="H226">
    <cfRule type="cellIs" dxfId="63" priority="20" operator="equal">
      <formula>TRUE</formula>
    </cfRule>
  </conditionalFormatting>
  <conditionalFormatting sqref="H259">
    <cfRule type="cellIs" dxfId="62" priority="19" operator="equal">
      <formula>TRUE</formula>
    </cfRule>
  </conditionalFormatting>
  <conditionalFormatting sqref="H260">
    <cfRule type="cellIs" dxfId="61" priority="18" operator="equal">
      <formula>TRUE</formula>
    </cfRule>
  </conditionalFormatting>
  <conditionalFormatting sqref="H52">
    <cfRule type="cellIs" dxfId="60" priority="17" operator="equal">
      <formula>TRUE</formula>
    </cfRule>
  </conditionalFormatting>
  <conditionalFormatting sqref="H130">
    <cfRule type="cellIs" dxfId="59" priority="16" operator="equal">
      <formula>TRUE</formula>
    </cfRule>
  </conditionalFormatting>
  <conditionalFormatting sqref="H154">
    <cfRule type="cellIs" dxfId="58" priority="15" operator="equal">
      <formula>TRUE</formula>
    </cfRule>
  </conditionalFormatting>
  <conditionalFormatting sqref="H155">
    <cfRule type="cellIs" dxfId="57" priority="14" operator="equal">
      <formula>TRUE</formula>
    </cfRule>
  </conditionalFormatting>
  <conditionalFormatting sqref="H156">
    <cfRule type="cellIs" dxfId="56" priority="13" operator="equal">
      <formula>TRUE</formula>
    </cfRule>
  </conditionalFormatting>
  <conditionalFormatting sqref="H157">
    <cfRule type="cellIs" dxfId="55" priority="12" operator="equal">
      <formula>TRUE</formula>
    </cfRule>
  </conditionalFormatting>
  <conditionalFormatting sqref="H374">
    <cfRule type="cellIs" dxfId="54" priority="11" operator="equal">
      <formula>TRUE</formula>
    </cfRule>
  </conditionalFormatting>
  <conditionalFormatting sqref="H375">
    <cfRule type="cellIs" dxfId="53" priority="10" operator="equal">
      <formula>TRUE</formula>
    </cfRule>
  </conditionalFormatting>
  <conditionalFormatting sqref="H262">
    <cfRule type="cellIs" dxfId="52" priority="9" operator="equal">
      <formula>TRUE</formula>
    </cfRule>
  </conditionalFormatting>
  <conditionalFormatting sqref="H380">
    <cfRule type="cellIs" dxfId="51" priority="8" operator="equal">
      <formula>TRUE</formula>
    </cfRule>
  </conditionalFormatting>
  <conditionalFormatting sqref="H297">
    <cfRule type="cellIs" dxfId="50" priority="7" operator="equal">
      <formula>TRUE</formula>
    </cfRule>
  </conditionalFormatting>
  <conditionalFormatting sqref="H340">
    <cfRule type="cellIs" dxfId="49" priority="6" operator="equal">
      <formula>TRUE</formula>
    </cfRule>
  </conditionalFormatting>
  <conditionalFormatting sqref="H366">
    <cfRule type="cellIs" dxfId="48" priority="5" operator="equal">
      <formula>TRUE</formula>
    </cfRule>
  </conditionalFormatting>
  <conditionalFormatting sqref="H281">
    <cfRule type="cellIs" dxfId="47" priority="4" operator="equal">
      <formula>TRUE</formula>
    </cfRule>
  </conditionalFormatting>
  <conditionalFormatting sqref="H241">
    <cfRule type="cellIs" dxfId="46" priority="3" operator="equal">
      <formula>TRUE</formula>
    </cfRule>
  </conditionalFormatting>
  <conditionalFormatting sqref="H166">
    <cfRule type="cellIs" dxfId="45" priority="2" operator="equal">
      <formula>TRUE</formula>
    </cfRule>
  </conditionalFormatting>
  <conditionalFormatting sqref="H316">
    <cfRule type="cellIs" dxfId="44" priority="1" operator="equal">
      <formula>TRUE</formula>
    </cfRule>
  </conditionalFormatting>
  <pageMargins left="0.7" right="0.7" top="0.75" bottom="0.75" header="0.3" footer="0.3"/>
  <ignoredErrors>
    <ignoredError sqref="F296:H296 F378:H378 F264:H264 F225:H225 F24:H24"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7CF84-ED9B-4540-A1C6-77056C15A6B5}">
  <sheetPr codeName="Blad16">
    <tabColor rgb="FFCCFFCC"/>
  </sheetPr>
  <dimension ref="A1:G373"/>
  <sheetViews>
    <sheetView topLeftCell="E11" workbookViewId="0">
      <selection activeCell="F16" sqref="F16"/>
    </sheetView>
  </sheetViews>
  <sheetFormatPr defaultRowHeight="12.75"/>
  <cols>
    <col min="1" max="3" width="18.28515625" hidden="1" customWidth="1" collapsed="1"/>
    <col min="4" max="4" width="23.5703125" hidden="1" customWidth="1" collapsed="1"/>
    <col min="5" max="5" width="75.85546875" bestFit="1" customWidth="1" collapsed="1"/>
    <col min="6" max="6" width="24.140625" customWidth="1" collapsed="1"/>
    <col min="7" max="7" width="26.85546875" bestFit="1" customWidth="1" collapsed="1"/>
  </cols>
  <sheetData>
    <row r="1" spans="1:7" hidden="1">
      <c r="A1" s="175" t="s">
        <v>113</v>
      </c>
      <c r="B1" s="175" t="s">
        <v>114</v>
      </c>
      <c r="C1" s="175" t="s">
        <v>114</v>
      </c>
      <c r="D1" s="175" t="s">
        <v>114</v>
      </c>
      <c r="F1" s="175"/>
    </row>
    <row r="2" spans="1:7" hidden="1">
      <c r="A2" s="175" t="s">
        <v>113</v>
      </c>
      <c r="B2" s="192" t="s">
        <v>115</v>
      </c>
      <c r="C2" s="192" t="s">
        <v>309</v>
      </c>
      <c r="D2" s="192"/>
    </row>
    <row r="3" spans="1:7" hidden="1">
      <c r="A3" s="175" t="s">
        <v>113</v>
      </c>
      <c r="B3" s="193" t="s">
        <v>116</v>
      </c>
      <c r="C3" s="193" t="s">
        <v>117</v>
      </c>
      <c r="D3" s="193" t="s">
        <v>118</v>
      </c>
    </row>
    <row r="4" spans="1:7" hidden="1">
      <c r="A4" s="175" t="s">
        <v>113</v>
      </c>
      <c r="B4" s="192" t="s">
        <v>90</v>
      </c>
      <c r="C4" s="192" t="s">
        <v>124</v>
      </c>
      <c r="D4" s="194"/>
    </row>
    <row r="5" spans="1:7" hidden="1">
      <c r="A5" s="175" t="s">
        <v>113</v>
      </c>
      <c r="B5" s="192" t="s">
        <v>91</v>
      </c>
      <c r="C5" s="192" t="s">
        <v>124</v>
      </c>
      <c r="D5" s="194"/>
    </row>
    <row r="6" spans="1:7" hidden="1">
      <c r="A6" s="175" t="s">
        <v>113</v>
      </c>
      <c r="B6" s="192" t="s">
        <v>86</v>
      </c>
      <c r="C6" s="192" t="s">
        <v>122</v>
      </c>
      <c r="D6" s="192"/>
    </row>
    <row r="7" spans="1:7" hidden="1">
      <c r="A7" s="175" t="s">
        <v>113</v>
      </c>
      <c r="B7" s="192" t="s">
        <v>120</v>
      </c>
      <c r="C7" s="192" t="s">
        <v>119</v>
      </c>
      <c r="D7" s="192" t="s">
        <v>125</v>
      </c>
    </row>
    <row r="8" spans="1:7" hidden="1">
      <c r="A8" s="175" t="s">
        <v>113</v>
      </c>
      <c r="B8" s="192" t="s">
        <v>92</v>
      </c>
      <c r="C8" s="192" t="s">
        <v>119</v>
      </c>
      <c r="D8" s="192" t="s">
        <v>170</v>
      </c>
    </row>
    <row r="9" spans="1:7" hidden="1">
      <c r="A9" s="175" t="s">
        <v>113</v>
      </c>
      <c r="B9" s="192" t="s">
        <v>121</v>
      </c>
      <c r="C9" s="192" t="s">
        <v>119</v>
      </c>
      <c r="D9" s="192" t="s">
        <v>227</v>
      </c>
    </row>
    <row r="10" spans="1:7" hidden="1">
      <c r="A10" s="175" t="s">
        <v>113</v>
      </c>
      <c r="B10" s="192" t="s">
        <v>123</v>
      </c>
      <c r="C10" s="192" t="s">
        <v>119</v>
      </c>
      <c r="D10" s="192" t="s">
        <v>126</v>
      </c>
    </row>
    <row r="11" spans="1:7" ht="18.75">
      <c r="A11" s="175" t="s">
        <v>114</v>
      </c>
      <c r="B11" s="59"/>
      <c r="C11" s="59"/>
      <c r="D11" s="59"/>
      <c r="E11" s="60" t="s">
        <v>310</v>
      </c>
      <c r="F11" s="64"/>
    </row>
    <row r="12" spans="1:7" ht="15.75">
      <c r="E12" s="61" t="s">
        <v>67</v>
      </c>
      <c r="F12" s="65" t="str">
        <f>$F$16&amp;$F$17</f>
        <v>2021Q2</v>
      </c>
    </row>
    <row r="13" spans="1:7" ht="15.75">
      <c r="E13" s="61"/>
      <c r="F13" s="65"/>
    </row>
    <row r="14" spans="1:7">
      <c r="E14" s="52" t="s">
        <v>315</v>
      </c>
      <c r="F14" s="47">
        <f>COUNTIF($G19:$G374,TRUE)</f>
        <v>242</v>
      </c>
      <c r="G14" s="178" t="b">
        <f>$F$14='Overview MP Life'!$B$5</f>
        <v>1</v>
      </c>
    </row>
    <row r="15" spans="1:7" ht="15.75">
      <c r="E15" s="61"/>
      <c r="F15" s="65"/>
    </row>
    <row r="16" spans="1:7" ht="15.75" hidden="1">
      <c r="A16" s="175" t="s">
        <v>113</v>
      </c>
      <c r="D16" s="194"/>
      <c r="E16" s="61"/>
      <c r="F16" s="65">
        <f>Selectie!$C$2</f>
        <v>2021</v>
      </c>
      <c r="G16" s="65"/>
    </row>
    <row r="17" spans="1:7" ht="15.75" hidden="1">
      <c r="A17" s="175" t="s">
        <v>113</v>
      </c>
      <c r="D17" s="194"/>
      <c r="F17" s="176" t="str">
        <f>Selectie!$C$3</f>
        <v>Q2</v>
      </c>
    </row>
    <row r="18" spans="1:7">
      <c r="E18" s="52" t="s">
        <v>314</v>
      </c>
      <c r="F18" s="52" t="s">
        <v>307</v>
      </c>
      <c r="G18" s="52" t="s">
        <v>240</v>
      </c>
    </row>
    <row r="19" spans="1:7">
      <c r="A19" s="175"/>
      <c r="D19" s="194"/>
      <c r="E19" s="52" t="s">
        <v>311</v>
      </c>
      <c r="F19" s="47" t="e">
        <f t="shared" ref="F19:F83" si="0">VLOOKUP($E19,Modelpuntoverzicht,9,FALSE)</f>
        <v>#N/A</v>
      </c>
      <c r="G19" s="178" t="e">
        <f>_xlfn.NUMBERVALUE(MID($E$19,12,1))=F19</f>
        <v>#N/A</v>
      </c>
    </row>
    <row r="20" spans="1:7">
      <c r="A20" s="175"/>
      <c r="D20" s="194"/>
      <c r="E20" s="52" t="s">
        <v>418</v>
      </c>
      <c r="F20" s="47">
        <f t="shared" si="0"/>
        <v>1</v>
      </c>
      <c r="G20" s="178" t="b">
        <f t="shared" ref="G20:G84" si="1">_xlfn.NUMBERVALUE(MID($E$19,12,1))=F20</f>
        <v>1</v>
      </c>
    </row>
    <row r="21" spans="1:7">
      <c r="A21" s="175"/>
      <c r="D21" s="194"/>
      <c r="E21" s="52" t="s">
        <v>419</v>
      </c>
      <c r="F21" s="47">
        <f t="shared" si="0"/>
        <v>1</v>
      </c>
      <c r="G21" s="178" t="b">
        <f t="shared" si="1"/>
        <v>1</v>
      </c>
    </row>
    <row r="22" spans="1:7">
      <c r="A22" s="175"/>
      <c r="D22" s="194"/>
      <c r="E22" s="52" t="s">
        <v>420</v>
      </c>
      <c r="F22" s="47">
        <f t="shared" si="0"/>
        <v>1</v>
      </c>
      <c r="G22" s="178" t="b">
        <f t="shared" si="1"/>
        <v>1</v>
      </c>
    </row>
    <row r="23" spans="1:7">
      <c r="A23" s="175"/>
      <c r="D23" s="194"/>
      <c r="E23" s="52" t="s">
        <v>421</v>
      </c>
      <c r="F23" s="47">
        <f t="shared" si="0"/>
        <v>1</v>
      </c>
      <c r="G23" s="178" t="b">
        <f t="shared" si="1"/>
        <v>1</v>
      </c>
    </row>
    <row r="24" spans="1:7">
      <c r="A24" s="175"/>
      <c r="D24" s="194"/>
      <c r="E24" s="52" t="s">
        <v>422</v>
      </c>
      <c r="F24" s="47">
        <f t="shared" si="0"/>
        <v>1</v>
      </c>
      <c r="G24" s="178" t="b">
        <f t="shared" si="1"/>
        <v>1</v>
      </c>
    </row>
    <row r="25" spans="1:7">
      <c r="A25" s="175"/>
      <c r="D25" s="194"/>
      <c r="E25" s="52" t="s">
        <v>423</v>
      </c>
      <c r="F25" s="47">
        <f t="shared" si="0"/>
        <v>1</v>
      </c>
      <c r="G25" s="178" t="b">
        <f t="shared" si="1"/>
        <v>1</v>
      </c>
    </row>
    <row r="26" spans="1:7">
      <c r="A26" s="175"/>
      <c r="D26" s="194"/>
      <c r="E26" s="52" t="s">
        <v>424</v>
      </c>
      <c r="F26" s="47">
        <f t="shared" si="0"/>
        <v>1</v>
      </c>
      <c r="G26" s="178" t="b">
        <f t="shared" si="1"/>
        <v>1</v>
      </c>
    </row>
    <row r="27" spans="1:7">
      <c r="A27" s="175"/>
      <c r="D27" s="194"/>
      <c r="E27" s="52" t="s">
        <v>425</v>
      </c>
      <c r="F27" s="47">
        <f t="shared" si="0"/>
        <v>1</v>
      </c>
      <c r="G27" s="178" t="b">
        <f t="shared" si="1"/>
        <v>1</v>
      </c>
    </row>
    <row r="28" spans="1:7">
      <c r="A28" s="175"/>
      <c r="D28" s="194"/>
      <c r="E28" s="52" t="s">
        <v>426</v>
      </c>
      <c r="F28" s="47">
        <f t="shared" si="0"/>
        <v>1</v>
      </c>
      <c r="G28" s="178" t="b">
        <f t="shared" si="1"/>
        <v>1</v>
      </c>
    </row>
    <row r="29" spans="1:7">
      <c r="A29" s="175"/>
      <c r="D29" s="194"/>
      <c r="E29" s="52" t="s">
        <v>427</v>
      </c>
      <c r="F29" s="47">
        <f t="shared" si="0"/>
        <v>1</v>
      </c>
      <c r="G29" s="178" t="b">
        <f t="shared" si="1"/>
        <v>1</v>
      </c>
    </row>
    <row r="30" spans="1:7">
      <c r="A30" s="175"/>
      <c r="D30" s="194"/>
      <c r="E30" s="52" t="s">
        <v>428</v>
      </c>
      <c r="F30" s="47">
        <f t="shared" si="0"/>
        <v>1</v>
      </c>
      <c r="G30" s="178" t="b">
        <f t="shared" si="1"/>
        <v>1</v>
      </c>
    </row>
    <row r="31" spans="1:7">
      <c r="A31" s="175"/>
      <c r="D31" s="194"/>
      <c r="E31" s="52" t="s">
        <v>429</v>
      </c>
      <c r="F31" s="47">
        <f t="shared" si="0"/>
        <v>1</v>
      </c>
      <c r="G31" s="178" t="b">
        <f t="shared" si="1"/>
        <v>1</v>
      </c>
    </row>
    <row r="32" spans="1:7">
      <c r="A32" s="175"/>
      <c r="D32" s="194"/>
      <c r="E32" s="52" t="s">
        <v>430</v>
      </c>
      <c r="F32" s="47">
        <f t="shared" si="0"/>
        <v>1</v>
      </c>
      <c r="G32" s="178" t="b">
        <f t="shared" si="1"/>
        <v>1</v>
      </c>
    </row>
    <row r="33" spans="1:7">
      <c r="A33" s="175"/>
      <c r="D33" s="194"/>
      <c r="E33" s="52" t="s">
        <v>431</v>
      </c>
      <c r="F33" s="47">
        <f t="shared" si="0"/>
        <v>1</v>
      </c>
      <c r="G33" s="178" t="b">
        <f t="shared" si="1"/>
        <v>1</v>
      </c>
    </row>
    <row r="34" spans="1:7">
      <c r="A34" s="175"/>
      <c r="D34" s="194"/>
      <c r="E34" s="52" t="s">
        <v>432</v>
      </c>
      <c r="F34" s="47">
        <f t="shared" si="0"/>
        <v>1</v>
      </c>
      <c r="G34" s="178" t="b">
        <f t="shared" si="1"/>
        <v>1</v>
      </c>
    </row>
    <row r="35" spans="1:7">
      <c r="A35" s="175"/>
      <c r="D35" s="194"/>
      <c r="E35" s="52" t="s">
        <v>433</v>
      </c>
      <c r="F35" s="47">
        <f t="shared" si="0"/>
        <v>1</v>
      </c>
      <c r="G35" s="178" t="b">
        <f t="shared" si="1"/>
        <v>1</v>
      </c>
    </row>
    <row r="36" spans="1:7">
      <c r="A36" s="175"/>
      <c r="D36" s="194"/>
      <c r="E36" s="52" t="s">
        <v>434</v>
      </c>
      <c r="F36" s="47">
        <f t="shared" si="0"/>
        <v>1</v>
      </c>
      <c r="G36" s="178" t="b">
        <f t="shared" si="1"/>
        <v>1</v>
      </c>
    </row>
    <row r="37" spans="1:7">
      <c r="A37" s="175"/>
      <c r="D37" s="194"/>
      <c r="E37" s="52" t="s">
        <v>435</v>
      </c>
      <c r="F37" s="47">
        <f t="shared" si="0"/>
        <v>1</v>
      </c>
      <c r="G37" s="178" t="b">
        <f t="shared" si="1"/>
        <v>1</v>
      </c>
    </row>
    <row r="38" spans="1:7">
      <c r="A38" s="175"/>
      <c r="D38" s="194"/>
      <c r="E38" s="52" t="s">
        <v>436</v>
      </c>
      <c r="F38" s="47">
        <f t="shared" si="0"/>
        <v>1</v>
      </c>
      <c r="G38" s="178" t="b">
        <f t="shared" si="1"/>
        <v>1</v>
      </c>
    </row>
    <row r="39" spans="1:7">
      <c r="A39" s="175"/>
      <c r="D39" s="194"/>
      <c r="E39" s="52" t="s">
        <v>437</v>
      </c>
      <c r="F39" s="47">
        <f t="shared" si="0"/>
        <v>1</v>
      </c>
      <c r="G39" s="178" t="b">
        <f t="shared" si="1"/>
        <v>1</v>
      </c>
    </row>
    <row r="40" spans="1:7">
      <c r="A40" s="175"/>
      <c r="D40" s="194"/>
      <c r="E40" s="52" t="s">
        <v>438</v>
      </c>
      <c r="F40" s="47">
        <f t="shared" si="0"/>
        <v>1</v>
      </c>
      <c r="G40" s="178" t="b">
        <f t="shared" si="1"/>
        <v>1</v>
      </c>
    </row>
    <row r="41" spans="1:7">
      <c r="A41" s="175"/>
      <c r="D41" s="194"/>
      <c r="E41" s="52" t="s">
        <v>439</v>
      </c>
      <c r="F41" s="47">
        <f t="shared" si="0"/>
        <v>1</v>
      </c>
      <c r="G41" s="178" t="b">
        <f t="shared" si="1"/>
        <v>1</v>
      </c>
    </row>
    <row r="42" spans="1:7">
      <c r="A42" s="175"/>
      <c r="D42" s="194"/>
      <c r="E42" s="52" t="s">
        <v>440</v>
      </c>
      <c r="F42" s="47">
        <f t="shared" si="0"/>
        <v>1</v>
      </c>
      <c r="G42" s="178" t="b">
        <f t="shared" si="1"/>
        <v>1</v>
      </c>
    </row>
    <row r="43" spans="1:7">
      <c r="A43" s="175"/>
      <c r="D43" s="194"/>
      <c r="E43" s="52" t="s">
        <v>441</v>
      </c>
      <c r="F43" s="47">
        <f t="shared" si="0"/>
        <v>1</v>
      </c>
      <c r="G43" s="178" t="b">
        <f t="shared" si="1"/>
        <v>1</v>
      </c>
    </row>
    <row r="44" spans="1:7">
      <c r="A44" s="175"/>
      <c r="D44" s="194"/>
      <c r="E44" s="52" t="s">
        <v>442</v>
      </c>
      <c r="F44" s="47">
        <f t="shared" si="0"/>
        <v>1</v>
      </c>
      <c r="G44" s="178" t="b">
        <f t="shared" si="1"/>
        <v>1</v>
      </c>
    </row>
    <row r="45" spans="1:7">
      <c r="A45" s="175"/>
      <c r="D45" s="194"/>
      <c r="E45" s="52" t="s">
        <v>443</v>
      </c>
      <c r="F45" s="47">
        <f t="shared" si="0"/>
        <v>1</v>
      </c>
      <c r="G45" s="178" t="b">
        <f t="shared" si="1"/>
        <v>1</v>
      </c>
    </row>
    <row r="46" spans="1:7">
      <c r="A46" s="175"/>
      <c r="D46" s="194"/>
      <c r="E46" s="52" t="s">
        <v>444</v>
      </c>
      <c r="F46" s="47">
        <f t="shared" si="0"/>
        <v>1</v>
      </c>
      <c r="G46" s="178" t="b">
        <f t="shared" si="1"/>
        <v>1</v>
      </c>
    </row>
    <row r="47" spans="1:7">
      <c r="A47" s="175"/>
      <c r="D47" s="194"/>
      <c r="E47" s="52" t="s">
        <v>1070</v>
      </c>
      <c r="F47" s="47">
        <f t="shared" si="0"/>
        <v>1</v>
      </c>
      <c r="G47" s="178" t="b">
        <f>_xlfn.NUMBERVALUE(MID($E$19,12,1))=F47</f>
        <v>1</v>
      </c>
    </row>
    <row r="48" spans="1:7">
      <c r="A48" s="175"/>
      <c r="D48" s="194"/>
      <c r="E48" s="52" t="s">
        <v>445</v>
      </c>
      <c r="F48" s="47">
        <f t="shared" si="0"/>
        <v>1</v>
      </c>
      <c r="G48" s="178" t="b">
        <f t="shared" si="1"/>
        <v>1</v>
      </c>
    </row>
    <row r="49" spans="1:7">
      <c r="A49" s="175"/>
      <c r="D49" s="194"/>
      <c r="E49" s="52" t="s">
        <v>446</v>
      </c>
      <c r="F49" s="47">
        <f t="shared" si="0"/>
        <v>1</v>
      </c>
      <c r="G49" s="178" t="b">
        <f t="shared" si="1"/>
        <v>1</v>
      </c>
    </row>
    <row r="50" spans="1:7">
      <c r="A50" s="175"/>
      <c r="D50" s="194"/>
      <c r="E50" s="52" t="s">
        <v>447</v>
      </c>
      <c r="F50" s="47">
        <f t="shared" si="0"/>
        <v>1</v>
      </c>
      <c r="G50" s="178" t="b">
        <f t="shared" si="1"/>
        <v>1</v>
      </c>
    </row>
    <row r="51" spans="1:7">
      <c r="A51" s="175"/>
      <c r="D51" s="194"/>
      <c r="E51" s="52" t="s">
        <v>448</v>
      </c>
      <c r="F51" s="47">
        <f t="shared" si="0"/>
        <v>1</v>
      </c>
      <c r="G51" s="178" t="b">
        <f t="shared" si="1"/>
        <v>1</v>
      </c>
    </row>
    <row r="52" spans="1:7">
      <c r="A52" s="175"/>
      <c r="D52" s="194"/>
      <c r="E52" s="52" t="s">
        <v>449</v>
      </c>
      <c r="F52" s="47">
        <f t="shared" si="0"/>
        <v>1</v>
      </c>
      <c r="G52" s="178" t="b">
        <f t="shared" si="1"/>
        <v>1</v>
      </c>
    </row>
    <row r="53" spans="1:7">
      <c r="A53" s="175"/>
      <c r="D53" s="194"/>
      <c r="E53" s="52" t="s">
        <v>450</v>
      </c>
      <c r="F53" s="47">
        <f t="shared" si="0"/>
        <v>1</v>
      </c>
      <c r="G53" s="178" t="b">
        <f t="shared" si="1"/>
        <v>1</v>
      </c>
    </row>
    <row r="54" spans="1:7">
      <c r="A54" s="175"/>
      <c r="D54" s="194"/>
      <c r="E54" s="52" t="s">
        <v>451</v>
      </c>
      <c r="F54" s="47">
        <f t="shared" si="0"/>
        <v>1</v>
      </c>
      <c r="G54" s="178" t="b">
        <f t="shared" si="1"/>
        <v>1</v>
      </c>
    </row>
    <row r="55" spans="1:7">
      <c r="A55" s="175"/>
      <c r="D55" s="194"/>
      <c r="E55" s="52" t="s">
        <v>452</v>
      </c>
      <c r="F55" s="47">
        <f t="shared" si="0"/>
        <v>1</v>
      </c>
      <c r="G55" s="178" t="b">
        <f t="shared" si="1"/>
        <v>1</v>
      </c>
    </row>
    <row r="56" spans="1:7">
      <c r="A56" s="175"/>
      <c r="D56" s="194"/>
      <c r="E56" s="52" t="s">
        <v>453</v>
      </c>
      <c r="F56" s="47">
        <f t="shared" si="0"/>
        <v>1</v>
      </c>
      <c r="G56" s="178" t="b">
        <f t="shared" si="1"/>
        <v>1</v>
      </c>
    </row>
    <row r="57" spans="1:7">
      <c r="A57" s="175"/>
      <c r="D57" s="194"/>
      <c r="E57" s="52" t="s">
        <v>454</v>
      </c>
      <c r="F57" s="47">
        <f t="shared" si="0"/>
        <v>1</v>
      </c>
      <c r="G57" s="178" t="b">
        <f t="shared" si="1"/>
        <v>1</v>
      </c>
    </row>
    <row r="58" spans="1:7">
      <c r="A58" s="175"/>
      <c r="D58" s="194"/>
      <c r="E58" s="52" t="s">
        <v>455</v>
      </c>
      <c r="F58" s="47">
        <f t="shared" si="0"/>
        <v>1</v>
      </c>
      <c r="G58" s="178" t="b">
        <f t="shared" si="1"/>
        <v>1</v>
      </c>
    </row>
    <row r="59" spans="1:7">
      <c r="A59" s="175"/>
      <c r="D59" s="194"/>
      <c r="E59" s="52" t="s">
        <v>456</v>
      </c>
      <c r="F59" s="47">
        <f t="shared" si="0"/>
        <v>1</v>
      </c>
      <c r="G59" s="178" t="b">
        <f t="shared" si="1"/>
        <v>1</v>
      </c>
    </row>
    <row r="60" spans="1:7">
      <c r="A60" s="175"/>
      <c r="D60" s="194"/>
      <c r="E60" s="52" t="s">
        <v>457</v>
      </c>
      <c r="F60" s="47">
        <f t="shared" si="0"/>
        <v>1</v>
      </c>
      <c r="G60" s="178" t="b">
        <f t="shared" si="1"/>
        <v>1</v>
      </c>
    </row>
    <row r="61" spans="1:7">
      <c r="A61" s="175"/>
      <c r="D61" s="194"/>
      <c r="E61" s="52" t="s">
        <v>354</v>
      </c>
      <c r="F61" s="47">
        <f t="shared" si="0"/>
        <v>1</v>
      </c>
      <c r="G61" s="178" t="b">
        <f t="shared" si="1"/>
        <v>1</v>
      </c>
    </row>
    <row r="62" spans="1:7">
      <c r="A62" s="175"/>
      <c r="D62" s="194"/>
      <c r="E62" s="52" t="s">
        <v>355</v>
      </c>
      <c r="F62" s="47">
        <f t="shared" si="0"/>
        <v>1</v>
      </c>
      <c r="G62" s="178" t="b">
        <f t="shared" si="1"/>
        <v>1</v>
      </c>
    </row>
    <row r="63" spans="1:7">
      <c r="A63" s="175"/>
      <c r="D63" s="194"/>
      <c r="E63" s="52" t="s">
        <v>356</v>
      </c>
      <c r="F63" s="47">
        <f t="shared" si="0"/>
        <v>1</v>
      </c>
      <c r="G63" s="178" t="b">
        <f t="shared" si="1"/>
        <v>1</v>
      </c>
    </row>
    <row r="64" spans="1:7">
      <c r="A64" s="175"/>
      <c r="D64" s="194"/>
      <c r="E64" s="52" t="s">
        <v>357</v>
      </c>
      <c r="F64" s="47">
        <f t="shared" si="0"/>
        <v>1</v>
      </c>
      <c r="G64" s="178" t="b">
        <f t="shared" si="1"/>
        <v>1</v>
      </c>
    </row>
    <row r="65" spans="1:7">
      <c r="A65" s="175"/>
      <c r="D65" s="194"/>
      <c r="E65" s="52" t="s">
        <v>358</v>
      </c>
      <c r="F65" s="47">
        <f t="shared" si="0"/>
        <v>1</v>
      </c>
      <c r="G65" s="178" t="b">
        <f t="shared" si="1"/>
        <v>1</v>
      </c>
    </row>
    <row r="66" spans="1:7">
      <c r="A66" s="175"/>
      <c r="D66" s="194"/>
      <c r="E66" s="52" t="s">
        <v>359</v>
      </c>
      <c r="F66" s="47">
        <f t="shared" si="0"/>
        <v>1</v>
      </c>
      <c r="G66" s="178" t="b">
        <f t="shared" si="1"/>
        <v>1</v>
      </c>
    </row>
    <row r="67" spans="1:7">
      <c r="A67" s="175"/>
      <c r="D67" s="194"/>
      <c r="E67" s="52" t="s">
        <v>360</v>
      </c>
      <c r="F67" s="47">
        <f t="shared" si="0"/>
        <v>1</v>
      </c>
      <c r="G67" s="178" t="b">
        <f t="shared" si="1"/>
        <v>1</v>
      </c>
    </row>
    <row r="68" spans="1:7">
      <c r="A68" s="175"/>
      <c r="D68" s="194"/>
      <c r="E68" s="52" t="s">
        <v>1004</v>
      </c>
      <c r="F68" s="47" t="e">
        <f t="shared" si="0"/>
        <v>#N/A</v>
      </c>
      <c r="G68" s="178" t="e">
        <f>_xlfn.NUMBERVALUE(MID($E$19,12,1))=F68</f>
        <v>#N/A</v>
      </c>
    </row>
    <row r="69" spans="1:7">
      <c r="A69" s="175"/>
      <c r="D69" s="194"/>
      <c r="E69" s="52" t="s">
        <v>458</v>
      </c>
      <c r="F69" s="47" t="e">
        <f t="shared" si="0"/>
        <v>#N/A</v>
      </c>
      <c r="G69" s="178" t="e">
        <f t="shared" si="1"/>
        <v>#N/A</v>
      </c>
    </row>
    <row r="70" spans="1:7">
      <c r="A70" s="175"/>
      <c r="D70" s="194"/>
      <c r="E70" s="52" t="s">
        <v>459</v>
      </c>
      <c r="F70" s="47" t="e">
        <f t="shared" si="0"/>
        <v>#N/A</v>
      </c>
      <c r="G70" s="178" t="e">
        <f t="shared" si="1"/>
        <v>#N/A</v>
      </c>
    </row>
    <row r="71" spans="1:7">
      <c r="A71" s="175"/>
      <c r="D71" s="194"/>
      <c r="E71" s="52" t="s">
        <v>460</v>
      </c>
      <c r="F71" s="47" t="e">
        <f t="shared" si="0"/>
        <v>#N/A</v>
      </c>
      <c r="G71" s="178" t="e">
        <f t="shared" si="1"/>
        <v>#N/A</v>
      </c>
    </row>
    <row r="72" spans="1:7">
      <c r="A72" s="175"/>
      <c r="D72" s="194"/>
      <c r="E72" s="52" t="s">
        <v>461</v>
      </c>
      <c r="F72" s="47" t="e">
        <f t="shared" si="0"/>
        <v>#N/A</v>
      </c>
      <c r="G72" s="178" t="e">
        <f t="shared" si="1"/>
        <v>#N/A</v>
      </c>
    </row>
    <row r="73" spans="1:7">
      <c r="A73" s="175"/>
      <c r="D73" s="194"/>
      <c r="E73" s="52" t="s">
        <v>462</v>
      </c>
      <c r="F73" s="47" t="e">
        <f t="shared" si="0"/>
        <v>#N/A</v>
      </c>
      <c r="G73" s="178" t="e">
        <f t="shared" si="1"/>
        <v>#N/A</v>
      </c>
    </row>
    <row r="74" spans="1:7">
      <c r="A74" s="175"/>
      <c r="D74" s="194"/>
      <c r="E74" s="52" t="s">
        <v>463</v>
      </c>
      <c r="F74" s="47" t="e">
        <f t="shared" si="0"/>
        <v>#N/A</v>
      </c>
      <c r="G74" s="178" t="e">
        <f t="shared" si="1"/>
        <v>#N/A</v>
      </c>
    </row>
    <row r="75" spans="1:7">
      <c r="A75" s="175"/>
      <c r="D75" s="194"/>
      <c r="E75" s="52" t="s">
        <v>464</v>
      </c>
      <c r="F75" s="47" t="e">
        <f t="shared" si="0"/>
        <v>#N/A</v>
      </c>
      <c r="G75" s="178" t="e">
        <f t="shared" si="1"/>
        <v>#N/A</v>
      </c>
    </row>
    <row r="76" spans="1:7">
      <c r="A76" s="175"/>
      <c r="D76" s="194"/>
      <c r="E76" s="52" t="s">
        <v>465</v>
      </c>
      <c r="F76" s="47" t="e">
        <f t="shared" si="0"/>
        <v>#N/A</v>
      </c>
      <c r="G76" s="178" t="e">
        <f t="shared" si="1"/>
        <v>#N/A</v>
      </c>
    </row>
    <row r="77" spans="1:7">
      <c r="A77" s="175"/>
      <c r="D77" s="194"/>
      <c r="E77" s="52" t="s">
        <v>466</v>
      </c>
      <c r="F77" s="47" t="e">
        <f t="shared" si="0"/>
        <v>#N/A</v>
      </c>
      <c r="G77" s="178" t="e">
        <f t="shared" si="1"/>
        <v>#N/A</v>
      </c>
    </row>
    <row r="78" spans="1:7">
      <c r="A78" s="175"/>
      <c r="D78" s="194"/>
      <c r="E78" s="52" t="s">
        <v>337</v>
      </c>
      <c r="F78" s="47">
        <f t="shared" si="0"/>
        <v>1</v>
      </c>
      <c r="G78" s="178" t="b">
        <f t="shared" si="1"/>
        <v>1</v>
      </c>
    </row>
    <row r="79" spans="1:7">
      <c r="A79" s="175"/>
      <c r="D79" s="194"/>
      <c r="E79" s="52" t="s">
        <v>338</v>
      </c>
      <c r="F79" s="47">
        <f t="shared" si="0"/>
        <v>1</v>
      </c>
      <c r="G79" s="178" t="b">
        <f t="shared" si="1"/>
        <v>1</v>
      </c>
    </row>
    <row r="80" spans="1:7">
      <c r="A80" s="175"/>
      <c r="D80" s="194"/>
      <c r="E80" s="52" t="s">
        <v>1026</v>
      </c>
      <c r="F80" s="47" t="e">
        <f t="shared" si="0"/>
        <v>#N/A</v>
      </c>
      <c r="G80" s="178" t="e">
        <f t="shared" si="1"/>
        <v>#N/A</v>
      </c>
    </row>
    <row r="81" spans="1:7">
      <c r="A81" s="175"/>
      <c r="D81" s="194"/>
      <c r="E81" s="52" t="s">
        <v>1027</v>
      </c>
      <c r="F81" s="47" t="e">
        <f t="shared" si="0"/>
        <v>#N/A</v>
      </c>
      <c r="G81" s="178" t="e">
        <f t="shared" si="1"/>
        <v>#N/A</v>
      </c>
    </row>
    <row r="82" spans="1:7">
      <c r="A82" s="175"/>
      <c r="D82" s="194"/>
      <c r="E82" s="52" t="s">
        <v>1028</v>
      </c>
      <c r="F82" s="47" t="e">
        <f t="shared" si="0"/>
        <v>#N/A</v>
      </c>
      <c r="G82" s="178" t="e">
        <f t="shared" si="1"/>
        <v>#N/A</v>
      </c>
    </row>
    <row r="83" spans="1:7">
      <c r="A83" s="175"/>
      <c r="D83" s="194"/>
      <c r="E83" s="52" t="s">
        <v>1029</v>
      </c>
      <c r="F83" s="47" t="e">
        <f t="shared" si="0"/>
        <v>#N/A</v>
      </c>
      <c r="G83" s="178" t="e">
        <f t="shared" si="1"/>
        <v>#N/A</v>
      </c>
    </row>
    <row r="84" spans="1:7">
      <c r="A84" s="175"/>
      <c r="D84" s="194"/>
      <c r="E84" s="52" t="s">
        <v>1023</v>
      </c>
      <c r="F84" s="47" t="e">
        <f t="shared" ref="F84:F148" si="2">VLOOKUP($E84,Modelpuntoverzicht,9,FALSE)</f>
        <v>#N/A</v>
      </c>
      <c r="G84" s="178" t="e">
        <f t="shared" si="1"/>
        <v>#N/A</v>
      </c>
    </row>
    <row r="85" spans="1:7">
      <c r="A85" s="175"/>
      <c r="D85" s="194"/>
      <c r="E85" s="52" t="s">
        <v>1022</v>
      </c>
      <c r="F85" s="47" t="e">
        <f t="shared" si="2"/>
        <v>#N/A</v>
      </c>
      <c r="G85" s="178" t="e">
        <f t="shared" ref="G85:G153" si="3">_xlfn.NUMBERVALUE(MID($E$19,12,1))=F85</f>
        <v>#N/A</v>
      </c>
    </row>
    <row r="86" spans="1:7">
      <c r="A86" s="175"/>
      <c r="D86" s="194"/>
      <c r="E86" s="52" t="s">
        <v>1019</v>
      </c>
      <c r="F86" s="47" t="e">
        <f t="shared" si="2"/>
        <v>#N/A</v>
      </c>
      <c r="G86" s="178" t="e">
        <f t="shared" si="3"/>
        <v>#N/A</v>
      </c>
    </row>
    <row r="87" spans="1:7">
      <c r="A87" s="175"/>
      <c r="D87" s="194"/>
      <c r="E87" s="52" t="s">
        <v>1005</v>
      </c>
      <c r="F87" s="47" t="e">
        <f t="shared" si="2"/>
        <v>#N/A</v>
      </c>
      <c r="G87" s="178" t="e">
        <f t="shared" si="3"/>
        <v>#N/A</v>
      </c>
    </row>
    <row r="88" spans="1:7">
      <c r="A88" s="175"/>
      <c r="D88" s="194"/>
      <c r="E88" s="52" t="s">
        <v>1003</v>
      </c>
      <c r="F88" s="47" t="e">
        <f t="shared" si="2"/>
        <v>#N/A</v>
      </c>
      <c r="G88" s="178" t="e">
        <f t="shared" si="3"/>
        <v>#N/A</v>
      </c>
    </row>
    <row r="89" spans="1:7">
      <c r="A89" s="175"/>
      <c r="D89" s="194"/>
      <c r="E89" s="52" t="s">
        <v>1001</v>
      </c>
      <c r="F89" s="47" t="e">
        <f t="shared" si="2"/>
        <v>#N/A</v>
      </c>
      <c r="G89" s="178" t="e">
        <f t="shared" si="3"/>
        <v>#N/A</v>
      </c>
    </row>
    <row r="90" spans="1:7">
      <c r="A90" s="175"/>
      <c r="D90" s="194"/>
      <c r="E90" s="52" t="s">
        <v>1000</v>
      </c>
      <c r="F90" s="47" t="e">
        <f t="shared" si="2"/>
        <v>#N/A</v>
      </c>
      <c r="G90" s="178" t="e">
        <f t="shared" si="3"/>
        <v>#N/A</v>
      </c>
    </row>
    <row r="91" spans="1:7">
      <c r="A91" s="175"/>
      <c r="D91" s="194"/>
      <c r="E91" s="52" t="s">
        <v>992</v>
      </c>
      <c r="F91" s="47" t="e">
        <f t="shared" si="2"/>
        <v>#N/A</v>
      </c>
      <c r="G91" s="178" t="e">
        <f t="shared" si="3"/>
        <v>#N/A</v>
      </c>
    </row>
    <row r="92" spans="1:7">
      <c r="A92" s="175"/>
      <c r="D92" s="194"/>
      <c r="E92" s="52" t="s">
        <v>590</v>
      </c>
      <c r="F92" s="47">
        <f t="shared" si="2"/>
        <v>1</v>
      </c>
      <c r="G92" s="178" t="b">
        <f t="shared" si="3"/>
        <v>1</v>
      </c>
    </row>
    <row r="93" spans="1:7">
      <c r="A93" s="175"/>
      <c r="D93" s="194"/>
      <c r="E93" s="52" t="s">
        <v>591</v>
      </c>
      <c r="F93" s="47">
        <f t="shared" si="2"/>
        <v>1</v>
      </c>
      <c r="G93" s="178" t="b">
        <f t="shared" si="3"/>
        <v>1</v>
      </c>
    </row>
    <row r="94" spans="1:7">
      <c r="A94" s="175"/>
      <c r="D94" s="194"/>
      <c r="E94" s="52" t="s">
        <v>592</v>
      </c>
      <c r="F94" s="47">
        <f t="shared" si="2"/>
        <v>1</v>
      </c>
      <c r="G94" s="178" t="b">
        <f t="shared" si="3"/>
        <v>1</v>
      </c>
    </row>
    <row r="95" spans="1:7">
      <c r="A95" s="175"/>
      <c r="D95" s="194"/>
      <c r="E95" s="52" t="s">
        <v>593</v>
      </c>
      <c r="F95" s="47">
        <f t="shared" si="2"/>
        <v>1</v>
      </c>
      <c r="G95" s="178" t="b">
        <f t="shared" si="3"/>
        <v>1</v>
      </c>
    </row>
    <row r="96" spans="1:7">
      <c r="A96" s="175"/>
      <c r="D96" s="194"/>
      <c r="E96" s="52" t="s">
        <v>594</v>
      </c>
      <c r="F96" s="47">
        <f t="shared" si="2"/>
        <v>1</v>
      </c>
      <c r="G96" s="178" t="b">
        <f t="shared" si="3"/>
        <v>1</v>
      </c>
    </row>
    <row r="97" spans="1:7">
      <c r="A97" s="175"/>
      <c r="D97" s="194"/>
      <c r="E97" s="52" t="s">
        <v>595</v>
      </c>
      <c r="F97" s="47">
        <f t="shared" si="2"/>
        <v>1</v>
      </c>
      <c r="G97" s="178" t="b">
        <f t="shared" si="3"/>
        <v>1</v>
      </c>
    </row>
    <row r="98" spans="1:7">
      <c r="A98" s="175"/>
      <c r="D98" s="194"/>
      <c r="E98" s="52" t="s">
        <v>596</v>
      </c>
      <c r="F98" s="47">
        <f t="shared" si="2"/>
        <v>1</v>
      </c>
      <c r="G98" s="178" t="b">
        <f t="shared" si="3"/>
        <v>1</v>
      </c>
    </row>
    <row r="99" spans="1:7">
      <c r="A99" s="175"/>
      <c r="D99" s="194"/>
      <c r="E99" s="52" t="s">
        <v>597</v>
      </c>
      <c r="F99" s="47">
        <f t="shared" si="2"/>
        <v>1</v>
      </c>
      <c r="G99" s="178" t="b">
        <f t="shared" si="3"/>
        <v>1</v>
      </c>
    </row>
    <row r="100" spans="1:7">
      <c r="A100" s="175"/>
      <c r="D100" s="194"/>
      <c r="E100" s="52" t="s">
        <v>598</v>
      </c>
      <c r="F100" s="47">
        <f t="shared" si="2"/>
        <v>1</v>
      </c>
      <c r="G100" s="178" t="b">
        <f t="shared" si="3"/>
        <v>1</v>
      </c>
    </row>
    <row r="101" spans="1:7">
      <c r="A101" s="175"/>
      <c r="D101" s="194"/>
      <c r="E101" s="52" t="s">
        <v>599</v>
      </c>
      <c r="F101" s="47">
        <f t="shared" si="2"/>
        <v>1</v>
      </c>
      <c r="G101" s="178" t="b">
        <f t="shared" si="3"/>
        <v>1</v>
      </c>
    </row>
    <row r="102" spans="1:7">
      <c r="A102" s="175"/>
      <c r="D102" s="194"/>
      <c r="E102" s="52" t="s">
        <v>600</v>
      </c>
      <c r="F102" s="47" t="e">
        <f t="shared" si="2"/>
        <v>#N/A</v>
      </c>
      <c r="G102" s="178" t="e">
        <f t="shared" si="3"/>
        <v>#N/A</v>
      </c>
    </row>
    <row r="103" spans="1:7">
      <c r="A103" s="175"/>
      <c r="D103" s="194"/>
      <c r="E103" s="52" t="s">
        <v>601</v>
      </c>
      <c r="F103" s="47">
        <f t="shared" si="2"/>
        <v>1</v>
      </c>
      <c r="G103" s="178" t="b">
        <f t="shared" si="3"/>
        <v>1</v>
      </c>
    </row>
    <row r="104" spans="1:7">
      <c r="A104" s="175"/>
      <c r="D104" s="194"/>
      <c r="E104" s="52" t="s">
        <v>602</v>
      </c>
      <c r="F104" s="47">
        <f t="shared" si="2"/>
        <v>1</v>
      </c>
      <c r="G104" s="178" t="b">
        <f t="shared" si="3"/>
        <v>1</v>
      </c>
    </row>
    <row r="105" spans="1:7">
      <c r="A105" s="175"/>
      <c r="D105" s="194"/>
      <c r="E105" s="52" t="s">
        <v>603</v>
      </c>
      <c r="F105" s="47">
        <f t="shared" si="2"/>
        <v>1</v>
      </c>
      <c r="G105" s="178" t="b">
        <f t="shared" si="3"/>
        <v>1</v>
      </c>
    </row>
    <row r="106" spans="1:7">
      <c r="A106" s="175"/>
      <c r="D106" s="194"/>
      <c r="E106" s="52" t="s">
        <v>604</v>
      </c>
      <c r="F106" s="47">
        <f t="shared" si="2"/>
        <v>1</v>
      </c>
      <c r="G106" s="178" t="b">
        <f t="shared" si="3"/>
        <v>1</v>
      </c>
    </row>
    <row r="107" spans="1:7">
      <c r="A107" s="175"/>
      <c r="D107" s="194"/>
      <c r="E107" s="52" t="s">
        <v>605</v>
      </c>
      <c r="F107" s="47">
        <f t="shared" si="2"/>
        <v>1</v>
      </c>
      <c r="G107" s="178" t="b">
        <f t="shared" si="3"/>
        <v>1</v>
      </c>
    </row>
    <row r="108" spans="1:7">
      <c r="A108" s="175"/>
      <c r="D108" s="194"/>
      <c r="E108" s="52" t="s">
        <v>606</v>
      </c>
      <c r="F108" s="47">
        <f t="shared" si="2"/>
        <v>1</v>
      </c>
      <c r="G108" s="178" t="b">
        <f t="shared" si="3"/>
        <v>1</v>
      </c>
    </row>
    <row r="109" spans="1:7">
      <c r="A109" s="175"/>
      <c r="D109" s="194"/>
      <c r="E109" s="52" t="s">
        <v>607</v>
      </c>
      <c r="F109" s="47">
        <f t="shared" si="2"/>
        <v>1</v>
      </c>
      <c r="G109" s="178" t="b">
        <f t="shared" si="3"/>
        <v>1</v>
      </c>
    </row>
    <row r="110" spans="1:7">
      <c r="A110" s="175"/>
      <c r="D110" s="194"/>
      <c r="E110" s="52" t="s">
        <v>608</v>
      </c>
      <c r="F110" s="47">
        <f t="shared" si="2"/>
        <v>1</v>
      </c>
      <c r="G110" s="178" t="b">
        <f t="shared" si="3"/>
        <v>1</v>
      </c>
    </row>
    <row r="111" spans="1:7">
      <c r="A111" s="175"/>
      <c r="D111" s="194"/>
      <c r="E111" s="52" t="s">
        <v>609</v>
      </c>
      <c r="F111" s="47">
        <f t="shared" si="2"/>
        <v>1</v>
      </c>
      <c r="G111" s="178" t="b">
        <f t="shared" si="3"/>
        <v>1</v>
      </c>
    </row>
    <row r="112" spans="1:7">
      <c r="A112" s="175"/>
      <c r="D112" s="194"/>
      <c r="E112" s="52" t="s">
        <v>610</v>
      </c>
      <c r="F112" s="47">
        <f t="shared" si="2"/>
        <v>1</v>
      </c>
      <c r="G112" s="178" t="b">
        <f t="shared" si="3"/>
        <v>1</v>
      </c>
    </row>
    <row r="113" spans="1:7">
      <c r="A113" s="175"/>
      <c r="D113" s="194"/>
      <c r="E113" s="52" t="s">
        <v>611</v>
      </c>
      <c r="F113" s="47">
        <f t="shared" si="2"/>
        <v>1</v>
      </c>
      <c r="G113" s="178" t="b">
        <f t="shared" si="3"/>
        <v>1</v>
      </c>
    </row>
    <row r="114" spans="1:7">
      <c r="A114" s="175"/>
      <c r="D114" s="194"/>
      <c r="E114" s="52" t="s">
        <v>612</v>
      </c>
      <c r="F114" s="47">
        <f t="shared" si="2"/>
        <v>1</v>
      </c>
      <c r="G114" s="178" t="b">
        <f t="shared" si="3"/>
        <v>1</v>
      </c>
    </row>
    <row r="115" spans="1:7">
      <c r="A115" s="175"/>
      <c r="D115" s="194"/>
      <c r="E115" s="52" t="s">
        <v>613</v>
      </c>
      <c r="F115" s="47">
        <f t="shared" si="2"/>
        <v>1</v>
      </c>
      <c r="G115" s="178" t="b">
        <f t="shared" si="3"/>
        <v>1</v>
      </c>
    </row>
    <row r="116" spans="1:7">
      <c r="A116" s="175"/>
      <c r="D116" s="194"/>
      <c r="E116" s="52" t="s">
        <v>614</v>
      </c>
      <c r="F116" s="47">
        <f t="shared" si="2"/>
        <v>1</v>
      </c>
      <c r="G116" s="178" t="b">
        <f t="shared" si="3"/>
        <v>1</v>
      </c>
    </row>
    <row r="117" spans="1:7">
      <c r="A117" s="175"/>
      <c r="D117" s="194"/>
      <c r="E117" s="52" t="s">
        <v>556</v>
      </c>
      <c r="F117" s="47">
        <f t="shared" si="2"/>
        <v>1</v>
      </c>
      <c r="G117" s="178" t="b">
        <f t="shared" si="3"/>
        <v>1</v>
      </c>
    </row>
    <row r="118" spans="1:7">
      <c r="A118" s="175"/>
      <c r="D118" s="194"/>
      <c r="E118" s="52" t="s">
        <v>584</v>
      </c>
      <c r="F118" s="47">
        <f t="shared" si="2"/>
        <v>1</v>
      </c>
      <c r="G118" s="178" t="b">
        <f t="shared" si="3"/>
        <v>1</v>
      </c>
    </row>
    <row r="119" spans="1:7">
      <c r="A119" s="175"/>
      <c r="D119" s="194"/>
      <c r="E119" s="52" t="s">
        <v>351</v>
      </c>
      <c r="F119" s="47" t="e">
        <f t="shared" si="2"/>
        <v>#N/A</v>
      </c>
      <c r="G119" s="178" t="e">
        <f t="shared" si="3"/>
        <v>#N/A</v>
      </c>
    </row>
    <row r="120" spans="1:7">
      <c r="A120" s="175"/>
      <c r="D120" s="194"/>
      <c r="E120" s="52" t="s">
        <v>352</v>
      </c>
      <c r="F120" s="47" t="e">
        <f t="shared" si="2"/>
        <v>#N/A</v>
      </c>
      <c r="G120" s="178" t="e">
        <f t="shared" si="3"/>
        <v>#N/A</v>
      </c>
    </row>
    <row r="121" spans="1:7">
      <c r="A121" s="175"/>
      <c r="D121" s="194"/>
      <c r="E121" s="52" t="s">
        <v>353</v>
      </c>
      <c r="F121" s="47" t="e">
        <f t="shared" si="2"/>
        <v>#N/A</v>
      </c>
      <c r="G121" s="178" t="e">
        <f t="shared" si="3"/>
        <v>#N/A</v>
      </c>
    </row>
    <row r="122" spans="1:7">
      <c r="A122" s="175"/>
      <c r="D122" s="194"/>
      <c r="E122" s="52" t="s">
        <v>467</v>
      </c>
      <c r="F122" s="47" t="e">
        <f t="shared" si="2"/>
        <v>#N/A</v>
      </c>
      <c r="G122" s="178" t="e">
        <f t="shared" si="3"/>
        <v>#N/A</v>
      </c>
    </row>
    <row r="123" spans="1:7">
      <c r="A123" s="175"/>
      <c r="D123" s="194"/>
      <c r="E123" s="52" t="s">
        <v>1024</v>
      </c>
      <c r="F123" s="47">
        <f t="shared" si="2"/>
        <v>1</v>
      </c>
      <c r="G123" s="178" t="b">
        <f>_xlfn.NUMBERVALUE(MID($E$19,12,1))=F123</f>
        <v>1</v>
      </c>
    </row>
    <row r="124" spans="1:7">
      <c r="A124" s="175"/>
      <c r="D124" s="194"/>
      <c r="E124" s="52" t="s">
        <v>1025</v>
      </c>
      <c r="F124" s="47">
        <f t="shared" si="2"/>
        <v>1</v>
      </c>
      <c r="G124" s="178" t="b">
        <f>_xlfn.NUMBERVALUE(MID($E$19,12,1))=F124</f>
        <v>1</v>
      </c>
    </row>
    <row r="125" spans="1:7">
      <c r="A125" s="175"/>
      <c r="D125" s="194"/>
      <c r="E125" s="52" t="s">
        <v>1085</v>
      </c>
      <c r="F125" s="47">
        <f t="shared" si="2"/>
        <v>1</v>
      </c>
      <c r="G125" s="178" t="b">
        <f>_xlfn.NUMBERVALUE(MID($E$19,12,1))=F125</f>
        <v>1</v>
      </c>
    </row>
    <row r="126" spans="1:7">
      <c r="A126" s="175"/>
      <c r="D126" s="194"/>
      <c r="E126" s="52" t="s">
        <v>557</v>
      </c>
      <c r="F126" s="47">
        <f t="shared" si="2"/>
        <v>1</v>
      </c>
      <c r="G126" s="178" t="b">
        <f t="shared" si="3"/>
        <v>1</v>
      </c>
    </row>
    <row r="127" spans="1:7">
      <c r="A127" s="175"/>
      <c r="D127" s="194"/>
      <c r="E127" s="52" t="s">
        <v>558</v>
      </c>
      <c r="F127" s="47">
        <f t="shared" si="2"/>
        <v>1</v>
      </c>
      <c r="G127" s="178" t="b">
        <f t="shared" si="3"/>
        <v>1</v>
      </c>
    </row>
    <row r="128" spans="1:7">
      <c r="A128" s="175"/>
      <c r="D128" s="194"/>
      <c r="E128" s="52" t="s">
        <v>973</v>
      </c>
      <c r="F128" s="47">
        <f t="shared" si="2"/>
        <v>1</v>
      </c>
      <c r="G128" s="178" t="b">
        <f t="shared" si="3"/>
        <v>1</v>
      </c>
    </row>
    <row r="129" spans="1:7">
      <c r="A129" s="175"/>
      <c r="D129" s="194"/>
      <c r="E129" s="52" t="s">
        <v>585</v>
      </c>
      <c r="F129" s="47">
        <f t="shared" si="2"/>
        <v>1</v>
      </c>
      <c r="G129" s="178" t="b">
        <f t="shared" si="3"/>
        <v>1</v>
      </c>
    </row>
    <row r="130" spans="1:7">
      <c r="A130" s="175"/>
      <c r="D130" s="194"/>
      <c r="E130" s="52" t="s">
        <v>559</v>
      </c>
      <c r="F130" s="47">
        <f t="shared" si="2"/>
        <v>1</v>
      </c>
      <c r="G130" s="178" t="b">
        <f t="shared" si="3"/>
        <v>1</v>
      </c>
    </row>
    <row r="131" spans="1:7">
      <c r="A131" s="175"/>
      <c r="D131" s="194"/>
      <c r="E131" s="52" t="s">
        <v>586</v>
      </c>
      <c r="F131" s="47">
        <f t="shared" si="2"/>
        <v>1</v>
      </c>
      <c r="G131" s="178" t="b">
        <f t="shared" si="3"/>
        <v>1</v>
      </c>
    </row>
    <row r="132" spans="1:7">
      <c r="A132" s="175"/>
      <c r="D132" s="194"/>
      <c r="E132" s="52" t="s">
        <v>578</v>
      </c>
      <c r="F132" s="47">
        <f t="shared" si="2"/>
        <v>1</v>
      </c>
      <c r="G132" s="178" t="b">
        <f t="shared" si="3"/>
        <v>1</v>
      </c>
    </row>
    <row r="133" spans="1:7">
      <c r="A133" s="175"/>
      <c r="D133" s="194"/>
      <c r="E133" s="52" t="s">
        <v>579</v>
      </c>
      <c r="F133" s="47">
        <f t="shared" si="2"/>
        <v>1</v>
      </c>
      <c r="G133" s="178" t="b">
        <f t="shared" si="3"/>
        <v>1</v>
      </c>
    </row>
    <row r="134" spans="1:7">
      <c r="A134" s="175"/>
      <c r="D134" s="194"/>
      <c r="E134" s="52" t="s">
        <v>560</v>
      </c>
      <c r="F134" s="47">
        <f t="shared" si="2"/>
        <v>1</v>
      </c>
      <c r="G134" s="178" t="b">
        <f t="shared" si="3"/>
        <v>1</v>
      </c>
    </row>
    <row r="135" spans="1:7">
      <c r="A135" s="175"/>
      <c r="D135" s="194"/>
      <c r="E135" s="52" t="s">
        <v>561</v>
      </c>
      <c r="F135" s="47">
        <f t="shared" si="2"/>
        <v>1</v>
      </c>
      <c r="G135" s="178" t="b">
        <f t="shared" si="3"/>
        <v>1</v>
      </c>
    </row>
    <row r="136" spans="1:7">
      <c r="A136" s="175"/>
      <c r="D136" s="194"/>
      <c r="E136" s="52" t="s">
        <v>562</v>
      </c>
      <c r="F136" s="47">
        <f t="shared" si="2"/>
        <v>1</v>
      </c>
      <c r="G136" s="178" t="b">
        <f t="shared" si="3"/>
        <v>1</v>
      </c>
    </row>
    <row r="137" spans="1:7">
      <c r="A137" s="175"/>
      <c r="D137" s="194"/>
      <c r="E137" s="52" t="s">
        <v>563</v>
      </c>
      <c r="F137" s="47">
        <f t="shared" si="2"/>
        <v>1</v>
      </c>
      <c r="G137" s="178" t="b">
        <f t="shared" si="3"/>
        <v>1</v>
      </c>
    </row>
    <row r="138" spans="1:7">
      <c r="A138" s="175"/>
      <c r="D138" s="194"/>
      <c r="E138" s="52" t="s">
        <v>564</v>
      </c>
      <c r="F138" s="47">
        <f t="shared" si="2"/>
        <v>1</v>
      </c>
      <c r="G138" s="178" t="b">
        <f t="shared" si="3"/>
        <v>1</v>
      </c>
    </row>
    <row r="139" spans="1:7">
      <c r="A139" s="175"/>
      <c r="D139" s="194"/>
      <c r="E139" s="52" t="s">
        <v>565</v>
      </c>
      <c r="F139" s="47">
        <f t="shared" si="2"/>
        <v>1</v>
      </c>
      <c r="G139" s="178" t="b">
        <f t="shared" si="3"/>
        <v>1</v>
      </c>
    </row>
    <row r="140" spans="1:7">
      <c r="A140" s="175"/>
      <c r="D140" s="194"/>
      <c r="E140" s="52" t="s">
        <v>587</v>
      </c>
      <c r="F140" s="47">
        <f t="shared" si="2"/>
        <v>1</v>
      </c>
      <c r="G140" s="178" t="b">
        <f t="shared" si="3"/>
        <v>1</v>
      </c>
    </row>
    <row r="141" spans="1:7">
      <c r="A141" s="175"/>
      <c r="D141" s="194"/>
      <c r="E141" s="52" t="s">
        <v>566</v>
      </c>
      <c r="F141" s="47">
        <f t="shared" si="2"/>
        <v>1</v>
      </c>
      <c r="G141" s="178" t="b">
        <f t="shared" si="3"/>
        <v>1</v>
      </c>
    </row>
    <row r="142" spans="1:7">
      <c r="A142" s="175"/>
      <c r="D142" s="194"/>
      <c r="E142" s="52" t="s">
        <v>567</v>
      </c>
      <c r="F142" s="47">
        <f t="shared" si="2"/>
        <v>1</v>
      </c>
      <c r="G142" s="178" t="b">
        <f t="shared" si="3"/>
        <v>1</v>
      </c>
    </row>
    <row r="143" spans="1:7">
      <c r="A143" s="175"/>
      <c r="D143" s="194"/>
      <c r="E143" s="52" t="s">
        <v>568</v>
      </c>
      <c r="F143" s="47">
        <f t="shared" si="2"/>
        <v>1</v>
      </c>
      <c r="G143" s="178" t="b">
        <f t="shared" si="3"/>
        <v>1</v>
      </c>
    </row>
    <row r="144" spans="1:7">
      <c r="A144" s="175"/>
      <c r="D144" s="194"/>
      <c r="E144" s="52" t="s">
        <v>569</v>
      </c>
      <c r="F144" s="47">
        <f t="shared" si="2"/>
        <v>1</v>
      </c>
      <c r="G144" s="178" t="b">
        <f t="shared" si="3"/>
        <v>1</v>
      </c>
    </row>
    <row r="145" spans="1:7">
      <c r="A145" s="175"/>
      <c r="D145" s="194"/>
      <c r="E145" s="52" t="s">
        <v>570</v>
      </c>
      <c r="F145" s="47">
        <f t="shared" si="2"/>
        <v>1</v>
      </c>
      <c r="G145" s="178" t="b">
        <f t="shared" si="3"/>
        <v>1</v>
      </c>
    </row>
    <row r="146" spans="1:7">
      <c r="A146" s="175"/>
      <c r="D146" s="194"/>
      <c r="E146" s="52" t="s">
        <v>571</v>
      </c>
      <c r="F146" s="47">
        <f t="shared" si="2"/>
        <v>1</v>
      </c>
      <c r="G146" s="178" t="b">
        <f t="shared" si="3"/>
        <v>1</v>
      </c>
    </row>
    <row r="147" spans="1:7">
      <c r="A147" s="175"/>
      <c r="D147" s="194"/>
      <c r="E147" s="52" t="s">
        <v>572</v>
      </c>
      <c r="F147" s="47">
        <f t="shared" si="2"/>
        <v>1</v>
      </c>
      <c r="G147" s="178" t="b">
        <f t="shared" si="3"/>
        <v>1</v>
      </c>
    </row>
    <row r="148" spans="1:7">
      <c r="A148" s="175"/>
      <c r="D148" s="194"/>
      <c r="E148" s="52" t="s">
        <v>573</v>
      </c>
      <c r="F148" s="47">
        <f t="shared" si="2"/>
        <v>1</v>
      </c>
      <c r="G148" s="178" t="b">
        <f t="shared" si="3"/>
        <v>1</v>
      </c>
    </row>
    <row r="149" spans="1:7">
      <c r="A149" s="175"/>
      <c r="D149" s="194"/>
      <c r="E149" s="52" t="s">
        <v>1088</v>
      </c>
      <c r="F149" s="47">
        <f t="shared" ref="F149:F152" si="4">VLOOKUP($E149,Modelpuntoverzicht,9,FALSE)</f>
        <v>1</v>
      </c>
      <c r="G149" s="178" t="b">
        <f>_xlfn.NUMBERVALUE(MID($E$19,12,1))=F149</f>
        <v>1</v>
      </c>
    </row>
    <row r="150" spans="1:7">
      <c r="A150" s="175"/>
      <c r="D150" s="194"/>
      <c r="E150" s="52" t="s">
        <v>1089</v>
      </c>
      <c r="F150" s="47">
        <f t="shared" si="4"/>
        <v>1</v>
      </c>
      <c r="G150" s="178" t="b">
        <f>_xlfn.NUMBERVALUE(MID($E$19,12,1))=F150</f>
        <v>1</v>
      </c>
    </row>
    <row r="151" spans="1:7">
      <c r="A151" s="175"/>
      <c r="D151" s="194"/>
      <c r="E151" s="52" t="s">
        <v>1086</v>
      </c>
      <c r="F151" s="47">
        <f t="shared" si="4"/>
        <v>1</v>
      </c>
      <c r="G151" s="178" t="b">
        <f>_xlfn.NUMBERVALUE(MID($E$19,12,1))=F151</f>
        <v>1</v>
      </c>
    </row>
    <row r="152" spans="1:7">
      <c r="A152" s="175"/>
      <c r="D152" s="194"/>
      <c r="E152" s="52" t="s">
        <v>1087</v>
      </c>
      <c r="F152" s="47">
        <f t="shared" si="4"/>
        <v>1</v>
      </c>
      <c r="G152" s="178" t="b">
        <f>_xlfn.NUMBERVALUE(MID($E$19,12,1))=F152</f>
        <v>1</v>
      </c>
    </row>
    <row r="153" spans="1:7">
      <c r="A153" s="175"/>
      <c r="D153" s="194"/>
      <c r="E153" s="52" t="s">
        <v>574</v>
      </c>
      <c r="F153" s="47">
        <f t="shared" ref="F153:F217" si="5">VLOOKUP($E153,Modelpuntoverzicht,9,FALSE)</f>
        <v>1</v>
      </c>
      <c r="G153" s="178" t="b">
        <f t="shared" si="3"/>
        <v>1</v>
      </c>
    </row>
    <row r="154" spans="1:7">
      <c r="A154" s="175"/>
      <c r="D154" s="194"/>
      <c r="E154" s="52" t="s">
        <v>580</v>
      </c>
      <c r="F154" s="47">
        <f t="shared" si="5"/>
        <v>1</v>
      </c>
      <c r="G154" s="178" t="b">
        <f t="shared" ref="G154:G218" si="6">_xlfn.NUMBERVALUE(MID($E$19,12,1))=F154</f>
        <v>1</v>
      </c>
    </row>
    <row r="155" spans="1:7">
      <c r="A155" s="175"/>
      <c r="D155" s="194"/>
      <c r="E155" s="52" t="s">
        <v>581</v>
      </c>
      <c r="F155" s="47">
        <f t="shared" si="5"/>
        <v>1</v>
      </c>
      <c r="G155" s="178" t="b">
        <f t="shared" si="6"/>
        <v>1</v>
      </c>
    </row>
    <row r="156" spans="1:7">
      <c r="A156" s="175"/>
      <c r="D156" s="194"/>
      <c r="E156" s="52" t="s">
        <v>583</v>
      </c>
      <c r="F156" s="47">
        <f t="shared" si="5"/>
        <v>1</v>
      </c>
      <c r="G156" s="178" t="b">
        <f t="shared" si="6"/>
        <v>1</v>
      </c>
    </row>
    <row r="157" spans="1:7">
      <c r="A157" s="175"/>
      <c r="D157" s="194"/>
      <c r="E157" s="52" t="s">
        <v>576</v>
      </c>
      <c r="F157" s="47">
        <f t="shared" si="5"/>
        <v>1</v>
      </c>
      <c r="G157" s="178" t="b">
        <f t="shared" si="6"/>
        <v>1</v>
      </c>
    </row>
    <row r="158" spans="1:7">
      <c r="A158" s="175"/>
      <c r="D158" s="194"/>
      <c r="E158" s="52" t="s">
        <v>588</v>
      </c>
      <c r="F158" s="47">
        <f t="shared" si="5"/>
        <v>1</v>
      </c>
      <c r="G158" s="178" t="b">
        <f t="shared" si="6"/>
        <v>1</v>
      </c>
    </row>
    <row r="159" spans="1:7">
      <c r="A159" s="175"/>
      <c r="D159" s="194"/>
      <c r="E159" s="52" t="s">
        <v>589</v>
      </c>
      <c r="F159" s="47">
        <f t="shared" si="5"/>
        <v>1</v>
      </c>
      <c r="G159" s="178" t="b">
        <f t="shared" si="6"/>
        <v>1</v>
      </c>
    </row>
    <row r="160" spans="1:7">
      <c r="A160" s="175"/>
      <c r="D160" s="194"/>
      <c r="E160" s="52" t="s">
        <v>577</v>
      </c>
      <c r="F160" s="47">
        <f t="shared" si="5"/>
        <v>1</v>
      </c>
      <c r="G160" s="178" t="b">
        <f t="shared" si="6"/>
        <v>1</v>
      </c>
    </row>
    <row r="161" spans="1:7">
      <c r="A161" s="175"/>
      <c r="D161" s="194"/>
      <c r="E161" s="52" t="s">
        <v>1197</v>
      </c>
      <c r="F161" s="47" t="e">
        <f t="shared" si="5"/>
        <v>#N/A</v>
      </c>
      <c r="G161" s="178" t="e">
        <f>_xlfn.NUMBERVALUE(MID($E$19,12,1))=F161</f>
        <v>#N/A</v>
      </c>
    </row>
    <row r="162" spans="1:7">
      <c r="A162" s="175"/>
      <c r="D162" s="194"/>
      <c r="E162" s="52" t="s">
        <v>361</v>
      </c>
      <c r="F162" s="47">
        <f t="shared" si="5"/>
        <v>1</v>
      </c>
      <c r="G162" s="178" t="b">
        <f t="shared" si="6"/>
        <v>1</v>
      </c>
    </row>
    <row r="163" spans="1:7">
      <c r="A163" s="175"/>
      <c r="D163" s="194"/>
      <c r="E163" s="52" t="s">
        <v>362</v>
      </c>
      <c r="F163" s="47" t="e">
        <f t="shared" si="5"/>
        <v>#N/A</v>
      </c>
      <c r="G163" s="178" t="e">
        <f t="shared" si="6"/>
        <v>#N/A</v>
      </c>
    </row>
    <row r="164" spans="1:7">
      <c r="A164" s="175"/>
      <c r="D164" s="194"/>
      <c r="E164" s="52" t="s">
        <v>363</v>
      </c>
      <c r="F164" s="47" t="e">
        <f t="shared" si="5"/>
        <v>#N/A</v>
      </c>
      <c r="G164" s="178" t="e">
        <f t="shared" si="6"/>
        <v>#N/A</v>
      </c>
    </row>
    <row r="165" spans="1:7">
      <c r="A165" s="175"/>
      <c r="D165" s="194"/>
      <c r="E165" s="52" t="s">
        <v>364</v>
      </c>
      <c r="F165" s="47" t="e">
        <f t="shared" si="5"/>
        <v>#N/A</v>
      </c>
      <c r="G165" s="178" t="e">
        <f t="shared" si="6"/>
        <v>#N/A</v>
      </c>
    </row>
    <row r="166" spans="1:7">
      <c r="A166" s="175"/>
      <c r="D166" s="194"/>
      <c r="E166" s="52" t="s">
        <v>365</v>
      </c>
      <c r="F166" s="47">
        <f t="shared" si="5"/>
        <v>1</v>
      </c>
      <c r="G166" s="178" t="b">
        <f t="shared" si="6"/>
        <v>1</v>
      </c>
    </row>
    <row r="167" spans="1:7">
      <c r="A167" s="175"/>
      <c r="D167" s="194"/>
      <c r="E167" s="52" t="s">
        <v>366</v>
      </c>
      <c r="F167" s="47" t="e">
        <f t="shared" si="5"/>
        <v>#N/A</v>
      </c>
      <c r="G167" s="178" t="e">
        <f t="shared" si="6"/>
        <v>#N/A</v>
      </c>
    </row>
    <row r="168" spans="1:7">
      <c r="A168" s="175"/>
      <c r="D168" s="194"/>
      <c r="E168" s="52" t="s">
        <v>367</v>
      </c>
      <c r="F168" s="47" t="e">
        <f t="shared" si="5"/>
        <v>#N/A</v>
      </c>
      <c r="G168" s="178" t="e">
        <f t="shared" si="6"/>
        <v>#N/A</v>
      </c>
    </row>
    <row r="169" spans="1:7">
      <c r="A169" s="175"/>
      <c r="D169" s="194"/>
      <c r="E169" s="52" t="s">
        <v>368</v>
      </c>
      <c r="F169" s="47" t="e">
        <f t="shared" si="5"/>
        <v>#N/A</v>
      </c>
      <c r="G169" s="178" t="e">
        <f t="shared" si="6"/>
        <v>#N/A</v>
      </c>
    </row>
    <row r="170" spans="1:7">
      <c r="A170" s="175"/>
      <c r="D170" s="194"/>
      <c r="E170" s="52" t="s">
        <v>1002</v>
      </c>
      <c r="F170" s="47" t="e">
        <f t="shared" si="5"/>
        <v>#N/A</v>
      </c>
      <c r="G170" s="178" t="e">
        <f>_xlfn.NUMBERVALUE(MID($E$19,12,1))=F170</f>
        <v>#N/A</v>
      </c>
    </row>
    <row r="171" spans="1:7">
      <c r="A171" s="175"/>
      <c r="D171" s="194"/>
      <c r="E171" s="52" t="s">
        <v>369</v>
      </c>
      <c r="F171" s="47" t="e">
        <f t="shared" si="5"/>
        <v>#N/A</v>
      </c>
      <c r="G171" s="178" t="e">
        <f t="shared" si="6"/>
        <v>#N/A</v>
      </c>
    </row>
    <row r="172" spans="1:7">
      <c r="A172" s="175"/>
      <c r="D172" s="194"/>
      <c r="E172" s="52" t="s">
        <v>370</v>
      </c>
      <c r="F172" s="47" t="e">
        <f t="shared" si="5"/>
        <v>#N/A</v>
      </c>
      <c r="G172" s="178" t="e">
        <f t="shared" si="6"/>
        <v>#N/A</v>
      </c>
    </row>
    <row r="173" spans="1:7">
      <c r="A173" s="175"/>
      <c r="D173" s="194"/>
      <c r="E173" s="52" t="s">
        <v>371</v>
      </c>
      <c r="F173" s="47" t="e">
        <f t="shared" si="5"/>
        <v>#N/A</v>
      </c>
      <c r="G173" s="178" t="e">
        <f t="shared" si="6"/>
        <v>#N/A</v>
      </c>
    </row>
    <row r="174" spans="1:7">
      <c r="A174" s="175"/>
      <c r="D174" s="194"/>
      <c r="E174" s="52" t="s">
        <v>372</v>
      </c>
      <c r="F174" s="47" t="e">
        <f t="shared" si="5"/>
        <v>#N/A</v>
      </c>
      <c r="G174" s="178" t="e">
        <f t="shared" si="6"/>
        <v>#N/A</v>
      </c>
    </row>
    <row r="175" spans="1:7">
      <c r="A175" s="175"/>
      <c r="D175" s="194"/>
      <c r="E175" s="52" t="s">
        <v>373</v>
      </c>
      <c r="F175" s="47" t="e">
        <f t="shared" si="5"/>
        <v>#N/A</v>
      </c>
      <c r="G175" s="178" t="e">
        <f t="shared" si="6"/>
        <v>#N/A</v>
      </c>
    </row>
    <row r="176" spans="1:7">
      <c r="A176" s="175"/>
      <c r="D176" s="194"/>
      <c r="E176" s="52" t="s">
        <v>374</v>
      </c>
      <c r="F176" s="47" t="e">
        <f t="shared" si="5"/>
        <v>#N/A</v>
      </c>
      <c r="G176" s="178" t="e">
        <f t="shared" si="6"/>
        <v>#N/A</v>
      </c>
    </row>
    <row r="177" spans="1:7">
      <c r="A177" s="175"/>
      <c r="D177" s="194"/>
      <c r="E177" s="52" t="s">
        <v>375</v>
      </c>
      <c r="F177" s="47" t="e">
        <f t="shared" si="5"/>
        <v>#N/A</v>
      </c>
      <c r="G177" s="178" t="e">
        <f t="shared" si="6"/>
        <v>#N/A</v>
      </c>
    </row>
    <row r="178" spans="1:7">
      <c r="A178" s="175"/>
      <c r="D178" s="194"/>
      <c r="E178" s="52" t="s">
        <v>376</v>
      </c>
      <c r="F178" s="47">
        <f t="shared" si="5"/>
        <v>1</v>
      </c>
      <c r="G178" s="178" t="b">
        <f t="shared" si="6"/>
        <v>1</v>
      </c>
    </row>
    <row r="179" spans="1:7">
      <c r="A179" s="175"/>
      <c r="D179" s="194"/>
      <c r="E179" s="52" t="s">
        <v>377</v>
      </c>
      <c r="F179" s="47" t="e">
        <f t="shared" si="5"/>
        <v>#N/A</v>
      </c>
      <c r="G179" s="178" t="e">
        <f t="shared" si="6"/>
        <v>#N/A</v>
      </c>
    </row>
    <row r="180" spans="1:7">
      <c r="A180" s="175"/>
      <c r="D180" s="194"/>
      <c r="E180" s="52" t="s">
        <v>378</v>
      </c>
      <c r="F180" s="47" t="e">
        <f t="shared" si="5"/>
        <v>#N/A</v>
      </c>
      <c r="G180" s="178" t="e">
        <f t="shared" si="6"/>
        <v>#N/A</v>
      </c>
    </row>
    <row r="181" spans="1:7">
      <c r="A181" s="175"/>
      <c r="D181" s="194"/>
      <c r="E181" s="52" t="s">
        <v>379</v>
      </c>
      <c r="F181" s="47" t="e">
        <f t="shared" si="5"/>
        <v>#N/A</v>
      </c>
      <c r="G181" s="178" t="e">
        <f t="shared" si="6"/>
        <v>#N/A</v>
      </c>
    </row>
    <row r="182" spans="1:7">
      <c r="A182" s="175"/>
      <c r="D182" s="194"/>
      <c r="E182" s="52" t="s">
        <v>380</v>
      </c>
      <c r="F182" s="47" t="e">
        <f t="shared" si="5"/>
        <v>#N/A</v>
      </c>
      <c r="G182" s="178" t="e">
        <f t="shared" si="6"/>
        <v>#N/A</v>
      </c>
    </row>
    <row r="183" spans="1:7">
      <c r="A183" s="175"/>
      <c r="D183" s="194"/>
      <c r="E183" s="52" t="s">
        <v>381</v>
      </c>
      <c r="F183" s="47">
        <f t="shared" si="5"/>
        <v>1</v>
      </c>
      <c r="G183" s="178" t="b">
        <f t="shared" si="6"/>
        <v>1</v>
      </c>
    </row>
    <row r="184" spans="1:7">
      <c r="A184" s="175"/>
      <c r="D184" s="194"/>
      <c r="E184" s="52" t="s">
        <v>382</v>
      </c>
      <c r="F184" s="47" t="e">
        <f t="shared" si="5"/>
        <v>#N/A</v>
      </c>
      <c r="G184" s="178" t="e">
        <f t="shared" si="6"/>
        <v>#N/A</v>
      </c>
    </row>
    <row r="185" spans="1:7">
      <c r="A185" s="175"/>
      <c r="D185" s="194"/>
      <c r="E185" s="52" t="s">
        <v>383</v>
      </c>
      <c r="F185" s="47">
        <f t="shared" si="5"/>
        <v>1</v>
      </c>
      <c r="G185" s="178" t="b">
        <f t="shared" si="6"/>
        <v>1</v>
      </c>
    </row>
    <row r="186" spans="1:7">
      <c r="A186" s="175"/>
      <c r="D186" s="194"/>
      <c r="E186" s="52" t="s">
        <v>384</v>
      </c>
      <c r="F186" s="47" t="e">
        <f t="shared" si="5"/>
        <v>#N/A</v>
      </c>
      <c r="G186" s="178" t="e">
        <f t="shared" si="6"/>
        <v>#N/A</v>
      </c>
    </row>
    <row r="187" spans="1:7">
      <c r="A187" s="175"/>
      <c r="D187" s="194"/>
      <c r="E187" s="52" t="s">
        <v>385</v>
      </c>
      <c r="F187" s="47">
        <f t="shared" si="5"/>
        <v>1</v>
      </c>
      <c r="G187" s="178" t="b">
        <f t="shared" si="6"/>
        <v>1</v>
      </c>
    </row>
    <row r="188" spans="1:7">
      <c r="A188" s="175"/>
      <c r="D188" s="194"/>
      <c r="E188" s="52" t="s">
        <v>386</v>
      </c>
      <c r="F188" s="47" t="e">
        <f t="shared" si="5"/>
        <v>#N/A</v>
      </c>
      <c r="G188" s="178" t="e">
        <f t="shared" si="6"/>
        <v>#N/A</v>
      </c>
    </row>
    <row r="189" spans="1:7">
      <c r="A189" s="175"/>
      <c r="D189" s="194"/>
      <c r="E189" s="52" t="s">
        <v>387</v>
      </c>
      <c r="F189" s="47" t="e">
        <f t="shared" si="5"/>
        <v>#N/A</v>
      </c>
      <c r="G189" s="178" t="e">
        <f t="shared" si="6"/>
        <v>#N/A</v>
      </c>
    </row>
    <row r="190" spans="1:7">
      <c r="A190" s="175"/>
      <c r="D190" s="194"/>
      <c r="E190" s="52" t="s">
        <v>388</v>
      </c>
      <c r="F190" s="47" t="e">
        <f t="shared" si="5"/>
        <v>#N/A</v>
      </c>
      <c r="G190" s="178" t="e">
        <f t="shared" si="6"/>
        <v>#N/A</v>
      </c>
    </row>
    <row r="191" spans="1:7">
      <c r="A191" s="175"/>
      <c r="D191" s="194"/>
      <c r="E191" s="52" t="s">
        <v>389</v>
      </c>
      <c r="F191" s="47" t="e">
        <f t="shared" si="5"/>
        <v>#N/A</v>
      </c>
      <c r="G191" s="178" t="e">
        <f t="shared" si="6"/>
        <v>#N/A</v>
      </c>
    </row>
    <row r="192" spans="1:7">
      <c r="A192" s="175"/>
      <c r="D192" s="194"/>
      <c r="E192" s="52" t="s">
        <v>390</v>
      </c>
      <c r="F192" s="47" t="e">
        <f t="shared" si="5"/>
        <v>#N/A</v>
      </c>
      <c r="G192" s="178" t="e">
        <f t="shared" si="6"/>
        <v>#N/A</v>
      </c>
    </row>
    <row r="193" spans="1:7">
      <c r="A193" s="175"/>
      <c r="D193" s="194"/>
      <c r="E193" s="52" t="s">
        <v>391</v>
      </c>
      <c r="F193" s="47" t="e">
        <f t="shared" si="5"/>
        <v>#N/A</v>
      </c>
      <c r="G193" s="178" t="e">
        <f t="shared" si="6"/>
        <v>#N/A</v>
      </c>
    </row>
    <row r="194" spans="1:7">
      <c r="A194" s="175"/>
      <c r="D194" s="194"/>
      <c r="E194" s="52" t="s">
        <v>392</v>
      </c>
      <c r="F194" s="47">
        <f t="shared" si="5"/>
        <v>1</v>
      </c>
      <c r="G194" s="178" t="b">
        <f t="shared" si="6"/>
        <v>1</v>
      </c>
    </row>
    <row r="195" spans="1:7">
      <c r="A195" s="175"/>
      <c r="D195" s="194"/>
      <c r="E195" s="52" t="s">
        <v>393</v>
      </c>
      <c r="F195" s="47" t="e">
        <f t="shared" si="5"/>
        <v>#N/A</v>
      </c>
      <c r="G195" s="178" t="e">
        <f t="shared" si="6"/>
        <v>#N/A</v>
      </c>
    </row>
    <row r="196" spans="1:7">
      <c r="A196" s="175"/>
      <c r="D196" s="194"/>
      <c r="E196" s="52" t="s">
        <v>394</v>
      </c>
      <c r="F196" s="47" t="e">
        <f t="shared" si="5"/>
        <v>#N/A</v>
      </c>
      <c r="G196" s="178" t="e">
        <f t="shared" si="6"/>
        <v>#N/A</v>
      </c>
    </row>
    <row r="197" spans="1:7">
      <c r="A197" s="175"/>
      <c r="D197" s="194"/>
      <c r="E197" s="52" t="s">
        <v>395</v>
      </c>
      <c r="F197" s="47" t="e">
        <f t="shared" si="5"/>
        <v>#N/A</v>
      </c>
      <c r="G197" s="178" t="e">
        <f t="shared" si="6"/>
        <v>#N/A</v>
      </c>
    </row>
    <row r="198" spans="1:7">
      <c r="A198" s="175"/>
      <c r="D198" s="194"/>
      <c r="E198" s="52" t="s">
        <v>396</v>
      </c>
      <c r="F198" s="47" t="e">
        <f t="shared" si="5"/>
        <v>#N/A</v>
      </c>
      <c r="G198" s="178" t="e">
        <f t="shared" si="6"/>
        <v>#N/A</v>
      </c>
    </row>
    <row r="199" spans="1:7">
      <c r="A199" s="175"/>
      <c r="D199" s="194"/>
      <c r="E199" s="52" t="s">
        <v>416</v>
      </c>
      <c r="F199" s="47">
        <f t="shared" si="5"/>
        <v>1</v>
      </c>
      <c r="G199" s="178" t="b">
        <f t="shared" si="6"/>
        <v>1</v>
      </c>
    </row>
    <row r="200" spans="1:7">
      <c r="A200" s="175"/>
      <c r="D200" s="194"/>
      <c r="E200" s="52" t="s">
        <v>397</v>
      </c>
      <c r="F200" s="47" t="e">
        <f t="shared" si="5"/>
        <v>#N/A</v>
      </c>
      <c r="G200" s="178" t="e">
        <f t="shared" si="6"/>
        <v>#N/A</v>
      </c>
    </row>
    <row r="201" spans="1:7">
      <c r="A201" s="175"/>
      <c r="D201" s="194"/>
      <c r="E201" s="52" t="s">
        <v>417</v>
      </c>
      <c r="F201" s="47" t="e">
        <f t="shared" si="5"/>
        <v>#N/A</v>
      </c>
      <c r="G201" s="178" t="e">
        <f t="shared" si="6"/>
        <v>#N/A</v>
      </c>
    </row>
    <row r="202" spans="1:7">
      <c r="A202" s="175"/>
      <c r="D202" s="194"/>
      <c r="E202" s="52" t="s">
        <v>398</v>
      </c>
      <c r="F202" s="47" t="e">
        <f t="shared" si="5"/>
        <v>#N/A</v>
      </c>
      <c r="G202" s="178" t="e">
        <f t="shared" si="6"/>
        <v>#N/A</v>
      </c>
    </row>
    <row r="203" spans="1:7">
      <c r="A203" s="175"/>
      <c r="D203" s="194"/>
      <c r="E203" s="52" t="s">
        <v>399</v>
      </c>
      <c r="F203" s="47">
        <f t="shared" si="5"/>
        <v>1</v>
      </c>
      <c r="G203" s="178" t="b">
        <f t="shared" si="6"/>
        <v>1</v>
      </c>
    </row>
    <row r="204" spans="1:7">
      <c r="A204" s="175"/>
      <c r="D204" s="194"/>
      <c r="E204" s="52" t="s">
        <v>400</v>
      </c>
      <c r="F204" s="47" t="e">
        <f t="shared" si="5"/>
        <v>#N/A</v>
      </c>
      <c r="G204" s="178" t="e">
        <f t="shared" si="6"/>
        <v>#N/A</v>
      </c>
    </row>
    <row r="205" spans="1:7">
      <c r="A205" s="175"/>
      <c r="D205" s="194"/>
      <c r="E205" s="52" t="s">
        <v>401</v>
      </c>
      <c r="F205" s="47">
        <f t="shared" si="5"/>
        <v>1</v>
      </c>
      <c r="G205" s="178" t="b">
        <f t="shared" si="6"/>
        <v>1</v>
      </c>
    </row>
    <row r="206" spans="1:7">
      <c r="A206" s="175"/>
      <c r="D206" s="194"/>
      <c r="E206" s="52" t="s">
        <v>402</v>
      </c>
      <c r="F206" s="47" t="e">
        <f t="shared" si="5"/>
        <v>#N/A</v>
      </c>
      <c r="G206" s="178" t="e">
        <f t="shared" si="6"/>
        <v>#N/A</v>
      </c>
    </row>
    <row r="207" spans="1:7">
      <c r="A207" s="175"/>
      <c r="D207" s="194"/>
      <c r="E207" s="52" t="s">
        <v>403</v>
      </c>
      <c r="F207" s="47" t="e">
        <f t="shared" si="5"/>
        <v>#N/A</v>
      </c>
      <c r="G207" s="178" t="e">
        <f t="shared" si="6"/>
        <v>#N/A</v>
      </c>
    </row>
    <row r="208" spans="1:7">
      <c r="A208" s="175"/>
      <c r="D208" s="194"/>
      <c r="E208" s="52" t="s">
        <v>404</v>
      </c>
      <c r="F208" s="47" t="e">
        <f t="shared" si="5"/>
        <v>#N/A</v>
      </c>
      <c r="G208" s="178" t="e">
        <f t="shared" si="6"/>
        <v>#N/A</v>
      </c>
    </row>
    <row r="209" spans="1:7">
      <c r="A209" s="175"/>
      <c r="D209" s="194"/>
      <c r="E209" s="52" t="s">
        <v>405</v>
      </c>
      <c r="F209" s="47" t="e">
        <f t="shared" si="5"/>
        <v>#N/A</v>
      </c>
      <c r="G209" s="178" t="e">
        <f t="shared" si="6"/>
        <v>#N/A</v>
      </c>
    </row>
    <row r="210" spans="1:7">
      <c r="A210" s="175"/>
      <c r="D210" s="194"/>
      <c r="E210" s="52" t="s">
        <v>406</v>
      </c>
      <c r="F210" s="47" t="e">
        <f t="shared" si="5"/>
        <v>#N/A</v>
      </c>
      <c r="G210" s="178" t="e">
        <f t="shared" si="6"/>
        <v>#N/A</v>
      </c>
    </row>
    <row r="211" spans="1:7">
      <c r="A211" s="175"/>
      <c r="D211" s="194"/>
      <c r="E211" s="52" t="s">
        <v>407</v>
      </c>
      <c r="F211" s="47">
        <f t="shared" si="5"/>
        <v>1</v>
      </c>
      <c r="G211" s="178" t="b">
        <f t="shared" si="6"/>
        <v>1</v>
      </c>
    </row>
    <row r="212" spans="1:7">
      <c r="A212" s="175"/>
      <c r="D212" s="194"/>
      <c r="E212" s="52" t="s">
        <v>408</v>
      </c>
      <c r="F212" s="47" t="e">
        <f t="shared" si="5"/>
        <v>#N/A</v>
      </c>
      <c r="G212" s="178" t="e">
        <f t="shared" si="6"/>
        <v>#N/A</v>
      </c>
    </row>
    <row r="213" spans="1:7">
      <c r="A213" s="175"/>
      <c r="D213" s="194"/>
      <c r="E213" s="52" t="s">
        <v>409</v>
      </c>
      <c r="F213" s="47" t="e">
        <f t="shared" si="5"/>
        <v>#N/A</v>
      </c>
      <c r="G213" s="178" t="e">
        <f t="shared" si="6"/>
        <v>#N/A</v>
      </c>
    </row>
    <row r="214" spans="1:7">
      <c r="A214" s="175"/>
      <c r="D214" s="194"/>
      <c r="E214" s="52" t="s">
        <v>410</v>
      </c>
      <c r="F214" s="47" t="e">
        <f t="shared" si="5"/>
        <v>#N/A</v>
      </c>
      <c r="G214" s="178" t="e">
        <f t="shared" si="6"/>
        <v>#N/A</v>
      </c>
    </row>
    <row r="215" spans="1:7">
      <c r="A215" s="175"/>
      <c r="D215" s="194"/>
      <c r="E215" s="52" t="s">
        <v>411</v>
      </c>
      <c r="F215" s="47" t="e">
        <f t="shared" si="5"/>
        <v>#N/A</v>
      </c>
      <c r="G215" s="178" t="e">
        <f t="shared" si="6"/>
        <v>#N/A</v>
      </c>
    </row>
    <row r="216" spans="1:7">
      <c r="A216" s="175"/>
      <c r="D216" s="194"/>
      <c r="E216" s="52" t="s">
        <v>412</v>
      </c>
      <c r="F216" s="47" t="e">
        <f t="shared" si="5"/>
        <v>#N/A</v>
      </c>
      <c r="G216" s="178" t="e">
        <f t="shared" si="6"/>
        <v>#N/A</v>
      </c>
    </row>
    <row r="217" spans="1:7">
      <c r="A217" s="175"/>
      <c r="D217" s="194"/>
      <c r="E217" s="52" t="s">
        <v>413</v>
      </c>
      <c r="F217" s="47" t="e">
        <f t="shared" si="5"/>
        <v>#N/A</v>
      </c>
      <c r="G217" s="178" t="e">
        <f t="shared" si="6"/>
        <v>#N/A</v>
      </c>
    </row>
    <row r="218" spans="1:7">
      <c r="A218" s="175"/>
      <c r="D218" s="194"/>
      <c r="E218" s="52" t="s">
        <v>414</v>
      </c>
      <c r="F218" s="47" t="e">
        <f t="shared" ref="F218:F219" si="7">VLOOKUP($E218,Modelpuntoverzicht,9,FALSE)</f>
        <v>#N/A</v>
      </c>
      <c r="G218" s="178" t="e">
        <f t="shared" si="6"/>
        <v>#N/A</v>
      </c>
    </row>
    <row r="219" spans="1:7">
      <c r="A219" s="175"/>
      <c r="D219" s="194"/>
      <c r="E219" s="52" t="s">
        <v>415</v>
      </c>
      <c r="F219" s="47" t="e">
        <f t="shared" si="7"/>
        <v>#N/A</v>
      </c>
      <c r="G219" s="178" t="e">
        <f t="shared" ref="G219" si="8">_xlfn.NUMBERVALUE(MID($E$19,12,1))=F219</f>
        <v>#N/A</v>
      </c>
    </row>
    <row r="220" spans="1:7">
      <c r="A220" s="175"/>
      <c r="D220" s="194"/>
      <c r="E220" s="52" t="s">
        <v>312</v>
      </c>
      <c r="F220" s="47" t="e">
        <f t="shared" ref="F220:F289" si="9">VLOOKUP($E220,Modelpuntoverzicht,9,FALSE)</f>
        <v>#N/A</v>
      </c>
      <c r="G220" s="178" t="e">
        <f>_xlfn.NUMBERVALUE(MID($E$220,12,1))=F220</f>
        <v>#N/A</v>
      </c>
    </row>
    <row r="221" spans="1:7">
      <c r="A221" s="175"/>
      <c r="D221" s="194"/>
      <c r="E221" s="52" t="s">
        <v>972</v>
      </c>
      <c r="F221" s="47">
        <f t="shared" si="9"/>
        <v>2</v>
      </c>
      <c r="G221" s="178" t="b">
        <f>_xlfn.NUMBERVALUE(MID($E$220,12,1))=F221</f>
        <v>1</v>
      </c>
    </row>
    <row r="222" spans="1:7">
      <c r="A222" s="175"/>
      <c r="D222" s="194"/>
      <c r="E222" s="52" t="s">
        <v>495</v>
      </c>
      <c r="F222" s="47">
        <f t="shared" si="9"/>
        <v>2</v>
      </c>
      <c r="G222" s="178" t="b">
        <f t="shared" ref="G222:G289" si="10">_xlfn.NUMBERVALUE(MID($E$220,12,1))=F222</f>
        <v>1</v>
      </c>
    </row>
    <row r="223" spans="1:7">
      <c r="A223" s="175"/>
      <c r="D223" s="194"/>
      <c r="E223" s="52" t="s">
        <v>496</v>
      </c>
      <c r="F223" s="47">
        <f t="shared" si="9"/>
        <v>2</v>
      </c>
      <c r="G223" s="178" t="b">
        <f t="shared" si="10"/>
        <v>1</v>
      </c>
    </row>
    <row r="224" spans="1:7">
      <c r="A224" s="175"/>
      <c r="D224" s="194"/>
      <c r="E224" s="52" t="s">
        <v>513</v>
      </c>
      <c r="F224" s="47">
        <f t="shared" si="9"/>
        <v>2</v>
      </c>
      <c r="G224" s="178" t="b">
        <f t="shared" si="10"/>
        <v>1</v>
      </c>
    </row>
    <row r="225" spans="1:7">
      <c r="A225" s="175"/>
      <c r="D225" s="194"/>
      <c r="E225" s="52" t="s">
        <v>497</v>
      </c>
      <c r="F225" s="47">
        <f t="shared" si="9"/>
        <v>2</v>
      </c>
      <c r="G225" s="178" t="b">
        <f t="shared" si="10"/>
        <v>1</v>
      </c>
    </row>
    <row r="226" spans="1:7">
      <c r="A226" s="175"/>
      <c r="D226" s="194"/>
      <c r="E226" s="52" t="s">
        <v>514</v>
      </c>
      <c r="F226" s="47">
        <f t="shared" si="9"/>
        <v>2</v>
      </c>
      <c r="G226" s="178" t="b">
        <f t="shared" si="10"/>
        <v>1</v>
      </c>
    </row>
    <row r="227" spans="1:7">
      <c r="A227" s="175"/>
      <c r="D227" s="194"/>
      <c r="E227" s="52" t="s">
        <v>515</v>
      </c>
      <c r="F227" s="47">
        <f t="shared" si="9"/>
        <v>2</v>
      </c>
      <c r="G227" s="178" t="b">
        <f t="shared" si="10"/>
        <v>1</v>
      </c>
    </row>
    <row r="228" spans="1:7">
      <c r="A228" s="175"/>
      <c r="D228" s="194"/>
      <c r="E228" s="52" t="s">
        <v>498</v>
      </c>
      <c r="F228" s="47">
        <f t="shared" si="9"/>
        <v>2</v>
      </c>
      <c r="G228" s="178" t="b">
        <f t="shared" si="10"/>
        <v>1</v>
      </c>
    </row>
    <row r="229" spans="1:7">
      <c r="A229" s="175"/>
      <c r="D229" s="194"/>
      <c r="E229" s="52" t="s">
        <v>347</v>
      </c>
      <c r="F229" s="47">
        <f t="shared" si="9"/>
        <v>2</v>
      </c>
      <c r="G229" s="178" t="b">
        <f t="shared" si="10"/>
        <v>1</v>
      </c>
    </row>
    <row r="230" spans="1:7">
      <c r="A230" s="175"/>
      <c r="D230" s="194"/>
      <c r="E230" s="52" t="s">
        <v>349</v>
      </c>
      <c r="F230" s="47">
        <f t="shared" si="9"/>
        <v>2</v>
      </c>
      <c r="G230" s="178" t="b">
        <f t="shared" si="10"/>
        <v>1</v>
      </c>
    </row>
    <row r="231" spans="1:7">
      <c r="A231" s="175"/>
      <c r="D231" s="194"/>
      <c r="E231" s="52" t="s">
        <v>1014</v>
      </c>
      <c r="F231" s="47" t="e">
        <f t="shared" si="9"/>
        <v>#N/A</v>
      </c>
      <c r="G231" s="178" t="e">
        <f t="shared" si="10"/>
        <v>#N/A</v>
      </c>
    </row>
    <row r="232" spans="1:7">
      <c r="A232" s="175"/>
      <c r="D232" s="194"/>
      <c r="E232" s="52" t="s">
        <v>1012</v>
      </c>
      <c r="F232" s="47" t="e">
        <f t="shared" si="9"/>
        <v>#N/A</v>
      </c>
      <c r="G232" s="178" t="e">
        <f t="shared" si="10"/>
        <v>#N/A</v>
      </c>
    </row>
    <row r="233" spans="1:7">
      <c r="A233" s="175"/>
      <c r="D233" s="194"/>
      <c r="E233" s="52" t="s">
        <v>999</v>
      </c>
      <c r="F233" s="47" t="e">
        <f t="shared" si="9"/>
        <v>#N/A</v>
      </c>
      <c r="G233" s="178" t="e">
        <f t="shared" si="10"/>
        <v>#N/A</v>
      </c>
    </row>
    <row r="234" spans="1:7">
      <c r="A234" s="175"/>
      <c r="D234" s="194"/>
      <c r="E234" s="52" t="s">
        <v>998</v>
      </c>
      <c r="F234" s="47" t="e">
        <f t="shared" si="9"/>
        <v>#N/A</v>
      </c>
      <c r="G234" s="178" t="e">
        <f t="shared" si="10"/>
        <v>#N/A</v>
      </c>
    </row>
    <row r="235" spans="1:7">
      <c r="A235" s="175"/>
      <c r="D235" s="194"/>
      <c r="E235" s="52" t="s">
        <v>997</v>
      </c>
      <c r="F235" s="47" t="e">
        <f t="shared" si="9"/>
        <v>#N/A</v>
      </c>
      <c r="G235" s="178" t="e">
        <f t="shared" si="10"/>
        <v>#N/A</v>
      </c>
    </row>
    <row r="236" spans="1:7">
      <c r="A236" s="175"/>
      <c r="D236" s="194"/>
      <c r="E236" s="52" t="s">
        <v>995</v>
      </c>
      <c r="F236" s="47" t="e">
        <f t="shared" si="9"/>
        <v>#N/A</v>
      </c>
      <c r="G236" s="178" t="e">
        <f t="shared" si="10"/>
        <v>#N/A</v>
      </c>
    </row>
    <row r="237" spans="1:7">
      <c r="A237" s="175"/>
      <c r="D237" s="194"/>
      <c r="E237" s="52" t="s">
        <v>993</v>
      </c>
      <c r="F237" s="47" t="e">
        <f t="shared" si="9"/>
        <v>#N/A</v>
      </c>
      <c r="G237" s="178" t="e">
        <f t="shared" si="10"/>
        <v>#N/A</v>
      </c>
    </row>
    <row r="238" spans="1:7">
      <c r="A238" s="175"/>
      <c r="D238" s="194"/>
      <c r="E238" s="52" t="s">
        <v>516</v>
      </c>
      <c r="F238" s="47">
        <f t="shared" si="9"/>
        <v>2</v>
      </c>
      <c r="G238" s="178" t="b">
        <f t="shared" si="10"/>
        <v>1</v>
      </c>
    </row>
    <row r="239" spans="1:7">
      <c r="A239" s="175"/>
      <c r="D239" s="194"/>
      <c r="E239" s="52" t="s">
        <v>499</v>
      </c>
      <c r="F239" s="47">
        <f t="shared" si="9"/>
        <v>2</v>
      </c>
      <c r="G239" s="178" t="b">
        <f t="shared" si="10"/>
        <v>1</v>
      </c>
    </row>
    <row r="240" spans="1:7">
      <c r="A240" s="175"/>
      <c r="D240" s="194"/>
      <c r="E240" s="52" t="s">
        <v>500</v>
      </c>
      <c r="F240" s="47">
        <f t="shared" si="9"/>
        <v>2</v>
      </c>
      <c r="G240" s="178" t="b">
        <f t="shared" si="10"/>
        <v>1</v>
      </c>
    </row>
    <row r="241" spans="1:7">
      <c r="A241" s="175"/>
      <c r="D241" s="194"/>
      <c r="E241" s="52" t="s">
        <v>339</v>
      </c>
      <c r="F241" s="47" t="e">
        <f t="shared" si="9"/>
        <v>#N/A</v>
      </c>
      <c r="G241" s="178" t="e">
        <f t="shared" si="10"/>
        <v>#N/A</v>
      </c>
    </row>
    <row r="242" spans="1:7">
      <c r="A242" s="175"/>
      <c r="D242" s="194"/>
      <c r="E242" s="52" t="s">
        <v>517</v>
      </c>
      <c r="F242" s="47">
        <f t="shared" si="9"/>
        <v>2</v>
      </c>
      <c r="G242" s="178" t="b">
        <f t="shared" si="10"/>
        <v>1</v>
      </c>
    </row>
    <row r="243" spans="1:7">
      <c r="A243" s="175"/>
      <c r="D243" s="194"/>
      <c r="E243" s="52" t="s">
        <v>518</v>
      </c>
      <c r="F243" s="47">
        <f t="shared" si="9"/>
        <v>2</v>
      </c>
      <c r="G243" s="178" t="b">
        <f t="shared" si="10"/>
        <v>1</v>
      </c>
    </row>
    <row r="244" spans="1:7">
      <c r="A244" s="175"/>
      <c r="D244" s="194"/>
      <c r="E244" s="52" t="s">
        <v>1015</v>
      </c>
      <c r="F244" s="47">
        <f t="shared" si="9"/>
        <v>2</v>
      </c>
      <c r="G244" s="178" t="b">
        <f>_xlfn.NUMBERVALUE(MID($E$220,12,1))=F244</f>
        <v>1</v>
      </c>
    </row>
    <row r="245" spans="1:7">
      <c r="A245" s="175"/>
      <c r="D245" s="194"/>
      <c r="E245" s="52" t="s">
        <v>501</v>
      </c>
      <c r="F245" s="47">
        <f t="shared" si="9"/>
        <v>2</v>
      </c>
      <c r="G245" s="178" t="b">
        <f t="shared" si="10"/>
        <v>1</v>
      </c>
    </row>
    <row r="246" spans="1:7">
      <c r="A246" s="175"/>
      <c r="D246" s="194"/>
      <c r="E246" s="52" t="s">
        <v>575</v>
      </c>
      <c r="F246" s="47">
        <f t="shared" si="9"/>
        <v>2</v>
      </c>
      <c r="G246" s="178" t="b">
        <f t="shared" si="10"/>
        <v>1</v>
      </c>
    </row>
    <row r="247" spans="1:7">
      <c r="A247" s="175"/>
      <c r="D247" s="194"/>
      <c r="E247" s="52" t="s">
        <v>994</v>
      </c>
      <c r="F247" s="47" t="e">
        <f t="shared" si="9"/>
        <v>#N/A</v>
      </c>
      <c r="G247" s="178" t="e">
        <f>_xlfn.NUMBERVALUE(MID($E$220,12,1))=F247</f>
        <v>#N/A</v>
      </c>
    </row>
    <row r="248" spans="1:7">
      <c r="A248" s="175"/>
      <c r="D248" s="194"/>
      <c r="E248" s="52" t="s">
        <v>996</v>
      </c>
      <c r="F248" s="47" t="e">
        <f t="shared" si="9"/>
        <v>#N/A</v>
      </c>
      <c r="G248" s="178" t="e">
        <f>_xlfn.NUMBERVALUE(MID($E$220,12,1))=F248</f>
        <v>#N/A</v>
      </c>
    </row>
    <row r="249" spans="1:7">
      <c r="A249" s="175"/>
      <c r="D249" s="194"/>
      <c r="E249" s="52" t="s">
        <v>340</v>
      </c>
      <c r="F249" s="47" t="e">
        <f t="shared" si="9"/>
        <v>#N/A</v>
      </c>
      <c r="G249" s="178" t="e">
        <f t="shared" si="10"/>
        <v>#N/A</v>
      </c>
    </row>
    <row r="250" spans="1:7">
      <c r="A250" s="175"/>
      <c r="D250" s="194"/>
      <c r="E250" s="52" t="s">
        <v>343</v>
      </c>
      <c r="F250" s="47" t="e">
        <f t="shared" si="9"/>
        <v>#N/A</v>
      </c>
      <c r="G250" s="178" t="e">
        <f t="shared" si="10"/>
        <v>#N/A</v>
      </c>
    </row>
    <row r="251" spans="1:7">
      <c r="A251" s="175"/>
      <c r="D251" s="194"/>
      <c r="E251" s="52" t="s">
        <v>348</v>
      </c>
      <c r="F251" s="47" t="e">
        <f t="shared" si="9"/>
        <v>#N/A</v>
      </c>
      <c r="G251" s="178" t="e">
        <f t="shared" si="10"/>
        <v>#N/A</v>
      </c>
    </row>
    <row r="252" spans="1:7">
      <c r="A252" s="175"/>
      <c r="D252" s="194"/>
      <c r="E252" s="52" t="s">
        <v>1196</v>
      </c>
      <c r="F252" s="47" t="e">
        <f t="shared" si="9"/>
        <v>#N/A</v>
      </c>
      <c r="G252" s="178" t="e">
        <f>_xlfn.NUMBERVALUE(MID($E$220,12,1))=F252</f>
        <v>#N/A</v>
      </c>
    </row>
    <row r="253" spans="1:7">
      <c r="A253" s="175"/>
      <c r="D253" s="194"/>
      <c r="E253" s="52" t="s">
        <v>1195</v>
      </c>
      <c r="F253" s="47" t="e">
        <f t="shared" si="9"/>
        <v>#N/A</v>
      </c>
      <c r="G253" s="178" t="e">
        <f>_xlfn.NUMBERVALUE(MID($E$220,12,1))=F253</f>
        <v>#N/A</v>
      </c>
    </row>
    <row r="254" spans="1:7">
      <c r="A254" s="175"/>
      <c r="D254" s="194"/>
      <c r="E254" s="52" t="s">
        <v>502</v>
      </c>
      <c r="F254" s="47">
        <f t="shared" si="9"/>
        <v>2</v>
      </c>
      <c r="G254" s="178" t="b">
        <f t="shared" si="10"/>
        <v>1</v>
      </c>
    </row>
    <row r="255" spans="1:7">
      <c r="A255" s="175"/>
      <c r="D255" s="194"/>
      <c r="E255" s="52" t="s">
        <v>503</v>
      </c>
      <c r="F255" s="47">
        <f t="shared" si="9"/>
        <v>2</v>
      </c>
      <c r="G255" s="178" t="b">
        <f t="shared" si="10"/>
        <v>1</v>
      </c>
    </row>
    <row r="256" spans="1:7">
      <c r="A256" s="175"/>
      <c r="D256" s="194"/>
      <c r="E256" s="52" t="s">
        <v>519</v>
      </c>
      <c r="F256" s="47">
        <f t="shared" si="9"/>
        <v>2</v>
      </c>
      <c r="G256" s="178" t="b">
        <f t="shared" si="10"/>
        <v>1</v>
      </c>
    </row>
    <row r="257" spans="1:7">
      <c r="A257" s="175"/>
      <c r="D257" s="194"/>
      <c r="E257" s="52" t="s">
        <v>520</v>
      </c>
      <c r="F257" s="47">
        <f t="shared" si="9"/>
        <v>2</v>
      </c>
      <c r="G257" s="178" t="b">
        <f t="shared" si="10"/>
        <v>1</v>
      </c>
    </row>
    <row r="258" spans="1:7">
      <c r="A258" s="175"/>
      <c r="D258" s="194"/>
      <c r="E258" s="52" t="s">
        <v>504</v>
      </c>
      <c r="F258" s="47">
        <f t="shared" si="9"/>
        <v>2</v>
      </c>
      <c r="G258" s="178" t="b">
        <f t="shared" si="10"/>
        <v>1</v>
      </c>
    </row>
    <row r="259" spans="1:7">
      <c r="A259" s="175"/>
      <c r="D259" s="194"/>
      <c r="E259" s="52" t="s">
        <v>521</v>
      </c>
      <c r="F259" s="47">
        <f t="shared" si="9"/>
        <v>2</v>
      </c>
      <c r="G259" s="178" t="b">
        <f t="shared" si="10"/>
        <v>1</v>
      </c>
    </row>
    <row r="260" spans="1:7">
      <c r="A260" s="175"/>
      <c r="D260" s="194"/>
      <c r="E260" s="52" t="s">
        <v>505</v>
      </c>
      <c r="F260" s="47">
        <f t="shared" si="9"/>
        <v>2</v>
      </c>
      <c r="G260" s="178" t="b">
        <f t="shared" si="10"/>
        <v>1</v>
      </c>
    </row>
    <row r="261" spans="1:7">
      <c r="A261" s="175"/>
      <c r="D261" s="194"/>
      <c r="E261" s="52" t="s">
        <v>506</v>
      </c>
      <c r="F261" s="47">
        <f t="shared" si="9"/>
        <v>2</v>
      </c>
      <c r="G261" s="178" t="b">
        <f t="shared" si="10"/>
        <v>1</v>
      </c>
    </row>
    <row r="262" spans="1:7">
      <c r="A262" s="175"/>
      <c r="D262" s="194"/>
      <c r="E262" s="52" t="s">
        <v>522</v>
      </c>
      <c r="F262" s="47">
        <f t="shared" si="9"/>
        <v>2</v>
      </c>
      <c r="G262" s="178" t="b">
        <f t="shared" si="10"/>
        <v>1</v>
      </c>
    </row>
    <row r="263" spans="1:7">
      <c r="A263" s="175"/>
      <c r="D263" s="194"/>
      <c r="E263" s="52" t="s">
        <v>523</v>
      </c>
      <c r="F263" s="47">
        <f t="shared" si="9"/>
        <v>2</v>
      </c>
      <c r="G263" s="178" t="b">
        <f t="shared" si="10"/>
        <v>1</v>
      </c>
    </row>
    <row r="264" spans="1:7">
      <c r="A264" s="175"/>
      <c r="D264" s="194"/>
      <c r="E264" s="52" t="s">
        <v>341</v>
      </c>
      <c r="F264" s="47" t="e">
        <f t="shared" si="9"/>
        <v>#N/A</v>
      </c>
      <c r="G264" s="178" t="e">
        <f t="shared" si="10"/>
        <v>#N/A</v>
      </c>
    </row>
    <row r="265" spans="1:7">
      <c r="A265" s="175"/>
      <c r="D265" s="194"/>
      <c r="E265" s="52" t="s">
        <v>342</v>
      </c>
      <c r="F265" s="47" t="e">
        <f t="shared" si="9"/>
        <v>#N/A</v>
      </c>
      <c r="G265" s="178" t="e">
        <f t="shared" si="10"/>
        <v>#N/A</v>
      </c>
    </row>
    <row r="266" spans="1:7">
      <c r="A266" s="175"/>
      <c r="D266" s="194"/>
      <c r="E266" s="52" t="s">
        <v>344</v>
      </c>
      <c r="F266" s="47" t="e">
        <f t="shared" si="9"/>
        <v>#N/A</v>
      </c>
      <c r="G266" s="178" t="e">
        <f t="shared" si="10"/>
        <v>#N/A</v>
      </c>
    </row>
    <row r="267" spans="1:7">
      <c r="A267" s="175"/>
      <c r="D267" s="194"/>
      <c r="E267" s="52" t="s">
        <v>345</v>
      </c>
      <c r="F267" s="47" t="e">
        <f t="shared" si="9"/>
        <v>#N/A</v>
      </c>
      <c r="G267" s="178" t="e">
        <f t="shared" si="10"/>
        <v>#N/A</v>
      </c>
    </row>
    <row r="268" spans="1:7">
      <c r="A268" s="175"/>
      <c r="D268" s="194"/>
      <c r="E268" s="52" t="s">
        <v>507</v>
      </c>
      <c r="F268" s="47">
        <f t="shared" si="9"/>
        <v>2</v>
      </c>
      <c r="G268" s="178" t="b">
        <f t="shared" si="10"/>
        <v>1</v>
      </c>
    </row>
    <row r="269" spans="1:7">
      <c r="A269" s="175"/>
      <c r="D269" s="194"/>
      <c r="E269" s="52" t="s">
        <v>508</v>
      </c>
      <c r="F269" s="47">
        <f t="shared" si="9"/>
        <v>2</v>
      </c>
      <c r="G269" s="178" t="b">
        <f t="shared" si="10"/>
        <v>1</v>
      </c>
    </row>
    <row r="270" spans="1:7">
      <c r="A270" s="175"/>
      <c r="D270" s="194"/>
      <c r="E270" s="52" t="s">
        <v>524</v>
      </c>
      <c r="F270" s="47">
        <f t="shared" si="9"/>
        <v>2</v>
      </c>
      <c r="G270" s="178" t="b">
        <f t="shared" si="10"/>
        <v>1</v>
      </c>
    </row>
    <row r="271" spans="1:7">
      <c r="A271" s="175"/>
      <c r="D271" s="194"/>
      <c r="E271" s="52" t="s">
        <v>525</v>
      </c>
      <c r="F271" s="47">
        <f t="shared" si="9"/>
        <v>2</v>
      </c>
      <c r="G271" s="178" t="b">
        <f t="shared" si="10"/>
        <v>1</v>
      </c>
    </row>
    <row r="272" spans="1:7">
      <c r="A272" s="175"/>
      <c r="D272" s="194"/>
      <c r="E272" s="52" t="s">
        <v>526</v>
      </c>
      <c r="F272" s="47">
        <f t="shared" si="9"/>
        <v>2</v>
      </c>
      <c r="G272" s="178" t="b">
        <f t="shared" si="10"/>
        <v>1</v>
      </c>
    </row>
    <row r="273" spans="1:7">
      <c r="A273" s="175"/>
      <c r="D273" s="194"/>
      <c r="E273" s="52" t="s">
        <v>527</v>
      </c>
      <c r="F273" s="47">
        <f t="shared" si="9"/>
        <v>2</v>
      </c>
      <c r="G273" s="178" t="b">
        <f t="shared" si="10"/>
        <v>1</v>
      </c>
    </row>
    <row r="274" spans="1:7">
      <c r="A274" s="175"/>
      <c r="D274" s="194"/>
      <c r="E274" s="52" t="s">
        <v>528</v>
      </c>
      <c r="F274" s="47">
        <f t="shared" si="9"/>
        <v>2</v>
      </c>
      <c r="G274" s="178" t="b">
        <f t="shared" si="10"/>
        <v>1</v>
      </c>
    </row>
    <row r="275" spans="1:7">
      <c r="A275" s="175"/>
      <c r="D275" s="194"/>
      <c r="E275" s="52" t="s">
        <v>1013</v>
      </c>
      <c r="F275" s="47">
        <f t="shared" si="9"/>
        <v>2</v>
      </c>
      <c r="G275" s="178" t="b">
        <f>_xlfn.NUMBERVALUE(MID($E$220,12,1))=F275</f>
        <v>1</v>
      </c>
    </row>
    <row r="276" spans="1:7">
      <c r="A276" s="175"/>
      <c r="D276" s="194"/>
      <c r="E276" s="52" t="s">
        <v>1016</v>
      </c>
      <c r="F276" s="47">
        <f t="shared" si="9"/>
        <v>2</v>
      </c>
      <c r="G276" s="178" t="b">
        <f>_xlfn.NUMBERVALUE(MID($E$220,12,1))=F276</f>
        <v>1</v>
      </c>
    </row>
    <row r="277" spans="1:7">
      <c r="A277" s="175"/>
      <c r="D277" s="194"/>
      <c r="E277" s="52" t="s">
        <v>509</v>
      </c>
      <c r="F277" s="47">
        <f t="shared" si="9"/>
        <v>2</v>
      </c>
      <c r="G277" s="178" t="b">
        <f t="shared" si="10"/>
        <v>1</v>
      </c>
    </row>
    <row r="278" spans="1:7">
      <c r="A278" s="175"/>
      <c r="D278" s="194"/>
      <c r="E278" s="52" t="s">
        <v>510</v>
      </c>
      <c r="F278" s="47">
        <f t="shared" si="9"/>
        <v>2</v>
      </c>
      <c r="G278" s="178" t="b">
        <f t="shared" si="10"/>
        <v>1</v>
      </c>
    </row>
    <row r="279" spans="1:7">
      <c r="A279" s="175"/>
      <c r="D279" s="194"/>
      <c r="E279" s="52" t="s">
        <v>529</v>
      </c>
      <c r="F279" s="47">
        <f t="shared" si="9"/>
        <v>2</v>
      </c>
      <c r="G279" s="178" t="b">
        <f t="shared" si="10"/>
        <v>1</v>
      </c>
    </row>
    <row r="280" spans="1:7">
      <c r="A280" s="175"/>
      <c r="D280" s="194"/>
      <c r="E280" s="52" t="s">
        <v>530</v>
      </c>
      <c r="F280" s="47">
        <f t="shared" si="9"/>
        <v>2</v>
      </c>
      <c r="G280" s="178" t="b">
        <f t="shared" si="10"/>
        <v>1</v>
      </c>
    </row>
    <row r="281" spans="1:7">
      <c r="A281" s="175"/>
      <c r="D281" s="194"/>
      <c r="E281" s="52" t="s">
        <v>511</v>
      </c>
      <c r="F281" s="47">
        <f t="shared" si="9"/>
        <v>2</v>
      </c>
      <c r="G281" s="178" t="b">
        <f t="shared" si="10"/>
        <v>1</v>
      </c>
    </row>
    <row r="282" spans="1:7">
      <c r="A282" s="175"/>
      <c r="D282" s="194"/>
      <c r="E282" s="52" t="s">
        <v>512</v>
      </c>
      <c r="F282" s="47">
        <f t="shared" si="9"/>
        <v>2</v>
      </c>
      <c r="G282" s="178" t="b">
        <f t="shared" si="10"/>
        <v>1</v>
      </c>
    </row>
    <row r="283" spans="1:7">
      <c r="A283" s="175"/>
      <c r="D283" s="194"/>
      <c r="E283" s="52" t="s">
        <v>531</v>
      </c>
      <c r="F283" s="47">
        <f t="shared" si="9"/>
        <v>2</v>
      </c>
      <c r="G283" s="178" t="b">
        <f t="shared" si="10"/>
        <v>1</v>
      </c>
    </row>
    <row r="284" spans="1:7">
      <c r="A284" s="175"/>
      <c r="D284" s="194"/>
      <c r="E284" s="52" t="s">
        <v>532</v>
      </c>
      <c r="F284" s="47">
        <f t="shared" si="9"/>
        <v>2</v>
      </c>
      <c r="G284" s="178" t="b">
        <f t="shared" si="10"/>
        <v>1</v>
      </c>
    </row>
    <row r="285" spans="1:7">
      <c r="A285" s="175"/>
      <c r="D285" s="194"/>
      <c r="E285" s="52" t="s">
        <v>1083</v>
      </c>
      <c r="F285" s="47">
        <f t="shared" si="9"/>
        <v>2</v>
      </c>
      <c r="G285" s="178" t="b">
        <f>_xlfn.NUMBERVALUE(MID($E$220,12,1))=F285</f>
        <v>1</v>
      </c>
    </row>
    <row r="286" spans="1:7">
      <c r="A286" s="175"/>
      <c r="D286" s="194"/>
      <c r="E286" s="52" t="s">
        <v>1084</v>
      </c>
      <c r="F286" s="47">
        <f t="shared" si="9"/>
        <v>2</v>
      </c>
      <c r="G286" s="178" t="b">
        <f>_xlfn.NUMBERVALUE(MID($E$220,12,1))=F286</f>
        <v>1</v>
      </c>
    </row>
    <row r="287" spans="1:7">
      <c r="A287" s="175"/>
      <c r="D287" s="194"/>
      <c r="E287" s="52" t="s">
        <v>533</v>
      </c>
      <c r="F287" s="47">
        <f t="shared" si="9"/>
        <v>2</v>
      </c>
      <c r="G287" s="178" t="b">
        <f t="shared" si="10"/>
        <v>1</v>
      </c>
    </row>
    <row r="288" spans="1:7">
      <c r="A288" s="175"/>
      <c r="D288" s="194"/>
      <c r="E288" s="52" t="s">
        <v>1189</v>
      </c>
      <c r="F288" s="47">
        <f t="shared" si="9"/>
        <v>2</v>
      </c>
      <c r="G288" s="178" t="b">
        <f>_xlfn.NUMBERVALUE(MID($E$220,12,1))=F288</f>
        <v>1</v>
      </c>
    </row>
    <row r="289" spans="1:7">
      <c r="A289" s="175"/>
      <c r="D289" s="194"/>
      <c r="E289" s="52" t="s">
        <v>350</v>
      </c>
      <c r="F289" s="47">
        <f t="shared" si="9"/>
        <v>2</v>
      </c>
      <c r="G289" s="178" t="b">
        <f t="shared" si="10"/>
        <v>1</v>
      </c>
    </row>
    <row r="290" spans="1:7">
      <c r="A290" s="175"/>
      <c r="D290" s="194"/>
      <c r="E290" s="52" t="s">
        <v>313</v>
      </c>
      <c r="F290" s="47" t="e">
        <f t="shared" ref="F290:F362" si="11">VLOOKUP($E290,Modelpuntoverzicht,9,FALSE)</f>
        <v>#N/A</v>
      </c>
      <c r="G290" s="178" t="e">
        <f>_xlfn.NUMBERVALUE(MID($E$290,12,1))=F290</f>
        <v>#N/A</v>
      </c>
    </row>
    <row r="291" spans="1:7">
      <c r="A291" s="175"/>
      <c r="D291" s="194"/>
      <c r="E291" s="52" t="s">
        <v>1191</v>
      </c>
      <c r="F291" s="47">
        <f t="shared" si="11"/>
        <v>3</v>
      </c>
      <c r="G291" s="178" t="b">
        <f>_xlfn.NUMBERVALUE(MID($E$290,12,1))=F291</f>
        <v>1</v>
      </c>
    </row>
    <row r="292" spans="1:7">
      <c r="A292" s="175"/>
      <c r="D292" s="194"/>
      <c r="E292" s="52" t="s">
        <v>1018</v>
      </c>
      <c r="F292" s="47" t="e">
        <f t="shared" si="11"/>
        <v>#N/A</v>
      </c>
      <c r="G292" s="178" t="e">
        <f t="shared" ref="G292:G360" si="12">_xlfn.NUMBERVALUE(MID($E$290,12,1))=F292</f>
        <v>#N/A</v>
      </c>
    </row>
    <row r="293" spans="1:7">
      <c r="A293" s="175"/>
      <c r="D293" s="194"/>
      <c r="E293" s="52" t="s">
        <v>332</v>
      </c>
      <c r="F293" s="47">
        <f t="shared" si="11"/>
        <v>3</v>
      </c>
      <c r="G293" s="178" t="b">
        <f t="shared" si="12"/>
        <v>1</v>
      </c>
    </row>
    <row r="294" spans="1:7">
      <c r="A294" s="175"/>
      <c r="D294" s="194"/>
      <c r="E294" s="52" t="s">
        <v>333</v>
      </c>
      <c r="F294" s="47">
        <f t="shared" si="11"/>
        <v>3</v>
      </c>
      <c r="G294" s="178" t="b">
        <f t="shared" si="12"/>
        <v>1</v>
      </c>
    </row>
    <row r="295" spans="1:7">
      <c r="A295" s="175"/>
      <c r="D295" s="194"/>
      <c r="E295" s="52" t="s">
        <v>971</v>
      </c>
      <c r="F295" s="47">
        <f t="shared" si="11"/>
        <v>3</v>
      </c>
      <c r="G295" s="178" t="b">
        <f t="shared" si="12"/>
        <v>1</v>
      </c>
    </row>
    <row r="296" spans="1:7">
      <c r="A296" s="175"/>
      <c r="D296" s="194"/>
      <c r="E296" s="52" t="s">
        <v>334</v>
      </c>
      <c r="F296" s="47">
        <f t="shared" si="11"/>
        <v>3</v>
      </c>
      <c r="G296" s="178" t="b">
        <f t="shared" si="12"/>
        <v>1</v>
      </c>
    </row>
    <row r="297" spans="1:7">
      <c r="A297" s="175"/>
      <c r="D297" s="194"/>
      <c r="E297" s="52" t="s">
        <v>990</v>
      </c>
      <c r="F297" s="47">
        <f t="shared" si="11"/>
        <v>3</v>
      </c>
      <c r="G297" s="178" t="b">
        <f>_xlfn.NUMBERVALUE(MID($E$290,12,1))=F297</f>
        <v>1</v>
      </c>
    </row>
    <row r="298" spans="1:7">
      <c r="A298" s="175"/>
      <c r="D298" s="194"/>
      <c r="E298" s="52" t="s">
        <v>335</v>
      </c>
      <c r="F298" s="47" t="e">
        <f t="shared" si="11"/>
        <v>#N/A</v>
      </c>
      <c r="G298" s="178" t="e">
        <f t="shared" si="12"/>
        <v>#N/A</v>
      </c>
    </row>
    <row r="299" spans="1:7">
      <c r="A299" s="175"/>
      <c r="D299" s="194"/>
      <c r="E299" s="52" t="s">
        <v>330</v>
      </c>
      <c r="F299" s="47">
        <f t="shared" si="11"/>
        <v>3</v>
      </c>
      <c r="G299" s="178" t="b">
        <f t="shared" si="12"/>
        <v>1</v>
      </c>
    </row>
    <row r="300" spans="1:7">
      <c r="A300" s="175"/>
      <c r="D300" s="194"/>
      <c r="E300" s="52" t="s">
        <v>1020</v>
      </c>
      <c r="F300" s="47" t="e">
        <f t="shared" si="11"/>
        <v>#N/A</v>
      </c>
      <c r="G300" s="178" t="e">
        <f t="shared" si="12"/>
        <v>#N/A</v>
      </c>
    </row>
    <row r="301" spans="1:7">
      <c r="A301" s="175"/>
      <c r="D301" s="194"/>
      <c r="E301" s="52" t="s">
        <v>1021</v>
      </c>
      <c r="F301" s="47" t="e">
        <f t="shared" si="11"/>
        <v>#N/A</v>
      </c>
      <c r="G301" s="178" t="e">
        <f t="shared" si="12"/>
        <v>#N/A</v>
      </c>
    </row>
    <row r="302" spans="1:7">
      <c r="A302" s="175"/>
      <c r="D302" s="194"/>
      <c r="E302" s="52" t="s">
        <v>1017</v>
      </c>
      <c r="F302" s="47" t="e">
        <f t="shared" si="11"/>
        <v>#N/A</v>
      </c>
      <c r="G302" s="178" t="e">
        <f t="shared" si="12"/>
        <v>#N/A</v>
      </c>
    </row>
    <row r="303" spans="1:7">
      <c r="A303" s="175"/>
      <c r="D303" s="194"/>
      <c r="E303" s="52" t="s">
        <v>1009</v>
      </c>
      <c r="F303" s="47" t="e">
        <f t="shared" si="11"/>
        <v>#N/A</v>
      </c>
      <c r="G303" s="178" t="e">
        <f t="shared" si="12"/>
        <v>#N/A</v>
      </c>
    </row>
    <row r="304" spans="1:7">
      <c r="A304" s="175"/>
      <c r="D304" s="194"/>
      <c r="E304" s="52" t="s">
        <v>1008</v>
      </c>
      <c r="F304" s="47" t="e">
        <f t="shared" si="11"/>
        <v>#N/A</v>
      </c>
      <c r="G304" s="178" t="e">
        <f t="shared" si="12"/>
        <v>#N/A</v>
      </c>
    </row>
    <row r="305" spans="1:7">
      <c r="A305" s="175"/>
      <c r="D305" s="194"/>
      <c r="E305" s="52" t="s">
        <v>1007</v>
      </c>
      <c r="F305" s="47" t="e">
        <f t="shared" si="11"/>
        <v>#N/A</v>
      </c>
      <c r="G305" s="178" t="e">
        <f t="shared" si="12"/>
        <v>#N/A</v>
      </c>
    </row>
    <row r="306" spans="1:7">
      <c r="A306" s="175"/>
      <c r="D306" s="194"/>
      <c r="E306" s="52" t="s">
        <v>1006</v>
      </c>
      <c r="F306" s="47" t="e">
        <f t="shared" si="11"/>
        <v>#N/A</v>
      </c>
      <c r="G306" s="178" t="e">
        <f t="shared" si="12"/>
        <v>#N/A</v>
      </c>
    </row>
    <row r="307" spans="1:7">
      <c r="A307" s="175"/>
      <c r="D307" s="194"/>
      <c r="E307" s="52" t="s">
        <v>991</v>
      </c>
      <c r="F307" s="47" t="e">
        <f t="shared" si="11"/>
        <v>#N/A</v>
      </c>
      <c r="G307" s="178" t="e">
        <f t="shared" si="12"/>
        <v>#N/A</v>
      </c>
    </row>
    <row r="308" spans="1:7">
      <c r="A308" s="175"/>
      <c r="D308" s="194"/>
      <c r="E308" s="52" t="s">
        <v>989</v>
      </c>
      <c r="F308" s="47" t="e">
        <f t="shared" si="11"/>
        <v>#N/A</v>
      </c>
      <c r="G308" s="178" t="e">
        <f t="shared" si="12"/>
        <v>#N/A</v>
      </c>
    </row>
    <row r="309" spans="1:7">
      <c r="A309" s="175"/>
      <c r="D309" s="194"/>
      <c r="E309" s="52" t="s">
        <v>538</v>
      </c>
      <c r="F309" s="47">
        <f t="shared" si="11"/>
        <v>3</v>
      </c>
      <c r="G309" s="178" t="b">
        <f t="shared" si="12"/>
        <v>1</v>
      </c>
    </row>
    <row r="310" spans="1:7">
      <c r="A310" s="175"/>
      <c r="D310" s="194"/>
      <c r="E310" s="52" t="s">
        <v>539</v>
      </c>
      <c r="F310" s="47">
        <f t="shared" si="11"/>
        <v>3</v>
      </c>
      <c r="G310" s="178" t="b">
        <f t="shared" si="12"/>
        <v>1</v>
      </c>
    </row>
    <row r="311" spans="1:7">
      <c r="A311" s="175"/>
      <c r="D311" s="194"/>
      <c r="E311" s="52" t="s">
        <v>1217</v>
      </c>
      <c r="F311" s="47" t="e">
        <f t="shared" si="11"/>
        <v>#N/A</v>
      </c>
      <c r="G311" s="178" t="e">
        <f>_xlfn.NUMBERVALUE(MID($E$290,12,1))=F311</f>
        <v>#N/A</v>
      </c>
    </row>
    <row r="312" spans="1:7">
      <c r="A312" s="175"/>
      <c r="D312" s="194"/>
      <c r="E312" s="52" t="s">
        <v>540</v>
      </c>
      <c r="F312" s="47">
        <f t="shared" si="11"/>
        <v>3</v>
      </c>
      <c r="G312" s="178" t="b">
        <f t="shared" si="12"/>
        <v>1</v>
      </c>
    </row>
    <row r="313" spans="1:7">
      <c r="A313" s="175"/>
      <c r="D313" s="194"/>
      <c r="E313" s="52" t="s">
        <v>541</v>
      </c>
      <c r="F313" s="47">
        <f t="shared" si="11"/>
        <v>3</v>
      </c>
      <c r="G313" s="178" t="b">
        <f t="shared" si="12"/>
        <v>1</v>
      </c>
    </row>
    <row r="314" spans="1:7">
      <c r="A314" s="175"/>
      <c r="D314" s="194"/>
      <c r="E314" s="52" t="s">
        <v>542</v>
      </c>
      <c r="F314" s="47">
        <f t="shared" si="11"/>
        <v>3</v>
      </c>
      <c r="G314" s="178" t="b">
        <f t="shared" si="12"/>
        <v>1</v>
      </c>
    </row>
    <row r="315" spans="1:7">
      <c r="A315" s="175"/>
      <c r="D315" s="194"/>
      <c r="E315" s="52" t="s">
        <v>543</v>
      </c>
      <c r="F315" s="47">
        <f t="shared" si="11"/>
        <v>3</v>
      </c>
      <c r="G315" s="178" t="b">
        <f t="shared" si="12"/>
        <v>1</v>
      </c>
    </row>
    <row r="316" spans="1:7">
      <c r="A316" s="175"/>
      <c r="D316" s="194"/>
      <c r="E316" s="52" t="s">
        <v>544</v>
      </c>
      <c r="F316" s="47">
        <f t="shared" si="11"/>
        <v>3</v>
      </c>
      <c r="G316" s="178" t="b">
        <f t="shared" si="12"/>
        <v>1</v>
      </c>
    </row>
    <row r="317" spans="1:7">
      <c r="A317" s="175"/>
      <c r="D317" s="194"/>
      <c r="E317" s="52" t="s">
        <v>545</v>
      </c>
      <c r="F317" s="47">
        <f t="shared" si="11"/>
        <v>3</v>
      </c>
      <c r="G317" s="178" t="b">
        <f t="shared" si="12"/>
        <v>1</v>
      </c>
    </row>
    <row r="318" spans="1:7">
      <c r="A318" s="175"/>
      <c r="D318" s="194"/>
      <c r="E318" s="52" t="s">
        <v>546</v>
      </c>
      <c r="F318" s="47">
        <f t="shared" si="11"/>
        <v>3</v>
      </c>
      <c r="G318" s="178" t="b">
        <f t="shared" si="12"/>
        <v>1</v>
      </c>
    </row>
    <row r="319" spans="1:7">
      <c r="A319" s="175"/>
      <c r="D319" s="194"/>
      <c r="E319" s="52" t="s">
        <v>547</v>
      </c>
      <c r="F319" s="47">
        <f t="shared" si="11"/>
        <v>3</v>
      </c>
      <c r="G319" s="178" t="b">
        <f t="shared" si="12"/>
        <v>1</v>
      </c>
    </row>
    <row r="320" spans="1:7">
      <c r="A320" s="175"/>
      <c r="D320" s="194"/>
      <c r="E320" s="52" t="s">
        <v>548</v>
      </c>
      <c r="F320" s="47" t="e">
        <f t="shared" si="11"/>
        <v>#N/A</v>
      </c>
      <c r="G320" s="178" t="e">
        <f t="shared" si="12"/>
        <v>#N/A</v>
      </c>
    </row>
    <row r="321" spans="1:7">
      <c r="A321" s="175"/>
      <c r="D321" s="194"/>
      <c r="E321" s="52" t="s">
        <v>549</v>
      </c>
      <c r="F321" s="47">
        <f t="shared" si="11"/>
        <v>3</v>
      </c>
      <c r="G321" s="178" t="b">
        <f t="shared" si="12"/>
        <v>1</v>
      </c>
    </row>
    <row r="322" spans="1:7">
      <c r="A322" s="175"/>
      <c r="D322" s="194"/>
      <c r="E322" s="52" t="s">
        <v>550</v>
      </c>
      <c r="F322" s="47">
        <f t="shared" si="11"/>
        <v>3</v>
      </c>
      <c r="G322" s="178" t="b">
        <f t="shared" si="12"/>
        <v>1</v>
      </c>
    </row>
    <row r="323" spans="1:7">
      <c r="A323" s="175"/>
      <c r="D323" s="194"/>
      <c r="E323" s="52" t="s">
        <v>551</v>
      </c>
      <c r="F323" s="47">
        <f t="shared" si="11"/>
        <v>3</v>
      </c>
      <c r="G323" s="178" t="b">
        <f t="shared" si="12"/>
        <v>1</v>
      </c>
    </row>
    <row r="324" spans="1:7">
      <c r="A324" s="175"/>
      <c r="D324" s="194"/>
      <c r="E324" s="52" t="s">
        <v>552</v>
      </c>
      <c r="F324" s="47">
        <f t="shared" si="11"/>
        <v>3</v>
      </c>
      <c r="G324" s="178" t="b">
        <f t="shared" si="12"/>
        <v>1</v>
      </c>
    </row>
    <row r="325" spans="1:7">
      <c r="A325" s="175"/>
      <c r="D325" s="194"/>
      <c r="E325" s="52" t="s">
        <v>553</v>
      </c>
      <c r="F325" s="47">
        <f t="shared" si="11"/>
        <v>3</v>
      </c>
      <c r="G325" s="178" t="b">
        <f t="shared" si="12"/>
        <v>1</v>
      </c>
    </row>
    <row r="326" spans="1:7">
      <c r="A326" s="175"/>
      <c r="D326" s="194"/>
      <c r="E326" s="52" t="s">
        <v>554</v>
      </c>
      <c r="F326" s="47">
        <f t="shared" si="11"/>
        <v>3</v>
      </c>
      <c r="G326" s="178" t="b">
        <f t="shared" si="12"/>
        <v>1</v>
      </c>
    </row>
    <row r="327" spans="1:7">
      <c r="A327" s="175"/>
      <c r="D327" s="194"/>
      <c r="E327" s="52" t="s">
        <v>555</v>
      </c>
      <c r="F327" s="47">
        <f t="shared" si="11"/>
        <v>3</v>
      </c>
      <c r="G327" s="178" t="b">
        <f t="shared" si="12"/>
        <v>1</v>
      </c>
    </row>
    <row r="328" spans="1:7">
      <c r="A328" s="175"/>
      <c r="D328" s="194"/>
      <c r="E328" s="52" t="s">
        <v>488</v>
      </c>
      <c r="F328" s="47">
        <f t="shared" si="11"/>
        <v>3</v>
      </c>
      <c r="G328" s="178" t="b">
        <f t="shared" si="12"/>
        <v>1</v>
      </c>
    </row>
    <row r="329" spans="1:7">
      <c r="A329" s="175"/>
      <c r="D329" s="194"/>
      <c r="E329" s="52" t="s">
        <v>478</v>
      </c>
      <c r="F329" s="47">
        <f t="shared" si="11"/>
        <v>3</v>
      </c>
      <c r="G329" s="178" t="b">
        <f t="shared" si="12"/>
        <v>1</v>
      </c>
    </row>
    <row r="330" spans="1:7">
      <c r="A330" s="175"/>
      <c r="D330" s="194"/>
      <c r="E330" s="52" t="s">
        <v>489</v>
      </c>
      <c r="F330" s="47">
        <f t="shared" si="11"/>
        <v>3</v>
      </c>
      <c r="G330" s="178" t="b">
        <f t="shared" si="12"/>
        <v>1</v>
      </c>
    </row>
    <row r="331" spans="1:7">
      <c r="A331" s="175"/>
      <c r="D331" s="194"/>
      <c r="E331" s="52" t="s">
        <v>331</v>
      </c>
      <c r="F331" s="47" t="e">
        <f t="shared" si="11"/>
        <v>#N/A</v>
      </c>
      <c r="G331" s="178" t="e">
        <f t="shared" si="12"/>
        <v>#N/A</v>
      </c>
    </row>
    <row r="332" spans="1:7">
      <c r="A332" s="175"/>
      <c r="D332" s="194"/>
      <c r="E332" s="52" t="s">
        <v>1079</v>
      </c>
      <c r="F332" s="47">
        <f t="shared" si="11"/>
        <v>3</v>
      </c>
      <c r="G332" s="178" t="b">
        <f>_xlfn.NUMBERVALUE(MID($E$290,12,1))=F332</f>
        <v>1</v>
      </c>
    </row>
    <row r="333" spans="1:7">
      <c r="A333" s="175"/>
      <c r="D333" s="194"/>
      <c r="E333" s="52" t="s">
        <v>1010</v>
      </c>
      <c r="F333" s="47">
        <f t="shared" si="11"/>
        <v>3</v>
      </c>
      <c r="G333" s="178" t="b">
        <f>_xlfn.NUMBERVALUE(MID($E$290,12,1))=F333</f>
        <v>1</v>
      </c>
    </row>
    <row r="334" spans="1:7">
      <c r="A334" s="175"/>
      <c r="D334" s="194"/>
      <c r="E334" s="52" t="s">
        <v>1011</v>
      </c>
      <c r="F334" s="47">
        <f t="shared" si="11"/>
        <v>3</v>
      </c>
      <c r="G334" s="178" t="b">
        <f>_xlfn.NUMBERVALUE(MID($E$290,12,1))=F334</f>
        <v>1</v>
      </c>
    </row>
    <row r="335" spans="1:7">
      <c r="A335" s="175"/>
      <c r="D335" s="194"/>
      <c r="E335" s="52" t="s">
        <v>1193</v>
      </c>
      <c r="F335" s="47">
        <f t="shared" si="11"/>
        <v>3</v>
      </c>
      <c r="G335" s="178" t="b">
        <f>_xlfn.NUMBERVALUE(MID($E$290,12,1))=F335</f>
        <v>1</v>
      </c>
    </row>
    <row r="336" spans="1:7">
      <c r="A336" s="175"/>
      <c r="D336" s="194"/>
      <c r="E336" s="52" t="s">
        <v>472</v>
      </c>
      <c r="F336" s="47">
        <f t="shared" si="11"/>
        <v>3</v>
      </c>
      <c r="G336" s="178" t="b">
        <f t="shared" si="12"/>
        <v>1</v>
      </c>
    </row>
    <row r="337" spans="1:7">
      <c r="A337" s="175"/>
      <c r="D337" s="194"/>
      <c r="E337" s="52" t="s">
        <v>468</v>
      </c>
      <c r="F337" s="47">
        <f t="shared" si="11"/>
        <v>3</v>
      </c>
      <c r="G337" s="178" t="b">
        <f t="shared" si="12"/>
        <v>1</v>
      </c>
    </row>
    <row r="338" spans="1:7">
      <c r="A338" s="175"/>
      <c r="D338" s="194"/>
      <c r="E338" s="52" t="s">
        <v>490</v>
      </c>
      <c r="F338" s="47">
        <f t="shared" si="11"/>
        <v>3</v>
      </c>
      <c r="G338" s="178" t="b">
        <f t="shared" si="12"/>
        <v>1</v>
      </c>
    </row>
    <row r="339" spans="1:7">
      <c r="A339" s="175"/>
      <c r="D339" s="194"/>
      <c r="E339" s="52" t="s">
        <v>479</v>
      </c>
      <c r="F339" s="47">
        <f t="shared" si="11"/>
        <v>3</v>
      </c>
      <c r="G339" s="178" t="b">
        <f t="shared" si="12"/>
        <v>1</v>
      </c>
    </row>
    <row r="340" spans="1:7">
      <c r="A340" s="175"/>
      <c r="D340" s="194"/>
      <c r="E340" s="52" t="s">
        <v>473</v>
      </c>
      <c r="F340" s="47">
        <f t="shared" si="11"/>
        <v>3</v>
      </c>
      <c r="G340" s="178" t="b">
        <f t="shared" si="12"/>
        <v>1</v>
      </c>
    </row>
    <row r="341" spans="1:7">
      <c r="A341" s="175"/>
      <c r="D341" s="194"/>
      <c r="E341" s="52" t="s">
        <v>469</v>
      </c>
      <c r="F341" s="47">
        <f t="shared" si="11"/>
        <v>3</v>
      </c>
      <c r="G341" s="178" t="b">
        <f t="shared" si="12"/>
        <v>1</v>
      </c>
    </row>
    <row r="342" spans="1:7">
      <c r="A342" s="175"/>
      <c r="D342" s="194"/>
      <c r="E342" s="52" t="s">
        <v>491</v>
      </c>
      <c r="F342" s="47">
        <f t="shared" si="11"/>
        <v>3</v>
      </c>
      <c r="G342" s="178" t="b">
        <f t="shared" si="12"/>
        <v>1</v>
      </c>
    </row>
    <row r="343" spans="1:7">
      <c r="A343" s="175"/>
      <c r="D343" s="194"/>
      <c r="E343" s="52" t="s">
        <v>480</v>
      </c>
      <c r="F343" s="47">
        <f t="shared" si="11"/>
        <v>3</v>
      </c>
      <c r="G343" s="178" t="b">
        <f t="shared" si="12"/>
        <v>1</v>
      </c>
    </row>
    <row r="344" spans="1:7">
      <c r="A344" s="175"/>
      <c r="D344" s="194"/>
      <c r="E344" s="52" t="s">
        <v>474</v>
      </c>
      <c r="F344" s="47">
        <f t="shared" si="11"/>
        <v>3</v>
      </c>
      <c r="G344" s="178" t="b">
        <f t="shared" si="12"/>
        <v>1</v>
      </c>
    </row>
    <row r="345" spans="1:7">
      <c r="A345" s="175"/>
      <c r="D345" s="194"/>
      <c r="E345" s="52" t="s">
        <v>470</v>
      </c>
      <c r="F345" s="47">
        <f t="shared" si="11"/>
        <v>3</v>
      </c>
      <c r="G345" s="178" t="b">
        <f t="shared" si="12"/>
        <v>1</v>
      </c>
    </row>
    <row r="346" spans="1:7">
      <c r="A346" s="175"/>
      <c r="D346" s="194"/>
      <c r="E346" s="52" t="s">
        <v>481</v>
      </c>
      <c r="F346" s="47">
        <f t="shared" si="11"/>
        <v>3</v>
      </c>
      <c r="G346" s="178" t="b">
        <f t="shared" si="12"/>
        <v>1</v>
      </c>
    </row>
    <row r="347" spans="1:7">
      <c r="A347" s="175"/>
      <c r="D347" s="194"/>
      <c r="E347" s="52" t="s">
        <v>475</v>
      </c>
      <c r="F347" s="47">
        <f t="shared" si="11"/>
        <v>3</v>
      </c>
      <c r="G347" s="178" t="b">
        <f t="shared" si="12"/>
        <v>1</v>
      </c>
    </row>
    <row r="348" spans="1:7">
      <c r="A348" s="175"/>
      <c r="D348" s="194"/>
      <c r="E348" s="52" t="s">
        <v>476</v>
      </c>
      <c r="F348" s="47">
        <f t="shared" si="11"/>
        <v>3</v>
      </c>
      <c r="G348" s="178" t="b">
        <f t="shared" si="12"/>
        <v>1</v>
      </c>
    </row>
    <row r="349" spans="1:7">
      <c r="A349" s="175"/>
      <c r="D349" s="194"/>
      <c r="E349" s="52" t="s">
        <v>482</v>
      </c>
      <c r="F349" s="47">
        <f t="shared" si="11"/>
        <v>3</v>
      </c>
      <c r="G349" s="178" t="b">
        <f t="shared" si="12"/>
        <v>1</v>
      </c>
    </row>
    <row r="350" spans="1:7">
      <c r="A350" s="175"/>
      <c r="D350" s="194"/>
      <c r="E350" s="52" t="s">
        <v>492</v>
      </c>
      <c r="F350" s="47">
        <f t="shared" si="11"/>
        <v>3</v>
      </c>
      <c r="G350" s="178" t="b">
        <f t="shared" si="12"/>
        <v>1</v>
      </c>
    </row>
    <row r="351" spans="1:7">
      <c r="A351" s="175"/>
      <c r="D351" s="194"/>
      <c r="E351" s="52" t="s">
        <v>483</v>
      </c>
      <c r="F351" s="47">
        <f t="shared" si="11"/>
        <v>3</v>
      </c>
      <c r="G351" s="178" t="b">
        <f t="shared" si="12"/>
        <v>1</v>
      </c>
    </row>
    <row r="352" spans="1:7">
      <c r="A352" s="175"/>
      <c r="D352" s="194"/>
      <c r="E352" s="52" t="s">
        <v>484</v>
      </c>
      <c r="F352" s="47">
        <f t="shared" si="11"/>
        <v>3</v>
      </c>
      <c r="G352" s="178" t="b">
        <f t="shared" si="12"/>
        <v>1</v>
      </c>
    </row>
    <row r="353" spans="1:7">
      <c r="A353" s="175"/>
      <c r="D353" s="194"/>
      <c r="E353" s="52" t="s">
        <v>485</v>
      </c>
      <c r="F353" s="47">
        <f t="shared" si="11"/>
        <v>3</v>
      </c>
      <c r="G353" s="178" t="b">
        <f t="shared" si="12"/>
        <v>1</v>
      </c>
    </row>
    <row r="354" spans="1:7">
      <c r="A354" s="175"/>
      <c r="D354" s="194"/>
      <c r="E354" s="52" t="s">
        <v>1080</v>
      </c>
      <c r="F354" s="47">
        <f t="shared" si="11"/>
        <v>3</v>
      </c>
      <c r="G354" s="178" t="b">
        <f>_xlfn.NUMBERVALUE(MID($E$290,12,1))=F354</f>
        <v>1</v>
      </c>
    </row>
    <row r="355" spans="1:7">
      <c r="A355" s="175"/>
      <c r="D355" s="194"/>
      <c r="E355" s="52" t="s">
        <v>1081</v>
      </c>
      <c r="F355" s="47">
        <f t="shared" si="11"/>
        <v>3</v>
      </c>
      <c r="G355" s="178" t="b">
        <f>_xlfn.NUMBERVALUE(MID($E$290,12,1))=F355</f>
        <v>1</v>
      </c>
    </row>
    <row r="356" spans="1:7">
      <c r="A356" s="175"/>
      <c r="D356" s="194"/>
      <c r="E356" s="52" t="s">
        <v>1082</v>
      </c>
      <c r="F356" s="47">
        <f t="shared" si="11"/>
        <v>3</v>
      </c>
      <c r="G356" s="178" t="b">
        <f>_xlfn.NUMBERVALUE(MID($E$290,12,1))=F356</f>
        <v>1</v>
      </c>
    </row>
    <row r="357" spans="1:7">
      <c r="A357" s="175"/>
      <c r="D357" s="194"/>
      <c r="E357" s="52" t="s">
        <v>477</v>
      </c>
      <c r="F357" s="47">
        <f t="shared" si="11"/>
        <v>3</v>
      </c>
      <c r="G357" s="178" t="b">
        <f t="shared" si="12"/>
        <v>1</v>
      </c>
    </row>
    <row r="358" spans="1:7">
      <c r="A358" s="175"/>
      <c r="D358" s="194"/>
      <c r="E358" s="52" t="s">
        <v>582</v>
      </c>
      <c r="F358" s="47">
        <f t="shared" si="11"/>
        <v>3</v>
      </c>
      <c r="G358" s="178" t="b">
        <f t="shared" si="12"/>
        <v>1</v>
      </c>
    </row>
    <row r="359" spans="1:7">
      <c r="A359" s="175"/>
      <c r="D359" s="194"/>
      <c r="E359" s="52" t="s">
        <v>471</v>
      </c>
      <c r="F359" s="47">
        <f t="shared" si="11"/>
        <v>3</v>
      </c>
      <c r="G359" s="178" t="b">
        <f t="shared" si="12"/>
        <v>1</v>
      </c>
    </row>
    <row r="360" spans="1:7">
      <c r="A360" s="175"/>
      <c r="D360" s="194"/>
      <c r="E360" s="52" t="s">
        <v>486</v>
      </c>
      <c r="F360" s="47">
        <f t="shared" ref="F360:F373" si="13">VLOOKUP($E360,Modelpuntoverzicht,9,FALSE)</f>
        <v>3</v>
      </c>
      <c r="G360" s="178" t="b">
        <f t="shared" si="12"/>
        <v>1</v>
      </c>
    </row>
    <row r="361" spans="1:7">
      <c r="A361" s="175"/>
      <c r="D361" s="194"/>
      <c r="E361" s="52" t="s">
        <v>1194</v>
      </c>
      <c r="F361" s="47" t="e">
        <f t="shared" si="11"/>
        <v>#N/A</v>
      </c>
      <c r="G361" s="178" t="e">
        <f>_xlfn.NUMBERVALUE(MID($E$290,12,1))=F361</f>
        <v>#N/A</v>
      </c>
    </row>
    <row r="362" spans="1:7">
      <c r="A362" s="175"/>
      <c r="D362" s="194"/>
      <c r="E362" s="52" t="s">
        <v>1192</v>
      </c>
      <c r="F362" s="47" t="e">
        <f t="shared" si="11"/>
        <v>#N/A</v>
      </c>
      <c r="G362" s="178" t="e">
        <f>_xlfn.NUMBERVALUE(MID($E$290,12,1))=F362</f>
        <v>#N/A</v>
      </c>
    </row>
    <row r="363" spans="1:7">
      <c r="A363" s="175"/>
      <c r="D363" s="194"/>
      <c r="E363" s="52" t="s">
        <v>534</v>
      </c>
      <c r="F363" s="47">
        <f t="shared" si="13"/>
        <v>3</v>
      </c>
      <c r="G363" s="178" t="b">
        <f t="shared" ref="G363:G372" si="14">_xlfn.NUMBERVALUE(MID($E$290,12,1))=F363</f>
        <v>1</v>
      </c>
    </row>
    <row r="364" spans="1:7">
      <c r="A364" s="175"/>
      <c r="D364" s="194"/>
      <c r="E364" s="52" t="s">
        <v>487</v>
      </c>
      <c r="F364" s="47">
        <f t="shared" si="13"/>
        <v>3</v>
      </c>
      <c r="G364" s="178" t="b">
        <f t="shared" si="14"/>
        <v>1</v>
      </c>
    </row>
    <row r="365" spans="1:7">
      <c r="A365" s="175"/>
      <c r="D365" s="194"/>
      <c r="E365" s="52" t="s">
        <v>535</v>
      </c>
      <c r="F365" s="47">
        <f t="shared" si="13"/>
        <v>3</v>
      </c>
      <c r="G365" s="178" t="b">
        <f t="shared" si="14"/>
        <v>1</v>
      </c>
    </row>
    <row r="366" spans="1:7">
      <c r="A366" s="175"/>
      <c r="D366" s="194"/>
      <c r="E366" s="52" t="s">
        <v>493</v>
      </c>
      <c r="F366" s="47">
        <f t="shared" si="13"/>
        <v>3</v>
      </c>
      <c r="G366" s="178" t="b">
        <f t="shared" si="14"/>
        <v>1</v>
      </c>
    </row>
    <row r="367" spans="1:7">
      <c r="A367" s="175"/>
      <c r="D367" s="194"/>
      <c r="E367" s="52" t="s">
        <v>536</v>
      </c>
      <c r="F367" s="47">
        <f t="shared" si="13"/>
        <v>3</v>
      </c>
      <c r="G367" s="178" t="b">
        <f t="shared" si="14"/>
        <v>1</v>
      </c>
    </row>
    <row r="368" spans="1:7">
      <c r="A368" s="175"/>
      <c r="D368" s="194"/>
      <c r="E368" s="52" t="s">
        <v>537</v>
      </c>
      <c r="F368" s="47">
        <f t="shared" si="13"/>
        <v>3</v>
      </c>
      <c r="G368" s="178" t="b">
        <f t="shared" si="14"/>
        <v>1</v>
      </c>
    </row>
    <row r="369" spans="1:7">
      <c r="A369" s="175"/>
      <c r="D369" s="194"/>
      <c r="E369" s="52" t="s">
        <v>494</v>
      </c>
      <c r="F369" s="47">
        <f t="shared" si="13"/>
        <v>3</v>
      </c>
      <c r="G369" s="178" t="b">
        <f t="shared" si="14"/>
        <v>1</v>
      </c>
    </row>
    <row r="370" spans="1:7">
      <c r="A370" s="175"/>
      <c r="D370" s="194"/>
      <c r="E370" s="52" t="s">
        <v>1187</v>
      </c>
      <c r="F370" s="47">
        <f t="shared" si="13"/>
        <v>3</v>
      </c>
      <c r="G370" s="178" t="b">
        <f>_xlfn.NUMBERVALUE(MID($E$290,12,1))=F370</f>
        <v>1</v>
      </c>
    </row>
    <row r="371" spans="1:7">
      <c r="A371" s="175"/>
      <c r="D371" s="194"/>
      <c r="E371" s="52" t="s">
        <v>1188</v>
      </c>
      <c r="F371" s="47">
        <f t="shared" si="13"/>
        <v>3</v>
      </c>
      <c r="G371" s="178" t="b">
        <f>_xlfn.NUMBERVALUE(MID($E$290,12,1))=F371</f>
        <v>1</v>
      </c>
    </row>
    <row r="372" spans="1:7">
      <c r="A372" s="175"/>
      <c r="D372" s="194"/>
      <c r="E372" s="52" t="s">
        <v>336</v>
      </c>
      <c r="F372" s="47">
        <f t="shared" si="13"/>
        <v>3</v>
      </c>
      <c r="G372" s="178" t="b">
        <f t="shared" si="14"/>
        <v>1</v>
      </c>
    </row>
    <row r="373" spans="1:7">
      <c r="A373" s="175"/>
      <c r="D373" s="194"/>
      <c r="E373" s="52" t="s">
        <v>346</v>
      </c>
      <c r="F373" s="47">
        <f t="shared" si="13"/>
        <v>3</v>
      </c>
      <c r="G373" s="178" t="b">
        <f>_xlfn.NUMBERVALUE(MID($E$290,12,1))=F373</f>
        <v>1</v>
      </c>
    </row>
  </sheetData>
  <sheetProtection algorithmName="SHA-512" hashValue="KxxIKGsj4LpE+qKV3RY6k0bJnCGXyVP/2bCArKAoM1Hgv0Gv8brqFa0xVupuOmS7mQpXB4NCmxv75tLr7GfiiA==" saltValue="kcRd/zKvKW+pOKuDnrW2Ug==" spinCount="100000" sheet="1" objects="1" scenarios="1" formatColumns="0" formatRows="0"/>
  <conditionalFormatting sqref="G14 G222:G243 G298:G310 G336:G353 G245:G246 G249:G251 G277:G284 G69:G122 G126:G148 G171:G219 G20:G46 G292:G296 G357:G360 G287 G48:G67 G153:G160 G372 G289 G363:G369 G254:G274 G162:G169 G312:G331">
    <cfRule type="cellIs" dxfId="43" priority="141" operator="equal">
      <formula>TRUE</formula>
    </cfRule>
  </conditionalFormatting>
  <conditionalFormatting sqref="G19 G290 G220">
    <cfRule type="cellIs" dxfId="42" priority="140" operator="equal">
      <formula>TRUE</formula>
    </cfRule>
  </conditionalFormatting>
  <conditionalFormatting sqref="G297">
    <cfRule type="cellIs" dxfId="41" priority="38" operator="equal">
      <formula>TRUE</formula>
    </cfRule>
  </conditionalFormatting>
  <conditionalFormatting sqref="G333">
    <cfRule type="cellIs" dxfId="40" priority="37" operator="equal">
      <formula>TRUE</formula>
    </cfRule>
  </conditionalFormatting>
  <conditionalFormatting sqref="G334">
    <cfRule type="cellIs" dxfId="39" priority="36" operator="equal">
      <formula>TRUE</formula>
    </cfRule>
  </conditionalFormatting>
  <conditionalFormatting sqref="G244">
    <cfRule type="cellIs" dxfId="38" priority="35" operator="equal">
      <formula>TRUE</formula>
    </cfRule>
  </conditionalFormatting>
  <conditionalFormatting sqref="G247">
    <cfRule type="cellIs" dxfId="37" priority="34" operator="equal">
      <formula>TRUE</formula>
    </cfRule>
  </conditionalFormatting>
  <conditionalFormatting sqref="G248">
    <cfRule type="cellIs" dxfId="36" priority="33" operator="equal">
      <formula>TRUE</formula>
    </cfRule>
  </conditionalFormatting>
  <conditionalFormatting sqref="G275">
    <cfRule type="cellIs" dxfId="35" priority="32" operator="equal">
      <formula>TRUE</formula>
    </cfRule>
  </conditionalFormatting>
  <conditionalFormatting sqref="G276">
    <cfRule type="cellIs" dxfId="34" priority="31" operator="equal">
      <formula>TRUE</formula>
    </cfRule>
  </conditionalFormatting>
  <conditionalFormatting sqref="G68">
    <cfRule type="cellIs" dxfId="33" priority="30" operator="equal">
      <formula>TRUE</formula>
    </cfRule>
  </conditionalFormatting>
  <conditionalFormatting sqref="G123">
    <cfRule type="cellIs" dxfId="32" priority="29" operator="equal">
      <formula>TRUE</formula>
    </cfRule>
  </conditionalFormatting>
  <conditionalFormatting sqref="G124">
    <cfRule type="cellIs" dxfId="31" priority="28" operator="equal">
      <formula>TRUE</formula>
    </cfRule>
  </conditionalFormatting>
  <conditionalFormatting sqref="G170">
    <cfRule type="cellIs" dxfId="30" priority="27" operator="equal">
      <formula>TRUE</formula>
    </cfRule>
  </conditionalFormatting>
  <conditionalFormatting sqref="G373">
    <cfRule type="cellIs" dxfId="29" priority="26" operator="equal">
      <formula>TRUE</formula>
    </cfRule>
  </conditionalFormatting>
  <conditionalFormatting sqref="G332">
    <cfRule type="cellIs" dxfId="28" priority="24" operator="equal">
      <formula>TRUE</formula>
    </cfRule>
  </conditionalFormatting>
  <conditionalFormatting sqref="G354">
    <cfRule type="cellIs" dxfId="27" priority="23" operator="equal">
      <formula>TRUE</formula>
    </cfRule>
  </conditionalFormatting>
  <conditionalFormatting sqref="G355">
    <cfRule type="cellIs" dxfId="26" priority="22" operator="equal">
      <formula>TRUE</formula>
    </cfRule>
  </conditionalFormatting>
  <conditionalFormatting sqref="G356">
    <cfRule type="cellIs" dxfId="25" priority="21" operator="equal">
      <formula>TRUE</formula>
    </cfRule>
  </conditionalFormatting>
  <conditionalFormatting sqref="G221">
    <cfRule type="cellIs" dxfId="24" priority="20" operator="equal">
      <formula>TRUE</formula>
    </cfRule>
  </conditionalFormatting>
  <conditionalFormatting sqref="G285">
    <cfRule type="cellIs" dxfId="23" priority="19" operator="equal">
      <formula>TRUE</formula>
    </cfRule>
  </conditionalFormatting>
  <conditionalFormatting sqref="G286">
    <cfRule type="cellIs" dxfId="22" priority="18" operator="equal">
      <formula>TRUE</formula>
    </cfRule>
  </conditionalFormatting>
  <conditionalFormatting sqref="G47">
    <cfRule type="cellIs" dxfId="21" priority="17" operator="equal">
      <formula>TRUE</formula>
    </cfRule>
  </conditionalFormatting>
  <conditionalFormatting sqref="G125">
    <cfRule type="cellIs" dxfId="20" priority="16" operator="equal">
      <formula>TRUE</formula>
    </cfRule>
  </conditionalFormatting>
  <conditionalFormatting sqref="G149">
    <cfRule type="cellIs" dxfId="19" priority="15" operator="equal">
      <formula>TRUE</formula>
    </cfRule>
  </conditionalFormatting>
  <conditionalFormatting sqref="G150">
    <cfRule type="cellIs" dxfId="18" priority="14" operator="equal">
      <formula>TRUE</formula>
    </cfRule>
  </conditionalFormatting>
  <conditionalFormatting sqref="G151">
    <cfRule type="cellIs" dxfId="17" priority="13" operator="equal">
      <formula>TRUE</formula>
    </cfRule>
  </conditionalFormatting>
  <conditionalFormatting sqref="G152">
    <cfRule type="cellIs" dxfId="16" priority="12" operator="equal">
      <formula>TRUE</formula>
    </cfRule>
  </conditionalFormatting>
  <conditionalFormatting sqref="G370">
    <cfRule type="cellIs" dxfId="15" priority="11" operator="equal">
      <formula>TRUE</formula>
    </cfRule>
  </conditionalFormatting>
  <conditionalFormatting sqref="G371">
    <cfRule type="cellIs" dxfId="14" priority="10" operator="equal">
      <formula>TRUE</formula>
    </cfRule>
  </conditionalFormatting>
  <conditionalFormatting sqref="G288">
    <cfRule type="cellIs" dxfId="13" priority="9" operator="equal">
      <formula>TRUE</formula>
    </cfRule>
  </conditionalFormatting>
  <conditionalFormatting sqref="G291">
    <cfRule type="cellIs" dxfId="12" priority="8" operator="equal">
      <formula>TRUE</formula>
    </cfRule>
  </conditionalFormatting>
  <conditionalFormatting sqref="G335">
    <cfRule type="cellIs" dxfId="11" priority="7" operator="equal">
      <formula>TRUE</formula>
    </cfRule>
  </conditionalFormatting>
  <conditionalFormatting sqref="G361">
    <cfRule type="cellIs" dxfId="10" priority="6" operator="equal">
      <formula>TRUE</formula>
    </cfRule>
  </conditionalFormatting>
  <conditionalFormatting sqref="G362">
    <cfRule type="cellIs" dxfId="9" priority="5" operator="equal">
      <formula>TRUE</formula>
    </cfRule>
  </conditionalFormatting>
  <conditionalFormatting sqref="G252">
    <cfRule type="cellIs" dxfId="8" priority="4" operator="equal">
      <formula>TRUE</formula>
    </cfRule>
  </conditionalFormatting>
  <conditionalFormatting sqref="G253">
    <cfRule type="cellIs" dxfId="7" priority="3" operator="equal">
      <formula>TRUE</formula>
    </cfRule>
  </conditionalFormatting>
  <conditionalFormatting sqref="G161">
    <cfRule type="cellIs" dxfId="6" priority="2" operator="equal">
      <formula>TRUE</formula>
    </cfRule>
  </conditionalFormatting>
  <conditionalFormatting sqref="G311">
    <cfRule type="cellIs" dxfId="5" priority="1" operator="equal">
      <formula>TRUE</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B2B93-FE62-4DD7-8B62-4800EC1F9A97}">
  <sheetPr codeName="Blad7">
    <tabColor rgb="FF0066CC"/>
  </sheetPr>
  <dimension ref="A1:B9"/>
  <sheetViews>
    <sheetView workbookViewId="0">
      <selection activeCell="B8" sqref="B8"/>
    </sheetView>
  </sheetViews>
  <sheetFormatPr defaultRowHeight="12.75"/>
  <cols>
    <col min="1" max="1" width="44.7109375" bestFit="1" customWidth="1" collapsed="1"/>
    <col min="2" max="2" width="13.140625" bestFit="1" customWidth="1" collapsed="1"/>
  </cols>
  <sheetData>
    <row r="1" spans="1:2">
      <c r="A1" s="3" t="s">
        <v>210</v>
      </c>
    </row>
    <row r="2" spans="1:2">
      <c r="A2" s="3"/>
    </row>
    <row r="4" spans="1:2">
      <c r="A4" t="s">
        <v>211</v>
      </c>
      <c r="B4" s="168" t="b">
        <f>AND(B7:B9)</f>
        <v>1</v>
      </c>
    </row>
    <row r="6" spans="1:2">
      <c r="A6" s="169" t="s">
        <v>212</v>
      </c>
      <c r="B6" s="170" t="s">
        <v>68</v>
      </c>
    </row>
    <row r="7" spans="1:2">
      <c r="A7" s="171" t="str">
        <f ca="1">_xlfn.FORMULATEXT(B7)</f>
        <v>='LoC Overview MP Life'!AO1</v>
      </c>
      <c r="B7" s="174" t="b">
        <f>'LoC Overview MP Life'!AO1</f>
        <v>1</v>
      </c>
    </row>
    <row r="8" spans="1:2">
      <c r="A8" s="171" t="str">
        <f ca="1">_xlfn.FORMULATEXT(B8)</f>
        <v>='LoC ModelpuntenInfoOSM'!AG1</v>
      </c>
      <c r="B8" s="174" t="b">
        <f>'LoC ModelpuntenInfoOSM'!AG1</f>
        <v>1</v>
      </c>
    </row>
    <row r="9" spans="1:2">
      <c r="A9" s="172"/>
      <c r="B9" s="173"/>
    </row>
  </sheetData>
  <sheetProtection algorithmName="SHA-512" hashValue="um2adk9aoi2drT8ptLrwbFyfE5qoPXplzDRN5CDjaC5XRjm74ket1edQy98P+U3H2YtUw/7Eo6kx7brhZIuIUA==" saltValue="pA0eElMlEXt0T2kuJV3bTw==" spinCount="100000" sheet="1" objects="1" scenarios="1"/>
  <conditionalFormatting sqref="B4">
    <cfRule type="cellIs" dxfId="4" priority="4" operator="equal">
      <formula>TRUE</formula>
    </cfRule>
  </conditionalFormatting>
  <conditionalFormatting sqref="B7:B8">
    <cfRule type="cellIs" dxfId="3" priority="1" operator="equal">
      <formula>TRUE</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2DE20-A4BA-4023-B13A-22AF229E3F35}">
  <sheetPr codeName="Blad5">
    <tabColor rgb="FF00FFFF"/>
  </sheetPr>
  <dimension ref="A1:AF419"/>
  <sheetViews>
    <sheetView zoomScale="80" zoomScaleNormal="80" workbookViewId="0"/>
  </sheetViews>
  <sheetFormatPr defaultColWidth="9.140625" defaultRowHeight="12.75"/>
  <cols>
    <col min="1" max="1" width="9.42578125" style="244" bestFit="1" customWidth="1" collapsed="1"/>
    <col min="2" max="2" width="4.140625" style="244" bestFit="1" customWidth="1" collapsed="1"/>
    <col min="3" max="3" width="11.5703125" style="244" bestFit="1" customWidth="1" collapsed="1"/>
    <col min="4" max="4" width="13.28515625" style="244" bestFit="1" customWidth="1" collapsed="1"/>
    <col min="5" max="5" width="11" style="244" bestFit="1" customWidth="1" collapsed="1"/>
    <col min="6" max="6" width="23" style="244" customWidth="1" collapsed="1"/>
    <col min="7" max="7" width="14.28515625" style="244" bestFit="1" customWidth="1" collapsed="1"/>
    <col min="8" max="8" width="10.85546875" style="244" bestFit="1" customWidth="1" collapsed="1"/>
    <col min="9" max="9" width="13.42578125" style="244" bestFit="1" customWidth="1" collapsed="1"/>
    <col min="10" max="10" width="15.28515625" style="244" bestFit="1" customWidth="1" collapsed="1"/>
    <col min="11" max="11" width="8.85546875" style="244" bestFit="1" customWidth="1" collapsed="1"/>
    <col min="12" max="12" width="21.5703125" style="244" bestFit="1" customWidth="1" collapsed="1"/>
    <col min="13" max="14" width="19.5703125" style="244" bestFit="1" customWidth="1" collapsed="1"/>
    <col min="15" max="15" width="20.28515625" style="244" bestFit="1" customWidth="1" collapsed="1"/>
    <col min="16" max="16" width="4.140625" style="244" customWidth="1" collapsed="1"/>
    <col min="17" max="17" width="13.5703125" style="244" bestFit="1" customWidth="1" collapsed="1"/>
    <col min="18" max="18" width="14.28515625" style="244" bestFit="1" customWidth="1" collapsed="1"/>
    <col min="19" max="19" width="14.7109375" style="244" bestFit="1" customWidth="1" collapsed="1"/>
    <col min="20" max="20" width="21.5703125" style="244" bestFit="1" customWidth="1" collapsed="1"/>
    <col min="21" max="21" width="14.7109375" style="244" bestFit="1" customWidth="1" collapsed="1"/>
    <col min="22" max="22" width="21.5703125" style="244" bestFit="1" customWidth="1" collapsed="1"/>
    <col min="23" max="23" width="11.140625" style="244" customWidth="1" collapsed="1"/>
    <col min="24" max="24" width="16.5703125" style="244" bestFit="1" customWidth="1" collapsed="1"/>
    <col min="25" max="26" width="9.140625" style="244" collapsed="1"/>
    <col min="27" max="27" width="11.5703125" style="244" bestFit="1" customWidth="1" collapsed="1"/>
    <col min="28" max="28" width="11.140625" style="244" bestFit="1" customWidth="1" collapsed="1"/>
    <col min="29" max="29" width="26.42578125" style="244" customWidth="1" collapsed="1"/>
    <col min="30" max="30" width="14.42578125" style="244" customWidth="1" collapsed="1"/>
    <col min="31" max="31" width="53" style="244" bestFit="1" customWidth="1" collapsed="1"/>
    <col min="32" max="16384" width="9.140625" style="244" collapsed="1"/>
  </cols>
  <sheetData>
    <row r="1" spans="1:32">
      <c r="A1" s="123"/>
      <c r="B1" s="123"/>
      <c r="C1" s="123"/>
      <c r="D1" s="124"/>
      <c r="E1" s="124"/>
      <c r="F1" s="123"/>
      <c r="G1" s="123"/>
      <c r="H1" s="123"/>
      <c r="I1" s="123"/>
      <c r="J1" s="123"/>
      <c r="K1" s="123"/>
      <c r="L1" s="123"/>
      <c r="M1" s="123"/>
      <c r="N1" s="123"/>
      <c r="O1" s="123"/>
      <c r="P1" s="123"/>
      <c r="Q1" s="123"/>
      <c r="R1" s="123"/>
      <c r="S1" s="123"/>
      <c r="T1" s="124"/>
      <c r="U1" s="123"/>
      <c r="V1" s="123"/>
      <c r="W1" s="123"/>
      <c r="X1" s="123"/>
      <c r="Y1" s="123"/>
      <c r="Z1" s="123"/>
      <c r="AA1" s="123"/>
      <c r="AB1" s="123"/>
      <c r="AC1" s="123"/>
      <c r="AD1" s="123"/>
      <c r="AE1" s="123"/>
      <c r="AF1" s="123"/>
    </row>
    <row r="2" spans="1:32">
      <c r="A2" s="123"/>
      <c r="B2" s="124"/>
      <c r="C2" s="124"/>
      <c r="D2" s="124"/>
      <c r="E2" s="124"/>
      <c r="F2" s="123"/>
      <c r="G2" s="123"/>
      <c r="H2" s="123"/>
      <c r="I2" s="123"/>
      <c r="J2" s="123"/>
      <c r="K2" s="123"/>
      <c r="L2" s="123"/>
      <c r="M2" s="123"/>
      <c r="N2" s="123"/>
      <c r="O2" s="123"/>
      <c r="P2" s="123"/>
      <c r="Q2" s="123"/>
      <c r="R2" s="123"/>
      <c r="S2" s="123"/>
      <c r="T2" s="123"/>
      <c r="U2" s="123"/>
      <c r="V2" s="123"/>
      <c r="W2" s="123"/>
      <c r="X2" s="123"/>
      <c r="Y2" s="123"/>
      <c r="Z2" s="123"/>
      <c r="AA2" s="123"/>
      <c r="AB2" s="123"/>
      <c r="AC2" s="123"/>
      <c r="AD2" s="123"/>
      <c r="AE2" s="123"/>
      <c r="AF2" s="123"/>
    </row>
    <row r="3" spans="1:32">
      <c r="A3" s="123"/>
      <c r="B3" s="123"/>
      <c r="C3" s="123"/>
      <c r="D3" s="124"/>
      <c r="E3" s="124"/>
      <c r="F3" s="123"/>
      <c r="G3" s="123"/>
      <c r="H3" s="123"/>
      <c r="I3" s="123"/>
      <c r="J3" s="123"/>
      <c r="K3" s="123"/>
      <c r="L3" s="123"/>
      <c r="M3" s="123"/>
      <c r="N3" s="123"/>
      <c r="O3" s="123"/>
      <c r="P3" s="123"/>
      <c r="Q3" s="123"/>
      <c r="R3" s="123"/>
      <c r="S3" s="123"/>
      <c r="T3" s="124"/>
      <c r="U3" s="123"/>
      <c r="V3" s="123"/>
      <c r="W3" s="123"/>
      <c r="X3" s="123"/>
      <c r="Y3" s="123"/>
      <c r="Z3" s="123"/>
      <c r="AA3" s="123"/>
      <c r="AB3" s="123"/>
      <c r="AC3" s="123"/>
      <c r="AD3" s="123"/>
      <c r="AE3" s="123"/>
      <c r="AF3" s="123"/>
    </row>
    <row r="4" spans="1:32" ht="23.25">
      <c r="A4" s="123"/>
      <c r="B4" s="125" t="s">
        <v>173</v>
      </c>
      <c r="C4" s="123"/>
      <c r="D4" s="124"/>
      <c r="E4" s="124"/>
      <c r="F4" s="123"/>
      <c r="G4" s="123"/>
      <c r="H4" s="123"/>
      <c r="I4" s="123"/>
      <c r="J4" s="123"/>
      <c r="K4" s="123"/>
      <c r="L4" s="123"/>
      <c r="M4" s="123"/>
      <c r="N4" s="123"/>
      <c r="O4" s="123"/>
      <c r="P4" s="123"/>
      <c r="Q4" s="123"/>
      <c r="R4" s="123"/>
      <c r="S4" s="123"/>
      <c r="T4" s="123"/>
      <c r="U4" s="123"/>
      <c r="V4" s="123"/>
      <c r="W4" s="123"/>
      <c r="X4" s="123"/>
      <c r="Y4" s="123"/>
      <c r="Z4" s="123"/>
      <c r="AA4" s="123"/>
      <c r="AB4" s="123"/>
      <c r="AC4" s="123"/>
      <c r="AD4" s="123"/>
      <c r="AE4" s="123"/>
      <c r="AF4" s="123"/>
    </row>
    <row r="5" spans="1:32">
      <c r="A5" s="123"/>
      <c r="B5" s="123"/>
      <c r="C5" s="123"/>
      <c r="D5" s="124"/>
      <c r="E5" s="124"/>
      <c r="F5" s="123"/>
      <c r="G5" s="123"/>
      <c r="H5" s="123"/>
      <c r="I5" s="123"/>
      <c r="J5" s="123"/>
      <c r="K5" s="123"/>
      <c r="L5" s="123"/>
      <c r="M5" s="123"/>
      <c r="N5" s="123"/>
      <c r="O5" s="123"/>
      <c r="P5" s="123"/>
      <c r="Q5" s="123"/>
      <c r="R5" s="123"/>
      <c r="S5" s="123"/>
      <c r="T5" s="124"/>
      <c r="U5" s="123"/>
      <c r="V5" s="123"/>
      <c r="W5" s="123"/>
      <c r="X5" s="123"/>
      <c r="Y5" s="123"/>
      <c r="Z5" s="123"/>
      <c r="AA5" s="123"/>
      <c r="AB5" s="123"/>
      <c r="AC5" s="123"/>
      <c r="AD5" s="123"/>
      <c r="AE5" s="123"/>
      <c r="AF5" s="123"/>
    </row>
    <row r="6" spans="1:32" ht="15">
      <c r="A6" s="123"/>
      <c r="B6" s="126" t="s">
        <v>174</v>
      </c>
      <c r="C6" s="127" t="s">
        <v>175</v>
      </c>
      <c r="D6" s="128" t="s">
        <v>173</v>
      </c>
      <c r="E6" s="128"/>
      <c r="F6" s="127"/>
      <c r="G6" s="129"/>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row>
    <row r="7" spans="1:32" ht="15">
      <c r="A7" s="123"/>
      <c r="B7" s="130">
        <v>1</v>
      </c>
      <c r="C7" s="131" t="s">
        <v>176</v>
      </c>
      <c r="D7" s="245" t="s">
        <v>1203</v>
      </c>
      <c r="E7" s="132"/>
      <c r="F7" s="131"/>
      <c r="G7" s="133"/>
      <c r="H7" s="123"/>
      <c r="I7" s="123"/>
      <c r="J7" s="123"/>
      <c r="K7" s="123"/>
      <c r="L7" s="123"/>
      <c r="M7" s="123"/>
      <c r="N7" s="123"/>
      <c r="O7" s="123"/>
      <c r="P7" s="123"/>
      <c r="Q7" s="123"/>
      <c r="R7" s="123"/>
      <c r="S7" s="123"/>
      <c r="T7" s="123"/>
      <c r="U7" s="123"/>
      <c r="V7" s="123"/>
      <c r="W7" s="123"/>
      <c r="X7" s="123"/>
      <c r="Y7" s="123"/>
      <c r="Z7" s="123"/>
      <c r="AA7" s="123"/>
      <c r="AB7" s="123"/>
      <c r="AC7" s="123"/>
      <c r="AD7" s="123"/>
      <c r="AE7" s="123"/>
      <c r="AF7" s="123"/>
    </row>
    <row r="8" spans="1:32" ht="15">
      <c r="A8" s="123"/>
      <c r="B8" s="134">
        <v>2</v>
      </c>
      <c r="C8" s="135" t="s">
        <v>177</v>
      </c>
      <c r="D8" s="246" t="s">
        <v>1204</v>
      </c>
      <c r="E8" s="136"/>
      <c r="F8" s="135"/>
      <c r="G8" s="137"/>
      <c r="H8" s="123"/>
      <c r="I8" s="123"/>
      <c r="J8" s="123"/>
      <c r="K8" s="123"/>
      <c r="L8" s="123"/>
      <c r="M8" s="123"/>
      <c r="N8" s="123"/>
      <c r="O8" s="123"/>
      <c r="P8" s="123"/>
      <c r="Q8" s="123"/>
      <c r="R8" s="123"/>
      <c r="S8" s="123"/>
      <c r="T8" s="123"/>
      <c r="U8" s="123"/>
      <c r="V8" s="123"/>
      <c r="W8" s="123"/>
      <c r="X8" s="123"/>
      <c r="Y8" s="123"/>
      <c r="Z8" s="123"/>
      <c r="AA8" s="123"/>
      <c r="AB8" s="123"/>
      <c r="AC8" s="123"/>
      <c r="AD8" s="123"/>
      <c r="AE8" s="123"/>
      <c r="AF8" s="123"/>
    </row>
    <row r="9" spans="1:32">
      <c r="A9" s="123"/>
      <c r="B9" s="123"/>
      <c r="C9" s="123"/>
      <c r="D9" s="123"/>
      <c r="E9" s="123"/>
      <c r="F9" s="123"/>
      <c r="G9" s="123"/>
      <c r="H9" s="123"/>
      <c r="I9" s="123"/>
      <c r="J9" s="123"/>
      <c r="K9" s="123"/>
      <c r="L9" s="123"/>
      <c r="M9" s="123"/>
      <c r="N9" s="123"/>
      <c r="O9" s="123"/>
      <c r="P9" s="123"/>
      <c r="Q9" s="123"/>
      <c r="R9" s="123"/>
      <c r="S9" s="123"/>
      <c r="T9" s="123"/>
      <c r="U9" s="123"/>
      <c r="V9" s="123"/>
      <c r="W9" s="123"/>
      <c r="X9" s="123"/>
      <c r="Y9" s="123"/>
      <c r="Z9" s="123"/>
      <c r="AA9" s="123"/>
      <c r="AB9" s="123"/>
      <c r="AC9" s="123"/>
      <c r="AD9" s="123"/>
      <c r="AE9" s="123"/>
      <c r="AF9" s="123"/>
    </row>
    <row r="10" spans="1:32">
      <c r="A10" s="123"/>
      <c r="B10" s="123" t="s">
        <v>178</v>
      </c>
      <c r="C10" s="123"/>
      <c r="D10" s="123"/>
      <c r="E10" s="123"/>
      <c r="F10" s="123"/>
      <c r="G10" s="123"/>
      <c r="H10" s="123"/>
      <c r="I10" s="123"/>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row>
    <row r="11" spans="1:32" ht="15">
      <c r="A11" s="123"/>
      <c r="B11" s="138" t="s">
        <v>174</v>
      </c>
      <c r="C11" s="139"/>
      <c r="D11" s="139" t="s">
        <v>179</v>
      </c>
      <c r="E11" s="139" t="s">
        <v>180</v>
      </c>
      <c r="F11" s="140" t="s">
        <v>173</v>
      </c>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row>
    <row r="12" spans="1:32">
      <c r="A12" s="123"/>
      <c r="B12" s="141">
        <v>1</v>
      </c>
      <c r="C12" s="131"/>
      <c r="D12" s="131" t="s">
        <v>181</v>
      </c>
      <c r="E12" s="131" t="s">
        <v>182</v>
      </c>
      <c r="F12" s="142" t="s">
        <v>183</v>
      </c>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row>
    <row r="13" spans="1:32">
      <c r="A13" s="123"/>
      <c r="B13" s="143">
        <v>2</v>
      </c>
      <c r="C13" s="144"/>
      <c r="D13" s="144" t="s">
        <v>184</v>
      </c>
      <c r="E13" s="144" t="s">
        <v>185</v>
      </c>
      <c r="F13" s="145" t="s">
        <v>183</v>
      </c>
      <c r="G13" s="123"/>
      <c r="H13" s="123"/>
      <c r="I13" s="144"/>
      <c r="J13" s="144"/>
      <c r="K13" s="144"/>
      <c r="L13" s="144"/>
      <c r="M13" s="144"/>
      <c r="N13" s="144"/>
      <c r="O13" s="144"/>
      <c r="P13" s="144"/>
      <c r="Q13" s="123"/>
      <c r="R13" s="123"/>
      <c r="S13" s="123"/>
      <c r="T13" s="123"/>
      <c r="U13" s="123"/>
      <c r="V13" s="123"/>
      <c r="W13" s="123"/>
      <c r="X13" s="123"/>
      <c r="Y13" s="123"/>
      <c r="Z13" s="123"/>
      <c r="AA13" s="123"/>
      <c r="AB13" s="123"/>
      <c r="AC13" s="123"/>
      <c r="AD13" s="123"/>
      <c r="AE13" s="123"/>
      <c r="AF13" s="123"/>
    </row>
    <row r="14" spans="1:32">
      <c r="A14" s="123"/>
      <c r="B14" s="143">
        <v>3</v>
      </c>
      <c r="C14" s="144"/>
      <c r="D14" s="144" t="s">
        <v>181</v>
      </c>
      <c r="E14" s="144" t="s">
        <v>182</v>
      </c>
      <c r="F14" s="145" t="s">
        <v>186</v>
      </c>
      <c r="G14" s="123"/>
      <c r="H14" s="123"/>
      <c r="I14" s="144"/>
      <c r="J14" s="144"/>
      <c r="K14" s="144"/>
      <c r="L14" s="144"/>
      <c r="M14" s="144"/>
      <c r="N14" s="144"/>
      <c r="O14" s="144"/>
      <c r="P14" s="144"/>
      <c r="Q14" s="123"/>
      <c r="R14" s="123"/>
      <c r="S14" s="123"/>
      <c r="T14" s="123"/>
      <c r="U14" s="123"/>
      <c r="V14" s="123"/>
      <c r="W14" s="123"/>
      <c r="X14" s="123"/>
      <c r="Y14" s="123"/>
      <c r="Z14" s="123"/>
      <c r="AA14" s="123"/>
      <c r="AB14" s="123"/>
      <c r="AC14" s="123"/>
      <c r="AD14" s="123"/>
      <c r="AE14" s="123"/>
      <c r="AF14" s="123"/>
    </row>
    <row r="15" spans="1:32">
      <c r="A15" s="123"/>
      <c r="B15" s="143">
        <v>4</v>
      </c>
      <c r="C15" s="144"/>
      <c r="D15" s="144" t="s">
        <v>184</v>
      </c>
      <c r="E15" s="144" t="s">
        <v>185</v>
      </c>
      <c r="F15" s="145" t="s">
        <v>186</v>
      </c>
      <c r="G15" s="123"/>
      <c r="H15" s="123"/>
      <c r="I15" s="144"/>
      <c r="J15" s="144"/>
      <c r="K15" s="144"/>
      <c r="L15" s="144"/>
      <c r="M15" s="144"/>
      <c r="N15" s="144"/>
      <c r="O15" s="144"/>
      <c r="P15" s="144"/>
      <c r="Q15" s="123"/>
      <c r="R15" s="123"/>
      <c r="S15" s="123"/>
      <c r="T15" s="123"/>
      <c r="U15" s="123"/>
      <c r="V15" s="123"/>
      <c r="W15" s="123"/>
      <c r="X15" s="123"/>
      <c r="Y15" s="123"/>
      <c r="Z15" s="123"/>
      <c r="AA15" s="123"/>
      <c r="AB15" s="123"/>
      <c r="AC15" s="123"/>
      <c r="AD15" s="123"/>
      <c r="AE15" s="123"/>
      <c r="AF15" s="123"/>
    </row>
    <row r="16" spans="1:32">
      <c r="A16" s="123"/>
      <c r="B16" s="143">
        <v>5</v>
      </c>
      <c r="C16" s="144"/>
      <c r="D16" s="144" t="s">
        <v>187</v>
      </c>
      <c r="E16" s="144" t="s">
        <v>188</v>
      </c>
      <c r="F16" s="145" t="s">
        <v>186</v>
      </c>
      <c r="G16" s="123"/>
      <c r="H16" s="123"/>
      <c r="I16" s="144"/>
      <c r="J16" s="144"/>
      <c r="K16" s="144"/>
      <c r="L16" s="144"/>
      <c r="M16" s="144"/>
      <c r="N16" s="144"/>
      <c r="O16" s="144"/>
      <c r="P16" s="144"/>
      <c r="Q16" s="123"/>
      <c r="R16" s="123"/>
      <c r="S16" s="123"/>
      <c r="T16" s="123"/>
      <c r="U16" s="123"/>
      <c r="V16" s="123"/>
      <c r="W16" s="123"/>
      <c r="X16" s="123"/>
      <c r="Y16" s="123"/>
      <c r="Z16" s="123"/>
      <c r="AA16" s="123"/>
      <c r="AB16" s="123"/>
      <c r="AC16" s="123"/>
      <c r="AD16" s="123"/>
      <c r="AE16" s="123"/>
      <c r="AF16" s="123"/>
    </row>
    <row r="17" spans="1:32">
      <c r="A17" s="123"/>
      <c r="B17" s="146">
        <v>6</v>
      </c>
      <c r="C17" s="135"/>
      <c r="D17" s="135" t="s">
        <v>189</v>
      </c>
      <c r="E17" s="135" t="s">
        <v>190</v>
      </c>
      <c r="F17" s="147" t="s">
        <v>186</v>
      </c>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row>
    <row r="18" spans="1:32">
      <c r="A18" s="123"/>
      <c r="B18" s="123"/>
      <c r="C18" s="123"/>
      <c r="D18" s="124"/>
      <c r="E18" s="124"/>
      <c r="F18" s="123"/>
      <c r="G18" s="123"/>
      <c r="H18" s="123"/>
      <c r="I18" s="123"/>
      <c r="J18" s="123"/>
      <c r="K18" s="123"/>
      <c r="L18" s="123"/>
      <c r="M18" s="123"/>
      <c r="N18" s="123"/>
      <c r="O18" s="123"/>
      <c r="P18" s="123"/>
      <c r="Q18" s="123"/>
      <c r="R18" s="123"/>
      <c r="S18" s="123"/>
      <c r="T18" s="124"/>
      <c r="U18" s="123"/>
      <c r="V18" s="123"/>
      <c r="W18" s="123"/>
      <c r="X18" s="123"/>
      <c r="Y18" s="123"/>
      <c r="Z18" s="123"/>
      <c r="AA18" s="123"/>
      <c r="AB18" s="123"/>
      <c r="AC18" s="123"/>
      <c r="AD18" s="123"/>
      <c r="AE18" s="123"/>
      <c r="AF18" s="123"/>
    </row>
    <row r="19" spans="1:32">
      <c r="A19" s="123"/>
      <c r="B19" s="123" t="s">
        <v>191</v>
      </c>
      <c r="C19" s="123"/>
      <c r="D19" s="124"/>
      <c r="E19" s="124"/>
      <c r="F19" s="123"/>
      <c r="G19" s="123"/>
      <c r="H19" s="123"/>
      <c r="I19" s="123"/>
      <c r="J19" s="123"/>
      <c r="K19" s="123"/>
      <c r="L19" s="123"/>
      <c r="M19" s="123"/>
      <c r="N19" s="123"/>
      <c r="O19" s="123"/>
      <c r="P19" s="123"/>
      <c r="Q19" s="148" t="s">
        <v>192</v>
      </c>
      <c r="R19" s="123"/>
      <c r="S19" s="123"/>
      <c r="T19" s="124"/>
      <c r="U19" s="123"/>
      <c r="V19" s="123"/>
      <c r="W19" s="148" t="s">
        <v>193</v>
      </c>
      <c r="X19" s="123"/>
      <c r="Y19" s="123"/>
      <c r="Z19" s="148" t="s">
        <v>194</v>
      </c>
      <c r="AA19" s="123"/>
      <c r="AB19" s="123"/>
      <c r="AC19" s="123"/>
      <c r="AD19" s="123"/>
      <c r="AE19" s="123"/>
      <c r="AF19" s="123"/>
    </row>
    <row r="20" spans="1:32" ht="15">
      <c r="A20" s="123"/>
      <c r="B20" s="149" t="s">
        <v>174</v>
      </c>
      <c r="C20" s="127" t="s">
        <v>195</v>
      </c>
      <c r="D20" s="127" t="s">
        <v>196</v>
      </c>
      <c r="E20" s="128" t="s">
        <v>197</v>
      </c>
      <c r="F20" s="128" t="s">
        <v>179</v>
      </c>
      <c r="G20" s="127" t="s">
        <v>198</v>
      </c>
      <c r="H20" s="128" t="s">
        <v>199</v>
      </c>
      <c r="I20" s="128" t="s">
        <v>217</v>
      </c>
      <c r="J20" s="128" t="s">
        <v>150</v>
      </c>
      <c r="K20" s="128" t="s">
        <v>200</v>
      </c>
      <c r="L20" s="128" t="s">
        <v>173</v>
      </c>
      <c r="M20" s="127" t="s">
        <v>201</v>
      </c>
      <c r="N20" s="127" t="s">
        <v>202</v>
      </c>
      <c r="O20" s="129" t="s">
        <v>986</v>
      </c>
      <c r="P20" s="123"/>
      <c r="Q20" s="138" t="s">
        <v>174</v>
      </c>
      <c r="R20" s="139" t="s">
        <v>200</v>
      </c>
      <c r="S20" s="139" t="s">
        <v>179</v>
      </c>
      <c r="T20" s="139" t="s">
        <v>198</v>
      </c>
      <c r="U20" s="150" t="s">
        <v>203</v>
      </c>
      <c r="V20" s="150" t="s">
        <v>173</v>
      </c>
      <c r="W20" s="140" t="s">
        <v>204</v>
      </c>
      <c r="X20" s="140" t="s">
        <v>987</v>
      </c>
      <c r="Y20" s="123"/>
      <c r="Z20" s="126" t="s">
        <v>174</v>
      </c>
      <c r="AA20" s="127" t="s">
        <v>179</v>
      </c>
      <c r="AB20" s="127" t="s">
        <v>205</v>
      </c>
      <c r="AC20" s="127" t="s">
        <v>173</v>
      </c>
      <c r="AD20" s="150" t="s">
        <v>206</v>
      </c>
      <c r="AE20" s="151" t="s">
        <v>207</v>
      </c>
      <c r="AF20" s="123"/>
    </row>
    <row r="21" spans="1:32" ht="15">
      <c r="A21" s="123"/>
      <c r="B21" s="156">
        <v>1</v>
      </c>
      <c r="C21" s="157" t="s">
        <v>538</v>
      </c>
      <c r="D21" s="157" t="s">
        <v>893</v>
      </c>
      <c r="E21" s="157">
        <v>1</v>
      </c>
      <c r="F21" s="157" t="s">
        <v>181</v>
      </c>
      <c r="G21" s="158" t="s">
        <v>182</v>
      </c>
      <c r="H21" s="157">
        <v>1</v>
      </c>
      <c r="I21" s="157">
        <v>0</v>
      </c>
      <c r="J21" s="160" t="s">
        <v>681</v>
      </c>
      <c r="K21" s="160">
        <v>1</v>
      </c>
      <c r="L21" s="160" t="s">
        <v>183</v>
      </c>
      <c r="M21" s="160">
        <v>5</v>
      </c>
      <c r="N21" s="247" t="s">
        <v>894</v>
      </c>
      <c r="O21" s="248">
        <v>1</v>
      </c>
      <c r="P21" s="123"/>
      <c r="Q21" s="152">
        <v>1</v>
      </c>
      <c r="R21" s="144" t="s">
        <v>681</v>
      </c>
      <c r="S21" s="144" t="s">
        <v>181</v>
      </c>
      <c r="T21" s="144" t="s">
        <v>182</v>
      </c>
      <c r="U21" s="153">
        <v>1</v>
      </c>
      <c r="V21" s="153" t="s">
        <v>183</v>
      </c>
      <c r="W21" s="153">
        <v>1</v>
      </c>
      <c r="X21" s="154" t="s">
        <v>1133</v>
      </c>
      <c r="Y21" s="123"/>
      <c r="Z21" s="155">
        <v>1</v>
      </c>
      <c r="AA21" s="131" t="s">
        <v>181</v>
      </c>
      <c r="AB21" s="131">
        <v>1</v>
      </c>
      <c r="AC21" s="131" t="s">
        <v>183</v>
      </c>
      <c r="AD21" s="131" t="s">
        <v>895</v>
      </c>
      <c r="AE21" s="133" t="s">
        <v>896</v>
      </c>
      <c r="AF21" s="123"/>
    </row>
    <row r="22" spans="1:32" ht="15">
      <c r="A22" s="123"/>
      <c r="B22" s="156">
        <v>2</v>
      </c>
      <c r="C22" s="157" t="s">
        <v>590</v>
      </c>
      <c r="D22" s="157" t="s">
        <v>893</v>
      </c>
      <c r="E22" s="157">
        <v>2</v>
      </c>
      <c r="F22" s="157" t="s">
        <v>181</v>
      </c>
      <c r="G22" s="158" t="s">
        <v>182</v>
      </c>
      <c r="H22" s="159">
        <v>2</v>
      </c>
      <c r="I22" s="159">
        <v>2</v>
      </c>
      <c r="J22" s="160" t="s">
        <v>681</v>
      </c>
      <c r="K22" s="160">
        <v>1</v>
      </c>
      <c r="L22" s="160" t="s">
        <v>183</v>
      </c>
      <c r="M22" s="160">
        <v>2</v>
      </c>
      <c r="N22" s="247" t="s">
        <v>894</v>
      </c>
      <c r="O22" s="248">
        <v>1</v>
      </c>
      <c r="P22" s="123"/>
      <c r="Q22" s="152">
        <v>2</v>
      </c>
      <c r="R22" s="144" t="s">
        <v>689</v>
      </c>
      <c r="S22" s="144" t="s">
        <v>181</v>
      </c>
      <c r="T22" s="144" t="s">
        <v>182</v>
      </c>
      <c r="U22" s="153">
        <v>2</v>
      </c>
      <c r="V22" s="153" t="s">
        <v>183</v>
      </c>
      <c r="W22" s="153">
        <v>1</v>
      </c>
      <c r="X22" s="154" t="s">
        <v>1134</v>
      </c>
      <c r="Y22" s="123"/>
      <c r="Z22" s="152">
        <v>2</v>
      </c>
      <c r="AA22" s="144" t="s">
        <v>181</v>
      </c>
      <c r="AB22" s="144">
        <v>2</v>
      </c>
      <c r="AC22" s="144" t="s">
        <v>183</v>
      </c>
      <c r="AD22" s="144" t="s">
        <v>897</v>
      </c>
      <c r="AE22" s="161" t="s">
        <v>898</v>
      </c>
      <c r="AF22" s="123"/>
    </row>
    <row r="23" spans="1:32" ht="15">
      <c r="A23" s="123"/>
      <c r="B23" s="156">
        <v>3</v>
      </c>
      <c r="C23" s="157" t="s">
        <v>591</v>
      </c>
      <c r="D23" s="157" t="s">
        <v>893</v>
      </c>
      <c r="E23" s="157">
        <v>3</v>
      </c>
      <c r="F23" s="157" t="s">
        <v>181</v>
      </c>
      <c r="G23" s="158" t="s">
        <v>182</v>
      </c>
      <c r="H23" s="159">
        <v>3</v>
      </c>
      <c r="I23" s="159">
        <v>2</v>
      </c>
      <c r="J23" s="160" t="s">
        <v>681</v>
      </c>
      <c r="K23" s="160">
        <v>1</v>
      </c>
      <c r="L23" s="160" t="s">
        <v>183</v>
      </c>
      <c r="M23" s="160">
        <v>2</v>
      </c>
      <c r="N23" s="247" t="s">
        <v>894</v>
      </c>
      <c r="O23" s="248">
        <v>1</v>
      </c>
      <c r="P23" s="123"/>
      <c r="Q23" s="152">
        <v>3</v>
      </c>
      <c r="R23" s="144" t="s">
        <v>701</v>
      </c>
      <c r="S23" s="144" t="s">
        <v>181</v>
      </c>
      <c r="T23" s="144" t="s">
        <v>182</v>
      </c>
      <c r="U23" s="153">
        <v>3</v>
      </c>
      <c r="V23" s="153" t="s">
        <v>183</v>
      </c>
      <c r="W23" s="153">
        <v>1</v>
      </c>
      <c r="X23" s="154" t="s">
        <v>1135</v>
      </c>
      <c r="Y23" s="123"/>
      <c r="Z23" s="152">
        <v>3</v>
      </c>
      <c r="AA23" s="144" t="s">
        <v>181</v>
      </c>
      <c r="AB23" s="144">
        <v>3</v>
      </c>
      <c r="AC23" s="144" t="s">
        <v>183</v>
      </c>
      <c r="AD23" s="144" t="s">
        <v>899</v>
      </c>
      <c r="AE23" s="161" t="s">
        <v>900</v>
      </c>
      <c r="AF23" s="123"/>
    </row>
    <row r="24" spans="1:32" ht="15">
      <c r="A24" s="123"/>
      <c r="B24" s="156">
        <v>4</v>
      </c>
      <c r="C24" s="157" t="s">
        <v>594</v>
      </c>
      <c r="D24" s="157" t="s">
        <v>893</v>
      </c>
      <c r="E24" s="157">
        <v>4</v>
      </c>
      <c r="F24" s="157" t="s">
        <v>181</v>
      </c>
      <c r="G24" s="158" t="s">
        <v>182</v>
      </c>
      <c r="H24" s="159">
        <v>4</v>
      </c>
      <c r="I24" s="159">
        <v>2</v>
      </c>
      <c r="J24" s="160" t="s">
        <v>681</v>
      </c>
      <c r="K24" s="160">
        <v>1</v>
      </c>
      <c r="L24" s="160" t="s">
        <v>183</v>
      </c>
      <c r="M24" s="160">
        <v>4</v>
      </c>
      <c r="N24" s="247" t="s">
        <v>894</v>
      </c>
      <c r="O24" s="248">
        <v>1</v>
      </c>
      <c r="P24" s="123"/>
      <c r="Q24" s="152">
        <v>4</v>
      </c>
      <c r="R24" s="144" t="s">
        <v>730</v>
      </c>
      <c r="S24" s="144" t="s">
        <v>181</v>
      </c>
      <c r="T24" s="144" t="s">
        <v>182</v>
      </c>
      <c r="U24" s="153">
        <v>4</v>
      </c>
      <c r="V24" s="153" t="s">
        <v>183</v>
      </c>
      <c r="W24" s="153">
        <v>1</v>
      </c>
      <c r="X24" s="154" t="s">
        <v>1136</v>
      </c>
      <c r="Y24" s="123"/>
      <c r="Z24" s="152">
        <v>4</v>
      </c>
      <c r="AA24" s="144" t="s">
        <v>181</v>
      </c>
      <c r="AB24" s="144">
        <v>4</v>
      </c>
      <c r="AC24" s="144" t="s">
        <v>183</v>
      </c>
      <c r="AD24" s="144" t="s">
        <v>901</v>
      </c>
      <c r="AE24" s="161" t="s">
        <v>902</v>
      </c>
      <c r="AF24" s="123"/>
    </row>
    <row r="25" spans="1:32" ht="15">
      <c r="A25" s="123"/>
      <c r="B25" s="156">
        <v>5</v>
      </c>
      <c r="C25" s="157" t="s">
        <v>539</v>
      </c>
      <c r="D25" s="157" t="s">
        <v>893</v>
      </c>
      <c r="E25" s="157">
        <v>5</v>
      </c>
      <c r="F25" s="157" t="s">
        <v>181</v>
      </c>
      <c r="G25" s="158" t="s">
        <v>182</v>
      </c>
      <c r="H25" s="159">
        <v>5</v>
      </c>
      <c r="I25" s="159">
        <v>0</v>
      </c>
      <c r="J25" s="160" t="s">
        <v>681</v>
      </c>
      <c r="K25" s="160">
        <v>1</v>
      </c>
      <c r="L25" s="160" t="s">
        <v>183</v>
      </c>
      <c r="M25" s="160">
        <v>6</v>
      </c>
      <c r="N25" s="247" t="s">
        <v>894</v>
      </c>
      <c r="O25" s="248">
        <v>1</v>
      </c>
      <c r="P25" s="123"/>
      <c r="Q25" s="152">
        <v>5</v>
      </c>
      <c r="R25" s="144" t="s">
        <v>787</v>
      </c>
      <c r="S25" s="144" t="s">
        <v>184</v>
      </c>
      <c r="T25" s="144" t="s">
        <v>185</v>
      </c>
      <c r="U25" s="153">
        <v>5</v>
      </c>
      <c r="V25" s="153" t="s">
        <v>183</v>
      </c>
      <c r="W25" s="153">
        <v>3</v>
      </c>
      <c r="X25" s="154" t="s">
        <v>1137</v>
      </c>
      <c r="Y25" s="123"/>
      <c r="Z25" s="152">
        <v>5</v>
      </c>
      <c r="AA25" s="144" t="s">
        <v>181</v>
      </c>
      <c r="AB25" s="144">
        <v>5</v>
      </c>
      <c r="AC25" s="144" t="s">
        <v>183</v>
      </c>
      <c r="AD25" s="144" t="s">
        <v>903</v>
      </c>
      <c r="AE25" s="161" t="s">
        <v>904</v>
      </c>
      <c r="AF25" s="123"/>
    </row>
    <row r="26" spans="1:32" ht="15">
      <c r="A26" s="123"/>
      <c r="B26" s="156">
        <v>6</v>
      </c>
      <c r="C26" s="157" t="s">
        <v>595</v>
      </c>
      <c r="D26" s="157" t="s">
        <v>893</v>
      </c>
      <c r="E26" s="157">
        <v>6</v>
      </c>
      <c r="F26" s="157" t="s">
        <v>181</v>
      </c>
      <c r="G26" s="158" t="s">
        <v>182</v>
      </c>
      <c r="H26" s="159">
        <v>6</v>
      </c>
      <c r="I26" s="159">
        <v>4</v>
      </c>
      <c r="J26" s="160" t="s">
        <v>681</v>
      </c>
      <c r="K26" s="160">
        <v>1</v>
      </c>
      <c r="L26" s="160" t="s">
        <v>183</v>
      </c>
      <c r="M26" s="160">
        <v>2</v>
      </c>
      <c r="N26" s="247" t="s">
        <v>894</v>
      </c>
      <c r="O26" s="248">
        <v>1</v>
      </c>
      <c r="P26" s="123"/>
      <c r="Q26" s="152">
        <v>6</v>
      </c>
      <c r="R26" s="144" t="s">
        <v>787</v>
      </c>
      <c r="S26" s="144" t="s">
        <v>181</v>
      </c>
      <c r="T26" s="144" t="s">
        <v>182</v>
      </c>
      <c r="U26" s="153">
        <v>6</v>
      </c>
      <c r="V26" s="153" t="s">
        <v>183</v>
      </c>
      <c r="W26" s="153">
        <v>4</v>
      </c>
      <c r="X26" s="154" t="s">
        <v>1138</v>
      </c>
      <c r="Y26" s="123"/>
      <c r="Z26" s="152">
        <v>6</v>
      </c>
      <c r="AA26" s="144" t="s">
        <v>181</v>
      </c>
      <c r="AB26" s="144">
        <v>6</v>
      </c>
      <c r="AC26" s="144" t="s">
        <v>183</v>
      </c>
      <c r="AD26" s="144" t="s">
        <v>905</v>
      </c>
      <c r="AE26" s="161" t="s">
        <v>906</v>
      </c>
      <c r="AF26" s="123"/>
    </row>
    <row r="27" spans="1:32" ht="15">
      <c r="A27" s="123"/>
      <c r="B27" s="156">
        <v>7</v>
      </c>
      <c r="C27" s="157" t="s">
        <v>596</v>
      </c>
      <c r="D27" s="157" t="s">
        <v>893</v>
      </c>
      <c r="E27" s="157">
        <v>7</v>
      </c>
      <c r="F27" s="157" t="s">
        <v>181</v>
      </c>
      <c r="G27" s="158" t="s">
        <v>182</v>
      </c>
      <c r="H27" s="159">
        <v>7</v>
      </c>
      <c r="I27" s="159">
        <v>2</v>
      </c>
      <c r="J27" s="160" t="s">
        <v>681</v>
      </c>
      <c r="K27" s="160">
        <v>1</v>
      </c>
      <c r="L27" s="160" t="s">
        <v>183</v>
      </c>
      <c r="M27" s="160">
        <v>4</v>
      </c>
      <c r="N27" s="247" t="s">
        <v>894</v>
      </c>
      <c r="O27" s="248">
        <v>1</v>
      </c>
      <c r="P27" s="123"/>
      <c r="Q27" s="152">
        <v>7</v>
      </c>
      <c r="R27" s="144" t="s">
        <v>871</v>
      </c>
      <c r="S27" s="144" t="s">
        <v>184</v>
      </c>
      <c r="T27" s="144" t="s">
        <v>185</v>
      </c>
      <c r="U27" s="153">
        <v>7</v>
      </c>
      <c r="V27" s="153" t="s">
        <v>183</v>
      </c>
      <c r="W27" s="153">
        <v>3</v>
      </c>
      <c r="X27" s="154" t="s">
        <v>1139</v>
      </c>
      <c r="Y27" s="123"/>
      <c r="Z27" s="152">
        <v>7</v>
      </c>
      <c r="AA27" s="144" t="s">
        <v>181</v>
      </c>
      <c r="AB27" s="144">
        <v>7</v>
      </c>
      <c r="AC27" s="144" t="s">
        <v>183</v>
      </c>
      <c r="AD27" s="144" t="s">
        <v>907</v>
      </c>
      <c r="AE27" s="161" t="s">
        <v>908</v>
      </c>
      <c r="AF27" s="123"/>
    </row>
    <row r="28" spans="1:32" ht="15">
      <c r="A28" s="123"/>
      <c r="B28" s="156">
        <v>8</v>
      </c>
      <c r="C28" s="157" t="s">
        <v>540</v>
      </c>
      <c r="D28" s="157" t="s">
        <v>893</v>
      </c>
      <c r="E28" s="157">
        <v>8</v>
      </c>
      <c r="F28" s="157" t="s">
        <v>181</v>
      </c>
      <c r="G28" s="158" t="s">
        <v>182</v>
      </c>
      <c r="H28" s="159">
        <v>8</v>
      </c>
      <c r="I28" s="159">
        <v>0</v>
      </c>
      <c r="J28" s="160" t="s">
        <v>681</v>
      </c>
      <c r="K28" s="160">
        <v>1</v>
      </c>
      <c r="L28" s="160" t="s">
        <v>183</v>
      </c>
      <c r="M28" s="160">
        <v>5</v>
      </c>
      <c r="N28" s="247" t="s">
        <v>894</v>
      </c>
      <c r="O28" s="248">
        <v>1</v>
      </c>
      <c r="P28" s="123"/>
      <c r="Q28" s="152">
        <v>8</v>
      </c>
      <c r="R28" s="144" t="s">
        <v>871</v>
      </c>
      <c r="S28" s="144" t="s">
        <v>181</v>
      </c>
      <c r="T28" s="144" t="s">
        <v>182</v>
      </c>
      <c r="U28" s="153">
        <v>8</v>
      </c>
      <c r="V28" s="153" t="s">
        <v>183</v>
      </c>
      <c r="W28" s="153">
        <v>2</v>
      </c>
      <c r="X28" s="154" t="s">
        <v>1140</v>
      </c>
      <c r="Y28" s="123"/>
      <c r="Z28" s="152">
        <v>8</v>
      </c>
      <c r="AA28" s="144" t="s">
        <v>181</v>
      </c>
      <c r="AB28" s="144">
        <v>8</v>
      </c>
      <c r="AC28" s="144" t="s">
        <v>183</v>
      </c>
      <c r="AD28" s="144" t="s">
        <v>909</v>
      </c>
      <c r="AE28" s="161" t="s">
        <v>910</v>
      </c>
      <c r="AF28" s="123"/>
    </row>
    <row r="29" spans="1:32" ht="15">
      <c r="A29" s="123"/>
      <c r="B29" s="156">
        <v>9</v>
      </c>
      <c r="C29" s="157" t="s">
        <v>541</v>
      </c>
      <c r="D29" s="157" t="s">
        <v>893</v>
      </c>
      <c r="E29" s="157">
        <v>9</v>
      </c>
      <c r="F29" s="157" t="s">
        <v>181</v>
      </c>
      <c r="G29" s="158" t="s">
        <v>182</v>
      </c>
      <c r="H29" s="159">
        <v>9</v>
      </c>
      <c r="I29" s="159">
        <v>0</v>
      </c>
      <c r="J29" s="160" t="s">
        <v>681</v>
      </c>
      <c r="K29" s="160">
        <v>1</v>
      </c>
      <c r="L29" s="160" t="s">
        <v>183</v>
      </c>
      <c r="M29" s="160">
        <v>6</v>
      </c>
      <c r="N29" s="247" t="s">
        <v>894</v>
      </c>
      <c r="O29" s="248">
        <v>1</v>
      </c>
      <c r="P29" s="123"/>
      <c r="Q29" s="152">
        <v>9</v>
      </c>
      <c r="R29" s="144" t="s">
        <v>790</v>
      </c>
      <c r="S29" s="144" t="s">
        <v>181</v>
      </c>
      <c r="T29" s="144" t="s">
        <v>182</v>
      </c>
      <c r="U29" s="153">
        <v>9</v>
      </c>
      <c r="V29" s="153" t="s">
        <v>183</v>
      </c>
      <c r="W29" s="153">
        <v>2</v>
      </c>
      <c r="X29" s="154" t="s">
        <v>1141</v>
      </c>
      <c r="Y29" s="123"/>
      <c r="Z29" s="152">
        <v>9</v>
      </c>
      <c r="AA29" s="144" t="s">
        <v>181</v>
      </c>
      <c r="AB29" s="144">
        <v>9</v>
      </c>
      <c r="AC29" s="144" t="s">
        <v>183</v>
      </c>
      <c r="AD29" s="144" t="s">
        <v>911</v>
      </c>
      <c r="AE29" s="161" t="s">
        <v>912</v>
      </c>
      <c r="AF29" s="123"/>
    </row>
    <row r="30" spans="1:32" ht="15">
      <c r="A30" s="123"/>
      <c r="B30" s="156">
        <v>10</v>
      </c>
      <c r="C30" s="157" t="s">
        <v>599</v>
      </c>
      <c r="D30" s="157" t="s">
        <v>893</v>
      </c>
      <c r="E30" s="157">
        <v>10</v>
      </c>
      <c r="F30" s="157" t="s">
        <v>181</v>
      </c>
      <c r="G30" s="158" t="s">
        <v>182</v>
      </c>
      <c r="H30" s="159">
        <v>10</v>
      </c>
      <c r="I30" s="159">
        <v>1</v>
      </c>
      <c r="J30" s="160" t="s">
        <v>681</v>
      </c>
      <c r="K30" s="160">
        <v>1</v>
      </c>
      <c r="L30" s="160" t="s">
        <v>183</v>
      </c>
      <c r="M30" s="160">
        <v>4</v>
      </c>
      <c r="N30" s="247" t="s">
        <v>894</v>
      </c>
      <c r="O30" s="248">
        <v>1</v>
      </c>
      <c r="P30" s="123"/>
      <c r="Q30" s="152">
        <v>10</v>
      </c>
      <c r="R30" s="144" t="s">
        <v>800</v>
      </c>
      <c r="S30" s="144" t="s">
        <v>184</v>
      </c>
      <c r="T30" s="144" t="s">
        <v>185</v>
      </c>
      <c r="U30" s="153">
        <v>10</v>
      </c>
      <c r="V30" s="153" t="s">
        <v>183</v>
      </c>
      <c r="W30" s="153">
        <v>3</v>
      </c>
      <c r="X30" s="154" t="s">
        <v>1142</v>
      </c>
      <c r="Y30" s="123"/>
      <c r="Z30" s="152">
        <v>10</v>
      </c>
      <c r="AA30" s="144" t="s">
        <v>181</v>
      </c>
      <c r="AB30" s="144">
        <v>10</v>
      </c>
      <c r="AC30" s="144" t="s">
        <v>183</v>
      </c>
      <c r="AD30" s="144" t="s">
        <v>913</v>
      </c>
      <c r="AE30" s="161" t="s">
        <v>914</v>
      </c>
      <c r="AF30" s="123"/>
    </row>
    <row r="31" spans="1:32" ht="15">
      <c r="A31" s="123"/>
      <c r="B31" s="156">
        <v>11</v>
      </c>
      <c r="C31" s="157" t="s">
        <v>543</v>
      </c>
      <c r="D31" s="157" t="s">
        <v>893</v>
      </c>
      <c r="E31" s="157">
        <v>11</v>
      </c>
      <c r="F31" s="157" t="s">
        <v>181</v>
      </c>
      <c r="G31" s="158" t="s">
        <v>182</v>
      </c>
      <c r="H31" s="159">
        <v>11</v>
      </c>
      <c r="I31" s="159">
        <v>0</v>
      </c>
      <c r="J31" s="160" t="s">
        <v>681</v>
      </c>
      <c r="K31" s="160">
        <v>1</v>
      </c>
      <c r="L31" s="160" t="s">
        <v>183</v>
      </c>
      <c r="M31" s="160">
        <v>5</v>
      </c>
      <c r="N31" s="247" t="s">
        <v>894</v>
      </c>
      <c r="O31" s="248">
        <v>1</v>
      </c>
      <c r="P31" s="123"/>
      <c r="Q31" s="152">
        <v>11</v>
      </c>
      <c r="R31" s="144" t="s">
        <v>800</v>
      </c>
      <c r="S31" s="144" t="s">
        <v>181</v>
      </c>
      <c r="T31" s="144" t="s">
        <v>182</v>
      </c>
      <c r="U31" s="153">
        <v>11</v>
      </c>
      <c r="V31" s="153" t="s">
        <v>183</v>
      </c>
      <c r="W31" s="153">
        <v>4</v>
      </c>
      <c r="X31" s="154" t="s">
        <v>1143</v>
      </c>
      <c r="Y31" s="123"/>
      <c r="Z31" s="152">
        <v>11</v>
      </c>
      <c r="AA31" s="144" t="s">
        <v>181</v>
      </c>
      <c r="AB31" s="144">
        <v>11</v>
      </c>
      <c r="AC31" s="144" t="s">
        <v>183</v>
      </c>
      <c r="AD31" s="144" t="s">
        <v>915</v>
      </c>
      <c r="AE31" s="161" t="s">
        <v>916</v>
      </c>
      <c r="AF31" s="123"/>
    </row>
    <row r="32" spans="1:32" ht="15">
      <c r="A32" s="123"/>
      <c r="B32" s="156">
        <v>12</v>
      </c>
      <c r="C32" s="157" t="s">
        <v>544</v>
      </c>
      <c r="D32" s="157" t="s">
        <v>893</v>
      </c>
      <c r="E32" s="157">
        <v>12</v>
      </c>
      <c r="F32" s="157" t="s">
        <v>181</v>
      </c>
      <c r="G32" s="158" t="s">
        <v>182</v>
      </c>
      <c r="H32" s="159">
        <v>12</v>
      </c>
      <c r="I32" s="159">
        <v>0</v>
      </c>
      <c r="J32" s="160" t="s">
        <v>681</v>
      </c>
      <c r="K32" s="160">
        <v>1</v>
      </c>
      <c r="L32" s="160" t="s">
        <v>183</v>
      </c>
      <c r="M32" s="160">
        <v>6</v>
      </c>
      <c r="N32" s="247" t="s">
        <v>894</v>
      </c>
      <c r="O32" s="248">
        <v>1</v>
      </c>
      <c r="P32" s="123"/>
      <c r="Q32" s="152">
        <v>12</v>
      </c>
      <c r="R32" s="144" t="s">
        <v>757</v>
      </c>
      <c r="S32" s="144" t="s">
        <v>184</v>
      </c>
      <c r="T32" s="144" t="s">
        <v>185</v>
      </c>
      <c r="U32" s="153">
        <v>12</v>
      </c>
      <c r="V32" s="153" t="s">
        <v>183</v>
      </c>
      <c r="W32" s="153">
        <v>3</v>
      </c>
      <c r="X32" s="154" t="s">
        <v>1144</v>
      </c>
      <c r="Y32" s="123"/>
      <c r="Z32" s="152">
        <v>12</v>
      </c>
      <c r="AA32" s="144" t="s">
        <v>184</v>
      </c>
      <c r="AB32" s="144">
        <v>11</v>
      </c>
      <c r="AC32" s="144" t="s">
        <v>183</v>
      </c>
      <c r="AD32" s="144" t="s">
        <v>917</v>
      </c>
      <c r="AE32" s="161" t="s">
        <v>916</v>
      </c>
      <c r="AF32" s="123"/>
    </row>
    <row r="33" spans="1:32" ht="15">
      <c r="A33" s="123"/>
      <c r="B33" s="156">
        <v>13</v>
      </c>
      <c r="C33" s="157" t="s">
        <v>546</v>
      </c>
      <c r="D33" s="157" t="s">
        <v>893</v>
      </c>
      <c r="E33" s="157">
        <v>13</v>
      </c>
      <c r="F33" s="157" t="s">
        <v>181</v>
      </c>
      <c r="G33" s="158" t="s">
        <v>182</v>
      </c>
      <c r="H33" s="159">
        <v>13</v>
      </c>
      <c r="I33" s="159">
        <v>0</v>
      </c>
      <c r="J33" s="160" t="s">
        <v>681</v>
      </c>
      <c r="K33" s="160">
        <v>1</v>
      </c>
      <c r="L33" s="160" t="s">
        <v>183</v>
      </c>
      <c r="M33" s="160">
        <v>5</v>
      </c>
      <c r="N33" s="247" t="s">
        <v>894</v>
      </c>
      <c r="O33" s="248">
        <v>1</v>
      </c>
      <c r="P33" s="123"/>
      <c r="Q33" s="152">
        <v>13</v>
      </c>
      <c r="R33" s="144" t="s">
        <v>757</v>
      </c>
      <c r="S33" s="144" t="s">
        <v>181</v>
      </c>
      <c r="T33" s="144" t="s">
        <v>182</v>
      </c>
      <c r="U33" s="153">
        <v>13</v>
      </c>
      <c r="V33" s="153" t="s">
        <v>183</v>
      </c>
      <c r="W33" s="153">
        <v>4</v>
      </c>
      <c r="X33" s="154" t="s">
        <v>1145</v>
      </c>
      <c r="Y33" s="123"/>
      <c r="Z33" s="152">
        <v>13</v>
      </c>
      <c r="AA33" s="144" t="s">
        <v>181</v>
      </c>
      <c r="AB33" s="144">
        <v>12</v>
      </c>
      <c r="AC33" s="144" t="s">
        <v>183</v>
      </c>
      <c r="AD33" s="144" t="s">
        <v>918</v>
      </c>
      <c r="AE33" s="161" t="s">
        <v>919</v>
      </c>
      <c r="AF33" s="123"/>
    </row>
    <row r="34" spans="1:32" ht="15">
      <c r="A34" s="123"/>
      <c r="B34" s="156">
        <v>14</v>
      </c>
      <c r="C34" s="157" t="s">
        <v>547</v>
      </c>
      <c r="D34" s="157" t="s">
        <v>893</v>
      </c>
      <c r="E34" s="157">
        <v>14</v>
      </c>
      <c r="F34" s="157" t="s">
        <v>181</v>
      </c>
      <c r="G34" s="158" t="s">
        <v>182</v>
      </c>
      <c r="H34" s="159">
        <v>14</v>
      </c>
      <c r="I34" s="159">
        <v>0</v>
      </c>
      <c r="J34" s="160" t="s">
        <v>681</v>
      </c>
      <c r="K34" s="160">
        <v>1</v>
      </c>
      <c r="L34" s="160" t="s">
        <v>183</v>
      </c>
      <c r="M34" s="160">
        <v>6</v>
      </c>
      <c r="N34" s="247" t="s">
        <v>894</v>
      </c>
      <c r="O34" s="248">
        <v>1</v>
      </c>
      <c r="P34" s="123"/>
      <c r="Q34" s="152">
        <v>14</v>
      </c>
      <c r="R34" s="144" t="s">
        <v>757</v>
      </c>
      <c r="S34" s="144" t="s">
        <v>181</v>
      </c>
      <c r="T34" s="144" t="s">
        <v>182</v>
      </c>
      <c r="U34" s="153">
        <v>14</v>
      </c>
      <c r="V34" s="153" t="s">
        <v>183</v>
      </c>
      <c r="W34" s="153">
        <v>2</v>
      </c>
      <c r="X34" s="154" t="s">
        <v>1146</v>
      </c>
      <c r="Y34" s="123"/>
      <c r="Z34" s="152">
        <v>14</v>
      </c>
      <c r="AA34" s="144" t="s">
        <v>184</v>
      </c>
      <c r="AB34" s="144">
        <v>12</v>
      </c>
      <c r="AC34" s="144" t="s">
        <v>183</v>
      </c>
      <c r="AD34" s="144" t="s">
        <v>920</v>
      </c>
      <c r="AE34" s="161" t="s">
        <v>919</v>
      </c>
      <c r="AF34" s="123"/>
    </row>
    <row r="35" spans="1:32" ht="15">
      <c r="A35" s="123"/>
      <c r="B35" s="156">
        <v>15</v>
      </c>
      <c r="C35" s="157" t="s">
        <v>604</v>
      </c>
      <c r="D35" s="157" t="s">
        <v>893</v>
      </c>
      <c r="E35" s="157">
        <v>15</v>
      </c>
      <c r="F35" s="157" t="s">
        <v>181</v>
      </c>
      <c r="G35" s="158" t="s">
        <v>182</v>
      </c>
      <c r="H35" s="159">
        <v>15</v>
      </c>
      <c r="I35" s="159">
        <v>2</v>
      </c>
      <c r="J35" s="160" t="s">
        <v>681</v>
      </c>
      <c r="K35" s="160">
        <v>1</v>
      </c>
      <c r="L35" s="160" t="s">
        <v>183</v>
      </c>
      <c r="M35" s="160">
        <v>4</v>
      </c>
      <c r="N35" s="247" t="s">
        <v>894</v>
      </c>
      <c r="O35" s="248">
        <v>1</v>
      </c>
      <c r="P35" s="123"/>
      <c r="Q35" s="152">
        <v>15</v>
      </c>
      <c r="R35" s="144" t="s">
        <v>805</v>
      </c>
      <c r="S35" s="144" t="s">
        <v>181</v>
      </c>
      <c r="T35" s="144" t="s">
        <v>182</v>
      </c>
      <c r="U35" s="153">
        <v>15</v>
      </c>
      <c r="V35" s="153" t="s">
        <v>183</v>
      </c>
      <c r="W35" s="153">
        <v>2</v>
      </c>
      <c r="X35" s="154" t="s">
        <v>1147</v>
      </c>
      <c r="Y35" s="123"/>
      <c r="Z35" s="152">
        <v>15</v>
      </c>
      <c r="AA35" s="144" t="s">
        <v>181</v>
      </c>
      <c r="AB35" s="144">
        <v>13</v>
      </c>
      <c r="AC35" s="144" t="s">
        <v>183</v>
      </c>
      <c r="AD35" s="144" t="s">
        <v>921</v>
      </c>
      <c r="AE35" s="161" t="s">
        <v>922</v>
      </c>
      <c r="AF35" s="123"/>
    </row>
    <row r="36" spans="1:32" ht="15">
      <c r="A36" s="123"/>
      <c r="B36" s="156">
        <v>16</v>
      </c>
      <c r="C36" s="157" t="s">
        <v>606</v>
      </c>
      <c r="D36" s="157" t="s">
        <v>893</v>
      </c>
      <c r="E36" s="157">
        <v>16</v>
      </c>
      <c r="F36" s="157" t="s">
        <v>181</v>
      </c>
      <c r="G36" s="158" t="s">
        <v>182</v>
      </c>
      <c r="H36" s="159">
        <v>16</v>
      </c>
      <c r="I36" s="159">
        <v>2</v>
      </c>
      <c r="J36" s="160" t="s">
        <v>681</v>
      </c>
      <c r="K36" s="160">
        <v>1</v>
      </c>
      <c r="L36" s="160" t="s">
        <v>183</v>
      </c>
      <c r="M36" s="160">
        <v>4</v>
      </c>
      <c r="N36" s="247" t="s">
        <v>894</v>
      </c>
      <c r="O36" s="248">
        <v>1</v>
      </c>
      <c r="P36" s="123"/>
      <c r="Q36" s="152">
        <v>16</v>
      </c>
      <c r="R36" s="144" t="s">
        <v>863</v>
      </c>
      <c r="S36" s="144" t="s">
        <v>184</v>
      </c>
      <c r="T36" s="144" t="s">
        <v>185</v>
      </c>
      <c r="U36" s="153">
        <v>16</v>
      </c>
      <c r="V36" s="153" t="s">
        <v>183</v>
      </c>
      <c r="W36" s="153">
        <v>3</v>
      </c>
      <c r="X36" s="154" t="s">
        <v>1148</v>
      </c>
      <c r="Y36" s="123"/>
      <c r="Z36" s="152">
        <v>16</v>
      </c>
      <c r="AA36" s="144" t="s">
        <v>181</v>
      </c>
      <c r="AB36" s="144">
        <v>14</v>
      </c>
      <c r="AC36" s="144" t="s">
        <v>183</v>
      </c>
      <c r="AD36" s="144" t="s">
        <v>923</v>
      </c>
      <c r="AE36" s="161" t="s">
        <v>924</v>
      </c>
      <c r="AF36" s="123"/>
    </row>
    <row r="37" spans="1:32" ht="15">
      <c r="A37" s="123"/>
      <c r="B37" s="156">
        <v>17</v>
      </c>
      <c r="C37" s="157" t="s">
        <v>554</v>
      </c>
      <c r="D37" s="157" t="s">
        <v>893</v>
      </c>
      <c r="E37" s="157">
        <v>17</v>
      </c>
      <c r="F37" s="157" t="s">
        <v>181</v>
      </c>
      <c r="G37" s="158" t="s">
        <v>182</v>
      </c>
      <c r="H37" s="159">
        <v>17</v>
      </c>
      <c r="I37" s="159">
        <v>0</v>
      </c>
      <c r="J37" s="160" t="s">
        <v>681</v>
      </c>
      <c r="K37" s="160">
        <v>1</v>
      </c>
      <c r="L37" s="160" t="s">
        <v>183</v>
      </c>
      <c r="M37" s="160">
        <v>5</v>
      </c>
      <c r="N37" s="247" t="s">
        <v>894</v>
      </c>
      <c r="O37" s="248">
        <v>1</v>
      </c>
      <c r="P37" s="123"/>
      <c r="Q37" s="152">
        <v>17</v>
      </c>
      <c r="R37" s="144" t="s">
        <v>774</v>
      </c>
      <c r="S37" s="144" t="s">
        <v>184</v>
      </c>
      <c r="T37" s="144" t="s">
        <v>185</v>
      </c>
      <c r="U37" s="153">
        <v>17</v>
      </c>
      <c r="V37" s="153" t="s">
        <v>183</v>
      </c>
      <c r="W37" s="153">
        <v>3</v>
      </c>
      <c r="X37" s="154" t="s">
        <v>1149</v>
      </c>
      <c r="Y37" s="123"/>
      <c r="Z37" s="152">
        <v>17</v>
      </c>
      <c r="AA37" s="144" t="s">
        <v>181</v>
      </c>
      <c r="AB37" s="144">
        <v>15</v>
      </c>
      <c r="AC37" s="144" t="s">
        <v>183</v>
      </c>
      <c r="AD37" s="144" t="s">
        <v>925</v>
      </c>
      <c r="AE37" s="161" t="s">
        <v>926</v>
      </c>
      <c r="AF37" s="123"/>
    </row>
    <row r="38" spans="1:32" ht="15">
      <c r="A38" s="123"/>
      <c r="B38" s="156">
        <v>18</v>
      </c>
      <c r="C38" s="157" t="s">
        <v>555</v>
      </c>
      <c r="D38" s="157" t="s">
        <v>893</v>
      </c>
      <c r="E38" s="157">
        <v>18</v>
      </c>
      <c r="F38" s="157" t="s">
        <v>181</v>
      </c>
      <c r="G38" s="158" t="s">
        <v>182</v>
      </c>
      <c r="H38" s="159">
        <v>18</v>
      </c>
      <c r="I38" s="159">
        <v>0</v>
      </c>
      <c r="J38" s="160" t="s">
        <v>681</v>
      </c>
      <c r="K38" s="160">
        <v>1</v>
      </c>
      <c r="L38" s="160" t="s">
        <v>183</v>
      </c>
      <c r="M38" s="160">
        <v>6</v>
      </c>
      <c r="N38" s="247" t="s">
        <v>894</v>
      </c>
      <c r="O38" s="248">
        <v>1</v>
      </c>
      <c r="P38" s="123"/>
      <c r="Q38" s="152">
        <v>18</v>
      </c>
      <c r="R38" s="144" t="s">
        <v>774</v>
      </c>
      <c r="S38" s="144" t="s">
        <v>181</v>
      </c>
      <c r="T38" s="144" t="s">
        <v>182</v>
      </c>
      <c r="U38" s="153">
        <v>18</v>
      </c>
      <c r="V38" s="153" t="s">
        <v>183</v>
      </c>
      <c r="W38" s="153">
        <v>4</v>
      </c>
      <c r="X38" s="154" t="s">
        <v>1150</v>
      </c>
      <c r="Y38" s="123"/>
      <c r="Z38" s="152">
        <v>18</v>
      </c>
      <c r="AA38" s="144" t="s">
        <v>181</v>
      </c>
      <c r="AB38" s="144">
        <v>16</v>
      </c>
      <c r="AC38" s="144" t="s">
        <v>183</v>
      </c>
      <c r="AD38" s="144" t="s">
        <v>927</v>
      </c>
      <c r="AE38" s="161" t="s">
        <v>928</v>
      </c>
      <c r="AF38" s="123"/>
    </row>
    <row r="39" spans="1:32" ht="15">
      <c r="A39" s="123"/>
      <c r="B39" s="156">
        <v>19</v>
      </c>
      <c r="C39" s="157" t="s">
        <v>592</v>
      </c>
      <c r="D39" s="157" t="s">
        <v>893</v>
      </c>
      <c r="E39" s="157">
        <v>19</v>
      </c>
      <c r="F39" s="157" t="s">
        <v>181</v>
      </c>
      <c r="G39" s="158" t="s">
        <v>182</v>
      </c>
      <c r="H39" s="159">
        <v>19</v>
      </c>
      <c r="I39" s="159">
        <v>4</v>
      </c>
      <c r="J39" s="160" t="s">
        <v>689</v>
      </c>
      <c r="K39" s="160">
        <v>2</v>
      </c>
      <c r="L39" s="160" t="s">
        <v>183</v>
      </c>
      <c r="M39" s="160">
        <v>2</v>
      </c>
      <c r="N39" s="247" t="s">
        <v>894</v>
      </c>
      <c r="O39" s="248">
        <v>1</v>
      </c>
      <c r="P39" s="123"/>
      <c r="Q39" s="152">
        <v>19</v>
      </c>
      <c r="R39" s="144" t="s">
        <v>774</v>
      </c>
      <c r="S39" s="144" t="s">
        <v>181</v>
      </c>
      <c r="T39" s="144" t="s">
        <v>182</v>
      </c>
      <c r="U39" s="153">
        <v>19</v>
      </c>
      <c r="V39" s="153" t="s">
        <v>183</v>
      </c>
      <c r="W39" s="153">
        <v>2</v>
      </c>
      <c r="X39" s="154" t="s">
        <v>1151</v>
      </c>
      <c r="Y39" s="123"/>
      <c r="Z39" s="152">
        <v>19</v>
      </c>
      <c r="AA39" s="144" t="s">
        <v>187</v>
      </c>
      <c r="AB39" s="144">
        <v>17</v>
      </c>
      <c r="AC39" s="144" t="s">
        <v>186</v>
      </c>
      <c r="AD39" s="144" t="s">
        <v>929</v>
      </c>
      <c r="AE39" s="161" t="s">
        <v>930</v>
      </c>
      <c r="AF39" s="123"/>
    </row>
    <row r="40" spans="1:32" ht="15">
      <c r="A40" s="123"/>
      <c r="B40" s="156">
        <v>20</v>
      </c>
      <c r="C40" s="157" t="s">
        <v>593</v>
      </c>
      <c r="D40" s="157" t="s">
        <v>893</v>
      </c>
      <c r="E40" s="157">
        <v>20</v>
      </c>
      <c r="F40" s="157" t="s">
        <v>181</v>
      </c>
      <c r="G40" s="158" t="s">
        <v>182</v>
      </c>
      <c r="H40" s="159">
        <v>20</v>
      </c>
      <c r="I40" s="159">
        <v>4</v>
      </c>
      <c r="J40" s="160" t="s">
        <v>689</v>
      </c>
      <c r="K40" s="160">
        <v>2</v>
      </c>
      <c r="L40" s="160" t="s">
        <v>183</v>
      </c>
      <c r="M40" s="160">
        <v>2</v>
      </c>
      <c r="N40" s="247" t="s">
        <v>894</v>
      </c>
      <c r="O40" s="248">
        <v>1</v>
      </c>
      <c r="P40" s="123"/>
      <c r="Q40" s="152">
        <v>20</v>
      </c>
      <c r="R40" s="144" t="s">
        <v>841</v>
      </c>
      <c r="S40" s="144" t="s">
        <v>181</v>
      </c>
      <c r="T40" s="144" t="s">
        <v>182</v>
      </c>
      <c r="U40" s="153">
        <v>20</v>
      </c>
      <c r="V40" s="153" t="s">
        <v>183</v>
      </c>
      <c r="W40" s="153">
        <v>2</v>
      </c>
      <c r="X40" s="154" t="s">
        <v>1152</v>
      </c>
      <c r="Y40" s="123"/>
      <c r="Z40" s="152">
        <v>20</v>
      </c>
      <c r="AA40" s="144" t="s">
        <v>189</v>
      </c>
      <c r="AB40" s="144">
        <v>17</v>
      </c>
      <c r="AC40" s="144" t="s">
        <v>186</v>
      </c>
      <c r="AD40" s="144" t="s">
        <v>931</v>
      </c>
      <c r="AE40" s="161" t="s">
        <v>930</v>
      </c>
      <c r="AF40" s="123"/>
    </row>
    <row r="41" spans="1:32" ht="15">
      <c r="A41" s="123"/>
      <c r="B41" s="156">
        <v>21</v>
      </c>
      <c r="C41" s="157" t="s">
        <v>598</v>
      </c>
      <c r="D41" s="157" t="s">
        <v>893</v>
      </c>
      <c r="E41" s="157">
        <v>21</v>
      </c>
      <c r="F41" s="157" t="s">
        <v>181</v>
      </c>
      <c r="G41" s="158" t="s">
        <v>182</v>
      </c>
      <c r="H41" s="159">
        <v>21</v>
      </c>
      <c r="I41" s="159">
        <v>4</v>
      </c>
      <c r="J41" s="160" t="s">
        <v>689</v>
      </c>
      <c r="K41" s="160">
        <v>2</v>
      </c>
      <c r="L41" s="160" t="s">
        <v>183</v>
      </c>
      <c r="M41" s="160">
        <v>2</v>
      </c>
      <c r="N41" s="247" t="s">
        <v>894</v>
      </c>
      <c r="O41" s="248">
        <v>1</v>
      </c>
      <c r="P41" s="123"/>
      <c r="Q41" s="152">
        <v>21</v>
      </c>
      <c r="R41" s="144" t="s">
        <v>833</v>
      </c>
      <c r="S41" s="144" t="s">
        <v>181</v>
      </c>
      <c r="T41" s="144" t="s">
        <v>182</v>
      </c>
      <c r="U41" s="153">
        <v>21</v>
      </c>
      <c r="V41" s="153" t="s">
        <v>183</v>
      </c>
      <c r="W41" s="153">
        <v>2</v>
      </c>
      <c r="X41" s="154" t="s">
        <v>1153</v>
      </c>
      <c r="Y41" s="123"/>
      <c r="Z41" s="152">
        <v>21</v>
      </c>
      <c r="AA41" s="144" t="s">
        <v>181</v>
      </c>
      <c r="AB41" s="144">
        <v>17</v>
      </c>
      <c r="AC41" s="144" t="s">
        <v>186</v>
      </c>
      <c r="AD41" s="144" t="s">
        <v>932</v>
      </c>
      <c r="AE41" s="161" t="s">
        <v>930</v>
      </c>
      <c r="AF41" s="123"/>
    </row>
    <row r="42" spans="1:32" ht="15">
      <c r="A42" s="123"/>
      <c r="B42" s="156">
        <v>22</v>
      </c>
      <c r="C42" s="157" t="s">
        <v>545</v>
      </c>
      <c r="D42" s="157" t="s">
        <v>893</v>
      </c>
      <c r="E42" s="157">
        <v>22</v>
      </c>
      <c r="F42" s="157" t="s">
        <v>181</v>
      </c>
      <c r="G42" s="158" t="s">
        <v>182</v>
      </c>
      <c r="H42" s="159">
        <v>22</v>
      </c>
      <c r="I42" s="159">
        <v>0</v>
      </c>
      <c r="J42" s="160" t="s">
        <v>689</v>
      </c>
      <c r="K42" s="160">
        <v>2</v>
      </c>
      <c r="L42" s="160" t="s">
        <v>183</v>
      </c>
      <c r="M42" s="160">
        <v>5</v>
      </c>
      <c r="N42" s="247" t="s">
        <v>894</v>
      </c>
      <c r="O42" s="248">
        <v>1</v>
      </c>
      <c r="P42" s="123"/>
      <c r="Q42" s="152">
        <v>22</v>
      </c>
      <c r="R42" s="144" t="s">
        <v>783</v>
      </c>
      <c r="S42" s="144" t="s">
        <v>184</v>
      </c>
      <c r="T42" s="144" t="s">
        <v>185</v>
      </c>
      <c r="U42" s="153">
        <v>22</v>
      </c>
      <c r="V42" s="153" t="s">
        <v>183</v>
      </c>
      <c r="W42" s="153">
        <v>3</v>
      </c>
      <c r="X42" s="154" t="s">
        <v>1154</v>
      </c>
      <c r="Y42" s="123"/>
      <c r="Z42" s="152">
        <v>22</v>
      </c>
      <c r="AA42" s="144" t="s">
        <v>187</v>
      </c>
      <c r="AB42" s="144">
        <v>18</v>
      </c>
      <c r="AC42" s="144" t="s">
        <v>186</v>
      </c>
      <c r="AD42" s="144" t="s">
        <v>933</v>
      </c>
      <c r="AE42" s="161" t="s">
        <v>934</v>
      </c>
      <c r="AF42" s="123"/>
    </row>
    <row r="43" spans="1:32" ht="15">
      <c r="A43" s="123"/>
      <c r="B43" s="156">
        <v>23</v>
      </c>
      <c r="C43" s="157" t="s">
        <v>602</v>
      </c>
      <c r="D43" s="157" t="s">
        <v>893</v>
      </c>
      <c r="E43" s="157">
        <v>23</v>
      </c>
      <c r="F43" s="157" t="s">
        <v>181</v>
      </c>
      <c r="G43" s="158" t="s">
        <v>182</v>
      </c>
      <c r="H43" s="159">
        <v>23</v>
      </c>
      <c r="I43" s="159">
        <v>4</v>
      </c>
      <c r="J43" s="160" t="s">
        <v>689</v>
      </c>
      <c r="K43" s="160">
        <v>2</v>
      </c>
      <c r="L43" s="160" t="s">
        <v>183</v>
      </c>
      <c r="M43" s="160">
        <v>2</v>
      </c>
      <c r="N43" s="247" t="s">
        <v>894</v>
      </c>
      <c r="O43" s="248">
        <v>1</v>
      </c>
      <c r="P43" s="123"/>
      <c r="Q43" s="152">
        <v>23</v>
      </c>
      <c r="R43" s="144" t="s">
        <v>783</v>
      </c>
      <c r="S43" s="144" t="s">
        <v>181</v>
      </c>
      <c r="T43" s="144" t="s">
        <v>182</v>
      </c>
      <c r="U43" s="153">
        <v>23</v>
      </c>
      <c r="V43" s="153" t="s">
        <v>183</v>
      </c>
      <c r="W43" s="153">
        <v>4</v>
      </c>
      <c r="X43" s="154" t="s">
        <v>1155</v>
      </c>
      <c r="Y43" s="123"/>
      <c r="Z43" s="152">
        <v>23</v>
      </c>
      <c r="AA43" s="144" t="s">
        <v>189</v>
      </c>
      <c r="AB43" s="144">
        <v>18</v>
      </c>
      <c r="AC43" s="144" t="s">
        <v>186</v>
      </c>
      <c r="AD43" s="144" t="s">
        <v>935</v>
      </c>
      <c r="AE43" s="161" t="s">
        <v>934</v>
      </c>
      <c r="AF43" s="123"/>
    </row>
    <row r="44" spans="1:32" ht="15">
      <c r="A44" s="123"/>
      <c r="B44" s="156">
        <v>24</v>
      </c>
      <c r="C44" s="157" t="s">
        <v>605</v>
      </c>
      <c r="D44" s="157" t="s">
        <v>893</v>
      </c>
      <c r="E44" s="157">
        <v>24</v>
      </c>
      <c r="F44" s="157" t="s">
        <v>181</v>
      </c>
      <c r="G44" s="158" t="s">
        <v>182</v>
      </c>
      <c r="H44" s="159">
        <v>24</v>
      </c>
      <c r="I44" s="159">
        <v>4</v>
      </c>
      <c r="J44" s="160" t="s">
        <v>689</v>
      </c>
      <c r="K44" s="160">
        <v>2</v>
      </c>
      <c r="L44" s="160" t="s">
        <v>183</v>
      </c>
      <c r="M44" s="160">
        <v>2</v>
      </c>
      <c r="N44" s="247" t="s">
        <v>894</v>
      </c>
      <c r="O44" s="248">
        <v>1</v>
      </c>
      <c r="P44" s="123"/>
      <c r="Q44" s="152">
        <v>24</v>
      </c>
      <c r="R44" s="144" t="s">
        <v>783</v>
      </c>
      <c r="S44" s="144" t="s">
        <v>181</v>
      </c>
      <c r="T44" s="144" t="s">
        <v>182</v>
      </c>
      <c r="U44" s="153">
        <v>24</v>
      </c>
      <c r="V44" s="153" t="s">
        <v>183</v>
      </c>
      <c r="W44" s="153">
        <v>2</v>
      </c>
      <c r="X44" s="154" t="s">
        <v>1156</v>
      </c>
      <c r="Y44" s="123"/>
      <c r="Z44" s="152">
        <v>24</v>
      </c>
      <c r="AA44" s="144" t="s">
        <v>187</v>
      </c>
      <c r="AB44" s="144">
        <v>19</v>
      </c>
      <c r="AC44" s="144" t="s">
        <v>186</v>
      </c>
      <c r="AD44" s="144" t="s">
        <v>936</v>
      </c>
      <c r="AE44" s="161" t="s">
        <v>937</v>
      </c>
      <c r="AF44" s="123"/>
    </row>
    <row r="45" spans="1:32" ht="15">
      <c r="A45" s="123"/>
      <c r="B45" s="156">
        <v>25</v>
      </c>
      <c r="C45" s="157" t="s">
        <v>607</v>
      </c>
      <c r="D45" s="157" t="s">
        <v>893</v>
      </c>
      <c r="E45" s="157">
        <v>25</v>
      </c>
      <c r="F45" s="157" t="s">
        <v>181</v>
      </c>
      <c r="G45" s="158" t="s">
        <v>182</v>
      </c>
      <c r="H45" s="159">
        <v>25</v>
      </c>
      <c r="I45" s="159">
        <v>4</v>
      </c>
      <c r="J45" s="160" t="s">
        <v>689</v>
      </c>
      <c r="K45" s="160">
        <v>2</v>
      </c>
      <c r="L45" s="160" t="s">
        <v>183</v>
      </c>
      <c r="M45" s="160">
        <v>2</v>
      </c>
      <c r="N45" s="247" t="s">
        <v>894</v>
      </c>
      <c r="O45" s="248">
        <v>1</v>
      </c>
      <c r="P45" s="123"/>
      <c r="Q45" s="152">
        <v>25</v>
      </c>
      <c r="R45" s="249" t="s">
        <v>1103</v>
      </c>
      <c r="S45" s="249" t="s">
        <v>181</v>
      </c>
      <c r="T45" s="249" t="s">
        <v>182</v>
      </c>
      <c r="U45" s="153">
        <v>25</v>
      </c>
      <c r="V45" s="153" t="s">
        <v>183</v>
      </c>
      <c r="W45" s="153">
        <v>2</v>
      </c>
      <c r="X45" s="154" t="s">
        <v>1157</v>
      </c>
      <c r="Y45" s="123"/>
      <c r="Z45" s="152">
        <v>25</v>
      </c>
      <c r="AA45" s="144" t="s">
        <v>181</v>
      </c>
      <c r="AB45" s="144">
        <v>20</v>
      </c>
      <c r="AC45" s="144" t="s">
        <v>186</v>
      </c>
      <c r="AD45" s="144" t="s">
        <v>938</v>
      </c>
      <c r="AE45" s="161" t="s">
        <v>939</v>
      </c>
      <c r="AF45" s="123"/>
    </row>
    <row r="46" spans="1:32" ht="15">
      <c r="A46" s="123"/>
      <c r="B46" s="156">
        <v>26</v>
      </c>
      <c r="C46" s="157" t="s">
        <v>542</v>
      </c>
      <c r="D46" s="157" t="s">
        <v>893</v>
      </c>
      <c r="E46" s="157">
        <v>26</v>
      </c>
      <c r="F46" s="157" t="s">
        <v>181</v>
      </c>
      <c r="G46" s="158" t="s">
        <v>182</v>
      </c>
      <c r="H46" s="159">
        <v>26</v>
      </c>
      <c r="I46" s="159">
        <v>0</v>
      </c>
      <c r="J46" s="160" t="s">
        <v>701</v>
      </c>
      <c r="K46" s="160">
        <v>3</v>
      </c>
      <c r="L46" s="160" t="s">
        <v>183</v>
      </c>
      <c r="M46" s="160">
        <v>6</v>
      </c>
      <c r="N46" s="247" t="s">
        <v>894</v>
      </c>
      <c r="O46" s="248">
        <v>1</v>
      </c>
      <c r="P46" s="123"/>
      <c r="Q46" s="152">
        <v>26</v>
      </c>
      <c r="R46" s="249" t="s">
        <v>1112</v>
      </c>
      <c r="S46" s="249" t="s">
        <v>181</v>
      </c>
      <c r="T46" s="249" t="s">
        <v>182</v>
      </c>
      <c r="U46" s="153">
        <v>26</v>
      </c>
      <c r="V46" s="153" t="s">
        <v>183</v>
      </c>
      <c r="W46" s="153">
        <v>4</v>
      </c>
      <c r="X46" s="154" t="s">
        <v>1158</v>
      </c>
      <c r="Y46" s="123"/>
      <c r="Z46" s="152">
        <v>26</v>
      </c>
      <c r="AA46" s="144" t="s">
        <v>184</v>
      </c>
      <c r="AB46" s="144">
        <v>21</v>
      </c>
      <c r="AC46" s="144" t="s">
        <v>186</v>
      </c>
      <c r="AD46" s="144" t="s">
        <v>940</v>
      </c>
      <c r="AE46" s="161" t="s">
        <v>941</v>
      </c>
      <c r="AF46" s="123"/>
    </row>
    <row r="47" spans="1:32" ht="15">
      <c r="A47" s="123"/>
      <c r="B47" s="156">
        <v>27</v>
      </c>
      <c r="C47" s="157" t="s">
        <v>597</v>
      </c>
      <c r="D47" s="157" t="s">
        <v>893</v>
      </c>
      <c r="E47" s="157">
        <v>27</v>
      </c>
      <c r="F47" s="157" t="s">
        <v>181</v>
      </c>
      <c r="G47" s="158" t="s">
        <v>182</v>
      </c>
      <c r="H47" s="159">
        <v>27</v>
      </c>
      <c r="I47" s="159">
        <v>4</v>
      </c>
      <c r="J47" s="160" t="s">
        <v>701</v>
      </c>
      <c r="K47" s="160">
        <v>3</v>
      </c>
      <c r="L47" s="160" t="s">
        <v>183</v>
      </c>
      <c r="M47" s="160">
        <v>3</v>
      </c>
      <c r="N47" s="247" t="s">
        <v>894</v>
      </c>
      <c r="O47" s="248">
        <v>1</v>
      </c>
      <c r="P47" s="123"/>
      <c r="Q47" s="152">
        <v>27</v>
      </c>
      <c r="R47" s="249" t="s">
        <v>1112</v>
      </c>
      <c r="S47" s="249" t="s">
        <v>184</v>
      </c>
      <c r="T47" s="249" t="s">
        <v>185</v>
      </c>
      <c r="U47" s="153">
        <v>26</v>
      </c>
      <c r="V47" s="153" t="s">
        <v>183</v>
      </c>
      <c r="W47" s="153">
        <v>3</v>
      </c>
      <c r="X47" s="154" t="s">
        <v>1159</v>
      </c>
      <c r="Y47" s="123"/>
      <c r="Z47" s="152">
        <v>27</v>
      </c>
      <c r="AA47" s="144" t="s">
        <v>184</v>
      </c>
      <c r="AB47" s="144">
        <v>22</v>
      </c>
      <c r="AC47" s="144" t="s">
        <v>186</v>
      </c>
      <c r="AD47" s="144" t="s">
        <v>942</v>
      </c>
      <c r="AE47" s="161" t="s">
        <v>943</v>
      </c>
      <c r="AF47" s="123"/>
    </row>
    <row r="48" spans="1:32" ht="15">
      <c r="A48" s="123"/>
      <c r="B48" s="156">
        <v>28</v>
      </c>
      <c r="C48" s="157" t="s">
        <v>549</v>
      </c>
      <c r="D48" s="157" t="s">
        <v>893</v>
      </c>
      <c r="E48" s="157">
        <v>28</v>
      </c>
      <c r="F48" s="157" t="s">
        <v>181</v>
      </c>
      <c r="G48" s="158" t="s">
        <v>182</v>
      </c>
      <c r="H48" s="159">
        <v>28</v>
      </c>
      <c r="I48" s="159">
        <v>0</v>
      </c>
      <c r="J48" s="160" t="s">
        <v>701</v>
      </c>
      <c r="K48" s="160">
        <v>3</v>
      </c>
      <c r="L48" s="160" t="s">
        <v>183</v>
      </c>
      <c r="M48" s="160">
        <v>5</v>
      </c>
      <c r="N48" s="247" t="s">
        <v>894</v>
      </c>
      <c r="O48" s="248">
        <v>1</v>
      </c>
      <c r="P48" s="123"/>
      <c r="Q48" s="152">
        <v>28</v>
      </c>
      <c r="R48" s="144" t="s">
        <v>764</v>
      </c>
      <c r="S48" s="144" t="s">
        <v>181</v>
      </c>
      <c r="T48" s="144" t="s">
        <v>182</v>
      </c>
      <c r="U48" s="153">
        <v>27</v>
      </c>
      <c r="V48" s="153" t="s">
        <v>183</v>
      </c>
      <c r="W48" s="153">
        <v>2</v>
      </c>
      <c r="X48" s="154" t="s">
        <v>1160</v>
      </c>
      <c r="Y48" s="123"/>
      <c r="Z48" s="152">
        <v>28</v>
      </c>
      <c r="AA48" s="144" t="s">
        <v>181</v>
      </c>
      <c r="AB48" s="144">
        <v>22</v>
      </c>
      <c r="AC48" s="144" t="s">
        <v>186</v>
      </c>
      <c r="AD48" s="144" t="s">
        <v>944</v>
      </c>
      <c r="AE48" s="161" t="s">
        <v>943</v>
      </c>
      <c r="AF48" s="123"/>
    </row>
    <row r="49" spans="1:32" ht="15">
      <c r="A49" s="123"/>
      <c r="B49" s="156">
        <v>29</v>
      </c>
      <c r="C49" s="157" t="s">
        <v>601</v>
      </c>
      <c r="D49" s="157" t="s">
        <v>893</v>
      </c>
      <c r="E49" s="157">
        <v>29</v>
      </c>
      <c r="F49" s="157" t="s">
        <v>181</v>
      </c>
      <c r="G49" s="158" t="s">
        <v>182</v>
      </c>
      <c r="H49" s="159">
        <v>29</v>
      </c>
      <c r="I49" s="159">
        <v>4</v>
      </c>
      <c r="J49" s="160" t="s">
        <v>701</v>
      </c>
      <c r="K49" s="160">
        <v>3</v>
      </c>
      <c r="L49" s="160" t="s">
        <v>183</v>
      </c>
      <c r="M49" s="160">
        <v>2</v>
      </c>
      <c r="N49" s="247" t="s">
        <v>894</v>
      </c>
      <c r="O49" s="248">
        <v>1</v>
      </c>
      <c r="P49" s="123"/>
      <c r="Q49" s="152">
        <v>29</v>
      </c>
      <c r="R49" s="144" t="s">
        <v>858</v>
      </c>
      <c r="S49" s="144" t="s">
        <v>184</v>
      </c>
      <c r="T49" s="144" t="s">
        <v>185</v>
      </c>
      <c r="U49" s="153">
        <v>28</v>
      </c>
      <c r="V49" s="153" t="s">
        <v>183</v>
      </c>
      <c r="W49" s="153">
        <v>3</v>
      </c>
      <c r="X49" s="154" t="s">
        <v>1161</v>
      </c>
      <c r="Y49" s="123"/>
      <c r="Z49" s="152">
        <v>29</v>
      </c>
      <c r="AA49" s="144" t="s">
        <v>181</v>
      </c>
      <c r="AB49" s="144">
        <v>23</v>
      </c>
      <c r="AC49" s="144" t="s">
        <v>186</v>
      </c>
      <c r="AD49" s="144" t="s">
        <v>945</v>
      </c>
      <c r="AE49" s="161" t="s">
        <v>946</v>
      </c>
      <c r="AF49" s="123"/>
    </row>
    <row r="50" spans="1:32" ht="15">
      <c r="A50" s="123"/>
      <c r="B50" s="156">
        <v>30</v>
      </c>
      <c r="C50" s="157" t="s">
        <v>550</v>
      </c>
      <c r="D50" s="157" t="s">
        <v>893</v>
      </c>
      <c r="E50" s="157">
        <v>30</v>
      </c>
      <c r="F50" s="157" t="s">
        <v>181</v>
      </c>
      <c r="G50" s="158" t="s">
        <v>182</v>
      </c>
      <c r="H50" s="159">
        <v>30</v>
      </c>
      <c r="I50" s="159">
        <v>0</v>
      </c>
      <c r="J50" s="160" t="s">
        <v>701</v>
      </c>
      <c r="K50" s="160">
        <v>3</v>
      </c>
      <c r="L50" s="160" t="s">
        <v>183</v>
      </c>
      <c r="M50" s="160">
        <v>5</v>
      </c>
      <c r="N50" s="247" t="s">
        <v>894</v>
      </c>
      <c r="O50" s="248">
        <v>1</v>
      </c>
      <c r="P50" s="123"/>
      <c r="Q50" s="152">
        <v>30</v>
      </c>
      <c r="R50" s="144" t="s">
        <v>817</v>
      </c>
      <c r="S50" s="144" t="s">
        <v>181</v>
      </c>
      <c r="T50" s="144" t="s">
        <v>182</v>
      </c>
      <c r="U50" s="153">
        <v>29</v>
      </c>
      <c r="V50" s="153" t="s">
        <v>183</v>
      </c>
      <c r="W50" s="153">
        <v>2</v>
      </c>
      <c r="X50" s="154" t="s">
        <v>1162</v>
      </c>
      <c r="Y50" s="123"/>
      <c r="Z50" s="152">
        <v>30</v>
      </c>
      <c r="AA50" s="144" t="s">
        <v>184</v>
      </c>
      <c r="AB50" s="144">
        <v>24</v>
      </c>
      <c r="AC50" s="144" t="s">
        <v>186</v>
      </c>
      <c r="AD50" s="144" t="s">
        <v>947</v>
      </c>
      <c r="AE50" s="161" t="s">
        <v>948</v>
      </c>
      <c r="AF50" s="123"/>
    </row>
    <row r="51" spans="1:32" ht="15">
      <c r="A51" s="123"/>
      <c r="B51" s="156">
        <v>31</v>
      </c>
      <c r="C51" s="157" t="s">
        <v>551</v>
      </c>
      <c r="D51" s="157" t="s">
        <v>893</v>
      </c>
      <c r="E51" s="157">
        <v>31</v>
      </c>
      <c r="F51" s="157" t="s">
        <v>181</v>
      </c>
      <c r="G51" s="158" t="s">
        <v>182</v>
      </c>
      <c r="H51" s="159">
        <v>31</v>
      </c>
      <c r="I51" s="159">
        <v>0</v>
      </c>
      <c r="J51" s="160" t="s">
        <v>701</v>
      </c>
      <c r="K51" s="160">
        <v>3</v>
      </c>
      <c r="L51" s="160" t="s">
        <v>183</v>
      </c>
      <c r="M51" s="160">
        <v>6</v>
      </c>
      <c r="N51" s="247" t="s">
        <v>894</v>
      </c>
      <c r="O51" s="248">
        <v>1</v>
      </c>
      <c r="P51" s="123"/>
      <c r="Q51" s="152">
        <v>31</v>
      </c>
      <c r="R51" s="144" t="s">
        <v>668</v>
      </c>
      <c r="S51" s="144" t="s">
        <v>184</v>
      </c>
      <c r="T51" s="144" t="s">
        <v>185</v>
      </c>
      <c r="U51" s="153">
        <v>30</v>
      </c>
      <c r="V51" s="153" t="s">
        <v>183</v>
      </c>
      <c r="W51" s="153">
        <v>3</v>
      </c>
      <c r="X51" s="154" t="s">
        <v>1163</v>
      </c>
      <c r="Y51" s="123"/>
      <c r="Z51" s="152">
        <v>31</v>
      </c>
      <c r="AA51" s="144" t="s">
        <v>181</v>
      </c>
      <c r="AB51" s="144">
        <v>25</v>
      </c>
      <c r="AC51" s="144" t="s">
        <v>186</v>
      </c>
      <c r="AD51" s="144" t="s">
        <v>949</v>
      </c>
      <c r="AE51" s="161" t="s">
        <v>950</v>
      </c>
      <c r="AF51" s="123"/>
    </row>
    <row r="52" spans="1:32" ht="15">
      <c r="A52" s="123"/>
      <c r="B52" s="156">
        <v>32</v>
      </c>
      <c r="C52" s="157" t="s">
        <v>603</v>
      </c>
      <c r="D52" s="157" t="s">
        <v>893</v>
      </c>
      <c r="E52" s="157">
        <v>32</v>
      </c>
      <c r="F52" s="157" t="s">
        <v>181</v>
      </c>
      <c r="G52" s="158" t="s">
        <v>182</v>
      </c>
      <c r="H52" s="159">
        <v>32</v>
      </c>
      <c r="I52" s="159">
        <v>4</v>
      </c>
      <c r="J52" s="160" t="s">
        <v>701</v>
      </c>
      <c r="K52" s="160">
        <v>3</v>
      </c>
      <c r="L52" s="160" t="s">
        <v>183</v>
      </c>
      <c r="M52" s="160">
        <v>3</v>
      </c>
      <c r="N52" s="247" t="s">
        <v>894</v>
      </c>
      <c r="O52" s="248">
        <v>1</v>
      </c>
      <c r="P52" s="123"/>
      <c r="Q52" s="152">
        <v>32</v>
      </c>
      <c r="R52" s="144" t="s">
        <v>668</v>
      </c>
      <c r="S52" s="144" t="s">
        <v>181</v>
      </c>
      <c r="T52" s="144" t="s">
        <v>182</v>
      </c>
      <c r="U52" s="153">
        <v>31</v>
      </c>
      <c r="V52" s="153" t="s">
        <v>183</v>
      </c>
      <c r="W52" s="153">
        <v>4</v>
      </c>
      <c r="X52" s="154" t="s">
        <v>1164</v>
      </c>
      <c r="Y52" s="123"/>
      <c r="Z52" s="152">
        <v>32</v>
      </c>
      <c r="AA52" s="144" t="s">
        <v>184</v>
      </c>
      <c r="AB52" s="144">
        <v>25</v>
      </c>
      <c r="AC52" s="144" t="s">
        <v>186</v>
      </c>
      <c r="AD52" s="144" t="s">
        <v>951</v>
      </c>
      <c r="AE52" s="161" t="s">
        <v>950</v>
      </c>
      <c r="AF52" s="123"/>
    </row>
    <row r="53" spans="1:32" ht="15">
      <c r="A53" s="123"/>
      <c r="B53" s="156">
        <v>33</v>
      </c>
      <c r="C53" s="157" t="s">
        <v>608</v>
      </c>
      <c r="D53" s="157" t="s">
        <v>893</v>
      </c>
      <c r="E53" s="157">
        <v>33</v>
      </c>
      <c r="F53" s="157" t="s">
        <v>181</v>
      </c>
      <c r="G53" s="158" t="s">
        <v>182</v>
      </c>
      <c r="H53" s="159">
        <v>33</v>
      </c>
      <c r="I53" s="159">
        <v>4</v>
      </c>
      <c r="J53" s="160" t="s">
        <v>730</v>
      </c>
      <c r="K53" s="160">
        <v>4</v>
      </c>
      <c r="L53" s="160" t="s">
        <v>183</v>
      </c>
      <c r="M53" s="160">
        <v>2</v>
      </c>
      <c r="N53" s="247" t="s">
        <v>894</v>
      </c>
      <c r="O53" s="248">
        <v>1</v>
      </c>
      <c r="P53" s="123"/>
      <c r="Q53" s="152">
        <v>33</v>
      </c>
      <c r="R53" s="144" t="s">
        <v>746</v>
      </c>
      <c r="S53" s="144" t="s">
        <v>181</v>
      </c>
      <c r="T53" s="144" t="s">
        <v>182</v>
      </c>
      <c r="U53" s="153">
        <v>32</v>
      </c>
      <c r="V53" s="153" t="s">
        <v>183</v>
      </c>
      <c r="W53" s="153">
        <v>2</v>
      </c>
      <c r="X53" s="154" t="s">
        <v>1165</v>
      </c>
      <c r="Y53" s="123"/>
      <c r="Z53" s="152">
        <v>33</v>
      </c>
      <c r="AA53" s="144" t="s">
        <v>187</v>
      </c>
      <c r="AB53" s="144">
        <v>26</v>
      </c>
      <c r="AC53" s="144" t="s">
        <v>186</v>
      </c>
      <c r="AD53" s="144" t="s">
        <v>952</v>
      </c>
      <c r="AE53" s="161" t="s">
        <v>953</v>
      </c>
      <c r="AF53" s="123"/>
    </row>
    <row r="54" spans="1:32" ht="15">
      <c r="A54" s="123"/>
      <c r="B54" s="156">
        <v>34</v>
      </c>
      <c r="C54" s="157" t="s">
        <v>552</v>
      </c>
      <c r="D54" s="157" t="s">
        <v>893</v>
      </c>
      <c r="E54" s="157">
        <v>34</v>
      </c>
      <c r="F54" s="157" t="s">
        <v>181</v>
      </c>
      <c r="G54" s="158" t="s">
        <v>182</v>
      </c>
      <c r="H54" s="159">
        <v>34</v>
      </c>
      <c r="I54" s="159">
        <v>0</v>
      </c>
      <c r="J54" s="160" t="s">
        <v>730</v>
      </c>
      <c r="K54" s="160">
        <v>4</v>
      </c>
      <c r="L54" s="160" t="s">
        <v>183</v>
      </c>
      <c r="M54" s="160">
        <v>5</v>
      </c>
      <c r="N54" s="247" t="s">
        <v>894</v>
      </c>
      <c r="O54" s="248">
        <v>1</v>
      </c>
      <c r="P54" s="123"/>
      <c r="Q54" s="152">
        <v>34</v>
      </c>
      <c r="R54" s="144" t="s">
        <v>742</v>
      </c>
      <c r="S54" s="144" t="s">
        <v>181</v>
      </c>
      <c r="T54" s="144" t="s">
        <v>182</v>
      </c>
      <c r="U54" s="153">
        <v>33</v>
      </c>
      <c r="V54" s="153" t="s">
        <v>183</v>
      </c>
      <c r="W54" s="153">
        <v>4</v>
      </c>
      <c r="X54" s="154" t="s">
        <v>1166</v>
      </c>
      <c r="Y54" s="123"/>
      <c r="Z54" s="152">
        <v>34</v>
      </c>
      <c r="AA54" s="144" t="s">
        <v>181</v>
      </c>
      <c r="AB54" s="144">
        <v>27</v>
      </c>
      <c r="AC54" s="144" t="s">
        <v>186</v>
      </c>
      <c r="AD54" s="144" t="s">
        <v>954</v>
      </c>
      <c r="AE54" s="161" t="s">
        <v>955</v>
      </c>
      <c r="AF54" s="123"/>
    </row>
    <row r="55" spans="1:32" ht="15">
      <c r="A55" s="123"/>
      <c r="B55" s="156">
        <v>35</v>
      </c>
      <c r="C55" s="157" t="s">
        <v>609</v>
      </c>
      <c r="D55" s="157" t="s">
        <v>893</v>
      </c>
      <c r="E55" s="157">
        <v>35</v>
      </c>
      <c r="F55" s="157" t="s">
        <v>181</v>
      </c>
      <c r="G55" s="158" t="s">
        <v>182</v>
      </c>
      <c r="H55" s="159">
        <v>35</v>
      </c>
      <c r="I55" s="159">
        <v>0</v>
      </c>
      <c r="J55" s="160" t="s">
        <v>730</v>
      </c>
      <c r="K55" s="160">
        <v>4</v>
      </c>
      <c r="L55" s="160" t="s">
        <v>183</v>
      </c>
      <c r="M55" s="160">
        <v>3</v>
      </c>
      <c r="N55" s="247" t="s">
        <v>894</v>
      </c>
      <c r="O55" s="248">
        <v>1</v>
      </c>
      <c r="P55" s="123"/>
      <c r="Q55" s="152">
        <v>35</v>
      </c>
      <c r="R55" s="144" t="s">
        <v>1119</v>
      </c>
      <c r="S55" s="144" t="s">
        <v>181</v>
      </c>
      <c r="T55" s="144" t="s">
        <v>182</v>
      </c>
      <c r="U55" s="153">
        <v>34</v>
      </c>
      <c r="V55" s="153" t="s">
        <v>183</v>
      </c>
      <c r="W55" s="153">
        <v>2</v>
      </c>
      <c r="X55" s="154" t="s">
        <v>1167</v>
      </c>
      <c r="Y55" s="123"/>
      <c r="Z55" s="162">
        <v>35</v>
      </c>
      <c r="AA55" s="135" t="s">
        <v>181</v>
      </c>
      <c r="AB55" s="135">
        <v>28</v>
      </c>
      <c r="AC55" s="135" t="s">
        <v>186</v>
      </c>
      <c r="AD55" s="135" t="s">
        <v>956</v>
      </c>
      <c r="AE55" s="137" t="s">
        <v>957</v>
      </c>
      <c r="AF55" s="123"/>
    </row>
    <row r="56" spans="1:32" ht="15">
      <c r="A56" s="123"/>
      <c r="B56" s="156">
        <v>36</v>
      </c>
      <c r="C56" s="157" t="s">
        <v>610</v>
      </c>
      <c r="D56" s="157" t="s">
        <v>893</v>
      </c>
      <c r="E56" s="157">
        <v>36</v>
      </c>
      <c r="F56" s="157" t="s">
        <v>181</v>
      </c>
      <c r="G56" s="158" t="s">
        <v>182</v>
      </c>
      <c r="H56" s="159">
        <v>36</v>
      </c>
      <c r="I56" s="159">
        <v>0</v>
      </c>
      <c r="J56" s="160" t="s">
        <v>730</v>
      </c>
      <c r="K56" s="160">
        <v>4</v>
      </c>
      <c r="L56" s="160" t="s">
        <v>183</v>
      </c>
      <c r="M56" s="160">
        <v>4</v>
      </c>
      <c r="N56" s="247" t="s">
        <v>894</v>
      </c>
      <c r="O56" s="248">
        <v>1</v>
      </c>
      <c r="P56" s="123"/>
      <c r="Q56" s="152">
        <v>36</v>
      </c>
      <c r="R56" s="144" t="s">
        <v>1131</v>
      </c>
      <c r="S56" s="144" t="s">
        <v>184</v>
      </c>
      <c r="T56" s="144" t="s">
        <v>185</v>
      </c>
      <c r="U56" s="153">
        <v>35</v>
      </c>
      <c r="V56" s="153" t="s">
        <v>183</v>
      </c>
      <c r="W56" s="153">
        <v>3</v>
      </c>
      <c r="X56" s="154" t="s">
        <v>1168</v>
      </c>
      <c r="Y56" s="123"/>
      <c r="Z56" s="131"/>
      <c r="AA56" s="144"/>
      <c r="AB56" s="144"/>
      <c r="AC56" s="144"/>
      <c r="AD56" s="144"/>
      <c r="AE56" s="144"/>
      <c r="AF56" s="123"/>
    </row>
    <row r="57" spans="1:32" ht="15">
      <c r="A57" s="123"/>
      <c r="B57" s="156">
        <v>37</v>
      </c>
      <c r="C57" s="157" t="s">
        <v>611</v>
      </c>
      <c r="D57" s="157" t="s">
        <v>893</v>
      </c>
      <c r="E57" s="157">
        <v>37</v>
      </c>
      <c r="F57" s="157" t="s">
        <v>181</v>
      </c>
      <c r="G57" s="158" t="s">
        <v>182</v>
      </c>
      <c r="H57" s="159">
        <v>37</v>
      </c>
      <c r="I57" s="159">
        <v>4</v>
      </c>
      <c r="J57" s="160" t="s">
        <v>730</v>
      </c>
      <c r="K57" s="160">
        <v>4</v>
      </c>
      <c r="L57" s="160" t="s">
        <v>183</v>
      </c>
      <c r="M57" s="160">
        <v>4</v>
      </c>
      <c r="N57" s="247" t="s">
        <v>894</v>
      </c>
      <c r="O57" s="248">
        <v>1</v>
      </c>
      <c r="P57" s="123"/>
      <c r="Q57" s="152">
        <v>37</v>
      </c>
      <c r="R57" s="144" t="s">
        <v>658</v>
      </c>
      <c r="S57" s="144" t="s">
        <v>184</v>
      </c>
      <c r="T57" s="144" t="s">
        <v>185</v>
      </c>
      <c r="U57" s="153">
        <v>36</v>
      </c>
      <c r="V57" s="153" t="s">
        <v>186</v>
      </c>
      <c r="W57" s="153">
        <v>6</v>
      </c>
      <c r="X57" s="154" t="s">
        <v>1169</v>
      </c>
      <c r="Y57" s="123"/>
      <c r="Z57" s="144"/>
      <c r="AA57" s="144"/>
      <c r="AB57" s="144"/>
      <c r="AC57" s="144"/>
      <c r="AD57" s="144"/>
      <c r="AE57" s="144"/>
      <c r="AF57" s="123"/>
    </row>
    <row r="58" spans="1:32" ht="15">
      <c r="A58" s="123"/>
      <c r="B58" s="156">
        <v>38</v>
      </c>
      <c r="C58" s="157" t="s">
        <v>612</v>
      </c>
      <c r="D58" s="157" t="s">
        <v>893</v>
      </c>
      <c r="E58" s="157">
        <v>38</v>
      </c>
      <c r="F58" s="157" t="s">
        <v>181</v>
      </c>
      <c r="G58" s="158" t="s">
        <v>182</v>
      </c>
      <c r="H58" s="159">
        <v>38</v>
      </c>
      <c r="I58" s="159">
        <v>4</v>
      </c>
      <c r="J58" s="160" t="s">
        <v>730</v>
      </c>
      <c r="K58" s="160">
        <v>4</v>
      </c>
      <c r="L58" s="160" t="s">
        <v>183</v>
      </c>
      <c r="M58" s="160">
        <v>4</v>
      </c>
      <c r="N58" s="247" t="s">
        <v>894</v>
      </c>
      <c r="O58" s="248">
        <v>1</v>
      </c>
      <c r="P58" s="123"/>
      <c r="Q58" s="152">
        <v>38</v>
      </c>
      <c r="R58" s="144" t="s">
        <v>658</v>
      </c>
      <c r="S58" s="144" t="s">
        <v>181</v>
      </c>
      <c r="T58" s="144" t="s">
        <v>182</v>
      </c>
      <c r="U58" s="153">
        <v>37</v>
      </c>
      <c r="V58" s="153" t="s">
        <v>186</v>
      </c>
      <c r="W58" s="153">
        <v>5</v>
      </c>
      <c r="X58" s="154" t="s">
        <v>1170</v>
      </c>
      <c r="Y58" s="123"/>
      <c r="Z58" s="144"/>
      <c r="AA58" s="144"/>
      <c r="AB58" s="144"/>
      <c r="AC58" s="144"/>
      <c r="AD58" s="144"/>
      <c r="AE58" s="144"/>
      <c r="AF58" s="123"/>
    </row>
    <row r="59" spans="1:32" ht="15">
      <c r="A59" s="123"/>
      <c r="B59" s="156">
        <v>39</v>
      </c>
      <c r="C59" s="157" t="s">
        <v>553</v>
      </c>
      <c r="D59" s="157" t="s">
        <v>893</v>
      </c>
      <c r="E59" s="157">
        <v>39</v>
      </c>
      <c r="F59" s="157" t="s">
        <v>181</v>
      </c>
      <c r="G59" s="158" t="s">
        <v>182</v>
      </c>
      <c r="H59" s="159">
        <v>39</v>
      </c>
      <c r="I59" s="159">
        <v>0</v>
      </c>
      <c r="J59" s="160" t="s">
        <v>730</v>
      </c>
      <c r="K59" s="160">
        <v>4</v>
      </c>
      <c r="L59" s="160" t="s">
        <v>183</v>
      </c>
      <c r="M59" s="160">
        <v>6</v>
      </c>
      <c r="N59" s="247" t="s">
        <v>894</v>
      </c>
      <c r="O59" s="248">
        <v>1</v>
      </c>
      <c r="P59" s="123"/>
      <c r="Q59" s="152">
        <v>39</v>
      </c>
      <c r="R59" s="144" t="s">
        <v>658</v>
      </c>
      <c r="S59" s="144" t="s">
        <v>187</v>
      </c>
      <c r="T59" s="144" t="s">
        <v>188</v>
      </c>
      <c r="U59" s="153">
        <v>37</v>
      </c>
      <c r="V59" s="153" t="s">
        <v>186</v>
      </c>
      <c r="W59" s="153">
        <v>5</v>
      </c>
      <c r="X59" s="154" t="s">
        <v>1171</v>
      </c>
      <c r="Y59" s="123"/>
      <c r="Z59" s="144"/>
      <c r="AA59" s="144"/>
      <c r="AB59" s="144"/>
      <c r="AC59" s="144"/>
      <c r="AD59" s="144"/>
      <c r="AE59" s="144"/>
      <c r="AF59" s="123"/>
    </row>
    <row r="60" spans="1:32" ht="15">
      <c r="A60" s="123"/>
      <c r="B60" s="156">
        <v>40</v>
      </c>
      <c r="C60" s="157" t="s">
        <v>613</v>
      </c>
      <c r="D60" s="157" t="s">
        <v>893</v>
      </c>
      <c r="E60" s="157">
        <v>40</v>
      </c>
      <c r="F60" s="157" t="s">
        <v>181</v>
      </c>
      <c r="G60" s="158" t="s">
        <v>182</v>
      </c>
      <c r="H60" s="159">
        <v>40</v>
      </c>
      <c r="I60" s="159">
        <v>0</v>
      </c>
      <c r="J60" s="160" t="s">
        <v>730</v>
      </c>
      <c r="K60" s="160">
        <v>4</v>
      </c>
      <c r="L60" s="160" t="s">
        <v>183</v>
      </c>
      <c r="M60" s="160">
        <v>4</v>
      </c>
      <c r="N60" s="247" t="s">
        <v>894</v>
      </c>
      <c r="O60" s="248">
        <v>1</v>
      </c>
      <c r="P60" s="123"/>
      <c r="Q60" s="152">
        <v>40</v>
      </c>
      <c r="R60" s="144" t="s">
        <v>625</v>
      </c>
      <c r="S60" s="144" t="s">
        <v>181</v>
      </c>
      <c r="T60" s="144" t="s">
        <v>182</v>
      </c>
      <c r="U60" s="153">
        <v>38</v>
      </c>
      <c r="V60" s="153" t="s">
        <v>186</v>
      </c>
      <c r="W60" s="153">
        <v>5</v>
      </c>
      <c r="X60" s="154" t="s">
        <v>1172</v>
      </c>
      <c r="Y60" s="123"/>
      <c r="Z60" s="144"/>
      <c r="AA60" s="144"/>
      <c r="AB60" s="144"/>
      <c r="AC60" s="144"/>
      <c r="AD60" s="144"/>
      <c r="AE60" s="144"/>
      <c r="AF60" s="123"/>
    </row>
    <row r="61" spans="1:32" ht="15">
      <c r="A61" s="123"/>
      <c r="B61" s="156">
        <v>41</v>
      </c>
      <c r="C61" s="157" t="s">
        <v>614</v>
      </c>
      <c r="D61" s="157" t="s">
        <v>893</v>
      </c>
      <c r="E61" s="157">
        <v>41</v>
      </c>
      <c r="F61" s="157" t="s">
        <v>181</v>
      </c>
      <c r="G61" s="158" t="s">
        <v>182</v>
      </c>
      <c r="H61" s="159">
        <v>41</v>
      </c>
      <c r="I61" s="159">
        <v>0</v>
      </c>
      <c r="J61" s="160" t="s">
        <v>730</v>
      </c>
      <c r="K61" s="160">
        <v>4</v>
      </c>
      <c r="L61" s="160" t="s">
        <v>183</v>
      </c>
      <c r="M61" s="160">
        <v>4</v>
      </c>
      <c r="N61" s="247" t="s">
        <v>894</v>
      </c>
      <c r="O61" s="248">
        <v>1</v>
      </c>
      <c r="P61" s="123"/>
      <c r="Q61" s="152">
        <v>41</v>
      </c>
      <c r="R61" s="144" t="s">
        <v>625</v>
      </c>
      <c r="S61" s="144" t="s">
        <v>187</v>
      </c>
      <c r="T61" s="144" t="s">
        <v>188</v>
      </c>
      <c r="U61" s="153">
        <v>38</v>
      </c>
      <c r="V61" s="153" t="s">
        <v>186</v>
      </c>
      <c r="W61" s="153">
        <v>5</v>
      </c>
      <c r="X61" s="154" t="s">
        <v>1173</v>
      </c>
      <c r="Y61" s="123"/>
      <c r="Z61" s="144"/>
      <c r="AA61" s="144"/>
      <c r="AB61" s="144"/>
      <c r="AC61" s="144"/>
      <c r="AD61" s="144"/>
      <c r="AE61" s="144"/>
      <c r="AF61" s="123"/>
    </row>
    <row r="62" spans="1:32" ht="15">
      <c r="A62" s="123"/>
      <c r="B62" s="156">
        <v>42</v>
      </c>
      <c r="C62" s="157" t="s">
        <v>518</v>
      </c>
      <c r="D62" s="157" t="s">
        <v>893</v>
      </c>
      <c r="E62" s="157">
        <v>42</v>
      </c>
      <c r="F62" s="157" t="s">
        <v>181</v>
      </c>
      <c r="G62" s="158" t="s">
        <v>182</v>
      </c>
      <c r="H62" s="159">
        <v>42</v>
      </c>
      <c r="I62" s="159">
        <v>0</v>
      </c>
      <c r="J62" s="160" t="s">
        <v>787</v>
      </c>
      <c r="K62" s="160">
        <v>6</v>
      </c>
      <c r="L62" s="160" t="s">
        <v>183</v>
      </c>
      <c r="M62" s="160">
        <v>11</v>
      </c>
      <c r="N62" s="247" t="s">
        <v>894</v>
      </c>
      <c r="O62" s="248">
        <v>1</v>
      </c>
      <c r="P62" s="123"/>
      <c r="Q62" s="152">
        <v>42</v>
      </c>
      <c r="R62" s="144" t="s">
        <v>625</v>
      </c>
      <c r="S62" s="144" t="s">
        <v>189</v>
      </c>
      <c r="T62" s="144" t="s">
        <v>190</v>
      </c>
      <c r="U62" s="153">
        <v>38</v>
      </c>
      <c r="V62" s="153" t="s">
        <v>186</v>
      </c>
      <c r="W62" s="153">
        <v>5</v>
      </c>
      <c r="X62" s="154" t="s">
        <v>1174</v>
      </c>
      <c r="Y62" s="123"/>
      <c r="Z62" s="144"/>
      <c r="AA62" s="144"/>
      <c r="AB62" s="144"/>
      <c r="AC62" s="144"/>
      <c r="AD62" s="144"/>
      <c r="AE62" s="144"/>
      <c r="AF62" s="123"/>
    </row>
    <row r="63" spans="1:32" ht="15">
      <c r="A63" s="123"/>
      <c r="B63" s="156">
        <v>43</v>
      </c>
      <c r="C63" s="157" t="s">
        <v>494</v>
      </c>
      <c r="D63" s="157" t="s">
        <v>893</v>
      </c>
      <c r="E63" s="157">
        <v>43</v>
      </c>
      <c r="F63" s="157" t="s">
        <v>181</v>
      </c>
      <c r="G63" s="158" t="s">
        <v>182</v>
      </c>
      <c r="H63" s="159">
        <v>43</v>
      </c>
      <c r="I63" s="159">
        <v>0</v>
      </c>
      <c r="J63" s="160" t="s">
        <v>871</v>
      </c>
      <c r="K63" s="160">
        <v>8</v>
      </c>
      <c r="L63" s="160" t="s">
        <v>183</v>
      </c>
      <c r="M63" s="160">
        <v>13</v>
      </c>
      <c r="N63" s="247" t="s">
        <v>894</v>
      </c>
      <c r="O63" s="248">
        <v>1</v>
      </c>
      <c r="P63" s="123"/>
      <c r="Q63" s="152">
        <v>43</v>
      </c>
      <c r="R63" s="144" t="s">
        <v>640</v>
      </c>
      <c r="S63" s="144" t="s">
        <v>187</v>
      </c>
      <c r="T63" s="144" t="s">
        <v>188</v>
      </c>
      <c r="U63" s="153">
        <v>39</v>
      </c>
      <c r="V63" s="153" t="s">
        <v>186</v>
      </c>
      <c r="W63" s="153">
        <v>5</v>
      </c>
      <c r="X63" s="154" t="s">
        <v>1175</v>
      </c>
      <c r="Y63" s="123"/>
      <c r="Z63" s="144"/>
      <c r="AA63" s="144"/>
      <c r="AB63" s="144"/>
      <c r="AC63" s="144"/>
      <c r="AD63" s="144"/>
      <c r="AE63" s="144"/>
      <c r="AF63" s="123"/>
    </row>
    <row r="64" spans="1:32" ht="15">
      <c r="A64" s="123"/>
      <c r="B64" s="156">
        <v>44</v>
      </c>
      <c r="C64" s="157" t="s">
        <v>557</v>
      </c>
      <c r="D64" s="157" t="s">
        <v>893</v>
      </c>
      <c r="E64" s="157">
        <v>44</v>
      </c>
      <c r="F64" s="157" t="s">
        <v>181</v>
      </c>
      <c r="G64" s="158" t="s">
        <v>182</v>
      </c>
      <c r="H64" s="159">
        <v>44</v>
      </c>
      <c r="I64" s="159">
        <v>4</v>
      </c>
      <c r="J64" s="160" t="s">
        <v>790</v>
      </c>
      <c r="K64" s="160">
        <v>9</v>
      </c>
      <c r="L64" s="160" t="s">
        <v>183</v>
      </c>
      <c r="M64" s="160">
        <v>9</v>
      </c>
      <c r="N64" s="247" t="s">
        <v>894</v>
      </c>
      <c r="O64" s="248">
        <v>1</v>
      </c>
      <c r="P64" s="123"/>
      <c r="Q64" s="152">
        <v>44</v>
      </c>
      <c r="R64" s="144" t="s">
        <v>645</v>
      </c>
      <c r="S64" s="144" t="s">
        <v>187</v>
      </c>
      <c r="T64" s="144" t="s">
        <v>188</v>
      </c>
      <c r="U64" s="153">
        <v>40</v>
      </c>
      <c r="V64" s="153" t="s">
        <v>186</v>
      </c>
      <c r="W64" s="153">
        <v>5</v>
      </c>
      <c r="X64" s="154" t="s">
        <v>1176</v>
      </c>
      <c r="Y64" s="123"/>
      <c r="Z64" s="144"/>
      <c r="AA64" s="144"/>
      <c r="AB64" s="144"/>
      <c r="AC64" s="144"/>
      <c r="AD64" s="144"/>
      <c r="AE64" s="144"/>
      <c r="AF64" s="123"/>
    </row>
    <row r="65" spans="1:32" ht="15">
      <c r="A65" s="123"/>
      <c r="B65" s="156">
        <v>45</v>
      </c>
      <c r="C65" s="157" t="s">
        <v>558</v>
      </c>
      <c r="D65" s="157" t="s">
        <v>893</v>
      </c>
      <c r="E65" s="157">
        <v>45</v>
      </c>
      <c r="F65" s="157" t="s">
        <v>181</v>
      </c>
      <c r="G65" s="158" t="s">
        <v>182</v>
      </c>
      <c r="H65" s="159">
        <v>45</v>
      </c>
      <c r="I65" s="159">
        <v>4</v>
      </c>
      <c r="J65" s="160" t="s">
        <v>790</v>
      </c>
      <c r="K65" s="160">
        <v>9</v>
      </c>
      <c r="L65" s="160" t="s">
        <v>183</v>
      </c>
      <c r="M65" s="160">
        <v>9</v>
      </c>
      <c r="N65" s="247" t="s">
        <v>894</v>
      </c>
      <c r="O65" s="248">
        <v>1</v>
      </c>
      <c r="P65" s="123"/>
      <c r="Q65" s="152">
        <v>45</v>
      </c>
      <c r="R65" s="144" t="s">
        <v>982</v>
      </c>
      <c r="S65" s="144" t="s">
        <v>189</v>
      </c>
      <c r="T65" s="144" t="s">
        <v>190</v>
      </c>
      <c r="U65" s="153">
        <v>41</v>
      </c>
      <c r="V65" s="153" t="s">
        <v>186</v>
      </c>
      <c r="W65" s="153">
        <v>5</v>
      </c>
      <c r="X65" s="154" t="s">
        <v>1177</v>
      </c>
      <c r="Y65" s="123"/>
      <c r="Z65" s="144"/>
      <c r="AA65" s="144"/>
      <c r="AB65" s="144"/>
      <c r="AC65" s="144"/>
      <c r="AD65" s="144"/>
      <c r="AE65" s="144"/>
      <c r="AF65" s="123"/>
    </row>
    <row r="66" spans="1:32" ht="15">
      <c r="A66" s="123"/>
      <c r="B66" s="156">
        <v>46</v>
      </c>
      <c r="C66" s="157" t="s">
        <v>973</v>
      </c>
      <c r="D66" s="157" t="s">
        <v>893</v>
      </c>
      <c r="E66" s="157">
        <v>46</v>
      </c>
      <c r="F66" s="157" t="s">
        <v>181</v>
      </c>
      <c r="G66" s="158" t="s">
        <v>182</v>
      </c>
      <c r="H66" s="159">
        <v>46</v>
      </c>
      <c r="I66" s="159">
        <v>0</v>
      </c>
      <c r="J66" s="160" t="s">
        <v>790</v>
      </c>
      <c r="K66" s="160">
        <v>9</v>
      </c>
      <c r="L66" s="160" t="s">
        <v>183</v>
      </c>
      <c r="M66" s="160">
        <v>7</v>
      </c>
      <c r="N66" s="247" t="s">
        <v>894</v>
      </c>
      <c r="O66" s="248">
        <v>1</v>
      </c>
      <c r="P66" s="123"/>
      <c r="Q66" s="152">
        <v>46</v>
      </c>
      <c r="R66" s="249" t="s">
        <v>1093</v>
      </c>
      <c r="S66" s="249" t="s">
        <v>187</v>
      </c>
      <c r="T66" s="144" t="s">
        <v>188</v>
      </c>
      <c r="U66" s="153">
        <v>42</v>
      </c>
      <c r="V66" s="153" t="s">
        <v>186</v>
      </c>
      <c r="W66" s="153">
        <v>5</v>
      </c>
      <c r="X66" s="154" t="s">
        <v>1178</v>
      </c>
      <c r="Y66" s="123"/>
      <c r="Z66" s="144"/>
      <c r="AA66" s="144"/>
      <c r="AB66" s="144"/>
      <c r="AC66" s="144"/>
      <c r="AD66" s="144"/>
      <c r="AE66" s="144"/>
      <c r="AF66" s="123"/>
    </row>
    <row r="67" spans="1:32" ht="15">
      <c r="A67" s="123"/>
      <c r="B67" s="156">
        <v>47</v>
      </c>
      <c r="C67" s="157" t="s">
        <v>472</v>
      </c>
      <c r="D67" s="157" t="s">
        <v>893</v>
      </c>
      <c r="E67" s="157">
        <v>47</v>
      </c>
      <c r="F67" s="157" t="s">
        <v>181</v>
      </c>
      <c r="G67" s="158" t="s">
        <v>182</v>
      </c>
      <c r="H67" s="159">
        <v>47</v>
      </c>
      <c r="I67" s="159">
        <v>0</v>
      </c>
      <c r="J67" s="160" t="s">
        <v>790</v>
      </c>
      <c r="K67" s="160">
        <v>9</v>
      </c>
      <c r="L67" s="160" t="s">
        <v>183</v>
      </c>
      <c r="M67" s="160">
        <v>15</v>
      </c>
      <c r="N67" s="247" t="s">
        <v>894</v>
      </c>
      <c r="O67" s="248">
        <v>1</v>
      </c>
      <c r="P67" s="123"/>
      <c r="Q67" s="152">
        <v>47</v>
      </c>
      <c r="R67" s="144" t="s">
        <v>874</v>
      </c>
      <c r="S67" s="144" t="s">
        <v>184</v>
      </c>
      <c r="T67" s="144" t="s">
        <v>185</v>
      </c>
      <c r="U67" s="153">
        <v>43</v>
      </c>
      <c r="V67" s="153" t="s">
        <v>186</v>
      </c>
      <c r="W67" s="153">
        <v>6</v>
      </c>
      <c r="X67" s="154" t="s">
        <v>1179</v>
      </c>
      <c r="Y67" s="123"/>
      <c r="Z67" s="144"/>
      <c r="AA67" s="144"/>
      <c r="AB67" s="144"/>
      <c r="AC67" s="144"/>
      <c r="AD67" s="144"/>
      <c r="AE67" s="144"/>
      <c r="AF67" s="123"/>
    </row>
    <row r="68" spans="1:32" ht="15">
      <c r="A68" s="123"/>
      <c r="B68" s="156">
        <v>48</v>
      </c>
      <c r="C68" s="250" t="s">
        <v>585</v>
      </c>
      <c r="D68" s="157" t="s">
        <v>893</v>
      </c>
      <c r="E68" s="157">
        <v>48</v>
      </c>
      <c r="F68" s="157" t="s">
        <v>181</v>
      </c>
      <c r="G68" s="158" t="s">
        <v>182</v>
      </c>
      <c r="H68" s="159">
        <v>48</v>
      </c>
      <c r="I68" s="159">
        <v>0</v>
      </c>
      <c r="J68" s="160" t="s">
        <v>790</v>
      </c>
      <c r="K68" s="160">
        <v>9</v>
      </c>
      <c r="L68" s="160" t="s">
        <v>183</v>
      </c>
      <c r="M68" s="160">
        <v>7</v>
      </c>
      <c r="N68" s="247" t="s">
        <v>894</v>
      </c>
      <c r="O68" s="248">
        <v>1</v>
      </c>
      <c r="P68" s="123"/>
      <c r="Q68" s="152">
        <v>48</v>
      </c>
      <c r="R68" s="144" t="s">
        <v>874</v>
      </c>
      <c r="S68" s="144" t="s">
        <v>181</v>
      </c>
      <c r="T68" s="144" t="s">
        <v>182</v>
      </c>
      <c r="U68" s="153">
        <v>44</v>
      </c>
      <c r="V68" s="153" t="s">
        <v>186</v>
      </c>
      <c r="W68" s="153">
        <v>5</v>
      </c>
      <c r="X68" s="154" t="s">
        <v>1180</v>
      </c>
      <c r="Y68" s="123"/>
      <c r="Z68" s="144"/>
      <c r="AA68" s="144"/>
      <c r="AB68" s="144"/>
      <c r="AC68" s="144"/>
      <c r="AD68" s="144"/>
      <c r="AE68" s="144"/>
      <c r="AF68" s="123"/>
    </row>
    <row r="69" spans="1:32" ht="15">
      <c r="A69" s="123"/>
      <c r="B69" s="156">
        <v>49</v>
      </c>
      <c r="C69" s="157" t="s">
        <v>468</v>
      </c>
      <c r="D69" s="157" t="s">
        <v>893</v>
      </c>
      <c r="E69" s="157">
        <v>49</v>
      </c>
      <c r="F69" s="157" t="s">
        <v>181</v>
      </c>
      <c r="G69" s="158" t="s">
        <v>182</v>
      </c>
      <c r="H69" s="159">
        <v>49</v>
      </c>
      <c r="I69" s="159">
        <v>0</v>
      </c>
      <c r="J69" s="160" t="s">
        <v>790</v>
      </c>
      <c r="K69" s="160">
        <v>9</v>
      </c>
      <c r="L69" s="160" t="s">
        <v>183</v>
      </c>
      <c r="M69" s="160">
        <v>16</v>
      </c>
      <c r="N69" s="247" t="s">
        <v>894</v>
      </c>
      <c r="O69" s="248">
        <v>1</v>
      </c>
      <c r="P69" s="123"/>
      <c r="Q69" s="152">
        <v>49</v>
      </c>
      <c r="R69" s="144" t="s">
        <v>874</v>
      </c>
      <c r="S69" s="144" t="s">
        <v>181</v>
      </c>
      <c r="T69" s="144" t="s">
        <v>182</v>
      </c>
      <c r="U69" s="153">
        <v>45</v>
      </c>
      <c r="V69" s="153" t="s">
        <v>186</v>
      </c>
      <c r="W69" s="153">
        <v>5</v>
      </c>
      <c r="X69" s="154" t="s">
        <v>1181</v>
      </c>
      <c r="Y69" s="123"/>
      <c r="Z69" s="144"/>
      <c r="AA69" s="144"/>
      <c r="AB69" s="144"/>
      <c r="AC69" s="144"/>
      <c r="AD69" s="144"/>
      <c r="AE69" s="144"/>
      <c r="AF69" s="123"/>
    </row>
    <row r="70" spans="1:32" ht="15">
      <c r="A70" s="123"/>
      <c r="B70" s="156">
        <v>50</v>
      </c>
      <c r="C70" s="157" t="s">
        <v>490</v>
      </c>
      <c r="D70" s="157" t="s">
        <v>893</v>
      </c>
      <c r="E70" s="157">
        <v>50</v>
      </c>
      <c r="F70" s="157" t="s">
        <v>181</v>
      </c>
      <c r="G70" s="158" t="s">
        <v>182</v>
      </c>
      <c r="H70" s="159">
        <v>50</v>
      </c>
      <c r="I70" s="159">
        <v>0</v>
      </c>
      <c r="J70" s="160" t="s">
        <v>790</v>
      </c>
      <c r="K70" s="160">
        <v>9</v>
      </c>
      <c r="L70" s="160" t="s">
        <v>183</v>
      </c>
      <c r="M70" s="160">
        <v>13</v>
      </c>
      <c r="N70" s="247" t="s">
        <v>894</v>
      </c>
      <c r="O70" s="248">
        <v>1</v>
      </c>
      <c r="P70" s="123"/>
      <c r="Q70" s="152">
        <v>50</v>
      </c>
      <c r="R70" s="144" t="s">
        <v>1205</v>
      </c>
      <c r="S70" s="144" t="s">
        <v>184</v>
      </c>
      <c r="T70" s="144" t="s">
        <v>185</v>
      </c>
      <c r="U70" s="153">
        <v>46</v>
      </c>
      <c r="V70" s="153" t="s">
        <v>186</v>
      </c>
      <c r="W70" s="153">
        <v>6</v>
      </c>
      <c r="X70" s="154" t="s">
        <v>1206</v>
      </c>
      <c r="Y70" s="123"/>
      <c r="Z70" s="144"/>
      <c r="AA70" s="144"/>
      <c r="AB70" s="144"/>
      <c r="AC70" s="144"/>
      <c r="AD70" s="144"/>
      <c r="AE70" s="144"/>
      <c r="AF70" s="123"/>
    </row>
    <row r="71" spans="1:32" ht="15">
      <c r="A71" s="123"/>
      <c r="B71" s="156">
        <v>51</v>
      </c>
      <c r="C71" s="157" t="s">
        <v>479</v>
      </c>
      <c r="D71" s="157" t="s">
        <v>893</v>
      </c>
      <c r="E71" s="157">
        <v>51</v>
      </c>
      <c r="F71" s="157" t="s">
        <v>181</v>
      </c>
      <c r="G71" s="158" t="s">
        <v>182</v>
      </c>
      <c r="H71" s="159">
        <v>51</v>
      </c>
      <c r="I71" s="159">
        <v>0</v>
      </c>
      <c r="J71" s="160" t="s">
        <v>790</v>
      </c>
      <c r="K71" s="160">
        <v>9</v>
      </c>
      <c r="L71" s="160" t="s">
        <v>183</v>
      </c>
      <c r="M71" s="160">
        <v>14</v>
      </c>
      <c r="N71" s="247" t="s">
        <v>894</v>
      </c>
      <c r="O71" s="248">
        <v>1</v>
      </c>
      <c r="P71" s="123"/>
      <c r="Q71" s="152">
        <v>51</v>
      </c>
      <c r="R71" s="144" t="s">
        <v>1205</v>
      </c>
      <c r="S71" s="144" t="s">
        <v>181</v>
      </c>
      <c r="T71" s="144" t="s">
        <v>182</v>
      </c>
      <c r="U71" s="153">
        <v>47</v>
      </c>
      <c r="V71" s="153" t="s">
        <v>186</v>
      </c>
      <c r="W71" s="153">
        <v>5</v>
      </c>
      <c r="X71" s="154" t="s">
        <v>1207</v>
      </c>
      <c r="Y71" s="123"/>
      <c r="Z71" s="144"/>
      <c r="AA71" s="144"/>
      <c r="AB71" s="144"/>
      <c r="AC71" s="144"/>
      <c r="AD71" s="144"/>
      <c r="AE71" s="144"/>
      <c r="AF71" s="123"/>
    </row>
    <row r="72" spans="1:32" ht="15">
      <c r="A72" s="123"/>
      <c r="B72" s="156">
        <v>52</v>
      </c>
      <c r="C72" s="157" t="s">
        <v>501</v>
      </c>
      <c r="D72" s="157" t="s">
        <v>893</v>
      </c>
      <c r="E72" s="157">
        <v>52</v>
      </c>
      <c r="F72" s="157" t="s">
        <v>181</v>
      </c>
      <c r="G72" s="158" t="s">
        <v>182</v>
      </c>
      <c r="H72" s="159">
        <v>52</v>
      </c>
      <c r="I72" s="159">
        <v>0</v>
      </c>
      <c r="J72" s="160" t="s">
        <v>800</v>
      </c>
      <c r="K72" s="160">
        <v>11</v>
      </c>
      <c r="L72" s="160" t="s">
        <v>183</v>
      </c>
      <c r="M72" s="160">
        <v>12</v>
      </c>
      <c r="N72" s="247" t="s">
        <v>894</v>
      </c>
      <c r="O72" s="248">
        <v>1</v>
      </c>
      <c r="P72" s="123"/>
      <c r="Q72" s="152">
        <v>52</v>
      </c>
      <c r="R72" s="144" t="s">
        <v>1205</v>
      </c>
      <c r="S72" s="144" t="s">
        <v>181</v>
      </c>
      <c r="T72" s="144" t="s">
        <v>182</v>
      </c>
      <c r="U72" s="153">
        <v>48</v>
      </c>
      <c r="V72" s="153" t="s">
        <v>186</v>
      </c>
      <c r="W72" s="153">
        <v>5</v>
      </c>
      <c r="X72" s="154" t="s">
        <v>1208</v>
      </c>
      <c r="Y72" s="123"/>
      <c r="Z72" s="144"/>
      <c r="AA72" s="144"/>
      <c r="AB72" s="144"/>
      <c r="AC72" s="144"/>
      <c r="AD72" s="144"/>
      <c r="AE72" s="144"/>
      <c r="AF72" s="123"/>
    </row>
    <row r="73" spans="1:32" ht="15">
      <c r="A73" s="123"/>
      <c r="B73" s="156">
        <v>53</v>
      </c>
      <c r="C73" s="157" t="s">
        <v>499</v>
      </c>
      <c r="D73" s="157" t="s">
        <v>893</v>
      </c>
      <c r="E73" s="157">
        <v>53</v>
      </c>
      <c r="F73" s="157" t="s">
        <v>181</v>
      </c>
      <c r="G73" s="158" t="s">
        <v>182</v>
      </c>
      <c r="H73" s="159">
        <v>53</v>
      </c>
      <c r="I73" s="159">
        <v>0</v>
      </c>
      <c r="J73" s="160" t="s">
        <v>757</v>
      </c>
      <c r="K73" s="160">
        <v>13</v>
      </c>
      <c r="L73" s="160" t="s">
        <v>183</v>
      </c>
      <c r="M73" s="160">
        <v>12</v>
      </c>
      <c r="N73" s="247" t="s">
        <v>894</v>
      </c>
      <c r="O73" s="248">
        <v>1</v>
      </c>
      <c r="P73" s="123"/>
      <c r="Q73" s="152">
        <v>53</v>
      </c>
      <c r="R73" s="144" t="s">
        <v>652</v>
      </c>
      <c r="S73" s="144" t="s">
        <v>181</v>
      </c>
      <c r="T73" s="144" t="s">
        <v>182</v>
      </c>
      <c r="U73" s="153">
        <v>49</v>
      </c>
      <c r="V73" s="153" t="s">
        <v>186</v>
      </c>
      <c r="W73" s="153">
        <v>5</v>
      </c>
      <c r="X73" s="154" t="s">
        <v>1182</v>
      </c>
      <c r="Y73" s="123"/>
      <c r="Z73" s="144"/>
      <c r="AA73" s="144"/>
      <c r="AB73" s="144"/>
      <c r="AC73" s="144"/>
      <c r="AD73" s="144"/>
      <c r="AE73" s="144"/>
      <c r="AF73" s="123"/>
    </row>
    <row r="74" spans="1:32" ht="15">
      <c r="A74" s="123"/>
      <c r="B74" s="156">
        <v>54</v>
      </c>
      <c r="C74" s="157" t="s">
        <v>535</v>
      </c>
      <c r="D74" s="157" t="s">
        <v>893</v>
      </c>
      <c r="E74" s="157">
        <v>54</v>
      </c>
      <c r="F74" s="157" t="s">
        <v>181</v>
      </c>
      <c r="G74" s="158" t="s">
        <v>182</v>
      </c>
      <c r="H74" s="159">
        <v>54</v>
      </c>
      <c r="I74" s="159">
        <v>0</v>
      </c>
      <c r="J74" s="160" t="s">
        <v>757</v>
      </c>
      <c r="K74" s="160">
        <v>14</v>
      </c>
      <c r="L74" s="160" t="s">
        <v>183</v>
      </c>
      <c r="M74" s="160">
        <v>10</v>
      </c>
      <c r="N74" s="247" t="s">
        <v>894</v>
      </c>
      <c r="O74" s="248">
        <v>1</v>
      </c>
      <c r="P74" s="123"/>
      <c r="Q74" s="152">
        <v>54</v>
      </c>
      <c r="R74" s="144" t="s">
        <v>652</v>
      </c>
      <c r="S74" s="144" t="s">
        <v>187</v>
      </c>
      <c r="T74" s="144" t="s">
        <v>188</v>
      </c>
      <c r="U74" s="153">
        <v>49</v>
      </c>
      <c r="V74" s="153" t="s">
        <v>186</v>
      </c>
      <c r="W74" s="153">
        <v>5</v>
      </c>
      <c r="X74" s="154" t="s">
        <v>1209</v>
      </c>
      <c r="Y74" s="123"/>
      <c r="Z74" s="144"/>
      <c r="AA74" s="144"/>
      <c r="AB74" s="144"/>
      <c r="AC74" s="144"/>
      <c r="AD74" s="144"/>
      <c r="AE74" s="144"/>
      <c r="AF74" s="123"/>
    </row>
    <row r="75" spans="1:32" ht="15">
      <c r="A75" s="123"/>
      <c r="B75" s="156">
        <v>55</v>
      </c>
      <c r="C75" s="157" t="s">
        <v>493</v>
      </c>
      <c r="D75" s="157" t="s">
        <v>893</v>
      </c>
      <c r="E75" s="157">
        <v>55</v>
      </c>
      <c r="F75" s="157" t="s">
        <v>181</v>
      </c>
      <c r="G75" s="158" t="s">
        <v>182</v>
      </c>
      <c r="H75" s="159">
        <v>55</v>
      </c>
      <c r="I75" s="159">
        <v>0</v>
      </c>
      <c r="J75" s="160" t="s">
        <v>757</v>
      </c>
      <c r="K75" s="160">
        <v>14</v>
      </c>
      <c r="L75" s="160" t="s">
        <v>183</v>
      </c>
      <c r="M75" s="160">
        <v>13</v>
      </c>
      <c r="N75" s="247" t="s">
        <v>894</v>
      </c>
      <c r="O75" s="248">
        <v>1</v>
      </c>
      <c r="P75" s="123"/>
      <c r="Q75" s="152">
        <v>55</v>
      </c>
      <c r="R75" s="144" t="s">
        <v>652</v>
      </c>
      <c r="S75" s="144" t="s">
        <v>189</v>
      </c>
      <c r="T75" s="144" t="s">
        <v>190</v>
      </c>
      <c r="U75" s="153">
        <v>49</v>
      </c>
      <c r="V75" s="153" t="s">
        <v>186</v>
      </c>
      <c r="W75" s="153">
        <v>5</v>
      </c>
      <c r="X75" s="154" t="s">
        <v>1210</v>
      </c>
      <c r="Y75" s="123"/>
      <c r="Z75" s="144"/>
      <c r="AA75" s="144"/>
      <c r="AB75" s="144"/>
      <c r="AC75" s="144"/>
      <c r="AD75" s="144"/>
      <c r="AE75" s="144"/>
      <c r="AF75" s="123"/>
    </row>
    <row r="76" spans="1:32" ht="15">
      <c r="A76" s="123"/>
      <c r="B76" s="156">
        <v>56</v>
      </c>
      <c r="C76" s="157" t="s">
        <v>473</v>
      </c>
      <c r="D76" s="157" t="s">
        <v>893</v>
      </c>
      <c r="E76" s="157">
        <v>56</v>
      </c>
      <c r="F76" s="157" t="s">
        <v>181</v>
      </c>
      <c r="G76" s="158" t="s">
        <v>182</v>
      </c>
      <c r="H76" s="159">
        <v>56</v>
      </c>
      <c r="I76" s="159">
        <v>0</v>
      </c>
      <c r="J76" s="160" t="s">
        <v>805</v>
      </c>
      <c r="K76" s="160">
        <v>15</v>
      </c>
      <c r="L76" s="160" t="s">
        <v>183</v>
      </c>
      <c r="M76" s="160">
        <v>15</v>
      </c>
      <c r="N76" s="247" t="s">
        <v>894</v>
      </c>
      <c r="O76" s="248">
        <v>1</v>
      </c>
      <c r="P76" s="123"/>
      <c r="Q76" s="152">
        <v>56</v>
      </c>
      <c r="R76" s="144" t="s">
        <v>889</v>
      </c>
      <c r="S76" s="144" t="s">
        <v>189</v>
      </c>
      <c r="T76" s="144" t="s">
        <v>190</v>
      </c>
      <c r="U76" s="153">
        <v>50</v>
      </c>
      <c r="V76" s="153" t="s">
        <v>186</v>
      </c>
      <c r="W76" s="153">
        <v>5</v>
      </c>
      <c r="X76" s="154" t="s">
        <v>1211</v>
      </c>
      <c r="Y76" s="123"/>
      <c r="Z76" s="144"/>
      <c r="AA76" s="144"/>
      <c r="AB76" s="144"/>
      <c r="AC76" s="144"/>
      <c r="AD76" s="144"/>
      <c r="AE76" s="144"/>
      <c r="AF76" s="123"/>
    </row>
    <row r="77" spans="1:32" ht="15">
      <c r="A77" s="123"/>
      <c r="B77" s="156">
        <v>57</v>
      </c>
      <c r="C77" s="157" t="s">
        <v>559</v>
      </c>
      <c r="D77" s="157" t="s">
        <v>893</v>
      </c>
      <c r="E77" s="157">
        <v>57</v>
      </c>
      <c r="F77" s="157" t="s">
        <v>181</v>
      </c>
      <c r="G77" s="158" t="s">
        <v>182</v>
      </c>
      <c r="H77" s="159">
        <v>57</v>
      </c>
      <c r="I77" s="159">
        <v>0</v>
      </c>
      <c r="J77" s="160" t="s">
        <v>805</v>
      </c>
      <c r="K77" s="160">
        <v>15</v>
      </c>
      <c r="L77" s="160" t="s">
        <v>183</v>
      </c>
      <c r="M77" s="160">
        <v>9</v>
      </c>
      <c r="N77" s="247" t="s">
        <v>894</v>
      </c>
      <c r="O77" s="248">
        <v>1</v>
      </c>
      <c r="P77" s="123"/>
      <c r="Q77" s="152">
        <v>57</v>
      </c>
      <c r="R77" s="144" t="s">
        <v>880</v>
      </c>
      <c r="S77" s="144" t="s">
        <v>187</v>
      </c>
      <c r="T77" s="144" t="s">
        <v>188</v>
      </c>
      <c r="U77" s="153">
        <v>51</v>
      </c>
      <c r="V77" s="153" t="s">
        <v>186</v>
      </c>
      <c r="W77" s="153">
        <v>5</v>
      </c>
      <c r="X77" s="154" t="s">
        <v>1212</v>
      </c>
      <c r="Y77" s="123"/>
      <c r="Z77" s="144"/>
      <c r="AA77" s="144"/>
      <c r="AB77" s="144"/>
      <c r="AC77" s="144"/>
      <c r="AD77" s="144"/>
      <c r="AE77" s="144"/>
      <c r="AF77" s="123"/>
    </row>
    <row r="78" spans="1:32" ht="15">
      <c r="A78" s="123"/>
      <c r="B78" s="156">
        <v>58</v>
      </c>
      <c r="C78" s="157" t="s">
        <v>586</v>
      </c>
      <c r="D78" s="157" t="s">
        <v>893</v>
      </c>
      <c r="E78" s="157">
        <v>58</v>
      </c>
      <c r="F78" s="157" t="s">
        <v>181</v>
      </c>
      <c r="G78" s="158" t="s">
        <v>182</v>
      </c>
      <c r="H78" s="159">
        <v>58</v>
      </c>
      <c r="I78" s="159">
        <v>0</v>
      </c>
      <c r="J78" s="160" t="s">
        <v>805</v>
      </c>
      <c r="K78" s="160">
        <v>15</v>
      </c>
      <c r="L78" s="160" t="s">
        <v>183</v>
      </c>
      <c r="M78" s="160">
        <v>7</v>
      </c>
      <c r="N78" s="247" t="s">
        <v>894</v>
      </c>
      <c r="O78" s="248">
        <v>1</v>
      </c>
      <c r="P78" s="123"/>
      <c r="Q78" s="152">
        <v>58</v>
      </c>
      <c r="R78" s="249" t="s">
        <v>849</v>
      </c>
      <c r="S78" s="249" t="s">
        <v>181</v>
      </c>
      <c r="T78" s="249" t="s">
        <v>182</v>
      </c>
      <c r="U78" s="153">
        <v>52</v>
      </c>
      <c r="V78" s="153" t="s">
        <v>186</v>
      </c>
      <c r="W78" s="153">
        <v>7</v>
      </c>
      <c r="X78" s="154" t="s">
        <v>1183</v>
      </c>
      <c r="Y78" s="123"/>
      <c r="Z78" s="144"/>
      <c r="AA78" s="144"/>
      <c r="AB78" s="144"/>
      <c r="AC78" s="144"/>
      <c r="AD78" s="144"/>
      <c r="AE78" s="144"/>
      <c r="AF78" s="123"/>
    </row>
    <row r="79" spans="1:32" ht="15">
      <c r="A79" s="123"/>
      <c r="B79" s="156">
        <v>59</v>
      </c>
      <c r="C79" s="157" t="s">
        <v>578</v>
      </c>
      <c r="D79" s="157" t="s">
        <v>893</v>
      </c>
      <c r="E79" s="157">
        <v>59</v>
      </c>
      <c r="F79" s="157" t="s">
        <v>181</v>
      </c>
      <c r="G79" s="158" t="s">
        <v>182</v>
      </c>
      <c r="H79" s="159">
        <v>59</v>
      </c>
      <c r="I79" s="159">
        <v>4</v>
      </c>
      <c r="J79" s="160" t="s">
        <v>805</v>
      </c>
      <c r="K79" s="160">
        <v>15</v>
      </c>
      <c r="L79" s="160" t="s">
        <v>183</v>
      </c>
      <c r="M79" s="160">
        <v>8</v>
      </c>
      <c r="N79" s="247" t="s">
        <v>894</v>
      </c>
      <c r="O79" s="248">
        <v>1</v>
      </c>
      <c r="P79" s="123"/>
      <c r="Q79" s="152">
        <v>59</v>
      </c>
      <c r="R79" s="249" t="s">
        <v>849</v>
      </c>
      <c r="S79" s="249" t="s">
        <v>184</v>
      </c>
      <c r="T79" s="249" t="s">
        <v>185</v>
      </c>
      <c r="U79" s="153">
        <v>53</v>
      </c>
      <c r="V79" s="153" t="s">
        <v>186</v>
      </c>
      <c r="W79" s="153">
        <v>6</v>
      </c>
      <c r="X79" s="154" t="s">
        <v>1184</v>
      </c>
      <c r="Y79" s="123"/>
      <c r="Z79" s="144"/>
      <c r="AA79" s="144"/>
      <c r="AB79" s="144"/>
      <c r="AC79" s="144"/>
      <c r="AD79" s="144"/>
      <c r="AE79" s="144"/>
      <c r="AF79" s="123"/>
    </row>
    <row r="80" spans="1:32" ht="15">
      <c r="A80" s="123"/>
      <c r="B80" s="156">
        <v>60</v>
      </c>
      <c r="C80" s="157" t="s">
        <v>579</v>
      </c>
      <c r="D80" s="157" t="s">
        <v>893</v>
      </c>
      <c r="E80" s="157">
        <v>60</v>
      </c>
      <c r="F80" s="157" t="s">
        <v>181</v>
      </c>
      <c r="G80" s="158" t="s">
        <v>182</v>
      </c>
      <c r="H80" s="159">
        <v>60</v>
      </c>
      <c r="I80" s="159">
        <v>4</v>
      </c>
      <c r="J80" s="160" t="s">
        <v>805</v>
      </c>
      <c r="K80" s="160">
        <v>15</v>
      </c>
      <c r="L80" s="160" t="s">
        <v>183</v>
      </c>
      <c r="M80" s="160">
        <v>8</v>
      </c>
      <c r="N80" s="247" t="s">
        <v>894</v>
      </c>
      <c r="O80" s="248">
        <v>1</v>
      </c>
      <c r="P80" s="123"/>
      <c r="Q80" s="152">
        <v>60</v>
      </c>
      <c r="R80" s="249" t="s">
        <v>849</v>
      </c>
      <c r="S80" s="249" t="s">
        <v>184</v>
      </c>
      <c r="T80" s="249" t="s">
        <v>185</v>
      </c>
      <c r="U80" s="153">
        <v>54</v>
      </c>
      <c r="V80" s="153" t="s">
        <v>186</v>
      </c>
      <c r="W80" s="153">
        <v>6</v>
      </c>
      <c r="X80" s="154" t="s">
        <v>1185</v>
      </c>
      <c r="Y80" s="123"/>
      <c r="Z80" s="144"/>
      <c r="AA80" s="144"/>
      <c r="AB80" s="144"/>
      <c r="AC80" s="144"/>
      <c r="AD80" s="144"/>
      <c r="AE80" s="144"/>
      <c r="AF80" s="123"/>
    </row>
    <row r="81" spans="1:32" ht="15">
      <c r="A81" s="123"/>
      <c r="B81" s="156">
        <v>61</v>
      </c>
      <c r="C81" s="157" t="s">
        <v>469</v>
      </c>
      <c r="D81" s="157" t="s">
        <v>893</v>
      </c>
      <c r="E81" s="157">
        <v>61</v>
      </c>
      <c r="F81" s="157" t="s">
        <v>181</v>
      </c>
      <c r="G81" s="158" t="s">
        <v>182</v>
      </c>
      <c r="H81" s="159">
        <v>61</v>
      </c>
      <c r="I81" s="159">
        <v>0</v>
      </c>
      <c r="J81" s="160" t="s">
        <v>805</v>
      </c>
      <c r="K81" s="160">
        <v>15</v>
      </c>
      <c r="L81" s="160" t="s">
        <v>183</v>
      </c>
      <c r="M81" s="160">
        <v>16</v>
      </c>
      <c r="N81" s="247" t="s">
        <v>894</v>
      </c>
      <c r="O81" s="248">
        <v>1</v>
      </c>
      <c r="P81" s="123"/>
      <c r="Q81" s="162">
        <v>61</v>
      </c>
      <c r="R81" s="251" t="s">
        <v>1098</v>
      </c>
      <c r="S81" s="251" t="s">
        <v>181</v>
      </c>
      <c r="T81" s="251" t="s">
        <v>182</v>
      </c>
      <c r="U81" s="136">
        <v>55</v>
      </c>
      <c r="V81" s="136" t="s">
        <v>186</v>
      </c>
      <c r="W81" s="136">
        <v>5</v>
      </c>
      <c r="X81" s="163" t="s">
        <v>1213</v>
      </c>
      <c r="Y81" s="123"/>
      <c r="Z81" s="144"/>
      <c r="AA81" s="144"/>
      <c r="AB81" s="144"/>
      <c r="AC81" s="144"/>
      <c r="AD81" s="144"/>
      <c r="AE81" s="144"/>
      <c r="AF81" s="123"/>
    </row>
    <row r="82" spans="1:32" ht="15">
      <c r="A82" s="123"/>
      <c r="B82" s="156">
        <v>62</v>
      </c>
      <c r="C82" s="157" t="s">
        <v>491</v>
      </c>
      <c r="D82" s="157" t="s">
        <v>893</v>
      </c>
      <c r="E82" s="157">
        <v>62</v>
      </c>
      <c r="F82" s="157" t="s">
        <v>181</v>
      </c>
      <c r="G82" s="158" t="s">
        <v>182</v>
      </c>
      <c r="H82" s="159">
        <v>62</v>
      </c>
      <c r="I82" s="159">
        <v>0</v>
      </c>
      <c r="J82" s="160" t="s">
        <v>805</v>
      </c>
      <c r="K82" s="160">
        <v>15</v>
      </c>
      <c r="L82" s="160" t="s">
        <v>183</v>
      </c>
      <c r="M82" s="160">
        <v>13</v>
      </c>
      <c r="N82" s="247" t="s">
        <v>894</v>
      </c>
      <c r="O82" s="248">
        <v>1</v>
      </c>
      <c r="P82" s="123"/>
      <c r="Q82" s="144">
        <v>62</v>
      </c>
      <c r="R82" s="144" t="s">
        <v>1124</v>
      </c>
      <c r="S82" s="144" t="s">
        <v>184</v>
      </c>
      <c r="T82" s="144" t="s">
        <v>185</v>
      </c>
      <c r="U82" s="153">
        <v>56</v>
      </c>
      <c r="V82" s="144" t="s">
        <v>186</v>
      </c>
      <c r="W82" s="144">
        <v>6</v>
      </c>
      <c r="X82" s="153" t="s">
        <v>1214</v>
      </c>
      <c r="Y82" s="123"/>
      <c r="Z82" s="144"/>
      <c r="AA82" s="144"/>
      <c r="AB82" s="144"/>
      <c r="AC82" s="144"/>
      <c r="AD82" s="144"/>
      <c r="AE82" s="144"/>
      <c r="AF82" s="123"/>
    </row>
    <row r="83" spans="1:32" ht="15">
      <c r="A83" s="123"/>
      <c r="B83" s="156">
        <v>63</v>
      </c>
      <c r="C83" s="157" t="s">
        <v>480</v>
      </c>
      <c r="D83" s="157" t="s">
        <v>893</v>
      </c>
      <c r="E83" s="157">
        <v>63</v>
      </c>
      <c r="F83" s="157" t="s">
        <v>181</v>
      </c>
      <c r="G83" s="158" t="s">
        <v>182</v>
      </c>
      <c r="H83" s="159">
        <v>63</v>
      </c>
      <c r="I83" s="159">
        <v>0</v>
      </c>
      <c r="J83" s="160" t="s">
        <v>805</v>
      </c>
      <c r="K83" s="160">
        <v>15</v>
      </c>
      <c r="L83" s="160" t="s">
        <v>183</v>
      </c>
      <c r="M83" s="160">
        <v>14</v>
      </c>
      <c r="N83" s="247" t="s">
        <v>894</v>
      </c>
      <c r="O83" s="248">
        <v>1</v>
      </c>
      <c r="P83" s="123"/>
      <c r="Q83" s="144">
        <v>63</v>
      </c>
      <c r="R83" s="144" t="s">
        <v>1124</v>
      </c>
      <c r="S83" s="144" t="s">
        <v>184</v>
      </c>
      <c r="T83" s="144" t="s">
        <v>185</v>
      </c>
      <c r="U83" s="144">
        <v>57</v>
      </c>
      <c r="V83" s="144" t="s">
        <v>186</v>
      </c>
      <c r="W83" s="144">
        <v>6</v>
      </c>
      <c r="X83" s="144" t="s">
        <v>1215</v>
      </c>
      <c r="Y83" s="123"/>
      <c r="Z83" s="144"/>
      <c r="AA83" s="144"/>
      <c r="AB83" s="144"/>
      <c r="AC83" s="144"/>
      <c r="AD83" s="144"/>
      <c r="AE83" s="144"/>
      <c r="AF83" s="123"/>
    </row>
    <row r="84" spans="1:32" ht="15">
      <c r="A84" s="123"/>
      <c r="B84" s="156">
        <v>64</v>
      </c>
      <c r="C84" s="157" t="s">
        <v>560</v>
      </c>
      <c r="D84" s="157" t="s">
        <v>893</v>
      </c>
      <c r="E84" s="157">
        <v>64</v>
      </c>
      <c r="F84" s="157" t="s">
        <v>181</v>
      </c>
      <c r="G84" s="158" t="s">
        <v>182</v>
      </c>
      <c r="H84" s="159">
        <v>64</v>
      </c>
      <c r="I84" s="159">
        <v>4</v>
      </c>
      <c r="J84" s="160" t="s">
        <v>805</v>
      </c>
      <c r="K84" s="160">
        <v>15</v>
      </c>
      <c r="L84" s="160" t="s">
        <v>183</v>
      </c>
      <c r="M84" s="160">
        <v>9</v>
      </c>
      <c r="N84" s="247" t="s">
        <v>894</v>
      </c>
      <c r="O84" s="248">
        <v>1</v>
      </c>
      <c r="P84" s="123"/>
      <c r="Q84" s="144">
        <v>64</v>
      </c>
      <c r="R84" s="144" t="s">
        <v>1132</v>
      </c>
      <c r="S84" s="144" t="s">
        <v>187</v>
      </c>
      <c r="T84" s="144" t="s">
        <v>188</v>
      </c>
      <c r="U84" s="144">
        <v>58</v>
      </c>
      <c r="V84" s="144" t="s">
        <v>186</v>
      </c>
      <c r="W84" s="144">
        <v>5</v>
      </c>
      <c r="X84" s="144" t="s">
        <v>1216</v>
      </c>
      <c r="Y84" s="123"/>
      <c r="Z84" s="144"/>
      <c r="AA84" s="144"/>
      <c r="AB84" s="144"/>
      <c r="AC84" s="144"/>
      <c r="AD84" s="144"/>
      <c r="AE84" s="144"/>
      <c r="AF84" s="123"/>
    </row>
    <row r="85" spans="1:32" ht="15">
      <c r="A85" s="123"/>
      <c r="B85" s="156">
        <v>65</v>
      </c>
      <c r="C85" s="157" t="s">
        <v>500</v>
      </c>
      <c r="D85" s="157" t="s">
        <v>893</v>
      </c>
      <c r="E85" s="157">
        <v>65</v>
      </c>
      <c r="F85" s="157" t="s">
        <v>181</v>
      </c>
      <c r="G85" s="158" t="s">
        <v>182</v>
      </c>
      <c r="H85" s="159">
        <v>65</v>
      </c>
      <c r="I85" s="159">
        <v>0</v>
      </c>
      <c r="J85" s="160" t="s">
        <v>774</v>
      </c>
      <c r="K85" s="160">
        <v>18</v>
      </c>
      <c r="L85" s="160" t="s">
        <v>183</v>
      </c>
      <c r="M85" s="160">
        <v>12</v>
      </c>
      <c r="N85" s="247" t="s">
        <v>894</v>
      </c>
      <c r="O85" s="248">
        <v>1</v>
      </c>
      <c r="P85" s="123"/>
      <c r="Q85" s="144"/>
      <c r="R85" s="144"/>
      <c r="S85" s="144"/>
      <c r="T85" s="144"/>
      <c r="U85" s="144"/>
      <c r="V85" s="144"/>
      <c r="W85" s="144"/>
      <c r="X85" s="144"/>
      <c r="Y85" s="123"/>
      <c r="Z85" s="144"/>
      <c r="AA85" s="144"/>
      <c r="AB85" s="144"/>
      <c r="AC85" s="144"/>
      <c r="AD85" s="144"/>
      <c r="AE85" s="144"/>
      <c r="AF85" s="123"/>
    </row>
    <row r="86" spans="1:32" ht="15">
      <c r="A86" s="123"/>
      <c r="B86" s="156">
        <v>66</v>
      </c>
      <c r="C86" s="157" t="s">
        <v>534</v>
      </c>
      <c r="D86" s="157" t="s">
        <v>893</v>
      </c>
      <c r="E86" s="157">
        <v>66</v>
      </c>
      <c r="F86" s="157" t="s">
        <v>181</v>
      </c>
      <c r="G86" s="158" t="s">
        <v>182</v>
      </c>
      <c r="H86" s="159">
        <v>66</v>
      </c>
      <c r="I86" s="159">
        <v>0</v>
      </c>
      <c r="J86" s="160" t="s">
        <v>774</v>
      </c>
      <c r="K86" s="160">
        <v>19</v>
      </c>
      <c r="L86" s="160" t="s">
        <v>183</v>
      </c>
      <c r="M86" s="160">
        <v>10</v>
      </c>
      <c r="N86" s="247" t="s">
        <v>894</v>
      </c>
      <c r="O86" s="248">
        <v>1</v>
      </c>
      <c r="P86" s="123"/>
      <c r="Q86" s="144"/>
      <c r="R86" s="144"/>
      <c r="S86" s="144"/>
      <c r="T86" s="144"/>
      <c r="U86" s="144"/>
      <c r="V86" s="144"/>
      <c r="W86" s="144"/>
      <c r="X86" s="144"/>
      <c r="Y86" s="123"/>
      <c r="Z86" s="144"/>
      <c r="AA86" s="144"/>
      <c r="AB86" s="144"/>
      <c r="AC86" s="144"/>
      <c r="AD86" s="144"/>
      <c r="AE86" s="144"/>
      <c r="AF86" s="123"/>
    </row>
    <row r="87" spans="1:32" ht="15">
      <c r="A87" s="123"/>
      <c r="B87" s="156">
        <v>67</v>
      </c>
      <c r="C87" s="157" t="s">
        <v>487</v>
      </c>
      <c r="D87" s="157" t="s">
        <v>893</v>
      </c>
      <c r="E87" s="157">
        <v>67</v>
      </c>
      <c r="F87" s="157" t="s">
        <v>181</v>
      </c>
      <c r="G87" s="158" t="s">
        <v>182</v>
      </c>
      <c r="H87" s="159">
        <v>67</v>
      </c>
      <c r="I87" s="159">
        <v>0</v>
      </c>
      <c r="J87" s="160" t="s">
        <v>774</v>
      </c>
      <c r="K87" s="160">
        <v>19</v>
      </c>
      <c r="L87" s="160" t="s">
        <v>183</v>
      </c>
      <c r="M87" s="160">
        <v>14</v>
      </c>
      <c r="N87" s="247" t="s">
        <v>894</v>
      </c>
      <c r="O87" s="248">
        <v>1</v>
      </c>
      <c r="P87" s="123"/>
      <c r="Q87" s="144"/>
      <c r="R87" s="144"/>
      <c r="S87" s="144"/>
      <c r="T87" s="144"/>
      <c r="U87" s="144"/>
      <c r="V87" s="144"/>
      <c r="W87" s="144"/>
      <c r="X87" s="144"/>
      <c r="Y87" s="123"/>
      <c r="Z87" s="144"/>
      <c r="AA87" s="144"/>
      <c r="AB87" s="144"/>
      <c r="AC87" s="144"/>
      <c r="AD87" s="144"/>
      <c r="AE87" s="144"/>
      <c r="AF87" s="123"/>
    </row>
    <row r="88" spans="1:32" ht="15">
      <c r="A88" s="123"/>
      <c r="B88" s="156">
        <v>68</v>
      </c>
      <c r="C88" s="157" t="s">
        <v>574</v>
      </c>
      <c r="D88" s="157" t="s">
        <v>893</v>
      </c>
      <c r="E88" s="157">
        <v>68</v>
      </c>
      <c r="F88" s="157" t="s">
        <v>181</v>
      </c>
      <c r="G88" s="158" t="s">
        <v>182</v>
      </c>
      <c r="H88" s="159">
        <v>68</v>
      </c>
      <c r="I88" s="159">
        <v>0</v>
      </c>
      <c r="J88" s="160" t="s">
        <v>841</v>
      </c>
      <c r="K88" s="160">
        <v>20</v>
      </c>
      <c r="L88" s="160" t="s">
        <v>183</v>
      </c>
      <c r="M88" s="160">
        <v>9</v>
      </c>
      <c r="N88" s="247" t="s">
        <v>894</v>
      </c>
      <c r="O88" s="248">
        <v>1</v>
      </c>
      <c r="P88" s="123"/>
      <c r="Q88" s="144"/>
      <c r="R88" s="144"/>
      <c r="S88" s="144"/>
      <c r="T88" s="144"/>
      <c r="U88" s="144"/>
      <c r="V88" s="144"/>
      <c r="W88" s="144"/>
      <c r="X88" s="144"/>
      <c r="Y88" s="123"/>
      <c r="Z88" s="144"/>
      <c r="AA88" s="144"/>
      <c r="AB88" s="144"/>
      <c r="AC88" s="144"/>
      <c r="AD88" s="144"/>
      <c r="AE88" s="144"/>
      <c r="AF88" s="123"/>
    </row>
    <row r="89" spans="1:32" ht="15">
      <c r="A89" s="123"/>
      <c r="B89" s="156">
        <v>69</v>
      </c>
      <c r="C89" s="157" t="s">
        <v>580</v>
      </c>
      <c r="D89" s="157" t="s">
        <v>893</v>
      </c>
      <c r="E89" s="157">
        <v>69</v>
      </c>
      <c r="F89" s="157" t="s">
        <v>181</v>
      </c>
      <c r="G89" s="158" t="s">
        <v>182</v>
      </c>
      <c r="H89" s="159">
        <v>69</v>
      </c>
      <c r="I89" s="159">
        <v>4</v>
      </c>
      <c r="J89" s="160" t="s">
        <v>841</v>
      </c>
      <c r="K89" s="160">
        <v>20</v>
      </c>
      <c r="L89" s="160" t="s">
        <v>183</v>
      </c>
      <c r="M89" s="160">
        <v>8</v>
      </c>
      <c r="N89" s="247" t="s">
        <v>894</v>
      </c>
      <c r="O89" s="248">
        <v>1</v>
      </c>
      <c r="P89" s="123"/>
      <c r="Q89" s="144"/>
      <c r="R89" s="144"/>
      <c r="S89" s="144"/>
      <c r="T89" s="144"/>
      <c r="U89" s="144"/>
      <c r="V89" s="144"/>
      <c r="W89" s="144"/>
      <c r="X89" s="144"/>
      <c r="Y89" s="123"/>
      <c r="Z89" s="144"/>
      <c r="AA89" s="144"/>
      <c r="AB89" s="144"/>
      <c r="AC89" s="144"/>
      <c r="AD89" s="144"/>
      <c r="AE89" s="144"/>
      <c r="AF89" s="123"/>
    </row>
    <row r="90" spans="1:32" ht="15">
      <c r="A90" s="123"/>
      <c r="B90" s="156">
        <v>70</v>
      </c>
      <c r="C90" s="157" t="s">
        <v>477</v>
      </c>
      <c r="D90" s="157" t="s">
        <v>893</v>
      </c>
      <c r="E90" s="157">
        <v>70</v>
      </c>
      <c r="F90" s="157" t="s">
        <v>181</v>
      </c>
      <c r="G90" s="158" t="s">
        <v>182</v>
      </c>
      <c r="H90" s="159">
        <v>70</v>
      </c>
      <c r="I90" s="159">
        <v>0</v>
      </c>
      <c r="J90" s="160" t="s">
        <v>841</v>
      </c>
      <c r="K90" s="160">
        <v>20</v>
      </c>
      <c r="L90" s="160" t="s">
        <v>183</v>
      </c>
      <c r="M90" s="160">
        <v>15</v>
      </c>
      <c r="N90" s="247" t="s">
        <v>894</v>
      </c>
      <c r="O90" s="248">
        <v>1</v>
      </c>
      <c r="P90" s="123"/>
      <c r="Q90" s="144"/>
      <c r="R90" s="144"/>
      <c r="S90" s="144"/>
      <c r="T90" s="144"/>
      <c r="U90" s="144"/>
      <c r="V90" s="144"/>
      <c r="W90" s="144"/>
      <c r="X90" s="144"/>
      <c r="Y90" s="123"/>
      <c r="Z90" s="144"/>
      <c r="AA90" s="144"/>
      <c r="AB90" s="144"/>
      <c r="AC90" s="144"/>
      <c r="AD90" s="144"/>
      <c r="AE90" s="144"/>
      <c r="AF90" s="123"/>
    </row>
    <row r="91" spans="1:32" ht="15">
      <c r="A91" s="123"/>
      <c r="B91" s="156">
        <v>71</v>
      </c>
      <c r="C91" s="157" t="s">
        <v>581</v>
      </c>
      <c r="D91" s="157" t="s">
        <v>893</v>
      </c>
      <c r="E91" s="157">
        <v>71</v>
      </c>
      <c r="F91" s="157" t="s">
        <v>181</v>
      </c>
      <c r="G91" s="158" t="s">
        <v>182</v>
      </c>
      <c r="H91" s="159">
        <v>71</v>
      </c>
      <c r="I91" s="159">
        <v>4</v>
      </c>
      <c r="J91" s="160" t="s">
        <v>841</v>
      </c>
      <c r="K91" s="160">
        <v>20</v>
      </c>
      <c r="L91" s="160" t="s">
        <v>183</v>
      </c>
      <c r="M91" s="160">
        <v>8</v>
      </c>
      <c r="N91" s="247" t="s">
        <v>894</v>
      </c>
      <c r="O91" s="248">
        <v>1</v>
      </c>
      <c r="P91" s="123"/>
      <c r="Q91" s="144"/>
      <c r="R91" s="144"/>
      <c r="S91" s="144"/>
      <c r="T91" s="144"/>
      <c r="U91" s="144"/>
      <c r="V91" s="144"/>
      <c r="W91" s="144"/>
      <c r="X91" s="144"/>
      <c r="Y91" s="123"/>
      <c r="Z91" s="144"/>
      <c r="AA91" s="144"/>
      <c r="AB91" s="144"/>
      <c r="AC91" s="144"/>
      <c r="AD91" s="144"/>
      <c r="AE91" s="144"/>
      <c r="AF91" s="123"/>
    </row>
    <row r="92" spans="1:32" ht="15">
      <c r="A92" s="123"/>
      <c r="B92" s="156">
        <v>72</v>
      </c>
      <c r="C92" s="157" t="s">
        <v>582</v>
      </c>
      <c r="D92" s="157" t="s">
        <v>893</v>
      </c>
      <c r="E92" s="157">
        <v>72</v>
      </c>
      <c r="F92" s="157" t="s">
        <v>181</v>
      </c>
      <c r="G92" s="158" t="s">
        <v>182</v>
      </c>
      <c r="H92" s="159">
        <v>72</v>
      </c>
      <c r="I92" s="159">
        <v>4</v>
      </c>
      <c r="J92" s="160" t="s">
        <v>841</v>
      </c>
      <c r="K92" s="160">
        <v>20</v>
      </c>
      <c r="L92" s="160" t="s">
        <v>183</v>
      </c>
      <c r="M92" s="160">
        <v>13</v>
      </c>
      <c r="N92" s="247" t="s">
        <v>894</v>
      </c>
      <c r="O92" s="248">
        <v>1</v>
      </c>
      <c r="P92" s="123"/>
      <c r="Q92" s="144"/>
      <c r="R92" s="144"/>
      <c r="S92" s="144"/>
      <c r="T92" s="144"/>
      <c r="U92" s="144"/>
      <c r="V92" s="144"/>
      <c r="W92" s="144"/>
      <c r="X92" s="144"/>
      <c r="Y92" s="123"/>
      <c r="Z92" s="144"/>
      <c r="AA92" s="144"/>
      <c r="AB92" s="144"/>
      <c r="AC92" s="144"/>
      <c r="AD92" s="144"/>
      <c r="AE92" s="144"/>
      <c r="AF92" s="123"/>
    </row>
    <row r="93" spans="1:32" ht="15">
      <c r="A93" s="123"/>
      <c r="B93" s="156">
        <v>73</v>
      </c>
      <c r="C93" s="157" t="s">
        <v>575</v>
      </c>
      <c r="D93" s="157" t="s">
        <v>893</v>
      </c>
      <c r="E93" s="157">
        <v>73</v>
      </c>
      <c r="F93" s="157" t="s">
        <v>181</v>
      </c>
      <c r="G93" s="158" t="s">
        <v>182</v>
      </c>
      <c r="H93" s="159">
        <v>73</v>
      </c>
      <c r="I93" s="159">
        <v>0</v>
      </c>
      <c r="J93" s="160" t="s">
        <v>841</v>
      </c>
      <c r="K93" s="160">
        <v>20</v>
      </c>
      <c r="L93" s="160" t="s">
        <v>183</v>
      </c>
      <c r="M93" s="160">
        <v>11</v>
      </c>
      <c r="N93" s="247" t="s">
        <v>894</v>
      </c>
      <c r="O93" s="248">
        <v>1</v>
      </c>
      <c r="P93" s="123"/>
      <c r="Q93" s="144"/>
      <c r="R93" s="144"/>
      <c r="S93" s="144"/>
      <c r="T93" s="144"/>
      <c r="U93" s="144"/>
      <c r="V93" s="144"/>
      <c r="W93" s="144"/>
      <c r="X93" s="144"/>
      <c r="Y93" s="123"/>
      <c r="Z93" s="144"/>
      <c r="AA93" s="144"/>
      <c r="AB93" s="144"/>
      <c r="AC93" s="144"/>
      <c r="AD93" s="144"/>
      <c r="AE93" s="144"/>
      <c r="AF93" s="123"/>
    </row>
    <row r="94" spans="1:32" ht="15">
      <c r="A94" s="123"/>
      <c r="B94" s="156">
        <v>74</v>
      </c>
      <c r="C94" s="157" t="s">
        <v>583</v>
      </c>
      <c r="D94" s="157" t="s">
        <v>893</v>
      </c>
      <c r="E94" s="157">
        <v>74</v>
      </c>
      <c r="F94" s="157" t="s">
        <v>181</v>
      </c>
      <c r="G94" s="158" t="s">
        <v>182</v>
      </c>
      <c r="H94" s="159">
        <v>74</v>
      </c>
      <c r="I94" s="159">
        <v>4</v>
      </c>
      <c r="J94" s="160" t="s">
        <v>841</v>
      </c>
      <c r="K94" s="160">
        <v>20</v>
      </c>
      <c r="L94" s="160" t="s">
        <v>183</v>
      </c>
      <c r="M94" s="160">
        <v>8</v>
      </c>
      <c r="N94" s="247" t="s">
        <v>894</v>
      </c>
      <c r="O94" s="248">
        <v>1</v>
      </c>
      <c r="P94" s="123"/>
      <c r="Q94" s="144"/>
      <c r="R94" s="144"/>
      <c r="S94" s="144"/>
      <c r="T94" s="144"/>
      <c r="U94" s="144"/>
      <c r="V94" s="144"/>
      <c r="W94" s="144"/>
      <c r="X94" s="144"/>
      <c r="Y94" s="123"/>
      <c r="Z94" s="144"/>
      <c r="AA94" s="144"/>
      <c r="AB94" s="144"/>
      <c r="AC94" s="144"/>
      <c r="AD94" s="144"/>
      <c r="AE94" s="144"/>
      <c r="AF94" s="123"/>
    </row>
    <row r="95" spans="1:32" ht="15">
      <c r="A95" s="123"/>
      <c r="B95" s="156">
        <v>75</v>
      </c>
      <c r="C95" s="157" t="s">
        <v>576</v>
      </c>
      <c r="D95" s="157" t="s">
        <v>893</v>
      </c>
      <c r="E95" s="157">
        <v>75</v>
      </c>
      <c r="F95" s="157" t="s">
        <v>181</v>
      </c>
      <c r="G95" s="158" t="s">
        <v>182</v>
      </c>
      <c r="H95" s="159">
        <v>75</v>
      </c>
      <c r="I95" s="159">
        <v>0</v>
      </c>
      <c r="J95" s="160" t="s">
        <v>841</v>
      </c>
      <c r="K95" s="160">
        <v>20</v>
      </c>
      <c r="L95" s="160" t="s">
        <v>183</v>
      </c>
      <c r="M95" s="160">
        <v>9</v>
      </c>
      <c r="N95" s="247" t="s">
        <v>894</v>
      </c>
      <c r="O95" s="248">
        <v>1</v>
      </c>
      <c r="P95" s="123"/>
      <c r="Q95" s="144"/>
      <c r="R95" s="144"/>
      <c r="S95" s="144"/>
      <c r="T95" s="144"/>
      <c r="U95" s="144"/>
      <c r="V95" s="144"/>
      <c r="W95" s="144"/>
      <c r="X95" s="144"/>
      <c r="Y95" s="123"/>
      <c r="Z95" s="144"/>
      <c r="AA95" s="144"/>
      <c r="AB95" s="144"/>
      <c r="AC95" s="144"/>
      <c r="AD95" s="144"/>
      <c r="AE95" s="144"/>
      <c r="AF95" s="123"/>
    </row>
    <row r="96" spans="1:32" ht="15">
      <c r="A96" s="123"/>
      <c r="B96" s="156">
        <v>76</v>
      </c>
      <c r="C96" s="157" t="s">
        <v>588</v>
      </c>
      <c r="D96" s="157" t="s">
        <v>893</v>
      </c>
      <c r="E96" s="157">
        <v>76</v>
      </c>
      <c r="F96" s="157" t="s">
        <v>181</v>
      </c>
      <c r="G96" s="158" t="s">
        <v>182</v>
      </c>
      <c r="H96" s="159">
        <v>76</v>
      </c>
      <c r="I96" s="159">
        <v>0</v>
      </c>
      <c r="J96" s="160" t="s">
        <v>841</v>
      </c>
      <c r="K96" s="160">
        <v>20</v>
      </c>
      <c r="L96" s="160" t="s">
        <v>183</v>
      </c>
      <c r="M96" s="160">
        <v>7</v>
      </c>
      <c r="N96" s="247" t="s">
        <v>894</v>
      </c>
      <c r="O96" s="248">
        <v>1</v>
      </c>
      <c r="P96" s="123"/>
      <c r="Q96" s="144"/>
      <c r="R96" s="144"/>
      <c r="S96" s="144"/>
      <c r="T96" s="144"/>
      <c r="U96" s="144"/>
      <c r="V96" s="144"/>
      <c r="W96" s="144"/>
      <c r="X96" s="144"/>
      <c r="Y96" s="123"/>
      <c r="Z96" s="144"/>
      <c r="AA96" s="144"/>
      <c r="AB96" s="144"/>
      <c r="AC96" s="144"/>
      <c r="AD96" s="144"/>
      <c r="AE96" s="144"/>
      <c r="AF96" s="123"/>
    </row>
    <row r="97" spans="1:32" ht="15">
      <c r="A97" s="123"/>
      <c r="B97" s="156">
        <v>77</v>
      </c>
      <c r="C97" s="157" t="s">
        <v>589</v>
      </c>
      <c r="D97" s="157" t="s">
        <v>893</v>
      </c>
      <c r="E97" s="157">
        <v>77</v>
      </c>
      <c r="F97" s="157" t="s">
        <v>181</v>
      </c>
      <c r="G97" s="158" t="s">
        <v>182</v>
      </c>
      <c r="H97" s="159">
        <v>77</v>
      </c>
      <c r="I97" s="159">
        <v>0</v>
      </c>
      <c r="J97" s="160" t="s">
        <v>841</v>
      </c>
      <c r="K97" s="160">
        <v>20</v>
      </c>
      <c r="L97" s="160" t="s">
        <v>183</v>
      </c>
      <c r="M97" s="160">
        <v>7</v>
      </c>
      <c r="N97" s="247" t="s">
        <v>894</v>
      </c>
      <c r="O97" s="248">
        <v>1</v>
      </c>
      <c r="P97" s="123"/>
      <c r="Q97" s="144"/>
      <c r="R97" s="144"/>
      <c r="S97" s="144"/>
      <c r="T97" s="144"/>
      <c r="U97" s="144"/>
      <c r="V97" s="144"/>
      <c r="W97" s="144"/>
      <c r="X97" s="144"/>
      <c r="Y97" s="123"/>
      <c r="Z97" s="144"/>
      <c r="AA97" s="144"/>
      <c r="AB97" s="144"/>
      <c r="AC97" s="144"/>
      <c r="AD97" s="144"/>
      <c r="AE97" s="144"/>
      <c r="AF97" s="123"/>
    </row>
    <row r="98" spans="1:32" ht="15">
      <c r="A98" s="123"/>
      <c r="B98" s="156">
        <v>78</v>
      </c>
      <c r="C98" s="157" t="s">
        <v>471</v>
      </c>
      <c r="D98" s="157" t="s">
        <v>893</v>
      </c>
      <c r="E98" s="157">
        <v>78</v>
      </c>
      <c r="F98" s="157" t="s">
        <v>181</v>
      </c>
      <c r="G98" s="158" t="s">
        <v>182</v>
      </c>
      <c r="H98" s="159">
        <v>78</v>
      </c>
      <c r="I98" s="159">
        <v>0</v>
      </c>
      <c r="J98" s="160" t="s">
        <v>841</v>
      </c>
      <c r="K98" s="160">
        <v>20</v>
      </c>
      <c r="L98" s="160" t="s">
        <v>183</v>
      </c>
      <c r="M98" s="160">
        <v>16</v>
      </c>
      <c r="N98" s="247" t="s">
        <v>894</v>
      </c>
      <c r="O98" s="248">
        <v>1</v>
      </c>
      <c r="P98" s="123"/>
      <c r="Q98" s="144"/>
      <c r="R98" s="144"/>
      <c r="S98" s="144"/>
      <c r="T98" s="144"/>
      <c r="U98" s="144"/>
      <c r="V98" s="144"/>
      <c r="W98" s="144"/>
      <c r="X98" s="144"/>
      <c r="Y98" s="123"/>
      <c r="Z98" s="144"/>
      <c r="AA98" s="144"/>
      <c r="AB98" s="144"/>
      <c r="AC98" s="144"/>
      <c r="AD98" s="144"/>
      <c r="AE98" s="144"/>
      <c r="AF98" s="123"/>
    </row>
    <row r="99" spans="1:32" ht="15">
      <c r="A99" s="123"/>
      <c r="B99" s="156">
        <v>79</v>
      </c>
      <c r="C99" s="157" t="s">
        <v>486</v>
      </c>
      <c r="D99" s="157" t="s">
        <v>893</v>
      </c>
      <c r="E99" s="157">
        <v>79</v>
      </c>
      <c r="F99" s="157" t="s">
        <v>181</v>
      </c>
      <c r="G99" s="158" t="s">
        <v>182</v>
      </c>
      <c r="H99" s="159">
        <v>79</v>
      </c>
      <c r="I99" s="159">
        <v>0</v>
      </c>
      <c r="J99" s="160" t="s">
        <v>841</v>
      </c>
      <c r="K99" s="160">
        <v>20</v>
      </c>
      <c r="L99" s="160" t="s">
        <v>183</v>
      </c>
      <c r="M99" s="160">
        <v>14</v>
      </c>
      <c r="N99" s="247" t="s">
        <v>894</v>
      </c>
      <c r="O99" s="248">
        <v>1</v>
      </c>
      <c r="P99" s="123"/>
      <c r="Q99" s="144"/>
      <c r="R99" s="144"/>
      <c r="S99" s="144"/>
      <c r="T99" s="144"/>
      <c r="U99" s="144"/>
      <c r="V99" s="144"/>
      <c r="W99" s="144"/>
      <c r="X99" s="144"/>
      <c r="Y99" s="123"/>
      <c r="Z99" s="144"/>
      <c r="AA99" s="144"/>
      <c r="AB99" s="144"/>
      <c r="AC99" s="144"/>
      <c r="AD99" s="144"/>
      <c r="AE99" s="144"/>
      <c r="AF99" s="123"/>
    </row>
    <row r="100" spans="1:32" ht="15">
      <c r="A100" s="123"/>
      <c r="B100" s="156">
        <v>80</v>
      </c>
      <c r="C100" s="157" t="s">
        <v>577</v>
      </c>
      <c r="D100" s="157" t="s">
        <v>893</v>
      </c>
      <c r="E100" s="157">
        <v>80</v>
      </c>
      <c r="F100" s="157" t="s">
        <v>181</v>
      </c>
      <c r="G100" s="158" t="s">
        <v>182</v>
      </c>
      <c r="H100" s="159">
        <v>80</v>
      </c>
      <c r="I100" s="159">
        <v>0</v>
      </c>
      <c r="J100" s="160" t="s">
        <v>841</v>
      </c>
      <c r="K100" s="160">
        <v>20</v>
      </c>
      <c r="L100" s="160" t="s">
        <v>183</v>
      </c>
      <c r="M100" s="160">
        <v>9</v>
      </c>
      <c r="N100" s="247" t="s">
        <v>894</v>
      </c>
      <c r="O100" s="248">
        <v>1</v>
      </c>
      <c r="P100" s="123"/>
      <c r="Q100" s="144"/>
      <c r="R100" s="144"/>
      <c r="S100" s="144"/>
      <c r="T100" s="144"/>
      <c r="U100" s="144"/>
      <c r="V100" s="144"/>
      <c r="W100" s="144"/>
      <c r="X100" s="144"/>
      <c r="Y100" s="123"/>
      <c r="Z100" s="144"/>
      <c r="AA100" s="144"/>
      <c r="AB100" s="144"/>
      <c r="AC100" s="144"/>
      <c r="AD100" s="144"/>
      <c r="AE100" s="144"/>
      <c r="AF100" s="123"/>
    </row>
    <row r="101" spans="1:32" ht="15">
      <c r="A101" s="123"/>
      <c r="B101" s="156">
        <v>81</v>
      </c>
      <c r="C101" s="157" t="s">
        <v>475</v>
      </c>
      <c r="D101" s="157" t="s">
        <v>893</v>
      </c>
      <c r="E101" s="157">
        <v>81</v>
      </c>
      <c r="F101" s="157" t="s">
        <v>181</v>
      </c>
      <c r="G101" s="158" t="s">
        <v>182</v>
      </c>
      <c r="H101" s="159">
        <v>81</v>
      </c>
      <c r="I101" s="159">
        <v>0</v>
      </c>
      <c r="J101" s="160" t="s">
        <v>833</v>
      </c>
      <c r="K101" s="160">
        <v>21</v>
      </c>
      <c r="L101" s="160" t="s">
        <v>183</v>
      </c>
      <c r="M101" s="160">
        <v>15</v>
      </c>
      <c r="N101" s="247" t="s">
        <v>894</v>
      </c>
      <c r="O101" s="248">
        <v>1</v>
      </c>
      <c r="P101" s="123"/>
      <c r="Q101" s="144"/>
      <c r="R101" s="144"/>
      <c r="S101" s="144"/>
      <c r="T101" s="144"/>
      <c r="U101" s="144"/>
      <c r="V101" s="144"/>
      <c r="W101" s="144"/>
      <c r="X101" s="144"/>
      <c r="Y101" s="123"/>
      <c r="Z101" s="144"/>
      <c r="AA101" s="144"/>
      <c r="AB101" s="144"/>
      <c r="AC101" s="144"/>
      <c r="AD101" s="144"/>
      <c r="AE101" s="144"/>
      <c r="AF101" s="123"/>
    </row>
    <row r="102" spans="1:32" ht="15">
      <c r="A102" s="123"/>
      <c r="B102" s="156">
        <v>82</v>
      </c>
      <c r="C102" s="157" t="s">
        <v>476</v>
      </c>
      <c r="D102" s="157" t="s">
        <v>893</v>
      </c>
      <c r="E102" s="157">
        <v>82</v>
      </c>
      <c r="F102" s="157" t="s">
        <v>181</v>
      </c>
      <c r="G102" s="158" t="s">
        <v>182</v>
      </c>
      <c r="H102" s="159">
        <v>82</v>
      </c>
      <c r="I102" s="159">
        <v>0</v>
      </c>
      <c r="J102" s="160" t="s">
        <v>833</v>
      </c>
      <c r="K102" s="160">
        <v>21</v>
      </c>
      <c r="L102" s="160" t="s">
        <v>183</v>
      </c>
      <c r="M102" s="160">
        <v>15</v>
      </c>
      <c r="N102" s="247" t="s">
        <v>894</v>
      </c>
      <c r="O102" s="248">
        <v>1</v>
      </c>
      <c r="P102" s="123"/>
      <c r="Q102" s="144"/>
      <c r="R102" s="144"/>
      <c r="S102" s="144"/>
      <c r="T102" s="144"/>
      <c r="U102" s="144"/>
      <c r="V102" s="144"/>
      <c r="W102" s="144"/>
      <c r="X102" s="144"/>
      <c r="Y102" s="123"/>
      <c r="Z102" s="144"/>
      <c r="AA102" s="144"/>
      <c r="AB102" s="144"/>
      <c r="AC102" s="144"/>
      <c r="AD102" s="144"/>
      <c r="AE102" s="144"/>
      <c r="AF102" s="123"/>
    </row>
    <row r="103" spans="1:32" ht="15">
      <c r="A103" s="123"/>
      <c r="B103" s="156">
        <v>83</v>
      </c>
      <c r="C103" s="157" t="s">
        <v>482</v>
      </c>
      <c r="D103" s="157" t="s">
        <v>893</v>
      </c>
      <c r="E103" s="157">
        <v>83</v>
      </c>
      <c r="F103" s="157" t="s">
        <v>181</v>
      </c>
      <c r="G103" s="158" t="s">
        <v>182</v>
      </c>
      <c r="H103" s="159">
        <v>83</v>
      </c>
      <c r="I103" s="159">
        <v>0</v>
      </c>
      <c r="J103" s="160" t="s">
        <v>833</v>
      </c>
      <c r="K103" s="160">
        <v>21</v>
      </c>
      <c r="L103" s="160" t="s">
        <v>183</v>
      </c>
      <c r="M103" s="160">
        <v>14</v>
      </c>
      <c r="N103" s="247" t="s">
        <v>894</v>
      </c>
      <c r="O103" s="248">
        <v>1</v>
      </c>
      <c r="P103" s="123"/>
      <c r="Q103" s="144"/>
      <c r="R103" s="144"/>
      <c r="S103" s="144"/>
      <c r="T103" s="144"/>
      <c r="U103" s="144"/>
      <c r="V103" s="144"/>
      <c r="W103" s="144"/>
      <c r="X103" s="144"/>
      <c r="Y103" s="123"/>
      <c r="Z103" s="144"/>
      <c r="AA103" s="144"/>
      <c r="AB103" s="144"/>
      <c r="AC103" s="144"/>
      <c r="AD103" s="144"/>
      <c r="AE103" s="144"/>
      <c r="AF103" s="123"/>
    </row>
    <row r="104" spans="1:32" ht="15">
      <c r="A104" s="123"/>
      <c r="B104" s="156">
        <v>84</v>
      </c>
      <c r="C104" s="157" t="s">
        <v>492</v>
      </c>
      <c r="D104" s="157" t="s">
        <v>893</v>
      </c>
      <c r="E104" s="157">
        <v>84</v>
      </c>
      <c r="F104" s="157" t="s">
        <v>181</v>
      </c>
      <c r="G104" s="158" t="s">
        <v>182</v>
      </c>
      <c r="H104" s="159">
        <v>84</v>
      </c>
      <c r="I104" s="159">
        <v>0</v>
      </c>
      <c r="J104" s="160" t="s">
        <v>833</v>
      </c>
      <c r="K104" s="160">
        <v>21</v>
      </c>
      <c r="L104" s="160" t="s">
        <v>183</v>
      </c>
      <c r="M104" s="160">
        <v>13</v>
      </c>
      <c r="N104" s="247" t="s">
        <v>894</v>
      </c>
      <c r="O104" s="248">
        <v>1</v>
      </c>
      <c r="P104" s="123"/>
      <c r="Q104" s="144"/>
      <c r="R104" s="144"/>
      <c r="S104" s="144"/>
      <c r="T104" s="144"/>
      <c r="U104" s="144"/>
      <c r="V104" s="144"/>
      <c r="W104" s="144"/>
      <c r="X104" s="144"/>
      <c r="Y104" s="123"/>
      <c r="Z104" s="144"/>
      <c r="AA104" s="144"/>
      <c r="AB104" s="144"/>
      <c r="AC104" s="144"/>
      <c r="AD104" s="144"/>
      <c r="AE104" s="144"/>
      <c r="AF104" s="123"/>
    </row>
    <row r="105" spans="1:32" ht="15">
      <c r="A105" s="123"/>
      <c r="B105" s="156">
        <v>85</v>
      </c>
      <c r="C105" s="157" t="s">
        <v>483</v>
      </c>
      <c r="D105" s="157" t="s">
        <v>893</v>
      </c>
      <c r="E105" s="157">
        <v>85</v>
      </c>
      <c r="F105" s="157" t="s">
        <v>181</v>
      </c>
      <c r="G105" s="158" t="s">
        <v>182</v>
      </c>
      <c r="H105" s="159">
        <v>85</v>
      </c>
      <c r="I105" s="159">
        <v>0</v>
      </c>
      <c r="J105" s="160" t="s">
        <v>833</v>
      </c>
      <c r="K105" s="160">
        <v>21</v>
      </c>
      <c r="L105" s="160" t="s">
        <v>183</v>
      </c>
      <c r="M105" s="160">
        <v>14</v>
      </c>
      <c r="N105" s="247" t="s">
        <v>894</v>
      </c>
      <c r="O105" s="248">
        <v>1</v>
      </c>
      <c r="P105" s="123"/>
      <c r="Q105" s="144"/>
      <c r="R105" s="144"/>
      <c r="S105" s="144"/>
      <c r="T105" s="144"/>
      <c r="U105" s="144"/>
      <c r="V105" s="144"/>
      <c r="W105" s="144"/>
      <c r="X105" s="144"/>
      <c r="Y105" s="123"/>
      <c r="Z105" s="144"/>
      <c r="AA105" s="144"/>
      <c r="AB105" s="144"/>
      <c r="AC105" s="144"/>
      <c r="AD105" s="144"/>
      <c r="AE105" s="144"/>
      <c r="AF105" s="123"/>
    </row>
    <row r="106" spans="1:32" ht="15">
      <c r="A106" s="123"/>
      <c r="B106" s="156">
        <v>86</v>
      </c>
      <c r="C106" s="157" t="s">
        <v>484</v>
      </c>
      <c r="D106" s="157" t="s">
        <v>893</v>
      </c>
      <c r="E106" s="157">
        <v>86</v>
      </c>
      <c r="F106" s="157" t="s">
        <v>181</v>
      </c>
      <c r="G106" s="158" t="s">
        <v>182</v>
      </c>
      <c r="H106" s="159">
        <v>86</v>
      </c>
      <c r="I106" s="159">
        <v>0</v>
      </c>
      <c r="J106" s="160" t="s">
        <v>833</v>
      </c>
      <c r="K106" s="160">
        <v>21</v>
      </c>
      <c r="L106" s="160" t="s">
        <v>183</v>
      </c>
      <c r="M106" s="160">
        <v>14</v>
      </c>
      <c r="N106" s="247" t="s">
        <v>894</v>
      </c>
      <c r="O106" s="248">
        <v>1</v>
      </c>
      <c r="P106" s="123"/>
      <c r="Q106" s="144"/>
      <c r="R106" s="144"/>
      <c r="S106" s="144"/>
      <c r="T106" s="144"/>
      <c r="U106" s="144"/>
      <c r="V106" s="144"/>
      <c r="W106" s="144"/>
      <c r="X106" s="144"/>
      <c r="Y106" s="123"/>
      <c r="Z106" s="144"/>
      <c r="AA106" s="123"/>
      <c r="AB106" s="123"/>
      <c r="AC106" s="123"/>
      <c r="AD106" s="144"/>
      <c r="AE106" s="144"/>
      <c r="AF106" s="123"/>
    </row>
    <row r="107" spans="1:32" ht="15">
      <c r="A107" s="123"/>
      <c r="B107" s="156">
        <v>87</v>
      </c>
      <c r="C107" s="157" t="s">
        <v>485</v>
      </c>
      <c r="D107" s="157" t="s">
        <v>893</v>
      </c>
      <c r="E107" s="157">
        <v>87</v>
      </c>
      <c r="F107" s="157" t="s">
        <v>181</v>
      </c>
      <c r="G107" s="158" t="s">
        <v>182</v>
      </c>
      <c r="H107" s="159">
        <v>87</v>
      </c>
      <c r="I107" s="159">
        <v>0</v>
      </c>
      <c r="J107" s="160" t="s">
        <v>833</v>
      </c>
      <c r="K107" s="160">
        <v>21</v>
      </c>
      <c r="L107" s="160" t="s">
        <v>183</v>
      </c>
      <c r="M107" s="160">
        <v>14</v>
      </c>
      <c r="N107" s="247" t="s">
        <v>894</v>
      </c>
      <c r="O107" s="248">
        <v>1</v>
      </c>
      <c r="P107" s="123"/>
      <c r="Q107" s="144"/>
      <c r="R107" s="144"/>
      <c r="S107" s="144"/>
      <c r="T107" s="144"/>
      <c r="U107" s="144"/>
      <c r="V107" s="144"/>
      <c r="W107" s="144"/>
      <c r="X107" s="144"/>
      <c r="Y107" s="123"/>
      <c r="Z107" s="144"/>
      <c r="AA107" s="123"/>
      <c r="AB107" s="123"/>
      <c r="AC107" s="123"/>
      <c r="AD107" s="144"/>
      <c r="AE107" s="144"/>
      <c r="AF107" s="123"/>
    </row>
    <row r="108" spans="1:32" ht="15">
      <c r="A108" s="123"/>
      <c r="B108" s="156">
        <v>88</v>
      </c>
      <c r="C108" s="157" t="s">
        <v>572</v>
      </c>
      <c r="D108" s="157" t="s">
        <v>893</v>
      </c>
      <c r="E108" s="157">
        <v>88</v>
      </c>
      <c r="F108" s="157" t="s">
        <v>181</v>
      </c>
      <c r="G108" s="158" t="s">
        <v>182</v>
      </c>
      <c r="H108" s="159">
        <v>88</v>
      </c>
      <c r="I108" s="159">
        <v>4</v>
      </c>
      <c r="J108" s="160" t="s">
        <v>833</v>
      </c>
      <c r="K108" s="160">
        <v>21</v>
      </c>
      <c r="L108" s="160" t="s">
        <v>183</v>
      </c>
      <c r="M108" s="160">
        <v>9</v>
      </c>
      <c r="N108" s="247" t="s">
        <v>894</v>
      </c>
      <c r="O108" s="248">
        <v>1</v>
      </c>
      <c r="P108" s="123"/>
      <c r="Q108" s="144"/>
      <c r="R108" s="144"/>
      <c r="S108" s="144"/>
      <c r="T108" s="144"/>
      <c r="U108" s="144"/>
      <c r="V108" s="144"/>
      <c r="W108" s="144"/>
      <c r="X108" s="144"/>
      <c r="Y108" s="123"/>
      <c r="Z108" s="144"/>
      <c r="AA108" s="123"/>
      <c r="AB108" s="123"/>
      <c r="AC108" s="123"/>
      <c r="AD108" s="144"/>
      <c r="AE108" s="144"/>
      <c r="AF108" s="123"/>
    </row>
    <row r="109" spans="1:32" ht="15">
      <c r="A109" s="123"/>
      <c r="B109" s="156">
        <v>89</v>
      </c>
      <c r="C109" s="157" t="s">
        <v>573</v>
      </c>
      <c r="D109" s="157" t="s">
        <v>893</v>
      </c>
      <c r="E109" s="157">
        <v>89</v>
      </c>
      <c r="F109" s="157" t="s">
        <v>181</v>
      </c>
      <c r="G109" s="158" t="s">
        <v>182</v>
      </c>
      <c r="H109" s="159">
        <v>89</v>
      </c>
      <c r="I109" s="159">
        <v>4</v>
      </c>
      <c r="J109" s="160" t="s">
        <v>833</v>
      </c>
      <c r="K109" s="160">
        <v>21</v>
      </c>
      <c r="L109" s="160" t="s">
        <v>183</v>
      </c>
      <c r="M109" s="160">
        <v>9</v>
      </c>
      <c r="N109" s="247" t="s">
        <v>894</v>
      </c>
      <c r="O109" s="248">
        <v>1</v>
      </c>
      <c r="P109" s="123"/>
      <c r="Q109" s="144"/>
      <c r="R109" s="144"/>
      <c r="S109" s="144"/>
      <c r="T109" s="144"/>
      <c r="U109" s="144"/>
      <c r="V109" s="144"/>
      <c r="W109" s="144"/>
      <c r="X109" s="144"/>
      <c r="Y109" s="123"/>
      <c r="Z109" s="144"/>
      <c r="AA109" s="123"/>
      <c r="AB109" s="123"/>
      <c r="AC109" s="123"/>
      <c r="AD109" s="144"/>
      <c r="AE109" s="144"/>
      <c r="AF109" s="123"/>
    </row>
    <row r="110" spans="1:32" ht="15">
      <c r="A110" s="123"/>
      <c r="B110" s="156">
        <v>90</v>
      </c>
      <c r="C110" s="157" t="s">
        <v>517</v>
      </c>
      <c r="D110" s="157" t="s">
        <v>893</v>
      </c>
      <c r="E110" s="157">
        <v>90</v>
      </c>
      <c r="F110" s="157" t="s">
        <v>181</v>
      </c>
      <c r="G110" s="158" t="s">
        <v>182</v>
      </c>
      <c r="H110" s="159">
        <v>90</v>
      </c>
      <c r="I110" s="159">
        <v>0</v>
      </c>
      <c r="J110" s="160" t="s">
        <v>783</v>
      </c>
      <c r="K110" s="160">
        <v>23</v>
      </c>
      <c r="L110" s="160" t="s">
        <v>183</v>
      </c>
      <c r="M110" s="160">
        <v>11</v>
      </c>
      <c r="N110" s="247" t="s">
        <v>894</v>
      </c>
      <c r="O110" s="248">
        <v>1</v>
      </c>
      <c r="P110" s="123"/>
      <c r="Q110" s="144"/>
      <c r="R110" s="144"/>
      <c r="S110" s="144"/>
      <c r="T110" s="144"/>
      <c r="U110" s="144"/>
      <c r="V110" s="144"/>
      <c r="W110" s="144"/>
      <c r="X110" s="144"/>
      <c r="Y110" s="123"/>
      <c r="Z110" s="144"/>
      <c r="AA110" s="123"/>
      <c r="AB110" s="123"/>
      <c r="AC110" s="123"/>
      <c r="AD110" s="144"/>
      <c r="AE110" s="144"/>
      <c r="AF110" s="123"/>
    </row>
    <row r="111" spans="1:32" ht="15">
      <c r="A111" s="123"/>
      <c r="B111" s="156">
        <v>91</v>
      </c>
      <c r="C111" s="157" t="s">
        <v>536</v>
      </c>
      <c r="D111" s="157" t="s">
        <v>893</v>
      </c>
      <c r="E111" s="157">
        <v>91</v>
      </c>
      <c r="F111" s="157" t="s">
        <v>181</v>
      </c>
      <c r="G111" s="158" t="s">
        <v>182</v>
      </c>
      <c r="H111" s="159">
        <v>91</v>
      </c>
      <c r="I111" s="159">
        <v>0</v>
      </c>
      <c r="J111" s="160" t="s">
        <v>783</v>
      </c>
      <c r="K111" s="160">
        <v>24</v>
      </c>
      <c r="L111" s="160" t="s">
        <v>183</v>
      </c>
      <c r="M111" s="160">
        <v>10</v>
      </c>
      <c r="N111" s="247" t="s">
        <v>894</v>
      </c>
      <c r="O111" s="248">
        <v>1</v>
      </c>
      <c r="P111" s="123"/>
      <c r="Q111" s="144"/>
      <c r="R111" s="144"/>
      <c r="S111" s="144"/>
      <c r="T111" s="144"/>
      <c r="U111" s="144"/>
      <c r="V111" s="144"/>
      <c r="W111" s="144"/>
      <c r="X111" s="144"/>
      <c r="Y111" s="123"/>
      <c r="Z111" s="144"/>
      <c r="AA111" s="123"/>
      <c r="AB111" s="123"/>
      <c r="AC111" s="123"/>
      <c r="AD111" s="144"/>
      <c r="AE111" s="144"/>
      <c r="AF111" s="123"/>
    </row>
    <row r="112" spans="1:32" ht="15">
      <c r="A112" s="123"/>
      <c r="B112" s="156">
        <v>92</v>
      </c>
      <c r="C112" s="157" t="s">
        <v>537</v>
      </c>
      <c r="D112" s="157" t="s">
        <v>893</v>
      </c>
      <c r="E112" s="157">
        <v>92</v>
      </c>
      <c r="F112" s="157" t="s">
        <v>181</v>
      </c>
      <c r="G112" s="158" t="s">
        <v>182</v>
      </c>
      <c r="H112" s="159">
        <v>92</v>
      </c>
      <c r="I112" s="159">
        <v>0</v>
      </c>
      <c r="J112" s="160" t="s">
        <v>783</v>
      </c>
      <c r="K112" s="160">
        <v>24</v>
      </c>
      <c r="L112" s="160" t="s">
        <v>183</v>
      </c>
      <c r="M112" s="160">
        <v>10</v>
      </c>
      <c r="N112" s="247" t="s">
        <v>894</v>
      </c>
      <c r="O112" s="248">
        <v>1</v>
      </c>
      <c r="P112" s="123"/>
      <c r="Q112" s="144"/>
      <c r="R112" s="144"/>
      <c r="S112" s="144"/>
      <c r="T112" s="144"/>
      <c r="U112" s="144"/>
      <c r="V112" s="144"/>
      <c r="W112" s="144"/>
      <c r="X112" s="144"/>
      <c r="Y112" s="123"/>
      <c r="Z112" s="144"/>
      <c r="AA112" s="123"/>
      <c r="AB112" s="123"/>
      <c r="AC112" s="123"/>
      <c r="AD112" s="144"/>
      <c r="AE112" s="144"/>
      <c r="AF112" s="123"/>
    </row>
    <row r="113" spans="1:32" ht="15">
      <c r="A113" s="123"/>
      <c r="B113" s="156">
        <v>93</v>
      </c>
      <c r="C113" s="157" t="s">
        <v>1024</v>
      </c>
      <c r="D113" s="157" t="s">
        <v>893</v>
      </c>
      <c r="E113" s="157">
        <v>93</v>
      </c>
      <c r="F113" s="157" t="s">
        <v>181</v>
      </c>
      <c r="G113" s="158" t="s">
        <v>182</v>
      </c>
      <c r="H113" s="159">
        <v>93</v>
      </c>
      <c r="I113" s="159">
        <v>0</v>
      </c>
      <c r="J113" s="160" t="s">
        <v>1103</v>
      </c>
      <c r="K113" s="160">
        <v>25</v>
      </c>
      <c r="L113" s="160" t="s">
        <v>183</v>
      </c>
      <c r="M113" s="160">
        <v>7</v>
      </c>
      <c r="N113" s="247" t="s">
        <v>894</v>
      </c>
      <c r="O113" s="248">
        <v>1</v>
      </c>
      <c r="P113" s="123"/>
      <c r="Q113" s="144"/>
      <c r="R113" s="144"/>
      <c r="S113" s="144"/>
      <c r="T113" s="144"/>
      <c r="U113" s="144"/>
      <c r="V113" s="144"/>
      <c r="W113" s="144"/>
      <c r="X113" s="144"/>
      <c r="Y113" s="123"/>
      <c r="Z113" s="144"/>
      <c r="AA113" s="123"/>
      <c r="AB113" s="123"/>
      <c r="AC113" s="123"/>
      <c r="AD113" s="144"/>
      <c r="AE113" s="144"/>
      <c r="AF113" s="123"/>
    </row>
    <row r="114" spans="1:32" ht="15">
      <c r="A114" s="123"/>
      <c r="B114" s="156">
        <v>94</v>
      </c>
      <c r="C114" s="157" t="s">
        <v>1025</v>
      </c>
      <c r="D114" s="157" t="s">
        <v>893</v>
      </c>
      <c r="E114" s="157">
        <v>94</v>
      </c>
      <c r="F114" s="157" t="s">
        <v>181</v>
      </c>
      <c r="G114" s="158" t="s">
        <v>182</v>
      </c>
      <c r="H114" s="159">
        <v>94</v>
      </c>
      <c r="I114" s="159">
        <v>0</v>
      </c>
      <c r="J114" s="160" t="s">
        <v>1103</v>
      </c>
      <c r="K114" s="160">
        <v>25</v>
      </c>
      <c r="L114" s="160" t="s">
        <v>183</v>
      </c>
      <c r="M114" s="160">
        <v>7</v>
      </c>
      <c r="N114" s="247" t="s">
        <v>894</v>
      </c>
      <c r="O114" s="248">
        <v>1</v>
      </c>
      <c r="P114" s="123"/>
      <c r="Q114" s="144"/>
      <c r="R114" s="144"/>
      <c r="S114" s="144"/>
      <c r="T114" s="144"/>
      <c r="U114" s="144"/>
      <c r="V114" s="144"/>
      <c r="W114" s="144"/>
      <c r="X114" s="144"/>
      <c r="Y114" s="123"/>
      <c r="Z114" s="144"/>
      <c r="AA114" s="123"/>
      <c r="AB114" s="123"/>
      <c r="AC114" s="123"/>
      <c r="AD114" s="144"/>
      <c r="AE114" s="144"/>
      <c r="AF114" s="123"/>
    </row>
    <row r="115" spans="1:32" ht="15">
      <c r="A115" s="252"/>
      <c r="B115" s="156">
        <v>95</v>
      </c>
      <c r="C115" s="250" t="s">
        <v>1079</v>
      </c>
      <c r="D115" s="157" t="s">
        <v>893</v>
      </c>
      <c r="E115" s="157">
        <v>95</v>
      </c>
      <c r="F115" s="157" t="s">
        <v>181</v>
      </c>
      <c r="G115" s="158" t="s">
        <v>182</v>
      </c>
      <c r="H115" s="159">
        <v>95</v>
      </c>
      <c r="I115" s="159">
        <v>0</v>
      </c>
      <c r="J115" s="160" t="s">
        <v>1103</v>
      </c>
      <c r="K115" s="160">
        <v>25</v>
      </c>
      <c r="L115" s="253" t="s">
        <v>183</v>
      </c>
      <c r="M115" s="254">
        <v>16</v>
      </c>
      <c r="N115" s="247" t="s">
        <v>894</v>
      </c>
      <c r="O115" s="248">
        <v>1</v>
      </c>
      <c r="P115" s="123"/>
      <c r="Q115" s="144"/>
      <c r="R115" s="144"/>
      <c r="S115" s="144"/>
      <c r="T115" s="144"/>
      <c r="U115" s="144"/>
      <c r="V115" s="144"/>
      <c r="W115" s="144"/>
      <c r="X115" s="144"/>
      <c r="Y115" s="123"/>
      <c r="Z115" s="144"/>
      <c r="AA115" s="123"/>
      <c r="AB115" s="123"/>
      <c r="AC115" s="123"/>
      <c r="AD115" s="144"/>
      <c r="AE115" s="144"/>
      <c r="AF115" s="123"/>
    </row>
    <row r="116" spans="1:32" ht="15">
      <c r="A116" s="252"/>
      <c r="B116" s="156">
        <v>96</v>
      </c>
      <c r="C116" s="250" t="s">
        <v>1010</v>
      </c>
      <c r="D116" s="157" t="s">
        <v>893</v>
      </c>
      <c r="E116" s="157">
        <v>96</v>
      </c>
      <c r="F116" s="157" t="s">
        <v>181</v>
      </c>
      <c r="G116" s="158" t="s">
        <v>182</v>
      </c>
      <c r="H116" s="159">
        <v>96</v>
      </c>
      <c r="I116" s="159">
        <v>0</v>
      </c>
      <c r="J116" s="160" t="s">
        <v>1103</v>
      </c>
      <c r="K116" s="160">
        <v>25</v>
      </c>
      <c r="L116" s="253" t="s">
        <v>183</v>
      </c>
      <c r="M116" s="160">
        <v>13</v>
      </c>
      <c r="N116" s="247" t="s">
        <v>894</v>
      </c>
      <c r="O116" s="248">
        <v>1</v>
      </c>
      <c r="P116" s="123"/>
      <c r="Q116" s="144"/>
      <c r="R116" s="144"/>
      <c r="S116" s="144"/>
      <c r="T116" s="144"/>
      <c r="U116" s="144"/>
      <c r="V116" s="144"/>
      <c r="W116" s="144"/>
      <c r="X116" s="144"/>
      <c r="Y116" s="123"/>
      <c r="Z116" s="144"/>
      <c r="AA116" s="123"/>
      <c r="AB116" s="123"/>
      <c r="AC116" s="123"/>
      <c r="AD116" s="144"/>
      <c r="AE116" s="144"/>
      <c r="AF116" s="123"/>
    </row>
    <row r="117" spans="1:32" ht="15">
      <c r="A117" s="252"/>
      <c r="B117" s="156">
        <v>97</v>
      </c>
      <c r="C117" s="250" t="s">
        <v>1011</v>
      </c>
      <c r="D117" s="157" t="s">
        <v>893</v>
      </c>
      <c r="E117" s="157">
        <v>97</v>
      </c>
      <c r="F117" s="157" t="s">
        <v>181</v>
      </c>
      <c r="G117" s="158" t="s">
        <v>182</v>
      </c>
      <c r="H117" s="159">
        <v>97</v>
      </c>
      <c r="I117" s="159">
        <v>0</v>
      </c>
      <c r="J117" s="160" t="s">
        <v>1103</v>
      </c>
      <c r="K117" s="160">
        <v>25</v>
      </c>
      <c r="L117" s="253" t="s">
        <v>183</v>
      </c>
      <c r="M117" s="160">
        <v>13</v>
      </c>
      <c r="N117" s="247" t="s">
        <v>894</v>
      </c>
      <c r="O117" s="248">
        <v>1</v>
      </c>
      <c r="P117" s="123"/>
      <c r="Q117" s="144"/>
      <c r="R117" s="144"/>
      <c r="S117" s="144"/>
      <c r="T117" s="144"/>
      <c r="U117" s="144"/>
      <c r="V117" s="144"/>
      <c r="W117" s="144"/>
      <c r="X117" s="144"/>
      <c r="Y117" s="123"/>
      <c r="Z117" s="144"/>
      <c r="AA117" s="123"/>
      <c r="AB117" s="123"/>
      <c r="AC117" s="123"/>
      <c r="AD117" s="144"/>
      <c r="AE117" s="144"/>
      <c r="AF117" s="123"/>
    </row>
    <row r="118" spans="1:32" ht="15">
      <c r="A118" s="252"/>
      <c r="B118" s="156">
        <v>98</v>
      </c>
      <c r="C118" s="250" t="s">
        <v>1193</v>
      </c>
      <c r="D118" s="157" t="s">
        <v>893</v>
      </c>
      <c r="E118" s="157">
        <v>98</v>
      </c>
      <c r="F118" s="157" t="s">
        <v>181</v>
      </c>
      <c r="G118" s="158" t="s">
        <v>182</v>
      </c>
      <c r="H118" s="159">
        <v>98</v>
      </c>
      <c r="I118" s="159">
        <v>0</v>
      </c>
      <c r="J118" s="160" t="s">
        <v>1103</v>
      </c>
      <c r="K118" s="160">
        <v>25</v>
      </c>
      <c r="L118" s="253" t="s">
        <v>183</v>
      </c>
      <c r="M118" s="254">
        <v>14</v>
      </c>
      <c r="N118" s="247" t="s">
        <v>894</v>
      </c>
      <c r="O118" s="248">
        <v>1</v>
      </c>
      <c r="P118" s="123"/>
      <c r="Q118" s="144"/>
      <c r="R118" s="144"/>
      <c r="S118" s="144"/>
      <c r="T118" s="144"/>
      <c r="U118" s="144"/>
      <c r="V118" s="144"/>
      <c r="W118" s="144"/>
      <c r="X118" s="144"/>
      <c r="Y118" s="123"/>
      <c r="Z118" s="144"/>
      <c r="AA118" s="123"/>
      <c r="AB118" s="123"/>
      <c r="AC118" s="123"/>
      <c r="AD118" s="144"/>
      <c r="AE118" s="144"/>
      <c r="AF118" s="123"/>
    </row>
    <row r="119" spans="1:32" ht="15">
      <c r="A119" s="255"/>
      <c r="B119" s="256">
        <v>99</v>
      </c>
      <c r="C119" s="257" t="s">
        <v>1085</v>
      </c>
      <c r="D119" s="257" t="s">
        <v>893</v>
      </c>
      <c r="E119" s="257">
        <v>99</v>
      </c>
      <c r="F119" s="257" t="s">
        <v>181</v>
      </c>
      <c r="G119" s="258" t="s">
        <v>182</v>
      </c>
      <c r="H119" s="259">
        <v>99</v>
      </c>
      <c r="I119" s="259">
        <v>4</v>
      </c>
      <c r="J119" s="254" t="s">
        <v>1103</v>
      </c>
      <c r="K119" s="254">
        <v>25</v>
      </c>
      <c r="L119" s="254" t="s">
        <v>183</v>
      </c>
      <c r="M119" s="254">
        <v>9</v>
      </c>
      <c r="N119" s="260" t="s">
        <v>894</v>
      </c>
      <c r="O119" s="261">
        <v>1</v>
      </c>
      <c r="P119" s="123"/>
      <c r="Q119" s="144"/>
      <c r="R119" s="144"/>
      <c r="S119" s="144"/>
      <c r="T119" s="144"/>
      <c r="U119" s="144"/>
      <c r="V119" s="144"/>
      <c r="W119" s="144"/>
      <c r="X119" s="144"/>
      <c r="Y119" s="123"/>
      <c r="Z119" s="144"/>
      <c r="AA119" s="123"/>
      <c r="AB119" s="123"/>
      <c r="AC119" s="123"/>
      <c r="AD119" s="144"/>
      <c r="AE119" s="144"/>
      <c r="AF119" s="123"/>
    </row>
    <row r="120" spans="1:32" ht="15">
      <c r="A120" s="123"/>
      <c r="B120" s="156">
        <v>100</v>
      </c>
      <c r="C120" s="157" t="s">
        <v>1015</v>
      </c>
      <c r="D120" s="157" t="s">
        <v>893</v>
      </c>
      <c r="E120" s="157">
        <v>100</v>
      </c>
      <c r="F120" s="157" t="s">
        <v>181</v>
      </c>
      <c r="G120" s="158" t="s">
        <v>182</v>
      </c>
      <c r="H120" s="159">
        <v>100</v>
      </c>
      <c r="I120" s="159">
        <v>0</v>
      </c>
      <c r="J120" s="160" t="s">
        <v>1112</v>
      </c>
      <c r="K120" s="160">
        <v>26</v>
      </c>
      <c r="L120" s="160" t="s">
        <v>183</v>
      </c>
      <c r="M120" s="160">
        <v>11</v>
      </c>
      <c r="N120" s="247" t="s">
        <v>894</v>
      </c>
      <c r="O120" s="248">
        <v>1</v>
      </c>
      <c r="P120" s="123"/>
      <c r="Q120" s="144"/>
      <c r="R120" s="144"/>
      <c r="S120" s="144"/>
      <c r="T120" s="144"/>
      <c r="U120" s="144"/>
      <c r="V120" s="144"/>
      <c r="W120" s="144"/>
      <c r="X120" s="144"/>
      <c r="Y120" s="123"/>
      <c r="Z120" s="144"/>
      <c r="AA120" s="123"/>
      <c r="AB120" s="123"/>
      <c r="AC120" s="123"/>
      <c r="AD120" s="144"/>
      <c r="AE120" s="144"/>
      <c r="AF120" s="123"/>
    </row>
    <row r="121" spans="1:32" ht="15">
      <c r="A121" s="123"/>
      <c r="B121" s="156">
        <v>101</v>
      </c>
      <c r="C121" s="157" t="s">
        <v>584</v>
      </c>
      <c r="D121" s="157" t="s">
        <v>893</v>
      </c>
      <c r="E121" s="157">
        <v>101</v>
      </c>
      <c r="F121" s="157" t="s">
        <v>181</v>
      </c>
      <c r="G121" s="158" t="s">
        <v>182</v>
      </c>
      <c r="H121" s="159">
        <v>101</v>
      </c>
      <c r="I121" s="159">
        <v>0</v>
      </c>
      <c r="J121" s="160" t="s">
        <v>764</v>
      </c>
      <c r="K121" s="160">
        <v>27</v>
      </c>
      <c r="L121" s="160" t="s">
        <v>183</v>
      </c>
      <c r="M121" s="160">
        <v>7</v>
      </c>
      <c r="N121" s="247" t="s">
        <v>894</v>
      </c>
      <c r="O121" s="248">
        <v>1</v>
      </c>
      <c r="P121" s="123"/>
      <c r="Q121" s="144"/>
      <c r="R121" s="144"/>
      <c r="S121" s="144"/>
      <c r="T121" s="144"/>
      <c r="U121" s="144"/>
      <c r="V121" s="144"/>
      <c r="W121" s="144"/>
      <c r="X121" s="144"/>
      <c r="Y121" s="123"/>
      <c r="Z121" s="144"/>
      <c r="AA121" s="123"/>
      <c r="AB121" s="123"/>
      <c r="AC121" s="123"/>
      <c r="AD121" s="144"/>
      <c r="AE121" s="144"/>
      <c r="AF121" s="123"/>
    </row>
    <row r="122" spans="1:32" ht="15">
      <c r="A122" s="123"/>
      <c r="B122" s="156">
        <v>102</v>
      </c>
      <c r="C122" s="157" t="s">
        <v>489</v>
      </c>
      <c r="D122" s="157" t="s">
        <v>893</v>
      </c>
      <c r="E122" s="157">
        <v>102</v>
      </c>
      <c r="F122" s="157" t="s">
        <v>181</v>
      </c>
      <c r="G122" s="158" t="s">
        <v>182</v>
      </c>
      <c r="H122" s="159">
        <v>102</v>
      </c>
      <c r="I122" s="159">
        <v>0</v>
      </c>
      <c r="J122" s="160" t="s">
        <v>764</v>
      </c>
      <c r="K122" s="160">
        <v>27</v>
      </c>
      <c r="L122" s="160" t="s">
        <v>183</v>
      </c>
      <c r="M122" s="160">
        <v>13</v>
      </c>
      <c r="N122" s="247" t="s">
        <v>894</v>
      </c>
      <c r="O122" s="248">
        <v>1</v>
      </c>
      <c r="P122" s="123"/>
      <c r="Q122" s="144"/>
      <c r="R122" s="144"/>
      <c r="S122" s="144"/>
      <c r="T122" s="144"/>
      <c r="U122" s="144"/>
      <c r="V122" s="144"/>
      <c r="W122" s="144"/>
      <c r="X122" s="144"/>
      <c r="Y122" s="123"/>
      <c r="Z122" s="144"/>
      <c r="AA122" s="123"/>
      <c r="AB122" s="123"/>
      <c r="AC122" s="123"/>
      <c r="AD122" s="144"/>
      <c r="AE122" s="144"/>
      <c r="AF122" s="123"/>
    </row>
    <row r="123" spans="1:32" ht="15">
      <c r="A123" s="123"/>
      <c r="B123" s="156">
        <v>103</v>
      </c>
      <c r="C123" s="157" t="s">
        <v>561</v>
      </c>
      <c r="D123" s="157" t="s">
        <v>893</v>
      </c>
      <c r="E123" s="157">
        <v>103</v>
      </c>
      <c r="F123" s="157" t="s">
        <v>181</v>
      </c>
      <c r="G123" s="158" t="s">
        <v>182</v>
      </c>
      <c r="H123" s="159">
        <v>103</v>
      </c>
      <c r="I123" s="159">
        <v>0</v>
      </c>
      <c r="J123" s="160" t="s">
        <v>817</v>
      </c>
      <c r="K123" s="160">
        <v>29</v>
      </c>
      <c r="L123" s="160" t="s">
        <v>183</v>
      </c>
      <c r="M123" s="160">
        <v>9</v>
      </c>
      <c r="N123" s="247" t="s">
        <v>894</v>
      </c>
      <c r="O123" s="248">
        <v>1</v>
      </c>
      <c r="P123" s="123"/>
      <c r="Q123" s="144"/>
      <c r="R123" s="144"/>
      <c r="S123" s="144"/>
      <c r="T123" s="144"/>
      <c r="U123" s="144"/>
      <c r="V123" s="144"/>
      <c r="W123" s="144"/>
      <c r="X123" s="144"/>
      <c r="Y123" s="123"/>
      <c r="Z123" s="144"/>
      <c r="AA123" s="123"/>
      <c r="AB123" s="123"/>
      <c r="AC123" s="123"/>
      <c r="AD123" s="144"/>
      <c r="AE123" s="144"/>
      <c r="AF123" s="123"/>
    </row>
    <row r="124" spans="1:32" ht="15">
      <c r="A124" s="123"/>
      <c r="B124" s="156">
        <v>104</v>
      </c>
      <c r="C124" s="157" t="s">
        <v>562</v>
      </c>
      <c r="D124" s="157" t="s">
        <v>893</v>
      </c>
      <c r="E124" s="157">
        <v>104</v>
      </c>
      <c r="F124" s="157" t="s">
        <v>181</v>
      </c>
      <c r="G124" s="158" t="s">
        <v>182</v>
      </c>
      <c r="H124" s="159">
        <v>104</v>
      </c>
      <c r="I124" s="159">
        <v>4</v>
      </c>
      <c r="J124" s="160" t="s">
        <v>817</v>
      </c>
      <c r="K124" s="160">
        <v>29</v>
      </c>
      <c r="L124" s="160" t="s">
        <v>183</v>
      </c>
      <c r="M124" s="160">
        <v>9</v>
      </c>
      <c r="N124" s="247" t="s">
        <v>894</v>
      </c>
      <c r="O124" s="248">
        <v>1</v>
      </c>
      <c r="P124" s="123"/>
      <c r="Q124" s="144"/>
      <c r="R124" s="144"/>
      <c r="S124" s="144"/>
      <c r="T124" s="144"/>
      <c r="U124" s="144"/>
      <c r="V124" s="144"/>
      <c r="W124" s="144"/>
      <c r="X124" s="144"/>
      <c r="Y124" s="123"/>
      <c r="Z124" s="144"/>
      <c r="AA124" s="123"/>
      <c r="AB124" s="123"/>
      <c r="AC124" s="123"/>
      <c r="AD124" s="144"/>
      <c r="AE124" s="144"/>
      <c r="AF124" s="123"/>
    </row>
    <row r="125" spans="1:32" ht="15">
      <c r="A125" s="123"/>
      <c r="B125" s="156">
        <v>105</v>
      </c>
      <c r="C125" s="157" t="s">
        <v>563</v>
      </c>
      <c r="D125" s="157" t="s">
        <v>893</v>
      </c>
      <c r="E125" s="157">
        <v>105</v>
      </c>
      <c r="F125" s="157" t="s">
        <v>181</v>
      </c>
      <c r="G125" s="158" t="s">
        <v>182</v>
      </c>
      <c r="H125" s="159">
        <v>105</v>
      </c>
      <c r="I125" s="159">
        <v>4</v>
      </c>
      <c r="J125" s="160" t="s">
        <v>817</v>
      </c>
      <c r="K125" s="160">
        <v>29</v>
      </c>
      <c r="L125" s="160" t="s">
        <v>183</v>
      </c>
      <c r="M125" s="160">
        <v>9</v>
      </c>
      <c r="N125" s="247" t="s">
        <v>894</v>
      </c>
      <c r="O125" s="248">
        <v>1</v>
      </c>
      <c r="P125" s="123"/>
      <c r="Q125" s="144"/>
      <c r="R125" s="144"/>
      <c r="S125" s="144"/>
      <c r="T125" s="144"/>
      <c r="U125" s="144"/>
      <c r="V125" s="144"/>
      <c r="W125" s="144"/>
      <c r="X125" s="144"/>
      <c r="Y125" s="123"/>
      <c r="Z125" s="144"/>
      <c r="AA125" s="123"/>
      <c r="AB125" s="123"/>
      <c r="AC125" s="123"/>
      <c r="AD125" s="144"/>
      <c r="AE125" s="144"/>
      <c r="AF125" s="123"/>
    </row>
    <row r="126" spans="1:32" ht="15">
      <c r="A126" s="123"/>
      <c r="B126" s="156">
        <v>106</v>
      </c>
      <c r="C126" s="157" t="s">
        <v>564</v>
      </c>
      <c r="D126" s="157" t="s">
        <v>893</v>
      </c>
      <c r="E126" s="157">
        <v>106</v>
      </c>
      <c r="F126" s="157" t="s">
        <v>181</v>
      </c>
      <c r="G126" s="158" t="s">
        <v>182</v>
      </c>
      <c r="H126" s="159">
        <v>106</v>
      </c>
      <c r="I126" s="159">
        <v>4</v>
      </c>
      <c r="J126" s="160" t="s">
        <v>817</v>
      </c>
      <c r="K126" s="160">
        <v>29</v>
      </c>
      <c r="L126" s="160" t="s">
        <v>183</v>
      </c>
      <c r="M126" s="160">
        <v>9</v>
      </c>
      <c r="N126" s="247" t="s">
        <v>894</v>
      </c>
      <c r="O126" s="248">
        <v>1</v>
      </c>
      <c r="P126" s="123"/>
      <c r="Q126" s="144"/>
      <c r="R126" s="144"/>
      <c r="S126" s="144"/>
      <c r="T126" s="144"/>
      <c r="U126" s="144"/>
      <c r="V126" s="144"/>
      <c r="W126" s="144"/>
      <c r="X126" s="144"/>
      <c r="Y126" s="123"/>
      <c r="Z126" s="144"/>
      <c r="AA126" s="123"/>
      <c r="AB126" s="123"/>
      <c r="AC126" s="123"/>
      <c r="AD126" s="144"/>
      <c r="AE126" s="144"/>
      <c r="AF126" s="123"/>
    </row>
    <row r="127" spans="1:32" ht="15">
      <c r="A127" s="123"/>
      <c r="B127" s="156">
        <v>107</v>
      </c>
      <c r="C127" s="157" t="s">
        <v>474</v>
      </c>
      <c r="D127" s="157" t="s">
        <v>893</v>
      </c>
      <c r="E127" s="157">
        <v>107</v>
      </c>
      <c r="F127" s="157" t="s">
        <v>181</v>
      </c>
      <c r="G127" s="158" t="s">
        <v>182</v>
      </c>
      <c r="H127" s="159">
        <v>107</v>
      </c>
      <c r="I127" s="159">
        <v>0</v>
      </c>
      <c r="J127" s="160" t="s">
        <v>817</v>
      </c>
      <c r="K127" s="160">
        <v>29</v>
      </c>
      <c r="L127" s="160" t="s">
        <v>183</v>
      </c>
      <c r="M127" s="160">
        <v>15</v>
      </c>
      <c r="N127" s="247" t="s">
        <v>894</v>
      </c>
      <c r="O127" s="248">
        <v>1</v>
      </c>
      <c r="P127" s="123"/>
      <c r="Q127" s="144"/>
      <c r="R127" s="144"/>
      <c r="S127" s="144"/>
      <c r="T127" s="144"/>
      <c r="U127" s="144"/>
      <c r="V127" s="144"/>
      <c r="W127" s="144"/>
      <c r="X127" s="144"/>
      <c r="Y127" s="123"/>
      <c r="Z127" s="144"/>
      <c r="AA127" s="123"/>
      <c r="AB127" s="123"/>
      <c r="AC127" s="123"/>
      <c r="AD127" s="144"/>
      <c r="AE127" s="144"/>
      <c r="AF127" s="123"/>
    </row>
    <row r="128" spans="1:32" ht="15">
      <c r="A128" s="123"/>
      <c r="B128" s="156">
        <v>108</v>
      </c>
      <c r="C128" s="157" t="s">
        <v>565</v>
      </c>
      <c r="D128" s="157" t="s">
        <v>893</v>
      </c>
      <c r="E128" s="157">
        <v>108</v>
      </c>
      <c r="F128" s="157" t="s">
        <v>181</v>
      </c>
      <c r="G128" s="158" t="s">
        <v>182</v>
      </c>
      <c r="H128" s="159">
        <v>108</v>
      </c>
      <c r="I128" s="159">
        <v>0</v>
      </c>
      <c r="J128" s="160" t="s">
        <v>817</v>
      </c>
      <c r="K128" s="160">
        <v>29</v>
      </c>
      <c r="L128" s="160" t="s">
        <v>183</v>
      </c>
      <c r="M128" s="160">
        <v>9</v>
      </c>
      <c r="N128" s="247" t="s">
        <v>894</v>
      </c>
      <c r="O128" s="248">
        <v>1</v>
      </c>
      <c r="P128" s="123"/>
      <c r="Q128" s="144"/>
      <c r="R128" s="144"/>
      <c r="S128" s="144"/>
      <c r="T128" s="144"/>
      <c r="U128" s="144"/>
      <c r="V128" s="144"/>
      <c r="W128" s="144"/>
      <c r="X128" s="144"/>
      <c r="Y128" s="123"/>
      <c r="Z128" s="144"/>
      <c r="AA128" s="123"/>
      <c r="AB128" s="123"/>
      <c r="AC128" s="123"/>
      <c r="AD128" s="144"/>
      <c r="AE128" s="144"/>
      <c r="AF128" s="123"/>
    </row>
    <row r="129" spans="1:32" ht="15">
      <c r="A129" s="123"/>
      <c r="B129" s="156">
        <v>109</v>
      </c>
      <c r="C129" s="157" t="s">
        <v>587</v>
      </c>
      <c r="D129" s="157" t="s">
        <v>893</v>
      </c>
      <c r="E129" s="157">
        <v>109</v>
      </c>
      <c r="F129" s="157" t="s">
        <v>181</v>
      </c>
      <c r="G129" s="158" t="s">
        <v>182</v>
      </c>
      <c r="H129" s="159">
        <v>109</v>
      </c>
      <c r="I129" s="159">
        <v>0</v>
      </c>
      <c r="J129" s="160" t="s">
        <v>817</v>
      </c>
      <c r="K129" s="160">
        <v>29</v>
      </c>
      <c r="L129" s="160" t="s">
        <v>183</v>
      </c>
      <c r="M129" s="160">
        <v>7</v>
      </c>
      <c r="N129" s="247" t="s">
        <v>894</v>
      </c>
      <c r="O129" s="248">
        <v>1</v>
      </c>
      <c r="P129" s="123"/>
      <c r="Q129" s="144"/>
      <c r="R129" s="144"/>
      <c r="S129" s="144"/>
      <c r="T129" s="144"/>
      <c r="U129" s="144"/>
      <c r="V129" s="144"/>
      <c r="W129" s="144"/>
      <c r="X129" s="144"/>
      <c r="Y129" s="123"/>
      <c r="Z129" s="144"/>
      <c r="AA129" s="123"/>
      <c r="AB129" s="123"/>
      <c r="AC129" s="123"/>
      <c r="AD129" s="144"/>
      <c r="AE129" s="144"/>
      <c r="AF129" s="123"/>
    </row>
    <row r="130" spans="1:32" ht="15">
      <c r="A130" s="123"/>
      <c r="B130" s="156">
        <v>110</v>
      </c>
      <c r="C130" s="157" t="s">
        <v>566</v>
      </c>
      <c r="D130" s="157" t="s">
        <v>893</v>
      </c>
      <c r="E130" s="157">
        <v>110</v>
      </c>
      <c r="F130" s="157" t="s">
        <v>181</v>
      </c>
      <c r="G130" s="158" t="s">
        <v>182</v>
      </c>
      <c r="H130" s="159">
        <v>110</v>
      </c>
      <c r="I130" s="159">
        <v>4</v>
      </c>
      <c r="J130" s="160" t="s">
        <v>817</v>
      </c>
      <c r="K130" s="160">
        <v>29</v>
      </c>
      <c r="L130" s="160" t="s">
        <v>183</v>
      </c>
      <c r="M130" s="160">
        <v>9</v>
      </c>
      <c r="N130" s="247" t="s">
        <v>894</v>
      </c>
      <c r="O130" s="248">
        <v>1</v>
      </c>
      <c r="P130" s="123"/>
      <c r="Q130" s="144"/>
      <c r="R130" s="144"/>
      <c r="S130" s="144"/>
      <c r="T130" s="144"/>
      <c r="U130" s="144"/>
      <c r="V130" s="144"/>
      <c r="W130" s="144"/>
      <c r="X130" s="144"/>
      <c r="Y130" s="123"/>
      <c r="Z130" s="144"/>
      <c r="AA130" s="123"/>
      <c r="AB130" s="123"/>
      <c r="AC130" s="123"/>
      <c r="AD130" s="144"/>
      <c r="AE130" s="144"/>
      <c r="AF130" s="123"/>
    </row>
    <row r="131" spans="1:32" ht="15">
      <c r="A131" s="123"/>
      <c r="B131" s="156">
        <v>111</v>
      </c>
      <c r="C131" s="157" t="s">
        <v>470</v>
      </c>
      <c r="D131" s="157" t="s">
        <v>893</v>
      </c>
      <c r="E131" s="157">
        <v>111</v>
      </c>
      <c r="F131" s="157" t="s">
        <v>181</v>
      </c>
      <c r="G131" s="158" t="s">
        <v>182</v>
      </c>
      <c r="H131" s="159">
        <v>111</v>
      </c>
      <c r="I131" s="159">
        <v>0</v>
      </c>
      <c r="J131" s="160" t="s">
        <v>817</v>
      </c>
      <c r="K131" s="160">
        <v>29</v>
      </c>
      <c r="L131" s="160" t="s">
        <v>183</v>
      </c>
      <c r="M131" s="160">
        <v>16</v>
      </c>
      <c r="N131" s="247" t="s">
        <v>894</v>
      </c>
      <c r="O131" s="248">
        <v>1</v>
      </c>
      <c r="P131" s="123"/>
      <c r="Q131" s="144"/>
      <c r="R131" s="144"/>
      <c r="S131" s="144"/>
      <c r="T131" s="144"/>
      <c r="U131" s="144"/>
      <c r="V131" s="144"/>
      <c r="W131" s="144"/>
      <c r="X131" s="144"/>
      <c r="Y131" s="123"/>
      <c r="Z131" s="144"/>
      <c r="AA131" s="123"/>
      <c r="AB131" s="123"/>
      <c r="AC131" s="123"/>
      <c r="AD131" s="144"/>
      <c r="AE131" s="144"/>
      <c r="AF131" s="123"/>
    </row>
    <row r="132" spans="1:32" ht="15">
      <c r="A132" s="123"/>
      <c r="B132" s="156">
        <v>112</v>
      </c>
      <c r="C132" s="157" t="s">
        <v>481</v>
      </c>
      <c r="D132" s="157" t="s">
        <v>893</v>
      </c>
      <c r="E132" s="157">
        <v>112</v>
      </c>
      <c r="F132" s="157" t="s">
        <v>181</v>
      </c>
      <c r="G132" s="158" t="s">
        <v>182</v>
      </c>
      <c r="H132" s="159">
        <v>112</v>
      </c>
      <c r="I132" s="159">
        <v>0</v>
      </c>
      <c r="J132" s="160" t="s">
        <v>817</v>
      </c>
      <c r="K132" s="160">
        <v>29</v>
      </c>
      <c r="L132" s="160" t="s">
        <v>183</v>
      </c>
      <c r="M132" s="160">
        <v>14</v>
      </c>
      <c r="N132" s="247" t="s">
        <v>894</v>
      </c>
      <c r="O132" s="248">
        <v>1</v>
      </c>
      <c r="P132" s="123"/>
      <c r="Q132" s="144"/>
      <c r="R132" s="144"/>
      <c r="S132" s="144"/>
      <c r="T132" s="144"/>
      <c r="U132" s="144"/>
      <c r="V132" s="144"/>
      <c r="W132" s="144"/>
      <c r="X132" s="144"/>
      <c r="Y132" s="123"/>
      <c r="Z132" s="144"/>
      <c r="AA132" s="123"/>
      <c r="AB132" s="123"/>
      <c r="AC132" s="123"/>
      <c r="AD132" s="144"/>
      <c r="AE132" s="144"/>
      <c r="AF132" s="123"/>
    </row>
    <row r="133" spans="1:32" ht="15">
      <c r="A133" s="123"/>
      <c r="B133" s="156">
        <v>113</v>
      </c>
      <c r="C133" s="157" t="s">
        <v>567</v>
      </c>
      <c r="D133" s="157" t="s">
        <v>893</v>
      </c>
      <c r="E133" s="157">
        <v>113</v>
      </c>
      <c r="F133" s="157" t="s">
        <v>181</v>
      </c>
      <c r="G133" s="158" t="s">
        <v>182</v>
      </c>
      <c r="H133" s="159">
        <v>113</v>
      </c>
      <c r="I133" s="159">
        <v>4</v>
      </c>
      <c r="J133" s="160" t="s">
        <v>817</v>
      </c>
      <c r="K133" s="160">
        <v>29</v>
      </c>
      <c r="L133" s="160" t="s">
        <v>183</v>
      </c>
      <c r="M133" s="160">
        <v>9</v>
      </c>
      <c r="N133" s="247" t="s">
        <v>894</v>
      </c>
      <c r="O133" s="248">
        <v>1</v>
      </c>
      <c r="P133" s="123"/>
      <c r="Q133" s="144"/>
      <c r="R133" s="144"/>
      <c r="S133" s="144"/>
      <c r="T133" s="144"/>
      <c r="U133" s="144"/>
      <c r="V133" s="144"/>
      <c r="W133" s="144"/>
      <c r="X133" s="144"/>
      <c r="Y133" s="123"/>
      <c r="Z133" s="144"/>
      <c r="AA133" s="123"/>
      <c r="AB133" s="123"/>
      <c r="AC133" s="123"/>
      <c r="AD133" s="144"/>
      <c r="AE133" s="144"/>
      <c r="AF133" s="123"/>
    </row>
    <row r="134" spans="1:32" ht="15">
      <c r="A134" s="123"/>
      <c r="B134" s="156">
        <v>114</v>
      </c>
      <c r="C134" s="157" t="s">
        <v>568</v>
      </c>
      <c r="D134" s="157" t="s">
        <v>893</v>
      </c>
      <c r="E134" s="157">
        <v>114</v>
      </c>
      <c r="F134" s="157" t="s">
        <v>181</v>
      </c>
      <c r="G134" s="158" t="s">
        <v>182</v>
      </c>
      <c r="H134" s="159">
        <v>114</v>
      </c>
      <c r="I134" s="159">
        <v>0</v>
      </c>
      <c r="J134" s="160" t="s">
        <v>817</v>
      </c>
      <c r="K134" s="160">
        <v>29</v>
      </c>
      <c r="L134" s="160" t="s">
        <v>183</v>
      </c>
      <c r="M134" s="160">
        <v>9</v>
      </c>
      <c r="N134" s="247" t="s">
        <v>894</v>
      </c>
      <c r="O134" s="248">
        <v>1</v>
      </c>
      <c r="P134" s="123"/>
      <c r="Q134" s="144"/>
      <c r="R134" s="144"/>
      <c r="S134" s="144"/>
      <c r="T134" s="144"/>
      <c r="U134" s="144"/>
      <c r="V134" s="144"/>
      <c r="W134" s="144"/>
      <c r="X134" s="144"/>
      <c r="Y134" s="123"/>
      <c r="Z134" s="144"/>
      <c r="AA134" s="123"/>
      <c r="AB134" s="123"/>
      <c r="AC134" s="123"/>
      <c r="AD134" s="144"/>
      <c r="AE134" s="144"/>
      <c r="AF134" s="123"/>
    </row>
    <row r="135" spans="1:32" ht="15">
      <c r="A135" s="123"/>
      <c r="B135" s="156">
        <v>115</v>
      </c>
      <c r="C135" s="157" t="s">
        <v>569</v>
      </c>
      <c r="D135" s="157" t="s">
        <v>893</v>
      </c>
      <c r="E135" s="157">
        <v>115</v>
      </c>
      <c r="F135" s="157" t="s">
        <v>181</v>
      </c>
      <c r="G135" s="158" t="s">
        <v>182</v>
      </c>
      <c r="H135" s="159">
        <v>115</v>
      </c>
      <c r="I135" s="159">
        <v>4</v>
      </c>
      <c r="J135" s="160" t="s">
        <v>817</v>
      </c>
      <c r="K135" s="160">
        <v>29</v>
      </c>
      <c r="L135" s="160" t="s">
        <v>183</v>
      </c>
      <c r="M135" s="160">
        <v>9</v>
      </c>
      <c r="N135" s="247" t="s">
        <v>894</v>
      </c>
      <c r="O135" s="248">
        <v>1</v>
      </c>
      <c r="P135" s="123"/>
      <c r="Q135" s="144"/>
      <c r="R135" s="144"/>
      <c r="S135" s="144"/>
      <c r="T135" s="144"/>
      <c r="U135" s="144"/>
      <c r="V135" s="144"/>
      <c r="W135" s="144"/>
      <c r="X135" s="144"/>
      <c r="Y135" s="123"/>
      <c r="Z135" s="144"/>
      <c r="AA135" s="123"/>
      <c r="AB135" s="123"/>
      <c r="AC135" s="123"/>
      <c r="AD135" s="144"/>
      <c r="AE135" s="144"/>
      <c r="AF135" s="123"/>
    </row>
    <row r="136" spans="1:32" ht="15">
      <c r="A136" s="123"/>
      <c r="B136" s="156">
        <v>116</v>
      </c>
      <c r="C136" s="157" t="s">
        <v>570</v>
      </c>
      <c r="D136" s="157" t="s">
        <v>893</v>
      </c>
      <c r="E136" s="157">
        <v>116</v>
      </c>
      <c r="F136" s="157" t="s">
        <v>181</v>
      </c>
      <c r="G136" s="158" t="s">
        <v>182</v>
      </c>
      <c r="H136" s="159">
        <v>116</v>
      </c>
      <c r="I136" s="159">
        <v>4</v>
      </c>
      <c r="J136" s="160" t="s">
        <v>817</v>
      </c>
      <c r="K136" s="160">
        <v>29</v>
      </c>
      <c r="L136" s="160" t="s">
        <v>183</v>
      </c>
      <c r="M136" s="160">
        <v>9</v>
      </c>
      <c r="N136" s="247" t="s">
        <v>894</v>
      </c>
      <c r="O136" s="248">
        <v>1</v>
      </c>
      <c r="P136" s="123"/>
      <c r="Q136" s="144"/>
      <c r="R136" s="144"/>
      <c r="S136" s="144"/>
      <c r="T136" s="144"/>
      <c r="U136" s="144"/>
      <c r="V136" s="144"/>
      <c r="W136" s="144"/>
      <c r="X136" s="144"/>
      <c r="Y136" s="123"/>
      <c r="Z136" s="144"/>
      <c r="AA136" s="123"/>
      <c r="AB136" s="123"/>
      <c r="AC136" s="123"/>
      <c r="AD136" s="144"/>
      <c r="AE136" s="144"/>
      <c r="AF136" s="123"/>
    </row>
    <row r="137" spans="1:32" ht="15">
      <c r="A137" s="123"/>
      <c r="B137" s="156">
        <v>117</v>
      </c>
      <c r="C137" s="157" t="s">
        <v>571</v>
      </c>
      <c r="D137" s="157" t="s">
        <v>893</v>
      </c>
      <c r="E137" s="157">
        <v>117</v>
      </c>
      <c r="F137" s="157" t="s">
        <v>181</v>
      </c>
      <c r="G137" s="158" t="s">
        <v>182</v>
      </c>
      <c r="H137" s="159">
        <v>117</v>
      </c>
      <c r="I137" s="159">
        <v>0</v>
      </c>
      <c r="J137" s="160" t="s">
        <v>817</v>
      </c>
      <c r="K137" s="160">
        <v>29</v>
      </c>
      <c r="L137" s="160" t="s">
        <v>183</v>
      </c>
      <c r="M137" s="160">
        <v>9</v>
      </c>
      <c r="N137" s="247" t="s">
        <v>894</v>
      </c>
      <c r="O137" s="248">
        <v>1</v>
      </c>
      <c r="P137" s="123"/>
      <c r="Q137" s="144"/>
      <c r="R137" s="144"/>
      <c r="S137" s="144"/>
      <c r="T137" s="144"/>
      <c r="U137" s="144"/>
      <c r="V137" s="144"/>
      <c r="W137" s="144"/>
      <c r="X137" s="144"/>
      <c r="Y137" s="123"/>
      <c r="Z137" s="144"/>
      <c r="AA137" s="123"/>
      <c r="AB137" s="123"/>
      <c r="AC137" s="123"/>
      <c r="AD137" s="144"/>
      <c r="AE137" s="144"/>
      <c r="AF137" s="123"/>
    </row>
    <row r="138" spans="1:32" ht="15">
      <c r="A138" s="123"/>
      <c r="B138" s="156">
        <v>118</v>
      </c>
      <c r="C138" s="157" t="s">
        <v>498</v>
      </c>
      <c r="D138" s="157" t="s">
        <v>893</v>
      </c>
      <c r="E138" s="157">
        <v>118</v>
      </c>
      <c r="F138" s="157" t="s">
        <v>181</v>
      </c>
      <c r="G138" s="158" t="s">
        <v>182</v>
      </c>
      <c r="H138" s="159">
        <v>118</v>
      </c>
      <c r="I138" s="159">
        <v>0</v>
      </c>
      <c r="J138" s="160" t="s">
        <v>668</v>
      </c>
      <c r="K138" s="160">
        <v>31</v>
      </c>
      <c r="L138" s="160" t="s">
        <v>183</v>
      </c>
      <c r="M138" s="160">
        <v>12</v>
      </c>
      <c r="N138" s="247" t="s">
        <v>894</v>
      </c>
      <c r="O138" s="248">
        <v>1</v>
      </c>
      <c r="P138" s="123"/>
      <c r="Q138" s="144"/>
      <c r="R138" s="144"/>
      <c r="S138" s="144"/>
      <c r="T138" s="144"/>
      <c r="U138" s="144"/>
      <c r="V138" s="144"/>
      <c r="W138" s="144"/>
      <c r="X138" s="144"/>
      <c r="Y138" s="123"/>
      <c r="Z138" s="144"/>
      <c r="AA138" s="123"/>
      <c r="AB138" s="123"/>
      <c r="AC138" s="123"/>
      <c r="AD138" s="144"/>
      <c r="AE138" s="144"/>
      <c r="AF138" s="123"/>
    </row>
    <row r="139" spans="1:32" ht="15">
      <c r="A139" s="123"/>
      <c r="B139" s="156">
        <v>119</v>
      </c>
      <c r="C139" s="157" t="s">
        <v>488</v>
      </c>
      <c r="D139" s="157" t="s">
        <v>893</v>
      </c>
      <c r="E139" s="157">
        <v>119</v>
      </c>
      <c r="F139" s="157" t="s">
        <v>181</v>
      </c>
      <c r="G139" s="158" t="s">
        <v>182</v>
      </c>
      <c r="H139" s="159">
        <v>119</v>
      </c>
      <c r="I139" s="159">
        <v>0</v>
      </c>
      <c r="J139" s="160" t="s">
        <v>746</v>
      </c>
      <c r="K139" s="160">
        <v>32</v>
      </c>
      <c r="L139" s="160" t="s">
        <v>183</v>
      </c>
      <c r="M139" s="160">
        <v>13</v>
      </c>
      <c r="N139" s="247" t="s">
        <v>894</v>
      </c>
      <c r="O139" s="248">
        <v>1</v>
      </c>
      <c r="P139" s="123"/>
      <c r="Q139" s="144"/>
      <c r="R139" s="144"/>
      <c r="S139" s="144"/>
      <c r="T139" s="144"/>
      <c r="U139" s="144"/>
      <c r="V139" s="144"/>
      <c r="W139" s="144"/>
      <c r="X139" s="144"/>
      <c r="Y139" s="123"/>
      <c r="Z139" s="144"/>
      <c r="AA139" s="123"/>
      <c r="AB139" s="123"/>
      <c r="AC139" s="123"/>
      <c r="AD139" s="144"/>
      <c r="AE139" s="144"/>
      <c r="AF139" s="123"/>
    </row>
    <row r="140" spans="1:32" ht="15">
      <c r="A140" s="123"/>
      <c r="B140" s="156">
        <v>120</v>
      </c>
      <c r="C140" s="157" t="s">
        <v>478</v>
      </c>
      <c r="D140" s="157" t="s">
        <v>893</v>
      </c>
      <c r="E140" s="157">
        <v>120</v>
      </c>
      <c r="F140" s="157" t="s">
        <v>181</v>
      </c>
      <c r="G140" s="158" t="s">
        <v>182</v>
      </c>
      <c r="H140" s="159">
        <v>120</v>
      </c>
      <c r="I140" s="159">
        <v>0</v>
      </c>
      <c r="J140" s="160" t="s">
        <v>746</v>
      </c>
      <c r="K140" s="160">
        <v>32</v>
      </c>
      <c r="L140" s="160" t="s">
        <v>183</v>
      </c>
      <c r="M140" s="160">
        <v>14</v>
      </c>
      <c r="N140" s="247" t="s">
        <v>894</v>
      </c>
      <c r="O140" s="248">
        <v>1</v>
      </c>
      <c r="P140" s="123"/>
      <c r="Q140" s="144"/>
      <c r="R140" s="144"/>
      <c r="S140" s="144"/>
      <c r="T140" s="144"/>
      <c r="U140" s="144"/>
      <c r="V140" s="144"/>
      <c r="W140" s="144"/>
      <c r="X140" s="144"/>
      <c r="Y140" s="123"/>
      <c r="Z140" s="144"/>
      <c r="AA140" s="123"/>
      <c r="AB140" s="123"/>
      <c r="AC140" s="123"/>
      <c r="AD140" s="144"/>
      <c r="AE140" s="144"/>
      <c r="AF140" s="123"/>
    </row>
    <row r="141" spans="1:32" ht="15">
      <c r="A141" s="123"/>
      <c r="B141" s="156">
        <v>121</v>
      </c>
      <c r="C141" s="157" t="s">
        <v>556</v>
      </c>
      <c r="D141" s="157" t="s">
        <v>893</v>
      </c>
      <c r="E141" s="157">
        <v>121</v>
      </c>
      <c r="F141" s="157" t="s">
        <v>181</v>
      </c>
      <c r="G141" s="158" t="s">
        <v>182</v>
      </c>
      <c r="H141" s="159">
        <v>121</v>
      </c>
      <c r="I141" s="159">
        <v>4</v>
      </c>
      <c r="J141" s="160" t="s">
        <v>746</v>
      </c>
      <c r="K141" s="160">
        <v>32</v>
      </c>
      <c r="L141" s="160" t="s">
        <v>183</v>
      </c>
      <c r="M141" s="160">
        <v>9</v>
      </c>
      <c r="N141" s="247" t="s">
        <v>894</v>
      </c>
      <c r="O141" s="248">
        <v>1</v>
      </c>
      <c r="P141" s="123"/>
      <c r="Q141" s="144"/>
      <c r="R141" s="144"/>
      <c r="S141" s="144"/>
      <c r="T141" s="144"/>
      <c r="U141" s="144"/>
      <c r="V141" s="144"/>
      <c r="W141" s="144"/>
      <c r="X141" s="144"/>
      <c r="Y141" s="123"/>
      <c r="Z141" s="144"/>
      <c r="AA141" s="123"/>
      <c r="AB141" s="123"/>
      <c r="AC141" s="123"/>
      <c r="AD141" s="144"/>
      <c r="AE141" s="144"/>
      <c r="AF141" s="123"/>
    </row>
    <row r="142" spans="1:32" ht="15">
      <c r="A142" s="123"/>
      <c r="B142" s="156">
        <v>122</v>
      </c>
      <c r="C142" s="157" t="s">
        <v>516</v>
      </c>
      <c r="D142" s="157" t="s">
        <v>893</v>
      </c>
      <c r="E142" s="157">
        <v>122</v>
      </c>
      <c r="F142" s="157" t="s">
        <v>181</v>
      </c>
      <c r="G142" s="158" t="s">
        <v>182</v>
      </c>
      <c r="H142" s="159">
        <v>122</v>
      </c>
      <c r="I142" s="159">
        <v>0</v>
      </c>
      <c r="J142" s="160" t="s">
        <v>742</v>
      </c>
      <c r="K142" s="160">
        <v>33</v>
      </c>
      <c r="L142" s="160" t="s">
        <v>183</v>
      </c>
      <c r="M142" s="160">
        <v>11</v>
      </c>
      <c r="N142" s="247" t="s">
        <v>894</v>
      </c>
      <c r="O142" s="248">
        <v>1</v>
      </c>
      <c r="P142" s="123"/>
      <c r="Q142" s="144"/>
      <c r="R142" s="144"/>
      <c r="S142" s="144"/>
      <c r="T142" s="144"/>
      <c r="U142" s="144"/>
      <c r="V142" s="144"/>
      <c r="W142" s="144"/>
      <c r="X142" s="144"/>
      <c r="Y142" s="123"/>
      <c r="Z142" s="144"/>
      <c r="AA142" s="123"/>
      <c r="AB142" s="123"/>
      <c r="AC142" s="123"/>
      <c r="AD142" s="144"/>
      <c r="AE142" s="144"/>
      <c r="AF142" s="123"/>
    </row>
    <row r="143" spans="1:32" ht="15">
      <c r="A143" s="123"/>
      <c r="B143" s="156">
        <v>123</v>
      </c>
      <c r="C143" s="157" t="s">
        <v>1088</v>
      </c>
      <c r="D143" s="157" t="s">
        <v>893</v>
      </c>
      <c r="E143" s="157">
        <v>123</v>
      </c>
      <c r="F143" s="157" t="s">
        <v>181</v>
      </c>
      <c r="G143" s="158" t="s">
        <v>182</v>
      </c>
      <c r="H143" s="159">
        <v>123</v>
      </c>
      <c r="I143" s="159">
        <v>0</v>
      </c>
      <c r="J143" s="160" t="s">
        <v>1119</v>
      </c>
      <c r="K143" s="160">
        <v>34</v>
      </c>
      <c r="L143" s="160" t="s">
        <v>183</v>
      </c>
      <c r="M143" s="160">
        <v>7</v>
      </c>
      <c r="N143" s="247" t="s">
        <v>894</v>
      </c>
      <c r="O143" s="248">
        <v>1</v>
      </c>
      <c r="P143" s="123"/>
      <c r="Q143" s="144"/>
      <c r="R143" s="144"/>
      <c r="S143" s="144"/>
      <c r="T143" s="144"/>
      <c r="U143" s="144"/>
      <c r="V143" s="144"/>
      <c r="W143" s="144"/>
      <c r="X143" s="144"/>
      <c r="Y143" s="123"/>
      <c r="Z143" s="144"/>
      <c r="AA143" s="123"/>
      <c r="AB143" s="123"/>
      <c r="AC143" s="123"/>
      <c r="AD143" s="144"/>
      <c r="AE143" s="144"/>
      <c r="AF143" s="123"/>
    </row>
    <row r="144" spans="1:32" ht="15">
      <c r="A144" s="123"/>
      <c r="B144" s="156">
        <v>124</v>
      </c>
      <c r="C144" s="157" t="s">
        <v>1089</v>
      </c>
      <c r="D144" s="157" t="s">
        <v>893</v>
      </c>
      <c r="E144" s="157">
        <v>124</v>
      </c>
      <c r="F144" s="157" t="s">
        <v>181</v>
      </c>
      <c r="G144" s="158" t="s">
        <v>182</v>
      </c>
      <c r="H144" s="159">
        <v>124</v>
      </c>
      <c r="I144" s="159">
        <v>0</v>
      </c>
      <c r="J144" s="160" t="s">
        <v>1119</v>
      </c>
      <c r="K144" s="160">
        <v>34</v>
      </c>
      <c r="L144" s="160" t="s">
        <v>183</v>
      </c>
      <c r="M144" s="160">
        <v>7</v>
      </c>
      <c r="N144" s="247" t="s">
        <v>894</v>
      </c>
      <c r="O144" s="248">
        <v>1</v>
      </c>
      <c r="P144" s="123"/>
      <c r="Q144" s="144"/>
      <c r="R144" s="144"/>
      <c r="S144" s="144"/>
      <c r="T144" s="144"/>
      <c r="U144" s="144"/>
      <c r="V144" s="144"/>
      <c r="W144" s="144"/>
      <c r="X144" s="144"/>
      <c r="Y144" s="123"/>
      <c r="Z144" s="144"/>
      <c r="AA144" s="123"/>
      <c r="AB144" s="123"/>
      <c r="AC144" s="123"/>
      <c r="AD144" s="144"/>
      <c r="AE144" s="144"/>
      <c r="AF144" s="123"/>
    </row>
    <row r="145" spans="1:32" ht="15">
      <c r="A145" s="123"/>
      <c r="B145" s="156">
        <v>125</v>
      </c>
      <c r="C145" s="157" t="s">
        <v>1080</v>
      </c>
      <c r="D145" s="157" t="s">
        <v>893</v>
      </c>
      <c r="E145" s="157">
        <v>125</v>
      </c>
      <c r="F145" s="157" t="s">
        <v>181</v>
      </c>
      <c r="G145" s="158" t="s">
        <v>182</v>
      </c>
      <c r="H145" s="159">
        <v>125</v>
      </c>
      <c r="I145" s="159">
        <v>0</v>
      </c>
      <c r="J145" s="160" t="s">
        <v>1119</v>
      </c>
      <c r="K145" s="160">
        <v>34</v>
      </c>
      <c r="L145" s="160" t="s">
        <v>183</v>
      </c>
      <c r="M145" s="160">
        <v>16</v>
      </c>
      <c r="N145" s="247" t="s">
        <v>894</v>
      </c>
      <c r="O145" s="248">
        <v>1</v>
      </c>
      <c r="P145" s="123"/>
      <c r="Q145" s="144"/>
      <c r="R145" s="144"/>
      <c r="S145" s="144"/>
      <c r="T145" s="144"/>
      <c r="U145" s="144"/>
      <c r="V145" s="144"/>
      <c r="W145" s="144"/>
      <c r="X145" s="144"/>
      <c r="Y145" s="123"/>
      <c r="Z145" s="144"/>
      <c r="AA145" s="123"/>
      <c r="AB145" s="123"/>
      <c r="AC145" s="123"/>
      <c r="AD145" s="144"/>
      <c r="AE145" s="144"/>
      <c r="AF145" s="123"/>
    </row>
    <row r="146" spans="1:32" ht="15">
      <c r="A146" s="123"/>
      <c r="B146" s="156">
        <v>126</v>
      </c>
      <c r="C146" s="157" t="s">
        <v>1086</v>
      </c>
      <c r="D146" s="157" t="s">
        <v>893</v>
      </c>
      <c r="E146" s="157">
        <v>126</v>
      </c>
      <c r="F146" s="157" t="s">
        <v>181</v>
      </c>
      <c r="G146" s="158" t="s">
        <v>182</v>
      </c>
      <c r="H146" s="159">
        <v>126</v>
      </c>
      <c r="I146" s="159">
        <v>4</v>
      </c>
      <c r="J146" s="160" t="s">
        <v>1119</v>
      </c>
      <c r="K146" s="160">
        <v>34</v>
      </c>
      <c r="L146" s="160" t="s">
        <v>183</v>
      </c>
      <c r="M146" s="160">
        <v>9</v>
      </c>
      <c r="N146" s="247" t="s">
        <v>894</v>
      </c>
      <c r="O146" s="248">
        <v>1</v>
      </c>
      <c r="P146" s="123"/>
      <c r="Q146" s="144"/>
      <c r="R146" s="144"/>
      <c r="S146" s="144"/>
      <c r="T146" s="144"/>
      <c r="U146" s="144"/>
      <c r="V146" s="144"/>
      <c r="W146" s="144"/>
      <c r="X146" s="144"/>
      <c r="Y146" s="123"/>
      <c r="Z146" s="144"/>
      <c r="AA146" s="123"/>
      <c r="AB146" s="123"/>
      <c r="AC146" s="123"/>
      <c r="AD146" s="144"/>
      <c r="AE146" s="144"/>
      <c r="AF146" s="123"/>
    </row>
    <row r="147" spans="1:32" ht="15">
      <c r="A147" s="123"/>
      <c r="B147" s="156">
        <v>127</v>
      </c>
      <c r="C147" s="157" t="s">
        <v>1087</v>
      </c>
      <c r="D147" s="157" t="s">
        <v>893</v>
      </c>
      <c r="E147" s="157">
        <v>127</v>
      </c>
      <c r="F147" s="157" t="s">
        <v>181</v>
      </c>
      <c r="G147" s="158" t="s">
        <v>182</v>
      </c>
      <c r="H147" s="159">
        <v>127</v>
      </c>
      <c r="I147" s="159">
        <v>4</v>
      </c>
      <c r="J147" s="160" t="s">
        <v>1119</v>
      </c>
      <c r="K147" s="160">
        <v>34</v>
      </c>
      <c r="L147" s="160" t="s">
        <v>183</v>
      </c>
      <c r="M147" s="160">
        <v>9</v>
      </c>
      <c r="N147" s="247" t="s">
        <v>894</v>
      </c>
      <c r="O147" s="248">
        <v>1</v>
      </c>
      <c r="P147" s="123"/>
      <c r="Q147" s="144"/>
      <c r="R147" s="144"/>
      <c r="S147" s="144"/>
      <c r="T147" s="144"/>
      <c r="U147" s="144"/>
      <c r="V147" s="144"/>
      <c r="W147" s="144"/>
      <c r="X147" s="144"/>
      <c r="Y147" s="123"/>
      <c r="Z147" s="144"/>
      <c r="AA147" s="123"/>
      <c r="AB147" s="123"/>
      <c r="AC147" s="123"/>
      <c r="AD147" s="144"/>
      <c r="AE147" s="144"/>
      <c r="AF147" s="123"/>
    </row>
    <row r="148" spans="1:32" ht="15">
      <c r="A148" s="123"/>
      <c r="B148" s="156">
        <v>128</v>
      </c>
      <c r="C148" s="157" t="s">
        <v>1081</v>
      </c>
      <c r="D148" s="157" t="s">
        <v>893</v>
      </c>
      <c r="E148" s="157">
        <v>128</v>
      </c>
      <c r="F148" s="157" t="s">
        <v>181</v>
      </c>
      <c r="G148" s="158" t="s">
        <v>182</v>
      </c>
      <c r="H148" s="159">
        <v>128</v>
      </c>
      <c r="I148" s="159">
        <v>0</v>
      </c>
      <c r="J148" s="160" t="s">
        <v>1119</v>
      </c>
      <c r="K148" s="160">
        <v>34</v>
      </c>
      <c r="L148" s="160" t="s">
        <v>183</v>
      </c>
      <c r="M148" s="160">
        <v>13</v>
      </c>
      <c r="N148" s="247" t="s">
        <v>894</v>
      </c>
      <c r="O148" s="248">
        <v>1</v>
      </c>
      <c r="P148" s="123"/>
      <c r="Q148" s="144"/>
      <c r="R148" s="144"/>
      <c r="S148" s="144"/>
      <c r="T148" s="144"/>
      <c r="U148" s="144"/>
      <c r="V148" s="144"/>
      <c r="W148" s="144"/>
      <c r="X148" s="144"/>
      <c r="Y148" s="123"/>
      <c r="Z148" s="144"/>
      <c r="AA148" s="123"/>
      <c r="AB148" s="123"/>
      <c r="AC148" s="123"/>
      <c r="AD148" s="144"/>
      <c r="AE148" s="144"/>
      <c r="AF148" s="123"/>
    </row>
    <row r="149" spans="1:32" ht="15">
      <c r="A149" s="123"/>
      <c r="B149" s="156">
        <v>129</v>
      </c>
      <c r="C149" s="157" t="s">
        <v>1082</v>
      </c>
      <c r="D149" s="157" t="s">
        <v>893</v>
      </c>
      <c r="E149" s="157">
        <v>129</v>
      </c>
      <c r="F149" s="157" t="s">
        <v>181</v>
      </c>
      <c r="G149" s="158" t="s">
        <v>182</v>
      </c>
      <c r="H149" s="159">
        <v>129</v>
      </c>
      <c r="I149" s="159">
        <v>0</v>
      </c>
      <c r="J149" s="160" t="s">
        <v>1119</v>
      </c>
      <c r="K149" s="160">
        <v>34</v>
      </c>
      <c r="L149" s="160" t="s">
        <v>183</v>
      </c>
      <c r="M149" s="160">
        <v>13</v>
      </c>
      <c r="N149" s="247" t="s">
        <v>894</v>
      </c>
      <c r="O149" s="248">
        <v>1</v>
      </c>
      <c r="P149" s="123"/>
      <c r="Q149" s="144"/>
      <c r="R149" s="144"/>
      <c r="S149" s="144"/>
      <c r="T149" s="144"/>
      <c r="U149" s="144"/>
      <c r="V149" s="144"/>
      <c r="W149" s="144"/>
      <c r="X149" s="144"/>
      <c r="Y149" s="123"/>
      <c r="Z149" s="144"/>
      <c r="AA149" s="123"/>
      <c r="AB149" s="123"/>
      <c r="AC149" s="123"/>
      <c r="AD149" s="144"/>
      <c r="AE149" s="144"/>
      <c r="AF149" s="123"/>
    </row>
    <row r="150" spans="1:32" ht="15">
      <c r="A150" s="123"/>
      <c r="B150" s="156">
        <v>130</v>
      </c>
      <c r="C150" s="157" t="s">
        <v>528</v>
      </c>
      <c r="D150" s="157" t="s">
        <v>893</v>
      </c>
      <c r="E150" s="157">
        <v>130</v>
      </c>
      <c r="F150" s="157" t="s">
        <v>184</v>
      </c>
      <c r="G150" s="158" t="s">
        <v>185</v>
      </c>
      <c r="H150" s="159">
        <v>1</v>
      </c>
      <c r="I150" s="159">
        <v>3</v>
      </c>
      <c r="J150" s="160" t="s">
        <v>787</v>
      </c>
      <c r="K150" s="160">
        <v>5</v>
      </c>
      <c r="L150" s="160" t="s">
        <v>183</v>
      </c>
      <c r="M150" s="160">
        <v>11</v>
      </c>
      <c r="N150" s="247" t="s">
        <v>894</v>
      </c>
      <c r="O150" s="248">
        <v>2</v>
      </c>
      <c r="P150" s="123"/>
      <c r="Q150" s="144"/>
      <c r="R150" s="144"/>
      <c r="S150" s="144"/>
      <c r="T150" s="144"/>
      <c r="U150" s="144"/>
      <c r="V150" s="144"/>
      <c r="W150" s="144"/>
      <c r="X150" s="144"/>
      <c r="Y150" s="123"/>
      <c r="Z150" s="144"/>
      <c r="AA150" s="123"/>
      <c r="AB150" s="123"/>
      <c r="AC150" s="123"/>
      <c r="AD150" s="144"/>
      <c r="AE150" s="144"/>
      <c r="AF150" s="123"/>
    </row>
    <row r="151" spans="1:32" ht="15">
      <c r="A151" s="123"/>
      <c r="B151" s="156">
        <v>131</v>
      </c>
      <c r="C151" s="157" t="s">
        <v>533</v>
      </c>
      <c r="D151" s="157" t="s">
        <v>893</v>
      </c>
      <c r="E151" s="157">
        <v>131</v>
      </c>
      <c r="F151" s="157" t="s">
        <v>184</v>
      </c>
      <c r="G151" s="158" t="s">
        <v>185</v>
      </c>
      <c r="H151" s="159">
        <v>2</v>
      </c>
      <c r="I151" s="159">
        <v>3</v>
      </c>
      <c r="J151" s="160" t="s">
        <v>871</v>
      </c>
      <c r="K151" s="160">
        <v>7</v>
      </c>
      <c r="L151" s="160" t="s">
        <v>183</v>
      </c>
      <c r="M151" s="160">
        <v>11</v>
      </c>
      <c r="N151" s="247" t="s">
        <v>894</v>
      </c>
      <c r="O151" s="248">
        <v>2</v>
      </c>
      <c r="P151" s="123"/>
      <c r="Q151" s="144"/>
      <c r="R151" s="144"/>
      <c r="S151" s="144"/>
      <c r="T151" s="144"/>
      <c r="U151" s="144"/>
      <c r="V151" s="144"/>
      <c r="W151" s="144"/>
      <c r="X151" s="144"/>
      <c r="Y151" s="123"/>
      <c r="Z151" s="144"/>
      <c r="AA151" s="123"/>
      <c r="AB151" s="123"/>
      <c r="AC151" s="123"/>
      <c r="AD151" s="144"/>
      <c r="AE151" s="144"/>
      <c r="AF151" s="123"/>
    </row>
    <row r="152" spans="1:32" ht="15">
      <c r="A152" s="123"/>
      <c r="B152" s="156">
        <v>132</v>
      </c>
      <c r="C152" s="157" t="s">
        <v>509</v>
      </c>
      <c r="D152" s="157" t="s">
        <v>893</v>
      </c>
      <c r="E152" s="157">
        <v>132</v>
      </c>
      <c r="F152" s="157" t="s">
        <v>184</v>
      </c>
      <c r="G152" s="158" t="s">
        <v>185</v>
      </c>
      <c r="H152" s="159">
        <v>3</v>
      </c>
      <c r="I152" s="159">
        <v>3</v>
      </c>
      <c r="J152" s="160" t="s">
        <v>800</v>
      </c>
      <c r="K152" s="160">
        <v>10</v>
      </c>
      <c r="L152" s="160" t="s">
        <v>183</v>
      </c>
      <c r="M152" s="160">
        <v>12</v>
      </c>
      <c r="N152" s="247" t="s">
        <v>894</v>
      </c>
      <c r="O152" s="248">
        <v>2</v>
      </c>
      <c r="P152" s="123"/>
      <c r="Q152" s="144"/>
      <c r="R152" s="144"/>
      <c r="S152" s="144"/>
      <c r="T152" s="144"/>
      <c r="U152" s="144"/>
      <c r="V152" s="144"/>
      <c r="W152" s="144"/>
      <c r="X152" s="144"/>
      <c r="Y152" s="123"/>
      <c r="Z152" s="144"/>
      <c r="AA152" s="123"/>
      <c r="AB152" s="123"/>
      <c r="AC152" s="123"/>
      <c r="AD152" s="144"/>
      <c r="AE152" s="144"/>
      <c r="AF152" s="123"/>
    </row>
    <row r="153" spans="1:32" ht="15">
      <c r="A153" s="123"/>
      <c r="B153" s="156">
        <v>133</v>
      </c>
      <c r="C153" s="157" t="s">
        <v>510</v>
      </c>
      <c r="D153" s="157" t="s">
        <v>893</v>
      </c>
      <c r="E153" s="157">
        <v>133</v>
      </c>
      <c r="F153" s="157" t="s">
        <v>184</v>
      </c>
      <c r="G153" s="158" t="s">
        <v>185</v>
      </c>
      <c r="H153" s="159">
        <v>4</v>
      </c>
      <c r="I153" s="159">
        <v>3</v>
      </c>
      <c r="J153" s="160" t="s">
        <v>800</v>
      </c>
      <c r="K153" s="160">
        <v>10</v>
      </c>
      <c r="L153" s="160" t="s">
        <v>183</v>
      </c>
      <c r="M153" s="160">
        <v>12</v>
      </c>
      <c r="N153" s="247" t="s">
        <v>894</v>
      </c>
      <c r="O153" s="248">
        <v>2</v>
      </c>
      <c r="P153" s="123"/>
      <c r="Q153" s="144"/>
      <c r="R153" s="144"/>
      <c r="S153" s="144"/>
      <c r="T153" s="144"/>
      <c r="U153" s="144"/>
      <c r="V153" s="144"/>
      <c r="W153" s="144"/>
      <c r="X153" s="144"/>
      <c r="Y153" s="123"/>
      <c r="Z153" s="144"/>
      <c r="AA153" s="123"/>
      <c r="AB153" s="123"/>
      <c r="AC153" s="123"/>
      <c r="AD153" s="144"/>
      <c r="AE153" s="144"/>
      <c r="AF153" s="123"/>
    </row>
    <row r="154" spans="1:32" ht="15">
      <c r="A154" s="123"/>
      <c r="B154" s="156">
        <v>134</v>
      </c>
      <c r="C154" s="157" t="s">
        <v>529</v>
      </c>
      <c r="D154" s="157" t="s">
        <v>893</v>
      </c>
      <c r="E154" s="157">
        <v>134</v>
      </c>
      <c r="F154" s="157" t="s">
        <v>184</v>
      </c>
      <c r="G154" s="158" t="s">
        <v>185</v>
      </c>
      <c r="H154" s="159">
        <v>5</v>
      </c>
      <c r="I154" s="159">
        <v>3</v>
      </c>
      <c r="J154" s="160" t="s">
        <v>800</v>
      </c>
      <c r="K154" s="160">
        <v>10</v>
      </c>
      <c r="L154" s="160" t="s">
        <v>183</v>
      </c>
      <c r="M154" s="160">
        <v>11</v>
      </c>
      <c r="N154" s="247" t="s">
        <v>894</v>
      </c>
      <c r="O154" s="248">
        <v>2</v>
      </c>
      <c r="P154" s="123"/>
      <c r="Q154" s="144"/>
      <c r="R154" s="144"/>
      <c r="S154" s="144"/>
      <c r="T154" s="144"/>
      <c r="U154" s="144"/>
      <c r="V154" s="144"/>
      <c r="W154" s="144"/>
      <c r="X154" s="144"/>
      <c r="Y154" s="123"/>
      <c r="Z154" s="144"/>
      <c r="AA154" s="123"/>
      <c r="AB154" s="123"/>
      <c r="AC154" s="123"/>
      <c r="AD154" s="144"/>
      <c r="AE154" s="144"/>
      <c r="AF154" s="123"/>
    </row>
    <row r="155" spans="1:32" ht="15">
      <c r="A155" s="123"/>
      <c r="B155" s="156">
        <v>135</v>
      </c>
      <c r="C155" s="157" t="s">
        <v>530</v>
      </c>
      <c r="D155" s="157" t="s">
        <v>893</v>
      </c>
      <c r="E155" s="157">
        <v>135</v>
      </c>
      <c r="F155" s="157" t="s">
        <v>184</v>
      </c>
      <c r="G155" s="158" t="s">
        <v>185</v>
      </c>
      <c r="H155" s="159">
        <v>6</v>
      </c>
      <c r="I155" s="159">
        <v>3</v>
      </c>
      <c r="J155" s="160" t="s">
        <v>800</v>
      </c>
      <c r="K155" s="160">
        <v>10</v>
      </c>
      <c r="L155" s="160" t="s">
        <v>183</v>
      </c>
      <c r="M155" s="160">
        <v>11</v>
      </c>
      <c r="N155" s="247" t="s">
        <v>894</v>
      </c>
      <c r="O155" s="248">
        <v>2</v>
      </c>
      <c r="P155" s="123"/>
      <c r="Q155" s="144"/>
      <c r="R155" s="144"/>
      <c r="S155" s="144"/>
      <c r="T155" s="144"/>
      <c r="U155" s="144"/>
      <c r="V155" s="144"/>
      <c r="W155" s="144"/>
      <c r="X155" s="144"/>
      <c r="Y155" s="123"/>
      <c r="Z155" s="144"/>
      <c r="AA155" s="123"/>
      <c r="AB155" s="123"/>
      <c r="AC155" s="123"/>
      <c r="AD155" s="144"/>
      <c r="AE155" s="144"/>
      <c r="AF155" s="123"/>
    </row>
    <row r="156" spans="1:32" ht="15">
      <c r="A156" s="123"/>
      <c r="B156" s="156">
        <v>136</v>
      </c>
      <c r="C156" s="157" t="s">
        <v>502</v>
      </c>
      <c r="D156" s="157" t="s">
        <v>893</v>
      </c>
      <c r="E156" s="157">
        <v>136</v>
      </c>
      <c r="F156" s="157" t="s">
        <v>184</v>
      </c>
      <c r="G156" s="158" t="s">
        <v>185</v>
      </c>
      <c r="H156" s="159">
        <v>7</v>
      </c>
      <c r="I156" s="159">
        <v>3</v>
      </c>
      <c r="J156" s="160" t="s">
        <v>757</v>
      </c>
      <c r="K156" s="160">
        <v>12</v>
      </c>
      <c r="L156" s="160" t="s">
        <v>183</v>
      </c>
      <c r="M156" s="160">
        <v>12</v>
      </c>
      <c r="N156" s="247" t="s">
        <v>894</v>
      </c>
      <c r="O156" s="248">
        <v>2</v>
      </c>
      <c r="P156" s="123"/>
      <c r="Q156" s="144"/>
      <c r="R156" s="144"/>
      <c r="S156" s="144"/>
      <c r="T156" s="144"/>
      <c r="U156" s="144"/>
      <c r="V156" s="144"/>
      <c r="W156" s="144"/>
      <c r="X156" s="144"/>
      <c r="Y156" s="123"/>
      <c r="Z156" s="144"/>
      <c r="AA156" s="123"/>
      <c r="AB156" s="123"/>
      <c r="AC156" s="123"/>
      <c r="AD156" s="144"/>
      <c r="AE156" s="144"/>
      <c r="AF156" s="123"/>
    </row>
    <row r="157" spans="1:32" ht="15">
      <c r="A157" s="123"/>
      <c r="B157" s="156">
        <v>137</v>
      </c>
      <c r="C157" s="157" t="s">
        <v>503</v>
      </c>
      <c r="D157" s="157" t="s">
        <v>893</v>
      </c>
      <c r="E157" s="157">
        <v>137</v>
      </c>
      <c r="F157" s="157" t="s">
        <v>184</v>
      </c>
      <c r="G157" s="158" t="s">
        <v>185</v>
      </c>
      <c r="H157" s="159">
        <v>8</v>
      </c>
      <c r="I157" s="159">
        <v>3</v>
      </c>
      <c r="J157" s="160" t="s">
        <v>757</v>
      </c>
      <c r="K157" s="160">
        <v>12</v>
      </c>
      <c r="L157" s="160" t="s">
        <v>183</v>
      </c>
      <c r="M157" s="160">
        <v>12</v>
      </c>
      <c r="N157" s="247" t="s">
        <v>894</v>
      </c>
      <c r="O157" s="248">
        <v>2</v>
      </c>
      <c r="P157" s="123"/>
      <c r="Q157" s="144"/>
      <c r="R157" s="144"/>
      <c r="S157" s="144"/>
      <c r="T157" s="144"/>
      <c r="U157" s="144"/>
      <c r="V157" s="144"/>
      <c r="W157" s="144"/>
      <c r="X157" s="144"/>
      <c r="Y157" s="123"/>
      <c r="Z157" s="144"/>
      <c r="AA157" s="123"/>
      <c r="AB157" s="123"/>
      <c r="AC157" s="123"/>
      <c r="AD157" s="144"/>
      <c r="AE157" s="144"/>
      <c r="AF157" s="123"/>
    </row>
    <row r="158" spans="1:32" ht="15">
      <c r="A158" s="123"/>
      <c r="B158" s="156">
        <v>138</v>
      </c>
      <c r="C158" s="157" t="s">
        <v>519</v>
      </c>
      <c r="D158" s="157" t="s">
        <v>893</v>
      </c>
      <c r="E158" s="157">
        <v>138</v>
      </c>
      <c r="F158" s="157" t="s">
        <v>184</v>
      </c>
      <c r="G158" s="158" t="s">
        <v>185</v>
      </c>
      <c r="H158" s="159">
        <v>9</v>
      </c>
      <c r="I158" s="159">
        <v>3</v>
      </c>
      <c r="J158" s="160" t="s">
        <v>757</v>
      </c>
      <c r="K158" s="160">
        <v>12</v>
      </c>
      <c r="L158" s="160" t="s">
        <v>183</v>
      </c>
      <c r="M158" s="160">
        <v>11</v>
      </c>
      <c r="N158" s="247" t="s">
        <v>894</v>
      </c>
      <c r="O158" s="248">
        <v>2</v>
      </c>
      <c r="P158" s="123"/>
      <c r="Q158" s="144"/>
      <c r="R158" s="144"/>
      <c r="S158" s="144"/>
      <c r="T158" s="144"/>
      <c r="U158" s="144"/>
      <c r="V158" s="144"/>
      <c r="W158" s="144"/>
      <c r="X158" s="144"/>
      <c r="Y158" s="123"/>
      <c r="Z158" s="144"/>
      <c r="AA158" s="123"/>
      <c r="AB158" s="123"/>
      <c r="AC158" s="123"/>
      <c r="AD158" s="144"/>
      <c r="AE158" s="144"/>
      <c r="AF158" s="123"/>
    </row>
    <row r="159" spans="1:32" ht="15">
      <c r="A159" s="123"/>
      <c r="B159" s="156">
        <v>139</v>
      </c>
      <c r="C159" s="157" t="s">
        <v>520</v>
      </c>
      <c r="D159" s="157" t="s">
        <v>893</v>
      </c>
      <c r="E159" s="157">
        <v>139</v>
      </c>
      <c r="F159" s="157" t="s">
        <v>184</v>
      </c>
      <c r="G159" s="158" t="s">
        <v>185</v>
      </c>
      <c r="H159" s="159">
        <v>10</v>
      </c>
      <c r="I159" s="159">
        <v>3</v>
      </c>
      <c r="J159" s="160" t="s">
        <v>757</v>
      </c>
      <c r="K159" s="160">
        <v>12</v>
      </c>
      <c r="L159" s="160" t="s">
        <v>183</v>
      </c>
      <c r="M159" s="160">
        <v>11</v>
      </c>
      <c r="N159" s="247" t="s">
        <v>894</v>
      </c>
      <c r="O159" s="248">
        <v>2</v>
      </c>
      <c r="P159" s="123"/>
      <c r="Q159" s="144"/>
      <c r="R159" s="144"/>
      <c r="S159" s="144"/>
      <c r="T159" s="144"/>
      <c r="U159" s="144"/>
      <c r="V159" s="144"/>
      <c r="W159" s="144"/>
      <c r="X159" s="144"/>
      <c r="Y159" s="123"/>
      <c r="Z159" s="144"/>
      <c r="AA159" s="123"/>
      <c r="AB159" s="123"/>
      <c r="AC159" s="123"/>
      <c r="AD159" s="144"/>
      <c r="AE159" s="144"/>
      <c r="AF159" s="123"/>
    </row>
    <row r="160" spans="1:32" ht="15">
      <c r="A160" s="123"/>
      <c r="B160" s="156">
        <v>140</v>
      </c>
      <c r="C160" s="157" t="s">
        <v>511</v>
      </c>
      <c r="D160" s="157" t="s">
        <v>893</v>
      </c>
      <c r="E160" s="157">
        <v>140</v>
      </c>
      <c r="F160" s="157" t="s">
        <v>184</v>
      </c>
      <c r="G160" s="158" t="s">
        <v>185</v>
      </c>
      <c r="H160" s="159">
        <v>11</v>
      </c>
      <c r="I160" s="159">
        <v>3</v>
      </c>
      <c r="J160" s="160" t="s">
        <v>863</v>
      </c>
      <c r="K160" s="160">
        <v>16</v>
      </c>
      <c r="L160" s="160" t="s">
        <v>183</v>
      </c>
      <c r="M160" s="160">
        <v>12</v>
      </c>
      <c r="N160" s="247" t="s">
        <v>894</v>
      </c>
      <c r="O160" s="248">
        <v>2</v>
      </c>
      <c r="P160" s="123"/>
      <c r="Q160" s="144"/>
      <c r="R160" s="144"/>
      <c r="S160" s="144"/>
      <c r="T160" s="144"/>
      <c r="U160" s="144"/>
      <c r="V160" s="144"/>
      <c r="W160" s="144"/>
      <c r="X160" s="144"/>
      <c r="Y160" s="123"/>
      <c r="Z160" s="144"/>
      <c r="AA160" s="123"/>
      <c r="AB160" s="123"/>
      <c r="AC160" s="123"/>
      <c r="AD160" s="144"/>
      <c r="AE160" s="144"/>
      <c r="AF160" s="123"/>
    </row>
    <row r="161" spans="1:32" ht="15">
      <c r="A161" s="123"/>
      <c r="B161" s="156">
        <v>141</v>
      </c>
      <c r="C161" s="157" t="s">
        <v>512</v>
      </c>
      <c r="D161" s="157" t="s">
        <v>893</v>
      </c>
      <c r="E161" s="157">
        <v>141</v>
      </c>
      <c r="F161" s="157" t="s">
        <v>184</v>
      </c>
      <c r="G161" s="158" t="s">
        <v>185</v>
      </c>
      <c r="H161" s="159">
        <v>12</v>
      </c>
      <c r="I161" s="159">
        <v>3</v>
      </c>
      <c r="J161" s="160" t="s">
        <v>863</v>
      </c>
      <c r="K161" s="160">
        <v>16</v>
      </c>
      <c r="L161" s="160" t="s">
        <v>183</v>
      </c>
      <c r="M161" s="160">
        <v>12</v>
      </c>
      <c r="N161" s="247" t="s">
        <v>894</v>
      </c>
      <c r="O161" s="248">
        <v>2</v>
      </c>
      <c r="P161" s="123"/>
      <c r="Q161" s="144"/>
      <c r="R161" s="144"/>
      <c r="S161" s="144"/>
      <c r="T161" s="144"/>
      <c r="U161" s="144"/>
      <c r="V161" s="144"/>
      <c r="W161" s="144"/>
      <c r="X161" s="144"/>
      <c r="Y161" s="123"/>
      <c r="Z161" s="144"/>
      <c r="AA161" s="123"/>
      <c r="AB161" s="123"/>
      <c r="AC161" s="123"/>
      <c r="AD161" s="144"/>
      <c r="AE161" s="144"/>
      <c r="AF161" s="123"/>
    </row>
    <row r="162" spans="1:32" ht="15">
      <c r="A162" s="123"/>
      <c r="B162" s="156">
        <v>142</v>
      </c>
      <c r="C162" s="157" t="s">
        <v>531</v>
      </c>
      <c r="D162" s="157" t="s">
        <v>893</v>
      </c>
      <c r="E162" s="157">
        <v>142</v>
      </c>
      <c r="F162" s="157" t="s">
        <v>184</v>
      </c>
      <c r="G162" s="158" t="s">
        <v>185</v>
      </c>
      <c r="H162" s="159">
        <v>13</v>
      </c>
      <c r="I162" s="159">
        <v>3</v>
      </c>
      <c r="J162" s="160" t="s">
        <v>863</v>
      </c>
      <c r="K162" s="160">
        <v>16</v>
      </c>
      <c r="L162" s="160" t="s">
        <v>183</v>
      </c>
      <c r="M162" s="160">
        <v>11</v>
      </c>
      <c r="N162" s="247" t="s">
        <v>894</v>
      </c>
      <c r="O162" s="248">
        <v>2</v>
      </c>
      <c r="P162" s="123"/>
      <c r="Q162" s="144"/>
      <c r="R162" s="144"/>
      <c r="S162" s="144"/>
      <c r="T162" s="144"/>
      <c r="U162" s="144"/>
      <c r="V162" s="144"/>
      <c r="W162" s="144"/>
      <c r="X162" s="144"/>
      <c r="Y162" s="123"/>
      <c r="Z162" s="144"/>
      <c r="AA162" s="123"/>
      <c r="AB162" s="123"/>
      <c r="AC162" s="123"/>
      <c r="AD162" s="144"/>
      <c r="AE162" s="144"/>
      <c r="AF162" s="123"/>
    </row>
    <row r="163" spans="1:32" ht="15">
      <c r="A163" s="123"/>
      <c r="B163" s="156">
        <v>143</v>
      </c>
      <c r="C163" s="157" t="s">
        <v>532</v>
      </c>
      <c r="D163" s="157" t="s">
        <v>893</v>
      </c>
      <c r="E163" s="157">
        <v>143</v>
      </c>
      <c r="F163" s="157" t="s">
        <v>184</v>
      </c>
      <c r="G163" s="158" t="s">
        <v>185</v>
      </c>
      <c r="H163" s="159">
        <v>14</v>
      </c>
      <c r="I163" s="159">
        <v>3</v>
      </c>
      <c r="J163" s="160" t="s">
        <v>863</v>
      </c>
      <c r="K163" s="160">
        <v>16</v>
      </c>
      <c r="L163" s="160" t="s">
        <v>183</v>
      </c>
      <c r="M163" s="160">
        <v>11</v>
      </c>
      <c r="N163" s="247" t="s">
        <v>894</v>
      </c>
      <c r="O163" s="248">
        <v>2</v>
      </c>
      <c r="P163" s="123"/>
      <c r="Q163" s="144"/>
      <c r="R163" s="144"/>
      <c r="S163" s="144"/>
      <c r="T163" s="144"/>
      <c r="U163" s="144"/>
      <c r="V163" s="144"/>
      <c r="W163" s="144"/>
      <c r="X163" s="144"/>
      <c r="Y163" s="123"/>
      <c r="Z163" s="144"/>
      <c r="AA163" s="123"/>
      <c r="AB163" s="123"/>
      <c r="AC163" s="123"/>
      <c r="AD163" s="144"/>
      <c r="AE163" s="144"/>
      <c r="AF163" s="123"/>
    </row>
    <row r="164" spans="1:32" ht="15">
      <c r="A164" s="123"/>
      <c r="B164" s="156">
        <v>144</v>
      </c>
      <c r="C164" s="157" t="s">
        <v>505</v>
      </c>
      <c r="D164" s="157" t="s">
        <v>893</v>
      </c>
      <c r="E164" s="157">
        <v>144</v>
      </c>
      <c r="F164" s="157" t="s">
        <v>184</v>
      </c>
      <c r="G164" s="158" t="s">
        <v>185</v>
      </c>
      <c r="H164" s="159">
        <v>15</v>
      </c>
      <c r="I164" s="159">
        <v>3</v>
      </c>
      <c r="J164" s="160" t="s">
        <v>774</v>
      </c>
      <c r="K164" s="160">
        <v>17</v>
      </c>
      <c r="L164" s="160" t="s">
        <v>183</v>
      </c>
      <c r="M164" s="160">
        <v>12</v>
      </c>
      <c r="N164" s="247" t="s">
        <v>894</v>
      </c>
      <c r="O164" s="248">
        <v>2</v>
      </c>
      <c r="P164" s="123"/>
      <c r="Q164" s="144"/>
      <c r="R164" s="144"/>
      <c r="S164" s="144"/>
      <c r="T164" s="144"/>
      <c r="U164" s="144"/>
      <c r="V164" s="144"/>
      <c r="W164" s="144"/>
      <c r="X164" s="144"/>
      <c r="Y164" s="123"/>
      <c r="Z164" s="144"/>
      <c r="AA164" s="123"/>
      <c r="AB164" s="123"/>
      <c r="AC164" s="123"/>
      <c r="AD164" s="144"/>
      <c r="AE164" s="144"/>
      <c r="AF164" s="123"/>
    </row>
    <row r="165" spans="1:32" ht="15">
      <c r="A165" s="123"/>
      <c r="B165" s="156">
        <v>145</v>
      </c>
      <c r="C165" s="157" t="s">
        <v>506</v>
      </c>
      <c r="D165" s="157" t="s">
        <v>893</v>
      </c>
      <c r="E165" s="157">
        <v>145</v>
      </c>
      <c r="F165" s="157" t="s">
        <v>184</v>
      </c>
      <c r="G165" s="158" t="s">
        <v>185</v>
      </c>
      <c r="H165" s="159">
        <v>16</v>
      </c>
      <c r="I165" s="159">
        <v>3</v>
      </c>
      <c r="J165" s="160" t="s">
        <v>774</v>
      </c>
      <c r="K165" s="160">
        <v>17</v>
      </c>
      <c r="L165" s="160" t="s">
        <v>183</v>
      </c>
      <c r="M165" s="160">
        <v>12</v>
      </c>
      <c r="N165" s="247" t="s">
        <v>894</v>
      </c>
      <c r="O165" s="248">
        <v>2</v>
      </c>
      <c r="P165" s="123"/>
      <c r="Q165" s="144"/>
      <c r="R165" s="144"/>
      <c r="S165" s="144"/>
      <c r="T165" s="144"/>
      <c r="U165" s="144"/>
      <c r="V165" s="144"/>
      <c r="W165" s="144"/>
      <c r="X165" s="144"/>
      <c r="Y165" s="123"/>
      <c r="Z165" s="144"/>
      <c r="AA165" s="123"/>
      <c r="AB165" s="123"/>
      <c r="AC165" s="123"/>
      <c r="AD165" s="144"/>
      <c r="AE165" s="144"/>
      <c r="AF165" s="123"/>
    </row>
    <row r="166" spans="1:32" ht="15">
      <c r="A166" s="252"/>
      <c r="B166" s="156">
        <v>146</v>
      </c>
      <c r="C166" s="250" t="s">
        <v>522</v>
      </c>
      <c r="D166" s="250" t="s">
        <v>893</v>
      </c>
      <c r="E166" s="157">
        <v>146</v>
      </c>
      <c r="F166" s="157" t="s">
        <v>184</v>
      </c>
      <c r="G166" s="158" t="s">
        <v>185</v>
      </c>
      <c r="H166" s="159">
        <v>17</v>
      </c>
      <c r="I166" s="159">
        <v>3</v>
      </c>
      <c r="J166" s="253" t="s">
        <v>774</v>
      </c>
      <c r="K166" s="160">
        <v>17</v>
      </c>
      <c r="L166" s="160" t="s">
        <v>183</v>
      </c>
      <c r="M166" s="160">
        <v>11</v>
      </c>
      <c r="N166" s="247" t="s">
        <v>894</v>
      </c>
      <c r="O166" s="248">
        <v>2</v>
      </c>
      <c r="P166" s="123"/>
      <c r="Q166" s="144"/>
      <c r="R166" s="144"/>
      <c r="S166" s="144"/>
      <c r="T166" s="144"/>
      <c r="U166" s="144"/>
      <c r="V166" s="144"/>
      <c r="W166" s="144"/>
      <c r="X166" s="144"/>
      <c r="Y166" s="123"/>
      <c r="Z166" s="144"/>
      <c r="AA166" s="123"/>
      <c r="AB166" s="123"/>
      <c r="AC166" s="123"/>
      <c r="AD166" s="144"/>
      <c r="AE166" s="144"/>
      <c r="AF166" s="123"/>
    </row>
    <row r="167" spans="1:32" ht="15">
      <c r="A167" s="252"/>
      <c r="B167" s="156">
        <v>147</v>
      </c>
      <c r="C167" s="250" t="s">
        <v>523</v>
      </c>
      <c r="D167" s="250" t="s">
        <v>893</v>
      </c>
      <c r="E167" s="157">
        <v>147</v>
      </c>
      <c r="F167" s="157" t="s">
        <v>184</v>
      </c>
      <c r="G167" s="158" t="s">
        <v>185</v>
      </c>
      <c r="H167" s="159">
        <v>18</v>
      </c>
      <c r="I167" s="159">
        <v>3</v>
      </c>
      <c r="J167" s="253" t="s">
        <v>774</v>
      </c>
      <c r="K167" s="160">
        <v>17</v>
      </c>
      <c r="L167" s="160" t="s">
        <v>183</v>
      </c>
      <c r="M167" s="160">
        <v>11</v>
      </c>
      <c r="N167" s="247" t="s">
        <v>894</v>
      </c>
      <c r="O167" s="248">
        <v>2</v>
      </c>
      <c r="P167" s="123"/>
      <c r="Q167" s="144"/>
      <c r="R167" s="144"/>
      <c r="S167" s="144"/>
      <c r="T167" s="144"/>
      <c r="U167" s="144"/>
      <c r="V167" s="144"/>
      <c r="W167" s="144"/>
      <c r="X167" s="144"/>
      <c r="Y167" s="123"/>
      <c r="Z167" s="144"/>
      <c r="AA167" s="123"/>
      <c r="AB167" s="123"/>
      <c r="AC167" s="123"/>
      <c r="AD167" s="144"/>
      <c r="AE167" s="144"/>
      <c r="AF167" s="123"/>
    </row>
    <row r="168" spans="1:32" ht="15">
      <c r="A168" s="123"/>
      <c r="B168" s="156">
        <v>148</v>
      </c>
      <c r="C168" s="157" t="s">
        <v>507</v>
      </c>
      <c r="D168" s="157" t="s">
        <v>893</v>
      </c>
      <c r="E168" s="157">
        <v>148</v>
      </c>
      <c r="F168" s="157" t="s">
        <v>184</v>
      </c>
      <c r="G168" s="158" t="s">
        <v>185</v>
      </c>
      <c r="H168" s="159">
        <v>19</v>
      </c>
      <c r="I168" s="159">
        <v>3</v>
      </c>
      <c r="J168" s="160" t="s">
        <v>783</v>
      </c>
      <c r="K168" s="160">
        <v>22</v>
      </c>
      <c r="L168" s="160" t="s">
        <v>183</v>
      </c>
      <c r="M168" s="160">
        <v>12</v>
      </c>
      <c r="N168" s="247" t="s">
        <v>894</v>
      </c>
      <c r="O168" s="248">
        <v>2</v>
      </c>
      <c r="P168" s="123"/>
      <c r="Q168" s="144"/>
      <c r="R168" s="144"/>
      <c r="S168" s="144"/>
      <c r="T168" s="144"/>
      <c r="U168" s="144"/>
      <c r="V168" s="144"/>
      <c r="W168" s="144"/>
      <c r="X168" s="144"/>
      <c r="Y168" s="123"/>
      <c r="Z168" s="144"/>
      <c r="AA168" s="123"/>
      <c r="AB168" s="123"/>
      <c r="AC168" s="123"/>
      <c r="AD168" s="144"/>
      <c r="AE168" s="144"/>
      <c r="AF168" s="123"/>
    </row>
    <row r="169" spans="1:32" ht="15">
      <c r="A169" s="123"/>
      <c r="B169" s="156">
        <v>149</v>
      </c>
      <c r="C169" s="157" t="s">
        <v>508</v>
      </c>
      <c r="D169" s="157" t="s">
        <v>893</v>
      </c>
      <c r="E169" s="157">
        <v>149</v>
      </c>
      <c r="F169" s="157" t="s">
        <v>184</v>
      </c>
      <c r="G169" s="158" t="s">
        <v>185</v>
      </c>
      <c r="H169" s="159">
        <v>20</v>
      </c>
      <c r="I169" s="159">
        <v>3</v>
      </c>
      <c r="J169" s="160" t="s">
        <v>783</v>
      </c>
      <c r="K169" s="160">
        <v>22</v>
      </c>
      <c r="L169" s="160" t="s">
        <v>183</v>
      </c>
      <c r="M169" s="160">
        <v>12</v>
      </c>
      <c r="N169" s="247" t="s">
        <v>894</v>
      </c>
      <c r="O169" s="248">
        <v>2</v>
      </c>
      <c r="P169" s="123"/>
      <c r="Q169" s="144"/>
      <c r="R169" s="144"/>
      <c r="S169" s="144"/>
      <c r="T169" s="144"/>
      <c r="U169" s="144"/>
      <c r="V169" s="144"/>
      <c r="W169" s="144"/>
      <c r="X169" s="144"/>
      <c r="Y169" s="123"/>
      <c r="Z169" s="144"/>
      <c r="AA169" s="123"/>
      <c r="AB169" s="123"/>
      <c r="AC169" s="123"/>
      <c r="AD169" s="144"/>
      <c r="AE169" s="144"/>
      <c r="AF169" s="123"/>
    </row>
    <row r="170" spans="1:32" ht="15">
      <c r="A170" s="123"/>
      <c r="B170" s="156">
        <v>150</v>
      </c>
      <c r="C170" s="157" t="s">
        <v>524</v>
      </c>
      <c r="D170" s="157" t="s">
        <v>893</v>
      </c>
      <c r="E170" s="157">
        <v>150</v>
      </c>
      <c r="F170" s="157" t="s">
        <v>184</v>
      </c>
      <c r="G170" s="158" t="s">
        <v>185</v>
      </c>
      <c r="H170" s="159">
        <v>21</v>
      </c>
      <c r="I170" s="159">
        <v>3</v>
      </c>
      <c r="J170" s="160" t="s">
        <v>783</v>
      </c>
      <c r="K170" s="160">
        <v>22</v>
      </c>
      <c r="L170" s="160" t="s">
        <v>183</v>
      </c>
      <c r="M170" s="160">
        <v>11</v>
      </c>
      <c r="N170" s="247" t="s">
        <v>894</v>
      </c>
      <c r="O170" s="248">
        <v>2</v>
      </c>
      <c r="P170" s="123"/>
      <c r="Q170" s="144"/>
      <c r="R170" s="144"/>
      <c r="S170" s="144"/>
      <c r="T170" s="144"/>
      <c r="U170" s="144"/>
      <c r="V170" s="144"/>
      <c r="W170" s="144"/>
      <c r="X170" s="144"/>
      <c r="Y170" s="123"/>
      <c r="Z170" s="144"/>
      <c r="AA170" s="123"/>
      <c r="AB170" s="123"/>
      <c r="AC170" s="123"/>
      <c r="AD170" s="144"/>
      <c r="AE170" s="144"/>
      <c r="AF170" s="123"/>
    </row>
    <row r="171" spans="1:32" ht="15">
      <c r="A171" s="123"/>
      <c r="B171" s="156">
        <v>151</v>
      </c>
      <c r="C171" s="157" t="s">
        <v>525</v>
      </c>
      <c r="D171" s="157" t="s">
        <v>893</v>
      </c>
      <c r="E171" s="157">
        <v>151</v>
      </c>
      <c r="F171" s="157" t="s">
        <v>184</v>
      </c>
      <c r="G171" s="158" t="s">
        <v>185</v>
      </c>
      <c r="H171" s="159">
        <v>22</v>
      </c>
      <c r="I171" s="159">
        <v>3</v>
      </c>
      <c r="J171" s="160" t="s">
        <v>783</v>
      </c>
      <c r="K171" s="160">
        <v>22</v>
      </c>
      <c r="L171" s="160" t="s">
        <v>183</v>
      </c>
      <c r="M171" s="160">
        <v>11</v>
      </c>
      <c r="N171" s="247" t="s">
        <v>894</v>
      </c>
      <c r="O171" s="248">
        <v>2</v>
      </c>
      <c r="P171" s="123"/>
      <c r="Q171" s="144"/>
      <c r="R171" s="144"/>
      <c r="S171" s="144"/>
      <c r="T171" s="144"/>
      <c r="U171" s="144"/>
      <c r="V171" s="144"/>
      <c r="W171" s="144"/>
      <c r="X171" s="144"/>
      <c r="Y171" s="123"/>
      <c r="Z171" s="144"/>
      <c r="AA171" s="123"/>
      <c r="AB171" s="123"/>
      <c r="AC171" s="123"/>
      <c r="AD171" s="144"/>
      <c r="AE171" s="144"/>
      <c r="AF171" s="123"/>
    </row>
    <row r="172" spans="1:32" ht="15">
      <c r="A172" s="123"/>
      <c r="B172" s="156">
        <v>152</v>
      </c>
      <c r="C172" s="157" t="s">
        <v>526</v>
      </c>
      <c r="D172" s="157" t="s">
        <v>893</v>
      </c>
      <c r="E172" s="157">
        <v>152</v>
      </c>
      <c r="F172" s="157" t="s">
        <v>184</v>
      </c>
      <c r="G172" s="158" t="s">
        <v>185</v>
      </c>
      <c r="H172" s="159">
        <v>23</v>
      </c>
      <c r="I172" s="159">
        <v>3</v>
      </c>
      <c r="J172" s="160" t="s">
        <v>783</v>
      </c>
      <c r="K172" s="160">
        <v>22</v>
      </c>
      <c r="L172" s="160" t="s">
        <v>183</v>
      </c>
      <c r="M172" s="160">
        <v>11</v>
      </c>
      <c r="N172" s="247" t="s">
        <v>894</v>
      </c>
      <c r="O172" s="248">
        <v>2</v>
      </c>
      <c r="P172" s="123"/>
      <c r="Q172" s="144"/>
      <c r="R172" s="144"/>
      <c r="S172" s="144"/>
      <c r="T172" s="144"/>
      <c r="U172" s="144"/>
      <c r="V172" s="144"/>
      <c r="W172" s="144"/>
      <c r="X172" s="144"/>
      <c r="Y172" s="123"/>
      <c r="Z172" s="144"/>
      <c r="AA172" s="123"/>
      <c r="AB172" s="123"/>
      <c r="AC172" s="123"/>
      <c r="AD172" s="144"/>
      <c r="AE172" s="144"/>
      <c r="AF172" s="123"/>
    </row>
    <row r="173" spans="1:32" ht="15">
      <c r="A173" s="123"/>
      <c r="B173" s="156">
        <v>153</v>
      </c>
      <c r="C173" s="157" t="s">
        <v>527</v>
      </c>
      <c r="D173" s="157" t="s">
        <v>893</v>
      </c>
      <c r="E173" s="157">
        <v>153</v>
      </c>
      <c r="F173" s="157" t="s">
        <v>184</v>
      </c>
      <c r="G173" s="158" t="s">
        <v>185</v>
      </c>
      <c r="H173" s="159">
        <v>24</v>
      </c>
      <c r="I173" s="159">
        <v>3</v>
      </c>
      <c r="J173" s="160" t="s">
        <v>783</v>
      </c>
      <c r="K173" s="160">
        <v>22</v>
      </c>
      <c r="L173" s="160" t="s">
        <v>183</v>
      </c>
      <c r="M173" s="160">
        <v>11</v>
      </c>
      <c r="N173" s="247" t="s">
        <v>894</v>
      </c>
      <c r="O173" s="248">
        <v>2</v>
      </c>
      <c r="P173" s="123"/>
      <c r="Q173" s="144"/>
      <c r="R173" s="144"/>
      <c r="S173" s="144"/>
      <c r="T173" s="144"/>
      <c r="U173" s="144"/>
      <c r="V173" s="144"/>
      <c r="W173" s="144"/>
      <c r="X173" s="144"/>
      <c r="Y173" s="123"/>
      <c r="Z173" s="144"/>
      <c r="AA173" s="123"/>
      <c r="AB173" s="123"/>
      <c r="AC173" s="123"/>
      <c r="AD173" s="144"/>
      <c r="AE173" s="144"/>
      <c r="AF173" s="123"/>
    </row>
    <row r="174" spans="1:32" ht="15">
      <c r="A174" s="123"/>
      <c r="B174" s="156">
        <v>154</v>
      </c>
      <c r="C174" s="157" t="s">
        <v>1013</v>
      </c>
      <c r="D174" s="157" t="s">
        <v>893</v>
      </c>
      <c r="E174" s="157">
        <v>154</v>
      </c>
      <c r="F174" s="157" t="s">
        <v>184</v>
      </c>
      <c r="G174" s="158" t="s">
        <v>185</v>
      </c>
      <c r="H174" s="159">
        <v>25</v>
      </c>
      <c r="I174" s="159">
        <v>3</v>
      </c>
      <c r="J174" s="160" t="s">
        <v>1112</v>
      </c>
      <c r="K174" s="160">
        <v>26</v>
      </c>
      <c r="L174" s="160" t="s">
        <v>183</v>
      </c>
      <c r="M174" s="160">
        <v>12</v>
      </c>
      <c r="N174" s="247" t="s">
        <v>894</v>
      </c>
      <c r="O174" s="248">
        <v>2</v>
      </c>
      <c r="P174" s="123"/>
      <c r="Q174" s="144"/>
      <c r="R174" s="144"/>
      <c r="S174" s="144"/>
      <c r="T174" s="144"/>
      <c r="U174" s="144"/>
      <c r="V174" s="144"/>
      <c r="W174" s="144"/>
      <c r="X174" s="144"/>
      <c r="Y174" s="123"/>
      <c r="Z174" s="144"/>
      <c r="AA174" s="123"/>
      <c r="AB174" s="123"/>
      <c r="AC174" s="123"/>
      <c r="AD174" s="144"/>
      <c r="AE174" s="144"/>
      <c r="AF174" s="123"/>
    </row>
    <row r="175" spans="1:32" ht="15">
      <c r="A175" s="123"/>
      <c r="B175" s="156">
        <v>155</v>
      </c>
      <c r="C175" s="157" t="s">
        <v>1016</v>
      </c>
      <c r="D175" s="157" t="s">
        <v>893</v>
      </c>
      <c r="E175" s="157">
        <v>155</v>
      </c>
      <c r="F175" s="157" t="s">
        <v>184</v>
      </c>
      <c r="G175" s="158" t="s">
        <v>185</v>
      </c>
      <c r="H175" s="159">
        <v>26</v>
      </c>
      <c r="I175" s="159">
        <v>3</v>
      </c>
      <c r="J175" s="160" t="s">
        <v>1112</v>
      </c>
      <c r="K175" s="160">
        <v>26</v>
      </c>
      <c r="L175" s="160" t="s">
        <v>183</v>
      </c>
      <c r="M175" s="160">
        <v>11</v>
      </c>
      <c r="N175" s="247" t="s">
        <v>894</v>
      </c>
      <c r="O175" s="248">
        <v>2</v>
      </c>
      <c r="P175" s="123"/>
      <c r="Q175" s="144"/>
      <c r="R175" s="144"/>
      <c r="S175" s="144"/>
      <c r="T175" s="144"/>
      <c r="U175" s="144"/>
      <c r="V175" s="144"/>
      <c r="W175" s="144"/>
      <c r="X175" s="144"/>
      <c r="Y175" s="123"/>
      <c r="Z175" s="144"/>
      <c r="AA175" s="123"/>
      <c r="AB175" s="123"/>
      <c r="AC175" s="123"/>
      <c r="AD175" s="144"/>
      <c r="AE175" s="144"/>
      <c r="AF175" s="123"/>
    </row>
    <row r="176" spans="1:32" ht="15">
      <c r="A176" s="123"/>
      <c r="B176" s="156">
        <v>156</v>
      </c>
      <c r="C176" s="157" t="s">
        <v>504</v>
      </c>
      <c r="D176" s="157" t="s">
        <v>893</v>
      </c>
      <c r="E176" s="157">
        <v>156</v>
      </c>
      <c r="F176" s="157" t="s">
        <v>184</v>
      </c>
      <c r="G176" s="158" t="s">
        <v>185</v>
      </c>
      <c r="H176" s="159">
        <v>27</v>
      </c>
      <c r="I176" s="159">
        <v>3</v>
      </c>
      <c r="J176" s="160" t="s">
        <v>858</v>
      </c>
      <c r="K176" s="160">
        <v>28</v>
      </c>
      <c r="L176" s="160" t="s">
        <v>183</v>
      </c>
      <c r="M176" s="160">
        <v>12</v>
      </c>
      <c r="N176" s="247" t="s">
        <v>894</v>
      </c>
      <c r="O176" s="248">
        <v>2</v>
      </c>
      <c r="P176" s="123"/>
      <c r="Q176" s="144"/>
      <c r="R176" s="144"/>
      <c r="S176" s="144"/>
      <c r="T176" s="144"/>
      <c r="U176" s="144"/>
      <c r="V176" s="144"/>
      <c r="W176" s="144"/>
      <c r="X176" s="144"/>
      <c r="Y176" s="123"/>
      <c r="Z176" s="144"/>
      <c r="AA176" s="123"/>
      <c r="AB176" s="123"/>
      <c r="AC176" s="123"/>
      <c r="AD176" s="144"/>
      <c r="AE176" s="144"/>
      <c r="AF176" s="123"/>
    </row>
    <row r="177" spans="1:32" ht="15">
      <c r="A177" s="123"/>
      <c r="B177" s="156">
        <v>157</v>
      </c>
      <c r="C177" s="157" t="s">
        <v>521</v>
      </c>
      <c r="D177" s="157" t="s">
        <v>893</v>
      </c>
      <c r="E177" s="157">
        <v>157</v>
      </c>
      <c r="F177" s="157" t="s">
        <v>184</v>
      </c>
      <c r="G177" s="158" t="s">
        <v>185</v>
      </c>
      <c r="H177" s="159">
        <v>28</v>
      </c>
      <c r="I177" s="159">
        <v>3</v>
      </c>
      <c r="J177" s="160" t="s">
        <v>858</v>
      </c>
      <c r="K177" s="160">
        <v>28</v>
      </c>
      <c r="L177" s="160" t="s">
        <v>183</v>
      </c>
      <c r="M177" s="160">
        <v>11</v>
      </c>
      <c r="N177" s="247" t="s">
        <v>894</v>
      </c>
      <c r="O177" s="248">
        <v>2</v>
      </c>
      <c r="P177" s="123"/>
      <c r="Q177" s="144"/>
      <c r="R177" s="144"/>
      <c r="S177" s="144"/>
      <c r="T177" s="144"/>
      <c r="U177" s="144"/>
      <c r="V177" s="144"/>
      <c r="W177" s="144"/>
      <c r="X177" s="144"/>
      <c r="Y177" s="123"/>
      <c r="Z177" s="144"/>
      <c r="AA177" s="123"/>
      <c r="AB177" s="123"/>
      <c r="AC177" s="123"/>
      <c r="AD177" s="144"/>
      <c r="AE177" s="144"/>
      <c r="AF177" s="123"/>
    </row>
    <row r="178" spans="1:32" ht="15">
      <c r="A178" s="123"/>
      <c r="B178" s="156">
        <v>158</v>
      </c>
      <c r="C178" s="157" t="s">
        <v>495</v>
      </c>
      <c r="D178" s="157" t="s">
        <v>893</v>
      </c>
      <c r="E178" s="157">
        <v>158</v>
      </c>
      <c r="F178" s="157" t="s">
        <v>184</v>
      </c>
      <c r="G178" s="158" t="s">
        <v>185</v>
      </c>
      <c r="H178" s="159">
        <v>29</v>
      </c>
      <c r="I178" s="159">
        <v>3</v>
      </c>
      <c r="J178" s="160" t="s">
        <v>668</v>
      </c>
      <c r="K178" s="160">
        <v>30</v>
      </c>
      <c r="L178" s="160" t="s">
        <v>183</v>
      </c>
      <c r="M178" s="160">
        <v>12</v>
      </c>
      <c r="N178" s="247" t="s">
        <v>894</v>
      </c>
      <c r="O178" s="248">
        <v>2</v>
      </c>
      <c r="P178" s="123"/>
      <c r="Q178" s="144"/>
      <c r="R178" s="144"/>
      <c r="S178" s="144"/>
      <c r="T178" s="144"/>
      <c r="U178" s="144"/>
      <c r="V178" s="144"/>
      <c r="W178" s="144"/>
      <c r="X178" s="144"/>
      <c r="Y178" s="123"/>
      <c r="Z178" s="144"/>
      <c r="AA178" s="123"/>
      <c r="AB178" s="123"/>
      <c r="AC178" s="123"/>
      <c r="AD178" s="144"/>
      <c r="AE178" s="123"/>
      <c r="AF178" s="123"/>
    </row>
    <row r="179" spans="1:32" ht="15">
      <c r="A179" s="123"/>
      <c r="B179" s="156">
        <v>159</v>
      </c>
      <c r="C179" s="157" t="s">
        <v>496</v>
      </c>
      <c r="D179" s="157" t="s">
        <v>893</v>
      </c>
      <c r="E179" s="157">
        <v>159</v>
      </c>
      <c r="F179" s="157" t="s">
        <v>184</v>
      </c>
      <c r="G179" s="158" t="s">
        <v>185</v>
      </c>
      <c r="H179" s="159">
        <v>30</v>
      </c>
      <c r="I179" s="159">
        <v>3</v>
      </c>
      <c r="J179" s="160" t="s">
        <v>668</v>
      </c>
      <c r="K179" s="160">
        <v>30</v>
      </c>
      <c r="L179" s="160" t="s">
        <v>183</v>
      </c>
      <c r="M179" s="160">
        <v>12</v>
      </c>
      <c r="N179" s="247" t="s">
        <v>894</v>
      </c>
      <c r="O179" s="248">
        <v>2</v>
      </c>
      <c r="P179" s="123"/>
      <c r="Q179" s="144"/>
      <c r="R179" s="144"/>
      <c r="S179" s="144"/>
      <c r="T179" s="144"/>
      <c r="U179" s="144"/>
      <c r="V179" s="144"/>
      <c r="W179" s="144"/>
      <c r="X179" s="144"/>
      <c r="Y179" s="123"/>
      <c r="Z179" s="144"/>
      <c r="AA179" s="123"/>
      <c r="AB179" s="123"/>
      <c r="AC179" s="123"/>
      <c r="AD179" s="144"/>
      <c r="AE179" s="123"/>
      <c r="AF179" s="123"/>
    </row>
    <row r="180" spans="1:32" ht="15">
      <c r="A180" s="123"/>
      <c r="B180" s="156">
        <v>160</v>
      </c>
      <c r="C180" s="157" t="s">
        <v>513</v>
      </c>
      <c r="D180" s="157" t="s">
        <v>893</v>
      </c>
      <c r="E180" s="157">
        <v>160</v>
      </c>
      <c r="F180" s="157" t="s">
        <v>184</v>
      </c>
      <c r="G180" s="158" t="s">
        <v>185</v>
      </c>
      <c r="H180" s="159">
        <v>31</v>
      </c>
      <c r="I180" s="159">
        <v>3</v>
      </c>
      <c r="J180" s="160" t="s">
        <v>668</v>
      </c>
      <c r="K180" s="160">
        <v>30</v>
      </c>
      <c r="L180" s="160" t="s">
        <v>183</v>
      </c>
      <c r="M180" s="160">
        <v>11</v>
      </c>
      <c r="N180" s="247" t="s">
        <v>894</v>
      </c>
      <c r="O180" s="248">
        <v>2</v>
      </c>
      <c r="P180" s="123"/>
      <c r="Q180" s="144"/>
      <c r="R180" s="144"/>
      <c r="S180" s="144"/>
      <c r="T180" s="144"/>
      <c r="U180" s="144"/>
      <c r="V180" s="144"/>
      <c r="W180" s="144"/>
      <c r="X180" s="144"/>
      <c r="Y180" s="123"/>
      <c r="Z180" s="144"/>
      <c r="AA180" s="123"/>
      <c r="AB180" s="123"/>
      <c r="AC180" s="123"/>
      <c r="AD180" s="144"/>
      <c r="AE180" s="123"/>
      <c r="AF180" s="123"/>
    </row>
    <row r="181" spans="1:32" ht="15">
      <c r="A181" s="123"/>
      <c r="B181" s="156">
        <v>161</v>
      </c>
      <c r="C181" s="157" t="s">
        <v>497</v>
      </c>
      <c r="D181" s="157" t="s">
        <v>893</v>
      </c>
      <c r="E181" s="157">
        <v>161</v>
      </c>
      <c r="F181" s="157" t="s">
        <v>184</v>
      </c>
      <c r="G181" s="158" t="s">
        <v>185</v>
      </c>
      <c r="H181" s="159">
        <v>32</v>
      </c>
      <c r="I181" s="159">
        <v>3</v>
      </c>
      <c r="J181" s="160" t="s">
        <v>668</v>
      </c>
      <c r="K181" s="160">
        <v>30</v>
      </c>
      <c r="L181" s="160" t="s">
        <v>183</v>
      </c>
      <c r="M181" s="160">
        <v>12</v>
      </c>
      <c r="N181" s="247" t="s">
        <v>894</v>
      </c>
      <c r="O181" s="248">
        <v>2</v>
      </c>
      <c r="P181" s="123"/>
      <c r="Q181" s="144"/>
      <c r="R181" s="144"/>
      <c r="S181" s="144"/>
      <c r="T181" s="144"/>
      <c r="U181" s="144"/>
      <c r="V181" s="144"/>
      <c r="W181" s="144"/>
      <c r="X181" s="144"/>
      <c r="Y181" s="123"/>
      <c r="Z181" s="144"/>
      <c r="AA181" s="123"/>
      <c r="AB181" s="123"/>
      <c r="AC181" s="123"/>
      <c r="AD181" s="144"/>
      <c r="AE181" s="123"/>
      <c r="AF181" s="123"/>
    </row>
    <row r="182" spans="1:32" ht="15">
      <c r="A182" s="123"/>
      <c r="B182" s="156">
        <v>162</v>
      </c>
      <c r="C182" s="157" t="s">
        <v>514</v>
      </c>
      <c r="D182" s="157" t="s">
        <v>893</v>
      </c>
      <c r="E182" s="157">
        <v>162</v>
      </c>
      <c r="F182" s="157" t="s">
        <v>184</v>
      </c>
      <c r="G182" s="158" t="s">
        <v>185</v>
      </c>
      <c r="H182" s="159">
        <v>33</v>
      </c>
      <c r="I182" s="159">
        <v>3</v>
      </c>
      <c r="J182" s="160" t="s">
        <v>668</v>
      </c>
      <c r="K182" s="160">
        <v>30</v>
      </c>
      <c r="L182" s="160" t="s">
        <v>183</v>
      </c>
      <c r="M182" s="160">
        <v>11</v>
      </c>
      <c r="N182" s="247" t="s">
        <v>894</v>
      </c>
      <c r="O182" s="248">
        <v>2</v>
      </c>
      <c r="P182" s="123"/>
      <c r="Q182" s="144"/>
      <c r="R182" s="144"/>
      <c r="S182" s="144"/>
      <c r="T182" s="144"/>
      <c r="U182" s="144"/>
      <c r="V182" s="144"/>
      <c r="W182" s="144"/>
      <c r="X182" s="144"/>
      <c r="Y182" s="123"/>
      <c r="Z182" s="144"/>
      <c r="AA182" s="123"/>
      <c r="AB182" s="123"/>
      <c r="AC182" s="123"/>
      <c r="AD182" s="144"/>
      <c r="AE182" s="123"/>
      <c r="AF182" s="123"/>
    </row>
    <row r="183" spans="1:32" ht="15">
      <c r="A183" s="123"/>
      <c r="B183" s="156">
        <v>163</v>
      </c>
      <c r="C183" s="157" t="s">
        <v>515</v>
      </c>
      <c r="D183" s="157" t="s">
        <v>893</v>
      </c>
      <c r="E183" s="157">
        <v>163</v>
      </c>
      <c r="F183" s="157" t="s">
        <v>184</v>
      </c>
      <c r="G183" s="158" t="s">
        <v>185</v>
      </c>
      <c r="H183" s="159">
        <v>34</v>
      </c>
      <c r="I183" s="159">
        <v>3</v>
      </c>
      <c r="J183" s="160" t="s">
        <v>668</v>
      </c>
      <c r="K183" s="160">
        <v>30</v>
      </c>
      <c r="L183" s="160" t="s">
        <v>183</v>
      </c>
      <c r="M183" s="160">
        <v>11</v>
      </c>
      <c r="N183" s="247" t="s">
        <v>894</v>
      </c>
      <c r="O183" s="248">
        <v>2</v>
      </c>
      <c r="P183" s="123"/>
      <c r="Q183" s="144"/>
      <c r="R183" s="144"/>
      <c r="S183" s="144"/>
      <c r="T183" s="144"/>
      <c r="U183" s="144"/>
      <c r="V183" s="144"/>
      <c r="W183" s="144"/>
      <c r="X183" s="144"/>
      <c r="Y183" s="123"/>
      <c r="Z183" s="144"/>
      <c r="AA183" s="123"/>
      <c r="AB183" s="123"/>
      <c r="AC183" s="123"/>
      <c r="AD183" s="144"/>
      <c r="AE183" s="123"/>
      <c r="AF183" s="123"/>
    </row>
    <row r="184" spans="1:32" ht="15">
      <c r="A184" s="123"/>
      <c r="B184" s="156">
        <v>164</v>
      </c>
      <c r="C184" s="157" t="s">
        <v>1083</v>
      </c>
      <c r="D184" s="157" t="s">
        <v>893</v>
      </c>
      <c r="E184" s="157">
        <v>164</v>
      </c>
      <c r="F184" s="157" t="s">
        <v>184</v>
      </c>
      <c r="G184" s="158" t="s">
        <v>185</v>
      </c>
      <c r="H184" s="159">
        <v>35</v>
      </c>
      <c r="I184" s="159">
        <v>3</v>
      </c>
      <c r="J184" s="160" t="s">
        <v>1131</v>
      </c>
      <c r="K184" s="160">
        <v>35</v>
      </c>
      <c r="L184" s="160" t="s">
        <v>183</v>
      </c>
      <c r="M184" s="160">
        <v>11</v>
      </c>
      <c r="N184" s="247" t="s">
        <v>894</v>
      </c>
      <c r="O184" s="248">
        <v>2</v>
      </c>
      <c r="P184" s="123"/>
      <c r="Q184" s="144"/>
      <c r="R184" s="144"/>
      <c r="S184" s="144"/>
      <c r="T184" s="144"/>
      <c r="U184" s="144"/>
      <c r="V184" s="144"/>
      <c r="W184" s="144"/>
      <c r="X184" s="144"/>
      <c r="Y184" s="123"/>
      <c r="Z184" s="144"/>
      <c r="AA184" s="123"/>
      <c r="AB184" s="123"/>
      <c r="AC184" s="123"/>
      <c r="AD184" s="144"/>
      <c r="AE184" s="123"/>
      <c r="AF184" s="123"/>
    </row>
    <row r="185" spans="1:32" ht="15">
      <c r="A185" s="123"/>
      <c r="B185" s="156">
        <v>165</v>
      </c>
      <c r="C185" s="250" t="s">
        <v>1084</v>
      </c>
      <c r="D185" s="157" t="s">
        <v>893</v>
      </c>
      <c r="E185" s="157">
        <v>165</v>
      </c>
      <c r="F185" s="157" t="s">
        <v>184</v>
      </c>
      <c r="G185" s="158" t="s">
        <v>185</v>
      </c>
      <c r="H185" s="159">
        <v>36</v>
      </c>
      <c r="I185" s="159">
        <v>3</v>
      </c>
      <c r="J185" s="160" t="s">
        <v>1131</v>
      </c>
      <c r="K185" s="160">
        <v>35</v>
      </c>
      <c r="L185" s="160" t="s">
        <v>183</v>
      </c>
      <c r="M185" s="160">
        <v>11</v>
      </c>
      <c r="N185" s="247" t="s">
        <v>894</v>
      </c>
      <c r="O185" s="248">
        <v>2</v>
      </c>
      <c r="P185" s="123"/>
      <c r="Q185" s="144"/>
      <c r="R185" s="144"/>
      <c r="S185" s="144"/>
      <c r="T185" s="144"/>
      <c r="U185" s="144"/>
      <c r="V185" s="144"/>
      <c r="W185" s="144"/>
      <c r="X185" s="144"/>
      <c r="Y185" s="123"/>
      <c r="Z185" s="144"/>
      <c r="AA185" s="123"/>
      <c r="AB185" s="123"/>
      <c r="AC185" s="123"/>
      <c r="AD185" s="144"/>
      <c r="AE185" s="123"/>
      <c r="AF185" s="123"/>
    </row>
    <row r="186" spans="1:32" ht="15">
      <c r="A186" s="123"/>
      <c r="B186" s="156">
        <v>166</v>
      </c>
      <c r="C186" s="250" t="s">
        <v>330</v>
      </c>
      <c r="D186" s="157" t="s">
        <v>893</v>
      </c>
      <c r="E186" s="157">
        <v>1</v>
      </c>
      <c r="F186" s="157" t="s">
        <v>181</v>
      </c>
      <c r="G186" s="158" t="s">
        <v>182</v>
      </c>
      <c r="H186" s="159">
        <v>1</v>
      </c>
      <c r="I186" s="159">
        <v>0</v>
      </c>
      <c r="J186" s="160" t="s">
        <v>658</v>
      </c>
      <c r="K186" s="160">
        <v>37</v>
      </c>
      <c r="L186" s="160" t="s">
        <v>186</v>
      </c>
      <c r="M186" s="160">
        <v>28</v>
      </c>
      <c r="N186" s="247" t="s">
        <v>894</v>
      </c>
      <c r="O186" s="248">
        <v>3</v>
      </c>
      <c r="P186" s="123"/>
      <c r="Q186" s="144"/>
      <c r="R186" s="144"/>
      <c r="S186" s="144"/>
      <c r="T186" s="144"/>
      <c r="U186" s="144"/>
      <c r="V186" s="144"/>
      <c r="W186" s="144"/>
      <c r="X186" s="144"/>
      <c r="Y186" s="123"/>
      <c r="Z186" s="144"/>
      <c r="AA186" s="123"/>
      <c r="AB186" s="123"/>
      <c r="AC186" s="123"/>
      <c r="AD186" s="144"/>
      <c r="AE186" s="123"/>
      <c r="AF186" s="123"/>
    </row>
    <row r="187" spans="1:32" ht="15">
      <c r="A187" s="123"/>
      <c r="B187" s="156">
        <v>167</v>
      </c>
      <c r="C187" s="157" t="s">
        <v>1191</v>
      </c>
      <c r="D187" s="157" t="s">
        <v>893</v>
      </c>
      <c r="E187" s="157">
        <v>2</v>
      </c>
      <c r="F187" s="157" t="s">
        <v>181</v>
      </c>
      <c r="G187" s="158" t="s">
        <v>182</v>
      </c>
      <c r="H187" s="159">
        <v>2</v>
      </c>
      <c r="I187" s="159">
        <v>0</v>
      </c>
      <c r="J187" s="160" t="s">
        <v>625</v>
      </c>
      <c r="K187" s="160">
        <v>38</v>
      </c>
      <c r="L187" s="160" t="s">
        <v>186</v>
      </c>
      <c r="M187" s="160">
        <v>27</v>
      </c>
      <c r="N187" s="247" t="s">
        <v>894</v>
      </c>
      <c r="O187" s="248">
        <v>3</v>
      </c>
      <c r="P187" s="123"/>
      <c r="Q187" s="144"/>
      <c r="R187" s="144"/>
      <c r="S187" s="144"/>
      <c r="T187" s="144"/>
      <c r="U187" s="144"/>
      <c r="V187" s="144"/>
      <c r="W187" s="144"/>
      <c r="X187" s="144"/>
      <c r="Y187" s="123"/>
      <c r="Z187" s="144"/>
      <c r="AA187" s="123"/>
      <c r="AB187" s="123"/>
      <c r="AC187" s="123"/>
      <c r="AD187" s="144"/>
      <c r="AE187" s="123"/>
      <c r="AF187" s="123"/>
    </row>
    <row r="188" spans="1:32" ht="15">
      <c r="A188" s="123"/>
      <c r="B188" s="156">
        <v>168</v>
      </c>
      <c r="C188" s="157" t="s">
        <v>332</v>
      </c>
      <c r="D188" s="157" t="s">
        <v>893</v>
      </c>
      <c r="E188" s="157">
        <v>3</v>
      </c>
      <c r="F188" s="157" t="s">
        <v>181</v>
      </c>
      <c r="G188" s="158" t="s">
        <v>182</v>
      </c>
      <c r="H188" s="159">
        <v>3</v>
      </c>
      <c r="I188" s="159">
        <v>0</v>
      </c>
      <c r="J188" s="160" t="s">
        <v>625</v>
      </c>
      <c r="K188" s="160">
        <v>38</v>
      </c>
      <c r="L188" s="160" t="s">
        <v>186</v>
      </c>
      <c r="M188" s="160">
        <v>27</v>
      </c>
      <c r="N188" s="247" t="s">
        <v>894</v>
      </c>
      <c r="O188" s="248">
        <v>3</v>
      </c>
      <c r="P188" s="123"/>
      <c r="Q188" s="144"/>
      <c r="R188" s="144"/>
      <c r="S188" s="144"/>
      <c r="T188" s="144"/>
      <c r="U188" s="144"/>
      <c r="V188" s="144"/>
      <c r="W188" s="144"/>
      <c r="X188" s="144"/>
      <c r="Y188" s="123"/>
      <c r="Z188" s="144"/>
      <c r="AA188" s="123"/>
      <c r="AB188" s="123"/>
      <c r="AC188" s="123"/>
      <c r="AD188" s="144"/>
      <c r="AE188" s="123"/>
      <c r="AF188" s="123"/>
    </row>
    <row r="189" spans="1:32" ht="15">
      <c r="A189" s="123"/>
      <c r="B189" s="156">
        <v>169</v>
      </c>
      <c r="C189" s="157" t="s">
        <v>333</v>
      </c>
      <c r="D189" s="157" t="s">
        <v>893</v>
      </c>
      <c r="E189" s="157">
        <v>4</v>
      </c>
      <c r="F189" s="157" t="s">
        <v>181</v>
      </c>
      <c r="G189" s="158" t="s">
        <v>182</v>
      </c>
      <c r="H189" s="159">
        <v>4</v>
      </c>
      <c r="I189" s="159">
        <v>0</v>
      </c>
      <c r="J189" s="160" t="s">
        <v>625</v>
      </c>
      <c r="K189" s="160">
        <v>38</v>
      </c>
      <c r="L189" s="160" t="s">
        <v>186</v>
      </c>
      <c r="M189" s="160">
        <v>27</v>
      </c>
      <c r="N189" s="247" t="s">
        <v>894</v>
      </c>
      <c r="O189" s="248">
        <v>3</v>
      </c>
      <c r="P189" s="123"/>
      <c r="Q189" s="144"/>
      <c r="R189" s="144"/>
      <c r="S189" s="144"/>
      <c r="T189" s="144"/>
      <c r="U189" s="144"/>
      <c r="V189" s="144"/>
      <c r="W189" s="144"/>
      <c r="X189" s="144"/>
      <c r="Y189" s="123"/>
      <c r="Z189" s="144"/>
      <c r="AA189" s="123"/>
      <c r="AB189" s="123"/>
      <c r="AC189" s="123"/>
      <c r="AD189" s="144"/>
      <c r="AE189" s="123"/>
      <c r="AF189" s="123"/>
    </row>
    <row r="190" spans="1:32" ht="15">
      <c r="A190" s="123"/>
      <c r="B190" s="156">
        <v>170</v>
      </c>
      <c r="C190" s="157" t="s">
        <v>971</v>
      </c>
      <c r="D190" s="157" t="s">
        <v>893</v>
      </c>
      <c r="E190" s="157">
        <v>5</v>
      </c>
      <c r="F190" s="157" t="s">
        <v>181</v>
      </c>
      <c r="G190" s="158" t="s">
        <v>182</v>
      </c>
      <c r="H190" s="159">
        <v>5</v>
      </c>
      <c r="I190" s="159">
        <v>0</v>
      </c>
      <c r="J190" s="160" t="s">
        <v>625</v>
      </c>
      <c r="K190" s="160">
        <v>38</v>
      </c>
      <c r="L190" s="160" t="s">
        <v>186</v>
      </c>
      <c r="M190" s="160">
        <v>27</v>
      </c>
      <c r="N190" s="247" t="s">
        <v>894</v>
      </c>
      <c r="O190" s="248">
        <v>3</v>
      </c>
      <c r="P190" s="123"/>
      <c r="Q190" s="144"/>
      <c r="R190" s="144"/>
      <c r="S190" s="144"/>
      <c r="T190" s="144"/>
      <c r="U190" s="144"/>
      <c r="V190" s="144"/>
      <c r="W190" s="144"/>
      <c r="X190" s="144"/>
      <c r="Y190" s="123"/>
      <c r="Z190" s="144"/>
      <c r="AA190" s="123"/>
      <c r="AB190" s="123"/>
      <c r="AC190" s="123"/>
      <c r="AD190" s="144"/>
      <c r="AE190" s="123"/>
      <c r="AF190" s="123"/>
    </row>
    <row r="191" spans="1:32" ht="15">
      <c r="A191" s="123"/>
      <c r="B191" s="156">
        <v>171</v>
      </c>
      <c r="C191" s="157" t="s">
        <v>334</v>
      </c>
      <c r="D191" s="157" t="s">
        <v>893</v>
      </c>
      <c r="E191" s="157">
        <v>6</v>
      </c>
      <c r="F191" s="157" t="s">
        <v>181</v>
      </c>
      <c r="G191" s="158" t="s">
        <v>182</v>
      </c>
      <c r="H191" s="159">
        <v>6</v>
      </c>
      <c r="I191" s="159">
        <v>0</v>
      </c>
      <c r="J191" s="160" t="s">
        <v>625</v>
      </c>
      <c r="K191" s="160">
        <v>38</v>
      </c>
      <c r="L191" s="160" t="s">
        <v>186</v>
      </c>
      <c r="M191" s="160">
        <v>27</v>
      </c>
      <c r="N191" s="247" t="s">
        <v>894</v>
      </c>
      <c r="O191" s="248">
        <v>3</v>
      </c>
      <c r="P191" s="123"/>
      <c r="Q191" s="144"/>
      <c r="R191" s="144"/>
      <c r="S191" s="144"/>
      <c r="T191" s="144"/>
      <c r="U191" s="144"/>
      <c r="V191" s="144"/>
      <c r="W191" s="144"/>
      <c r="X191" s="144"/>
      <c r="Y191" s="123"/>
      <c r="Z191" s="144"/>
      <c r="AA191" s="123"/>
      <c r="AB191" s="123"/>
      <c r="AC191" s="123"/>
      <c r="AD191" s="144"/>
      <c r="AE191" s="123"/>
      <c r="AF191" s="123"/>
    </row>
    <row r="192" spans="1:32" ht="15">
      <c r="A192" s="252"/>
      <c r="B192" s="156">
        <v>172</v>
      </c>
      <c r="C192" s="250" t="s">
        <v>336</v>
      </c>
      <c r="D192" s="250" t="s">
        <v>893</v>
      </c>
      <c r="E192" s="157">
        <v>7</v>
      </c>
      <c r="F192" s="157" t="s">
        <v>181</v>
      </c>
      <c r="G192" s="158" t="s">
        <v>182</v>
      </c>
      <c r="H192" s="159">
        <v>7</v>
      </c>
      <c r="I192" s="159">
        <v>0</v>
      </c>
      <c r="J192" s="253" t="s">
        <v>874</v>
      </c>
      <c r="K192" s="160">
        <v>44</v>
      </c>
      <c r="L192" s="160" t="s">
        <v>186</v>
      </c>
      <c r="M192" s="160">
        <v>27</v>
      </c>
      <c r="N192" s="247" t="s">
        <v>894</v>
      </c>
      <c r="O192" s="248">
        <v>3</v>
      </c>
      <c r="P192" s="123"/>
      <c r="Q192" s="144"/>
      <c r="R192" s="144"/>
      <c r="S192" s="144"/>
      <c r="T192" s="144"/>
      <c r="U192" s="144"/>
      <c r="V192" s="144"/>
      <c r="W192" s="144"/>
      <c r="X192" s="144"/>
      <c r="Y192" s="123"/>
      <c r="Z192" s="144"/>
      <c r="AA192" s="123"/>
      <c r="AB192" s="123"/>
      <c r="AC192" s="123"/>
      <c r="AD192" s="144"/>
      <c r="AE192" s="123"/>
      <c r="AF192" s="123"/>
    </row>
    <row r="193" spans="1:32" ht="15">
      <c r="A193" s="252"/>
      <c r="B193" s="156">
        <v>173</v>
      </c>
      <c r="C193" s="250" t="s">
        <v>346</v>
      </c>
      <c r="D193" s="250" t="s">
        <v>893</v>
      </c>
      <c r="E193" s="157">
        <v>8</v>
      </c>
      <c r="F193" s="157" t="s">
        <v>181</v>
      </c>
      <c r="G193" s="158" t="s">
        <v>182</v>
      </c>
      <c r="H193" s="159">
        <v>8</v>
      </c>
      <c r="I193" s="259">
        <v>0</v>
      </c>
      <c r="J193" s="253" t="s">
        <v>874</v>
      </c>
      <c r="K193" s="160">
        <v>45</v>
      </c>
      <c r="L193" s="160" t="s">
        <v>186</v>
      </c>
      <c r="M193" s="160">
        <v>27</v>
      </c>
      <c r="N193" s="247" t="s">
        <v>894</v>
      </c>
      <c r="O193" s="248">
        <v>3</v>
      </c>
      <c r="P193" s="123"/>
      <c r="Q193" s="144"/>
      <c r="R193" s="144"/>
      <c r="S193" s="144"/>
      <c r="T193" s="144"/>
      <c r="U193" s="144"/>
      <c r="V193" s="144"/>
      <c r="W193" s="144"/>
      <c r="X193" s="144"/>
      <c r="Y193" s="123"/>
      <c r="Z193" s="144"/>
      <c r="AA193" s="123"/>
      <c r="AB193" s="123"/>
      <c r="AC193" s="123"/>
      <c r="AD193" s="144"/>
      <c r="AE193" s="123"/>
      <c r="AF193" s="123"/>
    </row>
    <row r="194" spans="1:32" ht="15">
      <c r="A194" s="123"/>
      <c r="B194" s="156">
        <v>174</v>
      </c>
      <c r="C194" s="157" t="s">
        <v>1187</v>
      </c>
      <c r="D194" s="157" t="s">
        <v>893</v>
      </c>
      <c r="E194" s="157">
        <v>9</v>
      </c>
      <c r="F194" s="157" t="s">
        <v>181</v>
      </c>
      <c r="G194" s="158" t="s">
        <v>182</v>
      </c>
      <c r="H194" s="159">
        <v>9</v>
      </c>
      <c r="I194" s="159">
        <v>0</v>
      </c>
      <c r="J194" s="160" t="s">
        <v>1200</v>
      </c>
      <c r="K194" s="160">
        <v>47</v>
      </c>
      <c r="L194" s="160" t="s">
        <v>186</v>
      </c>
      <c r="M194" s="160">
        <v>27</v>
      </c>
      <c r="N194" s="247" t="s">
        <v>894</v>
      </c>
      <c r="O194" s="248">
        <v>3</v>
      </c>
      <c r="P194" s="123"/>
      <c r="Q194" s="144"/>
      <c r="R194" s="144"/>
      <c r="S194" s="144"/>
      <c r="T194" s="144"/>
      <c r="U194" s="144"/>
      <c r="V194" s="144"/>
      <c r="W194" s="144"/>
      <c r="X194" s="144"/>
      <c r="Y194" s="123"/>
      <c r="Z194" s="144"/>
      <c r="AA194" s="123"/>
      <c r="AB194" s="123"/>
      <c r="AC194" s="123"/>
      <c r="AD194" s="144"/>
      <c r="AE194" s="123"/>
      <c r="AF194" s="123"/>
    </row>
    <row r="195" spans="1:32" ht="15">
      <c r="A195" s="123"/>
      <c r="B195" s="156">
        <v>175</v>
      </c>
      <c r="C195" s="157" t="s">
        <v>1188</v>
      </c>
      <c r="D195" s="157" t="s">
        <v>893</v>
      </c>
      <c r="E195" s="157">
        <v>10</v>
      </c>
      <c r="F195" s="157" t="s">
        <v>181</v>
      </c>
      <c r="G195" s="158" t="s">
        <v>182</v>
      </c>
      <c r="H195" s="159">
        <v>10</v>
      </c>
      <c r="I195" s="159">
        <v>0</v>
      </c>
      <c r="J195" s="160" t="s">
        <v>1200</v>
      </c>
      <c r="K195" s="160">
        <v>48</v>
      </c>
      <c r="L195" s="160" t="s">
        <v>186</v>
      </c>
      <c r="M195" s="160">
        <v>27</v>
      </c>
      <c r="N195" s="247" t="s">
        <v>894</v>
      </c>
      <c r="O195" s="248">
        <v>3</v>
      </c>
      <c r="P195" s="123"/>
      <c r="Q195" s="144"/>
      <c r="R195" s="144"/>
      <c r="S195" s="144"/>
      <c r="T195" s="144"/>
      <c r="U195" s="144"/>
      <c r="V195" s="144"/>
      <c r="W195" s="144"/>
      <c r="X195" s="144"/>
      <c r="Y195" s="123"/>
      <c r="Z195" s="144"/>
      <c r="AA195" s="123"/>
      <c r="AB195" s="123"/>
      <c r="AC195" s="123"/>
      <c r="AD195" s="144"/>
      <c r="AE195" s="123"/>
      <c r="AF195" s="123"/>
    </row>
    <row r="196" spans="1:32" ht="15">
      <c r="A196" s="123"/>
      <c r="B196" s="156">
        <v>176</v>
      </c>
      <c r="C196" s="157" t="s">
        <v>990</v>
      </c>
      <c r="D196" s="157" t="s">
        <v>893</v>
      </c>
      <c r="E196" s="157">
        <v>11</v>
      </c>
      <c r="F196" s="157" t="s">
        <v>181</v>
      </c>
      <c r="G196" s="158" t="s">
        <v>182</v>
      </c>
      <c r="H196" s="159">
        <v>11</v>
      </c>
      <c r="I196" s="159">
        <v>0</v>
      </c>
      <c r="J196" s="160" t="s">
        <v>1098</v>
      </c>
      <c r="K196" s="160">
        <v>55</v>
      </c>
      <c r="L196" s="160" t="s">
        <v>186</v>
      </c>
      <c r="M196" s="160">
        <v>27</v>
      </c>
      <c r="N196" s="247" t="s">
        <v>894</v>
      </c>
      <c r="O196" s="248">
        <v>3</v>
      </c>
      <c r="P196" s="123"/>
      <c r="Q196" s="144"/>
      <c r="R196" s="144"/>
      <c r="S196" s="144"/>
      <c r="T196" s="144"/>
      <c r="U196" s="144"/>
      <c r="V196" s="144"/>
      <c r="W196" s="144"/>
      <c r="X196" s="144"/>
      <c r="Y196" s="123"/>
      <c r="Z196" s="144"/>
      <c r="AA196" s="123"/>
      <c r="AB196" s="123"/>
      <c r="AC196" s="123"/>
      <c r="AD196" s="144"/>
      <c r="AE196" s="123"/>
      <c r="AF196" s="123"/>
    </row>
    <row r="197" spans="1:32" ht="15">
      <c r="A197" s="123"/>
      <c r="B197" s="156">
        <v>177</v>
      </c>
      <c r="C197" s="157" t="s">
        <v>972</v>
      </c>
      <c r="D197" s="157" t="s">
        <v>893</v>
      </c>
      <c r="E197" s="157">
        <v>12</v>
      </c>
      <c r="F197" s="157" t="s">
        <v>184</v>
      </c>
      <c r="G197" s="158" t="s">
        <v>185</v>
      </c>
      <c r="H197" s="159">
        <v>1</v>
      </c>
      <c r="I197" s="159">
        <v>3</v>
      </c>
      <c r="J197" s="160" t="s">
        <v>658</v>
      </c>
      <c r="K197" s="160">
        <v>36</v>
      </c>
      <c r="L197" s="160" t="s">
        <v>186</v>
      </c>
      <c r="M197" s="160">
        <v>21</v>
      </c>
      <c r="N197" s="247" t="s">
        <v>894</v>
      </c>
      <c r="O197" s="248">
        <v>4</v>
      </c>
      <c r="P197" s="123"/>
      <c r="Q197" s="144"/>
      <c r="R197" s="144"/>
      <c r="S197" s="144"/>
      <c r="T197" s="144"/>
      <c r="U197" s="144"/>
      <c r="V197" s="144"/>
      <c r="W197" s="144"/>
      <c r="X197" s="144"/>
      <c r="Y197" s="123"/>
      <c r="Z197" s="144"/>
      <c r="AA197" s="123"/>
      <c r="AB197" s="123"/>
      <c r="AC197" s="123"/>
      <c r="AD197" s="144"/>
      <c r="AE197" s="123"/>
      <c r="AF197" s="123"/>
    </row>
    <row r="198" spans="1:32" ht="15">
      <c r="A198" s="123"/>
      <c r="B198" s="156">
        <v>178</v>
      </c>
      <c r="C198" s="157" t="s">
        <v>347</v>
      </c>
      <c r="D198" s="157" t="s">
        <v>893</v>
      </c>
      <c r="E198" s="157">
        <v>13</v>
      </c>
      <c r="F198" s="157" t="s">
        <v>184</v>
      </c>
      <c r="G198" s="158" t="s">
        <v>185</v>
      </c>
      <c r="H198" s="159">
        <v>2</v>
      </c>
      <c r="I198" s="159">
        <v>3</v>
      </c>
      <c r="J198" s="160" t="s">
        <v>658</v>
      </c>
      <c r="K198" s="160">
        <v>36</v>
      </c>
      <c r="L198" s="160" t="s">
        <v>186</v>
      </c>
      <c r="M198" s="160">
        <v>22</v>
      </c>
      <c r="N198" s="247" t="s">
        <v>894</v>
      </c>
      <c r="O198" s="248">
        <v>4</v>
      </c>
      <c r="P198" s="123"/>
      <c r="Q198" s="144"/>
      <c r="R198" s="144"/>
      <c r="S198" s="144"/>
      <c r="T198" s="144"/>
      <c r="U198" s="144"/>
      <c r="V198" s="144"/>
      <c r="W198" s="144"/>
      <c r="X198" s="144"/>
      <c r="Y198" s="123"/>
      <c r="Z198" s="144"/>
      <c r="AA198" s="123"/>
      <c r="AB198" s="123"/>
      <c r="AC198" s="123"/>
      <c r="AD198" s="144"/>
      <c r="AE198" s="123"/>
      <c r="AF198" s="123"/>
    </row>
    <row r="199" spans="1:32" ht="15">
      <c r="A199" s="123"/>
      <c r="B199" s="156">
        <v>179</v>
      </c>
      <c r="C199" s="157" t="s">
        <v>349</v>
      </c>
      <c r="D199" s="157" t="s">
        <v>893</v>
      </c>
      <c r="E199" s="157">
        <v>14</v>
      </c>
      <c r="F199" s="157" t="s">
        <v>184</v>
      </c>
      <c r="G199" s="158" t="s">
        <v>185</v>
      </c>
      <c r="H199" s="159">
        <v>3</v>
      </c>
      <c r="I199" s="159">
        <v>3</v>
      </c>
      <c r="J199" s="160" t="s">
        <v>658</v>
      </c>
      <c r="K199" s="160">
        <v>36</v>
      </c>
      <c r="L199" s="160" t="s">
        <v>186</v>
      </c>
      <c r="M199" s="160">
        <v>21</v>
      </c>
      <c r="N199" s="247" t="s">
        <v>894</v>
      </c>
      <c r="O199" s="248">
        <v>4</v>
      </c>
      <c r="P199" s="123"/>
      <c r="Q199" s="144"/>
      <c r="R199" s="144"/>
      <c r="S199" s="144"/>
      <c r="T199" s="144"/>
      <c r="U199" s="144"/>
      <c r="V199" s="144"/>
      <c r="W199" s="144"/>
      <c r="X199" s="144"/>
      <c r="Y199" s="123"/>
      <c r="Z199" s="144"/>
      <c r="AA199" s="123"/>
      <c r="AB199" s="123"/>
      <c r="AC199" s="123"/>
      <c r="AD199" s="144"/>
      <c r="AE199" s="123"/>
      <c r="AF199" s="123"/>
    </row>
    <row r="200" spans="1:32" ht="15">
      <c r="A200" s="123"/>
      <c r="B200" s="156">
        <v>180</v>
      </c>
      <c r="C200" s="157" t="s">
        <v>350</v>
      </c>
      <c r="D200" s="157" t="s">
        <v>893</v>
      </c>
      <c r="E200" s="157">
        <v>15</v>
      </c>
      <c r="F200" s="157" t="s">
        <v>184</v>
      </c>
      <c r="G200" s="158" t="s">
        <v>185</v>
      </c>
      <c r="H200" s="159">
        <v>4</v>
      </c>
      <c r="I200" s="159">
        <v>3</v>
      </c>
      <c r="J200" s="160" t="s">
        <v>874</v>
      </c>
      <c r="K200" s="160">
        <v>43</v>
      </c>
      <c r="L200" s="160" t="s">
        <v>186</v>
      </c>
      <c r="M200" s="160">
        <v>21</v>
      </c>
      <c r="N200" s="247" t="s">
        <v>894</v>
      </c>
      <c r="O200" s="248">
        <v>4</v>
      </c>
      <c r="P200" s="123"/>
      <c r="Q200" s="144"/>
      <c r="R200" s="144"/>
      <c r="S200" s="144"/>
      <c r="T200" s="144"/>
      <c r="U200" s="144"/>
      <c r="V200" s="144"/>
      <c r="W200" s="144"/>
      <c r="X200" s="144"/>
      <c r="Y200" s="123"/>
      <c r="Z200" s="144"/>
      <c r="AA200" s="123"/>
      <c r="AB200" s="123"/>
      <c r="AC200" s="123"/>
      <c r="AD200" s="144"/>
      <c r="AE200" s="123"/>
      <c r="AF200" s="123"/>
    </row>
    <row r="201" spans="1:32" ht="15">
      <c r="A201" s="123"/>
      <c r="B201" s="156">
        <v>181</v>
      </c>
      <c r="C201" s="157" t="s">
        <v>1189</v>
      </c>
      <c r="D201" s="157" t="s">
        <v>893</v>
      </c>
      <c r="E201" s="157">
        <v>16</v>
      </c>
      <c r="F201" s="157" t="s">
        <v>184</v>
      </c>
      <c r="G201" s="158" t="s">
        <v>185</v>
      </c>
      <c r="H201" s="157">
        <v>5</v>
      </c>
      <c r="I201" s="157">
        <v>3</v>
      </c>
      <c r="J201" s="160" t="s">
        <v>1200</v>
      </c>
      <c r="K201" s="160">
        <v>46</v>
      </c>
      <c r="L201" s="160" t="s">
        <v>186</v>
      </c>
      <c r="M201" s="160">
        <v>21</v>
      </c>
      <c r="N201" s="247" t="s">
        <v>894</v>
      </c>
      <c r="O201" s="248">
        <v>4</v>
      </c>
      <c r="P201" s="123"/>
      <c r="Q201" s="144"/>
      <c r="R201" s="144"/>
      <c r="S201" s="144"/>
      <c r="T201" s="144"/>
      <c r="U201" s="144"/>
      <c r="V201" s="144"/>
      <c r="W201" s="144"/>
      <c r="X201" s="144"/>
      <c r="Y201" s="123"/>
      <c r="Z201" s="144"/>
      <c r="AA201" s="123"/>
      <c r="AB201" s="123"/>
      <c r="AC201" s="123"/>
      <c r="AD201" s="144"/>
      <c r="AE201" s="123"/>
      <c r="AF201" s="123"/>
    </row>
    <row r="202" spans="1:32" ht="15">
      <c r="A202" s="123"/>
      <c r="B202" s="156">
        <v>182</v>
      </c>
      <c r="C202" s="157" t="s">
        <v>337</v>
      </c>
      <c r="D202" s="157" t="s">
        <v>893</v>
      </c>
      <c r="E202" s="157">
        <v>17</v>
      </c>
      <c r="F202" s="157" t="s">
        <v>187</v>
      </c>
      <c r="G202" s="158" t="s">
        <v>188</v>
      </c>
      <c r="H202" s="157">
        <v>1</v>
      </c>
      <c r="I202" s="157">
        <v>4</v>
      </c>
      <c r="J202" s="160" t="s">
        <v>658</v>
      </c>
      <c r="K202" s="160">
        <v>37</v>
      </c>
      <c r="L202" s="160" t="s">
        <v>186</v>
      </c>
      <c r="M202" s="160">
        <v>26</v>
      </c>
      <c r="N202" s="247" t="s">
        <v>894</v>
      </c>
      <c r="O202" s="248">
        <v>5</v>
      </c>
      <c r="P202" s="123"/>
      <c r="Q202" s="144"/>
      <c r="R202" s="144"/>
      <c r="S202" s="144"/>
      <c r="T202" s="144"/>
      <c r="U202" s="144"/>
      <c r="V202" s="144"/>
      <c r="W202" s="144"/>
      <c r="X202" s="144"/>
      <c r="Y202" s="123"/>
      <c r="Z202" s="144"/>
      <c r="AA202" s="123"/>
      <c r="AB202" s="123"/>
      <c r="AC202" s="123"/>
      <c r="AD202" s="144"/>
      <c r="AE202" s="123"/>
      <c r="AF202" s="123"/>
    </row>
    <row r="203" spans="1:32" ht="15">
      <c r="A203" s="252"/>
      <c r="B203" s="156">
        <v>183</v>
      </c>
      <c r="C203" s="250" t="s">
        <v>338</v>
      </c>
      <c r="D203" s="250" t="s">
        <v>893</v>
      </c>
      <c r="E203" s="157">
        <v>18</v>
      </c>
      <c r="F203" s="157" t="s">
        <v>187</v>
      </c>
      <c r="G203" s="158" t="s">
        <v>188</v>
      </c>
      <c r="H203" s="157">
        <v>2</v>
      </c>
      <c r="I203" s="157">
        <v>4</v>
      </c>
      <c r="J203" s="253" t="s">
        <v>658</v>
      </c>
      <c r="K203" s="160">
        <v>37</v>
      </c>
      <c r="L203" s="160" t="s">
        <v>186</v>
      </c>
      <c r="M203" s="254">
        <v>26</v>
      </c>
      <c r="N203" s="247" t="s">
        <v>894</v>
      </c>
      <c r="O203" s="248">
        <v>5</v>
      </c>
      <c r="P203" s="123"/>
      <c r="Q203" s="144"/>
      <c r="R203" s="144"/>
      <c r="S203" s="144"/>
      <c r="T203" s="144"/>
      <c r="U203" s="144"/>
      <c r="V203" s="144"/>
      <c r="W203" s="144"/>
      <c r="X203" s="144"/>
      <c r="Y203" s="123"/>
      <c r="Z203" s="144"/>
      <c r="AA203" s="123"/>
      <c r="AB203" s="123"/>
      <c r="AC203" s="123"/>
      <c r="AD203" s="144"/>
      <c r="AE203" s="123"/>
      <c r="AF203" s="123"/>
    </row>
    <row r="204" spans="1:32" ht="15">
      <c r="A204" s="252"/>
      <c r="B204" s="156">
        <v>184</v>
      </c>
      <c r="C204" s="250" t="s">
        <v>418</v>
      </c>
      <c r="D204" s="250" t="s">
        <v>893</v>
      </c>
      <c r="E204" s="157">
        <v>19</v>
      </c>
      <c r="F204" s="157" t="s">
        <v>187</v>
      </c>
      <c r="G204" s="158" t="s">
        <v>188</v>
      </c>
      <c r="H204" s="157">
        <v>3</v>
      </c>
      <c r="I204" s="157">
        <v>2</v>
      </c>
      <c r="J204" s="253" t="s">
        <v>625</v>
      </c>
      <c r="K204" s="160">
        <v>38</v>
      </c>
      <c r="L204" s="160" t="s">
        <v>186</v>
      </c>
      <c r="M204" s="254">
        <v>17</v>
      </c>
      <c r="N204" s="247" t="s">
        <v>894</v>
      </c>
      <c r="O204" s="248">
        <v>5</v>
      </c>
      <c r="P204" s="123"/>
      <c r="Q204" s="144"/>
      <c r="R204" s="144"/>
      <c r="S204" s="144"/>
      <c r="T204" s="144"/>
      <c r="U204" s="144"/>
      <c r="V204" s="144"/>
      <c r="W204" s="144"/>
      <c r="X204" s="144"/>
      <c r="Y204" s="123"/>
      <c r="Z204" s="144"/>
      <c r="AA204" s="123"/>
      <c r="AB204" s="123"/>
      <c r="AC204" s="123"/>
      <c r="AD204" s="144"/>
      <c r="AE204" s="123"/>
      <c r="AF204" s="123"/>
    </row>
    <row r="205" spans="1:32" ht="15">
      <c r="A205" s="123"/>
      <c r="B205" s="156">
        <v>185</v>
      </c>
      <c r="C205" s="157" t="s">
        <v>419</v>
      </c>
      <c r="D205" s="157" t="s">
        <v>893</v>
      </c>
      <c r="E205" s="157">
        <v>20</v>
      </c>
      <c r="F205" s="157" t="s">
        <v>187</v>
      </c>
      <c r="G205" s="158" t="s">
        <v>188</v>
      </c>
      <c r="H205" s="157">
        <v>4</v>
      </c>
      <c r="I205" s="157">
        <v>2</v>
      </c>
      <c r="J205" s="160" t="s">
        <v>625</v>
      </c>
      <c r="K205" s="160">
        <v>38</v>
      </c>
      <c r="L205" s="160" t="s">
        <v>186</v>
      </c>
      <c r="M205" s="160">
        <v>17</v>
      </c>
      <c r="N205" s="247" t="s">
        <v>894</v>
      </c>
      <c r="O205" s="248">
        <v>5</v>
      </c>
      <c r="P205" s="123"/>
      <c r="Q205" s="144"/>
      <c r="R205" s="144"/>
      <c r="S205" s="144"/>
      <c r="T205" s="144"/>
      <c r="U205" s="144"/>
      <c r="V205" s="144"/>
      <c r="W205" s="144"/>
      <c r="X205" s="144"/>
      <c r="Y205" s="123"/>
      <c r="Z205" s="144"/>
      <c r="AA205" s="123"/>
      <c r="AB205" s="123"/>
      <c r="AC205" s="123"/>
      <c r="AD205" s="144"/>
      <c r="AE205" s="123"/>
      <c r="AF205" s="123"/>
    </row>
    <row r="206" spans="1:32" ht="15">
      <c r="A206" s="123"/>
      <c r="B206" s="156">
        <v>186</v>
      </c>
      <c r="C206" s="157" t="s">
        <v>420</v>
      </c>
      <c r="D206" s="157" t="s">
        <v>893</v>
      </c>
      <c r="E206" s="157">
        <v>21</v>
      </c>
      <c r="F206" s="157" t="s">
        <v>187</v>
      </c>
      <c r="G206" s="158" t="s">
        <v>188</v>
      </c>
      <c r="H206" s="157">
        <v>5</v>
      </c>
      <c r="I206" s="157">
        <v>2</v>
      </c>
      <c r="J206" s="160" t="s">
        <v>625</v>
      </c>
      <c r="K206" s="160">
        <v>38</v>
      </c>
      <c r="L206" s="160" t="s">
        <v>186</v>
      </c>
      <c r="M206" s="160">
        <v>17</v>
      </c>
      <c r="N206" s="247" t="s">
        <v>894</v>
      </c>
      <c r="O206" s="248">
        <v>5</v>
      </c>
      <c r="P206" s="123"/>
      <c r="Q206" s="144"/>
      <c r="R206" s="144"/>
      <c r="S206" s="144"/>
      <c r="T206" s="144"/>
      <c r="U206" s="144"/>
      <c r="V206" s="144"/>
      <c r="W206" s="144"/>
      <c r="X206" s="144"/>
      <c r="Y206" s="123"/>
      <c r="Z206" s="144"/>
      <c r="AA206" s="123"/>
      <c r="AB206" s="123"/>
      <c r="AC206" s="123"/>
      <c r="AD206" s="144"/>
      <c r="AE206" s="123"/>
      <c r="AF206" s="123"/>
    </row>
    <row r="207" spans="1:32" ht="15">
      <c r="A207" s="123"/>
      <c r="B207" s="156">
        <v>187</v>
      </c>
      <c r="C207" s="157" t="s">
        <v>421</v>
      </c>
      <c r="D207" s="157" t="s">
        <v>893</v>
      </c>
      <c r="E207" s="157">
        <v>22</v>
      </c>
      <c r="F207" s="157" t="s">
        <v>187</v>
      </c>
      <c r="G207" s="158" t="s">
        <v>188</v>
      </c>
      <c r="H207" s="157">
        <v>6</v>
      </c>
      <c r="I207" s="157">
        <v>2</v>
      </c>
      <c r="J207" s="160" t="s">
        <v>625</v>
      </c>
      <c r="K207" s="160">
        <v>38</v>
      </c>
      <c r="L207" s="160" t="s">
        <v>186</v>
      </c>
      <c r="M207" s="160">
        <v>17</v>
      </c>
      <c r="N207" s="247" t="s">
        <v>894</v>
      </c>
      <c r="O207" s="248">
        <v>5</v>
      </c>
      <c r="P207" s="123"/>
      <c r="Q207" s="144"/>
      <c r="R207" s="144"/>
      <c r="S207" s="144"/>
      <c r="T207" s="144"/>
      <c r="U207" s="144"/>
      <c r="V207" s="144"/>
      <c r="W207" s="144"/>
      <c r="X207" s="144"/>
      <c r="Y207" s="123"/>
      <c r="Z207" s="144"/>
      <c r="AA207" s="123"/>
      <c r="AB207" s="123"/>
      <c r="AC207" s="123"/>
      <c r="AD207" s="144"/>
      <c r="AE207" s="123"/>
      <c r="AF207" s="123"/>
    </row>
    <row r="208" spans="1:32" ht="15">
      <c r="A208" s="123"/>
      <c r="B208" s="156">
        <v>188</v>
      </c>
      <c r="C208" s="157" t="s">
        <v>422</v>
      </c>
      <c r="D208" s="157" t="s">
        <v>893</v>
      </c>
      <c r="E208" s="157">
        <v>23</v>
      </c>
      <c r="F208" s="157" t="s">
        <v>187</v>
      </c>
      <c r="G208" s="158" t="s">
        <v>188</v>
      </c>
      <c r="H208" s="157">
        <v>7</v>
      </c>
      <c r="I208" s="157">
        <v>2</v>
      </c>
      <c r="J208" s="160" t="s">
        <v>625</v>
      </c>
      <c r="K208" s="160">
        <v>38</v>
      </c>
      <c r="L208" s="160" t="s">
        <v>186</v>
      </c>
      <c r="M208" s="160">
        <v>17</v>
      </c>
      <c r="N208" s="247" t="s">
        <v>894</v>
      </c>
      <c r="O208" s="248">
        <v>5</v>
      </c>
      <c r="P208" s="123"/>
      <c r="Q208" s="144"/>
      <c r="R208" s="144"/>
      <c r="S208" s="144"/>
      <c r="T208" s="144"/>
      <c r="U208" s="144"/>
      <c r="V208" s="144"/>
      <c r="W208" s="144"/>
      <c r="X208" s="144"/>
      <c r="Y208" s="123"/>
      <c r="Z208" s="144"/>
      <c r="AA208" s="123"/>
      <c r="AB208" s="123"/>
      <c r="AC208" s="123"/>
      <c r="AD208" s="144"/>
      <c r="AE208" s="123"/>
      <c r="AF208" s="123"/>
    </row>
    <row r="209" spans="1:32" ht="15">
      <c r="A209" s="123"/>
      <c r="B209" s="156">
        <v>189</v>
      </c>
      <c r="C209" s="157" t="s">
        <v>423</v>
      </c>
      <c r="D209" s="157" t="s">
        <v>893</v>
      </c>
      <c r="E209" s="157">
        <v>24</v>
      </c>
      <c r="F209" s="157" t="s">
        <v>187</v>
      </c>
      <c r="G209" s="158" t="s">
        <v>188</v>
      </c>
      <c r="H209" s="157">
        <v>8</v>
      </c>
      <c r="I209" s="157">
        <v>2</v>
      </c>
      <c r="J209" s="160" t="s">
        <v>625</v>
      </c>
      <c r="K209" s="160">
        <v>38</v>
      </c>
      <c r="L209" s="160" t="s">
        <v>186</v>
      </c>
      <c r="M209" s="160">
        <v>17</v>
      </c>
      <c r="N209" s="247" t="s">
        <v>894</v>
      </c>
      <c r="O209" s="248">
        <v>5</v>
      </c>
      <c r="P209" s="123"/>
      <c r="Q209" s="144"/>
      <c r="R209" s="144"/>
      <c r="S209" s="144"/>
      <c r="T209" s="144"/>
      <c r="U209" s="144"/>
      <c r="V209" s="144"/>
      <c r="W209" s="144"/>
      <c r="X209" s="144"/>
      <c r="Y209" s="123"/>
      <c r="Z209" s="144"/>
      <c r="AA209" s="123"/>
      <c r="AB209" s="123"/>
      <c r="AC209" s="123"/>
      <c r="AD209" s="144"/>
      <c r="AE209" s="123"/>
      <c r="AF209" s="123"/>
    </row>
    <row r="210" spans="1:32" ht="15">
      <c r="A210" s="123"/>
      <c r="B210" s="156">
        <v>190</v>
      </c>
      <c r="C210" s="157" t="s">
        <v>424</v>
      </c>
      <c r="D210" s="157" t="s">
        <v>893</v>
      </c>
      <c r="E210" s="157">
        <v>25</v>
      </c>
      <c r="F210" s="157" t="s">
        <v>187</v>
      </c>
      <c r="G210" s="158" t="s">
        <v>188</v>
      </c>
      <c r="H210" s="157">
        <v>9</v>
      </c>
      <c r="I210" s="157">
        <v>2</v>
      </c>
      <c r="J210" s="160" t="s">
        <v>625</v>
      </c>
      <c r="K210" s="160">
        <v>38</v>
      </c>
      <c r="L210" s="160" t="s">
        <v>186</v>
      </c>
      <c r="M210" s="160">
        <v>17</v>
      </c>
      <c r="N210" s="247" t="s">
        <v>894</v>
      </c>
      <c r="O210" s="248">
        <v>5</v>
      </c>
      <c r="P210" s="123"/>
      <c r="Q210" s="144"/>
      <c r="R210" s="144"/>
      <c r="S210" s="144"/>
      <c r="T210" s="144"/>
      <c r="U210" s="144"/>
      <c r="V210" s="144"/>
      <c r="W210" s="144"/>
      <c r="X210" s="144"/>
      <c r="Y210" s="123"/>
      <c r="Z210" s="144"/>
      <c r="AA210" s="123"/>
      <c r="AB210" s="123"/>
      <c r="AC210" s="123"/>
      <c r="AD210" s="144"/>
      <c r="AE210" s="123"/>
      <c r="AF210" s="123"/>
    </row>
    <row r="211" spans="1:32" ht="15">
      <c r="A211" s="123"/>
      <c r="B211" s="156">
        <v>191</v>
      </c>
      <c r="C211" s="157" t="s">
        <v>425</v>
      </c>
      <c r="D211" s="157" t="s">
        <v>893</v>
      </c>
      <c r="E211" s="157">
        <v>26</v>
      </c>
      <c r="F211" s="157" t="s">
        <v>187</v>
      </c>
      <c r="G211" s="158" t="s">
        <v>188</v>
      </c>
      <c r="H211" s="157">
        <v>10</v>
      </c>
      <c r="I211" s="157">
        <v>2</v>
      </c>
      <c r="J211" s="160" t="s">
        <v>625</v>
      </c>
      <c r="K211" s="160">
        <v>38</v>
      </c>
      <c r="L211" s="160" t="s">
        <v>186</v>
      </c>
      <c r="M211" s="160">
        <v>17</v>
      </c>
      <c r="N211" s="247" t="s">
        <v>894</v>
      </c>
      <c r="O211" s="248">
        <v>5</v>
      </c>
      <c r="P211" s="123"/>
      <c r="Q211" s="144"/>
      <c r="R211" s="144"/>
      <c r="S211" s="144"/>
      <c r="T211" s="144"/>
      <c r="U211" s="144"/>
      <c r="V211" s="144"/>
      <c r="W211" s="144"/>
      <c r="X211" s="144"/>
      <c r="Y211" s="123"/>
      <c r="Z211" s="144"/>
      <c r="AA211" s="123"/>
      <c r="AB211" s="123"/>
      <c r="AC211" s="123"/>
      <c r="AD211" s="144"/>
      <c r="AE211" s="123"/>
      <c r="AF211" s="123"/>
    </row>
    <row r="212" spans="1:32" ht="15">
      <c r="A212" s="123"/>
      <c r="B212" s="156">
        <v>192</v>
      </c>
      <c r="C212" s="157" t="s">
        <v>426</v>
      </c>
      <c r="D212" s="157" t="s">
        <v>893</v>
      </c>
      <c r="E212" s="157">
        <v>27</v>
      </c>
      <c r="F212" s="157" t="s">
        <v>187</v>
      </c>
      <c r="G212" s="158" t="s">
        <v>188</v>
      </c>
      <c r="H212" s="157">
        <v>11</v>
      </c>
      <c r="I212" s="157">
        <v>2</v>
      </c>
      <c r="J212" s="160" t="s">
        <v>625</v>
      </c>
      <c r="K212" s="160">
        <v>38</v>
      </c>
      <c r="L212" s="160" t="s">
        <v>186</v>
      </c>
      <c r="M212" s="160">
        <v>17</v>
      </c>
      <c r="N212" s="247" t="s">
        <v>894</v>
      </c>
      <c r="O212" s="248">
        <v>5</v>
      </c>
      <c r="P212" s="123"/>
      <c r="Q212" s="144"/>
      <c r="R212" s="144"/>
      <c r="S212" s="144"/>
      <c r="T212" s="144"/>
      <c r="U212" s="144"/>
      <c r="V212" s="144"/>
      <c r="W212" s="144"/>
      <c r="X212" s="144"/>
      <c r="Y212" s="123"/>
      <c r="Z212" s="144"/>
      <c r="AA212" s="123"/>
      <c r="AB212" s="123"/>
      <c r="AC212" s="123"/>
      <c r="AD212" s="144"/>
      <c r="AE212" s="123"/>
      <c r="AF212" s="123"/>
    </row>
    <row r="213" spans="1:32" ht="15">
      <c r="A213" s="123"/>
      <c r="B213" s="156">
        <v>193</v>
      </c>
      <c r="C213" s="157" t="s">
        <v>427</v>
      </c>
      <c r="D213" s="157" t="s">
        <v>893</v>
      </c>
      <c r="E213" s="157">
        <v>28</v>
      </c>
      <c r="F213" s="157" t="s">
        <v>187</v>
      </c>
      <c r="G213" s="158" t="s">
        <v>188</v>
      </c>
      <c r="H213" s="157">
        <v>12</v>
      </c>
      <c r="I213" s="157">
        <v>2</v>
      </c>
      <c r="J213" s="160" t="s">
        <v>625</v>
      </c>
      <c r="K213" s="160">
        <v>38</v>
      </c>
      <c r="L213" s="160" t="s">
        <v>186</v>
      </c>
      <c r="M213" s="160">
        <v>17</v>
      </c>
      <c r="N213" s="247" t="s">
        <v>894</v>
      </c>
      <c r="O213" s="248">
        <v>5</v>
      </c>
      <c r="P213" s="123"/>
      <c r="Q213" s="144"/>
      <c r="R213" s="144"/>
      <c r="S213" s="144"/>
      <c r="T213" s="144"/>
      <c r="U213" s="144"/>
      <c r="V213" s="144"/>
      <c r="W213" s="144"/>
      <c r="X213" s="144"/>
      <c r="Y213" s="123"/>
      <c r="Z213" s="144"/>
      <c r="AA213" s="123"/>
      <c r="AB213" s="123"/>
      <c r="AC213" s="123"/>
      <c r="AD213" s="144"/>
      <c r="AE213" s="123"/>
      <c r="AF213" s="123"/>
    </row>
    <row r="214" spans="1:32" ht="15">
      <c r="A214" s="123"/>
      <c r="B214" s="156">
        <v>194</v>
      </c>
      <c r="C214" s="157" t="s">
        <v>428</v>
      </c>
      <c r="D214" s="157" t="s">
        <v>893</v>
      </c>
      <c r="E214" s="157">
        <v>29</v>
      </c>
      <c r="F214" s="157" t="s">
        <v>187</v>
      </c>
      <c r="G214" s="158" t="s">
        <v>188</v>
      </c>
      <c r="H214" s="157">
        <v>13</v>
      </c>
      <c r="I214" s="157">
        <v>2</v>
      </c>
      <c r="J214" s="160" t="s">
        <v>625</v>
      </c>
      <c r="K214" s="160">
        <v>38</v>
      </c>
      <c r="L214" s="160" t="s">
        <v>186</v>
      </c>
      <c r="M214" s="160">
        <v>17</v>
      </c>
      <c r="N214" s="247" t="s">
        <v>894</v>
      </c>
      <c r="O214" s="248">
        <v>5</v>
      </c>
      <c r="P214" s="123"/>
      <c r="Q214" s="144"/>
      <c r="R214" s="144"/>
      <c r="S214" s="144"/>
      <c r="T214" s="144"/>
      <c r="U214" s="144"/>
      <c r="V214" s="144"/>
      <c r="W214" s="144"/>
      <c r="X214" s="144"/>
      <c r="Y214" s="123"/>
      <c r="Z214" s="144"/>
      <c r="AA214" s="123"/>
      <c r="AB214" s="123"/>
      <c r="AC214" s="123"/>
      <c r="AD214" s="144"/>
      <c r="AE214" s="123"/>
      <c r="AF214" s="123"/>
    </row>
    <row r="215" spans="1:32" ht="15">
      <c r="A215" s="123"/>
      <c r="B215" s="156">
        <v>195</v>
      </c>
      <c r="C215" s="157" t="s">
        <v>429</v>
      </c>
      <c r="D215" s="157" t="s">
        <v>893</v>
      </c>
      <c r="E215" s="157">
        <v>30</v>
      </c>
      <c r="F215" s="157" t="s">
        <v>187</v>
      </c>
      <c r="G215" s="158" t="s">
        <v>188</v>
      </c>
      <c r="H215" s="157">
        <v>14</v>
      </c>
      <c r="I215" s="157">
        <v>2</v>
      </c>
      <c r="J215" s="160" t="s">
        <v>625</v>
      </c>
      <c r="K215" s="160">
        <v>38</v>
      </c>
      <c r="L215" s="160" t="s">
        <v>186</v>
      </c>
      <c r="M215" s="160">
        <v>17</v>
      </c>
      <c r="N215" s="247" t="s">
        <v>894</v>
      </c>
      <c r="O215" s="248">
        <v>5</v>
      </c>
      <c r="P215" s="123"/>
      <c r="Q215" s="144"/>
      <c r="R215" s="144"/>
      <c r="S215" s="144"/>
      <c r="T215" s="144"/>
      <c r="U215" s="144"/>
      <c r="V215" s="144"/>
      <c r="W215" s="144"/>
      <c r="X215" s="144"/>
      <c r="Y215" s="123"/>
      <c r="Z215" s="144"/>
      <c r="AA215" s="123"/>
      <c r="AB215" s="123"/>
      <c r="AC215" s="123"/>
      <c r="AD215" s="144"/>
      <c r="AE215" s="123"/>
      <c r="AF215" s="123"/>
    </row>
    <row r="216" spans="1:32" ht="15">
      <c r="A216" s="123"/>
      <c r="B216" s="156">
        <v>196</v>
      </c>
      <c r="C216" s="157" t="s">
        <v>430</v>
      </c>
      <c r="D216" s="157" t="s">
        <v>893</v>
      </c>
      <c r="E216" s="157">
        <v>31</v>
      </c>
      <c r="F216" s="157" t="s">
        <v>187</v>
      </c>
      <c r="G216" s="158" t="s">
        <v>188</v>
      </c>
      <c r="H216" s="157">
        <v>15</v>
      </c>
      <c r="I216" s="157">
        <v>2</v>
      </c>
      <c r="J216" s="160" t="s">
        <v>625</v>
      </c>
      <c r="K216" s="160">
        <v>38</v>
      </c>
      <c r="L216" s="160" t="s">
        <v>186</v>
      </c>
      <c r="M216" s="160">
        <v>17</v>
      </c>
      <c r="N216" s="247" t="s">
        <v>894</v>
      </c>
      <c r="O216" s="248">
        <v>5</v>
      </c>
      <c r="P216" s="123"/>
      <c r="Q216" s="144"/>
      <c r="R216" s="144"/>
      <c r="S216" s="144"/>
      <c r="T216" s="144"/>
      <c r="U216" s="144"/>
      <c r="V216" s="144"/>
      <c r="W216" s="144"/>
      <c r="X216" s="144"/>
      <c r="Y216" s="123"/>
      <c r="Z216" s="144"/>
      <c r="AA216" s="123"/>
      <c r="AB216" s="123"/>
      <c r="AC216" s="123"/>
      <c r="AD216" s="144"/>
      <c r="AE216" s="123"/>
      <c r="AF216" s="123"/>
    </row>
    <row r="217" spans="1:32" ht="15">
      <c r="A217" s="123"/>
      <c r="B217" s="156">
        <v>197</v>
      </c>
      <c r="C217" s="157" t="s">
        <v>431</v>
      </c>
      <c r="D217" s="157" t="s">
        <v>893</v>
      </c>
      <c r="E217" s="157">
        <v>32</v>
      </c>
      <c r="F217" s="157" t="s">
        <v>187</v>
      </c>
      <c r="G217" s="158" t="s">
        <v>188</v>
      </c>
      <c r="H217" s="157">
        <v>16</v>
      </c>
      <c r="I217" s="157">
        <v>4</v>
      </c>
      <c r="J217" s="160" t="s">
        <v>625</v>
      </c>
      <c r="K217" s="160">
        <v>38</v>
      </c>
      <c r="L217" s="160" t="s">
        <v>186</v>
      </c>
      <c r="M217" s="160">
        <v>17</v>
      </c>
      <c r="N217" s="247" t="s">
        <v>894</v>
      </c>
      <c r="O217" s="248">
        <v>5</v>
      </c>
      <c r="P217" s="123"/>
      <c r="Q217" s="144"/>
      <c r="R217" s="144"/>
      <c r="S217" s="144"/>
      <c r="T217" s="144"/>
      <c r="U217" s="144"/>
      <c r="V217" s="144"/>
      <c r="W217" s="144"/>
      <c r="X217" s="144"/>
      <c r="Y217" s="123"/>
      <c r="Z217" s="144"/>
      <c r="AA217" s="123"/>
      <c r="AB217" s="123"/>
      <c r="AC217" s="123"/>
      <c r="AD217" s="144"/>
      <c r="AE217" s="123"/>
      <c r="AF217" s="123"/>
    </row>
    <row r="218" spans="1:32" ht="15">
      <c r="A218" s="123"/>
      <c r="B218" s="156">
        <v>198</v>
      </c>
      <c r="C218" s="157" t="s">
        <v>432</v>
      </c>
      <c r="D218" s="157" t="s">
        <v>893</v>
      </c>
      <c r="E218" s="157">
        <v>33</v>
      </c>
      <c r="F218" s="157" t="s">
        <v>187</v>
      </c>
      <c r="G218" s="158" t="s">
        <v>188</v>
      </c>
      <c r="H218" s="157">
        <v>17</v>
      </c>
      <c r="I218" s="157">
        <v>4</v>
      </c>
      <c r="J218" s="160" t="s">
        <v>625</v>
      </c>
      <c r="K218" s="160">
        <v>38</v>
      </c>
      <c r="L218" s="160" t="s">
        <v>186</v>
      </c>
      <c r="M218" s="160">
        <v>17</v>
      </c>
      <c r="N218" s="247" t="s">
        <v>894</v>
      </c>
      <c r="O218" s="248">
        <v>5</v>
      </c>
      <c r="P218" s="123"/>
      <c r="Q218" s="144"/>
      <c r="R218" s="144"/>
      <c r="S218" s="144"/>
      <c r="T218" s="144"/>
      <c r="U218" s="144"/>
      <c r="V218" s="144"/>
      <c r="W218" s="144"/>
      <c r="X218" s="144"/>
      <c r="Y218" s="123"/>
      <c r="Z218" s="144"/>
      <c r="AA218" s="123"/>
      <c r="AB218" s="123"/>
      <c r="AC218" s="123"/>
      <c r="AD218" s="144"/>
      <c r="AE218" s="123"/>
      <c r="AF218" s="123"/>
    </row>
    <row r="219" spans="1:32" ht="15">
      <c r="A219" s="123"/>
      <c r="B219" s="156">
        <v>199</v>
      </c>
      <c r="C219" s="157" t="s">
        <v>433</v>
      </c>
      <c r="D219" s="157" t="s">
        <v>893</v>
      </c>
      <c r="E219" s="157">
        <v>34</v>
      </c>
      <c r="F219" s="157" t="s">
        <v>187</v>
      </c>
      <c r="G219" s="158" t="s">
        <v>188</v>
      </c>
      <c r="H219" s="157">
        <v>18</v>
      </c>
      <c r="I219" s="157">
        <v>4</v>
      </c>
      <c r="J219" s="160" t="s">
        <v>625</v>
      </c>
      <c r="K219" s="160">
        <v>38</v>
      </c>
      <c r="L219" s="160" t="s">
        <v>186</v>
      </c>
      <c r="M219" s="160">
        <v>17</v>
      </c>
      <c r="N219" s="247" t="s">
        <v>894</v>
      </c>
      <c r="O219" s="248">
        <v>5</v>
      </c>
      <c r="P219" s="123"/>
      <c r="Q219" s="144"/>
      <c r="R219" s="144"/>
      <c r="S219" s="144"/>
      <c r="T219" s="144"/>
      <c r="U219" s="144"/>
      <c r="V219" s="144"/>
      <c r="W219" s="144"/>
      <c r="X219" s="144"/>
      <c r="Y219" s="123"/>
      <c r="Z219" s="144"/>
      <c r="AA219" s="123"/>
      <c r="AB219" s="123"/>
      <c r="AC219" s="123"/>
      <c r="AD219" s="144"/>
      <c r="AE219" s="123"/>
      <c r="AF219" s="123"/>
    </row>
    <row r="220" spans="1:32" ht="15">
      <c r="A220" s="123"/>
      <c r="B220" s="156">
        <v>200</v>
      </c>
      <c r="C220" s="157" t="s">
        <v>434</v>
      </c>
      <c r="D220" s="157" t="s">
        <v>893</v>
      </c>
      <c r="E220" s="157">
        <v>35</v>
      </c>
      <c r="F220" s="157" t="s">
        <v>187</v>
      </c>
      <c r="G220" s="158" t="s">
        <v>188</v>
      </c>
      <c r="H220" s="157">
        <v>19</v>
      </c>
      <c r="I220" s="157">
        <v>4</v>
      </c>
      <c r="J220" s="160" t="s">
        <v>625</v>
      </c>
      <c r="K220" s="160">
        <v>38</v>
      </c>
      <c r="L220" s="160" t="s">
        <v>186</v>
      </c>
      <c r="M220" s="160">
        <v>17</v>
      </c>
      <c r="N220" s="247" t="s">
        <v>894</v>
      </c>
      <c r="O220" s="248">
        <v>5</v>
      </c>
      <c r="P220" s="123"/>
      <c r="Q220" s="144"/>
      <c r="R220" s="144"/>
      <c r="S220" s="144"/>
      <c r="T220" s="144"/>
      <c r="U220" s="144"/>
      <c r="V220" s="144"/>
      <c r="W220" s="144"/>
      <c r="X220" s="144"/>
      <c r="Y220" s="123"/>
      <c r="Z220" s="144"/>
      <c r="AA220" s="123"/>
      <c r="AB220" s="123"/>
      <c r="AC220" s="123"/>
      <c r="AD220" s="144"/>
      <c r="AE220" s="123"/>
      <c r="AF220" s="123"/>
    </row>
    <row r="221" spans="1:32" ht="15">
      <c r="A221" s="123"/>
      <c r="B221" s="156">
        <v>201</v>
      </c>
      <c r="C221" s="157" t="s">
        <v>435</v>
      </c>
      <c r="D221" s="157" t="s">
        <v>893</v>
      </c>
      <c r="E221" s="157">
        <v>36</v>
      </c>
      <c r="F221" s="157" t="s">
        <v>187</v>
      </c>
      <c r="G221" s="158" t="s">
        <v>188</v>
      </c>
      <c r="H221" s="157">
        <v>20</v>
      </c>
      <c r="I221" s="157">
        <v>4</v>
      </c>
      <c r="J221" s="160" t="s">
        <v>625</v>
      </c>
      <c r="K221" s="160">
        <v>38</v>
      </c>
      <c r="L221" s="160" t="s">
        <v>186</v>
      </c>
      <c r="M221" s="160">
        <v>17</v>
      </c>
      <c r="N221" s="247" t="s">
        <v>894</v>
      </c>
      <c r="O221" s="248">
        <v>5</v>
      </c>
      <c r="P221" s="123"/>
      <c r="Q221" s="144"/>
      <c r="R221" s="144"/>
      <c r="S221" s="144"/>
      <c r="T221" s="144"/>
      <c r="U221" s="144"/>
      <c r="V221" s="144"/>
      <c r="W221" s="144"/>
      <c r="X221" s="144"/>
      <c r="Y221" s="123"/>
      <c r="Z221" s="144"/>
      <c r="AA221" s="123"/>
      <c r="AB221" s="123"/>
      <c r="AC221" s="123"/>
      <c r="AD221" s="144"/>
      <c r="AE221" s="123"/>
      <c r="AF221" s="123"/>
    </row>
    <row r="222" spans="1:32" ht="15">
      <c r="A222" s="123"/>
      <c r="B222" s="156">
        <v>202</v>
      </c>
      <c r="C222" s="157" t="s">
        <v>436</v>
      </c>
      <c r="D222" s="157" t="s">
        <v>893</v>
      </c>
      <c r="E222" s="157">
        <v>37</v>
      </c>
      <c r="F222" s="157" t="s">
        <v>187</v>
      </c>
      <c r="G222" s="158" t="s">
        <v>188</v>
      </c>
      <c r="H222" s="157">
        <v>21</v>
      </c>
      <c r="I222" s="157">
        <v>4</v>
      </c>
      <c r="J222" s="160" t="s">
        <v>625</v>
      </c>
      <c r="K222" s="160">
        <v>38</v>
      </c>
      <c r="L222" s="160" t="s">
        <v>186</v>
      </c>
      <c r="M222" s="160">
        <v>17</v>
      </c>
      <c r="N222" s="247" t="s">
        <v>894</v>
      </c>
      <c r="O222" s="248">
        <v>5</v>
      </c>
      <c r="P222" s="123"/>
      <c r="Q222" s="144"/>
      <c r="R222" s="144"/>
      <c r="S222" s="144"/>
      <c r="T222" s="144"/>
      <c r="U222" s="144"/>
      <c r="V222" s="144"/>
      <c r="W222" s="144"/>
      <c r="X222" s="144"/>
      <c r="Y222" s="123"/>
      <c r="Z222" s="144"/>
      <c r="AA222" s="123"/>
      <c r="AB222" s="123"/>
      <c r="AC222" s="123"/>
      <c r="AD222" s="144"/>
      <c r="AE222" s="123"/>
      <c r="AF222" s="123"/>
    </row>
    <row r="223" spans="1:32" ht="15">
      <c r="A223" s="123"/>
      <c r="B223" s="156">
        <v>203</v>
      </c>
      <c r="C223" s="157" t="s">
        <v>437</v>
      </c>
      <c r="D223" s="157" t="s">
        <v>893</v>
      </c>
      <c r="E223" s="157">
        <v>38</v>
      </c>
      <c r="F223" s="157" t="s">
        <v>187</v>
      </c>
      <c r="G223" s="158" t="s">
        <v>188</v>
      </c>
      <c r="H223" s="157">
        <v>22</v>
      </c>
      <c r="I223" s="157">
        <v>4</v>
      </c>
      <c r="J223" s="160" t="s">
        <v>625</v>
      </c>
      <c r="K223" s="160">
        <v>38</v>
      </c>
      <c r="L223" s="160" t="s">
        <v>186</v>
      </c>
      <c r="M223" s="160">
        <v>17</v>
      </c>
      <c r="N223" s="247" t="s">
        <v>894</v>
      </c>
      <c r="O223" s="248">
        <v>5</v>
      </c>
      <c r="P223" s="123"/>
      <c r="Q223" s="144"/>
      <c r="R223" s="144"/>
      <c r="S223" s="144"/>
      <c r="T223" s="144"/>
      <c r="U223" s="144"/>
      <c r="V223" s="144"/>
      <c r="W223" s="144"/>
      <c r="X223" s="144"/>
      <c r="Y223" s="123"/>
      <c r="Z223" s="144"/>
      <c r="AA223" s="123"/>
      <c r="AB223" s="123"/>
      <c r="AC223" s="123"/>
      <c r="AD223" s="144"/>
      <c r="AE223" s="123"/>
      <c r="AF223" s="123"/>
    </row>
    <row r="224" spans="1:32" ht="15">
      <c r="A224" s="123"/>
      <c r="B224" s="156">
        <v>204</v>
      </c>
      <c r="C224" s="157" t="s">
        <v>438</v>
      </c>
      <c r="D224" s="157" t="s">
        <v>893</v>
      </c>
      <c r="E224" s="157">
        <v>39</v>
      </c>
      <c r="F224" s="157" t="s">
        <v>187</v>
      </c>
      <c r="G224" s="158" t="s">
        <v>188</v>
      </c>
      <c r="H224" s="157">
        <v>23</v>
      </c>
      <c r="I224" s="157">
        <v>4</v>
      </c>
      <c r="J224" s="160" t="s">
        <v>625</v>
      </c>
      <c r="K224" s="160">
        <v>38</v>
      </c>
      <c r="L224" s="160" t="s">
        <v>186</v>
      </c>
      <c r="M224" s="160">
        <v>17</v>
      </c>
      <c r="N224" s="247" t="s">
        <v>894</v>
      </c>
      <c r="O224" s="248">
        <v>5</v>
      </c>
      <c r="P224" s="123"/>
      <c r="Q224" s="144"/>
      <c r="R224" s="144"/>
      <c r="S224" s="144"/>
      <c r="T224" s="144"/>
      <c r="U224" s="144"/>
      <c r="V224" s="144"/>
      <c r="W224" s="144"/>
      <c r="X224" s="144"/>
      <c r="Y224" s="123"/>
      <c r="Z224" s="144"/>
      <c r="AA224" s="123"/>
      <c r="AB224" s="123"/>
      <c r="AC224" s="123"/>
      <c r="AD224" s="144"/>
      <c r="AE224" s="123"/>
      <c r="AF224" s="123"/>
    </row>
    <row r="225" spans="1:32" ht="15">
      <c r="A225" s="123"/>
      <c r="B225" s="156">
        <v>205</v>
      </c>
      <c r="C225" s="157" t="s">
        <v>439</v>
      </c>
      <c r="D225" s="157" t="s">
        <v>893</v>
      </c>
      <c r="E225" s="157">
        <v>40</v>
      </c>
      <c r="F225" s="157" t="s">
        <v>187</v>
      </c>
      <c r="G225" s="158" t="s">
        <v>188</v>
      </c>
      <c r="H225" s="157">
        <v>24</v>
      </c>
      <c r="I225" s="157">
        <v>4</v>
      </c>
      <c r="J225" s="160" t="s">
        <v>625</v>
      </c>
      <c r="K225" s="160">
        <v>38</v>
      </c>
      <c r="L225" s="160" t="s">
        <v>186</v>
      </c>
      <c r="M225" s="160">
        <v>17</v>
      </c>
      <c r="N225" s="247" t="s">
        <v>894</v>
      </c>
      <c r="O225" s="248">
        <v>5</v>
      </c>
      <c r="P225" s="123"/>
      <c r="Q225" s="144"/>
      <c r="R225" s="144"/>
      <c r="S225" s="144"/>
      <c r="T225" s="144"/>
      <c r="U225" s="144"/>
      <c r="V225" s="144"/>
      <c r="W225" s="144"/>
      <c r="X225" s="144"/>
      <c r="Y225" s="123"/>
      <c r="Z225" s="144"/>
      <c r="AA225" s="123"/>
      <c r="AB225" s="123"/>
      <c r="AC225" s="123"/>
      <c r="AD225" s="144"/>
      <c r="AE225" s="123"/>
      <c r="AF225" s="123"/>
    </row>
    <row r="226" spans="1:32" ht="15">
      <c r="A226" s="123"/>
      <c r="B226" s="156">
        <v>206</v>
      </c>
      <c r="C226" s="157" t="s">
        <v>440</v>
      </c>
      <c r="D226" s="157" t="s">
        <v>893</v>
      </c>
      <c r="E226" s="157">
        <v>41</v>
      </c>
      <c r="F226" s="157" t="s">
        <v>187</v>
      </c>
      <c r="G226" s="158" t="s">
        <v>188</v>
      </c>
      <c r="H226" s="157">
        <v>25</v>
      </c>
      <c r="I226" s="157">
        <v>4</v>
      </c>
      <c r="J226" s="160" t="s">
        <v>625</v>
      </c>
      <c r="K226" s="160">
        <v>38</v>
      </c>
      <c r="L226" s="160" t="s">
        <v>186</v>
      </c>
      <c r="M226" s="160">
        <v>17</v>
      </c>
      <c r="N226" s="247" t="s">
        <v>894</v>
      </c>
      <c r="O226" s="248">
        <v>5</v>
      </c>
      <c r="P226" s="123"/>
      <c r="Q226" s="144"/>
      <c r="R226" s="144"/>
      <c r="S226" s="144"/>
      <c r="T226" s="144"/>
      <c r="U226" s="144"/>
      <c r="V226" s="144"/>
      <c r="W226" s="144"/>
      <c r="X226" s="144"/>
      <c r="Y226" s="123"/>
      <c r="Z226" s="144"/>
      <c r="AA226" s="123"/>
      <c r="AB226" s="123"/>
      <c r="AC226" s="123"/>
      <c r="AD226" s="144"/>
      <c r="AE226" s="123"/>
      <c r="AF226" s="123"/>
    </row>
    <row r="227" spans="1:32" ht="15">
      <c r="A227" s="123"/>
      <c r="B227" s="156">
        <v>207</v>
      </c>
      <c r="C227" s="157" t="s">
        <v>441</v>
      </c>
      <c r="D227" s="157" t="s">
        <v>893</v>
      </c>
      <c r="E227" s="157">
        <v>42</v>
      </c>
      <c r="F227" s="157" t="s">
        <v>187</v>
      </c>
      <c r="G227" s="158" t="s">
        <v>188</v>
      </c>
      <c r="H227" s="157">
        <v>26</v>
      </c>
      <c r="I227" s="157">
        <v>4</v>
      </c>
      <c r="J227" s="160" t="s">
        <v>625</v>
      </c>
      <c r="K227" s="160">
        <v>38</v>
      </c>
      <c r="L227" s="160" t="s">
        <v>186</v>
      </c>
      <c r="M227" s="160">
        <v>17</v>
      </c>
      <c r="N227" s="247" t="s">
        <v>894</v>
      </c>
      <c r="O227" s="248">
        <v>5</v>
      </c>
      <c r="P227" s="123"/>
      <c r="Q227" s="144"/>
      <c r="R227" s="144"/>
      <c r="S227" s="144"/>
      <c r="T227" s="144"/>
      <c r="U227" s="144"/>
      <c r="V227" s="144"/>
      <c r="W227" s="144"/>
      <c r="X227" s="144"/>
      <c r="Y227" s="123"/>
      <c r="Z227" s="144"/>
      <c r="AA227" s="123"/>
      <c r="AB227" s="123"/>
      <c r="AC227" s="123"/>
      <c r="AD227" s="144"/>
      <c r="AE227" s="123"/>
      <c r="AF227" s="123"/>
    </row>
    <row r="228" spans="1:32" ht="15">
      <c r="A228" s="123"/>
      <c r="B228" s="156">
        <v>208</v>
      </c>
      <c r="C228" s="157" t="s">
        <v>442</v>
      </c>
      <c r="D228" s="157" t="s">
        <v>893</v>
      </c>
      <c r="E228" s="157">
        <v>43</v>
      </c>
      <c r="F228" s="157" t="s">
        <v>187</v>
      </c>
      <c r="G228" s="158" t="s">
        <v>188</v>
      </c>
      <c r="H228" s="157">
        <v>27</v>
      </c>
      <c r="I228" s="157">
        <v>4</v>
      </c>
      <c r="J228" s="160" t="s">
        <v>625</v>
      </c>
      <c r="K228" s="160">
        <v>38</v>
      </c>
      <c r="L228" s="160" t="s">
        <v>186</v>
      </c>
      <c r="M228" s="160">
        <v>17</v>
      </c>
      <c r="N228" s="247" t="s">
        <v>894</v>
      </c>
      <c r="O228" s="248">
        <v>5</v>
      </c>
      <c r="P228" s="123"/>
      <c r="Q228" s="144"/>
      <c r="R228" s="144"/>
      <c r="S228" s="144"/>
      <c r="T228" s="144"/>
      <c r="U228" s="144"/>
      <c r="V228" s="144"/>
      <c r="W228" s="144"/>
      <c r="X228" s="144"/>
      <c r="Y228" s="123"/>
      <c r="Z228" s="144"/>
      <c r="AA228" s="123"/>
      <c r="AB228" s="123"/>
      <c r="AC228" s="123"/>
      <c r="AD228" s="144"/>
      <c r="AE228" s="123"/>
      <c r="AF228" s="123"/>
    </row>
    <row r="229" spans="1:32" ht="15">
      <c r="A229" s="123"/>
      <c r="B229" s="156">
        <v>209</v>
      </c>
      <c r="C229" s="157" t="s">
        <v>443</v>
      </c>
      <c r="D229" s="157" t="s">
        <v>893</v>
      </c>
      <c r="E229" s="157">
        <v>44</v>
      </c>
      <c r="F229" s="157" t="s">
        <v>187</v>
      </c>
      <c r="G229" s="158" t="s">
        <v>188</v>
      </c>
      <c r="H229" s="157">
        <v>28</v>
      </c>
      <c r="I229" s="157">
        <v>4</v>
      </c>
      <c r="J229" s="160" t="s">
        <v>625</v>
      </c>
      <c r="K229" s="160">
        <v>38</v>
      </c>
      <c r="L229" s="160" t="s">
        <v>186</v>
      </c>
      <c r="M229" s="160">
        <v>17</v>
      </c>
      <c r="N229" s="247" t="s">
        <v>894</v>
      </c>
      <c r="O229" s="248">
        <v>5</v>
      </c>
      <c r="P229" s="123"/>
      <c r="Q229" s="144"/>
      <c r="R229" s="144"/>
      <c r="S229" s="144"/>
      <c r="T229" s="144"/>
      <c r="U229" s="144"/>
      <c r="V229" s="144"/>
      <c r="W229" s="144"/>
      <c r="X229" s="144"/>
      <c r="Y229" s="123"/>
      <c r="Z229" s="144"/>
      <c r="AA229" s="123"/>
      <c r="AB229" s="123"/>
      <c r="AC229" s="123"/>
      <c r="AD229" s="144"/>
      <c r="AE229" s="123"/>
      <c r="AF229" s="123"/>
    </row>
    <row r="230" spans="1:32" ht="15">
      <c r="A230" s="123"/>
      <c r="B230" s="156">
        <v>210</v>
      </c>
      <c r="C230" s="157" t="s">
        <v>416</v>
      </c>
      <c r="D230" s="157" t="s">
        <v>893</v>
      </c>
      <c r="E230" s="157">
        <v>45</v>
      </c>
      <c r="F230" s="157" t="s">
        <v>187</v>
      </c>
      <c r="G230" s="158" t="s">
        <v>188</v>
      </c>
      <c r="H230" s="157">
        <v>29</v>
      </c>
      <c r="I230" s="157">
        <v>2</v>
      </c>
      <c r="J230" s="160" t="s">
        <v>640</v>
      </c>
      <c r="K230" s="160">
        <v>39</v>
      </c>
      <c r="L230" s="160" t="s">
        <v>186</v>
      </c>
      <c r="M230" s="160">
        <v>18</v>
      </c>
      <c r="N230" s="247" t="s">
        <v>894</v>
      </c>
      <c r="O230" s="248">
        <v>5</v>
      </c>
      <c r="P230" s="123"/>
      <c r="Q230" s="144"/>
      <c r="R230" s="144"/>
      <c r="S230" s="144"/>
      <c r="T230" s="144"/>
      <c r="U230" s="144"/>
      <c r="V230" s="144"/>
      <c r="W230" s="144"/>
      <c r="X230" s="144"/>
      <c r="Y230" s="123"/>
      <c r="Z230" s="144"/>
      <c r="AA230" s="123"/>
      <c r="AB230" s="123"/>
      <c r="AC230" s="123"/>
      <c r="AD230" s="144"/>
      <c r="AE230" s="123"/>
      <c r="AF230" s="123"/>
    </row>
    <row r="231" spans="1:32" ht="15">
      <c r="A231" s="123"/>
      <c r="B231" s="156">
        <v>211</v>
      </c>
      <c r="C231" s="157" t="s">
        <v>354</v>
      </c>
      <c r="D231" s="157" t="s">
        <v>893</v>
      </c>
      <c r="E231" s="157">
        <v>46</v>
      </c>
      <c r="F231" s="157" t="s">
        <v>187</v>
      </c>
      <c r="G231" s="158" t="s">
        <v>188</v>
      </c>
      <c r="H231" s="157">
        <v>30</v>
      </c>
      <c r="I231" s="157">
        <v>2</v>
      </c>
      <c r="J231" s="160" t="s">
        <v>645</v>
      </c>
      <c r="K231" s="160">
        <v>40</v>
      </c>
      <c r="L231" s="160" t="s">
        <v>186</v>
      </c>
      <c r="M231" s="160">
        <v>19</v>
      </c>
      <c r="N231" s="247" t="s">
        <v>894</v>
      </c>
      <c r="O231" s="248">
        <v>5</v>
      </c>
      <c r="P231" s="123"/>
      <c r="Q231" s="144"/>
      <c r="R231" s="144"/>
      <c r="S231" s="144"/>
      <c r="T231" s="144"/>
      <c r="U231" s="144"/>
      <c r="V231" s="144"/>
      <c r="W231" s="144"/>
      <c r="X231" s="144"/>
      <c r="Y231" s="123"/>
      <c r="Z231" s="123"/>
      <c r="AA231" s="123"/>
      <c r="AB231" s="123"/>
      <c r="AC231" s="123"/>
      <c r="AD231" s="144"/>
      <c r="AE231" s="123"/>
      <c r="AF231" s="123"/>
    </row>
    <row r="232" spans="1:32" ht="15">
      <c r="A232" s="123"/>
      <c r="B232" s="156">
        <v>212</v>
      </c>
      <c r="C232" s="157" t="s">
        <v>355</v>
      </c>
      <c r="D232" s="157" t="s">
        <v>893</v>
      </c>
      <c r="E232" s="157">
        <v>47</v>
      </c>
      <c r="F232" s="157" t="s">
        <v>187</v>
      </c>
      <c r="G232" s="158" t="s">
        <v>188</v>
      </c>
      <c r="H232" s="157">
        <v>31</v>
      </c>
      <c r="I232" s="157">
        <v>2</v>
      </c>
      <c r="J232" s="160" t="s">
        <v>645</v>
      </c>
      <c r="K232" s="160">
        <v>40</v>
      </c>
      <c r="L232" s="160" t="s">
        <v>186</v>
      </c>
      <c r="M232" s="160">
        <v>19</v>
      </c>
      <c r="N232" s="247" t="s">
        <v>894</v>
      </c>
      <c r="O232" s="248">
        <v>5</v>
      </c>
      <c r="P232" s="123"/>
      <c r="Q232" s="144"/>
      <c r="R232" s="144"/>
      <c r="S232" s="144"/>
      <c r="T232" s="144"/>
      <c r="U232" s="144"/>
      <c r="V232" s="144"/>
      <c r="W232" s="144"/>
      <c r="X232" s="144"/>
      <c r="Y232" s="123"/>
      <c r="Z232" s="123"/>
      <c r="AA232" s="123"/>
      <c r="AB232" s="123"/>
      <c r="AC232" s="123"/>
      <c r="AD232" s="144"/>
      <c r="AE232" s="123"/>
      <c r="AF232" s="123"/>
    </row>
    <row r="233" spans="1:32" ht="15">
      <c r="A233" s="123"/>
      <c r="B233" s="156">
        <v>213</v>
      </c>
      <c r="C233" s="157" t="s">
        <v>356</v>
      </c>
      <c r="D233" s="157" t="s">
        <v>893</v>
      </c>
      <c r="E233" s="157">
        <v>48</v>
      </c>
      <c r="F233" s="157" t="s">
        <v>187</v>
      </c>
      <c r="G233" s="158" t="s">
        <v>188</v>
      </c>
      <c r="H233" s="157">
        <v>32</v>
      </c>
      <c r="I233" s="157">
        <v>2</v>
      </c>
      <c r="J233" s="160" t="s">
        <v>645</v>
      </c>
      <c r="K233" s="160">
        <v>40</v>
      </c>
      <c r="L233" s="160" t="s">
        <v>186</v>
      </c>
      <c r="M233" s="160">
        <v>19</v>
      </c>
      <c r="N233" s="247" t="s">
        <v>894</v>
      </c>
      <c r="O233" s="248">
        <v>5</v>
      </c>
      <c r="P233" s="123"/>
      <c r="Q233" s="144"/>
      <c r="R233" s="144"/>
      <c r="S233" s="144"/>
      <c r="T233" s="144"/>
      <c r="U233" s="144"/>
      <c r="V233" s="144"/>
      <c r="W233" s="144"/>
      <c r="X233" s="144"/>
      <c r="Y233" s="123"/>
      <c r="Z233" s="123"/>
      <c r="AA233" s="123"/>
      <c r="AB233" s="123"/>
      <c r="AC233" s="123"/>
      <c r="AD233" s="123"/>
      <c r="AE233" s="123"/>
      <c r="AF233" s="123"/>
    </row>
    <row r="234" spans="1:32" ht="15">
      <c r="A234" s="123"/>
      <c r="B234" s="156">
        <v>214</v>
      </c>
      <c r="C234" s="157" t="s">
        <v>357</v>
      </c>
      <c r="D234" s="157" t="s">
        <v>893</v>
      </c>
      <c r="E234" s="157">
        <v>49</v>
      </c>
      <c r="F234" s="157" t="s">
        <v>187</v>
      </c>
      <c r="G234" s="158" t="s">
        <v>188</v>
      </c>
      <c r="H234" s="157">
        <v>33</v>
      </c>
      <c r="I234" s="157">
        <v>2</v>
      </c>
      <c r="J234" s="160" t="s">
        <v>645</v>
      </c>
      <c r="K234" s="160">
        <v>40</v>
      </c>
      <c r="L234" s="160" t="s">
        <v>186</v>
      </c>
      <c r="M234" s="160">
        <v>19</v>
      </c>
      <c r="N234" s="247" t="s">
        <v>894</v>
      </c>
      <c r="O234" s="248">
        <v>5</v>
      </c>
      <c r="P234" s="123"/>
      <c r="Q234" s="144"/>
      <c r="R234" s="144"/>
      <c r="S234" s="144"/>
      <c r="T234" s="144"/>
      <c r="U234" s="144"/>
      <c r="V234" s="144"/>
      <c r="W234" s="144"/>
      <c r="X234" s="144"/>
      <c r="Y234" s="123"/>
      <c r="Z234" s="123"/>
      <c r="AA234" s="123"/>
      <c r="AB234" s="123"/>
      <c r="AC234" s="123"/>
      <c r="AD234" s="123"/>
      <c r="AE234" s="123"/>
      <c r="AF234" s="123"/>
    </row>
    <row r="235" spans="1:32" ht="15">
      <c r="A235" s="123"/>
      <c r="B235" s="156">
        <v>215</v>
      </c>
      <c r="C235" s="157" t="s">
        <v>358</v>
      </c>
      <c r="D235" s="157" t="s">
        <v>893</v>
      </c>
      <c r="E235" s="157">
        <v>50</v>
      </c>
      <c r="F235" s="157" t="s">
        <v>187</v>
      </c>
      <c r="G235" s="158" t="s">
        <v>188</v>
      </c>
      <c r="H235" s="157">
        <v>34</v>
      </c>
      <c r="I235" s="157">
        <v>0</v>
      </c>
      <c r="J235" s="160" t="s">
        <v>645</v>
      </c>
      <c r="K235" s="160">
        <v>40</v>
      </c>
      <c r="L235" s="160" t="s">
        <v>186</v>
      </c>
      <c r="M235" s="160">
        <v>19</v>
      </c>
      <c r="N235" s="247" t="s">
        <v>894</v>
      </c>
      <c r="O235" s="248">
        <v>5</v>
      </c>
      <c r="P235" s="123"/>
      <c r="Q235" s="144"/>
      <c r="R235" s="144"/>
      <c r="S235" s="144"/>
      <c r="T235" s="144"/>
      <c r="U235" s="144"/>
      <c r="V235" s="144"/>
      <c r="W235" s="144"/>
      <c r="X235" s="144"/>
      <c r="Y235" s="123"/>
      <c r="Z235" s="123"/>
      <c r="AA235" s="123"/>
      <c r="AB235" s="123"/>
      <c r="AC235" s="123"/>
      <c r="AD235" s="123"/>
      <c r="AE235" s="123"/>
      <c r="AF235" s="123"/>
    </row>
    <row r="236" spans="1:32" ht="15">
      <c r="A236" s="123"/>
      <c r="B236" s="156">
        <v>216</v>
      </c>
      <c r="C236" s="157" t="s">
        <v>359</v>
      </c>
      <c r="D236" s="157" t="s">
        <v>893</v>
      </c>
      <c r="E236" s="157">
        <v>51</v>
      </c>
      <c r="F236" s="157" t="s">
        <v>187</v>
      </c>
      <c r="G236" s="158" t="s">
        <v>188</v>
      </c>
      <c r="H236" s="157">
        <v>35</v>
      </c>
      <c r="I236" s="157">
        <v>2</v>
      </c>
      <c r="J236" s="160" t="s">
        <v>645</v>
      </c>
      <c r="K236" s="160">
        <v>40</v>
      </c>
      <c r="L236" s="160" t="s">
        <v>186</v>
      </c>
      <c r="M236" s="160">
        <v>19</v>
      </c>
      <c r="N236" s="247" t="s">
        <v>894</v>
      </c>
      <c r="O236" s="248">
        <v>5</v>
      </c>
      <c r="P236" s="123"/>
      <c r="Q236" s="144"/>
      <c r="R236" s="144"/>
      <c r="S236" s="144"/>
      <c r="T236" s="144"/>
      <c r="U236" s="144"/>
      <c r="V236" s="144"/>
      <c r="W236" s="144"/>
      <c r="X236" s="144"/>
      <c r="Y236" s="123"/>
      <c r="Z236" s="123"/>
      <c r="AA236" s="123"/>
      <c r="AB236" s="123"/>
      <c r="AC236" s="123"/>
      <c r="AD236" s="123"/>
      <c r="AE236" s="123"/>
      <c r="AF236" s="123"/>
    </row>
    <row r="237" spans="1:32" ht="15">
      <c r="A237" s="123"/>
      <c r="B237" s="156">
        <v>217</v>
      </c>
      <c r="C237" s="157" t="s">
        <v>360</v>
      </c>
      <c r="D237" s="157" t="s">
        <v>893</v>
      </c>
      <c r="E237" s="157">
        <v>52</v>
      </c>
      <c r="F237" s="157" t="s">
        <v>187</v>
      </c>
      <c r="G237" s="158" t="s">
        <v>188</v>
      </c>
      <c r="H237" s="157">
        <v>36</v>
      </c>
      <c r="I237" s="157">
        <v>2</v>
      </c>
      <c r="J237" s="160" t="s">
        <v>645</v>
      </c>
      <c r="K237" s="160">
        <v>40</v>
      </c>
      <c r="L237" s="160" t="s">
        <v>186</v>
      </c>
      <c r="M237" s="160">
        <v>19</v>
      </c>
      <c r="N237" s="247" t="s">
        <v>894</v>
      </c>
      <c r="O237" s="248">
        <v>5</v>
      </c>
      <c r="P237" s="123"/>
      <c r="Q237" s="144"/>
      <c r="R237" s="144"/>
      <c r="S237" s="144"/>
      <c r="T237" s="144"/>
      <c r="U237" s="144"/>
      <c r="V237" s="144"/>
      <c r="W237" s="144"/>
      <c r="X237" s="144"/>
      <c r="Y237" s="123"/>
      <c r="Z237" s="123"/>
      <c r="AA237" s="123"/>
      <c r="AB237" s="123"/>
      <c r="AC237" s="123"/>
      <c r="AD237" s="123"/>
      <c r="AE237" s="123"/>
      <c r="AF237" s="123"/>
    </row>
    <row r="238" spans="1:32" ht="15">
      <c r="A238" s="123"/>
      <c r="B238" s="156">
        <v>218</v>
      </c>
      <c r="C238" s="157" t="s">
        <v>361</v>
      </c>
      <c r="D238" s="157" t="s">
        <v>893</v>
      </c>
      <c r="E238" s="157">
        <v>53</v>
      </c>
      <c r="F238" s="157" t="s">
        <v>187</v>
      </c>
      <c r="G238" s="158" t="s">
        <v>188</v>
      </c>
      <c r="H238" s="157">
        <v>37</v>
      </c>
      <c r="I238" s="157">
        <v>2</v>
      </c>
      <c r="J238" s="160" t="s">
        <v>645</v>
      </c>
      <c r="K238" s="160">
        <v>40</v>
      </c>
      <c r="L238" s="160" t="s">
        <v>186</v>
      </c>
      <c r="M238" s="160">
        <v>19</v>
      </c>
      <c r="N238" s="247" t="s">
        <v>894</v>
      </c>
      <c r="O238" s="248">
        <v>5</v>
      </c>
      <c r="P238" s="123"/>
      <c r="Q238" s="144"/>
      <c r="R238" s="144"/>
      <c r="S238" s="144"/>
      <c r="T238" s="144"/>
      <c r="U238" s="144"/>
      <c r="V238" s="144"/>
      <c r="W238" s="144"/>
      <c r="X238" s="144"/>
      <c r="Y238" s="123"/>
      <c r="Z238" s="123"/>
      <c r="AA238" s="123"/>
      <c r="AB238" s="123"/>
      <c r="AC238" s="123"/>
      <c r="AD238" s="123"/>
      <c r="AE238" s="123"/>
      <c r="AF238" s="123"/>
    </row>
    <row r="239" spans="1:32" ht="15">
      <c r="A239" s="123"/>
      <c r="B239" s="156">
        <v>219</v>
      </c>
      <c r="C239" s="157" t="s">
        <v>365</v>
      </c>
      <c r="D239" s="157" t="s">
        <v>893</v>
      </c>
      <c r="E239" s="157">
        <v>54</v>
      </c>
      <c r="F239" s="157" t="s">
        <v>187</v>
      </c>
      <c r="G239" s="158" t="s">
        <v>188</v>
      </c>
      <c r="H239" s="157">
        <v>38</v>
      </c>
      <c r="I239" s="157">
        <v>2</v>
      </c>
      <c r="J239" s="160" t="s">
        <v>645</v>
      </c>
      <c r="K239" s="160">
        <v>40</v>
      </c>
      <c r="L239" s="160" t="s">
        <v>186</v>
      </c>
      <c r="M239" s="160">
        <v>19</v>
      </c>
      <c r="N239" s="247" t="s">
        <v>894</v>
      </c>
      <c r="O239" s="248">
        <v>5</v>
      </c>
      <c r="P239" s="123"/>
      <c r="Q239" s="144"/>
      <c r="R239" s="144"/>
      <c r="S239" s="144"/>
      <c r="T239" s="144"/>
      <c r="U239" s="144"/>
      <c r="V239" s="144"/>
      <c r="W239" s="144"/>
      <c r="X239" s="144"/>
      <c r="Y239" s="123"/>
      <c r="Z239" s="123"/>
      <c r="AA239" s="123"/>
      <c r="AB239" s="123"/>
      <c r="AC239" s="123"/>
      <c r="AD239" s="123"/>
      <c r="AE239" s="123"/>
      <c r="AF239" s="123"/>
    </row>
    <row r="240" spans="1:32" ht="15">
      <c r="A240" s="123"/>
      <c r="B240" s="156">
        <v>220</v>
      </c>
      <c r="C240" s="157" t="s">
        <v>376</v>
      </c>
      <c r="D240" s="157" t="s">
        <v>893</v>
      </c>
      <c r="E240" s="157">
        <v>55</v>
      </c>
      <c r="F240" s="157" t="s">
        <v>187</v>
      </c>
      <c r="G240" s="158" t="s">
        <v>188</v>
      </c>
      <c r="H240" s="157">
        <v>39</v>
      </c>
      <c r="I240" s="157">
        <v>2</v>
      </c>
      <c r="J240" s="160" t="s">
        <v>645</v>
      </c>
      <c r="K240" s="160">
        <v>40</v>
      </c>
      <c r="L240" s="160" t="s">
        <v>186</v>
      </c>
      <c r="M240" s="160">
        <v>19</v>
      </c>
      <c r="N240" s="247" t="s">
        <v>894</v>
      </c>
      <c r="O240" s="248">
        <v>5</v>
      </c>
      <c r="P240" s="123"/>
      <c r="Q240" s="144"/>
      <c r="R240" s="144"/>
      <c r="S240" s="144"/>
      <c r="T240" s="144"/>
      <c r="U240" s="144"/>
      <c r="V240" s="144"/>
      <c r="W240" s="144"/>
      <c r="X240" s="144"/>
      <c r="Y240" s="123"/>
      <c r="Z240" s="123"/>
      <c r="AA240" s="123"/>
      <c r="AB240" s="123"/>
      <c r="AC240" s="123"/>
      <c r="AD240" s="123"/>
      <c r="AE240" s="123"/>
      <c r="AF240" s="123"/>
    </row>
    <row r="241" spans="1:32" ht="15">
      <c r="A241" s="123"/>
      <c r="B241" s="156">
        <v>221</v>
      </c>
      <c r="C241" s="157" t="s">
        <v>381</v>
      </c>
      <c r="D241" s="157" t="s">
        <v>893</v>
      </c>
      <c r="E241" s="157">
        <v>56</v>
      </c>
      <c r="F241" s="157" t="s">
        <v>187</v>
      </c>
      <c r="G241" s="158" t="s">
        <v>188</v>
      </c>
      <c r="H241" s="157">
        <v>40</v>
      </c>
      <c r="I241" s="157">
        <v>2</v>
      </c>
      <c r="J241" s="160" t="s">
        <v>645</v>
      </c>
      <c r="K241" s="160">
        <v>40</v>
      </c>
      <c r="L241" s="160" t="s">
        <v>186</v>
      </c>
      <c r="M241" s="160">
        <v>19</v>
      </c>
      <c r="N241" s="247" t="s">
        <v>894</v>
      </c>
      <c r="O241" s="248">
        <v>5</v>
      </c>
      <c r="P241" s="123"/>
      <c r="Q241" s="144"/>
      <c r="R241" s="144"/>
      <c r="S241" s="144"/>
      <c r="T241" s="144"/>
      <c r="U241" s="144"/>
      <c r="V241" s="144"/>
      <c r="W241" s="144"/>
      <c r="X241" s="144"/>
      <c r="Y241" s="123"/>
      <c r="Z241" s="123"/>
      <c r="AA241" s="123"/>
      <c r="AB241" s="123"/>
      <c r="AC241" s="123"/>
      <c r="AD241" s="123"/>
      <c r="AE241" s="123"/>
      <c r="AF241" s="123"/>
    </row>
    <row r="242" spans="1:32" ht="15">
      <c r="A242" s="123"/>
      <c r="B242" s="156">
        <v>222</v>
      </c>
      <c r="C242" s="157" t="s">
        <v>383</v>
      </c>
      <c r="D242" s="157" t="s">
        <v>893</v>
      </c>
      <c r="E242" s="157">
        <v>57</v>
      </c>
      <c r="F242" s="157" t="s">
        <v>187</v>
      </c>
      <c r="G242" s="158" t="s">
        <v>188</v>
      </c>
      <c r="H242" s="157">
        <v>41</v>
      </c>
      <c r="I242" s="157">
        <v>2</v>
      </c>
      <c r="J242" s="160" t="s">
        <v>645</v>
      </c>
      <c r="K242" s="160">
        <v>40</v>
      </c>
      <c r="L242" s="160" t="s">
        <v>186</v>
      </c>
      <c r="M242" s="160">
        <v>19</v>
      </c>
      <c r="N242" s="247" t="s">
        <v>894</v>
      </c>
      <c r="O242" s="248">
        <v>5</v>
      </c>
      <c r="P242" s="123"/>
      <c r="Q242" s="144"/>
      <c r="R242" s="144"/>
      <c r="S242" s="144"/>
      <c r="T242" s="144"/>
      <c r="U242" s="144"/>
      <c r="V242" s="144"/>
      <c r="W242" s="144"/>
      <c r="X242" s="144"/>
      <c r="Y242" s="123"/>
      <c r="Z242" s="123"/>
      <c r="AA242" s="123"/>
      <c r="AB242" s="123"/>
      <c r="AC242" s="123"/>
      <c r="AD242" s="123"/>
      <c r="AE242" s="123"/>
      <c r="AF242" s="123"/>
    </row>
    <row r="243" spans="1:32" ht="15">
      <c r="A243" s="123"/>
      <c r="B243" s="156">
        <v>223</v>
      </c>
      <c r="C243" s="157" t="s">
        <v>385</v>
      </c>
      <c r="D243" s="157" t="s">
        <v>893</v>
      </c>
      <c r="E243" s="157">
        <v>58</v>
      </c>
      <c r="F243" s="157" t="s">
        <v>187</v>
      </c>
      <c r="G243" s="158" t="s">
        <v>188</v>
      </c>
      <c r="H243" s="157">
        <v>42</v>
      </c>
      <c r="I243" s="157">
        <v>2</v>
      </c>
      <c r="J243" s="160" t="s">
        <v>645</v>
      </c>
      <c r="K243" s="160">
        <v>40</v>
      </c>
      <c r="L243" s="160" t="s">
        <v>186</v>
      </c>
      <c r="M243" s="160">
        <v>19</v>
      </c>
      <c r="N243" s="247" t="s">
        <v>894</v>
      </c>
      <c r="O243" s="248">
        <v>5</v>
      </c>
      <c r="P243" s="123"/>
      <c r="Q243" s="144"/>
      <c r="R243" s="144"/>
      <c r="S243" s="144"/>
      <c r="T243" s="144"/>
      <c r="U243" s="144"/>
      <c r="V243" s="144"/>
      <c r="W243" s="144"/>
      <c r="X243" s="144"/>
      <c r="Y243" s="123"/>
      <c r="Z243" s="123"/>
      <c r="AA243" s="123"/>
      <c r="AB243" s="123"/>
      <c r="AC243" s="123"/>
      <c r="AD243" s="123"/>
      <c r="AE243" s="123"/>
      <c r="AF243" s="123"/>
    </row>
    <row r="244" spans="1:32" ht="15">
      <c r="A244" s="123"/>
      <c r="B244" s="156">
        <v>224</v>
      </c>
      <c r="C244" s="157" t="s">
        <v>392</v>
      </c>
      <c r="D244" s="157" t="s">
        <v>893</v>
      </c>
      <c r="E244" s="157">
        <v>59</v>
      </c>
      <c r="F244" s="157" t="s">
        <v>187</v>
      </c>
      <c r="G244" s="158" t="s">
        <v>188</v>
      </c>
      <c r="H244" s="157">
        <v>43</v>
      </c>
      <c r="I244" s="157">
        <v>2</v>
      </c>
      <c r="J244" s="160" t="s">
        <v>645</v>
      </c>
      <c r="K244" s="160">
        <v>40</v>
      </c>
      <c r="L244" s="160" t="s">
        <v>186</v>
      </c>
      <c r="M244" s="160">
        <v>19</v>
      </c>
      <c r="N244" s="247" t="s">
        <v>894</v>
      </c>
      <c r="O244" s="248">
        <v>5</v>
      </c>
      <c r="P244" s="123"/>
      <c r="Q244" s="144"/>
      <c r="R244" s="144"/>
      <c r="S244" s="144"/>
      <c r="T244" s="144"/>
      <c r="U244" s="144"/>
      <c r="V244" s="144"/>
      <c r="W244" s="144"/>
      <c r="X244" s="144"/>
      <c r="Y244" s="123"/>
      <c r="Z244" s="123"/>
      <c r="AA244" s="123"/>
      <c r="AB244" s="123"/>
      <c r="AC244" s="123"/>
      <c r="AD244" s="123"/>
      <c r="AE244" s="123"/>
      <c r="AF244" s="123"/>
    </row>
    <row r="245" spans="1:32" ht="15">
      <c r="A245" s="123"/>
      <c r="B245" s="156">
        <v>225</v>
      </c>
      <c r="C245" s="157" t="s">
        <v>399</v>
      </c>
      <c r="D245" s="157" t="s">
        <v>893</v>
      </c>
      <c r="E245" s="157">
        <v>60</v>
      </c>
      <c r="F245" s="157" t="s">
        <v>187</v>
      </c>
      <c r="G245" s="158" t="s">
        <v>188</v>
      </c>
      <c r="H245" s="157">
        <v>44</v>
      </c>
      <c r="I245" s="157">
        <v>2</v>
      </c>
      <c r="J245" s="160" t="s">
        <v>645</v>
      </c>
      <c r="K245" s="160">
        <v>40</v>
      </c>
      <c r="L245" s="160" t="s">
        <v>186</v>
      </c>
      <c r="M245" s="160">
        <v>19</v>
      </c>
      <c r="N245" s="247" t="s">
        <v>894</v>
      </c>
      <c r="O245" s="248">
        <v>5</v>
      </c>
      <c r="P245" s="123"/>
      <c r="Q245" s="144"/>
      <c r="R245" s="144"/>
      <c r="S245" s="144"/>
      <c r="T245" s="144"/>
      <c r="U245" s="144"/>
      <c r="V245" s="144"/>
      <c r="W245" s="144"/>
      <c r="X245" s="144"/>
      <c r="Y245" s="123"/>
      <c r="Z245" s="123"/>
      <c r="AA245" s="123"/>
      <c r="AB245" s="123"/>
      <c r="AC245" s="123"/>
      <c r="AD245" s="123"/>
      <c r="AE245" s="123"/>
      <c r="AF245" s="123"/>
    </row>
    <row r="246" spans="1:32" ht="15">
      <c r="A246" s="123"/>
      <c r="B246" s="156">
        <v>226</v>
      </c>
      <c r="C246" s="157" t="s">
        <v>401</v>
      </c>
      <c r="D246" s="157" t="s">
        <v>893</v>
      </c>
      <c r="E246" s="157">
        <v>61</v>
      </c>
      <c r="F246" s="157" t="s">
        <v>187</v>
      </c>
      <c r="G246" s="158" t="s">
        <v>188</v>
      </c>
      <c r="H246" s="157">
        <v>45</v>
      </c>
      <c r="I246" s="157">
        <v>2</v>
      </c>
      <c r="J246" s="160" t="s">
        <v>645</v>
      </c>
      <c r="K246" s="160">
        <v>40</v>
      </c>
      <c r="L246" s="160" t="s">
        <v>186</v>
      </c>
      <c r="M246" s="160">
        <v>19</v>
      </c>
      <c r="N246" s="247" t="s">
        <v>894</v>
      </c>
      <c r="O246" s="248">
        <v>5</v>
      </c>
      <c r="P246" s="123"/>
      <c r="Q246" s="144"/>
      <c r="R246" s="144"/>
      <c r="S246" s="144"/>
      <c r="T246" s="144"/>
      <c r="U246" s="144"/>
      <c r="V246" s="144"/>
      <c r="W246" s="144"/>
      <c r="X246" s="144"/>
      <c r="Y246" s="123"/>
      <c r="Z246" s="123"/>
      <c r="AA246" s="123"/>
      <c r="AB246" s="123"/>
      <c r="AC246" s="123"/>
      <c r="AD246" s="123"/>
      <c r="AE246" s="123"/>
      <c r="AF246" s="123"/>
    </row>
    <row r="247" spans="1:32" ht="15">
      <c r="A247" s="123"/>
      <c r="B247" s="156">
        <v>227</v>
      </c>
      <c r="C247" s="157" t="s">
        <v>407</v>
      </c>
      <c r="D247" s="157" t="s">
        <v>893</v>
      </c>
      <c r="E247" s="157">
        <v>62</v>
      </c>
      <c r="F247" s="157" t="s">
        <v>187</v>
      </c>
      <c r="G247" s="158" t="s">
        <v>188</v>
      </c>
      <c r="H247" s="157">
        <v>46</v>
      </c>
      <c r="I247" s="157">
        <v>2</v>
      </c>
      <c r="J247" s="160" t="s">
        <v>645</v>
      </c>
      <c r="K247" s="160">
        <v>40</v>
      </c>
      <c r="L247" s="160" t="s">
        <v>186</v>
      </c>
      <c r="M247" s="160">
        <v>19</v>
      </c>
      <c r="N247" s="247" t="s">
        <v>894</v>
      </c>
      <c r="O247" s="248">
        <v>5</v>
      </c>
      <c r="P247" s="123"/>
      <c r="Q247" s="144"/>
      <c r="R247" s="144"/>
      <c r="S247" s="144"/>
      <c r="T247" s="144"/>
      <c r="U247" s="144"/>
      <c r="V247" s="144"/>
      <c r="W247" s="144"/>
      <c r="X247" s="144"/>
      <c r="Y247" s="123"/>
      <c r="Z247" s="123"/>
      <c r="AA247" s="123"/>
      <c r="AB247" s="123"/>
      <c r="AC247" s="123"/>
      <c r="AD247" s="123"/>
      <c r="AE247" s="123"/>
      <c r="AF247" s="123"/>
    </row>
    <row r="248" spans="1:32" ht="15">
      <c r="A248" s="123"/>
      <c r="B248" s="156">
        <v>228</v>
      </c>
      <c r="C248" s="157" t="s">
        <v>1070</v>
      </c>
      <c r="D248" s="157" t="s">
        <v>893</v>
      </c>
      <c r="E248" s="157">
        <v>63</v>
      </c>
      <c r="F248" s="157" t="s">
        <v>187</v>
      </c>
      <c r="G248" s="158" t="s">
        <v>188</v>
      </c>
      <c r="H248" s="157">
        <v>47</v>
      </c>
      <c r="I248" s="157">
        <v>4</v>
      </c>
      <c r="J248" s="160" t="s">
        <v>1093</v>
      </c>
      <c r="K248" s="160">
        <v>42</v>
      </c>
      <c r="L248" s="160" t="s">
        <v>186</v>
      </c>
      <c r="M248" s="160">
        <v>18</v>
      </c>
      <c r="N248" s="247" t="s">
        <v>894</v>
      </c>
      <c r="O248" s="248">
        <v>5</v>
      </c>
      <c r="P248" s="123"/>
      <c r="Q248" s="144"/>
      <c r="R248" s="144"/>
      <c r="S248" s="144"/>
      <c r="T248" s="144"/>
      <c r="U248" s="144"/>
      <c r="V248" s="144"/>
      <c r="W248" s="144"/>
      <c r="X248" s="144"/>
      <c r="Y248" s="123"/>
      <c r="Z248" s="123"/>
      <c r="AA248" s="123"/>
      <c r="AB248" s="123"/>
      <c r="AC248" s="123"/>
      <c r="AD248" s="123"/>
      <c r="AE248" s="123"/>
      <c r="AF248" s="123"/>
    </row>
    <row r="249" spans="1:32" ht="15">
      <c r="A249" s="123"/>
      <c r="B249" s="156">
        <v>229</v>
      </c>
      <c r="C249" s="157" t="s">
        <v>445</v>
      </c>
      <c r="D249" s="157" t="s">
        <v>893</v>
      </c>
      <c r="E249" s="157">
        <v>64</v>
      </c>
      <c r="F249" s="157" t="s">
        <v>189</v>
      </c>
      <c r="G249" s="158" t="s">
        <v>190</v>
      </c>
      <c r="H249" s="157">
        <v>1</v>
      </c>
      <c r="I249" s="157">
        <v>0</v>
      </c>
      <c r="J249" s="160" t="s">
        <v>625</v>
      </c>
      <c r="K249" s="160">
        <v>38</v>
      </c>
      <c r="L249" s="160" t="s">
        <v>186</v>
      </c>
      <c r="M249" s="160">
        <v>17</v>
      </c>
      <c r="N249" s="247" t="s">
        <v>894</v>
      </c>
      <c r="O249" s="248">
        <v>6</v>
      </c>
      <c r="P249" s="123"/>
      <c r="Q249" s="144"/>
      <c r="R249" s="144"/>
      <c r="S249" s="144"/>
      <c r="T249" s="144"/>
      <c r="U249" s="144"/>
      <c r="V249" s="144"/>
      <c r="W249" s="144"/>
      <c r="X249" s="144"/>
      <c r="Y249" s="123"/>
      <c r="Z249" s="123"/>
      <c r="AA249" s="123"/>
      <c r="AB249" s="123"/>
      <c r="AC249" s="123"/>
      <c r="AD249" s="123"/>
      <c r="AE249" s="123"/>
      <c r="AF249" s="123"/>
    </row>
    <row r="250" spans="1:32" ht="15">
      <c r="A250" s="123"/>
      <c r="B250" s="156">
        <v>230</v>
      </c>
      <c r="C250" s="157" t="s">
        <v>446</v>
      </c>
      <c r="D250" s="157" t="s">
        <v>893</v>
      </c>
      <c r="E250" s="157">
        <v>65</v>
      </c>
      <c r="F250" s="157" t="s">
        <v>189</v>
      </c>
      <c r="G250" s="158" t="s">
        <v>190</v>
      </c>
      <c r="H250" s="157">
        <v>2</v>
      </c>
      <c r="I250" s="157">
        <v>0</v>
      </c>
      <c r="J250" s="160" t="s">
        <v>625</v>
      </c>
      <c r="K250" s="160">
        <v>38</v>
      </c>
      <c r="L250" s="160" t="s">
        <v>186</v>
      </c>
      <c r="M250" s="160">
        <v>17</v>
      </c>
      <c r="N250" s="247" t="s">
        <v>894</v>
      </c>
      <c r="O250" s="248">
        <v>6</v>
      </c>
      <c r="P250" s="123"/>
      <c r="Q250" s="144"/>
      <c r="R250" s="144"/>
      <c r="S250" s="144"/>
      <c r="T250" s="144"/>
      <c r="U250" s="144"/>
      <c r="V250" s="144"/>
      <c r="W250" s="144"/>
      <c r="X250" s="144"/>
      <c r="Y250" s="123"/>
      <c r="Z250" s="123"/>
      <c r="AA250" s="123"/>
      <c r="AB250" s="123"/>
      <c r="AC250" s="123"/>
      <c r="AD250" s="123"/>
      <c r="AE250" s="123"/>
      <c r="AF250" s="123"/>
    </row>
    <row r="251" spans="1:32" ht="15">
      <c r="A251" s="123"/>
      <c r="B251" s="156">
        <v>231</v>
      </c>
      <c r="C251" s="157" t="s">
        <v>447</v>
      </c>
      <c r="D251" s="157" t="s">
        <v>893</v>
      </c>
      <c r="E251" s="157">
        <v>66</v>
      </c>
      <c r="F251" s="157" t="s">
        <v>189</v>
      </c>
      <c r="G251" s="158" t="s">
        <v>190</v>
      </c>
      <c r="H251" s="157">
        <v>3</v>
      </c>
      <c r="I251" s="157">
        <v>0</v>
      </c>
      <c r="J251" s="160" t="s">
        <v>625</v>
      </c>
      <c r="K251" s="160">
        <v>38</v>
      </c>
      <c r="L251" s="160" t="s">
        <v>186</v>
      </c>
      <c r="M251" s="160">
        <v>17</v>
      </c>
      <c r="N251" s="247" t="s">
        <v>894</v>
      </c>
      <c r="O251" s="248">
        <v>6</v>
      </c>
      <c r="P251" s="123"/>
      <c r="Q251" s="144"/>
      <c r="R251" s="144"/>
      <c r="S251" s="144"/>
      <c r="T251" s="144"/>
      <c r="U251" s="144"/>
      <c r="V251" s="144"/>
      <c r="W251" s="144"/>
      <c r="X251" s="144"/>
      <c r="Y251" s="123"/>
      <c r="Z251" s="123"/>
      <c r="AA251" s="123"/>
      <c r="AB251" s="123"/>
      <c r="AC251" s="123"/>
      <c r="AD251" s="123"/>
      <c r="AE251" s="123"/>
      <c r="AF251" s="123"/>
    </row>
    <row r="252" spans="1:32" ht="15">
      <c r="A252" s="123"/>
      <c r="B252" s="156">
        <v>232</v>
      </c>
      <c r="C252" s="157" t="s">
        <v>448</v>
      </c>
      <c r="D252" s="157" t="s">
        <v>893</v>
      </c>
      <c r="E252" s="157">
        <v>67</v>
      </c>
      <c r="F252" s="157" t="s">
        <v>189</v>
      </c>
      <c r="G252" s="158" t="s">
        <v>190</v>
      </c>
      <c r="H252" s="157">
        <v>4</v>
      </c>
      <c r="I252" s="157">
        <v>0</v>
      </c>
      <c r="J252" s="160" t="s">
        <v>625</v>
      </c>
      <c r="K252" s="160">
        <v>38</v>
      </c>
      <c r="L252" s="160" t="s">
        <v>186</v>
      </c>
      <c r="M252" s="160">
        <v>17</v>
      </c>
      <c r="N252" s="247" t="s">
        <v>894</v>
      </c>
      <c r="O252" s="248">
        <v>6</v>
      </c>
      <c r="P252" s="123"/>
      <c r="Q252" s="144"/>
      <c r="R252" s="144"/>
      <c r="S252" s="144"/>
      <c r="T252" s="144"/>
      <c r="U252" s="144"/>
      <c r="V252" s="144"/>
      <c r="W252" s="144"/>
      <c r="X252" s="144"/>
      <c r="Y252" s="123"/>
      <c r="Z252" s="123"/>
      <c r="AA252" s="123"/>
      <c r="AB252" s="123"/>
      <c r="AC252" s="123"/>
      <c r="AD252" s="123"/>
      <c r="AE252" s="123"/>
      <c r="AF252" s="123"/>
    </row>
    <row r="253" spans="1:32" ht="15">
      <c r="A253" s="123"/>
      <c r="B253" s="156">
        <v>233</v>
      </c>
      <c r="C253" s="157" t="s">
        <v>449</v>
      </c>
      <c r="D253" s="157" t="s">
        <v>893</v>
      </c>
      <c r="E253" s="157">
        <v>68</v>
      </c>
      <c r="F253" s="157" t="s">
        <v>189</v>
      </c>
      <c r="G253" s="158" t="s">
        <v>190</v>
      </c>
      <c r="H253" s="157">
        <v>5</v>
      </c>
      <c r="I253" s="157">
        <v>0</v>
      </c>
      <c r="J253" s="160" t="s">
        <v>625</v>
      </c>
      <c r="K253" s="160">
        <v>38</v>
      </c>
      <c r="L253" s="160" t="s">
        <v>186</v>
      </c>
      <c r="M253" s="160">
        <v>17</v>
      </c>
      <c r="N253" s="247" t="s">
        <v>894</v>
      </c>
      <c r="O253" s="248">
        <v>6</v>
      </c>
      <c r="P253" s="123"/>
      <c r="Q253" s="144"/>
      <c r="R253" s="144"/>
      <c r="S253" s="144"/>
      <c r="T253" s="144"/>
      <c r="U253" s="144"/>
      <c r="V253" s="144"/>
      <c r="W253" s="144"/>
      <c r="X253" s="144"/>
      <c r="Y253" s="123"/>
      <c r="Z253" s="123"/>
      <c r="AA253" s="123"/>
      <c r="AB253" s="123"/>
      <c r="AC253" s="123"/>
      <c r="AD253" s="123"/>
      <c r="AE253" s="123"/>
      <c r="AF253" s="123"/>
    </row>
    <row r="254" spans="1:32" ht="15">
      <c r="A254" s="123"/>
      <c r="B254" s="156">
        <v>234</v>
      </c>
      <c r="C254" s="157" t="s">
        <v>450</v>
      </c>
      <c r="D254" s="157" t="s">
        <v>893</v>
      </c>
      <c r="E254" s="157">
        <v>69</v>
      </c>
      <c r="F254" s="157" t="s">
        <v>189</v>
      </c>
      <c r="G254" s="158" t="s">
        <v>190</v>
      </c>
      <c r="H254" s="157">
        <v>6</v>
      </c>
      <c r="I254" s="157">
        <v>0</v>
      </c>
      <c r="J254" s="160" t="s">
        <v>625</v>
      </c>
      <c r="K254" s="160">
        <v>38</v>
      </c>
      <c r="L254" s="160" t="s">
        <v>186</v>
      </c>
      <c r="M254" s="160">
        <v>17</v>
      </c>
      <c r="N254" s="247" t="s">
        <v>894</v>
      </c>
      <c r="O254" s="248">
        <v>6</v>
      </c>
      <c r="P254" s="123"/>
      <c r="Q254" s="144"/>
      <c r="R254" s="144"/>
      <c r="S254" s="144"/>
      <c r="T254" s="144"/>
      <c r="U254" s="144"/>
      <c r="V254" s="144"/>
      <c r="W254" s="144"/>
      <c r="X254" s="144"/>
      <c r="Y254" s="123"/>
      <c r="Z254" s="123"/>
      <c r="AA254" s="123"/>
      <c r="AB254" s="123"/>
      <c r="AC254" s="123"/>
      <c r="AD254" s="123"/>
      <c r="AE254" s="123"/>
      <c r="AF254" s="123"/>
    </row>
    <row r="255" spans="1:32" ht="15">
      <c r="A255" s="123"/>
      <c r="B255" s="156">
        <v>235</v>
      </c>
      <c r="C255" s="157" t="s">
        <v>451</v>
      </c>
      <c r="D255" s="157" t="s">
        <v>893</v>
      </c>
      <c r="E255" s="157">
        <v>70</v>
      </c>
      <c r="F255" s="157" t="s">
        <v>189</v>
      </c>
      <c r="G255" s="158" t="s">
        <v>190</v>
      </c>
      <c r="H255" s="157">
        <v>7</v>
      </c>
      <c r="I255" s="157">
        <v>0</v>
      </c>
      <c r="J255" s="160" t="s">
        <v>625</v>
      </c>
      <c r="K255" s="160">
        <v>38</v>
      </c>
      <c r="L255" s="160" t="s">
        <v>186</v>
      </c>
      <c r="M255" s="160">
        <v>17</v>
      </c>
      <c r="N255" s="247" t="s">
        <v>894</v>
      </c>
      <c r="O255" s="248">
        <v>6</v>
      </c>
      <c r="P255" s="123"/>
      <c r="Q255" s="144"/>
      <c r="R255" s="144"/>
      <c r="S255" s="144"/>
      <c r="T255" s="144"/>
      <c r="U255" s="144"/>
      <c r="V255" s="144"/>
      <c r="W255" s="144"/>
      <c r="X255" s="144"/>
      <c r="Y255" s="123"/>
      <c r="Z255" s="123"/>
      <c r="AA255" s="123"/>
      <c r="AB255" s="123"/>
      <c r="AC255" s="123"/>
      <c r="AD255" s="123"/>
      <c r="AE255" s="123"/>
      <c r="AF255" s="123"/>
    </row>
    <row r="256" spans="1:32" ht="15">
      <c r="A256" s="123"/>
      <c r="B256" s="156">
        <v>236</v>
      </c>
      <c r="C256" s="157" t="s">
        <v>452</v>
      </c>
      <c r="D256" s="157" t="s">
        <v>893</v>
      </c>
      <c r="E256" s="157">
        <v>71</v>
      </c>
      <c r="F256" s="157" t="s">
        <v>189</v>
      </c>
      <c r="G256" s="158" t="s">
        <v>190</v>
      </c>
      <c r="H256" s="157">
        <v>8</v>
      </c>
      <c r="I256" s="157">
        <v>0</v>
      </c>
      <c r="J256" s="160" t="s">
        <v>625</v>
      </c>
      <c r="K256" s="160">
        <v>38</v>
      </c>
      <c r="L256" s="160" t="s">
        <v>186</v>
      </c>
      <c r="M256" s="160">
        <v>17</v>
      </c>
      <c r="N256" s="247" t="s">
        <v>894</v>
      </c>
      <c r="O256" s="248">
        <v>6</v>
      </c>
      <c r="P256" s="123"/>
      <c r="Q256" s="144"/>
      <c r="R256" s="144"/>
      <c r="S256" s="144"/>
      <c r="T256" s="144"/>
      <c r="U256" s="144"/>
      <c r="V256" s="144"/>
      <c r="W256" s="144"/>
      <c r="X256" s="144"/>
      <c r="Y256" s="123"/>
      <c r="Z256" s="123"/>
      <c r="AA256" s="123"/>
      <c r="AB256" s="123"/>
      <c r="AC256" s="123"/>
      <c r="AD256" s="123"/>
      <c r="AE256" s="123"/>
      <c r="AF256" s="123"/>
    </row>
    <row r="257" spans="1:32" ht="15">
      <c r="A257" s="123"/>
      <c r="B257" s="156">
        <v>237</v>
      </c>
      <c r="C257" s="157" t="s">
        <v>453</v>
      </c>
      <c r="D257" s="157" t="s">
        <v>893</v>
      </c>
      <c r="E257" s="157">
        <v>72</v>
      </c>
      <c r="F257" s="157" t="s">
        <v>189</v>
      </c>
      <c r="G257" s="158" t="s">
        <v>190</v>
      </c>
      <c r="H257" s="157">
        <v>9</v>
      </c>
      <c r="I257" s="157">
        <v>0</v>
      </c>
      <c r="J257" s="160" t="s">
        <v>625</v>
      </c>
      <c r="K257" s="160">
        <v>38</v>
      </c>
      <c r="L257" s="160" t="s">
        <v>186</v>
      </c>
      <c r="M257" s="160">
        <v>17</v>
      </c>
      <c r="N257" s="247" t="s">
        <v>894</v>
      </c>
      <c r="O257" s="248">
        <v>6</v>
      </c>
      <c r="P257" s="123"/>
      <c r="Q257" s="144"/>
      <c r="R257" s="144"/>
      <c r="S257" s="144"/>
      <c r="T257" s="144"/>
      <c r="U257" s="144"/>
      <c r="V257" s="144"/>
      <c r="W257" s="144"/>
      <c r="X257" s="144"/>
      <c r="Y257" s="123"/>
      <c r="Z257" s="123"/>
      <c r="AA257" s="123"/>
      <c r="AB257" s="123"/>
      <c r="AC257" s="123"/>
      <c r="AD257" s="123"/>
      <c r="AE257" s="123"/>
      <c r="AF257" s="123"/>
    </row>
    <row r="258" spans="1:32" ht="15">
      <c r="A258" s="123"/>
      <c r="B258" s="156">
        <v>238</v>
      </c>
      <c r="C258" s="157" t="s">
        <v>454</v>
      </c>
      <c r="D258" s="157" t="s">
        <v>893</v>
      </c>
      <c r="E258" s="157">
        <v>73</v>
      </c>
      <c r="F258" s="157" t="s">
        <v>189</v>
      </c>
      <c r="G258" s="158" t="s">
        <v>190</v>
      </c>
      <c r="H258" s="157">
        <v>10</v>
      </c>
      <c r="I258" s="157">
        <v>0</v>
      </c>
      <c r="J258" s="160" t="s">
        <v>625</v>
      </c>
      <c r="K258" s="160">
        <v>38</v>
      </c>
      <c r="L258" s="160" t="s">
        <v>186</v>
      </c>
      <c r="M258" s="160">
        <v>17</v>
      </c>
      <c r="N258" s="247" t="s">
        <v>894</v>
      </c>
      <c r="O258" s="248">
        <v>6</v>
      </c>
      <c r="P258" s="123"/>
      <c r="Q258" s="144"/>
      <c r="R258" s="144"/>
      <c r="S258" s="144"/>
      <c r="T258" s="144"/>
      <c r="U258" s="144"/>
      <c r="V258" s="144"/>
      <c r="W258" s="144"/>
      <c r="X258" s="144"/>
      <c r="Y258" s="123"/>
      <c r="Z258" s="123"/>
      <c r="AA258" s="123"/>
      <c r="AB258" s="123"/>
      <c r="AC258" s="123"/>
      <c r="AD258" s="123"/>
      <c r="AE258" s="123"/>
      <c r="AF258" s="123"/>
    </row>
    <row r="259" spans="1:32" ht="15">
      <c r="A259" s="123"/>
      <c r="B259" s="156">
        <v>239</v>
      </c>
      <c r="C259" s="157" t="s">
        <v>455</v>
      </c>
      <c r="D259" s="157" t="s">
        <v>893</v>
      </c>
      <c r="E259" s="157">
        <v>74</v>
      </c>
      <c r="F259" s="157" t="s">
        <v>189</v>
      </c>
      <c r="G259" s="158" t="s">
        <v>190</v>
      </c>
      <c r="H259" s="157">
        <v>11</v>
      </c>
      <c r="I259" s="157">
        <v>0</v>
      </c>
      <c r="J259" s="160" t="s">
        <v>625</v>
      </c>
      <c r="K259" s="160">
        <v>38</v>
      </c>
      <c r="L259" s="160" t="s">
        <v>186</v>
      </c>
      <c r="M259" s="160">
        <v>17</v>
      </c>
      <c r="N259" s="247" t="s">
        <v>894</v>
      </c>
      <c r="O259" s="248">
        <v>6</v>
      </c>
      <c r="P259" s="123"/>
      <c r="Q259" s="144"/>
      <c r="R259" s="144"/>
      <c r="S259" s="144"/>
      <c r="T259" s="144"/>
      <c r="U259" s="144"/>
      <c r="V259" s="144"/>
      <c r="W259" s="144"/>
      <c r="X259" s="144"/>
      <c r="Y259" s="123"/>
      <c r="Z259" s="123"/>
      <c r="AA259" s="123"/>
      <c r="AB259" s="123"/>
      <c r="AC259" s="123"/>
      <c r="AD259" s="123"/>
      <c r="AE259" s="123"/>
      <c r="AF259" s="123"/>
    </row>
    <row r="260" spans="1:32" ht="15">
      <c r="A260" s="123"/>
      <c r="B260" s="156">
        <v>240</v>
      </c>
      <c r="C260" s="157" t="s">
        <v>456</v>
      </c>
      <c r="D260" s="157" t="s">
        <v>893</v>
      </c>
      <c r="E260" s="157">
        <v>75</v>
      </c>
      <c r="F260" s="157" t="s">
        <v>189</v>
      </c>
      <c r="G260" s="158" t="s">
        <v>190</v>
      </c>
      <c r="H260" s="157">
        <v>12</v>
      </c>
      <c r="I260" s="157">
        <v>0</v>
      </c>
      <c r="J260" s="160" t="s">
        <v>625</v>
      </c>
      <c r="K260" s="160">
        <v>38</v>
      </c>
      <c r="L260" s="160" t="s">
        <v>186</v>
      </c>
      <c r="M260" s="160">
        <v>17</v>
      </c>
      <c r="N260" s="247" t="s">
        <v>894</v>
      </c>
      <c r="O260" s="248">
        <v>6</v>
      </c>
      <c r="P260" s="123"/>
      <c r="Q260" s="144"/>
      <c r="R260" s="144"/>
      <c r="S260" s="144"/>
      <c r="T260" s="144"/>
      <c r="U260" s="144"/>
      <c r="V260" s="144"/>
      <c r="W260" s="144"/>
      <c r="X260" s="144"/>
      <c r="Y260" s="123"/>
      <c r="Z260" s="123"/>
      <c r="AA260" s="123"/>
      <c r="AB260" s="123"/>
      <c r="AC260" s="123"/>
      <c r="AD260" s="123"/>
      <c r="AE260" s="123"/>
      <c r="AF260" s="123"/>
    </row>
    <row r="261" spans="1:32" ht="15">
      <c r="A261" s="123"/>
      <c r="B261" s="156">
        <v>241</v>
      </c>
      <c r="C261" s="157" t="s">
        <v>457</v>
      </c>
      <c r="D261" s="157" t="s">
        <v>893</v>
      </c>
      <c r="E261" s="157">
        <v>76</v>
      </c>
      <c r="F261" s="157" t="s">
        <v>189</v>
      </c>
      <c r="G261" s="158" t="s">
        <v>190</v>
      </c>
      <c r="H261" s="157">
        <v>13</v>
      </c>
      <c r="I261" s="157">
        <v>0</v>
      </c>
      <c r="J261" s="160" t="s">
        <v>625</v>
      </c>
      <c r="K261" s="160">
        <v>38</v>
      </c>
      <c r="L261" s="160" t="s">
        <v>186</v>
      </c>
      <c r="M261" s="160">
        <v>17</v>
      </c>
      <c r="N261" s="247" t="s">
        <v>894</v>
      </c>
      <c r="O261" s="248">
        <v>6</v>
      </c>
      <c r="P261" s="123"/>
      <c r="Q261" s="144"/>
      <c r="R261" s="144"/>
      <c r="S261" s="144"/>
      <c r="T261" s="144"/>
      <c r="U261" s="144"/>
      <c r="V261" s="144"/>
      <c r="W261" s="144"/>
      <c r="X261" s="144"/>
      <c r="Y261" s="123"/>
      <c r="Z261" s="123"/>
      <c r="AA261" s="123"/>
      <c r="AB261" s="123"/>
      <c r="AC261" s="123"/>
      <c r="AD261" s="123"/>
      <c r="AE261" s="123"/>
      <c r="AF261" s="123"/>
    </row>
    <row r="262" spans="1:32" ht="15">
      <c r="A262" s="123"/>
      <c r="B262" s="156">
        <v>242</v>
      </c>
      <c r="C262" s="157" t="s">
        <v>444</v>
      </c>
      <c r="D262" s="157" t="s">
        <v>893</v>
      </c>
      <c r="E262" s="157">
        <v>77</v>
      </c>
      <c r="F262" s="157" t="s">
        <v>189</v>
      </c>
      <c r="G262" s="158" t="s">
        <v>190</v>
      </c>
      <c r="H262" s="157">
        <v>14</v>
      </c>
      <c r="I262" s="157">
        <v>0</v>
      </c>
      <c r="J262" s="160" t="s">
        <v>982</v>
      </c>
      <c r="K262" s="160">
        <v>41</v>
      </c>
      <c r="L262" s="160" t="s">
        <v>186</v>
      </c>
      <c r="M262" s="160">
        <v>18</v>
      </c>
      <c r="N262" s="247" t="s">
        <v>894</v>
      </c>
      <c r="O262" s="248">
        <v>6</v>
      </c>
      <c r="P262" s="123"/>
      <c r="Q262" s="144"/>
      <c r="R262" s="144"/>
      <c r="S262" s="144"/>
      <c r="T262" s="144"/>
      <c r="U262" s="144"/>
      <c r="V262" s="144"/>
      <c r="W262" s="144"/>
      <c r="X262" s="144"/>
      <c r="Y262" s="123"/>
      <c r="Z262" s="123"/>
      <c r="AA262" s="123"/>
      <c r="AB262" s="123"/>
      <c r="AC262" s="123"/>
      <c r="AD262" s="123"/>
      <c r="AE262" s="123"/>
      <c r="AF262" s="123"/>
    </row>
    <row r="263" spans="1:32" ht="15">
      <c r="A263" s="123"/>
      <c r="B263" s="156"/>
      <c r="C263" s="157"/>
      <c r="D263" s="157"/>
      <c r="E263" s="157"/>
      <c r="F263" s="157"/>
      <c r="G263" s="158"/>
      <c r="H263" s="157"/>
      <c r="I263" s="157"/>
      <c r="J263" s="160"/>
      <c r="K263" s="160"/>
      <c r="L263" s="160"/>
      <c r="M263" s="160"/>
      <c r="N263" s="247"/>
      <c r="O263" s="248"/>
      <c r="P263" s="123"/>
      <c r="Q263" s="144"/>
      <c r="R263" s="144"/>
      <c r="S263" s="144"/>
      <c r="T263" s="144"/>
      <c r="U263" s="144"/>
      <c r="V263" s="144"/>
      <c r="W263" s="144"/>
      <c r="X263" s="144"/>
      <c r="Y263" s="123"/>
      <c r="Z263" s="123"/>
      <c r="AA263" s="123"/>
      <c r="AB263" s="123"/>
      <c r="AC263" s="123"/>
      <c r="AD263" s="123"/>
      <c r="AE263" s="123"/>
      <c r="AF263" s="123"/>
    </row>
    <row r="264" spans="1:32" ht="15">
      <c r="A264" s="123"/>
      <c r="B264" s="156"/>
      <c r="C264" s="157"/>
      <c r="D264" s="157"/>
      <c r="E264" s="157"/>
      <c r="F264" s="157"/>
      <c r="G264" s="158"/>
      <c r="H264" s="157"/>
      <c r="I264" s="157"/>
      <c r="J264" s="160"/>
      <c r="K264" s="160"/>
      <c r="L264" s="160"/>
      <c r="M264" s="160"/>
      <c r="N264" s="247"/>
      <c r="O264" s="248"/>
      <c r="P264" s="123"/>
      <c r="Q264" s="144"/>
      <c r="R264" s="144"/>
      <c r="S264" s="144"/>
      <c r="T264" s="144"/>
      <c r="U264" s="144"/>
      <c r="V264" s="144"/>
      <c r="W264" s="144"/>
      <c r="X264" s="144"/>
      <c r="Y264" s="123"/>
      <c r="Z264" s="123"/>
      <c r="AA264" s="123"/>
      <c r="AB264" s="123"/>
      <c r="AC264" s="123"/>
      <c r="AD264" s="123"/>
      <c r="AE264" s="123"/>
      <c r="AF264" s="123"/>
    </row>
    <row r="265" spans="1:32" ht="15">
      <c r="A265" s="123"/>
      <c r="B265" s="156"/>
      <c r="C265" s="157"/>
      <c r="D265" s="157"/>
      <c r="E265" s="157"/>
      <c r="F265" s="157"/>
      <c r="G265" s="158"/>
      <c r="H265" s="157"/>
      <c r="I265" s="157"/>
      <c r="J265" s="160"/>
      <c r="K265" s="160"/>
      <c r="L265" s="160"/>
      <c r="M265" s="160"/>
      <c r="N265" s="247"/>
      <c r="O265" s="248"/>
      <c r="P265" s="123"/>
      <c r="Q265" s="144"/>
      <c r="R265" s="144"/>
      <c r="S265" s="144"/>
      <c r="T265" s="144"/>
      <c r="U265" s="144"/>
      <c r="V265" s="144"/>
      <c r="W265" s="144"/>
      <c r="X265" s="144"/>
      <c r="Y265" s="123"/>
      <c r="Z265" s="123"/>
      <c r="AA265" s="123"/>
      <c r="AB265" s="123"/>
      <c r="AC265" s="123"/>
      <c r="AD265" s="123"/>
      <c r="AE265" s="123"/>
      <c r="AF265" s="123"/>
    </row>
    <row r="266" spans="1:32" ht="15">
      <c r="A266" s="123"/>
      <c r="B266" s="156"/>
      <c r="C266" s="157"/>
      <c r="D266" s="157"/>
      <c r="E266" s="157"/>
      <c r="F266" s="157"/>
      <c r="G266" s="158"/>
      <c r="H266" s="157"/>
      <c r="I266" s="157"/>
      <c r="J266" s="160"/>
      <c r="K266" s="160"/>
      <c r="L266" s="160"/>
      <c r="M266" s="160"/>
      <c r="N266" s="247"/>
      <c r="O266" s="248"/>
      <c r="P266" s="123"/>
      <c r="Q266" s="144"/>
      <c r="R266" s="144"/>
      <c r="S266" s="144"/>
      <c r="T266" s="144"/>
      <c r="U266" s="144"/>
      <c r="V266" s="144"/>
      <c r="W266" s="144"/>
      <c r="X266" s="144"/>
      <c r="Y266" s="123"/>
      <c r="Z266" s="123"/>
      <c r="AA266" s="123"/>
      <c r="AB266" s="123"/>
      <c r="AC266" s="123"/>
      <c r="AD266" s="123"/>
      <c r="AE266" s="123"/>
      <c r="AF266" s="123"/>
    </row>
    <row r="267" spans="1:32" ht="15">
      <c r="A267" s="123"/>
      <c r="B267" s="156"/>
      <c r="C267" s="157"/>
      <c r="D267" s="157"/>
      <c r="E267" s="157"/>
      <c r="F267" s="157"/>
      <c r="G267" s="158"/>
      <c r="H267" s="157"/>
      <c r="I267" s="157"/>
      <c r="J267" s="160"/>
      <c r="K267" s="160"/>
      <c r="L267" s="160"/>
      <c r="M267" s="160"/>
      <c r="N267" s="247"/>
      <c r="O267" s="248"/>
      <c r="P267" s="123"/>
      <c r="Q267" s="144"/>
      <c r="R267" s="144"/>
      <c r="S267" s="144"/>
      <c r="T267" s="144"/>
      <c r="U267" s="144"/>
      <c r="V267" s="144"/>
      <c r="W267" s="144"/>
      <c r="X267" s="144"/>
      <c r="Y267" s="123"/>
      <c r="Z267" s="123"/>
      <c r="AA267" s="123"/>
      <c r="AB267" s="123"/>
      <c r="AC267" s="123"/>
      <c r="AD267" s="123"/>
      <c r="AE267" s="123"/>
      <c r="AF267" s="123"/>
    </row>
    <row r="268" spans="1:32" ht="15">
      <c r="A268" s="123"/>
      <c r="B268" s="156"/>
      <c r="C268" s="157"/>
      <c r="D268" s="157"/>
      <c r="E268" s="157"/>
      <c r="F268" s="157"/>
      <c r="G268" s="158"/>
      <c r="H268" s="157"/>
      <c r="I268" s="157"/>
      <c r="J268" s="160"/>
      <c r="K268" s="160"/>
      <c r="L268" s="160"/>
      <c r="M268" s="160"/>
      <c r="N268" s="247"/>
      <c r="O268" s="248"/>
      <c r="P268" s="123"/>
      <c r="Q268" s="144"/>
      <c r="R268" s="144"/>
      <c r="S268" s="144"/>
      <c r="T268" s="144"/>
      <c r="U268" s="144"/>
      <c r="V268" s="144"/>
      <c r="W268" s="144"/>
      <c r="X268" s="144"/>
      <c r="Y268" s="123"/>
      <c r="Z268" s="123"/>
      <c r="AA268" s="123"/>
      <c r="AB268" s="123"/>
      <c r="AC268" s="123"/>
      <c r="AD268" s="123"/>
      <c r="AE268" s="123"/>
      <c r="AF268" s="123"/>
    </row>
    <row r="269" spans="1:32" ht="15">
      <c r="A269" s="123"/>
      <c r="B269" s="156"/>
      <c r="C269" s="157"/>
      <c r="D269" s="157"/>
      <c r="E269" s="157"/>
      <c r="F269" s="157"/>
      <c r="G269" s="158"/>
      <c r="H269" s="157"/>
      <c r="I269" s="157"/>
      <c r="J269" s="160"/>
      <c r="K269" s="160"/>
      <c r="L269" s="160"/>
      <c r="M269" s="160"/>
      <c r="N269" s="247"/>
      <c r="O269" s="248"/>
      <c r="P269" s="123"/>
      <c r="Q269" s="144"/>
      <c r="R269" s="144"/>
      <c r="S269" s="144"/>
      <c r="T269" s="144"/>
      <c r="U269" s="144"/>
      <c r="V269" s="144"/>
      <c r="W269" s="144"/>
      <c r="X269" s="144"/>
      <c r="Y269" s="123"/>
      <c r="Z269" s="123"/>
      <c r="AA269" s="123"/>
      <c r="AB269" s="123"/>
      <c r="AC269" s="123"/>
      <c r="AD269" s="123"/>
      <c r="AE269" s="123"/>
      <c r="AF269" s="123"/>
    </row>
    <row r="270" spans="1:32" ht="15">
      <c r="A270" s="123"/>
      <c r="B270" s="156"/>
      <c r="C270" s="157"/>
      <c r="D270" s="157"/>
      <c r="E270" s="157"/>
      <c r="F270" s="157"/>
      <c r="G270" s="158"/>
      <c r="H270" s="157"/>
      <c r="I270" s="157"/>
      <c r="J270" s="160"/>
      <c r="K270" s="160"/>
      <c r="L270" s="160"/>
      <c r="M270" s="160"/>
      <c r="N270" s="247"/>
      <c r="O270" s="248"/>
      <c r="P270" s="123"/>
      <c r="Q270" s="144"/>
      <c r="R270" s="144"/>
      <c r="S270" s="144"/>
      <c r="T270" s="144"/>
      <c r="U270" s="144"/>
      <c r="V270" s="144"/>
      <c r="W270" s="144"/>
      <c r="X270" s="144"/>
      <c r="Y270" s="123"/>
      <c r="Z270" s="123"/>
      <c r="AA270" s="123"/>
      <c r="AB270" s="123"/>
      <c r="AC270" s="123"/>
      <c r="AD270" s="123"/>
      <c r="AE270" s="123"/>
      <c r="AF270" s="123"/>
    </row>
    <row r="271" spans="1:32" ht="15">
      <c r="A271" s="123"/>
      <c r="B271" s="156"/>
      <c r="C271" s="157"/>
      <c r="D271" s="157"/>
      <c r="E271" s="157"/>
      <c r="F271" s="157"/>
      <c r="G271" s="158"/>
      <c r="H271" s="157"/>
      <c r="I271" s="157"/>
      <c r="J271" s="160"/>
      <c r="K271" s="160"/>
      <c r="L271" s="160"/>
      <c r="M271" s="160"/>
      <c r="N271" s="247"/>
      <c r="O271" s="248"/>
      <c r="P271" s="123"/>
      <c r="Q271" s="144"/>
      <c r="R271" s="144"/>
      <c r="S271" s="144"/>
      <c r="T271" s="144"/>
      <c r="U271" s="144"/>
      <c r="V271" s="144"/>
      <c r="W271" s="144"/>
      <c r="X271" s="144"/>
      <c r="Y271" s="123"/>
      <c r="Z271" s="123"/>
      <c r="AA271" s="123"/>
      <c r="AB271" s="123"/>
      <c r="AC271" s="123"/>
      <c r="AD271" s="123"/>
      <c r="AE271" s="123"/>
      <c r="AF271" s="123"/>
    </row>
    <row r="272" spans="1:32" ht="15">
      <c r="A272" s="123"/>
      <c r="B272" s="156"/>
      <c r="C272" s="157"/>
      <c r="D272" s="157"/>
      <c r="E272" s="157"/>
      <c r="F272" s="157"/>
      <c r="G272" s="158"/>
      <c r="H272" s="157"/>
      <c r="I272" s="157"/>
      <c r="J272" s="160"/>
      <c r="K272" s="160"/>
      <c r="L272" s="160"/>
      <c r="M272" s="160"/>
      <c r="N272" s="247"/>
      <c r="O272" s="248"/>
      <c r="P272" s="123"/>
      <c r="Q272" s="144"/>
      <c r="R272" s="144"/>
      <c r="S272" s="144"/>
      <c r="T272" s="144"/>
      <c r="U272" s="144"/>
      <c r="V272" s="144"/>
      <c r="W272" s="144"/>
      <c r="X272" s="144"/>
      <c r="Y272" s="123"/>
      <c r="Z272" s="123"/>
      <c r="AA272" s="123"/>
      <c r="AB272" s="123"/>
      <c r="AC272" s="123"/>
      <c r="AD272" s="123"/>
      <c r="AE272" s="123"/>
      <c r="AF272" s="123"/>
    </row>
    <row r="273" spans="1:32" ht="15">
      <c r="A273" s="123"/>
      <c r="B273" s="156"/>
      <c r="C273" s="157"/>
      <c r="D273" s="157"/>
      <c r="E273" s="157"/>
      <c r="F273" s="157"/>
      <c r="G273" s="158"/>
      <c r="H273" s="157"/>
      <c r="I273" s="157"/>
      <c r="J273" s="160"/>
      <c r="K273" s="160"/>
      <c r="L273" s="160"/>
      <c r="M273" s="160"/>
      <c r="N273" s="247"/>
      <c r="O273" s="248"/>
      <c r="P273" s="123"/>
      <c r="Q273" s="144"/>
      <c r="R273" s="144"/>
      <c r="S273" s="144"/>
      <c r="T273" s="144"/>
      <c r="U273" s="144"/>
      <c r="V273" s="144"/>
      <c r="W273" s="144"/>
      <c r="X273" s="144"/>
      <c r="Y273" s="123"/>
      <c r="Z273" s="123"/>
      <c r="AA273" s="123"/>
      <c r="AB273" s="123"/>
      <c r="AC273" s="123"/>
      <c r="AD273" s="123"/>
      <c r="AE273" s="123"/>
      <c r="AF273" s="123"/>
    </row>
    <row r="274" spans="1:32" ht="15">
      <c r="A274" s="123"/>
      <c r="B274" s="156"/>
      <c r="C274" s="157"/>
      <c r="D274" s="157"/>
      <c r="E274" s="157"/>
      <c r="F274" s="157"/>
      <c r="G274" s="158"/>
      <c r="H274" s="157"/>
      <c r="I274" s="157"/>
      <c r="J274" s="160"/>
      <c r="K274" s="160"/>
      <c r="L274" s="160"/>
      <c r="M274" s="160"/>
      <c r="N274" s="247"/>
      <c r="O274" s="248"/>
      <c r="P274" s="123"/>
      <c r="Q274" s="144"/>
      <c r="R274" s="144"/>
      <c r="S274" s="144"/>
      <c r="T274" s="144"/>
      <c r="U274" s="144"/>
      <c r="V274" s="144"/>
      <c r="W274" s="144"/>
      <c r="X274" s="144"/>
      <c r="Y274" s="123"/>
      <c r="Z274" s="123"/>
      <c r="AA274" s="123"/>
      <c r="AB274" s="123"/>
      <c r="AC274" s="123"/>
      <c r="AD274" s="123"/>
      <c r="AE274" s="123"/>
      <c r="AF274" s="123"/>
    </row>
    <row r="275" spans="1:32" ht="15">
      <c r="A275" s="123"/>
      <c r="B275" s="156"/>
      <c r="C275" s="157"/>
      <c r="D275" s="157"/>
      <c r="E275" s="157"/>
      <c r="F275" s="157"/>
      <c r="G275" s="158"/>
      <c r="H275" s="157"/>
      <c r="I275" s="157"/>
      <c r="J275" s="160"/>
      <c r="K275" s="160"/>
      <c r="L275" s="160"/>
      <c r="M275" s="160"/>
      <c r="N275" s="247"/>
      <c r="O275" s="248"/>
      <c r="P275" s="123"/>
      <c r="Q275" s="144"/>
      <c r="R275" s="144"/>
      <c r="S275" s="144"/>
      <c r="T275" s="144"/>
      <c r="U275" s="144"/>
      <c r="V275" s="144"/>
      <c r="W275" s="144"/>
      <c r="X275" s="144"/>
      <c r="Y275" s="123"/>
      <c r="Z275" s="123"/>
      <c r="AA275" s="123"/>
      <c r="AB275" s="123"/>
      <c r="AC275" s="123"/>
      <c r="AD275" s="123"/>
      <c r="AE275" s="123"/>
      <c r="AF275" s="123"/>
    </row>
    <row r="276" spans="1:32" ht="15">
      <c r="A276" s="123"/>
      <c r="B276" s="156"/>
      <c r="C276" s="157"/>
      <c r="D276" s="157"/>
      <c r="E276" s="157"/>
      <c r="F276" s="157"/>
      <c r="G276" s="158"/>
      <c r="H276" s="157"/>
      <c r="I276" s="157"/>
      <c r="J276" s="160"/>
      <c r="K276" s="160"/>
      <c r="L276" s="160"/>
      <c r="M276" s="160"/>
      <c r="N276" s="247"/>
      <c r="O276" s="248"/>
      <c r="P276" s="123"/>
      <c r="Q276" s="144"/>
      <c r="R276" s="144"/>
      <c r="S276" s="144"/>
      <c r="T276" s="144"/>
      <c r="U276" s="144"/>
      <c r="V276" s="144"/>
      <c r="W276" s="144"/>
      <c r="X276" s="144"/>
      <c r="Y276" s="123"/>
      <c r="Z276" s="123"/>
      <c r="AA276" s="123"/>
      <c r="AB276" s="123"/>
      <c r="AC276" s="123"/>
      <c r="AD276" s="123"/>
      <c r="AE276" s="123"/>
      <c r="AF276" s="123"/>
    </row>
    <row r="277" spans="1:32" ht="15">
      <c r="A277" s="123"/>
      <c r="B277" s="156"/>
      <c r="C277" s="157"/>
      <c r="D277" s="157"/>
      <c r="E277" s="157"/>
      <c r="F277" s="157"/>
      <c r="G277" s="158"/>
      <c r="H277" s="157"/>
      <c r="I277" s="157"/>
      <c r="J277" s="160"/>
      <c r="K277" s="160"/>
      <c r="L277" s="160"/>
      <c r="M277" s="160"/>
      <c r="N277" s="247"/>
      <c r="O277" s="248"/>
      <c r="P277" s="123"/>
      <c r="Q277" s="144"/>
      <c r="R277" s="144"/>
      <c r="S277" s="144"/>
      <c r="T277" s="144"/>
      <c r="U277" s="144"/>
      <c r="V277" s="144"/>
      <c r="W277" s="144"/>
      <c r="X277" s="144"/>
      <c r="Y277" s="123"/>
      <c r="Z277" s="123"/>
      <c r="AA277" s="123"/>
      <c r="AB277" s="123"/>
      <c r="AC277" s="123"/>
      <c r="AD277" s="123"/>
      <c r="AE277" s="123"/>
      <c r="AF277" s="123"/>
    </row>
    <row r="278" spans="1:32" ht="15">
      <c r="A278" s="123"/>
      <c r="B278" s="156"/>
      <c r="C278" s="157"/>
      <c r="D278" s="157"/>
      <c r="E278" s="157"/>
      <c r="F278" s="157"/>
      <c r="G278" s="158"/>
      <c r="H278" s="157"/>
      <c r="I278" s="157"/>
      <c r="J278" s="160"/>
      <c r="K278" s="160"/>
      <c r="L278" s="160"/>
      <c r="M278" s="160"/>
      <c r="N278" s="247"/>
      <c r="O278" s="248"/>
      <c r="P278" s="123"/>
      <c r="Q278" s="144"/>
      <c r="R278" s="144"/>
      <c r="S278" s="144"/>
      <c r="T278" s="144"/>
      <c r="U278" s="144"/>
      <c r="V278" s="144"/>
      <c r="W278" s="144"/>
      <c r="X278" s="144"/>
      <c r="Y278" s="123"/>
      <c r="Z278" s="123"/>
      <c r="AA278" s="123"/>
      <c r="AB278" s="123"/>
      <c r="AC278" s="123"/>
      <c r="AD278" s="123"/>
      <c r="AE278" s="123"/>
      <c r="AF278" s="123"/>
    </row>
    <row r="279" spans="1:32" ht="15">
      <c r="A279" s="123"/>
      <c r="B279" s="156"/>
      <c r="C279" s="157"/>
      <c r="D279" s="157"/>
      <c r="E279" s="157"/>
      <c r="F279" s="157"/>
      <c r="G279" s="158"/>
      <c r="H279" s="157"/>
      <c r="I279" s="157"/>
      <c r="J279" s="160"/>
      <c r="K279" s="160"/>
      <c r="L279" s="160"/>
      <c r="M279" s="160"/>
      <c r="N279" s="247"/>
      <c r="O279" s="248"/>
      <c r="P279" s="123"/>
      <c r="Q279" s="144"/>
      <c r="R279" s="144"/>
      <c r="S279" s="144"/>
      <c r="T279" s="144"/>
      <c r="U279" s="144"/>
      <c r="V279" s="144"/>
      <c r="W279" s="144"/>
      <c r="X279" s="144"/>
      <c r="Y279" s="123"/>
      <c r="Z279" s="123"/>
      <c r="AA279" s="123"/>
      <c r="AB279" s="123"/>
      <c r="AC279" s="123"/>
      <c r="AD279" s="123"/>
      <c r="AE279" s="123"/>
      <c r="AF279" s="123"/>
    </row>
    <row r="280" spans="1:32" ht="15">
      <c r="A280" s="123"/>
      <c r="B280" s="156"/>
      <c r="C280" s="157"/>
      <c r="D280" s="157"/>
      <c r="E280" s="157"/>
      <c r="F280" s="157"/>
      <c r="G280" s="158"/>
      <c r="H280" s="157"/>
      <c r="I280" s="157"/>
      <c r="J280" s="160"/>
      <c r="K280" s="160"/>
      <c r="L280" s="160"/>
      <c r="M280" s="160"/>
      <c r="N280" s="247"/>
      <c r="O280" s="248"/>
      <c r="P280" s="123"/>
      <c r="Q280" s="144"/>
      <c r="R280" s="144"/>
      <c r="S280" s="144"/>
      <c r="T280" s="144"/>
      <c r="U280" s="144"/>
      <c r="V280" s="144"/>
      <c r="W280" s="144"/>
      <c r="X280" s="144"/>
      <c r="Y280" s="123"/>
      <c r="Z280" s="123"/>
      <c r="AA280" s="123"/>
      <c r="AB280" s="123"/>
      <c r="AC280" s="123"/>
      <c r="AD280" s="123"/>
      <c r="AE280" s="123"/>
      <c r="AF280" s="123"/>
    </row>
    <row r="281" spans="1:32" ht="15">
      <c r="A281" s="123"/>
      <c r="B281" s="156"/>
      <c r="C281" s="157"/>
      <c r="D281" s="157"/>
      <c r="E281" s="157"/>
      <c r="F281" s="157"/>
      <c r="G281" s="158"/>
      <c r="H281" s="157"/>
      <c r="I281" s="157"/>
      <c r="J281" s="160"/>
      <c r="K281" s="160"/>
      <c r="L281" s="160"/>
      <c r="M281" s="160"/>
      <c r="N281" s="247"/>
      <c r="O281" s="248"/>
      <c r="P281" s="123"/>
      <c r="Q281" s="144"/>
      <c r="R281" s="144"/>
      <c r="S281" s="144"/>
      <c r="T281" s="144"/>
      <c r="U281" s="144"/>
      <c r="V281" s="144"/>
      <c r="W281" s="144"/>
      <c r="X281" s="144"/>
      <c r="Y281" s="123"/>
      <c r="Z281" s="123"/>
      <c r="AA281" s="123"/>
      <c r="AB281" s="123"/>
      <c r="AC281" s="123"/>
      <c r="AD281" s="123"/>
      <c r="AE281" s="123"/>
      <c r="AF281" s="123"/>
    </row>
    <row r="282" spans="1:32" ht="15">
      <c r="A282" s="123"/>
      <c r="B282" s="156"/>
      <c r="C282" s="157"/>
      <c r="D282" s="157"/>
      <c r="E282" s="157"/>
      <c r="F282" s="157"/>
      <c r="G282" s="158"/>
      <c r="H282" s="157"/>
      <c r="I282" s="157"/>
      <c r="J282" s="160"/>
      <c r="K282" s="160"/>
      <c r="L282" s="160"/>
      <c r="M282" s="160"/>
      <c r="N282" s="247"/>
      <c r="O282" s="248"/>
      <c r="P282" s="123"/>
      <c r="Q282" s="144"/>
      <c r="R282" s="144"/>
      <c r="S282" s="144"/>
      <c r="T282" s="144"/>
      <c r="U282" s="144"/>
      <c r="V282" s="144"/>
      <c r="W282" s="144"/>
      <c r="X282" s="144"/>
      <c r="Y282" s="123"/>
      <c r="Z282" s="123"/>
      <c r="AA282" s="123"/>
      <c r="AB282" s="123"/>
      <c r="AC282" s="123"/>
      <c r="AD282" s="123"/>
      <c r="AE282" s="123"/>
      <c r="AF282" s="123"/>
    </row>
    <row r="283" spans="1:32" ht="15">
      <c r="A283" s="123"/>
      <c r="B283" s="156"/>
      <c r="C283" s="157"/>
      <c r="D283" s="157"/>
      <c r="E283" s="157"/>
      <c r="F283" s="157"/>
      <c r="G283" s="158"/>
      <c r="H283" s="157"/>
      <c r="I283" s="157"/>
      <c r="J283" s="160"/>
      <c r="K283" s="160"/>
      <c r="L283" s="160"/>
      <c r="M283" s="160"/>
      <c r="N283" s="247"/>
      <c r="O283" s="248"/>
      <c r="P283" s="123"/>
      <c r="Q283" s="144"/>
      <c r="R283" s="144"/>
      <c r="S283" s="144"/>
      <c r="T283" s="144"/>
      <c r="U283" s="144"/>
      <c r="V283" s="144"/>
      <c r="W283" s="144"/>
      <c r="X283" s="144"/>
      <c r="Y283" s="123"/>
      <c r="Z283" s="123"/>
      <c r="AA283" s="123"/>
      <c r="AB283" s="123"/>
      <c r="AC283" s="123"/>
      <c r="AD283" s="123"/>
      <c r="AE283" s="123"/>
      <c r="AF283" s="123"/>
    </row>
    <row r="284" spans="1:32" ht="15">
      <c r="A284" s="123"/>
      <c r="B284" s="156"/>
      <c r="C284" s="157"/>
      <c r="D284" s="157"/>
      <c r="E284" s="157"/>
      <c r="F284" s="157"/>
      <c r="G284" s="158"/>
      <c r="H284" s="157"/>
      <c r="I284" s="157"/>
      <c r="J284" s="160"/>
      <c r="K284" s="160"/>
      <c r="L284" s="160"/>
      <c r="M284" s="160"/>
      <c r="N284" s="247"/>
      <c r="O284" s="248"/>
      <c r="P284" s="123"/>
      <c r="Q284" s="144"/>
      <c r="R284" s="144"/>
      <c r="S284" s="144"/>
      <c r="T284" s="144"/>
      <c r="U284" s="144"/>
      <c r="V284" s="144"/>
      <c r="W284" s="144"/>
      <c r="X284" s="144"/>
      <c r="Y284" s="123"/>
      <c r="Z284" s="123"/>
      <c r="AA284" s="123"/>
      <c r="AB284" s="123"/>
      <c r="AC284" s="123"/>
      <c r="AD284" s="123"/>
      <c r="AE284" s="123"/>
      <c r="AF284" s="123"/>
    </row>
    <row r="285" spans="1:32" ht="15">
      <c r="A285" s="123"/>
      <c r="B285" s="156"/>
      <c r="C285" s="157"/>
      <c r="D285" s="157"/>
      <c r="E285" s="157"/>
      <c r="F285" s="157"/>
      <c r="G285" s="158"/>
      <c r="H285" s="157"/>
      <c r="I285" s="157"/>
      <c r="J285" s="160"/>
      <c r="K285" s="160"/>
      <c r="L285" s="160"/>
      <c r="M285" s="160"/>
      <c r="N285" s="247"/>
      <c r="O285" s="248"/>
      <c r="P285" s="123"/>
      <c r="Q285" s="144"/>
      <c r="R285" s="144"/>
      <c r="S285" s="144"/>
      <c r="T285" s="144"/>
      <c r="U285" s="144"/>
      <c r="V285" s="144"/>
      <c r="W285" s="144"/>
      <c r="X285" s="144"/>
      <c r="Y285" s="123"/>
      <c r="Z285" s="123"/>
      <c r="AA285" s="123"/>
      <c r="AB285" s="123"/>
      <c r="AC285" s="123"/>
      <c r="AD285" s="123"/>
      <c r="AE285" s="123"/>
      <c r="AF285" s="123"/>
    </row>
    <row r="286" spans="1:32" ht="15">
      <c r="A286" s="123"/>
      <c r="B286" s="156"/>
      <c r="C286" s="157"/>
      <c r="D286" s="157"/>
      <c r="E286" s="157"/>
      <c r="F286" s="157"/>
      <c r="G286" s="158"/>
      <c r="H286" s="157"/>
      <c r="I286" s="157"/>
      <c r="J286" s="160"/>
      <c r="K286" s="160"/>
      <c r="L286" s="160"/>
      <c r="M286" s="160"/>
      <c r="N286" s="247"/>
      <c r="O286" s="248"/>
      <c r="P286" s="123"/>
      <c r="Q286" s="144"/>
      <c r="R286" s="144"/>
      <c r="S286" s="144"/>
      <c r="T286" s="144"/>
      <c r="U286" s="144"/>
      <c r="V286" s="144"/>
      <c r="W286" s="144"/>
      <c r="X286" s="144"/>
      <c r="Y286" s="123"/>
      <c r="Z286" s="123"/>
      <c r="AA286" s="123"/>
      <c r="AB286" s="123"/>
      <c r="AC286" s="123"/>
      <c r="AD286" s="123"/>
      <c r="AE286" s="123"/>
      <c r="AF286" s="123"/>
    </row>
    <row r="287" spans="1:32" ht="15">
      <c r="A287" s="123"/>
      <c r="B287" s="156"/>
      <c r="C287" s="157"/>
      <c r="D287" s="157"/>
      <c r="E287" s="157"/>
      <c r="F287" s="157"/>
      <c r="G287" s="158"/>
      <c r="H287" s="157"/>
      <c r="I287" s="157"/>
      <c r="J287" s="160"/>
      <c r="K287" s="160"/>
      <c r="L287" s="160"/>
      <c r="M287" s="160"/>
      <c r="N287" s="247"/>
      <c r="O287" s="248"/>
      <c r="P287" s="123"/>
      <c r="Q287" s="144"/>
      <c r="R287" s="144"/>
      <c r="S287" s="144"/>
      <c r="T287" s="144"/>
      <c r="U287" s="144"/>
      <c r="V287" s="144"/>
      <c r="W287" s="144"/>
      <c r="X287" s="144"/>
      <c r="Y287" s="123"/>
      <c r="Z287" s="123"/>
      <c r="AA287" s="123"/>
      <c r="AB287" s="123"/>
      <c r="AC287" s="123"/>
      <c r="AD287" s="123"/>
      <c r="AE287" s="123"/>
      <c r="AF287" s="123"/>
    </row>
    <row r="288" spans="1:32" ht="15">
      <c r="A288" s="123"/>
      <c r="B288" s="156"/>
      <c r="C288" s="157"/>
      <c r="D288" s="157"/>
      <c r="E288" s="157"/>
      <c r="F288" s="157"/>
      <c r="G288" s="158"/>
      <c r="H288" s="157"/>
      <c r="I288" s="157"/>
      <c r="J288" s="160"/>
      <c r="K288" s="160"/>
      <c r="L288" s="160"/>
      <c r="M288" s="160"/>
      <c r="N288" s="247"/>
      <c r="O288" s="248"/>
      <c r="P288" s="123"/>
      <c r="Q288" s="144"/>
      <c r="R288" s="144"/>
      <c r="S288" s="144"/>
      <c r="T288" s="144"/>
      <c r="U288" s="144"/>
      <c r="V288" s="144"/>
      <c r="W288" s="144"/>
      <c r="X288" s="144"/>
      <c r="Y288" s="123"/>
      <c r="Z288" s="123"/>
      <c r="AA288" s="123"/>
      <c r="AB288" s="123"/>
      <c r="AC288" s="123"/>
      <c r="AD288" s="123"/>
      <c r="AE288" s="123"/>
      <c r="AF288" s="123"/>
    </row>
    <row r="289" spans="1:32" ht="15">
      <c r="A289" s="123"/>
      <c r="B289" s="156"/>
      <c r="C289" s="157"/>
      <c r="D289" s="157"/>
      <c r="E289" s="157"/>
      <c r="F289" s="157"/>
      <c r="G289" s="158"/>
      <c r="H289" s="157"/>
      <c r="I289" s="157"/>
      <c r="J289" s="160"/>
      <c r="K289" s="160"/>
      <c r="L289" s="160"/>
      <c r="M289" s="160"/>
      <c r="N289" s="247"/>
      <c r="O289" s="248"/>
      <c r="P289" s="123"/>
      <c r="Q289" s="144"/>
      <c r="R289" s="144"/>
      <c r="S289" s="144"/>
      <c r="T289" s="144"/>
      <c r="U289" s="144"/>
      <c r="V289" s="144"/>
      <c r="W289" s="144"/>
      <c r="X289" s="144"/>
      <c r="Y289" s="123"/>
      <c r="Z289" s="123"/>
      <c r="AA289" s="123"/>
      <c r="AB289" s="123"/>
      <c r="AC289" s="123"/>
      <c r="AD289" s="123"/>
      <c r="AE289" s="123"/>
      <c r="AF289" s="123"/>
    </row>
    <row r="290" spans="1:32" ht="15">
      <c r="A290" s="123"/>
      <c r="B290" s="156"/>
      <c r="C290" s="157"/>
      <c r="D290" s="157"/>
      <c r="E290" s="157"/>
      <c r="F290" s="157"/>
      <c r="G290" s="158"/>
      <c r="H290" s="157"/>
      <c r="I290" s="157"/>
      <c r="J290" s="160"/>
      <c r="K290" s="160"/>
      <c r="L290" s="160"/>
      <c r="M290" s="160"/>
      <c r="N290" s="247"/>
      <c r="O290" s="248"/>
      <c r="P290" s="123"/>
      <c r="Q290" s="144"/>
      <c r="R290" s="144"/>
      <c r="S290" s="144"/>
      <c r="T290" s="144"/>
      <c r="U290" s="144"/>
      <c r="V290" s="144"/>
      <c r="W290" s="144"/>
      <c r="X290" s="144"/>
      <c r="Y290" s="123"/>
      <c r="Z290" s="123"/>
      <c r="AA290" s="123"/>
      <c r="AB290" s="123"/>
      <c r="AC290" s="123"/>
      <c r="AD290" s="123"/>
      <c r="AE290" s="123"/>
      <c r="AF290" s="123"/>
    </row>
    <row r="291" spans="1:32" ht="15">
      <c r="A291" s="123"/>
      <c r="B291" s="156"/>
      <c r="C291" s="157"/>
      <c r="D291" s="157"/>
      <c r="E291" s="157"/>
      <c r="F291" s="157"/>
      <c r="G291" s="158"/>
      <c r="H291" s="157"/>
      <c r="I291" s="157"/>
      <c r="J291" s="160"/>
      <c r="K291" s="160"/>
      <c r="L291" s="160"/>
      <c r="M291" s="160"/>
      <c r="N291" s="247"/>
      <c r="O291" s="248"/>
      <c r="P291" s="123"/>
      <c r="Q291" s="144"/>
      <c r="R291" s="144"/>
      <c r="S291" s="144"/>
      <c r="T291" s="144"/>
      <c r="U291" s="144"/>
      <c r="V291" s="144"/>
      <c r="W291" s="144"/>
      <c r="X291" s="144"/>
      <c r="Y291" s="123"/>
      <c r="Z291" s="123"/>
      <c r="AA291" s="123"/>
      <c r="AB291" s="123"/>
      <c r="AC291" s="123"/>
      <c r="AD291" s="123"/>
      <c r="AE291" s="123"/>
      <c r="AF291" s="123"/>
    </row>
    <row r="292" spans="1:32" ht="15">
      <c r="A292" s="123"/>
      <c r="B292" s="156"/>
      <c r="C292" s="157"/>
      <c r="D292" s="157"/>
      <c r="E292" s="157"/>
      <c r="F292" s="157"/>
      <c r="G292" s="158"/>
      <c r="H292" s="157"/>
      <c r="I292" s="157"/>
      <c r="J292" s="160"/>
      <c r="K292" s="160"/>
      <c r="L292" s="160"/>
      <c r="M292" s="160"/>
      <c r="N292" s="247"/>
      <c r="O292" s="248"/>
      <c r="P292" s="123"/>
      <c r="Q292" s="144"/>
      <c r="R292" s="144"/>
      <c r="S292" s="144"/>
      <c r="T292" s="144"/>
      <c r="U292" s="144"/>
      <c r="V292" s="144"/>
      <c r="W292" s="144"/>
      <c r="X292" s="144"/>
      <c r="Y292" s="123"/>
      <c r="Z292" s="123"/>
      <c r="AA292" s="123"/>
      <c r="AB292" s="123"/>
      <c r="AC292" s="123"/>
      <c r="AD292" s="123"/>
      <c r="AE292" s="123"/>
      <c r="AF292" s="123"/>
    </row>
    <row r="293" spans="1:32" ht="15">
      <c r="A293" s="123"/>
      <c r="B293" s="156"/>
      <c r="C293" s="157"/>
      <c r="D293" s="157"/>
      <c r="E293" s="157"/>
      <c r="F293" s="157"/>
      <c r="G293" s="158"/>
      <c r="H293" s="157"/>
      <c r="I293" s="157"/>
      <c r="J293" s="160"/>
      <c r="K293" s="160"/>
      <c r="L293" s="160"/>
      <c r="M293" s="160"/>
      <c r="N293" s="247"/>
      <c r="O293" s="248"/>
      <c r="P293" s="123"/>
      <c r="Q293" s="144"/>
      <c r="R293" s="144"/>
      <c r="S293" s="144"/>
      <c r="T293" s="144"/>
      <c r="U293" s="144"/>
      <c r="V293" s="144"/>
      <c r="W293" s="144"/>
      <c r="X293" s="144"/>
      <c r="Y293" s="123"/>
      <c r="Z293" s="123"/>
      <c r="AA293" s="123"/>
      <c r="AB293" s="123"/>
      <c r="AC293" s="123"/>
      <c r="AD293" s="123"/>
      <c r="AE293" s="123"/>
      <c r="AF293" s="123"/>
    </row>
    <row r="294" spans="1:32" ht="15">
      <c r="A294" s="123"/>
      <c r="B294" s="156"/>
      <c r="C294" s="157"/>
      <c r="D294" s="157"/>
      <c r="E294" s="157"/>
      <c r="F294" s="157"/>
      <c r="G294" s="158"/>
      <c r="H294" s="157"/>
      <c r="I294" s="157"/>
      <c r="J294" s="160"/>
      <c r="K294" s="160"/>
      <c r="L294" s="160"/>
      <c r="M294" s="160"/>
      <c r="N294" s="247"/>
      <c r="O294" s="248"/>
      <c r="P294" s="123"/>
      <c r="Q294" s="144"/>
      <c r="R294" s="144"/>
      <c r="S294" s="144"/>
      <c r="T294" s="144"/>
      <c r="U294" s="144"/>
      <c r="V294" s="144"/>
      <c r="W294" s="144"/>
      <c r="X294" s="144"/>
      <c r="Y294" s="123"/>
      <c r="Z294" s="123"/>
      <c r="AA294" s="123"/>
      <c r="AB294" s="123"/>
      <c r="AC294" s="123"/>
      <c r="AD294" s="123"/>
      <c r="AE294" s="123"/>
      <c r="AF294" s="123"/>
    </row>
    <row r="295" spans="1:32" ht="15">
      <c r="A295" s="123"/>
      <c r="B295" s="156"/>
      <c r="C295" s="157"/>
      <c r="D295" s="157"/>
      <c r="E295" s="157"/>
      <c r="F295" s="157"/>
      <c r="G295" s="158"/>
      <c r="H295" s="157"/>
      <c r="I295" s="157"/>
      <c r="J295" s="160"/>
      <c r="K295" s="160"/>
      <c r="L295" s="160"/>
      <c r="M295" s="160"/>
      <c r="N295" s="247"/>
      <c r="O295" s="248"/>
      <c r="P295" s="123"/>
      <c r="Q295" s="144"/>
      <c r="R295" s="144"/>
      <c r="S295" s="144"/>
      <c r="T295" s="144"/>
      <c r="U295" s="144"/>
      <c r="V295" s="144"/>
      <c r="W295" s="144"/>
      <c r="X295" s="144"/>
      <c r="Y295" s="123"/>
      <c r="Z295" s="123"/>
      <c r="AA295" s="123"/>
      <c r="AB295" s="123"/>
      <c r="AC295" s="123"/>
      <c r="AD295" s="123"/>
      <c r="AE295" s="123"/>
      <c r="AF295" s="123"/>
    </row>
    <row r="296" spans="1:32" ht="15">
      <c r="A296" s="123"/>
      <c r="B296" s="156"/>
      <c r="C296" s="157"/>
      <c r="D296" s="157"/>
      <c r="E296" s="157"/>
      <c r="F296" s="157"/>
      <c r="G296" s="158"/>
      <c r="H296" s="157"/>
      <c r="I296" s="157"/>
      <c r="J296" s="160"/>
      <c r="K296" s="160"/>
      <c r="L296" s="160"/>
      <c r="M296" s="160"/>
      <c r="N296" s="247"/>
      <c r="O296" s="248"/>
      <c r="P296" s="123"/>
      <c r="Q296" s="144"/>
      <c r="R296" s="144"/>
      <c r="S296" s="144"/>
      <c r="T296" s="144"/>
      <c r="U296" s="144"/>
      <c r="V296" s="144"/>
      <c r="W296" s="144"/>
      <c r="X296" s="144"/>
      <c r="Y296" s="123"/>
      <c r="Z296" s="123"/>
      <c r="AA296" s="123"/>
      <c r="AB296" s="123"/>
      <c r="AC296" s="123"/>
      <c r="AD296" s="123"/>
      <c r="AE296" s="123"/>
      <c r="AF296" s="123"/>
    </row>
    <row r="297" spans="1:32" ht="15">
      <c r="A297" s="123"/>
      <c r="B297" s="156"/>
      <c r="C297" s="157"/>
      <c r="D297" s="157"/>
      <c r="E297" s="157"/>
      <c r="F297" s="157"/>
      <c r="G297" s="158"/>
      <c r="H297" s="157"/>
      <c r="I297" s="157"/>
      <c r="J297" s="160"/>
      <c r="K297" s="160"/>
      <c r="L297" s="160"/>
      <c r="M297" s="160"/>
      <c r="N297" s="247"/>
      <c r="O297" s="248"/>
      <c r="P297" s="123"/>
      <c r="Q297" s="144"/>
      <c r="R297" s="144"/>
      <c r="S297" s="144"/>
      <c r="T297" s="144"/>
      <c r="U297" s="144"/>
      <c r="V297" s="144"/>
      <c r="W297" s="144"/>
      <c r="X297" s="144"/>
      <c r="Y297" s="123"/>
      <c r="Z297" s="123"/>
      <c r="AA297" s="123"/>
      <c r="AB297" s="123"/>
      <c r="AC297" s="123"/>
      <c r="AD297" s="123"/>
      <c r="AE297" s="123"/>
      <c r="AF297" s="123"/>
    </row>
    <row r="298" spans="1:32" ht="15">
      <c r="A298" s="123"/>
      <c r="B298" s="156"/>
      <c r="C298" s="157"/>
      <c r="D298" s="157"/>
      <c r="E298" s="157"/>
      <c r="F298" s="157"/>
      <c r="G298" s="158"/>
      <c r="H298" s="157"/>
      <c r="I298" s="157"/>
      <c r="J298" s="160"/>
      <c r="K298" s="160"/>
      <c r="L298" s="160"/>
      <c r="M298" s="160"/>
      <c r="N298" s="247"/>
      <c r="O298" s="248"/>
      <c r="P298" s="123"/>
      <c r="Q298" s="144"/>
      <c r="R298" s="144"/>
      <c r="S298" s="144"/>
      <c r="T298" s="144"/>
      <c r="U298" s="144"/>
      <c r="V298" s="144"/>
      <c r="W298" s="144"/>
      <c r="X298" s="144"/>
      <c r="Y298" s="123"/>
      <c r="Z298" s="123"/>
      <c r="AA298" s="123"/>
      <c r="AB298" s="123"/>
      <c r="AC298" s="123"/>
      <c r="AD298" s="123"/>
      <c r="AE298" s="123"/>
      <c r="AF298" s="123"/>
    </row>
    <row r="299" spans="1:32" ht="15">
      <c r="A299" s="123"/>
      <c r="B299" s="156"/>
      <c r="C299" s="157"/>
      <c r="D299" s="157"/>
      <c r="E299" s="157"/>
      <c r="F299" s="157"/>
      <c r="G299" s="158"/>
      <c r="H299" s="157"/>
      <c r="I299" s="157"/>
      <c r="J299" s="160"/>
      <c r="K299" s="160"/>
      <c r="L299" s="160"/>
      <c r="M299" s="160"/>
      <c r="N299" s="247"/>
      <c r="O299" s="248"/>
      <c r="P299" s="123"/>
      <c r="Q299" s="144"/>
      <c r="R299" s="144"/>
      <c r="S299" s="144"/>
      <c r="T299" s="144"/>
      <c r="U299" s="144"/>
      <c r="V299" s="144"/>
      <c r="W299" s="144"/>
      <c r="X299" s="144"/>
      <c r="Y299" s="123"/>
      <c r="Z299" s="123"/>
      <c r="AA299" s="123"/>
      <c r="AB299" s="123"/>
      <c r="AC299" s="123"/>
      <c r="AD299" s="123"/>
      <c r="AE299" s="123"/>
      <c r="AF299" s="123"/>
    </row>
    <row r="300" spans="1:32" ht="15">
      <c r="A300" s="123"/>
      <c r="B300" s="156"/>
      <c r="C300" s="157"/>
      <c r="D300" s="157"/>
      <c r="E300" s="157"/>
      <c r="F300" s="157"/>
      <c r="G300" s="158"/>
      <c r="H300" s="157"/>
      <c r="I300" s="157"/>
      <c r="J300" s="160"/>
      <c r="K300" s="160"/>
      <c r="L300" s="160"/>
      <c r="M300" s="160"/>
      <c r="N300" s="247"/>
      <c r="O300" s="248"/>
      <c r="P300" s="123"/>
      <c r="Q300" s="144"/>
      <c r="R300" s="144"/>
      <c r="S300" s="144"/>
      <c r="T300" s="144"/>
      <c r="U300" s="144"/>
      <c r="V300" s="144"/>
      <c r="W300" s="144"/>
      <c r="X300" s="144"/>
      <c r="Y300" s="123"/>
      <c r="Z300" s="123"/>
      <c r="AA300" s="123"/>
      <c r="AB300" s="123"/>
      <c r="AC300" s="123"/>
      <c r="AD300" s="123"/>
      <c r="AE300" s="123"/>
      <c r="AF300" s="123"/>
    </row>
    <row r="301" spans="1:32" ht="15">
      <c r="A301" s="123"/>
      <c r="B301" s="156"/>
      <c r="C301" s="157"/>
      <c r="D301" s="157"/>
      <c r="E301" s="157"/>
      <c r="F301" s="157"/>
      <c r="G301" s="158"/>
      <c r="H301" s="157"/>
      <c r="I301" s="157"/>
      <c r="J301" s="160"/>
      <c r="K301" s="160"/>
      <c r="L301" s="160"/>
      <c r="M301" s="160"/>
      <c r="N301" s="247"/>
      <c r="O301" s="248"/>
      <c r="P301" s="123"/>
      <c r="Q301" s="144"/>
      <c r="R301" s="144"/>
      <c r="S301" s="144"/>
      <c r="T301" s="144"/>
      <c r="U301" s="144"/>
      <c r="V301" s="144"/>
      <c r="W301" s="144"/>
      <c r="X301" s="144"/>
      <c r="Y301" s="123"/>
      <c r="Z301" s="123"/>
      <c r="AA301" s="123"/>
      <c r="AB301" s="123"/>
      <c r="AC301" s="123"/>
      <c r="AD301" s="123"/>
      <c r="AE301" s="123"/>
      <c r="AF301" s="123"/>
    </row>
    <row r="302" spans="1:32" ht="15">
      <c r="A302" s="252"/>
      <c r="B302" s="156"/>
      <c r="C302" s="250"/>
      <c r="D302" s="250"/>
      <c r="E302" s="157"/>
      <c r="F302" s="250"/>
      <c r="G302" s="262"/>
      <c r="H302" s="157"/>
      <c r="I302" s="257"/>
      <c r="J302" s="253"/>
      <c r="K302" s="160"/>
      <c r="L302" s="253"/>
      <c r="M302" s="160"/>
      <c r="N302" s="247"/>
      <c r="O302" s="248"/>
      <c r="P302" s="123"/>
      <c r="Q302" s="144"/>
      <c r="R302" s="144"/>
      <c r="S302" s="144"/>
      <c r="T302" s="144"/>
      <c r="U302" s="144"/>
      <c r="V302" s="144"/>
      <c r="W302" s="144"/>
      <c r="X302" s="144"/>
      <c r="Y302" s="123"/>
      <c r="Z302" s="123"/>
      <c r="AA302" s="123"/>
      <c r="AB302" s="123"/>
      <c r="AC302" s="123"/>
      <c r="AD302" s="123"/>
      <c r="AE302" s="123"/>
      <c r="AF302" s="123"/>
    </row>
    <row r="303" spans="1:32" ht="15">
      <c r="A303" s="123"/>
      <c r="B303" s="156"/>
      <c r="C303" s="157"/>
      <c r="D303" s="157"/>
      <c r="E303" s="157"/>
      <c r="F303" s="157"/>
      <c r="G303" s="158"/>
      <c r="H303" s="157"/>
      <c r="I303" s="157"/>
      <c r="J303" s="160"/>
      <c r="K303" s="160"/>
      <c r="L303" s="160"/>
      <c r="M303" s="160"/>
      <c r="N303" s="247"/>
      <c r="O303" s="248"/>
      <c r="P303" s="123"/>
      <c r="Q303" s="144"/>
      <c r="R303" s="144"/>
      <c r="S303" s="144"/>
      <c r="T303" s="144"/>
      <c r="U303" s="144"/>
      <c r="V303" s="144"/>
      <c r="W303" s="144"/>
      <c r="X303" s="144"/>
      <c r="Y303" s="123"/>
      <c r="Z303" s="123"/>
      <c r="AA303" s="123"/>
      <c r="AB303" s="123"/>
      <c r="AC303" s="123"/>
      <c r="AD303" s="123"/>
      <c r="AE303" s="123"/>
      <c r="AF303" s="123"/>
    </row>
    <row r="304" spans="1:32" ht="15">
      <c r="A304" s="123"/>
      <c r="B304" s="156"/>
      <c r="C304" s="157"/>
      <c r="D304" s="157"/>
      <c r="E304" s="157"/>
      <c r="F304" s="157"/>
      <c r="G304" s="158"/>
      <c r="H304" s="157"/>
      <c r="I304" s="157"/>
      <c r="J304" s="160"/>
      <c r="K304" s="160"/>
      <c r="L304" s="160"/>
      <c r="M304" s="160"/>
      <c r="N304" s="247"/>
      <c r="O304" s="248"/>
      <c r="P304" s="123"/>
      <c r="Q304" s="144"/>
      <c r="R304" s="144"/>
      <c r="S304" s="144"/>
      <c r="T304" s="144"/>
      <c r="U304" s="144"/>
      <c r="V304" s="144"/>
      <c r="W304" s="144"/>
      <c r="X304" s="144"/>
      <c r="Y304" s="123"/>
      <c r="Z304" s="123"/>
      <c r="AA304" s="123"/>
      <c r="AB304" s="123"/>
      <c r="AC304" s="123"/>
      <c r="AD304" s="123"/>
      <c r="AE304" s="123"/>
      <c r="AF304" s="123"/>
    </row>
    <row r="305" spans="1:32" ht="15">
      <c r="A305" s="123"/>
      <c r="B305" s="156"/>
      <c r="C305" s="157"/>
      <c r="D305" s="157"/>
      <c r="E305" s="157"/>
      <c r="F305" s="157"/>
      <c r="G305" s="158"/>
      <c r="H305" s="157"/>
      <c r="I305" s="157"/>
      <c r="J305" s="160"/>
      <c r="K305" s="160"/>
      <c r="L305" s="160"/>
      <c r="M305" s="160"/>
      <c r="N305" s="247"/>
      <c r="O305" s="248"/>
      <c r="P305" s="123"/>
      <c r="Q305" s="144"/>
      <c r="R305" s="144"/>
      <c r="S305" s="144"/>
      <c r="T305" s="144"/>
      <c r="U305" s="144"/>
      <c r="V305" s="144"/>
      <c r="W305" s="144"/>
      <c r="X305" s="144"/>
      <c r="Y305" s="123"/>
      <c r="Z305" s="123"/>
      <c r="AA305" s="123"/>
      <c r="AB305" s="123"/>
      <c r="AC305" s="123"/>
      <c r="AD305" s="123"/>
      <c r="AE305" s="123"/>
      <c r="AF305" s="123"/>
    </row>
    <row r="306" spans="1:32" ht="15">
      <c r="A306" s="123"/>
      <c r="B306" s="156"/>
      <c r="C306" s="157"/>
      <c r="D306" s="157"/>
      <c r="E306" s="157"/>
      <c r="F306" s="157"/>
      <c r="G306" s="158"/>
      <c r="H306" s="157"/>
      <c r="I306" s="157"/>
      <c r="J306" s="160"/>
      <c r="K306" s="160"/>
      <c r="L306" s="160"/>
      <c r="M306" s="160"/>
      <c r="N306" s="247"/>
      <c r="O306" s="248"/>
      <c r="P306" s="123"/>
      <c r="Q306" s="144"/>
      <c r="R306" s="144"/>
      <c r="S306" s="144"/>
      <c r="T306" s="144"/>
      <c r="U306" s="144"/>
      <c r="V306" s="144"/>
      <c r="W306" s="144"/>
      <c r="X306" s="144"/>
      <c r="Y306" s="123"/>
      <c r="Z306" s="123"/>
      <c r="AA306" s="123"/>
      <c r="AB306" s="123"/>
      <c r="AC306" s="123"/>
      <c r="AD306" s="123"/>
      <c r="AE306" s="123"/>
      <c r="AF306" s="123"/>
    </row>
    <row r="307" spans="1:32" ht="15">
      <c r="A307" s="123"/>
      <c r="B307" s="156"/>
      <c r="C307" s="157"/>
      <c r="D307" s="157"/>
      <c r="E307" s="157"/>
      <c r="F307" s="157"/>
      <c r="G307" s="158"/>
      <c r="H307" s="157"/>
      <c r="I307" s="157"/>
      <c r="J307" s="160"/>
      <c r="K307" s="160"/>
      <c r="L307" s="160"/>
      <c r="M307" s="160"/>
      <c r="N307" s="247"/>
      <c r="O307" s="248"/>
      <c r="P307" s="123"/>
      <c r="Q307" s="144"/>
      <c r="R307" s="144"/>
      <c r="S307" s="144"/>
      <c r="T307" s="144"/>
      <c r="U307" s="144"/>
      <c r="V307" s="144"/>
      <c r="W307" s="144"/>
      <c r="X307" s="144"/>
      <c r="Y307" s="123"/>
      <c r="Z307" s="123"/>
      <c r="AA307" s="123"/>
      <c r="AB307" s="123"/>
      <c r="AC307" s="123"/>
      <c r="AD307" s="123"/>
      <c r="AE307" s="123"/>
      <c r="AF307" s="123"/>
    </row>
    <row r="308" spans="1:32" ht="15">
      <c r="A308" s="123"/>
      <c r="B308" s="156"/>
      <c r="C308" s="157"/>
      <c r="D308" s="157"/>
      <c r="E308" s="157"/>
      <c r="F308" s="157"/>
      <c r="G308" s="158"/>
      <c r="H308" s="157"/>
      <c r="I308" s="157"/>
      <c r="J308" s="160"/>
      <c r="K308" s="160"/>
      <c r="L308" s="160"/>
      <c r="M308" s="160"/>
      <c r="N308" s="247"/>
      <c r="O308" s="248"/>
      <c r="P308" s="123"/>
      <c r="Q308" s="144"/>
      <c r="R308" s="144"/>
      <c r="S308" s="144"/>
      <c r="T308" s="144"/>
      <c r="U308" s="144"/>
      <c r="V308" s="144"/>
      <c r="W308" s="144"/>
      <c r="X308" s="144"/>
      <c r="Y308" s="123"/>
      <c r="Z308" s="123"/>
      <c r="AA308" s="123"/>
      <c r="AB308" s="123"/>
      <c r="AC308" s="123"/>
      <c r="AD308" s="123"/>
      <c r="AE308" s="123"/>
      <c r="AF308" s="123"/>
    </row>
    <row r="309" spans="1:32" ht="15">
      <c r="A309" s="123"/>
      <c r="B309" s="156"/>
      <c r="C309" s="157"/>
      <c r="D309" s="157"/>
      <c r="E309" s="157"/>
      <c r="F309" s="157"/>
      <c r="G309" s="158"/>
      <c r="H309" s="157"/>
      <c r="I309" s="157"/>
      <c r="J309" s="160"/>
      <c r="K309" s="160"/>
      <c r="L309" s="160"/>
      <c r="M309" s="160"/>
      <c r="N309" s="247"/>
      <c r="O309" s="248"/>
      <c r="P309" s="123"/>
      <c r="Q309" s="144"/>
      <c r="R309" s="144"/>
      <c r="S309" s="144"/>
      <c r="T309" s="144"/>
      <c r="U309" s="144"/>
      <c r="V309" s="144"/>
      <c r="W309" s="144"/>
      <c r="X309" s="144"/>
      <c r="Y309" s="123"/>
      <c r="Z309" s="123"/>
      <c r="AA309" s="123"/>
      <c r="AB309" s="123"/>
      <c r="AC309" s="123"/>
      <c r="AD309" s="123"/>
      <c r="AE309" s="123"/>
      <c r="AF309" s="123"/>
    </row>
    <row r="310" spans="1:32" ht="15">
      <c r="A310" s="123"/>
      <c r="B310" s="156"/>
      <c r="C310" s="157"/>
      <c r="D310" s="157"/>
      <c r="E310" s="157"/>
      <c r="F310" s="157"/>
      <c r="G310" s="158"/>
      <c r="H310" s="157"/>
      <c r="I310" s="157"/>
      <c r="J310" s="160"/>
      <c r="K310" s="160"/>
      <c r="L310" s="160"/>
      <c r="M310" s="160"/>
      <c r="N310" s="247"/>
      <c r="O310" s="248"/>
      <c r="P310" s="123"/>
      <c r="Q310" s="144"/>
      <c r="R310" s="144"/>
      <c r="S310" s="144"/>
      <c r="T310" s="144"/>
      <c r="U310" s="144"/>
      <c r="V310" s="144"/>
      <c r="W310" s="144"/>
      <c r="X310" s="144"/>
      <c r="Y310" s="123"/>
      <c r="Z310" s="123"/>
      <c r="AA310" s="123"/>
      <c r="AB310" s="123"/>
      <c r="AC310" s="123"/>
      <c r="AD310" s="123"/>
      <c r="AE310" s="123"/>
      <c r="AF310" s="123"/>
    </row>
    <row r="311" spans="1:32" ht="15">
      <c r="A311" s="123"/>
      <c r="B311" s="156"/>
      <c r="C311" s="157"/>
      <c r="D311" s="157"/>
      <c r="E311" s="157"/>
      <c r="F311" s="157"/>
      <c r="G311" s="158"/>
      <c r="H311" s="157"/>
      <c r="I311" s="157"/>
      <c r="J311" s="160"/>
      <c r="K311" s="160"/>
      <c r="L311" s="160"/>
      <c r="M311" s="160"/>
      <c r="N311" s="247"/>
      <c r="O311" s="248"/>
      <c r="P311" s="123"/>
      <c r="Q311" s="144"/>
      <c r="R311" s="144"/>
      <c r="S311" s="144"/>
      <c r="T311" s="144"/>
      <c r="U311" s="144"/>
      <c r="V311" s="144"/>
      <c r="W311" s="144"/>
      <c r="X311" s="144"/>
      <c r="Y311" s="123"/>
      <c r="Z311" s="123"/>
      <c r="AA311" s="123"/>
      <c r="AB311" s="123"/>
      <c r="AC311" s="123"/>
      <c r="AD311" s="123"/>
      <c r="AE311" s="123"/>
      <c r="AF311" s="123"/>
    </row>
    <row r="312" spans="1:32" ht="15">
      <c r="A312" s="123"/>
      <c r="B312" s="156"/>
      <c r="C312" s="157"/>
      <c r="D312" s="157"/>
      <c r="E312" s="157"/>
      <c r="F312" s="157"/>
      <c r="G312" s="158"/>
      <c r="H312" s="157"/>
      <c r="I312" s="157"/>
      <c r="J312" s="160"/>
      <c r="K312" s="160"/>
      <c r="L312" s="160"/>
      <c r="M312" s="160"/>
      <c r="N312" s="247"/>
      <c r="O312" s="248"/>
      <c r="P312" s="123"/>
      <c r="Q312" s="144"/>
      <c r="R312" s="144"/>
      <c r="S312" s="144"/>
      <c r="T312" s="144"/>
      <c r="U312" s="144"/>
      <c r="V312" s="144"/>
      <c r="W312" s="144"/>
      <c r="X312" s="144"/>
      <c r="Y312" s="123"/>
      <c r="Z312" s="123"/>
      <c r="AA312" s="123"/>
      <c r="AB312" s="123"/>
      <c r="AC312" s="123"/>
      <c r="AD312" s="123"/>
      <c r="AE312" s="123"/>
      <c r="AF312" s="123"/>
    </row>
    <row r="313" spans="1:32" ht="15">
      <c r="A313" s="123"/>
      <c r="B313" s="156"/>
      <c r="C313" s="157"/>
      <c r="D313" s="157"/>
      <c r="E313" s="157"/>
      <c r="F313" s="157"/>
      <c r="G313" s="158"/>
      <c r="H313" s="157"/>
      <c r="I313" s="157"/>
      <c r="J313" s="160"/>
      <c r="K313" s="160"/>
      <c r="L313" s="160"/>
      <c r="M313" s="160"/>
      <c r="N313" s="247"/>
      <c r="O313" s="248"/>
      <c r="P313" s="123"/>
      <c r="Q313" s="144"/>
      <c r="R313" s="144"/>
      <c r="S313" s="144"/>
      <c r="T313" s="144"/>
      <c r="U313" s="144"/>
      <c r="V313" s="144"/>
      <c r="W313" s="144"/>
      <c r="X313" s="144"/>
      <c r="Y313" s="123"/>
      <c r="Z313" s="123"/>
      <c r="AA313" s="123"/>
      <c r="AB313" s="123"/>
      <c r="AC313" s="123"/>
      <c r="AD313" s="123"/>
      <c r="AE313" s="123"/>
      <c r="AF313" s="123"/>
    </row>
    <row r="314" spans="1:32" ht="15">
      <c r="A314" s="123"/>
      <c r="B314" s="156"/>
      <c r="C314" s="157"/>
      <c r="D314" s="157"/>
      <c r="E314" s="157"/>
      <c r="F314" s="157"/>
      <c r="G314" s="158"/>
      <c r="H314" s="157"/>
      <c r="I314" s="157"/>
      <c r="J314" s="160"/>
      <c r="K314" s="160"/>
      <c r="L314" s="160"/>
      <c r="M314" s="160"/>
      <c r="N314" s="247"/>
      <c r="O314" s="248"/>
      <c r="P314" s="123"/>
      <c r="Q314" s="144"/>
      <c r="R314" s="144"/>
      <c r="S314" s="144"/>
      <c r="T314" s="144"/>
      <c r="U314" s="144"/>
      <c r="V314" s="144"/>
      <c r="W314" s="144"/>
      <c r="X314" s="144"/>
      <c r="Y314" s="123"/>
      <c r="Z314" s="123"/>
      <c r="AA314" s="123"/>
      <c r="AB314" s="123"/>
      <c r="AC314" s="123"/>
      <c r="AD314" s="123"/>
      <c r="AE314" s="123"/>
      <c r="AF314" s="123"/>
    </row>
    <row r="315" spans="1:32" ht="15">
      <c r="A315" s="123"/>
      <c r="B315" s="156"/>
      <c r="C315" s="157"/>
      <c r="D315" s="157"/>
      <c r="E315" s="157"/>
      <c r="F315" s="157"/>
      <c r="G315" s="158"/>
      <c r="H315" s="157"/>
      <c r="I315" s="157"/>
      <c r="J315" s="160"/>
      <c r="K315" s="160"/>
      <c r="L315" s="160"/>
      <c r="M315" s="160"/>
      <c r="N315" s="247"/>
      <c r="O315" s="248"/>
      <c r="P315" s="123"/>
      <c r="Q315" s="144"/>
      <c r="R315" s="144"/>
      <c r="S315" s="144"/>
      <c r="T315" s="144"/>
      <c r="U315" s="144"/>
      <c r="V315" s="144"/>
      <c r="W315" s="144"/>
      <c r="X315" s="144"/>
      <c r="Y315" s="123"/>
      <c r="Z315" s="123"/>
      <c r="AA315" s="123"/>
      <c r="AB315" s="123"/>
      <c r="AC315" s="123"/>
      <c r="AD315" s="123"/>
      <c r="AE315" s="123"/>
      <c r="AF315" s="123"/>
    </row>
    <row r="316" spans="1:32" ht="15">
      <c r="A316" s="123"/>
      <c r="B316" s="156"/>
      <c r="C316" s="250"/>
      <c r="D316" s="250"/>
      <c r="E316" s="157"/>
      <c r="F316" s="157"/>
      <c r="G316" s="158"/>
      <c r="H316" s="157"/>
      <c r="I316" s="157"/>
      <c r="J316" s="253"/>
      <c r="K316" s="160"/>
      <c r="L316" s="160"/>
      <c r="M316" s="160"/>
      <c r="N316" s="247"/>
      <c r="O316" s="248"/>
      <c r="P316" s="123"/>
      <c r="Q316" s="144"/>
      <c r="R316" s="144"/>
      <c r="S316" s="144"/>
      <c r="T316" s="144"/>
      <c r="U316" s="144"/>
      <c r="V316" s="144"/>
      <c r="W316" s="144"/>
      <c r="X316" s="144"/>
      <c r="Y316" s="123"/>
      <c r="Z316" s="123"/>
      <c r="AA316" s="123"/>
      <c r="AB316" s="123"/>
      <c r="AC316" s="123"/>
      <c r="AD316" s="123"/>
      <c r="AE316" s="123"/>
      <c r="AF316" s="123"/>
    </row>
    <row r="317" spans="1:32" ht="15">
      <c r="A317" s="123"/>
      <c r="B317" s="156"/>
      <c r="C317" s="157"/>
      <c r="D317" s="157"/>
      <c r="E317" s="157"/>
      <c r="F317" s="157"/>
      <c r="G317" s="158"/>
      <c r="H317" s="157"/>
      <c r="I317" s="157"/>
      <c r="J317" s="160"/>
      <c r="K317" s="160"/>
      <c r="L317" s="160"/>
      <c r="M317" s="160"/>
      <c r="N317" s="247"/>
      <c r="O317" s="248"/>
      <c r="P317" s="123"/>
      <c r="Q317" s="144"/>
      <c r="R317" s="144"/>
      <c r="S317" s="144"/>
      <c r="T317" s="144"/>
      <c r="U317" s="144"/>
      <c r="V317" s="144"/>
      <c r="W317" s="144"/>
      <c r="X317" s="144"/>
      <c r="Y317" s="123"/>
      <c r="Z317" s="123"/>
      <c r="AA317" s="123"/>
      <c r="AB317" s="123"/>
      <c r="AC317" s="123"/>
      <c r="AD317" s="123"/>
      <c r="AE317" s="123"/>
      <c r="AF317" s="123"/>
    </row>
    <row r="318" spans="1:32" ht="15">
      <c r="A318" s="123"/>
      <c r="B318" s="156"/>
      <c r="C318" s="157"/>
      <c r="D318" s="157"/>
      <c r="E318" s="157"/>
      <c r="F318" s="157"/>
      <c r="G318" s="158"/>
      <c r="H318" s="157"/>
      <c r="I318" s="157"/>
      <c r="J318" s="160"/>
      <c r="K318" s="160"/>
      <c r="L318" s="160"/>
      <c r="M318" s="160"/>
      <c r="N318" s="247"/>
      <c r="O318" s="248"/>
      <c r="P318" s="123"/>
      <c r="Q318" s="144"/>
      <c r="R318" s="144"/>
      <c r="S318" s="144"/>
      <c r="T318" s="144"/>
      <c r="U318" s="144"/>
      <c r="V318" s="144"/>
      <c r="W318" s="144"/>
      <c r="X318" s="144"/>
      <c r="Y318" s="123"/>
      <c r="Z318" s="123"/>
      <c r="AA318" s="123"/>
      <c r="AB318" s="123"/>
      <c r="AC318" s="123"/>
      <c r="AD318" s="123"/>
      <c r="AE318" s="123"/>
      <c r="AF318" s="123"/>
    </row>
    <row r="319" spans="1:32" ht="15">
      <c r="A319" s="123"/>
      <c r="B319" s="156"/>
      <c r="C319" s="157"/>
      <c r="D319" s="157"/>
      <c r="E319" s="157"/>
      <c r="F319" s="157"/>
      <c r="G319" s="158"/>
      <c r="H319" s="157"/>
      <c r="I319" s="157"/>
      <c r="J319" s="160"/>
      <c r="K319" s="160"/>
      <c r="L319" s="160"/>
      <c r="M319" s="160"/>
      <c r="N319" s="247"/>
      <c r="O319" s="248"/>
      <c r="P319" s="123"/>
      <c r="Q319" s="144"/>
      <c r="R319" s="144"/>
      <c r="S319" s="144"/>
      <c r="T319" s="144"/>
      <c r="U319" s="144"/>
      <c r="V319" s="144"/>
      <c r="W319" s="144"/>
      <c r="X319" s="144"/>
      <c r="Y319" s="123"/>
      <c r="Z319" s="123"/>
      <c r="AA319" s="123"/>
      <c r="AB319" s="123"/>
      <c r="AC319" s="123"/>
      <c r="AD319" s="123"/>
      <c r="AE319" s="123"/>
      <c r="AF319" s="123"/>
    </row>
    <row r="320" spans="1:32" ht="15">
      <c r="A320" s="123"/>
      <c r="B320" s="164"/>
      <c r="C320" s="165"/>
      <c r="D320" s="165"/>
      <c r="E320" s="165"/>
      <c r="F320" s="165"/>
      <c r="G320" s="166"/>
      <c r="H320" s="165"/>
      <c r="I320" s="165"/>
      <c r="J320" s="167"/>
      <c r="K320" s="167"/>
      <c r="L320" s="167"/>
      <c r="M320" s="167"/>
      <c r="N320" s="263"/>
      <c r="O320" s="264"/>
      <c r="P320" s="123"/>
      <c r="Q320" s="144"/>
      <c r="R320" s="144"/>
      <c r="S320" s="144"/>
      <c r="T320" s="144"/>
      <c r="U320" s="144"/>
      <c r="V320" s="144"/>
      <c r="W320" s="144"/>
      <c r="X320" s="144"/>
      <c r="Y320" s="123"/>
      <c r="Z320" s="123"/>
      <c r="AA320" s="123"/>
      <c r="AB320" s="123"/>
      <c r="AC320" s="123"/>
      <c r="AD320" s="123"/>
      <c r="AE320" s="123"/>
      <c r="AF320" s="123"/>
    </row>
    <row r="321" spans="1:32">
      <c r="A321" s="123"/>
      <c r="B321" s="123"/>
      <c r="C321" s="123"/>
      <c r="D321" s="123"/>
      <c r="E321" s="123"/>
      <c r="F321" s="123"/>
      <c r="G321" s="123"/>
      <c r="H321" s="123"/>
      <c r="I321" s="123"/>
      <c r="J321" s="123"/>
      <c r="K321" s="123"/>
      <c r="L321" s="123"/>
      <c r="M321" s="123"/>
      <c r="N321" s="123"/>
      <c r="O321" s="123"/>
      <c r="P321" s="123"/>
      <c r="Q321" s="144"/>
      <c r="R321" s="144"/>
      <c r="S321" s="144"/>
      <c r="T321" s="144"/>
      <c r="U321" s="144"/>
      <c r="V321" s="144"/>
      <c r="W321" s="144"/>
      <c r="X321" s="144"/>
      <c r="Y321" s="123"/>
      <c r="Z321" s="123"/>
      <c r="AA321" s="123"/>
      <c r="AB321" s="123"/>
      <c r="AC321" s="123"/>
      <c r="AD321" s="123"/>
      <c r="AE321" s="123"/>
      <c r="AF321" s="123"/>
    </row>
    <row r="322" spans="1:32">
      <c r="A322" s="123"/>
      <c r="B322" s="123"/>
      <c r="C322" s="123"/>
      <c r="D322" s="123"/>
      <c r="E322" s="123"/>
      <c r="F322" s="123"/>
      <c r="G322" s="123"/>
      <c r="H322" s="123"/>
      <c r="I322" s="123"/>
      <c r="J322" s="123"/>
      <c r="K322" s="123"/>
      <c r="L322" s="123"/>
      <c r="M322" s="123"/>
      <c r="N322" s="123"/>
      <c r="O322" s="123"/>
      <c r="P322" s="123"/>
      <c r="Q322" s="144"/>
      <c r="R322" s="144"/>
      <c r="S322" s="144"/>
      <c r="T322" s="144"/>
      <c r="U322" s="144"/>
      <c r="V322" s="144"/>
      <c r="W322" s="144"/>
      <c r="X322" s="144"/>
      <c r="Y322" s="123"/>
      <c r="Z322" s="123"/>
      <c r="AA322" s="123"/>
      <c r="AB322" s="123"/>
      <c r="AC322" s="123"/>
      <c r="AD322" s="123"/>
      <c r="AE322" s="123"/>
      <c r="AF322" s="123"/>
    </row>
    <row r="323" spans="1:32">
      <c r="A323" s="123"/>
      <c r="B323" s="123"/>
      <c r="C323" s="123"/>
      <c r="D323" s="123"/>
      <c r="E323" s="123"/>
      <c r="F323" s="123"/>
      <c r="G323" s="123"/>
      <c r="H323" s="123"/>
      <c r="I323" s="123"/>
      <c r="J323" s="123"/>
      <c r="K323" s="123"/>
      <c r="L323" s="123"/>
      <c r="M323" s="123"/>
      <c r="N323" s="123"/>
      <c r="O323" s="123"/>
      <c r="P323" s="123"/>
      <c r="Q323" s="144"/>
      <c r="R323" s="144"/>
      <c r="S323" s="144"/>
      <c r="T323" s="144"/>
      <c r="U323" s="144"/>
      <c r="V323" s="144"/>
      <c r="W323" s="144"/>
      <c r="X323" s="144"/>
      <c r="Y323" s="123"/>
      <c r="Z323" s="123"/>
      <c r="AA323" s="123"/>
      <c r="AB323" s="123"/>
      <c r="AC323" s="123"/>
      <c r="AD323" s="123"/>
      <c r="AE323" s="123"/>
      <c r="AF323" s="123"/>
    </row>
    <row r="324" spans="1:32">
      <c r="A324" s="123"/>
      <c r="B324" s="123"/>
      <c r="C324" s="123"/>
      <c r="D324" s="123"/>
      <c r="E324" s="123"/>
      <c r="F324" s="123"/>
      <c r="G324" s="123"/>
      <c r="H324" s="123"/>
      <c r="I324" s="123"/>
      <c r="J324" s="123"/>
      <c r="K324" s="123"/>
      <c r="L324" s="123"/>
      <c r="M324" s="123"/>
      <c r="N324" s="123"/>
      <c r="O324" s="123"/>
      <c r="P324" s="123"/>
      <c r="Q324" s="144"/>
      <c r="R324" s="144"/>
      <c r="S324" s="144"/>
      <c r="T324" s="144"/>
      <c r="U324" s="144"/>
      <c r="V324" s="144"/>
      <c r="W324" s="144"/>
      <c r="X324" s="144"/>
      <c r="Y324" s="123"/>
      <c r="Z324" s="123"/>
      <c r="AA324" s="123"/>
      <c r="AB324" s="123"/>
      <c r="AC324" s="123"/>
      <c r="AD324" s="123"/>
      <c r="AE324" s="123"/>
      <c r="AF324" s="123"/>
    </row>
    <row r="325" spans="1:32">
      <c r="A325" s="123"/>
      <c r="B325" s="123"/>
      <c r="C325" s="123"/>
      <c r="D325" s="123"/>
      <c r="E325" s="123"/>
      <c r="F325" s="123"/>
      <c r="G325" s="123"/>
      <c r="H325" s="123"/>
      <c r="I325" s="123"/>
      <c r="J325" s="123"/>
      <c r="K325" s="123"/>
      <c r="L325" s="123"/>
      <c r="M325" s="123"/>
      <c r="N325" s="123"/>
      <c r="O325" s="123"/>
      <c r="P325" s="123"/>
      <c r="Q325" s="144"/>
      <c r="R325" s="144"/>
      <c r="S325" s="144"/>
      <c r="T325" s="144"/>
      <c r="U325" s="144"/>
      <c r="V325" s="144"/>
      <c r="W325" s="144"/>
      <c r="X325" s="144"/>
      <c r="Y325" s="123"/>
      <c r="Z325" s="123"/>
      <c r="AA325" s="123"/>
      <c r="AB325" s="123"/>
      <c r="AC325" s="123"/>
      <c r="AD325" s="123"/>
      <c r="AE325" s="123"/>
      <c r="AF325" s="123"/>
    </row>
    <row r="326" spans="1:32">
      <c r="A326" s="123"/>
      <c r="B326" s="123"/>
      <c r="C326" s="123"/>
      <c r="D326" s="123"/>
      <c r="E326" s="123"/>
      <c r="F326" s="123"/>
      <c r="G326" s="123"/>
      <c r="H326" s="123"/>
      <c r="I326" s="123"/>
      <c r="J326" s="123"/>
      <c r="K326" s="123"/>
      <c r="L326" s="123"/>
      <c r="M326" s="123"/>
      <c r="N326" s="123"/>
      <c r="O326" s="123"/>
      <c r="P326" s="123"/>
      <c r="Q326" s="144"/>
      <c r="R326" s="144"/>
      <c r="S326" s="144"/>
      <c r="T326" s="144"/>
      <c r="U326" s="144"/>
      <c r="V326" s="144"/>
      <c r="W326" s="144"/>
      <c r="X326" s="144"/>
      <c r="Y326" s="123"/>
      <c r="Z326" s="123"/>
      <c r="AA326" s="123"/>
      <c r="AB326" s="123"/>
      <c r="AC326" s="123"/>
      <c r="AD326" s="123"/>
      <c r="AE326" s="123"/>
      <c r="AF326" s="123"/>
    </row>
    <row r="327" spans="1:32">
      <c r="A327" s="123"/>
      <c r="B327" s="123"/>
      <c r="C327" s="123"/>
      <c r="D327" s="123"/>
      <c r="E327" s="123"/>
      <c r="F327" s="123"/>
      <c r="G327" s="123"/>
      <c r="H327" s="123"/>
      <c r="I327" s="123"/>
      <c r="J327" s="123"/>
      <c r="K327" s="123"/>
      <c r="L327" s="123"/>
      <c r="M327" s="123"/>
      <c r="N327" s="123"/>
      <c r="O327" s="123"/>
      <c r="P327" s="123"/>
      <c r="Q327" s="144"/>
      <c r="R327" s="144"/>
      <c r="S327" s="144"/>
      <c r="T327" s="144"/>
      <c r="U327" s="144"/>
      <c r="V327" s="144"/>
      <c r="W327" s="144"/>
      <c r="X327" s="144"/>
      <c r="Y327" s="123"/>
      <c r="Z327" s="123"/>
      <c r="AA327" s="123"/>
      <c r="AB327" s="123"/>
      <c r="AC327" s="123"/>
      <c r="AD327" s="123"/>
      <c r="AE327" s="123"/>
      <c r="AF327" s="123"/>
    </row>
    <row r="328" spans="1:32">
      <c r="A328" s="123"/>
      <c r="B328" s="123"/>
      <c r="C328" s="123"/>
      <c r="D328" s="123"/>
      <c r="E328" s="123"/>
      <c r="F328" s="123"/>
      <c r="G328" s="123"/>
      <c r="H328" s="123"/>
      <c r="I328" s="123"/>
      <c r="J328" s="123"/>
      <c r="K328" s="123"/>
      <c r="L328" s="123"/>
      <c r="M328" s="123"/>
      <c r="N328" s="123"/>
      <c r="O328" s="123"/>
      <c r="P328" s="123"/>
      <c r="Q328" s="144"/>
      <c r="R328" s="144"/>
      <c r="S328" s="144"/>
      <c r="T328" s="144"/>
      <c r="U328" s="144"/>
      <c r="V328" s="144"/>
      <c r="W328" s="144"/>
      <c r="X328" s="144"/>
      <c r="Y328" s="123"/>
      <c r="Z328" s="123"/>
      <c r="AA328" s="123"/>
      <c r="AB328" s="123"/>
      <c r="AC328" s="123"/>
      <c r="AD328" s="123"/>
      <c r="AE328" s="123"/>
      <c r="AF328" s="123"/>
    </row>
    <row r="329" spans="1:32">
      <c r="A329" s="123"/>
      <c r="B329" s="123"/>
      <c r="C329" s="123"/>
      <c r="D329" s="123"/>
      <c r="E329" s="123"/>
      <c r="F329" s="123"/>
      <c r="G329" s="123"/>
      <c r="H329" s="123"/>
      <c r="I329" s="123"/>
      <c r="J329" s="123"/>
      <c r="K329" s="123"/>
      <c r="L329" s="123"/>
      <c r="M329" s="123"/>
      <c r="N329" s="123"/>
      <c r="O329" s="123"/>
      <c r="P329" s="123"/>
      <c r="Q329" s="144"/>
      <c r="R329" s="144"/>
      <c r="S329" s="144"/>
      <c r="T329" s="144"/>
      <c r="U329" s="144"/>
      <c r="V329" s="144"/>
      <c r="W329" s="144"/>
      <c r="X329" s="144"/>
      <c r="Y329" s="123"/>
      <c r="Z329" s="123"/>
      <c r="AA329" s="123"/>
      <c r="AB329" s="123"/>
      <c r="AC329" s="123"/>
      <c r="AD329" s="123"/>
      <c r="AE329" s="123"/>
      <c r="AF329" s="123"/>
    </row>
    <row r="330" spans="1:32">
      <c r="A330" s="123"/>
      <c r="B330" s="123"/>
      <c r="C330" s="123"/>
      <c r="D330" s="123"/>
      <c r="E330" s="123"/>
      <c r="F330" s="123"/>
      <c r="G330" s="123"/>
      <c r="H330" s="123"/>
      <c r="I330" s="123"/>
      <c r="J330" s="123"/>
      <c r="K330" s="123"/>
      <c r="L330" s="123"/>
      <c r="M330" s="123"/>
      <c r="N330" s="123"/>
      <c r="O330" s="123"/>
      <c r="P330" s="123"/>
      <c r="Q330" s="144"/>
      <c r="R330" s="144"/>
      <c r="S330" s="144"/>
      <c r="T330" s="144"/>
      <c r="U330" s="144"/>
      <c r="V330" s="144"/>
      <c r="W330" s="144"/>
      <c r="X330" s="144"/>
      <c r="Y330" s="123"/>
      <c r="Z330" s="123"/>
      <c r="AA330" s="123"/>
      <c r="AB330" s="123"/>
      <c r="AC330" s="123"/>
      <c r="AD330" s="123"/>
      <c r="AE330" s="123"/>
      <c r="AF330" s="123"/>
    </row>
    <row r="331" spans="1:32">
      <c r="A331" s="123"/>
      <c r="B331" s="123"/>
      <c r="C331" s="123"/>
      <c r="D331" s="123"/>
      <c r="E331" s="123"/>
      <c r="F331" s="123"/>
      <c r="G331" s="123"/>
      <c r="H331" s="123"/>
      <c r="I331" s="123"/>
      <c r="J331" s="123"/>
      <c r="K331" s="123"/>
      <c r="L331" s="123"/>
      <c r="M331" s="123"/>
      <c r="N331" s="123"/>
      <c r="O331" s="123"/>
      <c r="P331" s="123"/>
      <c r="Q331" s="144"/>
      <c r="R331" s="144"/>
      <c r="S331" s="144"/>
      <c r="T331" s="144"/>
      <c r="U331" s="144"/>
      <c r="V331" s="144"/>
      <c r="W331" s="144"/>
      <c r="X331" s="144"/>
      <c r="Y331" s="123"/>
      <c r="Z331" s="123"/>
      <c r="AA331" s="123"/>
      <c r="AB331" s="123"/>
      <c r="AC331" s="123"/>
      <c r="AD331" s="123"/>
      <c r="AE331" s="123"/>
      <c r="AF331" s="123"/>
    </row>
    <row r="332" spans="1:32">
      <c r="A332" s="123"/>
      <c r="B332" s="123"/>
      <c r="C332" s="123"/>
      <c r="D332" s="123"/>
      <c r="E332" s="123"/>
      <c r="F332" s="123"/>
      <c r="G332" s="123"/>
      <c r="H332" s="123"/>
      <c r="I332" s="123"/>
      <c r="J332" s="123"/>
      <c r="K332" s="123"/>
      <c r="L332" s="123"/>
      <c r="M332" s="123"/>
      <c r="N332" s="123"/>
      <c r="O332" s="123"/>
      <c r="P332" s="123"/>
      <c r="Q332" s="144"/>
      <c r="R332" s="144"/>
      <c r="S332" s="144"/>
      <c r="T332" s="144"/>
      <c r="U332" s="144"/>
      <c r="V332" s="144"/>
      <c r="W332" s="144"/>
      <c r="X332" s="144"/>
      <c r="Y332" s="123"/>
      <c r="Z332" s="123"/>
      <c r="AA332" s="123"/>
      <c r="AB332" s="123"/>
      <c r="AC332" s="123"/>
      <c r="AD332" s="123"/>
      <c r="AE332" s="123"/>
      <c r="AF332" s="123"/>
    </row>
    <row r="333" spans="1:32">
      <c r="A333" s="123"/>
      <c r="B333" s="123"/>
      <c r="C333" s="123"/>
      <c r="D333" s="123"/>
      <c r="E333" s="123"/>
      <c r="F333" s="123"/>
      <c r="G333" s="123"/>
      <c r="H333" s="123"/>
      <c r="I333" s="123"/>
      <c r="J333" s="123"/>
      <c r="K333" s="123"/>
      <c r="L333" s="123"/>
      <c r="M333" s="123"/>
      <c r="N333" s="123"/>
      <c r="O333" s="123"/>
      <c r="P333" s="123"/>
      <c r="Q333" s="144"/>
      <c r="R333" s="144"/>
      <c r="S333" s="144"/>
      <c r="T333" s="144"/>
      <c r="U333" s="144"/>
      <c r="V333" s="144"/>
      <c r="W333" s="144"/>
      <c r="X333" s="144"/>
      <c r="Y333" s="123"/>
      <c r="Z333" s="123"/>
      <c r="AA333" s="123"/>
      <c r="AB333" s="123"/>
      <c r="AC333" s="123"/>
      <c r="AD333" s="123"/>
      <c r="AE333" s="123"/>
      <c r="AF333" s="123"/>
    </row>
    <row r="334" spans="1:32">
      <c r="A334" s="123"/>
      <c r="B334" s="123"/>
      <c r="C334" s="123"/>
      <c r="D334" s="123"/>
      <c r="E334" s="123"/>
      <c r="F334" s="123"/>
      <c r="G334" s="123"/>
      <c r="H334" s="123"/>
      <c r="I334" s="123"/>
      <c r="J334" s="123"/>
      <c r="K334" s="123"/>
      <c r="L334" s="123"/>
      <c r="M334" s="123"/>
      <c r="N334" s="123"/>
      <c r="O334" s="123"/>
      <c r="P334" s="123"/>
      <c r="Q334" s="144"/>
      <c r="R334" s="144"/>
      <c r="S334" s="144"/>
      <c r="T334" s="144"/>
      <c r="U334" s="144"/>
      <c r="V334" s="144"/>
      <c r="W334" s="144"/>
      <c r="X334" s="144"/>
      <c r="Y334" s="123"/>
      <c r="Z334" s="123"/>
      <c r="AA334" s="123"/>
      <c r="AB334" s="123"/>
      <c r="AC334" s="123"/>
      <c r="AD334" s="123"/>
      <c r="AE334" s="123"/>
      <c r="AF334" s="123"/>
    </row>
    <row r="335" spans="1:32">
      <c r="A335" s="123"/>
      <c r="B335" s="123"/>
      <c r="C335" s="123"/>
      <c r="D335" s="123"/>
      <c r="E335" s="123"/>
      <c r="F335" s="123"/>
      <c r="G335" s="123"/>
      <c r="H335" s="123"/>
      <c r="I335" s="123"/>
      <c r="J335" s="123"/>
      <c r="K335" s="123"/>
      <c r="L335" s="123"/>
      <c r="M335" s="123"/>
      <c r="N335" s="123"/>
      <c r="O335" s="123"/>
      <c r="P335" s="123"/>
      <c r="Q335" s="144"/>
      <c r="R335" s="144"/>
      <c r="S335" s="144"/>
      <c r="T335" s="144"/>
      <c r="U335" s="144"/>
      <c r="V335" s="144"/>
      <c r="W335" s="144"/>
      <c r="X335" s="144"/>
      <c r="Y335" s="123"/>
      <c r="Z335" s="123"/>
      <c r="AA335" s="123"/>
      <c r="AB335" s="123"/>
      <c r="AC335" s="123"/>
      <c r="AD335" s="123"/>
      <c r="AE335" s="123"/>
      <c r="AF335" s="123"/>
    </row>
    <row r="336" spans="1:32">
      <c r="A336" s="123"/>
      <c r="B336" s="123"/>
      <c r="C336" s="123"/>
      <c r="D336" s="123"/>
      <c r="E336" s="123"/>
      <c r="F336" s="123"/>
      <c r="G336" s="123"/>
      <c r="H336" s="123"/>
      <c r="I336" s="123"/>
      <c r="J336" s="123"/>
      <c r="K336" s="123"/>
      <c r="L336" s="123"/>
      <c r="M336" s="123"/>
      <c r="N336" s="123"/>
      <c r="O336" s="123"/>
      <c r="P336" s="123"/>
      <c r="Q336" s="144"/>
      <c r="R336" s="144"/>
      <c r="S336" s="144"/>
      <c r="T336" s="144"/>
      <c r="U336" s="144"/>
      <c r="V336" s="144"/>
      <c r="W336" s="144"/>
      <c r="X336" s="144"/>
      <c r="Y336" s="123"/>
      <c r="Z336" s="123"/>
      <c r="AA336" s="123"/>
      <c r="AB336" s="123"/>
      <c r="AC336" s="123"/>
      <c r="AD336" s="123"/>
      <c r="AE336" s="123"/>
      <c r="AF336" s="123"/>
    </row>
    <row r="337" spans="1:32">
      <c r="A337" s="123"/>
      <c r="B337" s="123"/>
      <c r="C337" s="123"/>
      <c r="D337" s="123"/>
      <c r="E337" s="123"/>
      <c r="F337" s="123"/>
      <c r="G337" s="123"/>
      <c r="H337" s="123"/>
      <c r="I337" s="123"/>
      <c r="J337" s="123"/>
      <c r="K337" s="123"/>
      <c r="L337" s="123"/>
      <c r="M337" s="123"/>
      <c r="N337" s="123"/>
      <c r="O337" s="123"/>
      <c r="P337" s="123"/>
      <c r="Q337" s="144"/>
      <c r="R337" s="144"/>
      <c r="S337" s="144"/>
      <c r="T337" s="144"/>
      <c r="U337" s="144"/>
      <c r="V337" s="144"/>
      <c r="W337" s="144"/>
      <c r="X337" s="144"/>
      <c r="Y337" s="123"/>
      <c r="Z337" s="123"/>
      <c r="AA337" s="123"/>
      <c r="AB337" s="123"/>
      <c r="AC337" s="123"/>
      <c r="AD337" s="123"/>
      <c r="AE337" s="123"/>
      <c r="AF337" s="123"/>
    </row>
    <row r="338" spans="1:32">
      <c r="A338" s="123"/>
      <c r="B338" s="123"/>
      <c r="C338" s="123"/>
      <c r="D338" s="123"/>
      <c r="E338" s="123"/>
      <c r="F338" s="123"/>
      <c r="G338" s="123"/>
      <c r="H338" s="123"/>
      <c r="I338" s="123"/>
      <c r="J338" s="123"/>
      <c r="K338" s="123"/>
      <c r="L338" s="123"/>
      <c r="M338" s="123"/>
      <c r="N338" s="123"/>
      <c r="O338" s="123"/>
      <c r="P338" s="123"/>
      <c r="Q338" s="144"/>
      <c r="R338" s="144"/>
      <c r="S338" s="144"/>
      <c r="T338" s="144"/>
      <c r="U338" s="144"/>
      <c r="V338" s="144"/>
      <c r="W338" s="144"/>
      <c r="X338" s="144"/>
      <c r="Y338" s="123"/>
      <c r="Z338" s="123"/>
      <c r="AA338" s="123"/>
      <c r="AB338" s="123"/>
      <c r="AC338" s="123"/>
      <c r="AD338" s="123"/>
      <c r="AE338" s="123"/>
      <c r="AF338" s="123"/>
    </row>
    <row r="339" spans="1:32">
      <c r="A339" s="123"/>
      <c r="B339" s="123"/>
      <c r="C339" s="123"/>
      <c r="D339" s="123"/>
      <c r="E339" s="123"/>
      <c r="F339" s="123"/>
      <c r="G339" s="123"/>
      <c r="H339" s="123"/>
      <c r="I339" s="123"/>
      <c r="J339" s="123"/>
      <c r="K339" s="123"/>
      <c r="L339" s="123"/>
      <c r="M339" s="123"/>
      <c r="N339" s="123"/>
      <c r="O339" s="123"/>
      <c r="P339" s="123"/>
      <c r="Q339" s="144"/>
      <c r="R339" s="144"/>
      <c r="S339" s="144"/>
      <c r="T339" s="144"/>
      <c r="U339" s="144"/>
      <c r="V339" s="144"/>
      <c r="W339" s="144"/>
      <c r="X339" s="144"/>
      <c r="Y339" s="123"/>
      <c r="Z339" s="123"/>
      <c r="AA339" s="123"/>
      <c r="AB339" s="123"/>
      <c r="AC339" s="123"/>
      <c r="AD339" s="123"/>
      <c r="AE339" s="123"/>
      <c r="AF339" s="123"/>
    </row>
    <row r="340" spans="1:32">
      <c r="A340" s="123"/>
      <c r="B340" s="123"/>
      <c r="C340" s="123"/>
      <c r="D340" s="123"/>
      <c r="E340" s="123"/>
      <c r="F340" s="123"/>
      <c r="G340" s="123"/>
      <c r="H340" s="123"/>
      <c r="I340" s="123"/>
      <c r="J340" s="123"/>
      <c r="K340" s="123"/>
      <c r="L340" s="123"/>
      <c r="M340" s="123"/>
      <c r="N340" s="123"/>
      <c r="O340" s="123"/>
      <c r="P340" s="123"/>
      <c r="Q340" s="144"/>
      <c r="R340" s="144"/>
      <c r="S340" s="144"/>
      <c r="T340" s="144"/>
      <c r="U340" s="144"/>
      <c r="V340" s="144"/>
      <c r="W340" s="144"/>
      <c r="X340" s="144"/>
      <c r="Y340" s="123"/>
      <c r="Z340" s="123"/>
      <c r="AA340" s="123"/>
      <c r="AB340" s="123"/>
      <c r="AC340" s="123"/>
      <c r="AD340" s="123"/>
      <c r="AE340" s="123"/>
      <c r="AF340" s="123"/>
    </row>
    <row r="341" spans="1:32">
      <c r="A341" s="123"/>
      <c r="B341" s="123"/>
      <c r="C341" s="123"/>
      <c r="D341" s="123"/>
      <c r="E341" s="123"/>
      <c r="F341" s="123"/>
      <c r="G341" s="123"/>
      <c r="H341" s="123"/>
      <c r="I341" s="123"/>
      <c r="J341" s="123"/>
      <c r="K341" s="123"/>
      <c r="L341" s="123"/>
      <c r="M341" s="123"/>
      <c r="N341" s="123"/>
      <c r="O341" s="123"/>
      <c r="P341" s="123"/>
      <c r="Q341" s="144"/>
      <c r="R341" s="144"/>
      <c r="S341" s="144"/>
      <c r="T341" s="144"/>
      <c r="U341" s="144"/>
      <c r="V341" s="144"/>
      <c r="W341" s="144"/>
      <c r="X341" s="144"/>
      <c r="Y341" s="123"/>
      <c r="Z341" s="123"/>
      <c r="AA341" s="123"/>
      <c r="AB341" s="123"/>
      <c r="AC341" s="123"/>
      <c r="AD341" s="123"/>
      <c r="AE341" s="123"/>
      <c r="AF341" s="123"/>
    </row>
    <row r="342" spans="1:32">
      <c r="A342" s="123"/>
      <c r="B342" s="123"/>
      <c r="C342" s="123"/>
      <c r="D342" s="123"/>
      <c r="E342" s="123"/>
      <c r="F342" s="123"/>
      <c r="G342" s="123"/>
      <c r="H342" s="123"/>
      <c r="I342" s="123"/>
      <c r="J342" s="123"/>
      <c r="K342" s="123"/>
      <c r="L342" s="123"/>
      <c r="M342" s="123"/>
      <c r="N342" s="123"/>
      <c r="O342" s="123"/>
      <c r="P342" s="123"/>
      <c r="Q342" s="144"/>
      <c r="R342" s="144"/>
      <c r="S342" s="144"/>
      <c r="T342" s="144"/>
      <c r="U342" s="144"/>
      <c r="V342" s="144"/>
      <c r="W342" s="144"/>
      <c r="X342" s="144"/>
      <c r="Y342" s="123"/>
      <c r="Z342" s="123"/>
      <c r="AA342" s="123"/>
      <c r="AB342" s="123"/>
      <c r="AC342" s="123"/>
      <c r="AD342" s="123"/>
      <c r="AE342" s="123"/>
      <c r="AF342" s="123"/>
    </row>
    <row r="343" spans="1:32">
      <c r="A343" s="123"/>
      <c r="B343" s="123"/>
      <c r="C343" s="123"/>
      <c r="D343" s="123"/>
      <c r="E343" s="123"/>
      <c r="F343" s="123"/>
      <c r="G343" s="123"/>
      <c r="H343" s="123"/>
      <c r="I343" s="123"/>
      <c r="J343" s="123"/>
      <c r="K343" s="123"/>
      <c r="L343" s="123"/>
      <c r="M343" s="123"/>
      <c r="N343" s="123"/>
      <c r="O343" s="123"/>
      <c r="P343" s="123"/>
      <c r="Q343" s="144"/>
      <c r="R343" s="144"/>
      <c r="S343" s="144"/>
      <c r="T343" s="144"/>
      <c r="U343" s="144"/>
      <c r="V343" s="144"/>
      <c r="W343" s="144"/>
      <c r="X343" s="144"/>
      <c r="Y343" s="123"/>
      <c r="Z343" s="123"/>
      <c r="AA343" s="123"/>
      <c r="AB343" s="123"/>
      <c r="AC343" s="123"/>
      <c r="AD343" s="123"/>
      <c r="AE343" s="123"/>
      <c r="AF343" s="123"/>
    </row>
    <row r="344" spans="1:32">
      <c r="A344" s="123"/>
      <c r="B344" s="123"/>
      <c r="C344" s="123"/>
      <c r="D344" s="123"/>
      <c r="E344" s="123"/>
      <c r="F344" s="123"/>
      <c r="G344" s="123"/>
      <c r="H344" s="123"/>
      <c r="I344" s="123"/>
      <c r="J344" s="123"/>
      <c r="K344" s="123"/>
      <c r="L344" s="123"/>
      <c r="M344" s="123"/>
      <c r="N344" s="123"/>
      <c r="O344" s="123"/>
      <c r="P344" s="123"/>
      <c r="Q344" s="144"/>
      <c r="R344" s="144"/>
      <c r="S344" s="144"/>
      <c r="T344" s="144"/>
      <c r="U344" s="144"/>
      <c r="V344" s="144"/>
      <c r="W344" s="144"/>
      <c r="X344" s="144"/>
      <c r="Y344" s="123"/>
      <c r="Z344" s="123"/>
      <c r="AA344" s="123"/>
      <c r="AB344" s="123"/>
      <c r="AC344" s="123"/>
      <c r="AD344" s="123"/>
      <c r="AE344" s="123"/>
      <c r="AF344" s="123"/>
    </row>
    <row r="345" spans="1:32">
      <c r="A345" s="123"/>
      <c r="B345" s="123"/>
      <c r="C345" s="123"/>
      <c r="D345" s="123"/>
      <c r="E345" s="123"/>
      <c r="F345" s="123"/>
      <c r="G345" s="123"/>
      <c r="H345" s="123"/>
      <c r="I345" s="123"/>
      <c r="J345" s="123"/>
      <c r="K345" s="123"/>
      <c r="L345" s="123"/>
      <c r="M345" s="123"/>
      <c r="N345" s="123"/>
      <c r="O345" s="123"/>
      <c r="P345" s="123"/>
      <c r="Q345" s="144"/>
      <c r="R345" s="144"/>
      <c r="S345" s="144"/>
      <c r="T345" s="144"/>
      <c r="U345" s="144"/>
      <c r="V345" s="144"/>
      <c r="W345" s="144"/>
      <c r="X345" s="144"/>
      <c r="Y345" s="123"/>
      <c r="Z345" s="123"/>
      <c r="AA345" s="123"/>
      <c r="AB345" s="123"/>
      <c r="AC345" s="123"/>
      <c r="AD345" s="123"/>
      <c r="AE345" s="123"/>
      <c r="AF345" s="123"/>
    </row>
    <row r="346" spans="1:32">
      <c r="A346" s="123"/>
      <c r="B346" s="123"/>
      <c r="C346" s="123"/>
      <c r="D346" s="123"/>
      <c r="E346" s="123"/>
      <c r="F346" s="123"/>
      <c r="G346" s="123"/>
      <c r="H346" s="123"/>
      <c r="I346" s="123"/>
      <c r="J346" s="123"/>
      <c r="K346" s="123"/>
      <c r="L346" s="123"/>
      <c r="M346" s="123"/>
      <c r="N346" s="123"/>
      <c r="O346" s="123"/>
      <c r="P346" s="123"/>
      <c r="Q346" s="144"/>
      <c r="R346" s="144"/>
      <c r="S346" s="144"/>
      <c r="T346" s="144"/>
      <c r="U346" s="144"/>
      <c r="V346" s="144"/>
      <c r="W346" s="144"/>
      <c r="X346" s="144"/>
      <c r="Y346" s="123"/>
      <c r="Z346" s="123"/>
      <c r="AA346" s="123"/>
      <c r="AB346" s="123"/>
      <c r="AC346" s="123"/>
      <c r="AD346" s="123"/>
      <c r="AE346" s="123"/>
      <c r="AF346" s="123"/>
    </row>
    <row r="347" spans="1:32">
      <c r="A347" s="123"/>
      <c r="B347" s="123"/>
      <c r="C347" s="123"/>
      <c r="D347" s="123"/>
      <c r="E347" s="123"/>
      <c r="F347" s="123"/>
      <c r="G347" s="123"/>
      <c r="H347" s="123"/>
      <c r="I347" s="123"/>
      <c r="J347" s="123"/>
      <c r="K347" s="123"/>
      <c r="L347" s="123"/>
      <c r="M347" s="123"/>
      <c r="N347" s="123"/>
      <c r="O347" s="123"/>
      <c r="P347" s="123"/>
      <c r="Q347" s="144"/>
      <c r="R347" s="144"/>
      <c r="S347" s="144"/>
      <c r="T347" s="144"/>
      <c r="U347" s="144"/>
      <c r="V347" s="144"/>
      <c r="W347" s="144"/>
      <c r="X347" s="144"/>
      <c r="Y347" s="123"/>
      <c r="Z347" s="123"/>
      <c r="AA347" s="123"/>
      <c r="AB347" s="123"/>
      <c r="AC347" s="123"/>
      <c r="AD347" s="123"/>
      <c r="AE347" s="123"/>
      <c r="AF347" s="123"/>
    </row>
    <row r="348" spans="1:32">
      <c r="A348" s="123"/>
      <c r="B348" s="123"/>
      <c r="C348" s="123"/>
      <c r="D348" s="123"/>
      <c r="E348" s="123"/>
      <c r="F348" s="123"/>
      <c r="G348" s="123"/>
      <c r="H348" s="123"/>
      <c r="I348" s="123"/>
      <c r="J348" s="123"/>
      <c r="K348" s="123"/>
      <c r="L348" s="123"/>
      <c r="M348" s="123"/>
      <c r="N348" s="123"/>
      <c r="O348" s="123"/>
      <c r="P348" s="123"/>
      <c r="Q348" s="144"/>
      <c r="R348" s="144"/>
      <c r="S348" s="144"/>
      <c r="T348" s="144"/>
      <c r="U348" s="144"/>
      <c r="V348" s="144"/>
      <c r="W348" s="144"/>
      <c r="X348" s="144"/>
      <c r="Y348" s="123"/>
      <c r="Z348" s="123"/>
      <c r="AA348" s="123"/>
      <c r="AB348" s="123"/>
      <c r="AC348" s="123"/>
      <c r="AD348" s="123"/>
      <c r="AE348" s="123"/>
      <c r="AF348" s="123"/>
    </row>
    <row r="349" spans="1:32">
      <c r="A349" s="123"/>
      <c r="B349" s="123"/>
      <c r="C349" s="123"/>
      <c r="D349" s="123"/>
      <c r="E349" s="123"/>
      <c r="F349" s="123"/>
      <c r="G349" s="123"/>
      <c r="H349" s="123"/>
      <c r="I349" s="123"/>
      <c r="J349" s="123"/>
      <c r="K349" s="123"/>
      <c r="L349" s="123"/>
      <c r="M349" s="123"/>
      <c r="N349" s="123"/>
      <c r="O349" s="123"/>
      <c r="P349" s="123"/>
      <c r="Q349" s="144"/>
      <c r="R349" s="144"/>
      <c r="S349" s="144"/>
      <c r="T349" s="144"/>
      <c r="U349" s="144"/>
      <c r="V349" s="144"/>
      <c r="W349" s="144"/>
      <c r="X349" s="144"/>
      <c r="Y349" s="123"/>
      <c r="Z349" s="123"/>
      <c r="AA349" s="123"/>
      <c r="AB349" s="123"/>
      <c r="AC349" s="123"/>
      <c r="AD349" s="123"/>
      <c r="AE349" s="123"/>
      <c r="AF349" s="123"/>
    </row>
    <row r="350" spans="1:32">
      <c r="A350" s="123"/>
      <c r="B350" s="123"/>
      <c r="C350" s="123"/>
      <c r="D350" s="123"/>
      <c r="E350" s="123"/>
      <c r="F350" s="123"/>
      <c r="G350" s="123"/>
      <c r="H350" s="123"/>
      <c r="I350" s="123"/>
      <c r="J350" s="123"/>
      <c r="K350" s="123"/>
      <c r="L350" s="123"/>
      <c r="M350" s="123"/>
      <c r="N350" s="123"/>
      <c r="O350" s="123"/>
      <c r="P350" s="123"/>
      <c r="Q350" s="144"/>
      <c r="R350" s="144"/>
      <c r="S350" s="144"/>
      <c r="T350" s="144"/>
      <c r="U350" s="144"/>
      <c r="V350" s="144"/>
      <c r="W350" s="144"/>
      <c r="X350" s="144"/>
      <c r="Y350" s="123"/>
      <c r="Z350" s="123"/>
      <c r="AA350" s="123"/>
      <c r="AB350" s="123"/>
      <c r="AC350" s="123"/>
      <c r="AD350" s="123"/>
      <c r="AE350" s="123"/>
      <c r="AF350" s="123"/>
    </row>
    <row r="351" spans="1:32">
      <c r="A351" s="123"/>
      <c r="B351" s="123"/>
      <c r="C351" s="123"/>
      <c r="D351" s="123"/>
      <c r="E351" s="123"/>
      <c r="F351" s="123"/>
      <c r="G351" s="123"/>
      <c r="H351" s="123"/>
      <c r="I351" s="123"/>
      <c r="J351" s="123"/>
      <c r="K351" s="123"/>
      <c r="L351" s="123"/>
      <c r="M351" s="123"/>
      <c r="N351" s="123"/>
      <c r="O351" s="123"/>
      <c r="P351" s="123"/>
      <c r="Q351" s="144"/>
      <c r="R351" s="144"/>
      <c r="S351" s="144"/>
      <c r="T351" s="144"/>
      <c r="U351" s="144"/>
      <c r="V351" s="144"/>
      <c r="W351" s="144"/>
      <c r="X351" s="144"/>
      <c r="Y351" s="123"/>
      <c r="Z351" s="123"/>
      <c r="AA351" s="123"/>
      <c r="AB351" s="123"/>
      <c r="AC351" s="123"/>
      <c r="AD351" s="123"/>
      <c r="AE351" s="123"/>
      <c r="AF351" s="123"/>
    </row>
    <row r="352" spans="1:32">
      <c r="A352" s="123"/>
      <c r="B352" s="123"/>
      <c r="C352" s="123"/>
      <c r="D352" s="123"/>
      <c r="E352" s="123"/>
      <c r="F352" s="123"/>
      <c r="G352" s="123"/>
      <c r="H352" s="123"/>
      <c r="I352" s="123"/>
      <c r="J352" s="123"/>
      <c r="K352" s="123"/>
      <c r="L352" s="123"/>
      <c r="M352" s="123"/>
      <c r="N352" s="123"/>
      <c r="O352" s="123"/>
      <c r="P352" s="123"/>
      <c r="Q352" s="144"/>
      <c r="R352" s="144"/>
      <c r="S352" s="144"/>
      <c r="T352" s="144"/>
      <c r="U352" s="144"/>
      <c r="V352" s="144"/>
      <c r="W352" s="144"/>
      <c r="X352" s="144"/>
      <c r="Y352" s="123"/>
      <c r="Z352" s="123"/>
      <c r="AA352" s="123"/>
      <c r="AB352" s="123"/>
      <c r="AC352" s="123"/>
      <c r="AD352" s="123"/>
      <c r="AE352" s="123"/>
      <c r="AF352" s="123"/>
    </row>
    <row r="353" spans="1:32">
      <c r="A353" s="123"/>
      <c r="B353" s="123"/>
      <c r="C353" s="123"/>
      <c r="D353" s="123"/>
      <c r="E353" s="123"/>
      <c r="F353" s="123"/>
      <c r="G353" s="123"/>
      <c r="H353" s="123"/>
      <c r="I353" s="123"/>
      <c r="J353" s="123"/>
      <c r="K353" s="123"/>
      <c r="L353" s="123"/>
      <c r="M353" s="123"/>
      <c r="N353" s="123"/>
      <c r="O353" s="123"/>
      <c r="P353" s="123"/>
      <c r="Q353" s="144"/>
      <c r="R353" s="144"/>
      <c r="S353" s="144"/>
      <c r="T353" s="144"/>
      <c r="U353" s="144"/>
      <c r="V353" s="144"/>
      <c r="W353" s="144"/>
      <c r="X353" s="144"/>
      <c r="Y353" s="123"/>
      <c r="Z353" s="123"/>
      <c r="AA353" s="123"/>
      <c r="AB353" s="123"/>
      <c r="AC353" s="123"/>
      <c r="AD353" s="123"/>
      <c r="AE353" s="123"/>
      <c r="AF353" s="123"/>
    </row>
    <row r="354" spans="1:32">
      <c r="A354" s="123"/>
      <c r="B354" s="123"/>
      <c r="C354" s="123"/>
      <c r="D354" s="123"/>
      <c r="E354" s="123"/>
      <c r="F354" s="123"/>
      <c r="G354" s="123"/>
      <c r="H354" s="123"/>
      <c r="I354" s="123"/>
      <c r="J354" s="123"/>
      <c r="K354" s="123"/>
      <c r="L354" s="123"/>
      <c r="M354" s="123"/>
      <c r="N354" s="123"/>
      <c r="O354" s="123"/>
      <c r="P354" s="123"/>
      <c r="Q354" s="144"/>
      <c r="R354" s="144"/>
      <c r="S354" s="144"/>
      <c r="T354" s="144"/>
      <c r="U354" s="144"/>
      <c r="V354" s="144"/>
      <c r="W354" s="144"/>
      <c r="X354" s="144"/>
      <c r="Y354" s="123"/>
      <c r="Z354" s="123"/>
      <c r="AA354" s="123"/>
      <c r="AB354" s="123"/>
      <c r="AC354" s="123"/>
      <c r="AD354" s="123"/>
      <c r="AE354" s="123"/>
      <c r="AF354" s="123"/>
    </row>
    <row r="355" spans="1:32">
      <c r="A355" s="123"/>
      <c r="B355" s="123"/>
      <c r="C355" s="123"/>
      <c r="D355" s="123"/>
      <c r="E355" s="123"/>
      <c r="F355" s="123"/>
      <c r="G355" s="123"/>
      <c r="H355" s="123"/>
      <c r="I355" s="123"/>
      <c r="J355" s="123"/>
      <c r="K355" s="123"/>
      <c r="L355" s="123"/>
      <c r="M355" s="123"/>
      <c r="N355" s="123"/>
      <c r="O355" s="123"/>
      <c r="P355" s="123"/>
      <c r="Q355" s="144"/>
      <c r="R355" s="144"/>
      <c r="S355" s="144"/>
      <c r="T355" s="144"/>
      <c r="U355" s="144"/>
      <c r="V355" s="144"/>
      <c r="W355" s="144"/>
      <c r="X355" s="144"/>
      <c r="Y355" s="123"/>
      <c r="Z355" s="123"/>
      <c r="AA355" s="123"/>
      <c r="AB355" s="123"/>
      <c r="AC355" s="123"/>
      <c r="AD355" s="123"/>
      <c r="AE355" s="123"/>
      <c r="AF355" s="123"/>
    </row>
    <row r="356" spans="1:32">
      <c r="A356" s="123"/>
      <c r="B356" s="123"/>
      <c r="C356" s="123"/>
      <c r="D356" s="123"/>
      <c r="E356" s="123"/>
      <c r="F356" s="123"/>
      <c r="G356" s="123"/>
      <c r="H356" s="123"/>
      <c r="I356" s="123"/>
      <c r="J356" s="123"/>
      <c r="K356" s="123"/>
      <c r="L356" s="123"/>
      <c r="M356" s="123"/>
      <c r="N356" s="123"/>
      <c r="O356" s="123"/>
      <c r="P356" s="123"/>
      <c r="Q356" s="144"/>
      <c r="R356" s="144"/>
      <c r="S356" s="144"/>
      <c r="T356" s="144"/>
      <c r="U356" s="144"/>
      <c r="V356" s="144"/>
      <c r="W356" s="144"/>
      <c r="X356" s="144"/>
      <c r="Y356" s="123"/>
      <c r="Z356" s="123"/>
      <c r="AA356" s="123"/>
      <c r="AB356" s="123"/>
      <c r="AC356" s="123"/>
      <c r="AD356" s="123"/>
      <c r="AE356" s="123"/>
      <c r="AF356" s="123"/>
    </row>
    <row r="357" spans="1:32">
      <c r="A357" s="123"/>
      <c r="B357" s="123"/>
      <c r="C357" s="123"/>
      <c r="D357" s="123"/>
      <c r="E357" s="123"/>
      <c r="F357" s="123"/>
      <c r="G357" s="123"/>
      <c r="H357" s="123"/>
      <c r="I357" s="123"/>
      <c r="J357" s="123"/>
      <c r="K357" s="123"/>
      <c r="L357" s="123"/>
      <c r="M357" s="123"/>
      <c r="N357" s="123"/>
      <c r="O357" s="123"/>
      <c r="P357" s="123"/>
      <c r="Q357" s="144"/>
      <c r="R357" s="144"/>
      <c r="S357" s="144"/>
      <c r="T357" s="144"/>
      <c r="U357" s="144"/>
      <c r="V357" s="144"/>
      <c r="W357" s="144"/>
      <c r="X357" s="144"/>
      <c r="Y357" s="123"/>
      <c r="Z357" s="123"/>
      <c r="AA357" s="123"/>
      <c r="AB357" s="123"/>
      <c r="AC357" s="123"/>
      <c r="AD357" s="123"/>
      <c r="AE357" s="123"/>
      <c r="AF357" s="123"/>
    </row>
    <row r="358" spans="1:32">
      <c r="A358" s="123"/>
      <c r="B358" s="123"/>
      <c r="C358" s="123"/>
      <c r="D358" s="123"/>
      <c r="E358" s="123"/>
      <c r="F358" s="123"/>
      <c r="G358" s="123"/>
      <c r="H358" s="123"/>
      <c r="I358" s="123"/>
      <c r="J358" s="123"/>
      <c r="K358" s="123"/>
      <c r="L358" s="123"/>
      <c r="M358" s="123"/>
      <c r="N358" s="123"/>
      <c r="O358" s="123"/>
      <c r="P358" s="123"/>
      <c r="Q358" s="144"/>
      <c r="R358" s="144"/>
      <c r="S358" s="144"/>
      <c r="T358" s="144"/>
      <c r="U358" s="144"/>
      <c r="V358" s="144"/>
      <c r="W358" s="144"/>
      <c r="X358" s="144"/>
      <c r="Y358" s="123"/>
      <c r="Z358" s="123"/>
      <c r="AA358" s="123"/>
      <c r="AB358" s="123"/>
      <c r="AC358" s="123"/>
      <c r="AD358" s="123"/>
      <c r="AE358" s="123"/>
      <c r="AF358" s="123"/>
    </row>
    <row r="359" spans="1:32">
      <c r="A359" s="123"/>
      <c r="B359" s="123"/>
      <c r="C359" s="123"/>
      <c r="D359" s="123"/>
      <c r="E359" s="123"/>
      <c r="F359" s="123"/>
      <c r="G359" s="123"/>
      <c r="H359" s="123"/>
      <c r="I359" s="123"/>
      <c r="J359" s="123"/>
      <c r="K359" s="123"/>
      <c r="L359" s="123"/>
      <c r="M359" s="123"/>
      <c r="N359" s="123"/>
      <c r="O359" s="123"/>
      <c r="P359" s="123"/>
      <c r="Q359" s="144"/>
      <c r="R359" s="144"/>
      <c r="S359" s="144"/>
      <c r="T359" s="144"/>
      <c r="U359" s="144"/>
      <c r="V359" s="144"/>
      <c r="W359" s="144"/>
      <c r="X359" s="144"/>
      <c r="Y359" s="123"/>
      <c r="Z359" s="123"/>
      <c r="AA359" s="123"/>
      <c r="AB359" s="123"/>
      <c r="AC359" s="123"/>
      <c r="AD359" s="123"/>
      <c r="AE359" s="123"/>
      <c r="AF359" s="123"/>
    </row>
    <row r="360" spans="1:32">
      <c r="A360" s="123"/>
      <c r="B360" s="123"/>
      <c r="C360" s="123"/>
      <c r="D360" s="123"/>
      <c r="E360" s="123"/>
      <c r="F360" s="123"/>
      <c r="G360" s="123"/>
      <c r="H360" s="123"/>
      <c r="I360" s="123"/>
      <c r="J360" s="123"/>
      <c r="K360" s="123"/>
      <c r="L360" s="123"/>
      <c r="M360" s="123"/>
      <c r="N360" s="123"/>
      <c r="O360" s="123"/>
      <c r="P360" s="123"/>
      <c r="Q360" s="144"/>
      <c r="R360" s="144"/>
      <c r="S360" s="144"/>
      <c r="T360" s="144"/>
      <c r="U360" s="144"/>
      <c r="V360" s="144"/>
      <c r="W360" s="144"/>
      <c r="X360" s="144"/>
      <c r="Y360" s="123"/>
      <c r="Z360" s="123"/>
      <c r="AA360" s="123"/>
      <c r="AB360" s="123"/>
      <c r="AC360" s="123"/>
      <c r="AD360" s="123"/>
      <c r="AE360" s="123"/>
      <c r="AF360" s="123"/>
    </row>
    <row r="361" spans="1:32">
      <c r="A361" s="123"/>
      <c r="B361" s="123"/>
      <c r="C361" s="123"/>
      <c r="D361" s="123"/>
      <c r="E361" s="123"/>
      <c r="F361" s="123"/>
      <c r="G361" s="123"/>
      <c r="H361" s="123"/>
      <c r="I361" s="123"/>
      <c r="J361" s="123"/>
      <c r="K361" s="123"/>
      <c r="L361" s="123"/>
      <c r="M361" s="123"/>
      <c r="N361" s="123"/>
      <c r="O361" s="123"/>
      <c r="P361" s="123"/>
      <c r="Q361" s="144"/>
      <c r="R361" s="144"/>
      <c r="S361" s="144"/>
      <c r="T361" s="144"/>
      <c r="U361" s="144"/>
      <c r="V361" s="144"/>
      <c r="W361" s="144"/>
      <c r="X361" s="144"/>
      <c r="Y361" s="123"/>
      <c r="Z361" s="123"/>
      <c r="AA361" s="123"/>
      <c r="AB361" s="123"/>
      <c r="AC361" s="123"/>
      <c r="AD361" s="123"/>
      <c r="AE361" s="123"/>
      <c r="AF361" s="123"/>
    </row>
    <row r="362" spans="1:32">
      <c r="A362" s="123"/>
      <c r="B362" s="123"/>
      <c r="C362" s="123"/>
      <c r="D362" s="123"/>
      <c r="E362" s="123"/>
      <c r="F362" s="123"/>
      <c r="G362" s="123"/>
      <c r="H362" s="123"/>
      <c r="I362" s="123"/>
      <c r="J362" s="123"/>
      <c r="K362" s="123"/>
      <c r="L362" s="123"/>
      <c r="M362" s="123"/>
      <c r="N362" s="123"/>
      <c r="O362" s="123"/>
      <c r="P362" s="123"/>
      <c r="Q362" s="144"/>
      <c r="R362" s="144"/>
      <c r="S362" s="144"/>
      <c r="T362" s="144"/>
      <c r="U362" s="144"/>
      <c r="V362" s="144"/>
      <c r="W362" s="144"/>
      <c r="X362" s="144"/>
      <c r="Y362" s="123"/>
      <c r="Z362" s="123"/>
      <c r="AA362" s="123"/>
      <c r="AB362" s="123"/>
      <c r="AC362" s="123"/>
      <c r="AD362" s="123"/>
      <c r="AE362" s="123"/>
      <c r="AF362" s="123"/>
    </row>
    <row r="363" spans="1:32">
      <c r="A363" s="123"/>
      <c r="B363" s="123"/>
      <c r="C363" s="123"/>
      <c r="D363" s="123"/>
      <c r="E363" s="123"/>
      <c r="F363" s="123"/>
      <c r="G363" s="123"/>
      <c r="H363" s="123"/>
      <c r="I363" s="123"/>
      <c r="J363" s="123"/>
      <c r="K363" s="123"/>
      <c r="L363" s="123"/>
      <c r="M363" s="123"/>
      <c r="N363" s="123"/>
      <c r="O363" s="123"/>
      <c r="P363" s="123"/>
      <c r="Q363" s="144"/>
      <c r="R363" s="144"/>
      <c r="S363" s="144"/>
      <c r="T363" s="144"/>
      <c r="U363" s="144"/>
      <c r="V363" s="144"/>
      <c r="W363" s="144"/>
      <c r="X363" s="144"/>
      <c r="Y363" s="123"/>
      <c r="Z363" s="123"/>
      <c r="AA363" s="123"/>
      <c r="AB363" s="123"/>
      <c r="AC363" s="123"/>
      <c r="AD363" s="123"/>
      <c r="AE363" s="123"/>
      <c r="AF363" s="123"/>
    </row>
    <row r="364" spans="1:32">
      <c r="A364" s="123"/>
      <c r="B364" s="123"/>
      <c r="C364" s="123"/>
      <c r="D364" s="123"/>
      <c r="E364" s="123"/>
      <c r="F364" s="123"/>
      <c r="G364" s="123"/>
      <c r="H364" s="123"/>
      <c r="I364" s="123"/>
      <c r="J364" s="123"/>
      <c r="K364" s="123"/>
      <c r="L364" s="123"/>
      <c r="M364" s="123"/>
      <c r="N364" s="123"/>
      <c r="O364" s="123"/>
      <c r="P364" s="123"/>
      <c r="Q364" s="144"/>
      <c r="R364" s="144"/>
      <c r="S364" s="144"/>
      <c r="T364" s="144"/>
      <c r="U364" s="144"/>
      <c r="V364" s="144"/>
      <c r="W364" s="144"/>
      <c r="X364" s="144"/>
      <c r="Y364" s="123"/>
      <c r="Z364" s="123"/>
      <c r="AA364" s="123"/>
      <c r="AB364" s="123"/>
      <c r="AC364" s="123"/>
      <c r="AD364" s="123"/>
      <c r="AE364" s="123"/>
      <c r="AF364" s="123"/>
    </row>
    <row r="365" spans="1:32">
      <c r="A365" s="123"/>
      <c r="B365" s="123"/>
      <c r="C365" s="123"/>
      <c r="D365" s="123"/>
      <c r="E365" s="123"/>
      <c r="F365" s="123"/>
      <c r="G365" s="123"/>
      <c r="H365" s="123"/>
      <c r="I365" s="123"/>
      <c r="J365" s="123"/>
      <c r="K365" s="123"/>
      <c r="L365" s="123"/>
      <c r="M365" s="123"/>
      <c r="N365" s="123"/>
      <c r="O365" s="123"/>
      <c r="P365" s="123"/>
      <c r="Q365" s="144"/>
      <c r="R365" s="144"/>
      <c r="S365" s="144"/>
      <c r="T365" s="144"/>
      <c r="U365" s="144"/>
      <c r="V365" s="144"/>
      <c r="W365" s="144"/>
      <c r="X365" s="144"/>
      <c r="Y365" s="123"/>
      <c r="Z365" s="123"/>
      <c r="AA365" s="123"/>
      <c r="AB365" s="123"/>
      <c r="AC365" s="123"/>
      <c r="AD365" s="123"/>
      <c r="AE365" s="123"/>
      <c r="AF365" s="123"/>
    </row>
    <row r="366" spans="1:32">
      <c r="A366" s="123"/>
      <c r="B366" s="123"/>
      <c r="C366" s="123"/>
      <c r="D366" s="123"/>
      <c r="E366" s="123"/>
      <c r="F366" s="123"/>
      <c r="G366" s="123"/>
      <c r="H366" s="123"/>
      <c r="I366" s="123"/>
      <c r="J366" s="123"/>
      <c r="K366" s="123"/>
      <c r="L366" s="123"/>
      <c r="M366" s="123"/>
      <c r="N366" s="123"/>
      <c r="O366" s="123"/>
      <c r="P366" s="123"/>
      <c r="Q366" s="144"/>
      <c r="R366" s="144"/>
      <c r="S366" s="144"/>
      <c r="T366" s="144"/>
      <c r="U366" s="144"/>
      <c r="V366" s="144"/>
      <c r="W366" s="144"/>
      <c r="X366" s="144"/>
      <c r="Y366" s="123"/>
      <c r="Z366" s="123"/>
      <c r="AA366" s="123"/>
      <c r="AB366" s="123"/>
      <c r="AC366" s="123"/>
      <c r="AD366" s="123"/>
      <c r="AE366" s="123"/>
      <c r="AF366" s="123"/>
    </row>
    <row r="367" spans="1:32">
      <c r="A367" s="123"/>
      <c r="B367" s="123"/>
      <c r="C367" s="123"/>
      <c r="D367" s="123"/>
      <c r="E367" s="123"/>
      <c r="F367" s="123"/>
      <c r="G367" s="123"/>
      <c r="H367" s="123"/>
      <c r="I367" s="123"/>
      <c r="J367" s="123"/>
      <c r="K367" s="123"/>
      <c r="L367" s="123"/>
      <c r="M367" s="123"/>
      <c r="N367" s="123"/>
      <c r="O367" s="123"/>
      <c r="P367" s="123"/>
      <c r="Q367" s="144"/>
      <c r="R367" s="144"/>
      <c r="S367" s="144"/>
      <c r="T367" s="144"/>
      <c r="U367" s="144"/>
      <c r="V367" s="144"/>
      <c r="W367" s="144"/>
      <c r="X367" s="144"/>
      <c r="Y367" s="123"/>
      <c r="Z367" s="123"/>
      <c r="AA367" s="123"/>
      <c r="AB367" s="123"/>
      <c r="AC367" s="123"/>
      <c r="AD367" s="123"/>
      <c r="AE367" s="123"/>
      <c r="AF367" s="123"/>
    </row>
    <row r="368" spans="1:32">
      <c r="A368" s="123"/>
      <c r="B368" s="123"/>
      <c r="C368" s="123"/>
      <c r="D368" s="123"/>
      <c r="E368" s="123"/>
      <c r="F368" s="123"/>
      <c r="G368" s="123"/>
      <c r="H368" s="123"/>
      <c r="I368" s="123"/>
      <c r="J368" s="123"/>
      <c r="K368" s="123"/>
      <c r="L368" s="123"/>
      <c r="M368" s="123"/>
      <c r="N368" s="123"/>
      <c r="O368" s="123"/>
      <c r="P368" s="123"/>
      <c r="Q368" s="144"/>
      <c r="R368" s="144"/>
      <c r="S368" s="144"/>
      <c r="T368" s="144"/>
      <c r="U368" s="144"/>
      <c r="V368" s="144"/>
      <c r="W368" s="144"/>
      <c r="X368" s="144"/>
      <c r="Y368" s="123"/>
      <c r="Z368" s="123"/>
      <c r="AA368" s="123"/>
      <c r="AB368" s="123"/>
      <c r="AC368" s="123"/>
      <c r="AD368" s="123"/>
      <c r="AE368" s="123"/>
      <c r="AF368" s="123"/>
    </row>
    <row r="369" spans="1:32">
      <c r="A369" s="123"/>
      <c r="B369" s="123"/>
      <c r="C369" s="123"/>
      <c r="D369" s="123"/>
      <c r="E369" s="123"/>
      <c r="F369" s="123"/>
      <c r="G369" s="123"/>
      <c r="H369" s="123"/>
      <c r="I369" s="123"/>
      <c r="J369" s="123"/>
      <c r="K369" s="123"/>
      <c r="L369" s="123"/>
      <c r="M369" s="123"/>
      <c r="N369" s="123"/>
      <c r="O369" s="123"/>
      <c r="P369" s="123"/>
      <c r="Q369" s="144"/>
      <c r="R369" s="144"/>
      <c r="S369" s="144"/>
      <c r="T369" s="144"/>
      <c r="U369" s="144"/>
      <c r="V369" s="144"/>
      <c r="W369" s="144"/>
      <c r="X369" s="144"/>
      <c r="Y369" s="123"/>
      <c r="Z369" s="123"/>
      <c r="AA369" s="123"/>
      <c r="AB369" s="123"/>
      <c r="AC369" s="123"/>
      <c r="AD369" s="123"/>
      <c r="AE369" s="123"/>
      <c r="AF369" s="123"/>
    </row>
    <row r="370" spans="1:32">
      <c r="A370" s="123"/>
      <c r="B370" s="123"/>
      <c r="C370" s="123"/>
      <c r="D370" s="123"/>
      <c r="E370" s="123"/>
      <c r="F370" s="123"/>
      <c r="G370" s="123"/>
      <c r="H370" s="123"/>
      <c r="I370" s="123"/>
      <c r="J370" s="123"/>
      <c r="K370" s="123"/>
      <c r="L370" s="123"/>
      <c r="M370" s="123"/>
      <c r="N370" s="123"/>
      <c r="O370" s="123"/>
      <c r="P370" s="123"/>
      <c r="Q370" s="144"/>
      <c r="R370" s="144"/>
      <c r="S370" s="144"/>
      <c r="T370" s="144"/>
      <c r="U370" s="144"/>
      <c r="V370" s="144"/>
      <c r="W370" s="144"/>
      <c r="X370" s="144"/>
      <c r="Y370" s="123"/>
      <c r="Z370" s="123"/>
      <c r="AA370" s="123"/>
      <c r="AB370" s="123"/>
      <c r="AC370" s="123"/>
      <c r="AD370" s="123"/>
      <c r="AE370" s="123"/>
      <c r="AF370" s="123"/>
    </row>
    <row r="371" spans="1:32">
      <c r="A371" s="123"/>
      <c r="B371" s="123"/>
      <c r="C371" s="123"/>
      <c r="D371" s="123"/>
      <c r="E371" s="123"/>
      <c r="F371" s="123"/>
      <c r="G371" s="123"/>
      <c r="H371" s="123"/>
      <c r="I371" s="123"/>
      <c r="J371" s="123"/>
      <c r="K371" s="123"/>
      <c r="L371" s="123"/>
      <c r="M371" s="123"/>
      <c r="N371" s="123"/>
      <c r="O371" s="123"/>
      <c r="P371" s="123"/>
      <c r="Q371" s="144"/>
      <c r="R371" s="144"/>
      <c r="S371" s="144"/>
      <c r="T371" s="144"/>
      <c r="U371" s="144"/>
      <c r="V371" s="144"/>
      <c r="W371" s="144"/>
      <c r="X371" s="144"/>
      <c r="Y371" s="123"/>
      <c r="Z371" s="123"/>
      <c r="AA371" s="123"/>
      <c r="AB371" s="123"/>
      <c r="AC371" s="123"/>
      <c r="AD371" s="123"/>
      <c r="AE371" s="123"/>
      <c r="AF371" s="123"/>
    </row>
    <row r="372" spans="1:32">
      <c r="A372" s="123"/>
      <c r="B372" s="123"/>
      <c r="C372" s="123"/>
      <c r="D372" s="123"/>
      <c r="E372" s="123"/>
      <c r="F372" s="123"/>
      <c r="G372" s="123"/>
      <c r="H372" s="123"/>
      <c r="I372" s="123"/>
      <c r="J372" s="123"/>
      <c r="K372" s="123"/>
      <c r="L372" s="123"/>
      <c r="M372" s="123"/>
      <c r="N372" s="123"/>
      <c r="O372" s="123"/>
      <c r="P372" s="123"/>
      <c r="Q372" s="144"/>
      <c r="R372" s="144"/>
      <c r="S372" s="144"/>
      <c r="T372" s="144"/>
      <c r="U372" s="144"/>
      <c r="V372" s="144"/>
      <c r="W372" s="144"/>
      <c r="X372" s="144"/>
      <c r="Y372" s="123"/>
      <c r="Z372" s="123"/>
      <c r="AA372" s="123"/>
      <c r="AB372" s="123"/>
      <c r="AC372" s="123"/>
      <c r="AD372" s="123"/>
      <c r="AE372" s="123"/>
      <c r="AF372" s="123"/>
    </row>
    <row r="373" spans="1:32">
      <c r="A373" s="123"/>
      <c r="B373" s="123"/>
      <c r="C373" s="123"/>
      <c r="D373" s="123"/>
      <c r="E373" s="123"/>
      <c r="F373" s="123"/>
      <c r="G373" s="123"/>
      <c r="H373" s="123"/>
      <c r="I373" s="123"/>
      <c r="J373" s="123"/>
      <c r="K373" s="123"/>
      <c r="L373" s="123"/>
      <c r="M373" s="123"/>
      <c r="N373" s="123"/>
      <c r="O373" s="123"/>
      <c r="P373" s="123"/>
      <c r="Q373" s="144"/>
      <c r="R373" s="144"/>
      <c r="S373" s="144"/>
      <c r="T373" s="144"/>
      <c r="U373" s="144"/>
      <c r="V373" s="144"/>
      <c r="W373" s="144"/>
      <c r="X373" s="144"/>
      <c r="Y373" s="123"/>
      <c r="Z373" s="123"/>
      <c r="AA373" s="123"/>
      <c r="AB373" s="123"/>
      <c r="AC373" s="123"/>
      <c r="AD373" s="123"/>
      <c r="AE373" s="123"/>
      <c r="AF373" s="123"/>
    </row>
    <row r="374" spans="1:32">
      <c r="A374" s="123"/>
      <c r="B374" s="123"/>
      <c r="C374" s="123"/>
      <c r="D374" s="123"/>
      <c r="E374" s="123"/>
      <c r="F374" s="123"/>
      <c r="G374" s="123"/>
      <c r="H374" s="123"/>
      <c r="I374" s="123"/>
      <c r="J374" s="123"/>
      <c r="K374" s="123"/>
      <c r="L374" s="123"/>
      <c r="M374" s="123"/>
      <c r="N374" s="123"/>
      <c r="O374" s="123"/>
      <c r="P374" s="123"/>
      <c r="Q374" s="144"/>
      <c r="R374" s="144"/>
      <c r="S374" s="144"/>
      <c r="T374" s="144"/>
      <c r="U374" s="144"/>
      <c r="V374" s="144"/>
      <c r="W374" s="144"/>
      <c r="X374" s="144"/>
      <c r="Y374" s="123"/>
      <c r="Z374" s="123"/>
      <c r="AA374" s="123"/>
      <c r="AB374" s="123"/>
      <c r="AC374" s="123"/>
      <c r="AD374" s="123"/>
      <c r="AE374" s="123"/>
      <c r="AF374" s="123"/>
    </row>
    <row r="375" spans="1:32">
      <c r="A375" s="123"/>
      <c r="B375" s="123"/>
      <c r="C375" s="123"/>
      <c r="D375" s="123"/>
      <c r="E375" s="123"/>
      <c r="F375" s="123"/>
      <c r="G375" s="123"/>
      <c r="H375" s="123"/>
      <c r="I375" s="123"/>
      <c r="J375" s="123"/>
      <c r="K375" s="123"/>
      <c r="L375" s="123"/>
      <c r="M375" s="123"/>
      <c r="N375" s="123"/>
      <c r="O375" s="123"/>
      <c r="P375" s="123"/>
      <c r="Q375" s="144"/>
      <c r="R375" s="144"/>
      <c r="S375" s="144"/>
      <c r="T375" s="144"/>
      <c r="U375" s="144"/>
      <c r="V375" s="144"/>
      <c r="W375" s="144"/>
      <c r="X375" s="144"/>
      <c r="Y375" s="123"/>
      <c r="Z375" s="123"/>
      <c r="AA375" s="123"/>
      <c r="AB375" s="123"/>
      <c r="AC375" s="123"/>
      <c r="AD375" s="123"/>
      <c r="AE375" s="123"/>
      <c r="AF375" s="123"/>
    </row>
    <row r="376" spans="1:32">
      <c r="A376" s="123"/>
      <c r="B376" s="123"/>
      <c r="C376" s="123"/>
      <c r="D376" s="123"/>
      <c r="E376" s="123"/>
      <c r="F376" s="123"/>
      <c r="G376" s="123"/>
      <c r="H376" s="123"/>
      <c r="I376" s="123"/>
      <c r="J376" s="123"/>
      <c r="K376" s="123"/>
      <c r="L376" s="123"/>
      <c r="M376" s="123"/>
      <c r="N376" s="123"/>
      <c r="O376" s="123"/>
      <c r="P376" s="123"/>
      <c r="Q376" s="144"/>
      <c r="R376" s="144"/>
      <c r="S376" s="144"/>
      <c r="T376" s="144"/>
      <c r="U376" s="144"/>
      <c r="V376" s="144"/>
      <c r="W376" s="144"/>
      <c r="X376" s="144"/>
      <c r="Y376" s="123"/>
      <c r="Z376" s="123"/>
      <c r="AA376" s="123"/>
      <c r="AB376" s="123"/>
      <c r="AC376" s="123"/>
      <c r="AD376" s="123"/>
      <c r="AE376" s="123"/>
      <c r="AF376" s="123"/>
    </row>
    <row r="377" spans="1:32">
      <c r="A377" s="123"/>
      <c r="B377" s="123"/>
      <c r="C377" s="123"/>
      <c r="D377" s="123"/>
      <c r="E377" s="123"/>
      <c r="F377" s="123"/>
      <c r="G377" s="123"/>
      <c r="H377" s="123"/>
      <c r="I377" s="123"/>
      <c r="J377" s="123"/>
      <c r="K377" s="123"/>
      <c r="L377" s="123"/>
      <c r="M377" s="123"/>
      <c r="N377" s="123"/>
      <c r="O377" s="123"/>
      <c r="P377" s="123"/>
      <c r="Q377" s="144"/>
      <c r="R377" s="144"/>
      <c r="S377" s="144"/>
      <c r="T377" s="144"/>
      <c r="U377" s="144"/>
      <c r="V377" s="144"/>
      <c r="W377" s="144"/>
      <c r="X377" s="144"/>
      <c r="Y377" s="123"/>
      <c r="Z377" s="123"/>
      <c r="AA377" s="123"/>
      <c r="AB377" s="123"/>
      <c r="AC377" s="123"/>
      <c r="AD377" s="123"/>
      <c r="AE377" s="123"/>
      <c r="AF377" s="123"/>
    </row>
    <row r="378" spans="1:32">
      <c r="A378" s="123"/>
      <c r="B378" s="123"/>
      <c r="C378" s="123"/>
      <c r="D378" s="123"/>
      <c r="E378" s="123"/>
      <c r="F378" s="123"/>
      <c r="G378" s="123"/>
      <c r="H378" s="123"/>
      <c r="I378" s="123"/>
      <c r="J378" s="123"/>
      <c r="K378" s="123"/>
      <c r="L378" s="123"/>
      <c r="M378" s="123"/>
      <c r="N378" s="123"/>
      <c r="O378" s="123"/>
      <c r="P378" s="123"/>
      <c r="Q378" s="144"/>
      <c r="R378" s="144"/>
      <c r="S378" s="144"/>
      <c r="T378" s="144"/>
      <c r="U378" s="144"/>
      <c r="V378" s="144"/>
      <c r="W378" s="144"/>
      <c r="X378" s="144"/>
      <c r="Y378" s="123"/>
      <c r="Z378" s="123"/>
      <c r="AA378" s="123"/>
      <c r="AB378" s="123"/>
      <c r="AC378" s="123"/>
      <c r="AD378" s="123"/>
      <c r="AE378" s="123"/>
      <c r="AF378" s="123"/>
    </row>
    <row r="379" spans="1:32">
      <c r="A379" s="123"/>
      <c r="B379" s="123"/>
      <c r="C379" s="123"/>
      <c r="D379" s="123"/>
      <c r="E379" s="123"/>
      <c r="F379" s="123"/>
      <c r="G379" s="123"/>
      <c r="H379" s="123"/>
      <c r="I379" s="123"/>
      <c r="J379" s="123"/>
      <c r="K379" s="123"/>
      <c r="L379" s="123"/>
      <c r="M379" s="123"/>
      <c r="N379" s="123"/>
      <c r="O379" s="123"/>
      <c r="P379" s="123"/>
      <c r="Q379" s="144"/>
      <c r="R379" s="144"/>
      <c r="S379" s="144"/>
      <c r="T379" s="144"/>
      <c r="U379" s="144"/>
      <c r="V379" s="144"/>
      <c r="W379" s="144"/>
      <c r="X379" s="144"/>
      <c r="Y379" s="123"/>
      <c r="Z379" s="123"/>
      <c r="AA379" s="123"/>
      <c r="AB379" s="123"/>
      <c r="AC379" s="123"/>
      <c r="AD379" s="123"/>
      <c r="AE379" s="123"/>
      <c r="AF379" s="123"/>
    </row>
    <row r="380" spans="1:32">
      <c r="A380" s="123"/>
      <c r="B380" s="123"/>
      <c r="C380" s="123"/>
      <c r="D380" s="123"/>
      <c r="E380" s="123"/>
      <c r="F380" s="123"/>
      <c r="G380" s="123"/>
      <c r="H380" s="123"/>
      <c r="I380" s="123"/>
      <c r="J380" s="123"/>
      <c r="K380" s="123"/>
      <c r="L380" s="123"/>
      <c r="M380" s="123"/>
      <c r="N380" s="123"/>
      <c r="O380" s="123"/>
      <c r="P380" s="123"/>
      <c r="Q380" s="144"/>
      <c r="R380" s="144"/>
      <c r="S380" s="144"/>
      <c r="T380" s="144"/>
      <c r="U380" s="144"/>
      <c r="V380" s="144"/>
      <c r="W380" s="144"/>
      <c r="X380" s="144"/>
      <c r="Y380" s="123"/>
      <c r="Z380" s="123"/>
      <c r="AA380" s="123"/>
      <c r="AB380" s="123"/>
      <c r="AC380" s="123"/>
      <c r="AD380" s="123"/>
      <c r="AE380" s="123"/>
      <c r="AF380" s="123"/>
    </row>
    <row r="381" spans="1:32">
      <c r="A381" s="123"/>
      <c r="B381" s="123"/>
      <c r="C381" s="123"/>
      <c r="D381" s="123"/>
      <c r="E381" s="123"/>
      <c r="F381" s="123"/>
      <c r="G381" s="123"/>
      <c r="H381" s="123"/>
      <c r="I381" s="123"/>
      <c r="J381" s="123"/>
      <c r="K381" s="123"/>
      <c r="L381" s="123"/>
      <c r="M381" s="123"/>
      <c r="N381" s="123"/>
      <c r="O381" s="123"/>
      <c r="P381" s="123"/>
      <c r="Q381" s="144"/>
      <c r="R381" s="144"/>
      <c r="S381" s="144"/>
      <c r="T381" s="144"/>
      <c r="U381" s="144"/>
      <c r="V381" s="144"/>
      <c r="W381" s="144"/>
      <c r="X381" s="144"/>
      <c r="Y381" s="123"/>
      <c r="Z381" s="123"/>
      <c r="AA381" s="123"/>
      <c r="AB381" s="123"/>
      <c r="AC381" s="123"/>
      <c r="AD381" s="123"/>
      <c r="AE381" s="123"/>
      <c r="AF381" s="123"/>
    </row>
    <row r="382" spans="1:32">
      <c r="A382" s="123"/>
      <c r="B382" s="123"/>
      <c r="C382" s="123"/>
      <c r="D382" s="123"/>
      <c r="E382" s="123"/>
      <c r="F382" s="123"/>
      <c r="G382" s="123"/>
      <c r="H382" s="123"/>
      <c r="I382" s="123"/>
      <c r="J382" s="123"/>
      <c r="K382" s="123"/>
      <c r="L382" s="123"/>
      <c r="M382" s="123"/>
      <c r="N382" s="123"/>
      <c r="O382" s="123"/>
      <c r="P382" s="123"/>
      <c r="Q382" s="144"/>
      <c r="R382" s="144"/>
      <c r="S382" s="144"/>
      <c r="T382" s="144"/>
      <c r="U382" s="144"/>
      <c r="V382" s="144"/>
      <c r="W382" s="144"/>
      <c r="X382" s="144"/>
      <c r="Y382" s="123"/>
      <c r="Z382" s="123"/>
      <c r="AA382" s="123"/>
      <c r="AB382" s="123"/>
      <c r="AC382" s="123"/>
      <c r="AD382" s="123"/>
      <c r="AE382" s="123"/>
      <c r="AF382" s="123"/>
    </row>
    <row r="383" spans="1:32">
      <c r="A383" s="123"/>
      <c r="B383" s="123"/>
      <c r="C383" s="123"/>
      <c r="D383" s="123"/>
      <c r="E383" s="123"/>
      <c r="F383" s="123"/>
      <c r="G383" s="123"/>
      <c r="H383" s="123"/>
      <c r="I383" s="123"/>
      <c r="J383" s="123"/>
      <c r="K383" s="123"/>
      <c r="L383" s="123"/>
      <c r="M383" s="123"/>
      <c r="N383" s="123"/>
      <c r="O383" s="123"/>
      <c r="P383" s="123"/>
      <c r="Q383" s="144"/>
      <c r="R383" s="144"/>
      <c r="S383" s="144"/>
      <c r="T383" s="144"/>
      <c r="U383" s="144"/>
      <c r="V383" s="144"/>
      <c r="W383" s="144"/>
      <c r="X383" s="144"/>
      <c r="Y383" s="123"/>
      <c r="Z383" s="123"/>
      <c r="AA383" s="123"/>
      <c r="AB383" s="123"/>
      <c r="AC383" s="123"/>
      <c r="AD383" s="123"/>
      <c r="AE383" s="123"/>
      <c r="AF383" s="123"/>
    </row>
    <row r="384" spans="1:32">
      <c r="A384" s="123"/>
      <c r="B384" s="123"/>
      <c r="C384" s="123"/>
      <c r="D384" s="123"/>
      <c r="E384" s="123"/>
      <c r="F384" s="123"/>
      <c r="G384" s="123"/>
      <c r="H384" s="123"/>
      <c r="I384" s="123"/>
      <c r="J384" s="123"/>
      <c r="K384" s="123"/>
      <c r="L384" s="123"/>
      <c r="M384" s="123"/>
      <c r="N384" s="123"/>
      <c r="O384" s="123"/>
      <c r="P384" s="123"/>
      <c r="Q384" s="144"/>
      <c r="R384" s="144"/>
      <c r="S384" s="144"/>
      <c r="T384" s="144"/>
      <c r="U384" s="144"/>
      <c r="V384" s="144"/>
      <c r="W384" s="144"/>
      <c r="X384" s="144"/>
      <c r="Y384" s="123"/>
      <c r="Z384" s="123"/>
      <c r="AA384" s="123"/>
      <c r="AB384" s="123"/>
      <c r="AC384" s="123"/>
      <c r="AD384" s="123"/>
      <c r="AE384" s="123"/>
      <c r="AF384" s="123"/>
    </row>
    <row r="385" spans="1:32">
      <c r="A385" s="123"/>
      <c r="B385" s="123"/>
      <c r="C385" s="123"/>
      <c r="D385" s="123"/>
      <c r="E385" s="123"/>
      <c r="F385" s="123"/>
      <c r="G385" s="123"/>
      <c r="H385" s="123"/>
      <c r="I385" s="123"/>
      <c r="J385" s="123"/>
      <c r="K385" s="123"/>
      <c r="L385" s="123"/>
      <c r="M385" s="123"/>
      <c r="N385" s="123"/>
      <c r="O385" s="123"/>
      <c r="P385" s="123"/>
      <c r="Q385" s="144"/>
      <c r="R385" s="144"/>
      <c r="S385" s="144"/>
      <c r="T385" s="144"/>
      <c r="U385" s="144"/>
      <c r="V385" s="144"/>
      <c r="W385" s="144"/>
      <c r="X385" s="144"/>
      <c r="Y385" s="123"/>
      <c r="Z385" s="123"/>
      <c r="AA385" s="123"/>
      <c r="AB385" s="123"/>
      <c r="AC385" s="123"/>
      <c r="AD385" s="123"/>
      <c r="AE385" s="123"/>
      <c r="AF385" s="123"/>
    </row>
    <row r="386" spans="1:32">
      <c r="A386" s="123"/>
      <c r="B386" s="123"/>
      <c r="C386" s="123"/>
      <c r="D386" s="123"/>
      <c r="E386" s="123"/>
      <c r="F386" s="123"/>
      <c r="G386" s="123"/>
      <c r="H386" s="123"/>
      <c r="I386" s="123"/>
      <c r="J386" s="123"/>
      <c r="K386" s="123"/>
      <c r="L386" s="123"/>
      <c r="M386" s="123"/>
      <c r="N386" s="123"/>
      <c r="O386" s="123"/>
      <c r="P386" s="123"/>
      <c r="Q386" s="144"/>
      <c r="R386" s="144"/>
      <c r="S386" s="144"/>
      <c r="T386" s="144"/>
      <c r="U386" s="144"/>
      <c r="V386" s="144"/>
      <c r="W386" s="144"/>
      <c r="X386" s="144"/>
      <c r="Y386" s="123"/>
      <c r="Z386" s="123"/>
      <c r="AA386" s="123"/>
      <c r="AB386" s="123"/>
      <c r="AC386" s="123"/>
      <c r="AD386" s="123"/>
      <c r="AE386" s="123"/>
      <c r="AF386" s="123"/>
    </row>
    <row r="387" spans="1:32">
      <c r="A387" s="123"/>
      <c r="B387" s="123"/>
      <c r="C387" s="123"/>
      <c r="D387" s="123"/>
      <c r="E387" s="123"/>
      <c r="F387" s="123"/>
      <c r="G387" s="123"/>
      <c r="H387" s="123"/>
      <c r="I387" s="123"/>
      <c r="J387" s="123"/>
      <c r="K387" s="123"/>
      <c r="L387" s="123"/>
      <c r="M387" s="123"/>
      <c r="N387" s="123"/>
      <c r="O387" s="123"/>
      <c r="P387" s="123"/>
      <c r="Q387" s="144"/>
      <c r="R387" s="144"/>
      <c r="S387" s="144"/>
      <c r="T387" s="144"/>
      <c r="U387" s="144"/>
      <c r="V387" s="144"/>
      <c r="W387" s="144"/>
      <c r="X387" s="144"/>
      <c r="Y387" s="123"/>
      <c r="Z387" s="123"/>
      <c r="AA387" s="123"/>
      <c r="AB387" s="123"/>
      <c r="AC387" s="123"/>
      <c r="AD387" s="123"/>
      <c r="AE387" s="123"/>
      <c r="AF387" s="123"/>
    </row>
    <row r="388" spans="1:32">
      <c r="A388" s="123"/>
      <c r="B388" s="123"/>
      <c r="C388" s="123"/>
      <c r="D388" s="123"/>
      <c r="E388" s="123"/>
      <c r="F388" s="123"/>
      <c r="G388" s="123"/>
      <c r="H388" s="123"/>
      <c r="I388" s="123"/>
      <c r="J388" s="123"/>
      <c r="K388" s="123"/>
      <c r="L388" s="123"/>
      <c r="M388" s="123"/>
      <c r="N388" s="123"/>
      <c r="O388" s="123"/>
      <c r="P388" s="123"/>
      <c r="Q388" s="144"/>
      <c r="R388" s="144"/>
      <c r="S388" s="144"/>
      <c r="T388" s="144"/>
      <c r="U388" s="144"/>
      <c r="V388" s="144"/>
      <c r="W388" s="144"/>
      <c r="X388" s="144"/>
      <c r="Y388" s="123"/>
      <c r="Z388" s="123"/>
      <c r="AA388" s="123"/>
      <c r="AB388" s="123"/>
      <c r="AC388" s="123"/>
      <c r="AD388" s="123"/>
      <c r="AE388" s="123"/>
      <c r="AF388" s="123"/>
    </row>
    <row r="389" spans="1:32">
      <c r="A389" s="123"/>
      <c r="B389" s="123"/>
      <c r="C389" s="123"/>
      <c r="D389" s="123"/>
      <c r="E389" s="123"/>
      <c r="F389" s="123"/>
      <c r="G389" s="123"/>
      <c r="H389" s="123"/>
      <c r="I389" s="123"/>
      <c r="J389" s="123"/>
      <c r="K389" s="123"/>
      <c r="L389" s="123"/>
      <c r="M389" s="123"/>
      <c r="N389" s="123"/>
      <c r="O389" s="123"/>
      <c r="P389" s="123"/>
      <c r="Q389" s="144"/>
      <c r="R389" s="144"/>
      <c r="S389" s="144"/>
      <c r="T389" s="144"/>
      <c r="U389" s="144"/>
      <c r="V389" s="144"/>
      <c r="W389" s="144"/>
      <c r="X389" s="144"/>
      <c r="Y389" s="123"/>
      <c r="Z389" s="123"/>
      <c r="AA389" s="123"/>
      <c r="AB389" s="123"/>
      <c r="AC389" s="123"/>
      <c r="AD389" s="123"/>
      <c r="AE389" s="123"/>
      <c r="AF389" s="123"/>
    </row>
    <row r="390" spans="1:32">
      <c r="A390" s="123"/>
      <c r="B390" s="123"/>
      <c r="C390" s="123"/>
      <c r="D390" s="123"/>
      <c r="E390" s="123"/>
      <c r="F390" s="123"/>
      <c r="G390" s="123"/>
      <c r="H390" s="123"/>
      <c r="I390" s="123"/>
      <c r="J390" s="123"/>
      <c r="K390" s="123"/>
      <c r="L390" s="123"/>
      <c r="M390" s="123"/>
      <c r="N390" s="123"/>
      <c r="O390" s="123"/>
      <c r="P390" s="123"/>
      <c r="Q390" s="144"/>
      <c r="R390" s="144"/>
      <c r="S390" s="144"/>
      <c r="T390" s="144"/>
      <c r="U390" s="144"/>
      <c r="V390" s="144"/>
      <c r="W390" s="144"/>
      <c r="X390" s="144"/>
      <c r="Y390" s="123"/>
      <c r="Z390" s="123"/>
      <c r="AA390" s="123"/>
      <c r="AB390" s="123"/>
      <c r="AC390" s="123"/>
      <c r="AD390" s="123"/>
      <c r="AE390" s="123"/>
      <c r="AF390" s="123"/>
    </row>
    <row r="391" spans="1:32">
      <c r="A391" s="123"/>
      <c r="B391" s="123"/>
      <c r="C391" s="123"/>
      <c r="D391" s="123"/>
      <c r="E391" s="123"/>
      <c r="F391" s="123"/>
      <c r="G391" s="123"/>
      <c r="H391" s="123"/>
      <c r="I391" s="123"/>
      <c r="J391" s="123"/>
      <c r="K391" s="123"/>
      <c r="L391" s="123"/>
      <c r="M391" s="123"/>
      <c r="N391" s="123"/>
      <c r="O391" s="123"/>
      <c r="P391" s="123"/>
      <c r="Q391" s="144"/>
      <c r="R391" s="144"/>
      <c r="S391" s="144"/>
      <c r="T391" s="144"/>
      <c r="U391" s="144"/>
      <c r="V391" s="144"/>
      <c r="W391" s="144"/>
      <c r="X391" s="144"/>
      <c r="Y391" s="123"/>
      <c r="Z391" s="123"/>
      <c r="AA391" s="123"/>
      <c r="AB391" s="123"/>
      <c r="AC391" s="123"/>
      <c r="AD391" s="123"/>
      <c r="AE391" s="123"/>
      <c r="AF391" s="123"/>
    </row>
    <row r="392" spans="1:32">
      <c r="A392" s="123"/>
      <c r="B392" s="123"/>
      <c r="C392" s="123"/>
      <c r="D392" s="123"/>
      <c r="E392" s="123"/>
      <c r="F392" s="123"/>
      <c r="G392" s="123"/>
      <c r="H392" s="123"/>
      <c r="I392" s="123"/>
      <c r="J392" s="123"/>
      <c r="K392" s="123"/>
      <c r="L392" s="123"/>
      <c r="M392" s="123"/>
      <c r="N392" s="123"/>
      <c r="O392" s="123"/>
      <c r="P392" s="123"/>
      <c r="Q392" s="144"/>
      <c r="R392" s="144"/>
      <c r="S392" s="144"/>
      <c r="T392" s="144"/>
      <c r="U392" s="144"/>
      <c r="V392" s="144"/>
      <c r="W392" s="144"/>
      <c r="X392" s="144"/>
      <c r="Y392" s="123"/>
      <c r="Z392" s="123"/>
      <c r="AA392" s="123"/>
      <c r="AB392" s="123"/>
      <c r="AC392" s="123"/>
      <c r="AD392" s="123"/>
      <c r="AE392" s="123"/>
      <c r="AF392" s="123"/>
    </row>
    <row r="393" spans="1:32">
      <c r="A393" s="123"/>
      <c r="B393" s="123"/>
      <c r="C393" s="123"/>
      <c r="D393" s="123"/>
      <c r="E393" s="123"/>
      <c r="F393" s="123"/>
      <c r="G393" s="123"/>
      <c r="H393" s="123"/>
      <c r="I393" s="123"/>
      <c r="J393" s="123"/>
      <c r="K393" s="123"/>
      <c r="L393" s="123"/>
      <c r="M393" s="123"/>
      <c r="N393" s="123"/>
      <c r="O393" s="123"/>
      <c r="P393" s="123"/>
      <c r="Q393" s="144"/>
      <c r="R393" s="144"/>
      <c r="S393" s="144"/>
      <c r="T393" s="144"/>
      <c r="U393" s="144"/>
      <c r="V393" s="144"/>
      <c r="W393" s="144"/>
      <c r="X393" s="144"/>
      <c r="Y393" s="123"/>
      <c r="Z393" s="123"/>
      <c r="AA393" s="123"/>
      <c r="AB393" s="123"/>
      <c r="AC393" s="123"/>
      <c r="AD393" s="123"/>
      <c r="AE393" s="123"/>
      <c r="AF393" s="123"/>
    </row>
    <row r="394" spans="1:32">
      <c r="A394" s="123"/>
      <c r="B394" s="123"/>
      <c r="C394" s="123"/>
      <c r="D394" s="123"/>
      <c r="E394" s="123"/>
      <c r="F394" s="123"/>
      <c r="G394" s="123"/>
      <c r="H394" s="123"/>
      <c r="I394" s="123"/>
      <c r="J394" s="123"/>
      <c r="K394" s="123"/>
      <c r="L394" s="123"/>
      <c r="M394" s="123"/>
      <c r="N394" s="123"/>
      <c r="O394" s="123"/>
      <c r="P394" s="123"/>
      <c r="Q394" s="144"/>
      <c r="R394" s="144"/>
      <c r="S394" s="144"/>
      <c r="T394" s="144"/>
      <c r="U394" s="144"/>
      <c r="V394" s="144"/>
      <c r="W394" s="144"/>
      <c r="X394" s="144"/>
      <c r="Y394" s="123"/>
      <c r="Z394" s="123"/>
      <c r="AA394" s="123"/>
      <c r="AB394" s="123"/>
      <c r="AC394" s="123"/>
      <c r="AD394" s="123"/>
      <c r="AE394" s="123"/>
      <c r="AF394" s="123"/>
    </row>
    <row r="395" spans="1:32">
      <c r="A395" s="123"/>
      <c r="B395" s="123"/>
      <c r="C395" s="123"/>
      <c r="D395" s="123"/>
      <c r="E395" s="123"/>
      <c r="F395" s="123"/>
      <c r="G395" s="123"/>
      <c r="H395" s="123"/>
      <c r="I395" s="123"/>
      <c r="J395" s="123"/>
      <c r="K395" s="123"/>
      <c r="L395" s="123"/>
      <c r="M395" s="123"/>
      <c r="N395" s="123"/>
      <c r="O395" s="123"/>
      <c r="P395" s="123"/>
      <c r="Q395" s="144"/>
      <c r="R395" s="144"/>
      <c r="S395" s="144"/>
      <c r="T395" s="144"/>
      <c r="U395" s="144"/>
      <c r="V395" s="144"/>
      <c r="W395" s="144"/>
      <c r="X395" s="144"/>
      <c r="Y395" s="123"/>
      <c r="Z395" s="123"/>
      <c r="AA395" s="123"/>
      <c r="AB395" s="123"/>
      <c r="AC395" s="123"/>
      <c r="AD395" s="123"/>
      <c r="AE395" s="123"/>
      <c r="AF395" s="123"/>
    </row>
    <row r="396" spans="1:32">
      <c r="A396" s="123"/>
      <c r="B396" s="123"/>
      <c r="C396" s="123"/>
      <c r="D396" s="123"/>
      <c r="E396" s="123"/>
      <c r="F396" s="123"/>
      <c r="G396" s="123"/>
      <c r="H396" s="123"/>
      <c r="I396" s="123"/>
      <c r="J396" s="123"/>
      <c r="K396" s="123"/>
      <c r="L396" s="123"/>
      <c r="M396" s="123"/>
      <c r="N396" s="123"/>
      <c r="O396" s="123"/>
      <c r="P396" s="123"/>
      <c r="Q396" s="144"/>
      <c r="R396" s="144"/>
      <c r="S396" s="144"/>
      <c r="T396" s="144"/>
      <c r="U396" s="144"/>
      <c r="V396" s="144"/>
      <c r="W396" s="144"/>
      <c r="X396" s="144"/>
      <c r="Y396" s="123"/>
      <c r="Z396" s="123"/>
      <c r="AA396" s="123"/>
      <c r="AB396" s="123"/>
      <c r="AC396" s="123"/>
      <c r="AD396" s="123"/>
      <c r="AE396" s="123"/>
      <c r="AF396" s="123"/>
    </row>
    <row r="397" spans="1:32">
      <c r="A397" s="123"/>
      <c r="B397" s="123"/>
      <c r="C397" s="123"/>
      <c r="D397" s="123"/>
      <c r="E397" s="123"/>
      <c r="F397" s="123"/>
      <c r="G397" s="123"/>
      <c r="H397" s="123"/>
      <c r="I397" s="123"/>
      <c r="J397" s="123"/>
      <c r="K397" s="123"/>
      <c r="L397" s="123"/>
      <c r="M397" s="123"/>
      <c r="N397" s="123"/>
      <c r="O397" s="123"/>
      <c r="P397" s="123"/>
      <c r="Q397" s="144"/>
      <c r="R397" s="144"/>
      <c r="S397" s="144"/>
      <c r="T397" s="144"/>
      <c r="U397" s="144"/>
      <c r="V397" s="144"/>
      <c r="W397" s="144"/>
      <c r="X397" s="144"/>
      <c r="Y397" s="123"/>
      <c r="Z397" s="123"/>
      <c r="AA397" s="123"/>
      <c r="AB397" s="123"/>
      <c r="AC397" s="123"/>
      <c r="AD397" s="123"/>
      <c r="AE397" s="123"/>
      <c r="AF397" s="123"/>
    </row>
    <row r="398" spans="1:32">
      <c r="A398" s="123"/>
      <c r="B398" s="123"/>
      <c r="C398" s="123"/>
      <c r="D398" s="123"/>
      <c r="E398" s="123"/>
      <c r="F398" s="123"/>
      <c r="G398" s="123"/>
      <c r="H398" s="123"/>
      <c r="I398" s="123"/>
      <c r="J398" s="123"/>
      <c r="K398" s="123"/>
      <c r="L398" s="123"/>
      <c r="M398" s="123"/>
      <c r="N398" s="123"/>
      <c r="O398" s="123"/>
      <c r="P398" s="123"/>
      <c r="Q398" s="144"/>
      <c r="R398" s="144"/>
      <c r="S398" s="144"/>
      <c r="T398" s="144"/>
      <c r="U398" s="144"/>
      <c r="V398" s="144"/>
      <c r="W398" s="144"/>
      <c r="X398" s="144"/>
      <c r="Y398" s="123"/>
      <c r="Z398" s="123"/>
      <c r="AA398" s="123"/>
      <c r="AB398" s="123"/>
      <c r="AC398" s="123"/>
      <c r="AD398" s="123"/>
      <c r="AE398" s="123"/>
      <c r="AF398" s="123"/>
    </row>
    <row r="399" spans="1:32">
      <c r="A399" s="123"/>
      <c r="B399" s="123"/>
      <c r="C399" s="123"/>
      <c r="D399" s="123"/>
      <c r="E399" s="123"/>
      <c r="F399" s="123"/>
      <c r="G399" s="123"/>
      <c r="H399" s="123"/>
      <c r="I399" s="123"/>
      <c r="J399" s="123"/>
      <c r="K399" s="123"/>
      <c r="L399" s="123"/>
      <c r="M399" s="123"/>
      <c r="N399" s="123"/>
      <c r="O399" s="123"/>
      <c r="P399" s="123"/>
      <c r="Q399" s="144"/>
      <c r="R399" s="144"/>
      <c r="S399" s="144"/>
      <c r="T399" s="144"/>
      <c r="U399" s="144"/>
      <c r="V399" s="144"/>
      <c r="W399" s="144"/>
      <c r="X399" s="144"/>
      <c r="Y399" s="123"/>
      <c r="Z399" s="123"/>
      <c r="AA399" s="123"/>
      <c r="AB399" s="123"/>
      <c r="AC399" s="123"/>
      <c r="AD399" s="123"/>
      <c r="AE399" s="123"/>
      <c r="AF399" s="123"/>
    </row>
    <row r="400" spans="1:32">
      <c r="A400" s="123"/>
      <c r="B400" s="123"/>
      <c r="C400" s="123"/>
      <c r="D400" s="123"/>
      <c r="E400" s="123"/>
      <c r="F400" s="123"/>
      <c r="G400" s="123"/>
      <c r="H400" s="123"/>
      <c r="I400" s="123"/>
      <c r="J400" s="123"/>
      <c r="K400" s="123"/>
      <c r="L400" s="123"/>
      <c r="M400" s="123"/>
      <c r="N400" s="123"/>
      <c r="O400" s="123"/>
      <c r="P400" s="123"/>
      <c r="Q400" s="144"/>
      <c r="R400" s="144"/>
      <c r="S400" s="144"/>
      <c r="T400" s="144"/>
      <c r="U400" s="144"/>
      <c r="V400" s="144"/>
      <c r="W400" s="144"/>
      <c r="X400" s="144"/>
      <c r="Y400" s="123"/>
      <c r="Z400" s="123"/>
      <c r="AA400" s="123"/>
      <c r="AB400" s="123"/>
      <c r="AC400" s="123"/>
      <c r="AD400" s="123"/>
      <c r="AE400" s="123"/>
      <c r="AF400" s="123"/>
    </row>
    <row r="401" spans="1:32">
      <c r="A401" s="123"/>
      <c r="B401" s="123"/>
      <c r="C401" s="123"/>
      <c r="D401" s="123"/>
      <c r="E401" s="123"/>
      <c r="F401" s="123"/>
      <c r="G401" s="123"/>
      <c r="H401" s="123"/>
      <c r="I401" s="123"/>
      <c r="J401" s="123"/>
      <c r="K401" s="123"/>
      <c r="L401" s="123"/>
      <c r="M401" s="123"/>
      <c r="N401" s="123"/>
      <c r="O401" s="123"/>
      <c r="P401" s="123"/>
      <c r="Q401" s="144"/>
      <c r="R401" s="144"/>
      <c r="S401" s="144"/>
      <c r="T401" s="144"/>
      <c r="U401" s="144"/>
      <c r="V401" s="144"/>
      <c r="W401" s="144"/>
      <c r="X401" s="144"/>
      <c r="Y401" s="123"/>
      <c r="Z401" s="123"/>
      <c r="AA401" s="123"/>
      <c r="AB401" s="123"/>
      <c r="AC401" s="123"/>
      <c r="AD401" s="123"/>
      <c r="AE401" s="123"/>
      <c r="AF401" s="123"/>
    </row>
    <row r="402" spans="1:32">
      <c r="A402" s="123"/>
      <c r="B402" s="123"/>
      <c r="C402" s="123"/>
      <c r="D402" s="123"/>
      <c r="E402" s="123"/>
      <c r="F402" s="123"/>
      <c r="G402" s="123"/>
      <c r="H402" s="123"/>
      <c r="I402" s="123"/>
      <c r="J402" s="123"/>
      <c r="K402" s="123"/>
      <c r="L402" s="123"/>
      <c r="M402" s="123"/>
      <c r="N402" s="123"/>
      <c r="O402" s="123"/>
      <c r="P402" s="123"/>
      <c r="Q402" s="144"/>
      <c r="R402" s="144"/>
      <c r="S402" s="144"/>
      <c r="T402" s="144"/>
      <c r="U402" s="144"/>
      <c r="V402" s="144"/>
      <c r="W402" s="144"/>
      <c r="X402" s="144"/>
      <c r="Y402" s="123"/>
      <c r="Z402" s="123"/>
      <c r="AA402" s="123"/>
      <c r="AB402" s="123"/>
      <c r="AC402" s="123"/>
      <c r="AD402" s="123"/>
      <c r="AE402" s="123"/>
      <c r="AF402" s="123"/>
    </row>
    <row r="403" spans="1:32">
      <c r="A403" s="123"/>
      <c r="B403" s="123"/>
      <c r="C403" s="123"/>
      <c r="D403" s="123"/>
      <c r="E403" s="123"/>
      <c r="F403" s="123"/>
      <c r="G403" s="123"/>
      <c r="H403" s="123"/>
      <c r="I403" s="123"/>
      <c r="J403" s="123"/>
      <c r="K403" s="123"/>
      <c r="L403" s="123"/>
      <c r="M403" s="123"/>
      <c r="N403" s="123"/>
      <c r="O403" s="123"/>
      <c r="P403" s="123"/>
      <c r="Q403" s="144"/>
      <c r="R403" s="144"/>
      <c r="S403" s="144"/>
      <c r="T403" s="144"/>
      <c r="U403" s="144"/>
      <c r="V403" s="144"/>
      <c r="W403" s="144"/>
      <c r="X403" s="144"/>
      <c r="Y403" s="123"/>
      <c r="Z403" s="123"/>
      <c r="AA403" s="123"/>
      <c r="AB403" s="123"/>
      <c r="AC403" s="123"/>
      <c r="AD403" s="123"/>
      <c r="AE403" s="123"/>
      <c r="AF403" s="123"/>
    </row>
    <row r="404" spans="1:32">
      <c r="A404" s="123"/>
      <c r="B404" s="123"/>
      <c r="C404" s="123"/>
      <c r="D404" s="123"/>
      <c r="E404" s="123"/>
      <c r="F404" s="123"/>
      <c r="G404" s="123"/>
      <c r="H404" s="123"/>
      <c r="I404" s="123"/>
      <c r="J404" s="123"/>
      <c r="K404" s="123"/>
      <c r="L404" s="123"/>
      <c r="M404" s="123"/>
      <c r="N404" s="123"/>
      <c r="O404" s="123"/>
      <c r="P404" s="123"/>
      <c r="Q404" s="144"/>
      <c r="R404" s="144"/>
      <c r="S404" s="144"/>
      <c r="T404" s="144"/>
      <c r="U404" s="144"/>
      <c r="V404" s="144"/>
      <c r="W404" s="144"/>
      <c r="X404" s="144"/>
      <c r="Y404" s="123"/>
      <c r="Z404" s="123"/>
      <c r="AA404" s="123"/>
      <c r="AB404" s="123"/>
      <c r="AC404" s="123"/>
      <c r="AD404" s="123"/>
      <c r="AE404" s="123"/>
      <c r="AF404" s="123"/>
    </row>
    <row r="405" spans="1:32">
      <c r="A405" s="123"/>
      <c r="B405" s="123"/>
      <c r="C405" s="123"/>
      <c r="D405" s="123"/>
      <c r="E405" s="123"/>
      <c r="F405" s="123"/>
      <c r="G405" s="123"/>
      <c r="H405" s="123"/>
      <c r="I405" s="123"/>
      <c r="J405" s="123"/>
      <c r="K405" s="123"/>
      <c r="L405" s="123"/>
      <c r="M405" s="123"/>
      <c r="N405" s="123"/>
      <c r="O405" s="123"/>
      <c r="P405" s="123"/>
      <c r="Q405" s="144"/>
      <c r="R405" s="144"/>
      <c r="S405" s="144"/>
      <c r="T405" s="144"/>
      <c r="U405" s="144"/>
      <c r="V405" s="144"/>
      <c r="W405" s="144"/>
      <c r="X405" s="144"/>
      <c r="Y405" s="123"/>
      <c r="Z405" s="123"/>
      <c r="AA405" s="123"/>
      <c r="AB405" s="123"/>
      <c r="AC405" s="123"/>
      <c r="AD405" s="123"/>
      <c r="AE405" s="123"/>
      <c r="AF405" s="123"/>
    </row>
    <row r="406" spans="1:32">
      <c r="A406" s="123"/>
      <c r="B406" s="123"/>
      <c r="C406" s="123"/>
      <c r="D406" s="123"/>
      <c r="E406" s="123"/>
      <c r="F406" s="123"/>
      <c r="G406" s="123"/>
      <c r="H406" s="123"/>
      <c r="I406" s="123"/>
      <c r="J406" s="123"/>
      <c r="K406" s="123"/>
      <c r="L406" s="123"/>
      <c r="M406" s="123"/>
      <c r="N406" s="123"/>
      <c r="O406" s="123"/>
      <c r="P406" s="123"/>
      <c r="Q406" s="144"/>
      <c r="R406" s="144"/>
      <c r="S406" s="144"/>
      <c r="T406" s="144"/>
      <c r="U406" s="144"/>
      <c r="V406" s="144"/>
      <c r="W406" s="144"/>
      <c r="X406" s="144"/>
      <c r="Y406" s="123"/>
      <c r="Z406" s="123"/>
      <c r="AA406" s="123"/>
      <c r="AB406" s="123"/>
      <c r="AC406" s="123"/>
      <c r="AD406" s="123"/>
      <c r="AE406" s="123"/>
      <c r="AF406" s="123"/>
    </row>
    <row r="407" spans="1:32">
      <c r="A407" s="123"/>
      <c r="B407" s="123"/>
      <c r="C407" s="123"/>
      <c r="D407" s="123"/>
      <c r="E407" s="123"/>
      <c r="F407" s="123"/>
      <c r="G407" s="123"/>
      <c r="H407" s="123"/>
      <c r="I407" s="123"/>
      <c r="J407" s="123"/>
      <c r="K407" s="123"/>
      <c r="L407" s="123"/>
      <c r="M407" s="123"/>
      <c r="N407" s="123"/>
      <c r="Q407" s="123"/>
      <c r="R407" s="123"/>
      <c r="S407" s="123"/>
      <c r="T407" s="123"/>
      <c r="U407" s="123"/>
      <c r="V407" s="123"/>
      <c r="W407" s="123"/>
    </row>
    <row r="408" spans="1:32">
      <c r="A408" s="123"/>
      <c r="B408" s="123"/>
      <c r="C408" s="123"/>
      <c r="D408" s="123"/>
      <c r="E408" s="123"/>
      <c r="F408" s="123"/>
      <c r="G408" s="123"/>
      <c r="H408" s="123"/>
      <c r="I408" s="123"/>
      <c r="J408" s="123"/>
      <c r="K408" s="123"/>
      <c r="L408" s="123"/>
      <c r="M408" s="123"/>
      <c r="N408" s="123"/>
      <c r="Q408" s="123"/>
      <c r="R408" s="123"/>
      <c r="S408" s="123"/>
      <c r="T408" s="123"/>
      <c r="U408" s="123"/>
      <c r="V408" s="123"/>
      <c r="W408" s="123"/>
    </row>
    <row r="409" spans="1:32">
      <c r="A409" s="123"/>
      <c r="B409" s="123"/>
      <c r="C409" s="123"/>
      <c r="D409" s="123"/>
      <c r="E409" s="123"/>
      <c r="F409" s="123"/>
      <c r="G409" s="123"/>
      <c r="H409" s="123"/>
      <c r="I409" s="123"/>
      <c r="J409" s="123"/>
      <c r="K409" s="123"/>
      <c r="L409" s="123"/>
      <c r="M409" s="123"/>
      <c r="N409" s="123"/>
      <c r="Q409" s="123"/>
      <c r="R409" s="123"/>
      <c r="S409" s="123"/>
      <c r="T409" s="123"/>
      <c r="U409" s="123"/>
      <c r="V409" s="123"/>
      <c r="W409" s="123"/>
    </row>
    <row r="410" spans="1:32">
      <c r="A410" s="123"/>
      <c r="B410" s="123"/>
      <c r="C410" s="123"/>
      <c r="D410" s="123"/>
      <c r="E410" s="123"/>
      <c r="F410" s="123"/>
      <c r="G410" s="123"/>
      <c r="H410" s="123"/>
      <c r="I410" s="123"/>
      <c r="J410" s="123"/>
      <c r="K410" s="123"/>
      <c r="L410" s="123"/>
      <c r="M410" s="123"/>
      <c r="N410" s="123"/>
      <c r="Q410" s="123"/>
      <c r="R410" s="123"/>
      <c r="S410" s="123"/>
      <c r="T410" s="123"/>
      <c r="U410" s="123"/>
      <c r="V410" s="123"/>
      <c r="W410" s="123"/>
    </row>
    <row r="411" spans="1:32">
      <c r="A411" s="123"/>
      <c r="B411" s="123"/>
      <c r="C411" s="123"/>
      <c r="D411" s="123"/>
      <c r="E411" s="123"/>
      <c r="F411" s="123"/>
      <c r="G411" s="123"/>
      <c r="H411" s="123"/>
      <c r="I411" s="123"/>
      <c r="J411" s="123"/>
      <c r="K411" s="123"/>
      <c r="L411" s="123"/>
      <c r="M411" s="123"/>
      <c r="N411" s="123"/>
      <c r="Q411" s="123"/>
      <c r="R411" s="123"/>
      <c r="S411" s="123"/>
      <c r="T411" s="123"/>
      <c r="U411" s="123"/>
      <c r="V411" s="123"/>
      <c r="W411" s="123"/>
    </row>
    <row r="412" spans="1:32">
      <c r="A412" s="123"/>
      <c r="B412" s="123"/>
      <c r="C412" s="123"/>
      <c r="D412" s="123"/>
      <c r="E412" s="123"/>
      <c r="F412" s="123"/>
      <c r="G412" s="123"/>
      <c r="H412" s="123"/>
      <c r="I412" s="123"/>
      <c r="J412" s="123"/>
      <c r="K412" s="123"/>
      <c r="L412" s="123"/>
      <c r="M412" s="123"/>
      <c r="N412" s="123"/>
      <c r="Q412" s="123"/>
      <c r="R412" s="123"/>
      <c r="S412" s="123"/>
      <c r="T412" s="123"/>
      <c r="U412" s="123"/>
      <c r="V412" s="123"/>
      <c r="W412" s="123"/>
    </row>
    <row r="413" spans="1:32">
      <c r="A413" s="123"/>
      <c r="B413" s="123"/>
      <c r="C413" s="123"/>
      <c r="D413" s="123"/>
      <c r="E413" s="123"/>
      <c r="F413" s="123"/>
      <c r="G413" s="123"/>
      <c r="H413" s="123"/>
      <c r="I413" s="123"/>
      <c r="J413" s="123"/>
      <c r="K413" s="123"/>
      <c r="L413" s="123"/>
      <c r="M413" s="123"/>
      <c r="N413" s="123"/>
      <c r="Q413" s="123"/>
      <c r="R413" s="123"/>
      <c r="S413" s="123"/>
      <c r="T413" s="123"/>
      <c r="U413" s="123"/>
      <c r="V413" s="123"/>
      <c r="W413" s="123"/>
    </row>
    <row r="414" spans="1:32">
      <c r="A414" s="123"/>
      <c r="B414" s="123"/>
      <c r="C414" s="123"/>
      <c r="D414" s="123"/>
      <c r="E414" s="123"/>
      <c r="F414" s="123"/>
      <c r="G414" s="123"/>
      <c r="H414" s="123"/>
      <c r="I414" s="123"/>
      <c r="J414" s="123"/>
      <c r="K414" s="123"/>
      <c r="L414" s="123"/>
      <c r="M414" s="123"/>
      <c r="N414" s="123"/>
      <c r="Q414" s="123"/>
      <c r="R414" s="123"/>
      <c r="S414" s="123"/>
      <c r="T414" s="123"/>
      <c r="U414" s="123"/>
      <c r="V414" s="123"/>
      <c r="W414" s="123"/>
    </row>
    <row r="415" spans="1:32">
      <c r="A415" s="123"/>
      <c r="B415" s="123"/>
      <c r="C415" s="123"/>
      <c r="D415" s="123"/>
      <c r="E415" s="123"/>
      <c r="F415" s="123"/>
      <c r="G415" s="123"/>
      <c r="H415" s="123"/>
      <c r="I415" s="123"/>
      <c r="J415" s="123"/>
      <c r="K415" s="123"/>
      <c r="L415" s="123"/>
      <c r="M415" s="123"/>
      <c r="N415" s="123"/>
    </row>
    <row r="416" spans="1:32">
      <c r="A416" s="123"/>
      <c r="B416" s="123"/>
      <c r="C416" s="123"/>
      <c r="D416" s="123"/>
      <c r="E416" s="123"/>
      <c r="F416" s="123"/>
      <c r="G416" s="123"/>
      <c r="H416" s="123"/>
      <c r="I416" s="123"/>
      <c r="J416" s="123"/>
      <c r="K416" s="123"/>
      <c r="L416" s="123"/>
      <c r="M416" s="123"/>
      <c r="N416" s="123"/>
    </row>
    <row r="417" spans="1:14">
      <c r="A417" s="123"/>
      <c r="B417" s="123"/>
      <c r="C417" s="123"/>
      <c r="D417" s="123"/>
      <c r="E417" s="123"/>
      <c r="F417" s="123"/>
      <c r="G417" s="123"/>
      <c r="H417" s="123"/>
      <c r="I417" s="123"/>
      <c r="J417" s="123"/>
      <c r="K417" s="123"/>
      <c r="L417" s="123"/>
      <c r="M417" s="123"/>
      <c r="N417" s="123"/>
    </row>
    <row r="418" spans="1:14">
      <c r="A418" s="123"/>
      <c r="B418" s="123"/>
      <c r="C418" s="123"/>
      <c r="D418" s="123"/>
      <c r="E418" s="123"/>
      <c r="F418" s="123"/>
      <c r="G418" s="123"/>
      <c r="H418" s="123"/>
      <c r="I418" s="123"/>
      <c r="J418" s="123"/>
      <c r="K418" s="123"/>
      <c r="L418" s="123"/>
      <c r="M418" s="123"/>
      <c r="N418" s="123"/>
    </row>
    <row r="419" spans="1:14">
      <c r="A419" s="123"/>
      <c r="B419" s="123"/>
      <c r="C419" s="123"/>
      <c r="D419" s="123"/>
      <c r="E419" s="123"/>
      <c r="F419" s="123"/>
      <c r="G419" s="123"/>
      <c r="H419" s="123"/>
      <c r="I419" s="123"/>
      <c r="J419" s="123"/>
      <c r="K419" s="123"/>
      <c r="L419" s="123"/>
      <c r="M419" s="123"/>
      <c r="N419" s="123"/>
    </row>
  </sheetData>
  <sheetProtection formatColumns="0" formatRows="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A865A-8B7B-4185-9EED-D9DBDF21EECF}">
  <sheetPr codeName="Blad6">
    <tabColor rgb="FF0066CC"/>
  </sheetPr>
  <dimension ref="A1:AG406"/>
  <sheetViews>
    <sheetView workbookViewId="0">
      <selection activeCell="AG20" sqref="AG20"/>
    </sheetView>
  </sheetViews>
  <sheetFormatPr defaultRowHeight="12.75"/>
  <cols>
    <col min="2" max="2" width="17.7109375" bestFit="1" customWidth="1" collapsed="1"/>
    <col min="3" max="3" width="11.5703125" bestFit="1" customWidth="1" collapsed="1"/>
    <col min="4" max="4" width="45.5703125" bestFit="1" customWidth="1" collapsed="1"/>
    <col min="5" max="5" width="13.85546875" bestFit="1" customWidth="1" collapsed="1"/>
    <col min="6" max="6" width="21.5703125" bestFit="1" customWidth="1" collapsed="1"/>
    <col min="7" max="7" width="14.28515625" bestFit="1" customWidth="1" collapsed="1"/>
    <col min="8" max="8" width="10.85546875" bestFit="1" customWidth="1" collapsed="1"/>
    <col min="9" max="9" width="13.42578125" bestFit="1" customWidth="1" collapsed="1"/>
    <col min="10" max="10" width="14.85546875" bestFit="1" customWidth="1" collapsed="1"/>
    <col min="11" max="11" width="8.85546875" bestFit="1" customWidth="1" collapsed="1"/>
    <col min="12" max="12" width="21.5703125" bestFit="1" customWidth="1" collapsed="1"/>
    <col min="13" max="13" width="3" bestFit="1" customWidth="1" collapsed="1"/>
    <col min="14" max="14" width="19.5703125" bestFit="1" customWidth="1" collapsed="1"/>
    <col min="16" max="16" width="12.42578125" bestFit="1" customWidth="1" collapsed="1"/>
    <col min="17" max="17" width="14.85546875" bestFit="1" customWidth="1" collapsed="1"/>
    <col min="18" max="18" width="13.5703125" bestFit="1" customWidth="1" collapsed="1"/>
    <col min="19" max="19" width="14.28515625" bestFit="1" customWidth="1" collapsed="1"/>
    <col min="20" max="20" width="14.7109375" bestFit="1" customWidth="1" collapsed="1"/>
    <col min="21" max="21" width="21.5703125" bestFit="1" customWidth="1" collapsed="1"/>
    <col min="22" max="22" width="11.28515625" bestFit="1" customWidth="1" collapsed="1"/>
    <col min="24" max="24" width="16.5703125" customWidth="1" collapsed="1"/>
    <col min="25" max="25" width="13.5703125" bestFit="1" customWidth="1" collapsed="1"/>
    <col min="26" max="26" width="7.85546875" bestFit="1" customWidth="1" collapsed="1"/>
    <col min="27" max="27" width="21.5703125" bestFit="1" customWidth="1" collapsed="1"/>
    <col min="28" max="28" width="11.28515625" bestFit="1" customWidth="1" collapsed="1"/>
    <col min="29" max="29" width="53" bestFit="1" customWidth="1" collapsed="1"/>
    <col min="30" max="31" width="53" customWidth="1" collapsed="1"/>
    <col min="32" max="32" width="12.42578125" bestFit="1" customWidth="1" collapsed="1"/>
    <col min="33" max="33" width="10.7109375" bestFit="1" customWidth="1" collapsed="1"/>
  </cols>
  <sheetData>
    <row r="1" spans="1:33">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t="s">
        <v>209</v>
      </c>
      <c r="AG1" s="124" t="b">
        <f t="array" ref="AG1">AND(AG3:AG1048576)</f>
        <v>1</v>
      </c>
    </row>
    <row r="2" spans="1:33">
      <c r="A2" s="124"/>
      <c r="B2" s="124"/>
      <c r="C2" s="124"/>
      <c r="D2" s="124"/>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3"/>
      <c r="AG2" s="123"/>
    </row>
    <row r="3" spans="1:33">
      <c r="A3" s="123"/>
      <c r="B3" s="123"/>
      <c r="C3" s="123"/>
      <c r="D3" s="124"/>
      <c r="E3" s="124"/>
      <c r="F3" s="123"/>
      <c r="G3" s="123"/>
      <c r="H3" s="123"/>
      <c r="I3" s="123"/>
      <c r="J3" s="123"/>
      <c r="K3" s="123"/>
      <c r="L3" s="123"/>
      <c r="M3" s="123"/>
      <c r="N3" s="123"/>
      <c r="O3" s="123"/>
      <c r="P3" s="123"/>
      <c r="Q3" s="123"/>
      <c r="R3" s="123"/>
      <c r="S3" s="124"/>
      <c r="T3" s="123"/>
      <c r="U3" s="123"/>
      <c r="V3" s="123"/>
      <c r="W3" s="123"/>
      <c r="X3" s="123"/>
      <c r="Y3" s="123"/>
      <c r="Z3" s="123"/>
      <c r="AA3" s="123"/>
      <c r="AB3" s="123"/>
      <c r="AC3" s="123"/>
      <c r="AD3" s="123"/>
      <c r="AE3" s="123"/>
      <c r="AG3" s="123"/>
    </row>
    <row r="4" spans="1:33" ht="23.25">
      <c r="A4" s="123"/>
      <c r="B4" s="125" t="s">
        <v>173</v>
      </c>
      <c r="C4" s="123"/>
      <c r="D4" s="124"/>
      <c r="E4" s="124"/>
      <c r="F4" s="123"/>
      <c r="G4" s="123"/>
      <c r="H4" s="123"/>
      <c r="I4" s="123"/>
      <c r="J4" s="123"/>
      <c r="K4" s="123"/>
      <c r="L4" s="123"/>
      <c r="M4" s="123"/>
      <c r="N4" s="123"/>
      <c r="O4" s="123"/>
      <c r="P4" s="123"/>
      <c r="Q4" s="123"/>
      <c r="R4" s="123"/>
      <c r="S4" s="123"/>
      <c r="T4" s="123"/>
      <c r="U4" s="123"/>
      <c r="V4" s="123"/>
      <c r="W4" s="123"/>
      <c r="X4" s="123"/>
      <c r="Y4" s="123"/>
      <c r="Z4" s="123"/>
      <c r="AA4" s="123"/>
      <c r="AB4" s="123"/>
      <c r="AC4" s="123"/>
      <c r="AD4" s="123"/>
      <c r="AE4" s="123"/>
      <c r="AF4" s="123"/>
      <c r="AG4" s="123"/>
    </row>
    <row r="5" spans="1:33">
      <c r="A5" s="123"/>
      <c r="B5" s="123"/>
      <c r="C5" s="123"/>
      <c r="D5" s="124"/>
      <c r="E5" s="124"/>
      <c r="F5" s="123"/>
      <c r="G5" s="123"/>
      <c r="H5" s="123"/>
      <c r="I5" s="123"/>
      <c r="J5" s="123"/>
      <c r="K5" s="123"/>
      <c r="L5" s="123"/>
      <c r="M5" s="123"/>
      <c r="N5" s="123"/>
      <c r="O5" s="123"/>
      <c r="P5" s="123"/>
      <c r="Q5" s="123"/>
      <c r="R5" s="123"/>
      <c r="S5" s="123"/>
      <c r="T5" s="124"/>
      <c r="U5" s="123"/>
      <c r="V5" s="123"/>
      <c r="W5" s="123"/>
      <c r="X5" s="123"/>
      <c r="Y5" s="123"/>
      <c r="Z5" s="123"/>
      <c r="AA5" s="123"/>
      <c r="AB5" s="123"/>
      <c r="AC5" s="123"/>
      <c r="AD5" s="123"/>
      <c r="AE5" s="123"/>
      <c r="AF5" s="123"/>
      <c r="AG5" s="123"/>
    </row>
    <row r="6" spans="1:33" ht="15">
      <c r="A6" s="123"/>
      <c r="B6" s="126" t="s">
        <v>174</v>
      </c>
      <c r="C6" s="127" t="s">
        <v>175</v>
      </c>
      <c r="D6" s="128" t="s">
        <v>173</v>
      </c>
      <c r="E6" s="128"/>
      <c r="F6" s="127"/>
      <c r="G6" s="129"/>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t="b">
        <f t="array" ref="AG6">AND(A3:AE6=ModelpuntenInfoOSM!A3:AE6)</f>
        <v>1</v>
      </c>
    </row>
    <row r="7" spans="1:33" ht="15">
      <c r="A7" s="123"/>
      <c r="B7" s="130">
        <v>1</v>
      </c>
      <c r="C7" s="131" t="s">
        <v>176</v>
      </c>
      <c r="D7" s="132"/>
      <c r="E7" s="132"/>
      <c r="F7" s="131"/>
      <c r="G7" s="133"/>
      <c r="H7" s="123"/>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t="b">
        <f t="array" ref="AG7">AND(E7:AE8=ModelpuntenInfoOSM!E7:AE8)</f>
        <v>1</v>
      </c>
    </row>
    <row r="8" spans="1:33" ht="15">
      <c r="A8" s="123"/>
      <c r="B8" s="134">
        <v>2</v>
      </c>
      <c r="C8" s="135" t="s">
        <v>177</v>
      </c>
      <c r="D8" s="136"/>
      <c r="E8" s="136"/>
      <c r="F8" s="135"/>
      <c r="G8" s="137"/>
      <c r="H8" s="123"/>
      <c r="I8" s="123"/>
      <c r="J8" s="123"/>
      <c r="K8" s="123"/>
      <c r="L8" s="123"/>
      <c r="M8" s="123"/>
      <c r="N8" s="123"/>
      <c r="O8" s="123"/>
      <c r="P8" s="123"/>
      <c r="Q8" s="123"/>
      <c r="R8" s="123"/>
      <c r="S8" s="123"/>
      <c r="T8" s="123"/>
      <c r="U8" s="123"/>
      <c r="V8" s="123"/>
      <c r="W8" s="123"/>
      <c r="X8" s="123"/>
      <c r="Y8" s="123"/>
      <c r="Z8" s="123"/>
      <c r="AA8" s="123"/>
      <c r="AB8" s="123"/>
      <c r="AC8" s="123"/>
      <c r="AD8" s="123"/>
      <c r="AE8" s="123"/>
      <c r="AF8" s="123"/>
      <c r="AG8" s="123" t="b">
        <f t="array" ref="AG8">AND(A7:C8=ModelpuntenInfoOSM!A7:C8)</f>
        <v>1</v>
      </c>
    </row>
    <row r="9" spans="1:33">
      <c r="A9" s="123"/>
      <c r="B9" s="123"/>
      <c r="C9" s="123"/>
      <c r="D9" s="123"/>
      <c r="E9" s="123"/>
      <c r="F9" s="123"/>
      <c r="G9" s="123"/>
      <c r="H9" s="123"/>
      <c r="I9" s="123"/>
      <c r="J9" s="123"/>
      <c r="K9" s="123"/>
      <c r="L9" s="123"/>
      <c r="M9" s="123"/>
      <c r="N9" s="123"/>
      <c r="O9" s="123"/>
      <c r="P9" s="123"/>
      <c r="Q9" s="123"/>
      <c r="R9" s="123"/>
      <c r="S9" s="123"/>
      <c r="T9" s="123"/>
      <c r="U9" s="123"/>
      <c r="V9" s="123"/>
      <c r="W9" s="123"/>
      <c r="X9" s="123"/>
      <c r="Y9" s="123"/>
      <c r="Z9" s="123"/>
      <c r="AA9" s="123"/>
      <c r="AB9" s="123"/>
      <c r="AC9" s="123"/>
      <c r="AD9" s="123"/>
      <c r="AE9" s="123"/>
      <c r="AF9" s="123"/>
      <c r="AG9" s="123"/>
    </row>
    <row r="10" spans="1:33">
      <c r="A10" s="123"/>
      <c r="B10" s="123" t="s">
        <v>178</v>
      </c>
      <c r="C10" s="123"/>
      <c r="D10" s="123"/>
      <c r="E10" s="123"/>
      <c r="F10" s="123"/>
      <c r="G10" s="123"/>
      <c r="H10" s="123"/>
      <c r="I10" s="123"/>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row>
    <row r="11" spans="1:33" ht="15">
      <c r="A11" s="123"/>
      <c r="B11" s="138" t="s">
        <v>174</v>
      </c>
      <c r="C11" s="139"/>
      <c r="D11" s="139" t="s">
        <v>179</v>
      </c>
      <c r="E11" s="139" t="s">
        <v>180</v>
      </c>
      <c r="F11" s="140" t="s">
        <v>173</v>
      </c>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row>
    <row r="12" spans="1:33">
      <c r="A12" s="123"/>
      <c r="B12" s="141">
        <v>1</v>
      </c>
      <c r="C12" s="131"/>
      <c r="D12" s="131" t="s">
        <v>181</v>
      </c>
      <c r="E12" s="131" t="s">
        <v>182</v>
      </c>
      <c r="F12" s="142" t="s">
        <v>183</v>
      </c>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c r="AG12" s="123"/>
    </row>
    <row r="13" spans="1:33">
      <c r="A13" s="123"/>
      <c r="B13" s="143">
        <v>2</v>
      </c>
      <c r="C13" s="144"/>
      <c r="D13" s="144" t="s">
        <v>184</v>
      </c>
      <c r="E13" s="144" t="s">
        <v>185</v>
      </c>
      <c r="F13" s="145" t="s">
        <v>183</v>
      </c>
      <c r="G13" s="123"/>
      <c r="H13" s="123"/>
      <c r="I13" s="144"/>
      <c r="J13" s="144"/>
      <c r="K13" s="144"/>
      <c r="L13" s="144"/>
      <c r="M13" s="144"/>
      <c r="N13" s="144"/>
      <c r="O13" s="144"/>
      <c r="P13" s="144"/>
      <c r="Q13" s="123"/>
      <c r="R13" s="123"/>
      <c r="S13" s="123"/>
      <c r="T13" s="123"/>
      <c r="U13" s="123"/>
      <c r="V13" s="123"/>
      <c r="W13" s="123"/>
      <c r="X13" s="123"/>
      <c r="Y13" s="123"/>
      <c r="Z13" s="123"/>
      <c r="AA13" s="123"/>
      <c r="AB13" s="123"/>
      <c r="AC13" s="123"/>
      <c r="AD13" s="123"/>
      <c r="AE13" s="123"/>
      <c r="AF13" s="123"/>
      <c r="AG13" s="123"/>
    </row>
    <row r="14" spans="1:33">
      <c r="A14" s="123"/>
      <c r="B14" s="143">
        <v>3</v>
      </c>
      <c r="C14" s="144"/>
      <c r="D14" s="144" t="s">
        <v>181</v>
      </c>
      <c r="E14" s="144" t="s">
        <v>182</v>
      </c>
      <c r="F14" s="145" t="s">
        <v>186</v>
      </c>
      <c r="G14" s="123"/>
      <c r="H14" s="123"/>
      <c r="I14" s="144"/>
      <c r="J14" s="144"/>
      <c r="K14" s="144"/>
      <c r="L14" s="144"/>
      <c r="M14" s="144"/>
      <c r="N14" s="144"/>
      <c r="O14" s="144"/>
      <c r="P14" s="144"/>
      <c r="Q14" s="123"/>
      <c r="R14" s="123"/>
      <c r="S14" s="123"/>
      <c r="T14" s="123"/>
      <c r="U14" s="123"/>
      <c r="V14" s="123"/>
      <c r="W14" s="123"/>
      <c r="X14" s="123"/>
      <c r="Y14" s="123"/>
      <c r="Z14" s="123"/>
      <c r="AA14" s="123"/>
      <c r="AB14" s="123"/>
      <c r="AC14" s="123"/>
      <c r="AD14" s="123"/>
      <c r="AE14" s="123"/>
      <c r="AF14" s="123"/>
      <c r="AG14" s="123"/>
    </row>
    <row r="15" spans="1:33">
      <c r="A15" s="123"/>
      <c r="B15" s="143">
        <v>4</v>
      </c>
      <c r="C15" s="144"/>
      <c r="D15" s="144" t="s">
        <v>184</v>
      </c>
      <c r="E15" s="144" t="s">
        <v>185</v>
      </c>
      <c r="F15" s="145" t="s">
        <v>186</v>
      </c>
      <c r="G15" s="123"/>
      <c r="H15" s="123"/>
      <c r="I15" s="144"/>
      <c r="J15" s="144"/>
      <c r="K15" s="144"/>
      <c r="L15" s="144"/>
      <c r="M15" s="144"/>
      <c r="N15" s="144"/>
      <c r="O15" s="144"/>
      <c r="P15" s="144"/>
      <c r="Q15" s="123"/>
      <c r="R15" s="123"/>
      <c r="S15" s="123"/>
      <c r="T15" s="123"/>
      <c r="U15" s="123"/>
      <c r="V15" s="123"/>
      <c r="W15" s="123"/>
      <c r="X15" s="123"/>
      <c r="Y15" s="123"/>
      <c r="Z15" s="123"/>
      <c r="AA15" s="123"/>
      <c r="AB15" s="123"/>
      <c r="AC15" s="123"/>
      <c r="AD15" s="123"/>
      <c r="AE15" s="123"/>
      <c r="AF15" s="123"/>
      <c r="AG15" s="123"/>
    </row>
    <row r="16" spans="1:33">
      <c r="A16" s="123"/>
      <c r="B16" s="143">
        <v>5</v>
      </c>
      <c r="C16" s="144"/>
      <c r="D16" s="144" t="s">
        <v>187</v>
      </c>
      <c r="E16" s="144" t="s">
        <v>188</v>
      </c>
      <c r="F16" s="145" t="s">
        <v>186</v>
      </c>
      <c r="G16" s="123"/>
      <c r="H16" s="123"/>
      <c r="I16" s="144"/>
      <c r="J16" s="144"/>
      <c r="K16" s="144"/>
      <c r="L16" s="144"/>
      <c r="M16" s="144"/>
      <c r="N16" s="144"/>
      <c r="O16" s="144"/>
      <c r="P16" s="144"/>
      <c r="Q16" s="123"/>
      <c r="R16" s="123"/>
      <c r="S16" s="123"/>
      <c r="T16" s="123"/>
      <c r="U16" s="123"/>
      <c r="V16" s="123"/>
      <c r="W16" s="123"/>
      <c r="X16" s="123"/>
      <c r="Y16" s="123"/>
      <c r="Z16" s="123"/>
      <c r="AA16" s="123"/>
      <c r="AB16" s="123"/>
      <c r="AC16" s="123"/>
      <c r="AD16" s="123"/>
      <c r="AE16" s="123"/>
      <c r="AF16" s="123"/>
      <c r="AG16" s="123"/>
    </row>
    <row r="17" spans="1:33">
      <c r="A17" s="123"/>
      <c r="B17" s="146">
        <v>6</v>
      </c>
      <c r="C17" s="135"/>
      <c r="D17" s="135" t="s">
        <v>189</v>
      </c>
      <c r="E17" s="135" t="s">
        <v>190</v>
      </c>
      <c r="F17" s="147" t="s">
        <v>186</v>
      </c>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row>
    <row r="18" spans="1:33">
      <c r="A18" s="123"/>
      <c r="B18" s="123"/>
      <c r="C18" s="123"/>
      <c r="D18" s="124"/>
      <c r="E18" s="124"/>
      <c r="F18" s="123"/>
      <c r="G18" s="123"/>
      <c r="H18" s="123"/>
      <c r="I18" s="123"/>
      <c r="J18" s="123"/>
      <c r="K18" s="123"/>
      <c r="L18" s="123"/>
      <c r="M18" s="123"/>
      <c r="N18" s="123"/>
      <c r="O18" s="123"/>
      <c r="P18" s="123"/>
      <c r="Q18" s="123"/>
      <c r="R18" s="123"/>
      <c r="S18" s="123"/>
      <c r="T18" s="124"/>
      <c r="U18" s="123"/>
      <c r="V18" s="123"/>
      <c r="W18" s="123"/>
      <c r="X18" s="123"/>
      <c r="Y18" s="123"/>
      <c r="Z18" s="123"/>
      <c r="AA18" s="123"/>
      <c r="AB18" s="123"/>
      <c r="AC18" s="123"/>
      <c r="AD18" s="123"/>
      <c r="AE18" s="123"/>
      <c r="AF18" s="123"/>
      <c r="AG18" s="123"/>
    </row>
    <row r="19" spans="1:33">
      <c r="A19" s="123"/>
      <c r="B19" s="123" t="s">
        <v>191</v>
      </c>
      <c r="C19" s="123"/>
      <c r="D19" s="124"/>
      <c r="E19" s="124"/>
      <c r="F19" s="123"/>
      <c r="G19" s="123"/>
      <c r="H19" s="123"/>
      <c r="I19" s="123"/>
      <c r="J19" s="123"/>
      <c r="K19" s="123"/>
      <c r="L19" s="123"/>
      <c r="M19" s="123"/>
      <c r="N19" s="123"/>
      <c r="O19" s="123"/>
      <c r="P19" s="123"/>
      <c r="Q19" s="148" t="s">
        <v>192</v>
      </c>
      <c r="R19" s="123"/>
      <c r="S19" s="123"/>
      <c r="T19" s="124"/>
      <c r="U19" s="123"/>
      <c r="V19" s="123"/>
      <c r="W19" s="148" t="s">
        <v>193</v>
      </c>
      <c r="X19" s="123"/>
      <c r="Y19" s="123"/>
      <c r="Z19" s="148" t="s">
        <v>194</v>
      </c>
      <c r="AA19" s="123"/>
      <c r="AB19" s="123"/>
      <c r="AC19" s="123"/>
      <c r="AD19" s="123"/>
      <c r="AE19" s="123"/>
      <c r="AF19" s="123"/>
      <c r="AG19" s="123"/>
    </row>
    <row r="20" spans="1:33" ht="15">
      <c r="A20" s="123"/>
      <c r="B20" s="149" t="s">
        <v>174</v>
      </c>
      <c r="C20" s="127" t="s">
        <v>195</v>
      </c>
      <c r="D20" s="127" t="s">
        <v>196</v>
      </c>
      <c r="E20" s="128" t="s">
        <v>197</v>
      </c>
      <c r="F20" s="128" t="s">
        <v>179</v>
      </c>
      <c r="G20" s="127" t="s">
        <v>198</v>
      </c>
      <c r="H20" s="128" t="s">
        <v>199</v>
      </c>
      <c r="I20" s="128" t="s">
        <v>217</v>
      </c>
      <c r="J20" s="128" t="s">
        <v>150</v>
      </c>
      <c r="K20" s="128" t="s">
        <v>200</v>
      </c>
      <c r="L20" s="128" t="s">
        <v>173</v>
      </c>
      <c r="M20" s="127" t="s">
        <v>201</v>
      </c>
      <c r="N20" s="127" t="s">
        <v>202</v>
      </c>
      <c r="O20" s="129" t="s">
        <v>986</v>
      </c>
      <c r="P20" s="123"/>
      <c r="Q20" s="138" t="s">
        <v>174</v>
      </c>
      <c r="R20" s="139" t="s">
        <v>200</v>
      </c>
      <c r="S20" s="139" t="s">
        <v>179</v>
      </c>
      <c r="T20" s="139" t="s">
        <v>198</v>
      </c>
      <c r="U20" s="150" t="s">
        <v>203</v>
      </c>
      <c r="V20" s="150" t="s">
        <v>173</v>
      </c>
      <c r="W20" s="140" t="s">
        <v>204</v>
      </c>
      <c r="X20" s="140" t="s">
        <v>987</v>
      </c>
      <c r="Y20" s="123"/>
      <c r="Z20" s="126" t="s">
        <v>174</v>
      </c>
      <c r="AA20" s="127" t="s">
        <v>179</v>
      </c>
      <c r="AB20" s="127" t="s">
        <v>205</v>
      </c>
      <c r="AC20" s="127" t="s">
        <v>173</v>
      </c>
      <c r="AD20" s="150" t="s">
        <v>206</v>
      </c>
      <c r="AE20" s="151" t="s">
        <v>207</v>
      </c>
      <c r="AF20" s="123"/>
      <c r="AG20" s="123" t="b" cm="1">
        <f t="array" ref="AG20">AND(A10:AE20=ModelpuntenInfoOSM!A10:AE20)</f>
        <v>1</v>
      </c>
    </row>
    <row r="21" spans="1:33">
      <c r="A21" s="123"/>
      <c r="B21" s="123"/>
      <c r="C21" s="123"/>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row>
    <row r="22" spans="1:33">
      <c r="A22" s="123"/>
      <c r="B22" s="123"/>
      <c r="C22" s="123"/>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123"/>
      <c r="AB22" s="123"/>
      <c r="AC22" s="123"/>
      <c r="AD22" s="123"/>
      <c r="AE22" s="123"/>
      <c r="AF22" s="123"/>
      <c r="AG22" s="123"/>
    </row>
    <row r="23" spans="1:33">
      <c r="A23" s="123"/>
      <c r="B23" s="123"/>
      <c r="C23" s="123"/>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123"/>
      <c r="AB23" s="123"/>
      <c r="AC23" s="123"/>
      <c r="AD23" s="123"/>
      <c r="AE23" s="123"/>
      <c r="AF23" s="123"/>
      <c r="AG23" s="123"/>
    </row>
    <row r="24" spans="1:33">
      <c r="A24" s="123"/>
      <c r="B24" s="123"/>
      <c r="C24" s="123"/>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123"/>
      <c r="AB24" s="123"/>
      <c r="AC24" s="123"/>
      <c r="AD24" s="123"/>
      <c r="AE24" s="123"/>
      <c r="AF24" s="123"/>
      <c r="AG24" s="123"/>
    </row>
    <row r="25" spans="1:33">
      <c r="A25" s="123"/>
      <c r="B25" s="123"/>
      <c r="C25" s="123"/>
      <c r="D25" s="123"/>
      <c r="E25" s="123"/>
      <c r="F25" s="123"/>
      <c r="G25" s="123"/>
      <c r="H25" s="123"/>
      <c r="I25" s="123"/>
      <c r="J25" s="123"/>
      <c r="K25" s="123"/>
      <c r="L25" s="123"/>
      <c r="M25" s="123"/>
      <c r="N25" s="123"/>
      <c r="O25" s="123"/>
      <c r="P25" s="123"/>
      <c r="Q25" s="123"/>
      <c r="R25" s="123"/>
      <c r="S25" s="123"/>
      <c r="T25" s="123"/>
      <c r="U25" s="123"/>
      <c r="V25" s="123"/>
      <c r="W25" s="123"/>
      <c r="X25" s="123"/>
      <c r="Y25" s="123"/>
      <c r="Z25" s="123"/>
      <c r="AA25" s="123"/>
      <c r="AB25" s="123"/>
      <c r="AC25" s="123"/>
      <c r="AD25" s="123"/>
      <c r="AE25" s="123"/>
      <c r="AF25" s="123"/>
      <c r="AG25" s="123"/>
    </row>
    <row r="26" spans="1:33">
      <c r="A26" s="123"/>
      <c r="B26" s="123"/>
      <c r="C26" s="123"/>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3"/>
      <c r="AB26" s="123"/>
      <c r="AC26" s="123"/>
      <c r="AD26" s="123"/>
      <c r="AE26" s="123"/>
      <c r="AF26" s="123"/>
      <c r="AG26" s="123"/>
    </row>
    <row r="27" spans="1:33">
      <c r="A27" s="123"/>
      <c r="B27" s="123"/>
      <c r="C27" s="123"/>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123"/>
      <c r="AD27" s="123"/>
      <c r="AE27" s="123"/>
      <c r="AF27" s="123"/>
      <c r="AG27" s="123"/>
    </row>
    <row r="28" spans="1:33">
      <c r="A28" s="123"/>
      <c r="B28" s="123"/>
      <c r="C28" s="123"/>
      <c r="D28" s="123"/>
      <c r="E28" s="123"/>
      <c r="F28" s="123"/>
      <c r="G28" s="123"/>
      <c r="H28" s="123"/>
      <c r="I28" s="123"/>
      <c r="J28" s="123"/>
      <c r="K28" s="123"/>
      <c r="L28" s="123"/>
      <c r="M28" s="123"/>
      <c r="N28" s="123"/>
      <c r="O28" s="123"/>
      <c r="P28" s="123"/>
      <c r="Q28" s="123"/>
      <c r="R28" s="123"/>
      <c r="S28" s="123"/>
      <c r="T28" s="123"/>
      <c r="U28" s="123"/>
      <c r="V28" s="123"/>
      <c r="W28" s="123"/>
      <c r="X28" s="123"/>
      <c r="Y28" s="123"/>
      <c r="Z28" s="123"/>
      <c r="AA28" s="123"/>
      <c r="AB28" s="123"/>
      <c r="AC28" s="123"/>
      <c r="AD28" s="123"/>
      <c r="AE28" s="123"/>
      <c r="AF28" s="123"/>
      <c r="AG28" s="123"/>
    </row>
    <row r="29" spans="1:33">
      <c r="A29" s="123"/>
      <c r="B29" s="123"/>
      <c r="C29" s="123"/>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123"/>
      <c r="AB29" s="123"/>
      <c r="AC29" s="123"/>
      <c r="AD29" s="123"/>
      <c r="AE29" s="123"/>
      <c r="AF29" s="123"/>
      <c r="AG29" s="123"/>
    </row>
    <row r="30" spans="1:33">
      <c r="A30" s="123"/>
      <c r="B30" s="123"/>
      <c r="C30" s="123"/>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123"/>
      <c r="AB30" s="123"/>
      <c r="AC30" s="123"/>
      <c r="AD30" s="123"/>
      <c r="AE30" s="123"/>
      <c r="AF30" s="123"/>
      <c r="AG30" s="123"/>
    </row>
    <row r="31" spans="1:33">
      <c r="A31" s="123"/>
      <c r="B31" s="123"/>
      <c r="C31" s="123"/>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c r="AB31" s="123"/>
      <c r="AC31" s="123"/>
      <c r="AD31" s="123"/>
      <c r="AE31" s="123"/>
      <c r="AF31" s="123"/>
      <c r="AG31" s="123"/>
    </row>
    <row r="32" spans="1:33">
      <c r="A32" s="123"/>
      <c r="B32" s="123"/>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c r="AB32" s="123"/>
      <c r="AC32" s="123"/>
      <c r="AD32" s="123"/>
      <c r="AE32" s="123"/>
      <c r="AF32" s="123"/>
      <c r="AG32" s="123"/>
    </row>
    <row r="33" spans="1:33">
      <c r="A33" s="123"/>
      <c r="B33" s="123"/>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row>
    <row r="34" spans="1:33">
      <c r="A34" s="123"/>
      <c r="B34" s="123"/>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c r="AB34" s="123"/>
      <c r="AC34" s="123"/>
      <c r="AD34" s="123"/>
      <c r="AE34" s="123"/>
      <c r="AF34" s="123"/>
      <c r="AG34" s="123"/>
    </row>
    <row r="35" spans="1:33">
      <c r="A35" s="123"/>
      <c r="B35" s="123"/>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c r="AB35" s="123"/>
      <c r="AC35" s="123"/>
      <c r="AD35" s="123"/>
      <c r="AE35" s="123"/>
      <c r="AF35" s="123"/>
      <c r="AG35" s="123"/>
    </row>
    <row r="36" spans="1:33">
      <c r="A36" s="123"/>
      <c r="B36" s="123"/>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row>
    <row r="37" spans="1:33">
      <c r="A37" s="123"/>
      <c r="B37" s="123"/>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c r="AB37" s="123"/>
      <c r="AC37" s="123"/>
      <c r="AD37" s="123"/>
      <c r="AE37" s="123"/>
      <c r="AF37" s="123"/>
      <c r="AG37" s="123"/>
    </row>
    <row r="38" spans="1:33">
      <c r="A38" s="123"/>
      <c r="B38" s="123"/>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c r="AB38" s="123"/>
      <c r="AC38" s="123"/>
      <c r="AD38" s="123"/>
      <c r="AE38" s="123"/>
      <c r="AF38" s="123"/>
      <c r="AG38" s="123"/>
    </row>
    <row r="39" spans="1:33">
      <c r="A39" s="123"/>
      <c r="B39" s="123"/>
      <c r="C39" s="123"/>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row>
    <row r="40" spans="1:33">
      <c r="A40" s="123"/>
      <c r="B40" s="123"/>
      <c r="C40" s="123"/>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123"/>
      <c r="AB40" s="123"/>
      <c r="AC40" s="123"/>
      <c r="AD40" s="123"/>
      <c r="AE40" s="123"/>
      <c r="AF40" s="123"/>
      <c r="AG40" s="123"/>
    </row>
    <row r="41" spans="1:33">
      <c r="A41" s="123"/>
      <c r="B41" s="123"/>
      <c r="C41" s="12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123"/>
      <c r="AB41" s="123"/>
      <c r="AC41" s="123"/>
      <c r="AD41" s="123"/>
      <c r="AE41" s="123"/>
      <c r="AF41" s="123"/>
      <c r="AG41" s="123"/>
    </row>
    <row r="42" spans="1:33">
      <c r="A42" s="123"/>
      <c r="B42" s="123"/>
      <c r="C42" s="123"/>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123"/>
      <c r="AB42" s="123"/>
      <c r="AC42" s="123"/>
      <c r="AD42" s="123"/>
      <c r="AE42" s="123"/>
      <c r="AF42" s="123"/>
      <c r="AG42" s="123"/>
    </row>
    <row r="43" spans="1:33">
      <c r="A43" s="123"/>
      <c r="B43" s="123"/>
      <c r="C43" s="123"/>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3"/>
      <c r="AB43" s="123"/>
      <c r="AC43" s="123"/>
      <c r="AD43" s="123"/>
      <c r="AE43" s="123"/>
      <c r="AF43" s="123"/>
      <c r="AG43" s="123"/>
    </row>
    <row r="44" spans="1:33">
      <c r="A44" s="123"/>
      <c r="B44" s="123"/>
      <c r="C44" s="123"/>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3"/>
      <c r="AB44" s="123"/>
      <c r="AC44" s="123"/>
      <c r="AD44" s="123"/>
      <c r="AE44" s="123"/>
      <c r="AF44" s="123"/>
      <c r="AG44" s="123"/>
    </row>
    <row r="45" spans="1:33">
      <c r="A45" s="123"/>
      <c r="B45" s="123"/>
      <c r="C45" s="123"/>
      <c r="D45" s="123"/>
      <c r="E45" s="123"/>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row>
    <row r="46" spans="1:33">
      <c r="A46" s="123"/>
      <c r="B46" s="123"/>
      <c r="C46" s="123"/>
      <c r="D46" s="123"/>
      <c r="E46" s="123"/>
      <c r="F46" s="123"/>
      <c r="G46" s="123"/>
      <c r="H46" s="123"/>
      <c r="I46" s="123"/>
      <c r="J46" s="123"/>
      <c r="K46" s="123"/>
      <c r="L46" s="123"/>
      <c r="M46" s="123"/>
      <c r="N46" s="123"/>
      <c r="O46" s="123"/>
      <c r="P46" s="123"/>
      <c r="Q46" s="123"/>
      <c r="R46" s="123"/>
      <c r="S46" s="123"/>
      <c r="T46" s="123"/>
      <c r="U46" s="123"/>
      <c r="V46" s="123"/>
      <c r="W46" s="123"/>
      <c r="X46" s="123"/>
      <c r="Y46" s="123"/>
      <c r="Z46" s="123"/>
      <c r="AA46" s="123"/>
      <c r="AB46" s="123"/>
      <c r="AC46" s="123"/>
      <c r="AD46" s="123"/>
      <c r="AE46" s="123"/>
      <c r="AF46" s="123"/>
      <c r="AG46" s="123"/>
    </row>
    <row r="47" spans="1:33">
      <c r="A47" s="123"/>
      <c r="B47" s="123"/>
      <c r="C47" s="123"/>
      <c r="D47" s="123"/>
      <c r="E47" s="123"/>
      <c r="F47" s="123"/>
      <c r="G47" s="123"/>
      <c r="H47" s="123"/>
      <c r="I47" s="123"/>
      <c r="J47" s="123"/>
      <c r="K47" s="123"/>
      <c r="L47" s="123"/>
      <c r="M47" s="123"/>
      <c r="N47" s="123"/>
      <c r="O47" s="123"/>
      <c r="P47" s="123"/>
      <c r="Q47" s="123"/>
      <c r="R47" s="123"/>
      <c r="S47" s="123"/>
      <c r="T47" s="123"/>
      <c r="U47" s="123"/>
      <c r="V47" s="123"/>
      <c r="W47" s="123"/>
      <c r="X47" s="123"/>
      <c r="Y47" s="123"/>
      <c r="Z47" s="123"/>
      <c r="AA47" s="123"/>
      <c r="AB47" s="123"/>
      <c r="AC47" s="123"/>
      <c r="AD47" s="123"/>
      <c r="AE47" s="123"/>
      <c r="AF47" s="123"/>
      <c r="AG47" s="123"/>
    </row>
    <row r="48" spans="1:33">
      <c r="A48" s="123"/>
      <c r="B48" s="123"/>
      <c r="C48" s="123"/>
      <c r="D48" s="123"/>
      <c r="E48" s="123"/>
      <c r="F48" s="123"/>
      <c r="G48" s="123"/>
      <c r="H48" s="123"/>
      <c r="I48" s="123"/>
      <c r="J48" s="123"/>
      <c r="K48" s="123"/>
      <c r="L48" s="123"/>
      <c r="M48" s="123"/>
      <c r="N48" s="123"/>
      <c r="O48" s="123"/>
      <c r="P48" s="123"/>
      <c r="Q48" s="123"/>
      <c r="R48" s="123"/>
      <c r="S48" s="123"/>
      <c r="T48" s="123"/>
      <c r="U48" s="123"/>
      <c r="V48" s="123"/>
      <c r="W48" s="123"/>
      <c r="X48" s="123"/>
      <c r="Y48" s="123"/>
      <c r="Z48" s="123"/>
      <c r="AA48" s="123"/>
      <c r="AB48" s="123"/>
      <c r="AC48" s="123"/>
      <c r="AD48" s="123"/>
      <c r="AE48" s="123"/>
      <c r="AF48" s="123"/>
      <c r="AG48" s="123"/>
    </row>
    <row r="49" spans="1:33">
      <c r="A49" s="123"/>
      <c r="B49" s="123"/>
      <c r="C49" s="123"/>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row>
    <row r="50" spans="1:33">
      <c r="A50" s="123"/>
      <c r="B50" s="123"/>
      <c r="C50" s="123"/>
      <c r="D50" s="123"/>
      <c r="E50" s="123"/>
      <c r="F50" s="123"/>
      <c r="G50" s="123"/>
      <c r="H50" s="123"/>
      <c r="I50" s="123"/>
      <c r="J50" s="123"/>
      <c r="K50" s="123"/>
      <c r="L50" s="123"/>
      <c r="M50" s="123"/>
      <c r="N50" s="123"/>
      <c r="O50" s="123"/>
      <c r="P50" s="123"/>
      <c r="Q50" s="123"/>
      <c r="R50" s="123"/>
      <c r="S50" s="123"/>
      <c r="T50" s="123"/>
      <c r="U50" s="123"/>
      <c r="V50" s="123"/>
      <c r="W50" s="123"/>
      <c r="X50" s="123"/>
      <c r="Y50" s="123"/>
      <c r="Z50" s="123"/>
      <c r="AA50" s="123"/>
      <c r="AB50" s="123"/>
      <c r="AC50" s="123"/>
      <c r="AD50" s="123"/>
      <c r="AE50" s="123"/>
      <c r="AF50" s="123"/>
      <c r="AG50" s="123"/>
    </row>
    <row r="51" spans="1:33">
      <c r="A51" s="123"/>
      <c r="B51" s="123"/>
      <c r="C51" s="123"/>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3"/>
      <c r="AB51" s="123"/>
      <c r="AC51" s="123"/>
      <c r="AD51" s="123"/>
      <c r="AE51" s="123"/>
      <c r="AF51" s="123"/>
      <c r="AG51" s="123"/>
    </row>
    <row r="52" spans="1:33">
      <c r="A52" s="123"/>
      <c r="B52" s="123"/>
      <c r="C52" s="123"/>
      <c r="D52" s="123"/>
      <c r="E52" s="123"/>
      <c r="F52" s="123"/>
      <c r="G52" s="123"/>
      <c r="H52" s="123"/>
      <c r="I52" s="123"/>
      <c r="J52" s="123"/>
      <c r="K52" s="123"/>
      <c r="L52" s="123"/>
      <c r="M52" s="123"/>
      <c r="N52" s="123"/>
      <c r="O52" s="123"/>
      <c r="P52" s="123"/>
      <c r="Q52" s="123"/>
      <c r="R52" s="123"/>
      <c r="S52" s="123"/>
      <c r="T52" s="123"/>
      <c r="U52" s="123"/>
      <c r="V52" s="123"/>
      <c r="W52" s="123"/>
      <c r="X52" s="123"/>
      <c r="Y52" s="123"/>
      <c r="Z52" s="123"/>
      <c r="AA52" s="123"/>
      <c r="AB52" s="123"/>
      <c r="AC52" s="123"/>
      <c r="AD52" s="123"/>
      <c r="AE52" s="123"/>
      <c r="AF52" s="123"/>
      <c r="AG52" s="123"/>
    </row>
    <row r="53" spans="1:33">
      <c r="A53" s="123"/>
      <c r="B53" s="123"/>
      <c r="C53" s="123"/>
      <c r="D53" s="123"/>
      <c r="E53" s="123"/>
      <c r="F53" s="123"/>
      <c r="G53" s="123"/>
      <c r="H53" s="123"/>
      <c r="I53" s="123"/>
      <c r="J53" s="123"/>
      <c r="K53" s="123"/>
      <c r="L53" s="123"/>
      <c r="M53" s="123"/>
      <c r="N53" s="123"/>
      <c r="O53" s="123"/>
      <c r="P53" s="123"/>
      <c r="Q53" s="123"/>
      <c r="R53" s="123"/>
      <c r="S53" s="123"/>
      <c r="T53" s="123"/>
      <c r="U53" s="123"/>
      <c r="V53" s="123"/>
      <c r="W53" s="123"/>
      <c r="X53" s="123"/>
      <c r="Y53" s="123"/>
      <c r="Z53" s="123"/>
      <c r="AA53" s="123"/>
      <c r="AB53" s="123"/>
      <c r="AC53" s="123"/>
      <c r="AD53" s="123"/>
      <c r="AE53" s="123"/>
      <c r="AF53" s="123"/>
      <c r="AG53" s="123"/>
    </row>
    <row r="54" spans="1:33">
      <c r="A54" s="123"/>
      <c r="B54" s="123"/>
      <c r="C54" s="123"/>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3"/>
      <c r="AB54" s="123"/>
      <c r="AC54" s="123"/>
      <c r="AD54" s="123"/>
      <c r="AE54" s="123"/>
      <c r="AF54" s="123"/>
      <c r="AG54" s="123"/>
    </row>
    <row r="55" spans="1:33">
      <c r="A55" s="123"/>
      <c r="B55" s="123"/>
      <c r="C55" s="123"/>
      <c r="D55" s="123"/>
      <c r="E55" s="123"/>
      <c r="F55" s="123"/>
      <c r="G55" s="123"/>
      <c r="H55" s="123"/>
      <c r="I55" s="123"/>
      <c r="J55" s="123"/>
      <c r="K55" s="123"/>
      <c r="L55" s="123"/>
      <c r="M55" s="123"/>
      <c r="N55" s="123"/>
      <c r="O55" s="123"/>
      <c r="P55" s="123"/>
      <c r="Q55" s="123"/>
      <c r="R55" s="123"/>
      <c r="S55" s="123"/>
      <c r="T55" s="123"/>
      <c r="U55" s="123"/>
      <c r="V55" s="123"/>
      <c r="W55" s="123"/>
      <c r="X55" s="123"/>
      <c r="Y55" s="123"/>
      <c r="Z55" s="123"/>
      <c r="AA55" s="123"/>
      <c r="AB55" s="123"/>
      <c r="AC55" s="123"/>
      <c r="AD55" s="123"/>
      <c r="AE55" s="123"/>
      <c r="AF55" s="123"/>
      <c r="AG55" s="123"/>
    </row>
    <row r="56" spans="1:33">
      <c r="A56" s="123"/>
      <c r="B56" s="123"/>
      <c r="C56" s="123"/>
      <c r="D56" s="123"/>
      <c r="E56" s="123"/>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123"/>
      <c r="AD56" s="123"/>
      <c r="AE56" s="123"/>
      <c r="AF56" s="123"/>
      <c r="AG56" s="123"/>
    </row>
    <row r="57" spans="1:33">
      <c r="A57" s="123"/>
      <c r="B57" s="123"/>
      <c r="C57" s="123"/>
      <c r="D57" s="123"/>
      <c r="E57" s="123"/>
      <c r="F57" s="123"/>
      <c r="G57" s="123"/>
      <c r="H57" s="123"/>
      <c r="I57" s="123"/>
      <c r="J57" s="123"/>
      <c r="K57" s="123"/>
      <c r="L57" s="123"/>
      <c r="M57" s="123"/>
      <c r="N57" s="123"/>
      <c r="O57" s="123"/>
      <c r="P57" s="123"/>
      <c r="Q57" s="123"/>
      <c r="R57" s="123"/>
      <c r="S57" s="123"/>
      <c r="T57" s="123"/>
      <c r="U57" s="123"/>
      <c r="V57" s="123"/>
      <c r="W57" s="123"/>
      <c r="X57" s="123"/>
      <c r="Y57" s="123"/>
      <c r="Z57" s="123"/>
      <c r="AA57" s="123"/>
      <c r="AB57" s="123"/>
      <c r="AC57" s="123"/>
      <c r="AD57" s="123"/>
      <c r="AE57" s="123"/>
      <c r="AF57" s="123"/>
      <c r="AG57" s="123"/>
    </row>
    <row r="58" spans="1:33">
      <c r="A58" s="123"/>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row>
    <row r="59" spans="1:33">
      <c r="A59" s="123"/>
      <c r="B59" s="123"/>
      <c r="C59" s="123"/>
      <c r="D59" s="123"/>
      <c r="E59" s="123"/>
      <c r="F59" s="123"/>
      <c r="G59" s="123"/>
      <c r="H59" s="123"/>
      <c r="I59" s="123"/>
      <c r="J59" s="123"/>
      <c r="K59" s="123"/>
      <c r="L59" s="123"/>
      <c r="M59" s="123"/>
      <c r="N59" s="123"/>
      <c r="O59" s="123"/>
      <c r="P59" s="123"/>
      <c r="Q59" s="123"/>
      <c r="R59" s="123"/>
      <c r="S59" s="123"/>
      <c r="T59" s="123"/>
      <c r="U59" s="123"/>
      <c r="V59" s="123"/>
      <c r="W59" s="123"/>
      <c r="X59" s="123"/>
      <c r="Y59" s="123"/>
      <c r="Z59" s="123"/>
      <c r="AA59" s="123"/>
      <c r="AB59" s="123"/>
      <c r="AC59" s="123"/>
      <c r="AD59" s="123"/>
      <c r="AE59" s="123"/>
      <c r="AF59" s="123"/>
      <c r="AG59" s="123"/>
    </row>
    <row r="60" spans="1:33">
      <c r="A60" s="123"/>
      <c r="B60" s="123"/>
      <c r="C60" s="123"/>
      <c r="D60" s="123"/>
      <c r="E60" s="123"/>
      <c r="F60" s="123"/>
      <c r="G60" s="123"/>
      <c r="H60" s="123"/>
      <c r="I60" s="123"/>
      <c r="J60" s="123"/>
      <c r="K60" s="123"/>
      <c r="L60" s="123"/>
      <c r="M60" s="123"/>
      <c r="N60" s="123"/>
      <c r="O60" s="123"/>
      <c r="P60" s="123"/>
      <c r="Q60" s="123"/>
      <c r="R60" s="123"/>
      <c r="S60" s="123"/>
      <c r="T60" s="123"/>
      <c r="U60" s="123"/>
      <c r="V60" s="123"/>
      <c r="W60" s="123"/>
      <c r="X60" s="123"/>
      <c r="Y60" s="123"/>
      <c r="Z60" s="123"/>
      <c r="AA60" s="123"/>
      <c r="AB60" s="123"/>
      <c r="AC60" s="123"/>
      <c r="AD60" s="123"/>
      <c r="AE60" s="123"/>
      <c r="AF60" s="123"/>
      <c r="AG60" s="123"/>
    </row>
    <row r="61" spans="1:33">
      <c r="A61" s="123"/>
      <c r="B61" s="123"/>
      <c r="C61" s="123"/>
      <c r="D61" s="123"/>
      <c r="E61" s="123"/>
      <c r="F61" s="123"/>
      <c r="G61" s="123"/>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123"/>
    </row>
    <row r="62" spans="1:33">
      <c r="A62" s="123"/>
      <c r="B62" s="123"/>
      <c r="C62" s="123"/>
      <c r="D62" s="123"/>
      <c r="E62" s="123"/>
      <c r="F62" s="123"/>
      <c r="G62" s="123"/>
      <c r="H62" s="123"/>
      <c r="I62" s="123"/>
      <c r="J62" s="123"/>
      <c r="K62" s="123"/>
      <c r="L62" s="123"/>
      <c r="M62" s="123"/>
      <c r="N62" s="123"/>
      <c r="O62" s="123"/>
      <c r="P62" s="123"/>
      <c r="Q62" s="123"/>
      <c r="R62" s="123"/>
      <c r="S62" s="123"/>
      <c r="T62" s="123"/>
      <c r="U62" s="123"/>
      <c r="V62" s="123"/>
      <c r="W62" s="123"/>
      <c r="X62" s="123"/>
      <c r="Y62" s="123"/>
      <c r="Z62" s="123"/>
      <c r="AA62" s="123"/>
      <c r="AB62" s="123"/>
      <c r="AC62" s="123"/>
      <c r="AD62" s="123"/>
      <c r="AE62" s="123"/>
      <c r="AF62" s="123"/>
      <c r="AG62" s="123"/>
    </row>
    <row r="63" spans="1:33">
      <c r="A63" s="123"/>
      <c r="B63" s="123"/>
      <c r="C63" s="123"/>
      <c r="D63" s="123"/>
      <c r="E63" s="123"/>
      <c r="F63" s="123"/>
      <c r="G63" s="123"/>
      <c r="H63" s="123"/>
      <c r="I63" s="123"/>
      <c r="J63" s="123"/>
      <c r="K63" s="123"/>
      <c r="L63" s="123"/>
      <c r="M63" s="123"/>
      <c r="N63" s="123"/>
      <c r="O63" s="123"/>
      <c r="P63" s="123"/>
      <c r="Q63" s="123"/>
      <c r="R63" s="123"/>
      <c r="S63" s="123"/>
      <c r="T63" s="123"/>
      <c r="U63" s="123"/>
      <c r="V63" s="123"/>
      <c r="W63" s="123"/>
      <c r="X63" s="123"/>
      <c r="Y63" s="123"/>
      <c r="Z63" s="123"/>
      <c r="AA63" s="123"/>
      <c r="AB63" s="123"/>
      <c r="AC63" s="123"/>
      <c r="AD63" s="123"/>
      <c r="AE63" s="123"/>
      <c r="AF63" s="123"/>
      <c r="AG63" s="123"/>
    </row>
    <row r="64" spans="1:33">
      <c r="A64" s="123"/>
      <c r="B64" s="123"/>
      <c r="C64" s="123"/>
      <c r="D64" s="123"/>
      <c r="E64" s="123"/>
      <c r="F64" s="123"/>
      <c r="G64" s="123"/>
      <c r="H64" s="123"/>
      <c r="I64" s="123"/>
      <c r="J64" s="123"/>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row>
    <row r="65" spans="1:33">
      <c r="A65" s="123"/>
      <c r="B65" s="123"/>
      <c r="C65" s="123"/>
      <c r="D65" s="123"/>
      <c r="E65" s="123"/>
      <c r="F65" s="123"/>
      <c r="G65" s="123"/>
      <c r="H65" s="123"/>
      <c r="I65" s="123"/>
      <c r="J65" s="123"/>
      <c r="K65" s="123"/>
      <c r="L65" s="123"/>
      <c r="M65" s="123"/>
      <c r="N65" s="123"/>
      <c r="O65" s="123"/>
      <c r="P65" s="123"/>
      <c r="Q65" s="123"/>
      <c r="R65" s="123"/>
      <c r="S65" s="123"/>
      <c r="T65" s="123"/>
      <c r="U65" s="123"/>
      <c r="V65" s="123"/>
      <c r="W65" s="123"/>
      <c r="X65" s="123"/>
      <c r="Y65" s="123"/>
      <c r="Z65" s="123"/>
      <c r="AA65" s="123"/>
      <c r="AB65" s="123"/>
      <c r="AC65" s="123"/>
      <c r="AD65" s="123"/>
      <c r="AE65" s="123"/>
      <c r="AF65" s="123"/>
      <c r="AG65" s="123"/>
    </row>
    <row r="66" spans="1:33">
      <c r="A66" s="123"/>
      <c r="B66" s="123"/>
      <c r="C66" s="123"/>
      <c r="D66" s="123"/>
      <c r="E66" s="123"/>
      <c r="F66" s="123"/>
      <c r="G66" s="123"/>
      <c r="H66" s="123"/>
      <c r="I66" s="123"/>
      <c r="J66" s="123"/>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row>
    <row r="67" spans="1:33">
      <c r="A67" s="123"/>
      <c r="B67" s="123"/>
      <c r="C67" s="123"/>
      <c r="D67" s="123"/>
      <c r="E67" s="123"/>
      <c r="F67" s="123"/>
      <c r="G67" s="123"/>
      <c r="H67" s="123"/>
      <c r="I67" s="123"/>
      <c r="J67" s="123"/>
      <c r="K67" s="123"/>
      <c r="L67" s="123"/>
      <c r="M67" s="123"/>
      <c r="N67" s="123"/>
      <c r="O67" s="123"/>
      <c r="P67" s="123"/>
      <c r="Q67" s="123"/>
      <c r="R67" s="123"/>
      <c r="S67" s="123"/>
      <c r="T67" s="123"/>
      <c r="U67" s="123"/>
      <c r="V67" s="123"/>
      <c r="W67" s="123"/>
      <c r="X67" s="123"/>
      <c r="Y67" s="123"/>
      <c r="Z67" s="123"/>
      <c r="AA67" s="123"/>
      <c r="AB67" s="123"/>
      <c r="AC67" s="123"/>
      <c r="AD67" s="123"/>
      <c r="AE67" s="123"/>
      <c r="AF67" s="123"/>
      <c r="AG67" s="123"/>
    </row>
    <row r="68" spans="1:33">
      <c r="A68" s="123"/>
      <c r="B68" s="123"/>
      <c r="C68" s="123"/>
      <c r="D68" s="123"/>
      <c r="E68" s="123"/>
      <c r="F68" s="123"/>
      <c r="G68" s="123"/>
      <c r="H68" s="123"/>
      <c r="I68" s="123"/>
      <c r="J68" s="123"/>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row>
    <row r="69" spans="1:33">
      <c r="A69" s="123"/>
      <c r="B69" s="123"/>
      <c r="C69" s="123"/>
      <c r="D69" s="123"/>
      <c r="E69" s="123"/>
      <c r="F69" s="123"/>
      <c r="G69" s="123"/>
      <c r="H69" s="123"/>
      <c r="I69" s="123"/>
      <c r="J69" s="123"/>
      <c r="K69" s="123"/>
      <c r="L69" s="123"/>
      <c r="M69" s="123"/>
      <c r="N69" s="123"/>
      <c r="O69" s="123"/>
      <c r="P69" s="123"/>
      <c r="Q69" s="123"/>
      <c r="R69" s="123"/>
      <c r="S69" s="123"/>
      <c r="T69" s="123"/>
      <c r="U69" s="123"/>
      <c r="V69" s="123"/>
      <c r="W69" s="123"/>
      <c r="X69" s="123"/>
      <c r="Y69" s="123"/>
      <c r="Z69" s="123"/>
      <c r="AA69" s="123"/>
      <c r="AB69" s="123"/>
      <c r="AC69" s="123"/>
      <c r="AD69" s="123"/>
      <c r="AE69" s="123"/>
      <c r="AF69" s="123"/>
      <c r="AG69" s="123"/>
    </row>
    <row r="70" spans="1:33">
      <c r="A70" s="123"/>
      <c r="B70" s="123"/>
      <c r="C70" s="123"/>
      <c r="D70" s="123"/>
      <c r="E70" s="123"/>
      <c r="F70" s="123"/>
      <c r="G70" s="123"/>
      <c r="H70" s="123"/>
      <c r="I70" s="123"/>
      <c r="J70" s="123"/>
      <c r="K70" s="123"/>
      <c r="L70" s="123"/>
      <c r="M70" s="123"/>
      <c r="N70" s="123"/>
      <c r="O70" s="123"/>
      <c r="P70" s="123"/>
      <c r="Q70" s="123"/>
      <c r="R70" s="123"/>
      <c r="S70" s="123"/>
      <c r="T70" s="123"/>
      <c r="U70" s="123"/>
      <c r="V70" s="123"/>
      <c r="W70" s="123"/>
      <c r="X70" s="123"/>
      <c r="Y70" s="123"/>
      <c r="Z70" s="123"/>
      <c r="AA70" s="123"/>
      <c r="AB70" s="123"/>
      <c r="AC70" s="123"/>
      <c r="AD70" s="123"/>
      <c r="AE70" s="123"/>
      <c r="AF70" s="123"/>
      <c r="AG70" s="123"/>
    </row>
    <row r="71" spans="1:33">
      <c r="A71" s="123"/>
      <c r="B71" s="123"/>
      <c r="C71" s="123"/>
      <c r="D71" s="123"/>
      <c r="E71" s="123"/>
      <c r="F71" s="123"/>
      <c r="G71" s="123"/>
      <c r="H71" s="123"/>
      <c r="I71" s="123"/>
      <c r="J71" s="123"/>
      <c r="K71" s="123"/>
      <c r="L71" s="123"/>
      <c r="M71" s="123"/>
      <c r="N71" s="123"/>
      <c r="O71" s="123"/>
      <c r="P71" s="123"/>
      <c r="Q71" s="123"/>
      <c r="R71" s="123"/>
      <c r="S71" s="123"/>
      <c r="T71" s="123"/>
      <c r="U71" s="123"/>
      <c r="V71" s="123"/>
      <c r="W71" s="123"/>
      <c r="X71" s="123"/>
      <c r="Y71" s="123"/>
      <c r="Z71" s="123"/>
      <c r="AA71" s="123"/>
      <c r="AB71" s="123"/>
      <c r="AC71" s="123"/>
      <c r="AD71" s="123"/>
      <c r="AE71" s="123"/>
      <c r="AF71" s="123"/>
      <c r="AG71" s="123"/>
    </row>
    <row r="72" spans="1:33">
      <c r="A72" s="123"/>
      <c r="B72" s="123"/>
      <c r="C72" s="123"/>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row>
    <row r="73" spans="1:33">
      <c r="A73" s="123"/>
      <c r="B73" s="123"/>
      <c r="C73" s="123"/>
      <c r="D73" s="123"/>
      <c r="E73" s="123"/>
      <c r="F73" s="123"/>
      <c r="G73" s="123"/>
      <c r="H73" s="123"/>
      <c r="I73" s="123"/>
      <c r="J73" s="123"/>
      <c r="K73" s="123"/>
      <c r="L73" s="123"/>
      <c r="M73" s="123"/>
      <c r="N73" s="123"/>
      <c r="O73" s="123"/>
      <c r="P73" s="123"/>
      <c r="Q73" s="123"/>
      <c r="R73" s="123"/>
      <c r="S73" s="123"/>
      <c r="T73" s="123"/>
      <c r="U73" s="123"/>
      <c r="V73" s="123"/>
      <c r="W73" s="123"/>
      <c r="X73" s="123"/>
      <c r="Y73" s="123"/>
      <c r="Z73" s="123"/>
      <c r="AA73" s="123"/>
      <c r="AB73" s="123"/>
      <c r="AC73" s="123"/>
      <c r="AD73" s="123"/>
      <c r="AE73" s="123"/>
      <c r="AF73" s="123"/>
      <c r="AG73" s="123"/>
    </row>
    <row r="74" spans="1:33">
      <c r="A74" s="123"/>
      <c r="B74" s="123"/>
      <c r="C74" s="123"/>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123"/>
    </row>
    <row r="75" spans="1:33">
      <c r="A75" s="123"/>
      <c r="B75" s="123"/>
      <c r="C75" s="123"/>
      <c r="D75" s="123"/>
      <c r="E75" s="123"/>
      <c r="F75" s="123"/>
      <c r="G75" s="123"/>
      <c r="H75" s="123"/>
      <c r="I75" s="123"/>
      <c r="J75" s="123"/>
      <c r="K75" s="123"/>
      <c r="L75" s="123"/>
      <c r="M75" s="123"/>
      <c r="N75" s="123"/>
      <c r="O75" s="123"/>
      <c r="P75" s="123"/>
      <c r="Q75" s="123"/>
      <c r="R75" s="123"/>
      <c r="S75" s="123"/>
      <c r="T75" s="123"/>
      <c r="U75" s="123"/>
      <c r="V75" s="123"/>
      <c r="W75" s="123"/>
      <c r="X75" s="123"/>
      <c r="Y75" s="123"/>
      <c r="Z75" s="123"/>
      <c r="AA75" s="123"/>
      <c r="AB75" s="123"/>
      <c r="AC75" s="123"/>
      <c r="AD75" s="123"/>
      <c r="AE75" s="123"/>
      <c r="AF75" s="123"/>
      <c r="AG75" s="123"/>
    </row>
    <row r="76" spans="1:33">
      <c r="A76" s="123"/>
      <c r="B76" s="123"/>
      <c r="C76" s="123"/>
      <c r="D76" s="123"/>
      <c r="E76" s="123"/>
      <c r="F76" s="123"/>
      <c r="G76" s="123"/>
      <c r="H76" s="123"/>
      <c r="I76" s="123"/>
      <c r="J76" s="123"/>
      <c r="K76" s="123"/>
      <c r="L76" s="123"/>
      <c r="M76" s="123"/>
      <c r="N76" s="123"/>
      <c r="O76" s="123"/>
      <c r="P76" s="123"/>
      <c r="Q76" s="123"/>
      <c r="R76" s="123"/>
      <c r="S76" s="123"/>
      <c r="T76" s="123"/>
      <c r="U76" s="123"/>
      <c r="V76" s="123"/>
      <c r="W76" s="123"/>
      <c r="X76" s="123"/>
      <c r="Y76" s="123"/>
      <c r="Z76" s="123"/>
      <c r="AA76" s="123"/>
      <c r="AB76" s="123"/>
      <c r="AC76" s="123"/>
      <c r="AD76" s="123"/>
      <c r="AE76" s="123"/>
      <c r="AF76" s="123"/>
      <c r="AG76" s="123"/>
    </row>
    <row r="77" spans="1:33">
      <c r="A77" s="123"/>
      <c r="B77" s="123"/>
      <c r="C77" s="123"/>
      <c r="D77" s="123"/>
      <c r="E77" s="123"/>
      <c r="F77" s="123"/>
      <c r="G77" s="123"/>
      <c r="H77" s="123"/>
      <c r="I77" s="123"/>
      <c r="J77" s="123"/>
      <c r="K77" s="123"/>
      <c r="L77" s="123"/>
      <c r="M77" s="123"/>
      <c r="N77" s="123"/>
      <c r="O77" s="123"/>
      <c r="P77" s="123"/>
      <c r="Q77" s="123"/>
      <c r="R77" s="123"/>
      <c r="S77" s="123"/>
      <c r="T77" s="123"/>
      <c r="U77" s="123"/>
      <c r="V77" s="123"/>
      <c r="W77" s="123"/>
      <c r="X77" s="123"/>
      <c r="Y77" s="123"/>
      <c r="Z77" s="123"/>
      <c r="AA77" s="123"/>
      <c r="AB77" s="123"/>
      <c r="AC77" s="123"/>
      <c r="AD77" s="123"/>
      <c r="AE77" s="123"/>
      <c r="AF77" s="123"/>
      <c r="AG77" s="123"/>
    </row>
    <row r="78" spans="1:33">
      <c r="A78" s="123"/>
      <c r="B78" s="123"/>
      <c r="C78" s="123"/>
      <c r="D78" s="123"/>
      <c r="E78" s="123"/>
      <c r="F78" s="123"/>
      <c r="G78" s="123"/>
      <c r="H78" s="123"/>
      <c r="I78" s="123"/>
      <c r="J78" s="123"/>
      <c r="K78" s="123"/>
      <c r="L78" s="123"/>
      <c r="M78" s="123"/>
      <c r="N78" s="123"/>
      <c r="O78" s="123"/>
      <c r="P78" s="123"/>
      <c r="Q78" s="123"/>
      <c r="R78" s="123"/>
      <c r="S78" s="123"/>
      <c r="T78" s="123"/>
      <c r="U78" s="123"/>
      <c r="V78" s="123"/>
      <c r="W78" s="123"/>
      <c r="X78" s="123"/>
      <c r="Y78" s="123"/>
      <c r="Z78" s="123"/>
      <c r="AA78" s="123"/>
      <c r="AB78" s="123"/>
      <c r="AC78" s="123"/>
      <c r="AD78" s="123"/>
      <c r="AE78" s="123"/>
      <c r="AF78" s="123"/>
      <c r="AG78" s="123"/>
    </row>
    <row r="79" spans="1:33">
      <c r="A79" s="123"/>
      <c r="B79" s="123"/>
      <c r="C79" s="123"/>
      <c r="D79" s="123"/>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123"/>
      <c r="AC79" s="123"/>
      <c r="AD79" s="123"/>
      <c r="AE79" s="123"/>
      <c r="AF79" s="123"/>
      <c r="AG79" s="123"/>
    </row>
    <row r="80" spans="1:33">
      <c r="A80" s="123"/>
      <c r="B80" s="123"/>
      <c r="C80" s="123"/>
      <c r="D80" s="123"/>
      <c r="E80" s="123"/>
      <c r="F80" s="123"/>
      <c r="G80" s="123"/>
      <c r="H80" s="123"/>
      <c r="I80" s="123"/>
      <c r="J80" s="123"/>
      <c r="K80" s="123"/>
      <c r="L80" s="123"/>
      <c r="M80" s="123"/>
      <c r="N80" s="123"/>
      <c r="O80" s="123"/>
      <c r="P80" s="123"/>
      <c r="Q80" s="123"/>
      <c r="R80" s="123"/>
      <c r="S80" s="123"/>
      <c r="T80" s="123"/>
      <c r="U80" s="123"/>
      <c r="V80" s="123"/>
      <c r="W80" s="123"/>
      <c r="X80" s="123"/>
      <c r="Y80" s="123"/>
      <c r="Z80" s="123"/>
      <c r="AA80" s="123"/>
      <c r="AB80" s="123"/>
      <c r="AC80" s="123"/>
      <c r="AD80" s="123"/>
      <c r="AE80" s="123"/>
      <c r="AF80" s="123"/>
      <c r="AG80" s="123"/>
    </row>
    <row r="81" spans="1:33">
      <c r="A81" s="123"/>
      <c r="B81" s="123"/>
      <c r="C81" s="123"/>
      <c r="D81" s="123"/>
      <c r="E81" s="123"/>
      <c r="F81" s="123"/>
      <c r="G81" s="123"/>
      <c r="H81" s="123"/>
      <c r="I81" s="123"/>
      <c r="J81" s="123"/>
      <c r="K81" s="123"/>
      <c r="L81" s="123"/>
      <c r="M81" s="123"/>
      <c r="N81" s="123"/>
      <c r="O81" s="123"/>
      <c r="P81" s="123"/>
      <c r="Q81" s="123"/>
      <c r="R81" s="123"/>
      <c r="S81" s="123"/>
      <c r="T81" s="123"/>
      <c r="U81" s="123"/>
      <c r="V81" s="123"/>
      <c r="W81" s="123"/>
      <c r="X81" s="123"/>
      <c r="Y81" s="123"/>
      <c r="Z81" s="123"/>
      <c r="AA81" s="123"/>
      <c r="AB81" s="123"/>
      <c r="AC81" s="123"/>
      <c r="AD81" s="123"/>
      <c r="AE81" s="123"/>
      <c r="AF81" s="123"/>
      <c r="AG81" s="123"/>
    </row>
    <row r="82" spans="1:33">
      <c r="A82" s="123"/>
      <c r="B82" s="123"/>
      <c r="C82" s="123"/>
      <c r="D82" s="123"/>
      <c r="E82" s="123"/>
      <c r="F82" s="123"/>
      <c r="G82" s="123"/>
      <c r="H82" s="123"/>
      <c r="I82" s="123"/>
      <c r="J82" s="123"/>
      <c r="K82" s="123"/>
      <c r="L82" s="123"/>
      <c r="M82" s="123"/>
      <c r="N82" s="123"/>
      <c r="O82" s="123"/>
      <c r="P82" s="123"/>
      <c r="Q82" s="123"/>
      <c r="R82" s="123"/>
      <c r="S82" s="123"/>
      <c r="T82" s="123"/>
      <c r="U82" s="123"/>
      <c r="V82" s="123"/>
      <c r="W82" s="123"/>
      <c r="X82" s="123"/>
      <c r="Y82" s="123"/>
      <c r="Z82" s="123"/>
      <c r="AA82" s="123"/>
      <c r="AB82" s="123"/>
      <c r="AC82" s="123"/>
      <c r="AD82" s="123"/>
      <c r="AE82" s="123"/>
      <c r="AF82" s="123"/>
      <c r="AG82" s="123"/>
    </row>
    <row r="83" spans="1:33">
      <c r="A83" s="123"/>
      <c r="B83" s="123"/>
      <c r="C83" s="123"/>
      <c r="D83" s="123"/>
      <c r="E83" s="123"/>
      <c r="F83" s="123"/>
      <c r="G83" s="123"/>
      <c r="H83" s="123"/>
      <c r="I83" s="123"/>
      <c r="J83" s="123"/>
      <c r="K83" s="123"/>
      <c r="L83" s="123"/>
      <c r="M83" s="123"/>
      <c r="N83" s="123"/>
      <c r="O83" s="123"/>
      <c r="P83" s="123"/>
      <c r="Q83" s="123"/>
      <c r="R83" s="123"/>
      <c r="S83" s="123"/>
      <c r="T83" s="123"/>
      <c r="U83" s="123"/>
      <c r="V83" s="123"/>
      <c r="W83" s="123"/>
      <c r="X83" s="123"/>
      <c r="Y83" s="123"/>
      <c r="Z83" s="123"/>
      <c r="AA83" s="123"/>
      <c r="AB83" s="123"/>
      <c r="AC83" s="123"/>
      <c r="AD83" s="123"/>
      <c r="AE83" s="123"/>
      <c r="AF83" s="123"/>
      <c r="AG83" s="123"/>
    </row>
    <row r="84" spans="1:33">
      <c r="A84" s="123"/>
      <c r="B84" s="123"/>
      <c r="C84" s="123"/>
      <c r="D84" s="123"/>
      <c r="E84" s="123"/>
      <c r="F84" s="123"/>
      <c r="G84" s="123"/>
      <c r="H84" s="123"/>
      <c r="I84" s="123"/>
      <c r="J84" s="123"/>
      <c r="K84" s="123"/>
      <c r="L84" s="123"/>
      <c r="M84" s="123"/>
      <c r="N84" s="123"/>
      <c r="O84" s="123"/>
      <c r="P84" s="123"/>
      <c r="Q84" s="123"/>
      <c r="R84" s="123"/>
      <c r="S84" s="123"/>
      <c r="T84" s="123"/>
      <c r="U84" s="123"/>
      <c r="V84" s="123"/>
      <c r="W84" s="123"/>
      <c r="X84" s="123"/>
      <c r="Y84" s="123"/>
      <c r="Z84" s="123"/>
      <c r="AA84" s="123"/>
      <c r="AB84" s="123"/>
      <c r="AC84" s="123"/>
      <c r="AD84" s="123"/>
      <c r="AE84" s="123"/>
      <c r="AF84" s="123"/>
      <c r="AG84" s="123"/>
    </row>
    <row r="85" spans="1:33">
      <c r="A85" s="123"/>
      <c r="B85" s="123"/>
      <c r="C85" s="123"/>
      <c r="D85" s="123"/>
      <c r="E85" s="123"/>
      <c r="F85" s="123"/>
      <c r="G85" s="123"/>
      <c r="H85" s="123"/>
      <c r="I85" s="123"/>
      <c r="J85" s="123"/>
      <c r="K85" s="123"/>
      <c r="L85" s="123"/>
      <c r="M85" s="123"/>
      <c r="N85" s="123"/>
      <c r="O85" s="123"/>
      <c r="P85" s="123"/>
      <c r="Q85" s="123"/>
      <c r="R85" s="123"/>
      <c r="S85" s="123"/>
      <c r="T85" s="123"/>
      <c r="U85" s="123"/>
      <c r="V85" s="123"/>
      <c r="W85" s="123"/>
      <c r="X85" s="123"/>
      <c r="Y85" s="123"/>
      <c r="Z85" s="123"/>
      <c r="AA85" s="123"/>
      <c r="AB85" s="123"/>
      <c r="AC85" s="123"/>
      <c r="AD85" s="123"/>
      <c r="AE85" s="123"/>
      <c r="AF85" s="123"/>
      <c r="AG85" s="123"/>
    </row>
    <row r="86" spans="1:33">
      <c r="A86" s="123"/>
      <c r="B86" s="123"/>
      <c r="C86" s="123"/>
      <c r="D86" s="123"/>
      <c r="E86" s="123"/>
      <c r="F86" s="123"/>
      <c r="G86" s="123"/>
      <c r="H86" s="123"/>
      <c r="I86" s="123"/>
      <c r="J86" s="123"/>
      <c r="K86" s="123"/>
      <c r="L86" s="123"/>
      <c r="M86" s="123"/>
      <c r="N86" s="123"/>
      <c r="O86" s="123"/>
      <c r="P86" s="123"/>
      <c r="Q86" s="123"/>
      <c r="R86" s="123"/>
      <c r="S86" s="123"/>
      <c r="T86" s="123"/>
      <c r="U86" s="123"/>
      <c r="V86" s="123"/>
      <c r="W86" s="123"/>
      <c r="X86" s="123"/>
      <c r="Y86" s="123"/>
      <c r="Z86" s="123"/>
      <c r="AA86" s="123"/>
      <c r="AB86" s="123"/>
      <c r="AC86" s="123"/>
      <c r="AD86" s="123"/>
      <c r="AE86" s="123"/>
      <c r="AF86" s="123"/>
      <c r="AG86" s="123"/>
    </row>
    <row r="87" spans="1:33">
      <c r="A87" s="123"/>
      <c r="B87" s="123"/>
      <c r="C87" s="123"/>
      <c r="D87" s="123"/>
      <c r="E87" s="123"/>
      <c r="F87" s="123"/>
      <c r="G87" s="123"/>
      <c r="H87" s="123"/>
      <c r="I87" s="123"/>
      <c r="J87" s="123"/>
      <c r="K87" s="123"/>
      <c r="L87" s="123"/>
      <c r="M87" s="123"/>
      <c r="N87" s="123"/>
      <c r="O87" s="123"/>
      <c r="P87" s="123"/>
      <c r="Q87" s="123"/>
      <c r="R87" s="123"/>
      <c r="S87" s="123"/>
      <c r="T87" s="123"/>
      <c r="U87" s="123"/>
      <c r="V87" s="123"/>
      <c r="W87" s="123"/>
      <c r="X87" s="123"/>
      <c r="Y87" s="123"/>
      <c r="Z87" s="123"/>
      <c r="AA87" s="123"/>
      <c r="AB87" s="123"/>
      <c r="AC87" s="123"/>
      <c r="AD87" s="123"/>
      <c r="AE87" s="123"/>
      <c r="AF87" s="123"/>
      <c r="AG87" s="123"/>
    </row>
    <row r="88" spans="1:33">
      <c r="A88" s="123"/>
      <c r="B88" s="123"/>
      <c r="C88" s="123"/>
      <c r="D88" s="123"/>
      <c r="E88" s="123"/>
      <c r="F88" s="123"/>
      <c r="G88" s="123"/>
      <c r="H88" s="123"/>
      <c r="I88" s="123"/>
      <c r="J88" s="123"/>
      <c r="K88" s="123"/>
      <c r="L88" s="123"/>
      <c r="M88" s="123"/>
      <c r="N88" s="123"/>
      <c r="O88" s="123"/>
      <c r="P88" s="123"/>
      <c r="Q88" s="123"/>
      <c r="R88" s="123"/>
      <c r="S88" s="123"/>
      <c r="T88" s="123"/>
      <c r="U88" s="123"/>
      <c r="V88" s="123"/>
      <c r="W88" s="123"/>
      <c r="X88" s="123"/>
      <c r="Y88" s="123"/>
      <c r="Z88" s="123"/>
      <c r="AA88" s="123"/>
      <c r="AB88" s="123"/>
      <c r="AC88" s="123"/>
      <c r="AD88" s="123"/>
      <c r="AE88" s="123"/>
      <c r="AF88" s="123"/>
      <c r="AG88" s="123"/>
    </row>
    <row r="89" spans="1:33">
      <c r="A89" s="123"/>
      <c r="B89" s="123"/>
      <c r="C89" s="123"/>
      <c r="D89" s="123"/>
      <c r="E89" s="123"/>
      <c r="F89" s="123"/>
      <c r="G89" s="123"/>
      <c r="H89" s="123"/>
      <c r="I89" s="123"/>
      <c r="J89" s="123"/>
      <c r="K89" s="123"/>
      <c r="L89" s="123"/>
      <c r="M89" s="123"/>
      <c r="N89" s="123"/>
      <c r="O89" s="123"/>
      <c r="P89" s="123"/>
      <c r="Q89" s="123"/>
      <c r="R89" s="123"/>
      <c r="S89" s="123"/>
      <c r="T89" s="123"/>
      <c r="U89" s="123"/>
      <c r="V89" s="123"/>
      <c r="W89" s="123"/>
      <c r="X89" s="123"/>
      <c r="Y89" s="123"/>
      <c r="Z89" s="123"/>
      <c r="AA89" s="123"/>
      <c r="AB89" s="123"/>
      <c r="AC89" s="123"/>
      <c r="AD89" s="123"/>
      <c r="AE89" s="123"/>
      <c r="AF89" s="123"/>
      <c r="AG89" s="123"/>
    </row>
    <row r="90" spans="1:33">
      <c r="A90" s="123"/>
      <c r="B90" s="123"/>
      <c r="C90" s="123"/>
      <c r="D90" s="123"/>
      <c r="E90" s="123"/>
      <c r="F90" s="123"/>
      <c r="G90" s="123"/>
      <c r="H90" s="123"/>
      <c r="I90" s="123"/>
      <c r="J90" s="123"/>
      <c r="K90" s="123"/>
      <c r="L90" s="123"/>
      <c r="M90" s="123"/>
      <c r="N90" s="123"/>
      <c r="O90" s="123"/>
      <c r="P90" s="123"/>
      <c r="Q90" s="123"/>
      <c r="R90" s="123"/>
      <c r="S90" s="123"/>
      <c r="T90" s="123"/>
      <c r="U90" s="123"/>
      <c r="V90" s="123"/>
      <c r="W90" s="123"/>
      <c r="X90" s="123"/>
      <c r="Y90" s="123"/>
      <c r="Z90" s="123"/>
      <c r="AA90" s="123"/>
      <c r="AB90" s="123"/>
      <c r="AC90" s="123"/>
      <c r="AD90" s="123"/>
      <c r="AE90" s="123"/>
      <c r="AF90" s="123"/>
      <c r="AG90" s="123"/>
    </row>
    <row r="91" spans="1:33">
      <c r="A91" s="123"/>
      <c r="B91" s="123"/>
      <c r="C91" s="123"/>
      <c r="D91" s="123"/>
      <c r="E91" s="123"/>
      <c r="F91" s="123"/>
      <c r="G91" s="123"/>
      <c r="H91" s="123"/>
      <c r="I91" s="123"/>
      <c r="J91" s="123"/>
      <c r="K91" s="123"/>
      <c r="L91" s="123"/>
      <c r="M91" s="123"/>
      <c r="N91" s="123"/>
      <c r="O91" s="123"/>
      <c r="P91" s="123"/>
      <c r="Q91" s="123"/>
      <c r="R91" s="123"/>
      <c r="S91" s="123"/>
      <c r="T91" s="123"/>
      <c r="U91" s="123"/>
      <c r="V91" s="123"/>
      <c r="W91" s="123"/>
      <c r="X91" s="123"/>
      <c r="Y91" s="123"/>
      <c r="Z91" s="123"/>
      <c r="AA91" s="123"/>
      <c r="AB91" s="123"/>
      <c r="AC91" s="123"/>
      <c r="AD91" s="123"/>
      <c r="AE91" s="123"/>
      <c r="AF91" s="123"/>
      <c r="AG91" s="123"/>
    </row>
    <row r="92" spans="1:33">
      <c r="A92" s="123"/>
      <c r="B92" s="123"/>
      <c r="C92" s="123"/>
      <c r="D92" s="123"/>
      <c r="E92" s="123"/>
      <c r="F92" s="123"/>
      <c r="G92" s="123"/>
      <c r="H92" s="123"/>
      <c r="I92" s="123"/>
      <c r="J92" s="123"/>
      <c r="K92" s="123"/>
      <c r="L92" s="123"/>
      <c r="M92" s="123"/>
      <c r="N92" s="123"/>
      <c r="O92" s="123"/>
      <c r="P92" s="123"/>
      <c r="Q92" s="123"/>
      <c r="R92" s="123"/>
      <c r="S92" s="123"/>
      <c r="T92" s="123"/>
      <c r="U92" s="123"/>
      <c r="V92" s="123"/>
      <c r="W92" s="123"/>
      <c r="X92" s="123"/>
      <c r="Y92" s="123"/>
      <c r="Z92" s="123"/>
      <c r="AA92" s="123"/>
      <c r="AB92" s="123"/>
      <c r="AC92" s="123"/>
      <c r="AD92" s="123"/>
      <c r="AE92" s="123"/>
      <c r="AF92" s="123"/>
      <c r="AG92" s="123"/>
    </row>
    <row r="93" spans="1:33">
      <c r="A93" s="123"/>
      <c r="B93" s="123"/>
      <c r="C93" s="123"/>
      <c r="D93" s="123"/>
      <c r="E93" s="123"/>
      <c r="F93" s="123"/>
      <c r="G93" s="123"/>
      <c r="H93" s="123"/>
      <c r="I93" s="123"/>
      <c r="J93" s="123"/>
      <c r="K93" s="123"/>
      <c r="L93" s="123"/>
      <c r="M93" s="123"/>
      <c r="N93" s="123"/>
      <c r="O93" s="123"/>
      <c r="P93" s="123"/>
      <c r="Q93" s="123"/>
      <c r="R93" s="123"/>
      <c r="S93" s="123"/>
      <c r="T93" s="123"/>
      <c r="U93" s="123"/>
      <c r="V93" s="123"/>
      <c r="W93" s="123"/>
      <c r="X93" s="123"/>
      <c r="Y93" s="123"/>
      <c r="Z93" s="123"/>
      <c r="AA93" s="123"/>
      <c r="AB93" s="123"/>
      <c r="AC93" s="123"/>
      <c r="AD93" s="123"/>
      <c r="AE93" s="123"/>
      <c r="AF93" s="123"/>
      <c r="AG93" s="123"/>
    </row>
    <row r="94" spans="1:33">
      <c r="A94" s="123"/>
      <c r="B94" s="123"/>
      <c r="C94" s="123"/>
      <c r="D94" s="123"/>
      <c r="E94" s="123"/>
      <c r="F94" s="123"/>
      <c r="G94" s="123"/>
      <c r="H94" s="123"/>
      <c r="I94" s="123"/>
      <c r="J94" s="123"/>
      <c r="K94" s="123"/>
      <c r="L94" s="123"/>
      <c r="M94" s="123"/>
      <c r="N94" s="123"/>
      <c r="O94" s="123"/>
      <c r="P94" s="123"/>
      <c r="Q94" s="123"/>
      <c r="R94" s="123"/>
      <c r="S94" s="123"/>
      <c r="T94" s="123"/>
      <c r="U94" s="123"/>
      <c r="V94" s="123"/>
      <c r="W94" s="123"/>
      <c r="X94" s="123"/>
      <c r="Y94" s="123"/>
      <c r="Z94" s="123"/>
      <c r="AA94" s="123"/>
      <c r="AB94" s="123"/>
      <c r="AC94" s="123"/>
      <c r="AD94" s="123"/>
      <c r="AE94" s="123"/>
      <c r="AF94" s="123"/>
      <c r="AG94" s="123"/>
    </row>
    <row r="95" spans="1:33">
      <c r="A95" s="123"/>
      <c r="B95" s="123"/>
      <c r="C95" s="123"/>
      <c r="D95" s="123"/>
      <c r="E95" s="123"/>
      <c r="F95" s="123"/>
      <c r="G95" s="123"/>
      <c r="H95" s="123"/>
      <c r="I95" s="123"/>
      <c r="J95" s="123"/>
      <c r="K95" s="123"/>
      <c r="L95" s="123"/>
      <c r="M95" s="123"/>
      <c r="N95" s="123"/>
      <c r="O95" s="123"/>
      <c r="P95" s="123"/>
      <c r="Q95" s="123"/>
      <c r="R95" s="123"/>
      <c r="S95" s="123"/>
      <c r="T95" s="123"/>
      <c r="U95" s="123"/>
      <c r="V95" s="123"/>
      <c r="W95" s="123"/>
      <c r="X95" s="123"/>
      <c r="Y95" s="123"/>
      <c r="Z95" s="123"/>
      <c r="AA95" s="123"/>
      <c r="AB95" s="123"/>
      <c r="AC95" s="123"/>
      <c r="AD95" s="123"/>
      <c r="AE95" s="123"/>
      <c r="AF95" s="123"/>
      <c r="AG95" s="123"/>
    </row>
    <row r="96" spans="1:33">
      <c r="A96" s="123"/>
      <c r="B96" s="123"/>
      <c r="C96" s="123"/>
      <c r="D96" s="123"/>
      <c r="E96" s="123"/>
      <c r="F96" s="123"/>
      <c r="G96" s="123"/>
      <c r="H96" s="123"/>
      <c r="I96" s="123"/>
      <c r="J96" s="123"/>
      <c r="K96" s="123"/>
      <c r="L96" s="123"/>
      <c r="M96" s="123"/>
      <c r="N96" s="123"/>
      <c r="O96" s="123"/>
      <c r="P96" s="123"/>
      <c r="Q96" s="123"/>
      <c r="R96" s="123"/>
      <c r="S96" s="123"/>
      <c r="T96" s="123"/>
      <c r="U96" s="123"/>
      <c r="V96" s="123"/>
      <c r="W96" s="123"/>
      <c r="X96" s="123"/>
      <c r="Y96" s="123"/>
      <c r="Z96" s="123"/>
      <c r="AA96" s="123"/>
      <c r="AB96" s="123"/>
      <c r="AC96" s="123"/>
      <c r="AD96" s="123"/>
      <c r="AE96" s="123"/>
      <c r="AF96" s="123"/>
      <c r="AG96" s="123"/>
    </row>
    <row r="97" spans="1:33">
      <c r="A97" s="123"/>
      <c r="B97" s="123"/>
      <c r="C97" s="123"/>
      <c r="D97" s="123"/>
      <c r="E97" s="123"/>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row>
    <row r="98" spans="1:33">
      <c r="A98" s="123"/>
      <c r="B98" s="123"/>
      <c r="C98" s="123"/>
      <c r="D98" s="123"/>
      <c r="E98" s="123"/>
      <c r="F98" s="123"/>
      <c r="G98" s="123"/>
      <c r="H98" s="123"/>
      <c r="I98" s="123"/>
      <c r="J98" s="123"/>
      <c r="K98" s="123"/>
      <c r="L98" s="123"/>
      <c r="M98" s="123"/>
      <c r="N98" s="123"/>
      <c r="O98" s="123"/>
      <c r="P98" s="123"/>
      <c r="Q98" s="123"/>
      <c r="R98" s="123"/>
      <c r="S98" s="123"/>
      <c r="T98" s="123"/>
      <c r="U98" s="123"/>
      <c r="V98" s="123"/>
      <c r="W98" s="123"/>
      <c r="X98" s="123"/>
      <c r="Y98" s="123"/>
      <c r="Z98" s="123"/>
      <c r="AA98" s="123"/>
      <c r="AB98" s="123"/>
      <c r="AC98" s="123"/>
      <c r="AD98" s="123"/>
      <c r="AE98" s="123"/>
      <c r="AF98" s="123"/>
      <c r="AG98" s="123"/>
    </row>
    <row r="99" spans="1:33">
      <c r="A99" s="123"/>
      <c r="B99" s="123"/>
      <c r="C99" s="123"/>
      <c r="D99" s="123"/>
      <c r="E99" s="123"/>
      <c r="F99" s="123"/>
      <c r="G99" s="123"/>
      <c r="H99" s="123"/>
      <c r="I99" s="123"/>
      <c r="J99" s="123"/>
      <c r="K99" s="123"/>
      <c r="L99" s="123"/>
      <c r="M99" s="123"/>
      <c r="N99" s="123"/>
      <c r="O99" s="123"/>
      <c r="P99" s="123"/>
      <c r="Q99" s="123"/>
      <c r="R99" s="123"/>
      <c r="S99" s="123"/>
      <c r="T99" s="123"/>
      <c r="U99" s="123"/>
      <c r="V99" s="123"/>
      <c r="W99" s="123"/>
      <c r="X99" s="123"/>
      <c r="Y99" s="123"/>
      <c r="Z99" s="123"/>
      <c r="AA99" s="123"/>
      <c r="AB99" s="123"/>
      <c r="AC99" s="123"/>
      <c r="AD99" s="123"/>
      <c r="AE99" s="123"/>
      <c r="AF99" s="123"/>
      <c r="AG99" s="123"/>
    </row>
    <row r="100" spans="1:33">
      <c r="A100" s="123"/>
      <c r="B100" s="123"/>
      <c r="C100" s="123"/>
      <c r="D100" s="123"/>
      <c r="E100" s="123"/>
      <c r="F100" s="123"/>
      <c r="G100" s="123"/>
      <c r="H100" s="123"/>
      <c r="I100" s="123"/>
      <c r="J100" s="123"/>
      <c r="K100" s="123"/>
      <c r="L100" s="123"/>
      <c r="M100" s="123"/>
      <c r="N100" s="123"/>
      <c r="O100" s="123"/>
      <c r="P100" s="123"/>
      <c r="Q100" s="123"/>
      <c r="R100" s="123"/>
      <c r="S100" s="123"/>
      <c r="T100" s="123"/>
      <c r="U100" s="123"/>
      <c r="V100" s="123"/>
      <c r="W100" s="123"/>
      <c r="X100" s="123"/>
      <c r="Y100" s="123"/>
      <c r="Z100" s="123"/>
      <c r="AA100" s="123"/>
      <c r="AB100" s="123"/>
      <c r="AC100" s="123"/>
      <c r="AD100" s="123"/>
      <c r="AE100" s="123"/>
      <c r="AF100" s="123"/>
      <c r="AG100" s="123"/>
    </row>
    <row r="101" spans="1:33">
      <c r="A101" s="123"/>
      <c r="B101" s="123"/>
      <c r="C101" s="123"/>
      <c r="D101" s="123"/>
      <c r="E101" s="123"/>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123"/>
      <c r="AB101" s="123"/>
      <c r="AC101" s="123"/>
      <c r="AD101" s="123"/>
      <c r="AE101" s="123"/>
      <c r="AF101" s="123"/>
      <c r="AG101" s="123"/>
    </row>
    <row r="102" spans="1:33">
      <c r="A102" s="123"/>
      <c r="B102" s="123"/>
      <c r="C102" s="123"/>
      <c r="D102" s="123"/>
      <c r="E102" s="123"/>
      <c r="F102" s="123"/>
      <c r="G102" s="123"/>
      <c r="H102" s="123"/>
      <c r="I102" s="123"/>
      <c r="J102" s="123"/>
      <c r="K102" s="123"/>
      <c r="L102" s="123"/>
      <c r="M102" s="123"/>
      <c r="N102" s="123"/>
      <c r="O102" s="123"/>
      <c r="P102" s="123"/>
      <c r="Q102" s="123"/>
      <c r="R102" s="123"/>
      <c r="S102" s="123"/>
      <c r="T102" s="123"/>
      <c r="U102" s="123"/>
      <c r="V102" s="123"/>
      <c r="W102" s="123"/>
      <c r="X102" s="123"/>
      <c r="Y102" s="123"/>
      <c r="Z102" s="123"/>
      <c r="AA102" s="123"/>
      <c r="AB102" s="123"/>
      <c r="AC102" s="123"/>
      <c r="AD102" s="123"/>
      <c r="AE102" s="123"/>
      <c r="AF102" s="123"/>
      <c r="AG102" s="123"/>
    </row>
    <row r="103" spans="1:33">
      <c r="A103" s="123"/>
      <c r="B103" s="123"/>
      <c r="C103" s="123"/>
      <c r="D103" s="123"/>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123"/>
      <c r="AB103" s="123"/>
      <c r="AC103" s="123"/>
      <c r="AD103" s="123"/>
      <c r="AE103" s="123"/>
      <c r="AF103" s="123"/>
      <c r="AG103" s="123"/>
    </row>
    <row r="104" spans="1:33">
      <c r="A104" s="123"/>
      <c r="B104" s="123"/>
      <c r="C104" s="123"/>
      <c r="D104" s="123"/>
      <c r="E104" s="123"/>
      <c r="F104" s="123"/>
      <c r="G104" s="123"/>
      <c r="H104" s="123"/>
      <c r="I104" s="123"/>
      <c r="J104" s="123"/>
      <c r="K104" s="123"/>
      <c r="L104" s="123"/>
      <c r="M104" s="123"/>
      <c r="N104" s="123"/>
      <c r="O104" s="123"/>
      <c r="P104" s="123"/>
      <c r="Q104" s="123"/>
      <c r="R104" s="123"/>
      <c r="S104" s="123"/>
      <c r="T104" s="123"/>
      <c r="U104" s="123"/>
      <c r="V104" s="123"/>
      <c r="W104" s="123"/>
      <c r="X104" s="123"/>
      <c r="Y104" s="123"/>
      <c r="Z104" s="123"/>
      <c r="AA104" s="123"/>
      <c r="AB104" s="123"/>
      <c r="AC104" s="123"/>
      <c r="AD104" s="123"/>
      <c r="AE104" s="123"/>
      <c r="AF104" s="123"/>
      <c r="AG104" s="123"/>
    </row>
    <row r="105" spans="1:33">
      <c r="A105" s="123"/>
      <c r="B105" s="123"/>
      <c r="C105" s="123"/>
      <c r="D105" s="123"/>
      <c r="E105" s="123"/>
      <c r="F105" s="123"/>
      <c r="G105" s="123"/>
      <c r="H105" s="123"/>
      <c r="I105" s="123"/>
      <c r="J105" s="123"/>
      <c r="K105" s="123"/>
      <c r="L105" s="123"/>
      <c r="M105" s="123"/>
      <c r="N105" s="123"/>
      <c r="O105" s="123"/>
      <c r="P105" s="123"/>
      <c r="Q105" s="123"/>
      <c r="R105" s="123"/>
      <c r="S105" s="123"/>
      <c r="T105" s="123"/>
      <c r="U105" s="123"/>
      <c r="V105" s="123"/>
      <c r="W105" s="123"/>
      <c r="X105" s="123"/>
      <c r="Y105" s="123"/>
      <c r="Z105" s="123"/>
      <c r="AA105" s="123"/>
      <c r="AB105" s="123"/>
      <c r="AC105" s="123"/>
      <c r="AD105" s="123"/>
      <c r="AE105" s="123"/>
      <c r="AF105" s="123"/>
      <c r="AG105" s="123"/>
    </row>
    <row r="106" spans="1:33">
      <c r="A106" s="123"/>
      <c r="B106" s="123"/>
      <c r="C106" s="123"/>
      <c r="D106" s="123"/>
      <c r="E106" s="123"/>
      <c r="F106" s="123"/>
      <c r="G106" s="123"/>
      <c r="H106" s="123"/>
      <c r="I106" s="123"/>
      <c r="J106" s="123"/>
      <c r="K106" s="123"/>
      <c r="L106" s="123"/>
      <c r="M106" s="123"/>
      <c r="N106" s="123"/>
      <c r="O106" s="123"/>
      <c r="P106" s="123"/>
      <c r="Q106" s="123"/>
      <c r="R106" s="123"/>
      <c r="S106" s="123"/>
      <c r="T106" s="123"/>
      <c r="U106" s="123"/>
      <c r="V106" s="123"/>
      <c r="W106" s="123"/>
      <c r="X106" s="123"/>
      <c r="Y106" s="123"/>
      <c r="Z106" s="123"/>
      <c r="AA106" s="123"/>
      <c r="AB106" s="123"/>
      <c r="AC106" s="123"/>
      <c r="AD106" s="123"/>
      <c r="AE106" s="123"/>
      <c r="AF106" s="123"/>
      <c r="AG106" s="123"/>
    </row>
    <row r="107" spans="1:33">
      <c r="A107" s="123"/>
      <c r="B107" s="123"/>
      <c r="C107" s="123"/>
      <c r="D107" s="123"/>
      <c r="E107" s="123"/>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3"/>
    </row>
    <row r="108" spans="1:33">
      <c r="A108" s="123"/>
      <c r="B108" s="123"/>
      <c r="C108" s="123"/>
      <c r="D108" s="123"/>
      <c r="E108" s="123"/>
      <c r="F108" s="123"/>
      <c r="G108" s="123"/>
      <c r="H108" s="123"/>
      <c r="I108" s="123"/>
      <c r="J108" s="123"/>
      <c r="K108" s="123"/>
      <c r="L108" s="123"/>
      <c r="M108" s="123"/>
      <c r="N108" s="123"/>
      <c r="O108" s="123"/>
      <c r="P108" s="123"/>
      <c r="Q108" s="123"/>
      <c r="R108" s="123"/>
      <c r="S108" s="123"/>
      <c r="T108" s="123"/>
      <c r="U108" s="123"/>
      <c r="V108" s="123"/>
      <c r="W108" s="123"/>
      <c r="X108" s="123"/>
      <c r="Y108" s="123"/>
      <c r="Z108" s="123"/>
      <c r="AA108" s="123"/>
      <c r="AB108" s="123"/>
      <c r="AC108" s="123"/>
      <c r="AD108" s="123"/>
      <c r="AE108" s="123"/>
      <c r="AF108" s="123"/>
      <c r="AG108" s="123"/>
    </row>
    <row r="109" spans="1:33">
      <c r="A109" s="123"/>
      <c r="B109" s="123"/>
      <c r="C109" s="123"/>
      <c r="D109" s="123"/>
      <c r="E109" s="123"/>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123"/>
      <c r="AB109" s="123"/>
      <c r="AC109" s="123"/>
      <c r="AD109" s="123"/>
      <c r="AE109" s="123"/>
      <c r="AF109" s="123"/>
      <c r="AG109" s="123"/>
    </row>
    <row r="110" spans="1:33">
      <c r="A110" s="123"/>
      <c r="B110" s="123"/>
      <c r="C110" s="123"/>
      <c r="D110" s="123"/>
      <c r="E110" s="123"/>
      <c r="F110" s="123"/>
      <c r="G110" s="123"/>
      <c r="H110" s="123"/>
      <c r="I110" s="123"/>
      <c r="J110" s="123"/>
      <c r="K110" s="123"/>
      <c r="L110" s="123"/>
      <c r="M110" s="123"/>
      <c r="N110" s="123"/>
      <c r="O110" s="123"/>
      <c r="P110" s="123"/>
      <c r="Q110" s="123"/>
      <c r="R110" s="123"/>
      <c r="S110" s="123"/>
      <c r="T110" s="123"/>
      <c r="U110" s="123"/>
      <c r="V110" s="123"/>
      <c r="W110" s="123"/>
      <c r="X110" s="123"/>
      <c r="Y110" s="123"/>
      <c r="Z110" s="123"/>
      <c r="AA110" s="123"/>
      <c r="AB110" s="123"/>
      <c r="AC110" s="123"/>
      <c r="AD110" s="123"/>
      <c r="AE110" s="123"/>
      <c r="AF110" s="123"/>
      <c r="AG110" s="123"/>
    </row>
    <row r="111" spans="1:33">
      <c r="A111" s="123"/>
      <c r="B111" s="123"/>
      <c r="C111" s="123"/>
      <c r="D111" s="123"/>
      <c r="E111" s="123"/>
      <c r="F111" s="123"/>
      <c r="G111" s="123"/>
      <c r="H111" s="123"/>
      <c r="I111" s="123"/>
      <c r="J111" s="123"/>
      <c r="K111" s="123"/>
      <c r="L111" s="123"/>
      <c r="M111" s="123"/>
      <c r="N111" s="123"/>
      <c r="O111" s="123"/>
      <c r="P111" s="123"/>
      <c r="Q111" s="123"/>
      <c r="R111" s="123"/>
      <c r="S111" s="123"/>
      <c r="T111" s="123"/>
      <c r="U111" s="123"/>
      <c r="V111" s="123"/>
      <c r="W111" s="123"/>
      <c r="X111" s="123"/>
      <c r="Y111" s="123"/>
      <c r="Z111" s="123"/>
      <c r="AA111" s="123"/>
      <c r="AB111" s="123"/>
      <c r="AC111" s="123"/>
      <c r="AD111" s="123"/>
      <c r="AE111" s="123"/>
      <c r="AF111" s="123"/>
      <c r="AG111" s="123"/>
    </row>
    <row r="112" spans="1:33">
      <c r="A112" s="123"/>
      <c r="B112" s="123"/>
      <c r="C112" s="123"/>
      <c r="D112" s="123"/>
      <c r="E112" s="123"/>
      <c r="F112" s="123"/>
      <c r="G112" s="123"/>
      <c r="H112" s="123"/>
      <c r="I112" s="123"/>
      <c r="J112" s="123"/>
      <c r="K112" s="123"/>
      <c r="L112" s="123"/>
      <c r="M112" s="123"/>
      <c r="N112" s="123"/>
      <c r="O112" s="123"/>
      <c r="P112" s="123"/>
      <c r="Q112" s="123"/>
      <c r="R112" s="123"/>
      <c r="S112" s="123"/>
      <c r="T112" s="123"/>
      <c r="U112" s="123"/>
      <c r="V112" s="123"/>
      <c r="W112" s="123"/>
      <c r="X112" s="123"/>
      <c r="Y112" s="123"/>
      <c r="Z112" s="123"/>
      <c r="AA112" s="123"/>
      <c r="AB112" s="123"/>
      <c r="AC112" s="123"/>
      <c r="AD112" s="123"/>
      <c r="AE112" s="123"/>
      <c r="AF112" s="123"/>
      <c r="AG112" s="123"/>
    </row>
    <row r="113" spans="1:33">
      <c r="A113" s="123"/>
      <c r="B113" s="123"/>
      <c r="C113" s="123"/>
      <c r="D113" s="123"/>
      <c r="E113" s="123"/>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123"/>
      <c r="AB113" s="123"/>
      <c r="AC113" s="123"/>
      <c r="AD113" s="123"/>
      <c r="AE113" s="123"/>
      <c r="AF113" s="123"/>
      <c r="AG113" s="123"/>
    </row>
    <row r="114" spans="1:33">
      <c r="A114" s="123"/>
      <c r="B114" s="123"/>
      <c r="C114" s="123"/>
      <c r="D114" s="123"/>
      <c r="E114" s="123"/>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123"/>
      <c r="AB114" s="123"/>
      <c r="AC114" s="123"/>
      <c r="AD114" s="123"/>
      <c r="AE114" s="123"/>
      <c r="AF114" s="123"/>
      <c r="AG114" s="123"/>
    </row>
    <row r="115" spans="1:33">
      <c r="A115" s="123"/>
      <c r="B115" s="123"/>
      <c r="C115" s="123"/>
      <c r="D115" s="123"/>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123"/>
      <c r="AB115" s="123"/>
      <c r="AC115" s="123"/>
      <c r="AD115" s="123"/>
      <c r="AE115" s="123"/>
      <c r="AF115" s="123"/>
      <c r="AG115" s="123"/>
    </row>
    <row r="116" spans="1:33">
      <c r="A116" s="123"/>
      <c r="B116" s="123"/>
      <c r="C116" s="123"/>
      <c r="D116" s="123"/>
      <c r="E116" s="123"/>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123"/>
      <c r="AB116" s="123"/>
      <c r="AC116" s="123"/>
      <c r="AD116" s="123"/>
      <c r="AE116" s="123"/>
      <c r="AF116" s="123"/>
      <c r="AG116" s="123"/>
    </row>
    <row r="117" spans="1:33">
      <c r="A117" s="123"/>
      <c r="B117" s="123"/>
      <c r="C117" s="123"/>
      <c r="D117" s="123"/>
      <c r="E117" s="123"/>
      <c r="F117" s="123"/>
      <c r="G117" s="123"/>
      <c r="H117" s="123"/>
      <c r="I117" s="123"/>
      <c r="J117" s="123"/>
      <c r="K117" s="123"/>
      <c r="L117" s="123"/>
      <c r="M117" s="123"/>
      <c r="N117" s="123"/>
      <c r="O117" s="123"/>
      <c r="P117" s="123"/>
      <c r="Q117" s="123"/>
      <c r="R117" s="123"/>
      <c r="S117" s="123"/>
      <c r="T117" s="123"/>
      <c r="U117" s="123"/>
      <c r="V117" s="123"/>
      <c r="W117" s="123"/>
      <c r="X117" s="123"/>
      <c r="Y117" s="123"/>
      <c r="Z117" s="123"/>
      <c r="AA117" s="123"/>
      <c r="AB117" s="123"/>
      <c r="AC117" s="123"/>
      <c r="AD117" s="123"/>
      <c r="AE117" s="123"/>
      <c r="AF117" s="123"/>
      <c r="AG117" s="123"/>
    </row>
    <row r="118" spans="1:33">
      <c r="A118" s="123"/>
      <c r="B118" s="123"/>
      <c r="C118" s="123"/>
      <c r="D118" s="123"/>
      <c r="E118" s="123"/>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123"/>
      <c r="AB118" s="123"/>
      <c r="AC118" s="123"/>
      <c r="AD118" s="123"/>
      <c r="AE118" s="123"/>
      <c r="AF118" s="123"/>
      <c r="AG118" s="123"/>
    </row>
    <row r="119" spans="1:33">
      <c r="A119" s="123"/>
      <c r="B119" s="123"/>
      <c r="C119" s="123"/>
      <c r="D119" s="123"/>
      <c r="E119" s="123"/>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123"/>
      <c r="AB119" s="123"/>
      <c r="AC119" s="123"/>
      <c r="AD119" s="123"/>
      <c r="AE119" s="123"/>
      <c r="AF119" s="123"/>
      <c r="AG119" s="123"/>
    </row>
    <row r="120" spans="1:33">
      <c r="A120" s="123"/>
      <c r="B120" s="123"/>
      <c r="C120" s="123"/>
      <c r="D120" s="123"/>
      <c r="E120" s="123"/>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123"/>
      <c r="AB120" s="123"/>
      <c r="AC120" s="123"/>
      <c r="AD120" s="123"/>
      <c r="AE120" s="123"/>
      <c r="AF120" s="123"/>
      <c r="AG120" s="123"/>
    </row>
    <row r="121" spans="1:33">
      <c r="A121" s="123"/>
      <c r="B121" s="123"/>
      <c r="C121" s="123"/>
      <c r="D121" s="123"/>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123"/>
      <c r="AB121" s="123"/>
      <c r="AC121" s="123"/>
      <c r="AD121" s="123"/>
      <c r="AE121" s="123"/>
      <c r="AF121" s="123"/>
      <c r="AG121" s="123"/>
    </row>
    <row r="122" spans="1:33">
      <c r="A122" s="123"/>
      <c r="B122" s="123"/>
      <c r="C122" s="123"/>
      <c r="D122" s="123"/>
      <c r="E122" s="123"/>
      <c r="F122" s="123"/>
      <c r="G122" s="123"/>
      <c r="H122" s="123"/>
      <c r="I122" s="123"/>
      <c r="J122" s="123"/>
      <c r="K122" s="123"/>
      <c r="L122" s="123"/>
      <c r="M122" s="123"/>
      <c r="N122" s="123"/>
      <c r="O122" s="123"/>
      <c r="P122" s="123"/>
      <c r="Q122" s="123"/>
      <c r="R122" s="123"/>
      <c r="S122" s="123"/>
      <c r="T122" s="123"/>
      <c r="U122" s="123"/>
      <c r="V122" s="123"/>
      <c r="W122" s="123"/>
      <c r="X122" s="123"/>
      <c r="Y122" s="123"/>
      <c r="Z122" s="123"/>
      <c r="AA122" s="123"/>
      <c r="AB122" s="123"/>
      <c r="AC122" s="123"/>
      <c r="AD122" s="123"/>
      <c r="AE122" s="123"/>
      <c r="AF122" s="123"/>
      <c r="AG122" s="123"/>
    </row>
    <row r="123" spans="1:33">
      <c r="A123" s="123"/>
      <c r="B123" s="123"/>
      <c r="C123" s="123"/>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3"/>
      <c r="AB123" s="123"/>
      <c r="AC123" s="123"/>
      <c r="AD123" s="123"/>
      <c r="AE123" s="123"/>
      <c r="AF123" s="123"/>
      <c r="AG123" s="123"/>
    </row>
    <row r="124" spans="1:33">
      <c r="A124" s="123"/>
      <c r="B124" s="123"/>
      <c r="C124" s="123"/>
      <c r="D124" s="123"/>
      <c r="E124" s="123"/>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3"/>
      <c r="AB124" s="123"/>
      <c r="AC124" s="123"/>
      <c r="AD124" s="123"/>
      <c r="AE124" s="123"/>
      <c r="AF124" s="123"/>
      <c r="AG124" s="123"/>
    </row>
    <row r="125" spans="1:33">
      <c r="A125" s="123"/>
      <c r="B125" s="123"/>
      <c r="C125" s="123"/>
      <c r="D125" s="123"/>
      <c r="E125" s="123"/>
      <c r="F125" s="123"/>
      <c r="G125" s="123"/>
      <c r="H125" s="123"/>
      <c r="I125" s="123"/>
      <c r="J125" s="123"/>
      <c r="K125" s="123"/>
      <c r="L125" s="123"/>
      <c r="M125" s="123"/>
      <c r="N125" s="123"/>
      <c r="O125" s="123"/>
      <c r="P125" s="123"/>
      <c r="Q125" s="123"/>
      <c r="R125" s="123"/>
      <c r="S125" s="123"/>
      <c r="T125" s="123"/>
      <c r="U125" s="123"/>
      <c r="V125" s="123"/>
      <c r="W125" s="123"/>
      <c r="X125" s="123"/>
      <c r="Y125" s="123"/>
      <c r="Z125" s="123"/>
      <c r="AA125" s="123"/>
      <c r="AB125" s="123"/>
      <c r="AC125" s="123"/>
      <c r="AD125" s="123"/>
      <c r="AE125" s="123"/>
      <c r="AF125" s="123"/>
      <c r="AG125" s="123"/>
    </row>
    <row r="126" spans="1:33">
      <c r="A126" s="123"/>
      <c r="B126" s="123"/>
      <c r="C126" s="123"/>
      <c r="D126" s="123"/>
      <c r="E126" s="123"/>
      <c r="F126" s="123"/>
      <c r="G126" s="123"/>
      <c r="H126" s="123"/>
      <c r="I126" s="123"/>
      <c r="J126" s="123"/>
      <c r="K126" s="123"/>
      <c r="L126" s="123"/>
      <c r="M126" s="123"/>
      <c r="N126" s="123"/>
      <c r="O126" s="123"/>
      <c r="P126" s="123"/>
      <c r="Q126" s="123"/>
      <c r="R126" s="123"/>
      <c r="S126" s="123"/>
      <c r="T126" s="123"/>
      <c r="U126" s="123"/>
      <c r="V126" s="123"/>
      <c r="W126" s="123"/>
      <c r="X126" s="123"/>
      <c r="Y126" s="123"/>
      <c r="Z126" s="123"/>
      <c r="AA126" s="123"/>
      <c r="AB126" s="123"/>
      <c r="AC126" s="123"/>
      <c r="AD126" s="123"/>
      <c r="AE126" s="123"/>
      <c r="AF126" s="123"/>
      <c r="AG126" s="123"/>
    </row>
    <row r="127" spans="1:33">
      <c r="A127" s="123"/>
      <c r="B127" s="123"/>
      <c r="C127" s="123"/>
      <c r="D127" s="123"/>
      <c r="E127" s="123"/>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123"/>
      <c r="AB127" s="123"/>
      <c r="AC127" s="123"/>
      <c r="AD127" s="123"/>
      <c r="AE127" s="123"/>
      <c r="AF127" s="123"/>
      <c r="AG127" s="123"/>
    </row>
    <row r="128" spans="1:33">
      <c r="A128" s="123"/>
      <c r="B128" s="123"/>
      <c r="C128" s="123"/>
      <c r="D128" s="123"/>
      <c r="E128" s="123"/>
      <c r="F128" s="123"/>
      <c r="G128" s="123"/>
      <c r="H128" s="123"/>
      <c r="I128" s="123"/>
      <c r="J128" s="123"/>
      <c r="K128" s="123"/>
      <c r="L128" s="123"/>
      <c r="M128" s="123"/>
      <c r="N128" s="123"/>
      <c r="O128" s="123"/>
      <c r="P128" s="123"/>
      <c r="Q128" s="123"/>
      <c r="R128" s="123"/>
      <c r="S128" s="123"/>
      <c r="T128" s="123"/>
      <c r="U128" s="123"/>
      <c r="V128" s="123"/>
      <c r="W128" s="123"/>
      <c r="X128" s="123"/>
      <c r="Y128" s="123"/>
      <c r="Z128" s="123"/>
      <c r="AA128" s="123"/>
      <c r="AB128" s="123"/>
      <c r="AC128" s="123"/>
      <c r="AD128" s="123"/>
      <c r="AE128" s="123"/>
      <c r="AF128" s="123"/>
      <c r="AG128" s="123"/>
    </row>
    <row r="129" spans="1:33">
      <c r="A129" s="123"/>
      <c r="B129" s="123"/>
      <c r="C129" s="123"/>
      <c r="D129" s="123"/>
      <c r="E129" s="123"/>
      <c r="F129" s="123"/>
      <c r="G129" s="123"/>
      <c r="H129" s="123"/>
      <c r="I129" s="123"/>
      <c r="J129" s="123"/>
      <c r="K129" s="123"/>
      <c r="L129" s="123"/>
      <c r="M129" s="123"/>
      <c r="N129" s="123"/>
      <c r="O129" s="123"/>
      <c r="P129" s="123"/>
      <c r="Q129" s="123"/>
      <c r="R129" s="123"/>
      <c r="S129" s="123"/>
      <c r="T129" s="123"/>
      <c r="U129" s="123"/>
      <c r="V129" s="123"/>
      <c r="W129" s="123"/>
      <c r="X129" s="123"/>
      <c r="Y129" s="123"/>
      <c r="Z129" s="123"/>
      <c r="AA129" s="123"/>
      <c r="AB129" s="123"/>
      <c r="AC129" s="123"/>
      <c r="AD129" s="123"/>
      <c r="AE129" s="123"/>
      <c r="AF129" s="123"/>
      <c r="AG129" s="123"/>
    </row>
    <row r="130" spans="1:33">
      <c r="A130" s="123"/>
      <c r="B130" s="123"/>
      <c r="C130" s="123"/>
      <c r="D130" s="123"/>
      <c r="E130" s="123"/>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123"/>
      <c r="AB130" s="123"/>
      <c r="AC130" s="123"/>
      <c r="AD130" s="123"/>
      <c r="AE130" s="123"/>
      <c r="AF130" s="123"/>
      <c r="AG130" s="123"/>
    </row>
    <row r="131" spans="1:33">
      <c r="A131" s="123"/>
      <c r="B131" s="123"/>
      <c r="C131" s="123"/>
      <c r="D131" s="123"/>
      <c r="E131" s="123"/>
      <c r="F131" s="123"/>
      <c r="G131" s="123"/>
      <c r="H131" s="123"/>
      <c r="I131" s="123"/>
      <c r="J131" s="123"/>
      <c r="K131" s="123"/>
      <c r="L131" s="123"/>
      <c r="M131" s="123"/>
      <c r="N131" s="123"/>
      <c r="O131" s="123"/>
      <c r="P131" s="123"/>
      <c r="Q131" s="123"/>
      <c r="R131" s="123"/>
      <c r="S131" s="123"/>
      <c r="T131" s="123"/>
      <c r="U131" s="123"/>
      <c r="V131" s="123"/>
      <c r="W131" s="123"/>
      <c r="X131" s="123"/>
      <c r="Y131" s="123"/>
      <c r="Z131" s="123"/>
      <c r="AA131" s="123"/>
      <c r="AB131" s="123"/>
      <c r="AC131" s="123"/>
      <c r="AD131" s="123"/>
      <c r="AE131" s="123"/>
      <c r="AF131" s="123"/>
      <c r="AG131" s="123"/>
    </row>
    <row r="132" spans="1:33">
      <c r="A132" s="123"/>
      <c r="B132" s="123"/>
      <c r="C132" s="123"/>
      <c r="D132" s="123"/>
      <c r="E132" s="123"/>
      <c r="F132" s="123"/>
      <c r="G132" s="123"/>
      <c r="H132" s="123"/>
      <c r="I132" s="123"/>
      <c r="J132" s="123"/>
      <c r="K132" s="123"/>
      <c r="L132" s="123"/>
      <c r="M132" s="123"/>
      <c r="N132" s="123"/>
      <c r="O132" s="123"/>
      <c r="P132" s="123"/>
      <c r="Q132" s="123"/>
      <c r="R132" s="123"/>
      <c r="S132" s="123"/>
      <c r="T132" s="123"/>
      <c r="U132" s="123"/>
      <c r="V132" s="123"/>
      <c r="W132" s="123"/>
      <c r="X132" s="123"/>
      <c r="Y132" s="123"/>
      <c r="Z132" s="123"/>
      <c r="AA132" s="123"/>
      <c r="AB132" s="123"/>
      <c r="AC132" s="123"/>
      <c r="AD132" s="123"/>
      <c r="AE132" s="123"/>
      <c r="AF132" s="123"/>
      <c r="AG132" s="123"/>
    </row>
    <row r="133" spans="1:33">
      <c r="A133" s="123"/>
      <c r="B133" s="123"/>
      <c r="C133" s="123"/>
      <c r="D133" s="123"/>
      <c r="E133" s="123"/>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123"/>
      <c r="AB133" s="123"/>
      <c r="AC133" s="123"/>
      <c r="AD133" s="123"/>
      <c r="AE133" s="123"/>
      <c r="AF133" s="123"/>
      <c r="AG133" s="123"/>
    </row>
    <row r="134" spans="1:33">
      <c r="A134" s="123"/>
      <c r="B134" s="123"/>
      <c r="C134" s="123"/>
      <c r="D134" s="123"/>
      <c r="E134" s="123"/>
      <c r="F134" s="123"/>
      <c r="G134" s="123"/>
      <c r="H134" s="123"/>
      <c r="I134" s="123"/>
      <c r="J134" s="123"/>
      <c r="K134" s="123"/>
      <c r="L134" s="123"/>
      <c r="M134" s="123"/>
      <c r="N134" s="123"/>
      <c r="O134" s="123"/>
      <c r="P134" s="123"/>
      <c r="Q134" s="123"/>
      <c r="R134" s="123"/>
      <c r="S134" s="123"/>
      <c r="T134" s="123"/>
      <c r="U134" s="123"/>
      <c r="V134" s="123"/>
      <c r="W134" s="123"/>
      <c r="X134" s="123"/>
      <c r="Y134" s="123"/>
      <c r="Z134" s="123"/>
      <c r="AA134" s="123"/>
      <c r="AB134" s="123"/>
      <c r="AC134" s="123"/>
      <c r="AD134" s="123"/>
      <c r="AE134" s="123"/>
      <c r="AF134" s="123"/>
      <c r="AG134" s="123"/>
    </row>
    <row r="135" spans="1:33">
      <c r="A135" s="123"/>
      <c r="B135" s="123"/>
      <c r="C135" s="123"/>
      <c r="D135" s="123"/>
      <c r="E135" s="123"/>
      <c r="F135" s="123"/>
      <c r="G135" s="123"/>
      <c r="H135" s="123"/>
      <c r="I135" s="123"/>
      <c r="J135" s="123"/>
      <c r="K135" s="123"/>
      <c r="L135" s="123"/>
      <c r="M135" s="123"/>
      <c r="N135" s="123"/>
      <c r="O135" s="123"/>
      <c r="P135" s="123"/>
      <c r="Q135" s="123"/>
      <c r="R135" s="123"/>
      <c r="S135" s="123"/>
      <c r="T135" s="123"/>
      <c r="U135" s="123"/>
      <c r="V135" s="123"/>
      <c r="W135" s="123"/>
      <c r="X135" s="123"/>
      <c r="Y135" s="123"/>
      <c r="Z135" s="123"/>
      <c r="AA135" s="123"/>
      <c r="AB135" s="123"/>
      <c r="AC135" s="123"/>
      <c r="AD135" s="123"/>
      <c r="AE135" s="123"/>
      <c r="AF135" s="123"/>
      <c r="AG135" s="123"/>
    </row>
    <row r="136" spans="1:33">
      <c r="A136" s="123"/>
      <c r="B136" s="123"/>
      <c r="C136" s="123"/>
      <c r="D136" s="123"/>
      <c r="E136" s="123"/>
      <c r="F136" s="123"/>
      <c r="G136" s="123"/>
      <c r="H136" s="123"/>
      <c r="I136" s="123"/>
      <c r="J136" s="123"/>
      <c r="K136" s="123"/>
      <c r="L136" s="123"/>
      <c r="M136" s="123"/>
      <c r="N136" s="123"/>
      <c r="O136" s="123"/>
      <c r="P136" s="123"/>
      <c r="Q136" s="123"/>
      <c r="R136" s="123"/>
      <c r="S136" s="123"/>
      <c r="T136" s="123"/>
      <c r="U136" s="123"/>
      <c r="V136" s="123"/>
      <c r="W136" s="123"/>
      <c r="X136" s="123"/>
      <c r="Y136" s="123"/>
      <c r="Z136" s="123"/>
      <c r="AA136" s="123"/>
      <c r="AB136" s="123"/>
      <c r="AC136" s="123"/>
      <c r="AD136" s="123"/>
      <c r="AE136" s="123"/>
      <c r="AF136" s="123"/>
      <c r="AG136" s="123"/>
    </row>
    <row r="137" spans="1:33">
      <c r="A137" s="123"/>
      <c r="B137" s="123"/>
      <c r="C137" s="123"/>
      <c r="D137" s="123"/>
      <c r="E137" s="123"/>
      <c r="F137" s="123"/>
      <c r="G137" s="123"/>
      <c r="H137" s="123"/>
      <c r="I137" s="123"/>
      <c r="J137" s="123"/>
      <c r="K137" s="123"/>
      <c r="L137" s="123"/>
      <c r="M137" s="123"/>
      <c r="N137" s="123"/>
      <c r="O137" s="123"/>
      <c r="P137" s="123"/>
      <c r="Q137" s="123"/>
      <c r="R137" s="123"/>
      <c r="S137" s="123"/>
      <c r="T137" s="123"/>
      <c r="U137" s="123"/>
      <c r="V137" s="123"/>
      <c r="W137" s="123"/>
      <c r="X137" s="123"/>
      <c r="Y137" s="123"/>
      <c r="Z137" s="123"/>
      <c r="AA137" s="123"/>
      <c r="AB137" s="123"/>
      <c r="AC137" s="123"/>
      <c r="AD137" s="123"/>
      <c r="AE137" s="123"/>
      <c r="AF137" s="123"/>
      <c r="AG137" s="123"/>
    </row>
    <row r="138" spans="1:33">
      <c r="A138" s="123"/>
      <c r="B138" s="123"/>
      <c r="C138" s="123"/>
      <c r="D138" s="123"/>
      <c r="E138" s="123"/>
      <c r="F138" s="123"/>
      <c r="G138" s="123"/>
      <c r="H138" s="123"/>
      <c r="I138" s="123"/>
      <c r="J138" s="123"/>
      <c r="K138" s="123"/>
      <c r="L138" s="123"/>
      <c r="M138" s="123"/>
      <c r="N138" s="123"/>
      <c r="O138" s="123"/>
      <c r="P138" s="123"/>
      <c r="Q138" s="123"/>
      <c r="R138" s="123"/>
      <c r="S138" s="123"/>
      <c r="T138" s="123"/>
      <c r="U138" s="123"/>
      <c r="V138" s="123"/>
      <c r="W138" s="123"/>
      <c r="X138" s="123"/>
      <c r="Y138" s="123"/>
      <c r="Z138" s="123"/>
      <c r="AA138" s="123"/>
      <c r="AB138" s="123"/>
      <c r="AC138" s="123"/>
      <c r="AD138" s="123"/>
      <c r="AE138" s="123"/>
      <c r="AF138" s="123"/>
      <c r="AG138" s="123"/>
    </row>
    <row r="139" spans="1:33">
      <c r="A139" s="123"/>
      <c r="B139" s="123"/>
      <c r="C139" s="123"/>
      <c r="D139" s="123"/>
      <c r="E139" s="123"/>
      <c r="F139" s="123"/>
      <c r="G139" s="123"/>
      <c r="H139" s="123"/>
      <c r="I139" s="123"/>
      <c r="J139" s="123"/>
      <c r="K139" s="123"/>
      <c r="L139" s="123"/>
      <c r="M139" s="123"/>
      <c r="N139" s="123"/>
      <c r="O139" s="123"/>
      <c r="P139" s="123"/>
      <c r="Q139" s="123"/>
      <c r="R139" s="123"/>
      <c r="S139" s="123"/>
      <c r="T139" s="123"/>
      <c r="U139" s="123"/>
      <c r="V139" s="123"/>
      <c r="W139" s="123"/>
      <c r="X139" s="123"/>
      <c r="Y139" s="123"/>
      <c r="Z139" s="123"/>
      <c r="AA139" s="123"/>
      <c r="AB139" s="123"/>
      <c r="AC139" s="123"/>
      <c r="AD139" s="123"/>
      <c r="AE139" s="123"/>
      <c r="AF139" s="123"/>
      <c r="AG139" s="123"/>
    </row>
    <row r="140" spans="1:33">
      <c r="A140" s="123"/>
      <c r="B140" s="123"/>
      <c r="C140" s="123"/>
      <c r="D140" s="123"/>
      <c r="E140" s="123"/>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123"/>
      <c r="AB140" s="123"/>
      <c r="AC140" s="123"/>
      <c r="AD140" s="123"/>
      <c r="AE140" s="123"/>
      <c r="AF140" s="123"/>
      <c r="AG140" s="123"/>
    </row>
    <row r="141" spans="1:33">
      <c r="A141" s="123"/>
      <c r="B141" s="123"/>
      <c r="C141" s="123"/>
      <c r="D141" s="123"/>
      <c r="E141" s="123"/>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123"/>
      <c r="AB141" s="123"/>
      <c r="AC141" s="123"/>
      <c r="AD141" s="123"/>
      <c r="AE141" s="123"/>
      <c r="AF141" s="123"/>
      <c r="AG141" s="123"/>
    </row>
    <row r="142" spans="1:33">
      <c r="A142" s="123"/>
      <c r="B142" s="123"/>
      <c r="C142" s="123"/>
      <c r="D142" s="123"/>
      <c r="E142" s="123"/>
      <c r="F142" s="123"/>
      <c r="G142" s="123"/>
      <c r="H142" s="123"/>
      <c r="I142" s="123"/>
      <c r="J142" s="123"/>
      <c r="K142" s="123"/>
      <c r="L142" s="123"/>
      <c r="M142" s="123"/>
      <c r="N142" s="123"/>
      <c r="O142" s="123"/>
      <c r="P142" s="123"/>
      <c r="Q142" s="123"/>
      <c r="R142" s="123"/>
      <c r="S142" s="123"/>
      <c r="T142" s="123"/>
      <c r="U142" s="123"/>
      <c r="V142" s="123"/>
      <c r="W142" s="123"/>
      <c r="X142" s="123"/>
      <c r="Y142" s="123"/>
      <c r="Z142" s="123"/>
      <c r="AA142" s="123"/>
      <c r="AB142" s="123"/>
      <c r="AC142" s="123"/>
      <c r="AD142" s="123"/>
      <c r="AE142" s="123"/>
      <c r="AF142" s="123"/>
      <c r="AG142" s="123"/>
    </row>
    <row r="143" spans="1:33">
      <c r="A143" s="123"/>
      <c r="B143" s="123"/>
      <c r="C143" s="123"/>
      <c r="D143" s="123"/>
      <c r="E143" s="123"/>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123"/>
      <c r="AB143" s="123"/>
      <c r="AC143" s="123"/>
      <c r="AD143" s="123"/>
      <c r="AE143" s="123"/>
      <c r="AF143" s="123"/>
      <c r="AG143" s="123"/>
    </row>
    <row r="144" spans="1:33">
      <c r="A144" s="123"/>
      <c r="B144" s="123"/>
      <c r="C144" s="123"/>
      <c r="D144" s="123"/>
      <c r="E144" s="123"/>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123"/>
      <c r="AB144" s="123"/>
      <c r="AC144" s="123"/>
      <c r="AD144" s="123"/>
      <c r="AE144" s="123"/>
      <c r="AF144" s="123"/>
      <c r="AG144" s="123"/>
    </row>
    <row r="145" spans="1:33">
      <c r="A145" s="123"/>
      <c r="B145" s="123"/>
      <c r="C145" s="123"/>
      <c r="D145" s="123"/>
      <c r="E145" s="123"/>
      <c r="F145" s="123"/>
      <c r="G145" s="123"/>
      <c r="H145" s="123"/>
      <c r="I145" s="123"/>
      <c r="J145" s="123"/>
      <c r="K145" s="123"/>
      <c r="L145" s="123"/>
      <c r="M145" s="123"/>
      <c r="N145" s="123"/>
      <c r="O145" s="123"/>
      <c r="P145" s="123"/>
      <c r="Q145" s="123"/>
      <c r="R145" s="123"/>
      <c r="S145" s="123"/>
      <c r="T145" s="123"/>
      <c r="U145" s="123"/>
      <c r="V145" s="123"/>
      <c r="W145" s="123"/>
      <c r="X145" s="123"/>
      <c r="Y145" s="123"/>
      <c r="Z145" s="123"/>
      <c r="AA145" s="123"/>
      <c r="AB145" s="123"/>
      <c r="AC145" s="123"/>
      <c r="AD145" s="123"/>
      <c r="AE145" s="123"/>
      <c r="AF145" s="123"/>
      <c r="AG145" s="123"/>
    </row>
    <row r="146" spans="1:33">
      <c r="A146" s="123"/>
      <c r="B146" s="123"/>
      <c r="C146" s="123"/>
      <c r="D146" s="123"/>
      <c r="E146" s="123"/>
      <c r="F146" s="123"/>
      <c r="G146" s="123"/>
      <c r="H146" s="123"/>
      <c r="I146" s="123"/>
      <c r="J146" s="123"/>
      <c r="K146" s="123"/>
      <c r="L146" s="123"/>
      <c r="M146" s="123"/>
      <c r="N146" s="123"/>
      <c r="O146" s="123"/>
      <c r="P146" s="123"/>
      <c r="Q146" s="123"/>
      <c r="R146" s="123"/>
      <c r="S146" s="123"/>
      <c r="T146" s="123"/>
      <c r="U146" s="123"/>
      <c r="V146" s="123"/>
      <c r="W146" s="123"/>
      <c r="X146" s="123"/>
      <c r="Y146" s="123"/>
      <c r="Z146" s="123"/>
      <c r="AA146" s="123"/>
      <c r="AB146" s="123"/>
      <c r="AC146" s="123"/>
      <c r="AD146" s="123"/>
      <c r="AE146" s="123"/>
      <c r="AF146" s="123"/>
      <c r="AG146" s="123"/>
    </row>
    <row r="147" spans="1:33">
      <c r="A147" s="123"/>
      <c r="B147" s="123"/>
      <c r="C147" s="123"/>
      <c r="D147" s="123"/>
      <c r="E147" s="123"/>
      <c r="F147" s="123"/>
      <c r="G147" s="123"/>
      <c r="H147" s="123"/>
      <c r="I147" s="123"/>
      <c r="J147" s="123"/>
      <c r="K147" s="123"/>
      <c r="L147" s="123"/>
      <c r="M147" s="123"/>
      <c r="N147" s="123"/>
      <c r="O147" s="123"/>
      <c r="P147" s="123"/>
      <c r="Q147" s="123"/>
      <c r="R147" s="123"/>
      <c r="S147" s="123"/>
      <c r="T147" s="123"/>
      <c r="U147" s="123"/>
      <c r="V147" s="123"/>
      <c r="W147" s="123"/>
      <c r="X147" s="123"/>
      <c r="Y147" s="123"/>
      <c r="Z147" s="123"/>
      <c r="AA147" s="123"/>
      <c r="AB147" s="123"/>
      <c r="AC147" s="123"/>
      <c r="AD147" s="123"/>
      <c r="AE147" s="123"/>
      <c r="AF147" s="123"/>
      <c r="AG147" s="123"/>
    </row>
    <row r="148" spans="1:33">
      <c r="A148" s="123"/>
      <c r="B148" s="123"/>
      <c r="C148" s="123"/>
      <c r="D148" s="123"/>
      <c r="E148" s="123"/>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123"/>
      <c r="AB148" s="123"/>
      <c r="AC148" s="123"/>
      <c r="AD148" s="123"/>
      <c r="AE148" s="123"/>
      <c r="AF148" s="123"/>
      <c r="AG148" s="123"/>
    </row>
    <row r="149" spans="1:33">
      <c r="A149" s="123"/>
      <c r="B149" s="123"/>
      <c r="C149" s="123"/>
      <c r="D149" s="123"/>
      <c r="E149" s="123"/>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123"/>
      <c r="AB149" s="123"/>
      <c r="AC149" s="123"/>
      <c r="AD149" s="123"/>
      <c r="AE149" s="123"/>
      <c r="AF149" s="123"/>
      <c r="AG149" s="123"/>
    </row>
    <row r="150" spans="1:33">
      <c r="A150" s="123"/>
      <c r="B150" s="123"/>
      <c r="C150" s="123"/>
      <c r="D150" s="123"/>
      <c r="E150" s="123"/>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123"/>
      <c r="AB150" s="123"/>
      <c r="AC150" s="123"/>
      <c r="AD150" s="123"/>
      <c r="AE150" s="123"/>
      <c r="AF150" s="123"/>
      <c r="AG150" s="123"/>
    </row>
    <row r="151" spans="1:33">
      <c r="A151" s="123"/>
      <c r="B151" s="123"/>
      <c r="C151" s="123"/>
      <c r="D151" s="123"/>
      <c r="E151" s="123"/>
      <c r="F151" s="123"/>
      <c r="G151" s="123"/>
      <c r="H151" s="123"/>
      <c r="I151" s="123"/>
      <c r="J151" s="123"/>
      <c r="K151" s="123"/>
      <c r="L151" s="123"/>
      <c r="M151" s="123"/>
      <c r="N151" s="123"/>
      <c r="O151" s="123"/>
      <c r="P151" s="123"/>
      <c r="Q151" s="123"/>
      <c r="R151" s="123"/>
      <c r="S151" s="123"/>
      <c r="T151" s="123"/>
      <c r="U151" s="123"/>
      <c r="V151" s="123"/>
      <c r="W151" s="123"/>
      <c r="X151" s="123"/>
      <c r="Y151" s="123"/>
      <c r="Z151" s="123"/>
      <c r="AA151" s="123"/>
      <c r="AB151" s="123"/>
      <c r="AC151" s="123"/>
      <c r="AD151" s="123"/>
      <c r="AE151" s="123"/>
      <c r="AF151" s="123"/>
      <c r="AG151" s="123"/>
    </row>
    <row r="152" spans="1:33">
      <c r="A152" s="123"/>
      <c r="B152" s="123"/>
      <c r="C152" s="123"/>
      <c r="D152" s="123"/>
      <c r="E152" s="123"/>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123"/>
      <c r="AB152" s="123"/>
      <c r="AC152" s="123"/>
      <c r="AD152" s="123"/>
      <c r="AE152" s="123"/>
      <c r="AF152" s="123"/>
      <c r="AG152" s="123"/>
    </row>
    <row r="153" spans="1:33">
      <c r="A153" s="123"/>
      <c r="B153" s="123"/>
      <c r="C153" s="123"/>
      <c r="D153" s="123"/>
      <c r="E153" s="123"/>
      <c r="F153" s="123"/>
      <c r="G153" s="123"/>
      <c r="H153" s="123"/>
      <c r="I153" s="123"/>
      <c r="J153" s="123"/>
      <c r="K153" s="123"/>
      <c r="L153" s="123"/>
      <c r="M153" s="123"/>
      <c r="N153" s="123"/>
      <c r="O153" s="123"/>
      <c r="P153" s="123"/>
      <c r="Q153" s="123"/>
      <c r="R153" s="123"/>
      <c r="S153" s="123"/>
      <c r="T153" s="123"/>
      <c r="U153" s="123"/>
      <c r="V153" s="123"/>
      <c r="W153" s="123"/>
      <c r="X153" s="123"/>
      <c r="Y153" s="123"/>
      <c r="Z153" s="123"/>
      <c r="AA153" s="123"/>
      <c r="AB153" s="123"/>
      <c r="AC153" s="123"/>
      <c r="AD153" s="123"/>
      <c r="AE153" s="123"/>
      <c r="AF153" s="123"/>
      <c r="AG153" s="123"/>
    </row>
    <row r="154" spans="1:33">
      <c r="A154" s="123"/>
      <c r="B154" s="123"/>
      <c r="C154" s="123"/>
      <c r="D154" s="123"/>
      <c r="E154" s="123"/>
      <c r="F154" s="123"/>
      <c r="G154" s="123"/>
      <c r="H154" s="123"/>
      <c r="I154" s="123"/>
      <c r="J154" s="123"/>
      <c r="K154" s="123"/>
      <c r="L154" s="123"/>
      <c r="M154" s="123"/>
      <c r="N154" s="123"/>
      <c r="O154" s="123"/>
      <c r="P154" s="123"/>
      <c r="Q154" s="123"/>
      <c r="R154" s="123"/>
      <c r="S154" s="123"/>
      <c r="T154" s="123"/>
      <c r="U154" s="123"/>
      <c r="V154" s="123"/>
      <c r="W154" s="123"/>
      <c r="X154" s="123"/>
      <c r="Y154" s="123"/>
      <c r="Z154" s="123"/>
      <c r="AA154" s="123"/>
      <c r="AB154" s="123"/>
      <c r="AC154" s="123"/>
      <c r="AD154" s="123"/>
      <c r="AE154" s="123"/>
      <c r="AF154" s="123"/>
      <c r="AG154" s="123"/>
    </row>
    <row r="155" spans="1:33">
      <c r="A155" s="123"/>
      <c r="B155" s="123"/>
      <c r="C155" s="123"/>
      <c r="D155" s="123"/>
      <c r="E155" s="123"/>
      <c r="F155" s="123"/>
      <c r="G155" s="123"/>
      <c r="H155" s="123"/>
      <c r="I155" s="123"/>
      <c r="J155" s="123"/>
      <c r="K155" s="123"/>
      <c r="L155" s="123"/>
      <c r="M155" s="123"/>
      <c r="N155" s="123"/>
      <c r="O155" s="123"/>
      <c r="P155" s="123"/>
      <c r="Q155" s="123"/>
      <c r="R155" s="123"/>
      <c r="S155" s="123"/>
      <c r="T155" s="123"/>
      <c r="U155" s="123"/>
      <c r="V155" s="123"/>
      <c r="W155" s="123"/>
      <c r="X155" s="123"/>
      <c r="Y155" s="123"/>
      <c r="Z155" s="123"/>
      <c r="AA155" s="123"/>
      <c r="AB155" s="123"/>
      <c r="AC155" s="123"/>
      <c r="AD155" s="123"/>
      <c r="AE155" s="123"/>
      <c r="AF155" s="123"/>
      <c r="AG155" s="123"/>
    </row>
    <row r="156" spans="1:33">
      <c r="A156" s="123"/>
      <c r="B156" s="123"/>
      <c r="C156" s="123"/>
      <c r="D156" s="123"/>
      <c r="E156" s="123"/>
      <c r="F156" s="123"/>
      <c r="G156" s="123"/>
      <c r="H156" s="123"/>
      <c r="I156" s="123"/>
      <c r="J156" s="123"/>
      <c r="K156" s="123"/>
      <c r="L156" s="123"/>
      <c r="M156" s="123"/>
      <c r="N156" s="123"/>
      <c r="O156" s="123"/>
      <c r="P156" s="123"/>
      <c r="Q156" s="123"/>
      <c r="R156" s="123"/>
      <c r="S156" s="123"/>
      <c r="T156" s="123"/>
      <c r="U156" s="123"/>
      <c r="V156" s="123"/>
      <c r="W156" s="123"/>
      <c r="X156" s="123"/>
      <c r="Y156" s="123"/>
      <c r="Z156" s="123"/>
      <c r="AA156" s="123"/>
      <c r="AB156" s="123"/>
      <c r="AC156" s="123"/>
      <c r="AD156" s="123"/>
      <c r="AE156" s="123"/>
      <c r="AF156" s="123"/>
      <c r="AG156" s="123"/>
    </row>
    <row r="157" spans="1:33">
      <c r="A157" s="123"/>
      <c r="B157" s="123"/>
      <c r="C157" s="123"/>
      <c r="D157" s="123"/>
      <c r="E157" s="123"/>
      <c r="F157" s="123"/>
      <c r="G157" s="123"/>
      <c r="H157" s="123"/>
      <c r="I157" s="123"/>
      <c r="J157" s="123"/>
      <c r="K157" s="123"/>
      <c r="L157" s="123"/>
      <c r="M157" s="123"/>
      <c r="N157" s="123"/>
      <c r="O157" s="123"/>
      <c r="P157" s="123"/>
      <c r="Q157" s="123"/>
      <c r="R157" s="123"/>
      <c r="S157" s="123"/>
      <c r="T157" s="123"/>
      <c r="U157" s="123"/>
      <c r="V157" s="123"/>
      <c r="W157" s="123"/>
      <c r="X157" s="123"/>
      <c r="Y157" s="123"/>
      <c r="Z157" s="123"/>
      <c r="AA157" s="123"/>
      <c r="AB157" s="123"/>
      <c r="AC157" s="123"/>
      <c r="AD157" s="123"/>
      <c r="AE157" s="123"/>
      <c r="AF157" s="123"/>
      <c r="AG157" s="123"/>
    </row>
    <row r="158" spans="1:33">
      <c r="A158" s="123"/>
      <c r="B158" s="123"/>
      <c r="C158" s="123"/>
      <c r="D158" s="123"/>
      <c r="E158" s="123"/>
      <c r="F158" s="123"/>
      <c r="G158" s="123"/>
      <c r="H158" s="123"/>
      <c r="I158" s="123"/>
      <c r="J158" s="123"/>
      <c r="K158" s="123"/>
      <c r="L158" s="123"/>
      <c r="M158" s="123"/>
      <c r="N158" s="123"/>
      <c r="O158" s="123"/>
      <c r="P158" s="123"/>
      <c r="Q158" s="123"/>
      <c r="R158" s="123"/>
      <c r="S158" s="123"/>
      <c r="T158" s="123"/>
      <c r="U158" s="123"/>
      <c r="V158" s="123"/>
      <c r="W158" s="123"/>
      <c r="X158" s="123"/>
      <c r="Y158" s="123"/>
      <c r="Z158" s="123"/>
      <c r="AA158" s="123"/>
      <c r="AB158" s="123"/>
      <c r="AC158" s="123"/>
      <c r="AD158" s="123"/>
      <c r="AE158" s="123"/>
      <c r="AF158" s="123"/>
      <c r="AG158" s="123"/>
    </row>
    <row r="159" spans="1:33">
      <c r="A159" s="123"/>
      <c r="B159" s="123"/>
      <c r="C159" s="123"/>
      <c r="D159" s="123"/>
      <c r="E159" s="123"/>
      <c r="F159" s="123"/>
      <c r="G159" s="123"/>
      <c r="H159" s="123"/>
      <c r="I159" s="123"/>
      <c r="J159" s="123"/>
      <c r="K159" s="123"/>
      <c r="L159" s="123"/>
      <c r="M159" s="123"/>
      <c r="N159" s="123"/>
      <c r="O159" s="123"/>
      <c r="P159" s="123"/>
      <c r="Q159" s="123"/>
      <c r="R159" s="123"/>
      <c r="S159" s="123"/>
      <c r="T159" s="123"/>
      <c r="U159" s="123"/>
      <c r="V159" s="123"/>
      <c r="W159" s="123"/>
      <c r="X159" s="123"/>
      <c r="Y159" s="123"/>
      <c r="Z159" s="123"/>
      <c r="AA159" s="123"/>
      <c r="AB159" s="123"/>
      <c r="AC159" s="123"/>
      <c r="AD159" s="123"/>
      <c r="AE159" s="123"/>
      <c r="AF159" s="123"/>
      <c r="AG159" s="123"/>
    </row>
    <row r="160" spans="1:33">
      <c r="A160" s="123"/>
      <c r="B160" s="123"/>
      <c r="C160" s="123"/>
      <c r="D160" s="123"/>
      <c r="E160" s="123"/>
      <c r="F160" s="123"/>
      <c r="G160" s="123"/>
      <c r="H160" s="123"/>
      <c r="I160" s="123"/>
      <c r="J160" s="123"/>
      <c r="K160" s="123"/>
      <c r="L160" s="123"/>
      <c r="M160" s="123"/>
      <c r="N160" s="123"/>
      <c r="O160" s="123"/>
      <c r="P160" s="123"/>
      <c r="Q160" s="123"/>
      <c r="R160" s="123"/>
      <c r="S160" s="123"/>
      <c r="T160" s="123"/>
      <c r="U160" s="123"/>
      <c r="V160" s="123"/>
      <c r="W160" s="123"/>
      <c r="X160" s="123"/>
      <c r="Y160" s="123"/>
      <c r="Z160" s="123"/>
      <c r="AA160" s="123"/>
      <c r="AB160" s="123"/>
      <c r="AC160" s="123"/>
      <c r="AD160" s="123"/>
      <c r="AE160" s="123"/>
      <c r="AF160" s="123"/>
      <c r="AG160" s="123"/>
    </row>
    <row r="161" spans="1:33">
      <c r="A161" s="123"/>
      <c r="B161" s="123"/>
      <c r="C161" s="123"/>
      <c r="D161" s="123"/>
      <c r="E161" s="123"/>
      <c r="F161" s="123"/>
      <c r="G161" s="123"/>
      <c r="H161" s="123"/>
      <c r="I161" s="123"/>
      <c r="J161" s="123"/>
      <c r="K161" s="123"/>
      <c r="L161" s="123"/>
      <c r="M161" s="123"/>
      <c r="N161" s="123"/>
      <c r="O161" s="123"/>
      <c r="P161" s="123"/>
      <c r="Q161" s="123"/>
      <c r="R161" s="123"/>
      <c r="S161" s="123"/>
      <c r="T161" s="123"/>
      <c r="U161" s="123"/>
      <c r="V161" s="123"/>
      <c r="W161" s="123"/>
      <c r="X161" s="123"/>
      <c r="Y161" s="123"/>
      <c r="Z161" s="123"/>
      <c r="AA161" s="123"/>
      <c r="AB161" s="123"/>
      <c r="AC161" s="123"/>
      <c r="AD161" s="123"/>
      <c r="AE161" s="123"/>
      <c r="AF161" s="123"/>
      <c r="AG161" s="123"/>
    </row>
    <row r="162" spans="1:33">
      <c r="A162" s="123"/>
      <c r="B162" s="123"/>
      <c r="C162" s="123"/>
      <c r="D162" s="123"/>
      <c r="E162" s="123"/>
      <c r="F162" s="123"/>
      <c r="G162" s="123"/>
      <c r="H162" s="123"/>
      <c r="I162" s="123"/>
      <c r="J162" s="123"/>
      <c r="K162" s="123"/>
      <c r="L162" s="123"/>
      <c r="M162" s="123"/>
      <c r="N162" s="123"/>
      <c r="O162" s="123"/>
      <c r="P162" s="123"/>
      <c r="Q162" s="123"/>
      <c r="R162" s="123"/>
      <c r="S162" s="123"/>
      <c r="T162" s="123"/>
      <c r="U162" s="123"/>
      <c r="V162" s="123"/>
      <c r="W162" s="123"/>
      <c r="X162" s="123"/>
      <c r="Y162" s="123"/>
      <c r="Z162" s="123"/>
      <c r="AA162" s="123"/>
      <c r="AB162" s="123"/>
      <c r="AC162" s="123"/>
      <c r="AD162" s="123"/>
      <c r="AE162" s="123"/>
      <c r="AF162" s="123"/>
      <c r="AG162" s="123"/>
    </row>
    <row r="163" spans="1:33">
      <c r="A163" s="123"/>
      <c r="B163" s="123"/>
      <c r="C163" s="123"/>
      <c r="D163" s="123"/>
      <c r="E163" s="123"/>
      <c r="F163" s="123"/>
      <c r="G163" s="123"/>
      <c r="H163" s="123"/>
      <c r="I163" s="123"/>
      <c r="J163" s="123"/>
      <c r="K163" s="123"/>
      <c r="L163" s="123"/>
      <c r="M163" s="123"/>
      <c r="N163" s="123"/>
      <c r="O163" s="123"/>
      <c r="P163" s="123"/>
      <c r="Q163" s="123"/>
      <c r="R163" s="123"/>
      <c r="S163" s="123"/>
      <c r="T163" s="123"/>
      <c r="U163" s="123"/>
      <c r="V163" s="123"/>
      <c r="W163" s="123"/>
      <c r="X163" s="123"/>
      <c r="Y163" s="123"/>
      <c r="Z163" s="123"/>
      <c r="AA163" s="123"/>
      <c r="AB163" s="123"/>
      <c r="AC163" s="123"/>
      <c r="AD163" s="123"/>
      <c r="AE163" s="123"/>
      <c r="AF163" s="123"/>
      <c r="AG163" s="123"/>
    </row>
    <row r="164" spans="1:33">
      <c r="A164" s="123"/>
      <c r="B164" s="123"/>
      <c r="C164" s="123"/>
      <c r="D164" s="123"/>
      <c r="E164" s="123"/>
      <c r="F164" s="123"/>
      <c r="G164" s="123"/>
      <c r="H164" s="123"/>
      <c r="I164" s="123"/>
      <c r="J164" s="123"/>
      <c r="K164" s="123"/>
      <c r="L164" s="123"/>
      <c r="M164" s="123"/>
      <c r="N164" s="123"/>
      <c r="O164" s="123"/>
      <c r="P164" s="123"/>
      <c r="Q164" s="123"/>
      <c r="R164" s="123"/>
      <c r="S164" s="123"/>
      <c r="T164" s="123"/>
      <c r="U164" s="123"/>
      <c r="V164" s="123"/>
      <c r="W164" s="123"/>
      <c r="X164" s="123"/>
      <c r="Y164" s="123"/>
      <c r="Z164" s="123"/>
      <c r="AA164" s="123"/>
      <c r="AB164" s="123"/>
      <c r="AC164" s="123"/>
      <c r="AD164" s="123"/>
      <c r="AE164" s="123"/>
      <c r="AF164" s="123"/>
      <c r="AG164" s="123"/>
    </row>
    <row r="165" spans="1:33">
      <c r="A165" s="123"/>
      <c r="B165" s="123"/>
      <c r="C165" s="123"/>
      <c r="D165" s="123"/>
      <c r="E165" s="123"/>
      <c r="F165" s="123"/>
      <c r="G165" s="123"/>
      <c r="H165" s="123"/>
      <c r="I165" s="123"/>
      <c r="J165" s="123"/>
      <c r="K165" s="123"/>
      <c r="L165" s="123"/>
      <c r="M165" s="123"/>
      <c r="N165" s="123"/>
      <c r="O165" s="123"/>
      <c r="P165" s="123"/>
      <c r="Q165" s="123"/>
      <c r="R165" s="123"/>
      <c r="S165" s="123"/>
      <c r="T165" s="123"/>
      <c r="U165" s="123"/>
      <c r="V165" s="123"/>
      <c r="W165" s="123"/>
      <c r="X165" s="123"/>
      <c r="Y165" s="123"/>
      <c r="Z165" s="123"/>
      <c r="AA165" s="123"/>
      <c r="AB165" s="123"/>
      <c r="AC165" s="123"/>
      <c r="AD165" s="123"/>
      <c r="AE165" s="123"/>
      <c r="AF165" s="123"/>
      <c r="AG165" s="123"/>
    </row>
    <row r="166" spans="1:33">
      <c r="A166" s="123"/>
      <c r="B166" s="123"/>
      <c r="C166" s="123"/>
      <c r="D166" s="123"/>
      <c r="E166" s="123"/>
      <c r="F166" s="123"/>
      <c r="G166" s="123"/>
      <c r="H166" s="123"/>
      <c r="I166" s="123"/>
      <c r="J166" s="123"/>
      <c r="K166" s="123"/>
      <c r="L166" s="123"/>
      <c r="M166" s="123"/>
      <c r="N166" s="123"/>
      <c r="O166" s="123"/>
      <c r="P166" s="123"/>
      <c r="Q166" s="123"/>
      <c r="R166" s="123"/>
      <c r="S166" s="123"/>
      <c r="T166" s="123"/>
      <c r="U166" s="123"/>
      <c r="V166" s="123"/>
      <c r="W166" s="123"/>
      <c r="X166" s="123"/>
      <c r="Y166" s="123"/>
      <c r="Z166" s="123"/>
      <c r="AA166" s="123"/>
      <c r="AB166" s="123"/>
      <c r="AC166" s="123"/>
      <c r="AD166" s="123"/>
      <c r="AE166" s="123"/>
      <c r="AF166" s="123"/>
      <c r="AG166" s="123"/>
    </row>
    <row r="167" spans="1:33">
      <c r="A167" s="123"/>
      <c r="B167" s="123"/>
      <c r="C167" s="123"/>
      <c r="D167" s="123"/>
      <c r="E167" s="123"/>
      <c r="F167" s="123"/>
      <c r="G167" s="123"/>
      <c r="H167" s="123"/>
      <c r="I167" s="123"/>
      <c r="J167" s="123"/>
      <c r="K167" s="123"/>
      <c r="L167" s="123"/>
      <c r="M167" s="123"/>
      <c r="N167" s="123"/>
      <c r="O167" s="123"/>
      <c r="P167" s="123"/>
      <c r="Q167" s="123"/>
      <c r="R167" s="123"/>
      <c r="S167" s="123"/>
      <c r="T167" s="123"/>
      <c r="U167" s="123"/>
      <c r="V167" s="123"/>
      <c r="W167" s="123"/>
      <c r="X167" s="123"/>
      <c r="Y167" s="123"/>
      <c r="Z167" s="123"/>
      <c r="AA167" s="123"/>
      <c r="AB167" s="123"/>
      <c r="AC167" s="123"/>
      <c r="AD167" s="123"/>
      <c r="AE167" s="123"/>
      <c r="AF167" s="123"/>
      <c r="AG167" s="123"/>
    </row>
    <row r="168" spans="1:33">
      <c r="A168" s="123"/>
      <c r="B168" s="123"/>
      <c r="C168" s="123"/>
      <c r="D168" s="123"/>
      <c r="E168" s="123"/>
      <c r="F168" s="123"/>
      <c r="G168" s="123"/>
      <c r="H168" s="123"/>
      <c r="I168" s="123"/>
      <c r="J168" s="123"/>
      <c r="K168" s="123"/>
      <c r="L168" s="123"/>
      <c r="M168" s="123"/>
      <c r="N168" s="123"/>
      <c r="O168" s="123"/>
      <c r="P168" s="123"/>
      <c r="Q168" s="123"/>
      <c r="R168" s="123"/>
      <c r="S168" s="123"/>
      <c r="T168" s="123"/>
      <c r="U168" s="123"/>
      <c r="V168" s="123"/>
      <c r="W168" s="123"/>
      <c r="X168" s="123"/>
      <c r="Y168" s="123"/>
      <c r="Z168" s="123"/>
      <c r="AA168" s="123"/>
      <c r="AB168" s="123"/>
      <c r="AC168" s="123"/>
      <c r="AD168" s="123"/>
      <c r="AE168" s="123"/>
      <c r="AF168" s="123"/>
      <c r="AG168" s="123"/>
    </row>
    <row r="169" spans="1:33">
      <c r="A169" s="123"/>
      <c r="B169" s="123"/>
      <c r="C169" s="123"/>
      <c r="D169" s="123"/>
      <c r="E169" s="123"/>
      <c r="F169" s="123"/>
      <c r="G169" s="123"/>
      <c r="H169" s="123"/>
      <c r="I169" s="123"/>
      <c r="J169" s="123"/>
      <c r="K169" s="123"/>
      <c r="L169" s="123"/>
      <c r="M169" s="123"/>
      <c r="N169" s="123"/>
      <c r="O169" s="123"/>
      <c r="P169" s="123"/>
      <c r="Q169" s="123"/>
      <c r="R169" s="123"/>
      <c r="S169" s="123"/>
      <c r="T169" s="123"/>
      <c r="U169" s="123"/>
      <c r="V169" s="123"/>
      <c r="W169" s="123"/>
      <c r="X169" s="123"/>
      <c r="Y169" s="123"/>
      <c r="Z169" s="123"/>
      <c r="AA169" s="123"/>
      <c r="AB169" s="123"/>
      <c r="AC169" s="123"/>
      <c r="AD169" s="123"/>
      <c r="AE169" s="123"/>
      <c r="AF169" s="123"/>
      <c r="AG169" s="123"/>
    </row>
    <row r="170" spans="1:33">
      <c r="A170" s="123"/>
      <c r="B170" s="123"/>
      <c r="C170" s="123"/>
      <c r="D170" s="123"/>
      <c r="E170" s="123"/>
      <c r="F170" s="123"/>
      <c r="G170" s="123"/>
      <c r="H170" s="123"/>
      <c r="I170" s="123"/>
      <c r="J170" s="123"/>
      <c r="K170" s="123"/>
      <c r="L170" s="123"/>
      <c r="M170" s="123"/>
      <c r="N170" s="123"/>
      <c r="O170" s="123"/>
      <c r="P170" s="123"/>
      <c r="Q170" s="123"/>
      <c r="R170" s="123"/>
      <c r="S170" s="123"/>
      <c r="T170" s="123"/>
      <c r="U170" s="123"/>
      <c r="V170" s="123"/>
      <c r="W170" s="123"/>
      <c r="X170" s="123"/>
      <c r="Y170" s="123"/>
      <c r="Z170" s="123"/>
      <c r="AA170" s="123"/>
      <c r="AB170" s="123"/>
      <c r="AC170" s="123"/>
      <c r="AD170" s="123"/>
      <c r="AE170" s="123"/>
      <c r="AF170" s="123"/>
      <c r="AG170" s="123"/>
    </row>
    <row r="171" spans="1:33">
      <c r="A171" s="123"/>
      <c r="B171" s="123"/>
      <c r="C171" s="123"/>
      <c r="D171" s="123"/>
      <c r="E171" s="123"/>
      <c r="F171" s="123"/>
      <c r="G171" s="123"/>
      <c r="H171" s="123"/>
      <c r="I171" s="123"/>
      <c r="J171" s="123"/>
      <c r="K171" s="123"/>
      <c r="L171" s="123"/>
      <c r="M171" s="123"/>
      <c r="N171" s="123"/>
      <c r="O171" s="123"/>
      <c r="P171" s="123"/>
      <c r="Q171" s="123"/>
      <c r="R171" s="123"/>
      <c r="S171" s="123"/>
      <c r="T171" s="123"/>
      <c r="U171" s="123"/>
      <c r="V171" s="123"/>
      <c r="W171" s="123"/>
      <c r="X171" s="123"/>
      <c r="Y171" s="123"/>
      <c r="Z171" s="123"/>
      <c r="AA171" s="123"/>
      <c r="AB171" s="123"/>
      <c r="AC171" s="123"/>
      <c r="AD171" s="123"/>
      <c r="AE171" s="123"/>
      <c r="AF171" s="123"/>
      <c r="AG171" s="123"/>
    </row>
    <row r="172" spans="1:33">
      <c r="A172" s="123"/>
      <c r="B172" s="123"/>
      <c r="C172" s="123"/>
      <c r="D172" s="123"/>
      <c r="E172" s="123"/>
      <c r="F172" s="123"/>
      <c r="G172" s="123"/>
      <c r="H172" s="123"/>
      <c r="I172" s="123"/>
      <c r="J172" s="123"/>
      <c r="K172" s="123"/>
      <c r="L172" s="123"/>
      <c r="M172" s="123"/>
      <c r="N172" s="123"/>
      <c r="O172" s="123"/>
      <c r="P172" s="123"/>
      <c r="Q172" s="123"/>
      <c r="R172" s="123"/>
      <c r="S172" s="123"/>
      <c r="T172" s="123"/>
      <c r="U172" s="123"/>
      <c r="V172" s="123"/>
      <c r="W172" s="123"/>
      <c r="X172" s="123"/>
      <c r="Y172" s="123"/>
      <c r="Z172" s="123"/>
      <c r="AA172" s="123"/>
      <c r="AB172" s="123"/>
      <c r="AC172" s="123"/>
      <c r="AD172" s="123"/>
      <c r="AE172" s="123"/>
      <c r="AF172" s="123"/>
      <c r="AG172" s="123"/>
    </row>
    <row r="173" spans="1:33">
      <c r="A173" s="123"/>
      <c r="B173" s="123"/>
      <c r="C173" s="123"/>
      <c r="D173" s="123"/>
      <c r="E173" s="123"/>
      <c r="F173" s="123"/>
      <c r="G173" s="123"/>
      <c r="H173" s="123"/>
      <c r="I173" s="123"/>
      <c r="J173" s="123"/>
      <c r="K173" s="123"/>
      <c r="L173" s="123"/>
      <c r="M173" s="123"/>
      <c r="N173" s="123"/>
      <c r="O173" s="123"/>
      <c r="P173" s="123"/>
      <c r="Q173" s="123"/>
      <c r="R173" s="123"/>
      <c r="S173" s="123"/>
      <c r="T173" s="123"/>
      <c r="U173" s="123"/>
      <c r="V173" s="123"/>
      <c r="W173" s="123"/>
      <c r="X173" s="123"/>
      <c r="Y173" s="123"/>
      <c r="Z173" s="123"/>
      <c r="AA173" s="123"/>
      <c r="AB173" s="123"/>
      <c r="AC173" s="123"/>
      <c r="AD173" s="123"/>
      <c r="AE173" s="123"/>
      <c r="AF173" s="123"/>
      <c r="AG173" s="123"/>
    </row>
    <row r="174" spans="1:33">
      <c r="A174" s="123"/>
      <c r="B174" s="123"/>
      <c r="C174" s="123"/>
      <c r="D174" s="123"/>
      <c r="E174" s="123"/>
      <c r="F174" s="123"/>
      <c r="G174" s="123"/>
      <c r="H174" s="123"/>
      <c r="I174" s="123"/>
      <c r="J174" s="123"/>
      <c r="K174" s="123"/>
      <c r="L174" s="123"/>
      <c r="M174" s="123"/>
      <c r="N174" s="123"/>
      <c r="O174" s="123"/>
      <c r="P174" s="123"/>
      <c r="Q174" s="123"/>
      <c r="R174" s="123"/>
      <c r="S174" s="123"/>
      <c r="T174" s="123"/>
      <c r="U174" s="123"/>
      <c r="V174" s="123"/>
      <c r="W174" s="123"/>
      <c r="X174" s="123"/>
      <c r="Y174" s="123"/>
      <c r="Z174" s="123"/>
      <c r="AA174" s="123"/>
      <c r="AB174" s="123"/>
      <c r="AC174" s="123"/>
      <c r="AD174" s="123"/>
      <c r="AE174" s="123"/>
      <c r="AF174" s="123"/>
      <c r="AG174" s="123"/>
    </row>
    <row r="175" spans="1:33">
      <c r="A175" s="123"/>
      <c r="B175" s="123"/>
      <c r="C175" s="123"/>
      <c r="D175" s="123"/>
      <c r="E175" s="123"/>
      <c r="F175" s="123"/>
      <c r="G175" s="123"/>
      <c r="H175" s="123"/>
      <c r="I175" s="123"/>
      <c r="J175" s="123"/>
      <c r="K175" s="123"/>
      <c r="L175" s="123"/>
      <c r="M175" s="123"/>
      <c r="N175" s="123"/>
      <c r="O175" s="123"/>
      <c r="P175" s="123"/>
      <c r="Q175" s="123"/>
      <c r="R175" s="123"/>
      <c r="S175" s="123"/>
      <c r="T175" s="123"/>
      <c r="U175" s="123"/>
      <c r="V175" s="123"/>
      <c r="W175" s="123"/>
      <c r="X175" s="123"/>
      <c r="Y175" s="123"/>
      <c r="Z175" s="123"/>
      <c r="AA175" s="123"/>
      <c r="AB175" s="123"/>
      <c r="AC175" s="123"/>
      <c r="AD175" s="123"/>
      <c r="AE175" s="123"/>
      <c r="AF175" s="123"/>
      <c r="AG175" s="123"/>
    </row>
    <row r="176" spans="1:33">
      <c r="A176" s="123"/>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row>
    <row r="177" spans="1:33">
      <c r="A177" s="123"/>
      <c r="B177" s="123"/>
      <c r="C177" s="123"/>
      <c r="D177" s="123"/>
      <c r="E177" s="123"/>
      <c r="F177" s="123"/>
      <c r="G177" s="123"/>
      <c r="H177" s="123"/>
      <c r="I177" s="123"/>
      <c r="J177" s="123"/>
      <c r="K177" s="123"/>
      <c r="L177" s="123"/>
      <c r="M177" s="123"/>
      <c r="N177" s="123"/>
      <c r="O177" s="123"/>
      <c r="P177" s="123"/>
      <c r="Q177" s="123"/>
      <c r="R177" s="123"/>
      <c r="S177" s="123"/>
      <c r="T177" s="123"/>
      <c r="U177" s="123"/>
      <c r="V177" s="123"/>
      <c r="W177" s="123"/>
      <c r="X177" s="123"/>
      <c r="Y177" s="123"/>
      <c r="Z177" s="123"/>
      <c r="AA177" s="123"/>
      <c r="AB177" s="123"/>
      <c r="AC177" s="123"/>
      <c r="AD177" s="123"/>
      <c r="AE177" s="123"/>
      <c r="AF177" s="123"/>
      <c r="AG177" s="123"/>
    </row>
    <row r="178" spans="1:33">
      <c r="A178" s="123"/>
      <c r="B178" s="123"/>
      <c r="C178" s="123"/>
      <c r="D178" s="123"/>
      <c r="E178" s="123"/>
      <c r="F178" s="123"/>
      <c r="G178" s="123"/>
      <c r="H178" s="123"/>
      <c r="I178" s="123"/>
      <c r="J178" s="123"/>
      <c r="K178" s="123"/>
      <c r="L178" s="123"/>
      <c r="M178" s="123"/>
      <c r="N178" s="123"/>
      <c r="O178" s="123"/>
      <c r="P178" s="123"/>
      <c r="Q178" s="123"/>
      <c r="R178" s="123"/>
      <c r="S178" s="123"/>
      <c r="T178" s="123"/>
      <c r="U178" s="123"/>
      <c r="V178" s="123"/>
      <c r="W178" s="123"/>
      <c r="X178" s="123"/>
      <c r="Y178" s="123"/>
      <c r="Z178" s="123"/>
      <c r="AA178" s="123"/>
      <c r="AB178" s="123"/>
      <c r="AC178" s="123"/>
      <c r="AD178" s="123"/>
      <c r="AE178" s="123"/>
      <c r="AF178" s="123"/>
      <c r="AG178" s="123"/>
    </row>
    <row r="179" spans="1:33">
      <c r="A179" s="123"/>
      <c r="B179" s="123"/>
      <c r="C179" s="123"/>
      <c r="D179" s="123"/>
      <c r="E179" s="123"/>
      <c r="F179" s="123"/>
      <c r="G179" s="123"/>
      <c r="H179" s="123"/>
      <c r="I179" s="123"/>
      <c r="J179" s="123"/>
      <c r="K179" s="123"/>
      <c r="L179" s="123"/>
      <c r="M179" s="123"/>
      <c r="N179" s="123"/>
      <c r="O179" s="123"/>
      <c r="P179" s="123"/>
      <c r="Q179" s="123"/>
      <c r="R179" s="123"/>
      <c r="S179" s="123"/>
      <c r="T179" s="123"/>
      <c r="U179" s="123"/>
      <c r="V179" s="123"/>
      <c r="W179" s="123"/>
      <c r="X179" s="123"/>
      <c r="Y179" s="123"/>
      <c r="Z179" s="123"/>
      <c r="AA179" s="123"/>
      <c r="AB179" s="123"/>
      <c r="AC179" s="123"/>
      <c r="AD179" s="123"/>
      <c r="AE179" s="123"/>
      <c r="AF179" s="123"/>
      <c r="AG179" s="123"/>
    </row>
    <row r="180" spans="1:33">
      <c r="A180" s="123"/>
      <c r="B180" s="123"/>
      <c r="C180" s="123"/>
      <c r="D180" s="123"/>
      <c r="E180" s="123"/>
      <c r="F180" s="123"/>
      <c r="G180" s="123"/>
      <c r="H180" s="123"/>
      <c r="I180" s="123"/>
      <c r="J180" s="123"/>
      <c r="K180" s="123"/>
      <c r="L180" s="123"/>
      <c r="M180" s="123"/>
      <c r="N180" s="123"/>
      <c r="O180" s="123"/>
      <c r="P180" s="123"/>
      <c r="Q180" s="123"/>
      <c r="R180" s="123"/>
      <c r="S180" s="123"/>
      <c r="T180" s="123"/>
      <c r="U180" s="123"/>
      <c r="V180" s="123"/>
      <c r="W180" s="123"/>
      <c r="X180" s="123"/>
      <c r="Y180" s="123"/>
      <c r="Z180" s="123"/>
      <c r="AA180" s="123"/>
      <c r="AB180" s="123"/>
      <c r="AC180" s="123"/>
      <c r="AD180" s="123"/>
      <c r="AE180" s="123"/>
      <c r="AF180" s="123"/>
      <c r="AG180" s="123"/>
    </row>
    <row r="181" spans="1:33">
      <c r="A181" s="123"/>
      <c r="B181" s="123"/>
      <c r="C181" s="123"/>
      <c r="D181" s="123"/>
      <c r="E181" s="123"/>
      <c r="F181" s="123"/>
      <c r="G181" s="123"/>
      <c r="H181" s="123"/>
      <c r="I181" s="123"/>
      <c r="J181" s="123"/>
      <c r="K181" s="123"/>
      <c r="L181" s="123"/>
      <c r="M181" s="123"/>
      <c r="N181" s="123"/>
      <c r="O181" s="123"/>
      <c r="P181" s="123"/>
      <c r="Q181" s="123"/>
      <c r="R181" s="123"/>
      <c r="S181" s="123"/>
      <c r="T181" s="123"/>
      <c r="U181" s="123"/>
      <c r="V181" s="123"/>
      <c r="W181" s="123"/>
      <c r="X181" s="123"/>
      <c r="Y181" s="123"/>
      <c r="Z181" s="123"/>
      <c r="AA181" s="123"/>
      <c r="AB181" s="123"/>
      <c r="AC181" s="123"/>
      <c r="AD181" s="123"/>
      <c r="AE181" s="123"/>
      <c r="AF181" s="123"/>
      <c r="AG181" s="123"/>
    </row>
    <row r="182" spans="1:33">
      <c r="A182" s="123"/>
      <c r="B182" s="123"/>
      <c r="C182" s="123"/>
      <c r="D182" s="123"/>
      <c r="E182" s="123"/>
      <c r="F182" s="123"/>
      <c r="G182" s="123"/>
      <c r="H182" s="123"/>
      <c r="I182" s="123"/>
      <c r="J182" s="123"/>
      <c r="K182" s="123"/>
      <c r="L182" s="123"/>
      <c r="M182" s="123"/>
      <c r="N182" s="123"/>
      <c r="O182" s="123"/>
      <c r="P182" s="123"/>
      <c r="Q182" s="123"/>
      <c r="R182" s="123"/>
      <c r="S182" s="123"/>
      <c r="T182" s="123"/>
      <c r="U182" s="123"/>
      <c r="V182" s="123"/>
      <c r="W182" s="123"/>
      <c r="X182" s="123"/>
      <c r="Y182" s="123"/>
      <c r="Z182" s="123"/>
      <c r="AA182" s="123"/>
      <c r="AB182" s="123"/>
      <c r="AC182" s="123"/>
      <c r="AD182" s="123"/>
      <c r="AE182" s="123"/>
      <c r="AF182" s="123"/>
      <c r="AG182" s="123"/>
    </row>
    <row r="183" spans="1:33">
      <c r="A183" s="123"/>
      <c r="B183" s="123"/>
      <c r="C183" s="123"/>
      <c r="D183" s="123"/>
      <c r="E183" s="123"/>
      <c r="F183" s="123"/>
      <c r="G183" s="123"/>
      <c r="H183" s="123"/>
      <c r="I183" s="123"/>
      <c r="J183" s="123"/>
      <c r="K183" s="123"/>
      <c r="L183" s="123"/>
      <c r="M183" s="123"/>
      <c r="N183" s="123"/>
      <c r="O183" s="123"/>
      <c r="P183" s="123"/>
      <c r="Q183" s="123"/>
      <c r="R183" s="123"/>
      <c r="S183" s="123"/>
      <c r="T183" s="123"/>
      <c r="U183" s="123"/>
      <c r="V183" s="123"/>
      <c r="W183" s="123"/>
      <c r="X183" s="123"/>
      <c r="Y183" s="123"/>
      <c r="Z183" s="123"/>
      <c r="AA183" s="123"/>
      <c r="AB183" s="123"/>
      <c r="AC183" s="123"/>
      <c r="AD183" s="123"/>
      <c r="AE183" s="123"/>
      <c r="AF183" s="123"/>
      <c r="AG183" s="123"/>
    </row>
    <row r="184" spans="1:33">
      <c r="A184" s="123"/>
      <c r="B184" s="123"/>
      <c r="C184" s="123"/>
      <c r="D184" s="123"/>
      <c r="E184" s="123"/>
      <c r="F184" s="123"/>
      <c r="G184" s="123"/>
      <c r="H184" s="123"/>
      <c r="I184" s="123"/>
      <c r="J184" s="123"/>
      <c r="K184" s="123"/>
      <c r="L184" s="123"/>
      <c r="M184" s="123"/>
      <c r="N184" s="123"/>
      <c r="O184" s="123"/>
      <c r="P184" s="123"/>
      <c r="Q184" s="123"/>
      <c r="R184" s="123"/>
      <c r="S184" s="123"/>
      <c r="T184" s="123"/>
      <c r="U184" s="123"/>
      <c r="V184" s="123"/>
      <c r="W184" s="123"/>
      <c r="X184" s="123"/>
      <c r="Y184" s="123"/>
      <c r="Z184" s="123"/>
      <c r="AA184" s="123"/>
      <c r="AB184" s="123"/>
      <c r="AC184" s="123"/>
      <c r="AD184" s="123"/>
      <c r="AE184" s="123"/>
      <c r="AF184" s="123"/>
      <c r="AG184" s="123"/>
    </row>
    <row r="185" spans="1:33">
      <c r="A185" s="123"/>
      <c r="B185" s="123"/>
      <c r="C185" s="123"/>
      <c r="D185" s="123"/>
      <c r="E185" s="123"/>
      <c r="F185" s="123"/>
      <c r="G185" s="123"/>
      <c r="H185" s="123"/>
      <c r="I185" s="123"/>
      <c r="J185" s="123"/>
      <c r="K185" s="123"/>
      <c r="L185" s="123"/>
      <c r="M185" s="123"/>
      <c r="N185" s="123"/>
      <c r="O185" s="123"/>
      <c r="P185" s="123"/>
      <c r="Q185" s="123"/>
      <c r="R185" s="123"/>
      <c r="S185" s="123"/>
      <c r="T185" s="123"/>
      <c r="U185" s="123"/>
      <c r="V185" s="123"/>
      <c r="W185" s="123"/>
      <c r="X185" s="123"/>
      <c r="Y185" s="123"/>
      <c r="Z185" s="123"/>
      <c r="AA185" s="123"/>
      <c r="AB185" s="123"/>
      <c r="AC185" s="123"/>
      <c r="AD185" s="123"/>
      <c r="AE185" s="123"/>
      <c r="AF185" s="123"/>
      <c r="AG185" s="123"/>
    </row>
    <row r="186" spans="1:33">
      <c r="A186" s="123"/>
      <c r="B186" s="123"/>
      <c r="C186" s="123"/>
      <c r="D186" s="123"/>
      <c r="E186" s="123"/>
      <c r="F186" s="123"/>
      <c r="G186" s="123"/>
      <c r="H186" s="123"/>
      <c r="I186" s="123"/>
      <c r="J186" s="123"/>
      <c r="K186" s="123"/>
      <c r="L186" s="123"/>
      <c r="M186" s="123"/>
      <c r="N186" s="123"/>
      <c r="O186" s="123"/>
      <c r="P186" s="123"/>
      <c r="Q186" s="123"/>
      <c r="R186" s="123"/>
      <c r="S186" s="123"/>
      <c r="T186" s="123"/>
      <c r="U186" s="123"/>
      <c r="V186" s="123"/>
      <c r="W186" s="123"/>
      <c r="X186" s="123"/>
      <c r="Y186" s="123"/>
      <c r="Z186" s="123"/>
      <c r="AA186" s="123"/>
      <c r="AB186" s="123"/>
      <c r="AC186" s="123"/>
      <c r="AD186" s="123"/>
      <c r="AE186" s="123"/>
      <c r="AF186" s="123"/>
      <c r="AG186" s="123"/>
    </row>
    <row r="187" spans="1:33">
      <c r="A187" s="123"/>
      <c r="B187" s="123"/>
      <c r="C187" s="123"/>
      <c r="D187" s="123"/>
      <c r="E187" s="123"/>
      <c r="F187" s="123"/>
      <c r="G187" s="123"/>
      <c r="H187" s="123"/>
      <c r="I187" s="123"/>
      <c r="J187" s="123"/>
      <c r="K187" s="123"/>
      <c r="L187" s="123"/>
      <c r="M187" s="123"/>
      <c r="N187" s="123"/>
      <c r="O187" s="123"/>
      <c r="P187" s="123"/>
      <c r="Q187" s="123"/>
      <c r="R187" s="123"/>
      <c r="S187" s="123"/>
      <c r="T187" s="123"/>
      <c r="U187" s="123"/>
      <c r="V187" s="123"/>
      <c r="W187" s="123"/>
      <c r="X187" s="123"/>
      <c r="Y187" s="123"/>
      <c r="Z187" s="123"/>
      <c r="AA187" s="123"/>
      <c r="AB187" s="123"/>
      <c r="AC187" s="123"/>
      <c r="AD187" s="123"/>
      <c r="AE187" s="123"/>
      <c r="AF187" s="123"/>
      <c r="AG187" s="123"/>
    </row>
    <row r="188" spans="1:33">
      <c r="A188" s="123"/>
      <c r="B188" s="123"/>
      <c r="C188" s="123"/>
      <c r="D188" s="123"/>
      <c r="E188" s="123"/>
      <c r="F188" s="123"/>
      <c r="G188" s="123"/>
      <c r="H188" s="123"/>
      <c r="I188" s="123"/>
      <c r="J188" s="123"/>
      <c r="K188" s="123"/>
      <c r="L188" s="123"/>
      <c r="M188" s="123"/>
      <c r="N188" s="123"/>
      <c r="O188" s="123"/>
      <c r="P188" s="123"/>
      <c r="Q188" s="123"/>
      <c r="R188" s="123"/>
      <c r="S188" s="123"/>
      <c r="T188" s="123"/>
      <c r="U188" s="123"/>
      <c r="V188" s="123"/>
      <c r="W188" s="123"/>
      <c r="X188" s="123"/>
      <c r="Y188" s="123"/>
      <c r="Z188" s="123"/>
      <c r="AA188" s="123"/>
      <c r="AB188" s="123"/>
      <c r="AC188" s="123"/>
      <c r="AD188" s="123"/>
      <c r="AE188" s="123"/>
      <c r="AF188" s="123"/>
      <c r="AG188" s="123"/>
    </row>
    <row r="189" spans="1:33">
      <c r="A189" s="123"/>
      <c r="B189" s="123"/>
      <c r="C189" s="123"/>
      <c r="D189" s="123"/>
      <c r="E189" s="123"/>
      <c r="F189" s="123"/>
      <c r="G189" s="123"/>
      <c r="H189" s="123"/>
      <c r="I189" s="123"/>
      <c r="J189" s="123"/>
      <c r="K189" s="123"/>
      <c r="L189" s="123"/>
      <c r="M189" s="123"/>
      <c r="N189" s="123"/>
      <c r="O189" s="123"/>
      <c r="P189" s="123"/>
      <c r="Q189" s="123"/>
      <c r="R189" s="123"/>
      <c r="S189" s="123"/>
      <c r="T189" s="123"/>
      <c r="U189" s="123"/>
      <c r="V189" s="123"/>
      <c r="W189" s="123"/>
      <c r="X189" s="123"/>
      <c r="Y189" s="123"/>
      <c r="Z189" s="123"/>
      <c r="AA189" s="123"/>
      <c r="AB189" s="123"/>
      <c r="AC189" s="123"/>
      <c r="AD189" s="123"/>
      <c r="AE189" s="123"/>
      <c r="AF189" s="123"/>
      <c r="AG189" s="123"/>
    </row>
    <row r="190" spans="1:33">
      <c r="A190" s="123"/>
      <c r="B190" s="123"/>
      <c r="C190" s="123"/>
      <c r="D190" s="123"/>
      <c r="E190" s="123"/>
      <c r="F190" s="123"/>
      <c r="G190" s="123"/>
      <c r="H190" s="123"/>
      <c r="I190" s="123"/>
      <c r="J190" s="123"/>
      <c r="K190" s="123"/>
      <c r="L190" s="123"/>
      <c r="M190" s="123"/>
      <c r="N190" s="123"/>
      <c r="O190" s="123"/>
      <c r="P190" s="123"/>
      <c r="Q190" s="123"/>
      <c r="R190" s="123"/>
      <c r="S190" s="123"/>
      <c r="T190" s="123"/>
      <c r="U190" s="123"/>
      <c r="V190" s="123"/>
      <c r="W190" s="123"/>
      <c r="X190" s="123"/>
      <c r="Y190" s="123"/>
      <c r="Z190" s="123"/>
      <c r="AA190" s="123"/>
      <c r="AB190" s="123"/>
      <c r="AC190" s="123"/>
      <c r="AD190" s="123"/>
      <c r="AE190" s="123"/>
      <c r="AF190" s="123"/>
      <c r="AG190" s="123"/>
    </row>
    <row r="191" spans="1:33">
      <c r="A191" s="123"/>
      <c r="B191" s="123"/>
      <c r="C191" s="123"/>
      <c r="D191" s="123"/>
      <c r="E191" s="123"/>
      <c r="F191" s="123"/>
      <c r="G191" s="123"/>
      <c r="H191" s="123"/>
      <c r="I191" s="123"/>
      <c r="J191" s="123"/>
      <c r="K191" s="123"/>
      <c r="L191" s="123"/>
      <c r="M191" s="123"/>
      <c r="N191" s="123"/>
      <c r="O191" s="123"/>
      <c r="P191" s="123"/>
      <c r="Q191" s="123"/>
      <c r="R191" s="123"/>
      <c r="S191" s="123"/>
      <c r="T191" s="123"/>
      <c r="U191" s="123"/>
      <c r="V191" s="123"/>
      <c r="W191" s="123"/>
      <c r="X191" s="123"/>
      <c r="Y191" s="123"/>
      <c r="Z191" s="123"/>
      <c r="AA191" s="123"/>
      <c r="AB191" s="123"/>
      <c r="AC191" s="123"/>
      <c r="AD191" s="123"/>
      <c r="AE191" s="123"/>
      <c r="AF191" s="123"/>
      <c r="AG191" s="123"/>
    </row>
    <row r="192" spans="1:33">
      <c r="A192" s="123"/>
      <c r="B192" s="123"/>
      <c r="C192" s="123"/>
      <c r="D192" s="123"/>
      <c r="E192" s="123"/>
      <c r="F192" s="123"/>
      <c r="G192" s="123"/>
      <c r="H192" s="123"/>
      <c r="I192" s="123"/>
      <c r="J192" s="123"/>
      <c r="K192" s="123"/>
      <c r="L192" s="123"/>
      <c r="M192" s="123"/>
      <c r="N192" s="123"/>
      <c r="O192" s="123"/>
      <c r="P192" s="123"/>
      <c r="Q192" s="123"/>
      <c r="R192" s="123"/>
      <c r="S192" s="123"/>
      <c r="T192" s="123"/>
      <c r="U192" s="123"/>
      <c r="V192" s="123"/>
      <c r="W192" s="123"/>
      <c r="X192" s="123"/>
      <c r="Y192" s="123"/>
      <c r="Z192" s="123"/>
      <c r="AA192" s="123"/>
      <c r="AB192" s="123"/>
      <c r="AC192" s="123"/>
      <c r="AD192" s="123"/>
      <c r="AE192" s="123"/>
      <c r="AF192" s="123"/>
      <c r="AG192" s="123"/>
    </row>
    <row r="193" spans="1:33">
      <c r="A193" s="123"/>
      <c r="B193" s="123"/>
      <c r="C193" s="123"/>
      <c r="D193" s="123"/>
      <c r="E193" s="123"/>
      <c r="F193" s="123"/>
      <c r="G193" s="123"/>
      <c r="H193" s="123"/>
      <c r="I193" s="123"/>
      <c r="J193" s="123"/>
      <c r="K193" s="123"/>
      <c r="L193" s="123"/>
      <c r="M193" s="123"/>
      <c r="N193" s="123"/>
      <c r="O193" s="123"/>
      <c r="P193" s="123"/>
      <c r="Q193" s="123"/>
      <c r="R193" s="123"/>
      <c r="S193" s="123"/>
      <c r="T193" s="123"/>
      <c r="U193" s="123"/>
      <c r="V193" s="123"/>
      <c r="W193" s="123"/>
      <c r="X193" s="123"/>
      <c r="Y193" s="123"/>
      <c r="Z193" s="123"/>
      <c r="AA193" s="123"/>
      <c r="AB193" s="123"/>
      <c r="AC193" s="123"/>
      <c r="AD193" s="123"/>
      <c r="AE193" s="123"/>
      <c r="AF193" s="123"/>
      <c r="AG193" s="123"/>
    </row>
    <row r="194" spans="1:33">
      <c r="A194" s="123"/>
      <c r="B194" s="123"/>
      <c r="C194" s="123"/>
      <c r="D194" s="123"/>
      <c r="E194" s="123"/>
      <c r="F194" s="123"/>
      <c r="G194" s="123"/>
      <c r="H194" s="123"/>
      <c r="I194" s="123"/>
      <c r="J194" s="123"/>
      <c r="K194" s="123"/>
      <c r="L194" s="123"/>
      <c r="M194" s="123"/>
      <c r="N194" s="123"/>
      <c r="O194" s="123"/>
      <c r="P194" s="123"/>
      <c r="Q194" s="123"/>
      <c r="R194" s="123"/>
      <c r="S194" s="123"/>
      <c r="T194" s="123"/>
      <c r="U194" s="123"/>
      <c r="V194" s="123"/>
      <c r="W194" s="123"/>
      <c r="X194" s="123"/>
      <c r="Y194" s="123"/>
      <c r="Z194" s="123"/>
      <c r="AA194" s="123"/>
      <c r="AB194" s="123"/>
      <c r="AC194" s="123"/>
      <c r="AD194" s="123"/>
      <c r="AE194" s="123"/>
      <c r="AF194" s="123"/>
      <c r="AG194" s="123"/>
    </row>
    <row r="195" spans="1:33">
      <c r="A195" s="123"/>
      <c r="B195" s="123"/>
      <c r="C195" s="123"/>
      <c r="D195" s="123"/>
      <c r="E195" s="123"/>
      <c r="F195" s="123"/>
      <c r="G195" s="123"/>
      <c r="H195" s="123"/>
      <c r="I195" s="123"/>
      <c r="J195" s="123"/>
      <c r="K195" s="123"/>
      <c r="L195" s="123"/>
      <c r="M195" s="123"/>
      <c r="N195" s="123"/>
      <c r="O195" s="123"/>
      <c r="P195" s="123"/>
      <c r="Q195" s="123"/>
      <c r="R195" s="123"/>
      <c r="S195" s="123"/>
      <c r="T195" s="123"/>
      <c r="U195" s="123"/>
      <c r="V195" s="123"/>
      <c r="W195" s="123"/>
      <c r="X195" s="123"/>
      <c r="Y195" s="123"/>
      <c r="Z195" s="123"/>
      <c r="AA195" s="123"/>
      <c r="AB195" s="123"/>
      <c r="AC195" s="123"/>
      <c r="AD195" s="123"/>
      <c r="AE195" s="123"/>
      <c r="AF195" s="123"/>
      <c r="AG195" s="123"/>
    </row>
    <row r="196" spans="1:33">
      <c r="A196" s="123"/>
      <c r="B196" s="123"/>
      <c r="C196" s="123"/>
      <c r="D196" s="123"/>
      <c r="E196" s="123"/>
      <c r="F196" s="123"/>
      <c r="G196" s="123"/>
      <c r="H196" s="123"/>
      <c r="I196" s="123"/>
      <c r="J196" s="123"/>
      <c r="K196" s="123"/>
      <c r="L196" s="123"/>
      <c r="M196" s="123"/>
      <c r="N196" s="123"/>
      <c r="O196" s="123"/>
      <c r="P196" s="123"/>
      <c r="Q196" s="123"/>
      <c r="R196" s="123"/>
      <c r="S196" s="123"/>
      <c r="T196" s="123"/>
      <c r="U196" s="123"/>
      <c r="V196" s="123"/>
      <c r="W196" s="123"/>
      <c r="X196" s="123"/>
      <c r="Y196" s="123"/>
      <c r="Z196" s="123"/>
      <c r="AA196" s="123"/>
      <c r="AB196" s="123"/>
      <c r="AC196" s="123"/>
      <c r="AD196" s="123"/>
      <c r="AE196" s="123"/>
      <c r="AF196" s="123"/>
      <c r="AG196" s="123"/>
    </row>
    <row r="197" spans="1:33">
      <c r="A197" s="123"/>
      <c r="B197" s="123"/>
      <c r="C197" s="123"/>
      <c r="D197" s="123"/>
      <c r="E197" s="123"/>
      <c r="F197" s="123"/>
      <c r="G197" s="123"/>
      <c r="H197" s="123"/>
      <c r="I197" s="123"/>
      <c r="J197" s="123"/>
      <c r="K197" s="123"/>
      <c r="L197" s="123"/>
      <c r="M197" s="123"/>
      <c r="N197" s="123"/>
      <c r="O197" s="123"/>
      <c r="P197" s="123"/>
      <c r="Q197" s="123"/>
      <c r="R197" s="123"/>
      <c r="S197" s="123"/>
      <c r="T197" s="123"/>
      <c r="U197" s="123"/>
      <c r="V197" s="123"/>
      <c r="W197" s="123"/>
      <c r="X197" s="123"/>
      <c r="Y197" s="123"/>
      <c r="Z197" s="123"/>
      <c r="AA197" s="123"/>
      <c r="AB197" s="123"/>
      <c r="AC197" s="123"/>
      <c r="AD197" s="123"/>
      <c r="AE197" s="123"/>
      <c r="AF197" s="123"/>
      <c r="AG197" s="123"/>
    </row>
    <row r="198" spans="1:33">
      <c r="A198" s="123"/>
      <c r="B198" s="123"/>
      <c r="C198" s="123"/>
      <c r="D198" s="123"/>
      <c r="E198" s="123"/>
      <c r="F198" s="123"/>
      <c r="G198" s="123"/>
      <c r="H198" s="123"/>
      <c r="I198" s="123"/>
      <c r="J198" s="123"/>
      <c r="K198" s="123"/>
      <c r="L198" s="123"/>
      <c r="M198" s="123"/>
      <c r="N198" s="123"/>
      <c r="O198" s="123"/>
      <c r="P198" s="123"/>
      <c r="Q198" s="123"/>
      <c r="R198" s="123"/>
      <c r="S198" s="123"/>
      <c r="T198" s="123"/>
      <c r="U198" s="123"/>
      <c r="V198" s="123"/>
      <c r="W198" s="123"/>
      <c r="X198" s="123"/>
      <c r="Y198" s="123"/>
      <c r="Z198" s="123"/>
      <c r="AA198" s="123"/>
      <c r="AB198" s="123"/>
      <c r="AC198" s="123"/>
      <c r="AD198" s="123"/>
      <c r="AE198" s="123"/>
      <c r="AF198" s="123"/>
      <c r="AG198" s="123"/>
    </row>
    <row r="199" spans="1:33">
      <c r="A199" s="123"/>
      <c r="B199" s="123"/>
      <c r="C199" s="123"/>
      <c r="D199" s="123"/>
      <c r="E199" s="123"/>
      <c r="F199" s="123"/>
      <c r="G199" s="123"/>
      <c r="H199" s="123"/>
      <c r="I199" s="123"/>
      <c r="J199" s="123"/>
      <c r="K199" s="123"/>
      <c r="L199" s="123"/>
      <c r="M199" s="123"/>
      <c r="N199" s="123"/>
      <c r="O199" s="123"/>
      <c r="P199" s="123"/>
      <c r="Q199" s="123"/>
      <c r="R199" s="123"/>
      <c r="S199" s="123"/>
      <c r="T199" s="123"/>
      <c r="U199" s="123"/>
      <c r="V199" s="123"/>
      <c r="W199" s="123"/>
      <c r="X199" s="123"/>
      <c r="Y199" s="123"/>
      <c r="Z199" s="123"/>
      <c r="AA199" s="123"/>
      <c r="AB199" s="123"/>
      <c r="AC199" s="123"/>
      <c r="AD199" s="123"/>
      <c r="AE199" s="123"/>
      <c r="AF199" s="123"/>
      <c r="AG199" s="123"/>
    </row>
    <row r="200" spans="1:33">
      <c r="A200" s="123"/>
      <c r="B200" s="123"/>
      <c r="C200" s="123"/>
      <c r="D200" s="123"/>
      <c r="E200" s="123"/>
      <c r="F200" s="123"/>
      <c r="G200" s="123"/>
      <c r="H200" s="123"/>
      <c r="I200" s="123"/>
      <c r="J200" s="123"/>
      <c r="K200" s="123"/>
      <c r="L200" s="123"/>
      <c r="M200" s="123"/>
      <c r="N200" s="123"/>
      <c r="O200" s="123"/>
      <c r="P200" s="123"/>
      <c r="Q200" s="123"/>
      <c r="R200" s="123"/>
      <c r="S200" s="123"/>
      <c r="T200" s="123"/>
      <c r="U200" s="123"/>
      <c r="V200" s="123"/>
      <c r="W200" s="123"/>
      <c r="X200" s="123"/>
      <c r="Y200" s="123"/>
      <c r="Z200" s="123"/>
      <c r="AA200" s="123"/>
      <c r="AB200" s="123"/>
      <c r="AC200" s="123"/>
      <c r="AD200" s="123"/>
      <c r="AE200" s="123"/>
      <c r="AF200" s="123"/>
      <c r="AG200" s="123"/>
    </row>
    <row r="201" spans="1:33">
      <c r="A201" s="123"/>
      <c r="B201" s="123"/>
      <c r="C201" s="123"/>
      <c r="D201" s="123"/>
      <c r="E201" s="123"/>
      <c r="F201" s="123"/>
      <c r="G201" s="123"/>
      <c r="H201" s="123"/>
      <c r="I201" s="123"/>
      <c r="J201" s="123"/>
      <c r="K201" s="123"/>
      <c r="L201" s="123"/>
      <c r="M201" s="123"/>
      <c r="N201" s="123"/>
      <c r="O201" s="123"/>
      <c r="P201" s="123"/>
      <c r="Q201" s="123"/>
      <c r="R201" s="123"/>
      <c r="S201" s="123"/>
      <c r="T201" s="123"/>
      <c r="U201" s="123"/>
      <c r="V201" s="123"/>
      <c r="W201" s="123"/>
      <c r="X201" s="123"/>
      <c r="Y201" s="123"/>
      <c r="Z201" s="123"/>
      <c r="AA201" s="123"/>
      <c r="AB201" s="123"/>
      <c r="AC201" s="123"/>
      <c r="AD201" s="123"/>
      <c r="AE201" s="123"/>
      <c r="AF201" s="123"/>
      <c r="AG201" s="123"/>
    </row>
    <row r="202" spans="1:33">
      <c r="A202" s="123"/>
      <c r="B202" s="123"/>
      <c r="C202" s="123"/>
      <c r="D202" s="123"/>
      <c r="E202" s="123"/>
      <c r="F202" s="123"/>
      <c r="G202" s="123"/>
      <c r="H202" s="123"/>
      <c r="I202" s="123"/>
      <c r="J202" s="123"/>
      <c r="K202" s="123"/>
      <c r="L202" s="123"/>
      <c r="M202" s="123"/>
      <c r="N202" s="123"/>
      <c r="O202" s="123"/>
      <c r="P202" s="123"/>
      <c r="Q202" s="123"/>
      <c r="R202" s="123"/>
      <c r="S202" s="123"/>
      <c r="T202" s="123"/>
      <c r="U202" s="123"/>
      <c r="V202" s="123"/>
      <c r="W202" s="123"/>
      <c r="X202" s="123"/>
      <c r="Y202" s="123"/>
      <c r="Z202" s="123"/>
      <c r="AA202" s="123"/>
      <c r="AB202" s="123"/>
      <c r="AC202" s="123"/>
      <c r="AD202" s="123"/>
      <c r="AE202" s="123"/>
      <c r="AF202" s="123"/>
      <c r="AG202" s="123"/>
    </row>
    <row r="203" spans="1:33">
      <c r="A203" s="123"/>
      <c r="B203" s="123"/>
      <c r="C203" s="123"/>
      <c r="D203" s="123"/>
      <c r="E203" s="123"/>
      <c r="F203" s="123"/>
      <c r="G203" s="123"/>
      <c r="H203" s="123"/>
      <c r="I203" s="123"/>
      <c r="J203" s="123"/>
      <c r="K203" s="123"/>
      <c r="L203" s="123"/>
      <c r="M203" s="123"/>
      <c r="N203" s="123"/>
      <c r="O203" s="123"/>
      <c r="P203" s="123"/>
      <c r="Q203" s="123"/>
      <c r="R203" s="123"/>
      <c r="S203" s="123"/>
      <c r="T203" s="123"/>
      <c r="U203" s="123"/>
      <c r="V203" s="123"/>
      <c r="W203" s="123"/>
      <c r="X203" s="123"/>
      <c r="Y203" s="123"/>
      <c r="Z203" s="123"/>
      <c r="AA203" s="123"/>
      <c r="AB203" s="123"/>
      <c r="AC203" s="123"/>
      <c r="AD203" s="123"/>
      <c r="AE203" s="123"/>
      <c r="AF203" s="123"/>
      <c r="AG203" s="123"/>
    </row>
    <row r="204" spans="1:33">
      <c r="A204" s="123"/>
      <c r="B204" s="123"/>
      <c r="C204" s="123"/>
      <c r="D204" s="123"/>
      <c r="E204" s="123"/>
      <c r="F204" s="123"/>
      <c r="G204" s="123"/>
      <c r="H204" s="123"/>
      <c r="I204" s="123"/>
      <c r="J204" s="123"/>
      <c r="K204" s="123"/>
      <c r="L204" s="123"/>
      <c r="M204" s="123"/>
      <c r="N204" s="123"/>
      <c r="O204" s="123"/>
      <c r="P204" s="123"/>
      <c r="Q204" s="123"/>
      <c r="R204" s="123"/>
      <c r="S204" s="123"/>
      <c r="T204" s="123"/>
      <c r="U204" s="123"/>
      <c r="V204" s="123"/>
      <c r="W204" s="123"/>
      <c r="X204" s="123"/>
      <c r="Y204" s="123"/>
      <c r="Z204" s="123"/>
      <c r="AA204" s="123"/>
      <c r="AB204" s="123"/>
      <c r="AC204" s="123"/>
      <c r="AD204" s="123"/>
      <c r="AE204" s="123"/>
      <c r="AF204" s="123"/>
      <c r="AG204" s="123"/>
    </row>
    <row r="205" spans="1:33">
      <c r="A205" s="123"/>
      <c r="B205" s="123"/>
      <c r="C205" s="123"/>
      <c r="D205" s="123"/>
      <c r="E205" s="123"/>
      <c r="F205" s="123"/>
      <c r="G205" s="123"/>
      <c r="H205" s="123"/>
      <c r="I205" s="123"/>
      <c r="J205" s="123"/>
      <c r="K205" s="123"/>
      <c r="L205" s="123"/>
      <c r="M205" s="123"/>
      <c r="N205" s="123"/>
      <c r="O205" s="123"/>
      <c r="P205" s="123"/>
      <c r="Q205" s="123"/>
      <c r="R205" s="123"/>
      <c r="S205" s="123"/>
      <c r="T205" s="123"/>
      <c r="U205" s="123"/>
      <c r="V205" s="123"/>
      <c r="W205" s="123"/>
      <c r="X205" s="123"/>
      <c r="Y205" s="123"/>
      <c r="Z205" s="123"/>
      <c r="AA205" s="123"/>
      <c r="AB205" s="123"/>
      <c r="AC205" s="123"/>
      <c r="AD205" s="123"/>
      <c r="AE205" s="123"/>
      <c r="AF205" s="123"/>
      <c r="AG205" s="123"/>
    </row>
    <row r="206" spans="1:33">
      <c r="A206" s="123"/>
      <c r="B206" s="123"/>
      <c r="C206" s="123"/>
      <c r="D206" s="123"/>
      <c r="E206" s="123"/>
      <c r="F206" s="123"/>
      <c r="G206" s="123"/>
      <c r="H206" s="123"/>
      <c r="I206" s="123"/>
      <c r="J206" s="123"/>
      <c r="K206" s="123"/>
      <c r="L206" s="123"/>
      <c r="M206" s="123"/>
      <c r="N206" s="123"/>
      <c r="O206" s="123"/>
      <c r="P206" s="123"/>
      <c r="Q206" s="123"/>
      <c r="R206" s="123"/>
      <c r="S206" s="123"/>
      <c r="T206" s="123"/>
      <c r="U206" s="123"/>
      <c r="V206" s="123"/>
      <c r="W206" s="123"/>
      <c r="X206" s="123"/>
      <c r="Y206" s="123"/>
      <c r="Z206" s="123"/>
      <c r="AA206" s="123"/>
      <c r="AB206" s="123"/>
      <c r="AC206" s="123"/>
      <c r="AD206" s="123"/>
      <c r="AE206" s="123"/>
      <c r="AF206" s="123"/>
      <c r="AG206" s="123"/>
    </row>
    <row r="207" spans="1:33">
      <c r="A207" s="123"/>
      <c r="B207" s="123"/>
      <c r="C207" s="123"/>
      <c r="D207" s="123"/>
      <c r="E207" s="123"/>
      <c r="F207" s="123"/>
      <c r="G207" s="123"/>
      <c r="H207" s="123"/>
      <c r="I207" s="123"/>
      <c r="J207" s="123"/>
      <c r="K207" s="123"/>
      <c r="L207" s="123"/>
      <c r="M207" s="123"/>
      <c r="N207" s="123"/>
      <c r="O207" s="123"/>
      <c r="P207" s="123"/>
      <c r="Q207" s="123"/>
      <c r="R207" s="123"/>
      <c r="S207" s="123"/>
      <c r="T207" s="123"/>
      <c r="U207" s="123"/>
      <c r="V207" s="123"/>
      <c r="W207" s="123"/>
      <c r="X207" s="123"/>
      <c r="Y207" s="123"/>
      <c r="Z207" s="123"/>
      <c r="AA207" s="123"/>
      <c r="AB207" s="123"/>
      <c r="AC207" s="123"/>
      <c r="AD207" s="123"/>
      <c r="AE207" s="123"/>
      <c r="AF207" s="123"/>
      <c r="AG207" s="123"/>
    </row>
    <row r="208" spans="1:33">
      <c r="A208" s="123"/>
      <c r="B208" s="123"/>
      <c r="C208" s="123"/>
      <c r="D208" s="123"/>
      <c r="E208" s="123"/>
      <c r="F208" s="123"/>
      <c r="G208" s="123"/>
      <c r="H208" s="123"/>
      <c r="I208" s="123"/>
      <c r="J208" s="123"/>
      <c r="K208" s="123"/>
      <c r="L208" s="123"/>
      <c r="M208" s="123"/>
      <c r="N208" s="123"/>
      <c r="O208" s="123"/>
      <c r="P208" s="123"/>
      <c r="Q208" s="123"/>
      <c r="R208" s="123"/>
      <c r="S208" s="123"/>
      <c r="T208" s="123"/>
      <c r="U208" s="123"/>
      <c r="V208" s="123"/>
      <c r="W208" s="123"/>
      <c r="X208" s="123"/>
      <c r="Y208" s="123"/>
      <c r="Z208" s="123"/>
      <c r="AA208" s="123"/>
      <c r="AB208" s="123"/>
      <c r="AC208" s="123"/>
      <c r="AD208" s="123"/>
      <c r="AE208" s="123"/>
      <c r="AF208" s="123"/>
      <c r="AG208" s="123"/>
    </row>
    <row r="209" spans="1:33">
      <c r="A209" s="123"/>
      <c r="B209" s="123"/>
      <c r="C209" s="123"/>
      <c r="D209" s="123"/>
      <c r="E209" s="123"/>
      <c r="F209" s="123"/>
      <c r="G209" s="123"/>
      <c r="H209" s="123"/>
      <c r="I209" s="123"/>
      <c r="J209" s="123"/>
      <c r="K209" s="123"/>
      <c r="L209" s="123"/>
      <c r="M209" s="123"/>
      <c r="N209" s="123"/>
      <c r="O209" s="123"/>
      <c r="P209" s="123"/>
      <c r="Q209" s="123"/>
      <c r="R209" s="123"/>
      <c r="S209" s="123"/>
      <c r="T209" s="123"/>
      <c r="U209" s="123"/>
      <c r="V209" s="123"/>
      <c r="W209" s="123"/>
      <c r="X209" s="123"/>
      <c r="Y209" s="123"/>
      <c r="Z209" s="123"/>
      <c r="AA209" s="123"/>
      <c r="AB209" s="123"/>
      <c r="AC209" s="123"/>
      <c r="AD209" s="123"/>
      <c r="AE209" s="123"/>
      <c r="AF209" s="123"/>
      <c r="AG209" s="123"/>
    </row>
    <row r="210" spans="1:33">
      <c r="A210" s="123"/>
      <c r="B210" s="123"/>
      <c r="C210" s="123"/>
      <c r="D210" s="123"/>
      <c r="E210" s="123"/>
      <c r="F210" s="123"/>
      <c r="G210" s="123"/>
      <c r="H210" s="123"/>
      <c r="I210" s="123"/>
      <c r="J210" s="123"/>
      <c r="K210" s="123"/>
      <c r="L210" s="123"/>
      <c r="M210" s="123"/>
      <c r="N210" s="123"/>
      <c r="O210" s="123"/>
      <c r="P210" s="123"/>
      <c r="Q210" s="123"/>
      <c r="R210" s="123"/>
      <c r="S210" s="123"/>
      <c r="T210" s="123"/>
      <c r="U210" s="123"/>
      <c r="V210" s="123"/>
      <c r="W210" s="123"/>
      <c r="X210" s="123"/>
      <c r="Y210" s="123"/>
      <c r="Z210" s="123"/>
      <c r="AA210" s="123"/>
      <c r="AB210" s="123"/>
      <c r="AC210" s="123"/>
      <c r="AD210" s="123"/>
      <c r="AE210" s="123"/>
      <c r="AF210" s="123"/>
      <c r="AG210" s="123"/>
    </row>
    <row r="211" spans="1:33">
      <c r="A211" s="123"/>
      <c r="B211" s="123"/>
      <c r="C211" s="123"/>
      <c r="D211" s="123"/>
      <c r="E211" s="123"/>
      <c r="F211" s="123"/>
      <c r="G211" s="123"/>
      <c r="H211" s="123"/>
      <c r="I211" s="123"/>
      <c r="J211" s="123"/>
      <c r="K211" s="123"/>
      <c r="L211" s="123"/>
      <c r="M211" s="123"/>
      <c r="N211" s="123"/>
      <c r="O211" s="123"/>
      <c r="P211" s="123"/>
      <c r="Q211" s="123"/>
      <c r="R211" s="123"/>
      <c r="S211" s="123"/>
      <c r="T211" s="123"/>
      <c r="U211" s="123"/>
      <c r="V211" s="123"/>
      <c r="W211" s="123"/>
      <c r="X211" s="123"/>
      <c r="Y211" s="123"/>
      <c r="Z211" s="123"/>
      <c r="AA211" s="123"/>
      <c r="AB211" s="123"/>
      <c r="AC211" s="123"/>
      <c r="AD211" s="123"/>
      <c r="AE211" s="123"/>
      <c r="AF211" s="123"/>
      <c r="AG211" s="123"/>
    </row>
    <row r="212" spans="1:33">
      <c r="A212" s="123"/>
      <c r="B212" s="123"/>
      <c r="C212" s="123"/>
      <c r="D212" s="123"/>
      <c r="E212" s="123"/>
      <c r="F212" s="123"/>
      <c r="G212" s="123"/>
      <c r="H212" s="123"/>
      <c r="I212" s="123"/>
      <c r="J212" s="123"/>
      <c r="K212" s="123"/>
      <c r="L212" s="123"/>
      <c r="M212" s="123"/>
      <c r="N212" s="123"/>
      <c r="O212" s="123"/>
      <c r="P212" s="123"/>
      <c r="Q212" s="123"/>
      <c r="R212" s="123"/>
      <c r="S212" s="123"/>
      <c r="T212" s="123"/>
      <c r="U212" s="123"/>
      <c r="V212" s="123"/>
      <c r="W212" s="123"/>
      <c r="X212" s="123"/>
      <c r="Y212" s="123"/>
      <c r="Z212" s="123"/>
      <c r="AA212" s="123"/>
      <c r="AB212" s="123"/>
      <c r="AC212" s="123"/>
      <c r="AD212" s="123"/>
      <c r="AE212" s="123"/>
      <c r="AF212" s="123"/>
      <c r="AG212" s="123"/>
    </row>
    <row r="213" spans="1:33">
      <c r="A213" s="123"/>
      <c r="B213" s="123"/>
      <c r="C213" s="123"/>
      <c r="D213" s="123"/>
      <c r="E213" s="123"/>
      <c r="F213" s="123"/>
      <c r="G213" s="123"/>
      <c r="H213" s="123"/>
      <c r="I213" s="123"/>
      <c r="J213" s="123"/>
      <c r="K213" s="123"/>
      <c r="L213" s="123"/>
      <c r="M213" s="123"/>
      <c r="N213" s="123"/>
      <c r="O213" s="123"/>
      <c r="P213" s="123"/>
      <c r="Q213" s="123"/>
      <c r="R213" s="123"/>
      <c r="S213" s="123"/>
      <c r="T213" s="123"/>
      <c r="U213" s="123"/>
      <c r="V213" s="123"/>
      <c r="W213" s="123"/>
      <c r="X213" s="123"/>
      <c r="Y213" s="123"/>
      <c r="Z213" s="123"/>
      <c r="AA213" s="123"/>
      <c r="AB213" s="123"/>
      <c r="AC213" s="123"/>
      <c r="AD213" s="123"/>
      <c r="AE213" s="123"/>
      <c r="AF213" s="123"/>
      <c r="AG213" s="123"/>
    </row>
    <row r="214" spans="1:33">
      <c r="A214" s="123"/>
      <c r="B214" s="123"/>
      <c r="C214" s="123"/>
      <c r="D214" s="123"/>
      <c r="E214" s="123"/>
      <c r="F214" s="123"/>
      <c r="G214" s="123"/>
      <c r="H214" s="123"/>
      <c r="I214" s="123"/>
      <c r="J214" s="123"/>
      <c r="K214" s="123"/>
      <c r="L214" s="123"/>
      <c r="M214" s="123"/>
      <c r="N214" s="123"/>
      <c r="O214" s="123"/>
      <c r="P214" s="123"/>
      <c r="Q214" s="123"/>
      <c r="R214" s="123"/>
      <c r="S214" s="123"/>
      <c r="T214" s="123"/>
      <c r="U214" s="123"/>
      <c r="V214" s="123"/>
      <c r="W214" s="123"/>
      <c r="X214" s="123"/>
      <c r="Y214" s="123"/>
      <c r="Z214" s="123"/>
      <c r="AA214" s="123"/>
      <c r="AB214" s="123"/>
      <c r="AC214" s="123"/>
      <c r="AD214" s="123"/>
      <c r="AE214" s="123"/>
      <c r="AF214" s="123"/>
      <c r="AG214" s="123"/>
    </row>
    <row r="215" spans="1:33">
      <c r="A215" s="123"/>
      <c r="B215" s="123"/>
      <c r="C215" s="123"/>
      <c r="D215" s="123"/>
      <c r="E215" s="123"/>
      <c r="F215" s="123"/>
      <c r="G215" s="123"/>
      <c r="H215" s="123"/>
      <c r="I215" s="123"/>
      <c r="J215" s="123"/>
      <c r="K215" s="123"/>
      <c r="L215" s="123"/>
      <c r="M215" s="123"/>
      <c r="N215" s="123"/>
      <c r="O215" s="123"/>
      <c r="P215" s="123"/>
      <c r="Q215" s="123"/>
      <c r="R215" s="123"/>
      <c r="S215" s="123"/>
      <c r="T215" s="123"/>
      <c r="U215" s="123"/>
      <c r="V215" s="123"/>
      <c r="W215" s="123"/>
      <c r="X215" s="123"/>
      <c r="Y215" s="123"/>
      <c r="Z215" s="123"/>
      <c r="AA215" s="123"/>
      <c r="AB215" s="123"/>
      <c r="AC215" s="123"/>
      <c r="AD215" s="123"/>
      <c r="AE215" s="123"/>
      <c r="AF215" s="123"/>
      <c r="AG215" s="123"/>
    </row>
    <row r="216" spans="1:33">
      <c r="A216" s="123"/>
      <c r="B216" s="123"/>
      <c r="C216" s="123"/>
      <c r="D216" s="123"/>
      <c r="E216" s="123"/>
      <c r="F216" s="123"/>
      <c r="G216" s="123"/>
      <c r="H216" s="123"/>
      <c r="I216" s="123"/>
      <c r="J216" s="123"/>
      <c r="K216" s="123"/>
      <c r="L216" s="123"/>
      <c r="M216" s="123"/>
      <c r="N216" s="123"/>
      <c r="O216" s="123"/>
      <c r="P216" s="123"/>
      <c r="Q216" s="123"/>
      <c r="R216" s="123"/>
      <c r="S216" s="123"/>
      <c r="T216" s="123"/>
      <c r="U216" s="123"/>
      <c r="V216" s="123"/>
      <c r="W216" s="123"/>
      <c r="X216" s="123"/>
      <c r="Y216" s="123"/>
      <c r="Z216" s="123"/>
      <c r="AA216" s="123"/>
      <c r="AB216" s="123"/>
      <c r="AC216" s="123"/>
      <c r="AD216" s="123"/>
      <c r="AE216" s="123"/>
      <c r="AF216" s="123"/>
      <c r="AG216" s="123"/>
    </row>
    <row r="217" spans="1:33">
      <c r="A217" s="123"/>
      <c r="B217" s="123"/>
      <c r="C217" s="123"/>
      <c r="D217" s="123"/>
      <c r="E217" s="123"/>
      <c r="F217" s="123"/>
      <c r="G217" s="123"/>
      <c r="H217" s="123"/>
      <c r="I217" s="123"/>
      <c r="J217" s="123"/>
      <c r="K217" s="123"/>
      <c r="L217" s="123"/>
      <c r="M217" s="123"/>
      <c r="N217" s="123"/>
      <c r="O217" s="123"/>
      <c r="P217" s="123"/>
      <c r="Q217" s="123"/>
      <c r="R217" s="123"/>
      <c r="S217" s="123"/>
      <c r="T217" s="123"/>
      <c r="U217" s="123"/>
      <c r="V217" s="123"/>
      <c r="W217" s="123"/>
      <c r="X217" s="123"/>
      <c r="Y217" s="123"/>
      <c r="Z217" s="123"/>
      <c r="AA217" s="123"/>
      <c r="AB217" s="123"/>
      <c r="AC217" s="123"/>
      <c r="AD217" s="123"/>
      <c r="AE217" s="123"/>
      <c r="AF217" s="123"/>
      <c r="AG217" s="123"/>
    </row>
    <row r="218" spans="1:33">
      <c r="A218" s="123"/>
      <c r="B218" s="123"/>
      <c r="C218" s="123"/>
      <c r="D218" s="123"/>
      <c r="E218" s="123"/>
      <c r="F218" s="123"/>
      <c r="G218" s="123"/>
      <c r="H218" s="123"/>
      <c r="I218" s="123"/>
      <c r="J218" s="123"/>
      <c r="K218" s="123"/>
      <c r="L218" s="123"/>
      <c r="M218" s="123"/>
      <c r="N218" s="123"/>
      <c r="O218" s="123"/>
      <c r="P218" s="123"/>
      <c r="Q218" s="123"/>
      <c r="R218" s="123"/>
      <c r="S218" s="123"/>
      <c r="T218" s="123"/>
      <c r="U218" s="123"/>
      <c r="V218" s="123"/>
      <c r="W218" s="123"/>
      <c r="X218" s="123"/>
      <c r="Y218" s="123"/>
      <c r="Z218" s="123"/>
      <c r="AA218" s="123"/>
      <c r="AB218" s="123"/>
      <c r="AC218" s="123"/>
      <c r="AD218" s="123"/>
      <c r="AE218" s="123"/>
      <c r="AF218" s="123"/>
      <c r="AG218" s="123"/>
    </row>
    <row r="219" spans="1:33">
      <c r="A219" s="123"/>
      <c r="B219" s="123"/>
      <c r="C219" s="123"/>
      <c r="D219" s="123"/>
      <c r="E219" s="123"/>
      <c r="F219" s="123"/>
      <c r="G219" s="123"/>
      <c r="H219" s="123"/>
      <c r="I219" s="123"/>
      <c r="J219" s="123"/>
      <c r="K219" s="123"/>
      <c r="L219" s="123"/>
      <c r="M219" s="123"/>
      <c r="N219" s="123"/>
      <c r="O219" s="123"/>
      <c r="P219" s="123"/>
      <c r="Q219" s="123"/>
      <c r="R219" s="123"/>
      <c r="S219" s="123"/>
      <c r="T219" s="123"/>
      <c r="U219" s="123"/>
      <c r="V219" s="123"/>
      <c r="W219" s="123"/>
      <c r="X219" s="123"/>
      <c r="Y219" s="123"/>
      <c r="Z219" s="123"/>
      <c r="AA219" s="123"/>
      <c r="AB219" s="123"/>
      <c r="AC219" s="123"/>
      <c r="AD219" s="123"/>
      <c r="AE219" s="123"/>
      <c r="AF219" s="123"/>
      <c r="AG219" s="123"/>
    </row>
    <row r="220" spans="1:33">
      <c r="A220" s="123"/>
      <c r="B220" s="123"/>
      <c r="C220" s="123"/>
      <c r="D220" s="123"/>
      <c r="E220" s="123"/>
      <c r="F220" s="123"/>
      <c r="G220" s="123"/>
      <c r="H220" s="123"/>
      <c r="I220" s="123"/>
      <c r="J220" s="123"/>
      <c r="K220" s="123"/>
      <c r="L220" s="123"/>
      <c r="M220" s="123"/>
      <c r="N220" s="123"/>
      <c r="O220" s="123"/>
      <c r="P220" s="123"/>
      <c r="Q220" s="123"/>
      <c r="R220" s="123"/>
      <c r="S220" s="123"/>
      <c r="T220" s="123"/>
      <c r="U220" s="123"/>
      <c r="V220" s="123"/>
      <c r="W220" s="123"/>
      <c r="X220" s="123"/>
      <c r="Y220" s="123"/>
      <c r="Z220" s="123"/>
      <c r="AA220" s="123"/>
      <c r="AB220" s="123"/>
      <c r="AC220" s="123"/>
      <c r="AD220" s="123"/>
      <c r="AE220" s="123"/>
      <c r="AF220" s="123"/>
      <c r="AG220" s="123"/>
    </row>
    <row r="221" spans="1:33">
      <c r="A221" s="123"/>
      <c r="B221" s="123"/>
      <c r="C221" s="123"/>
      <c r="D221" s="123"/>
      <c r="E221" s="123"/>
      <c r="F221" s="123"/>
      <c r="G221" s="123"/>
      <c r="H221" s="123"/>
      <c r="I221" s="123"/>
      <c r="J221" s="123"/>
      <c r="K221" s="123"/>
      <c r="L221" s="123"/>
      <c r="M221" s="123"/>
      <c r="N221" s="123"/>
      <c r="O221" s="123"/>
      <c r="P221" s="123"/>
      <c r="Q221" s="123"/>
      <c r="R221" s="123"/>
      <c r="S221" s="123"/>
      <c r="T221" s="123"/>
      <c r="U221" s="123"/>
      <c r="V221" s="123"/>
      <c r="W221" s="123"/>
      <c r="X221" s="123"/>
      <c r="Y221" s="123"/>
      <c r="Z221" s="123"/>
      <c r="AA221" s="123"/>
      <c r="AB221" s="123"/>
      <c r="AC221" s="123"/>
      <c r="AD221" s="123"/>
      <c r="AE221" s="123"/>
      <c r="AF221" s="123"/>
      <c r="AG221" s="123"/>
    </row>
    <row r="222" spans="1:33">
      <c r="A222" s="123"/>
      <c r="B222" s="123"/>
      <c r="C222" s="123"/>
      <c r="D222" s="123"/>
      <c r="E222" s="123"/>
      <c r="F222" s="123"/>
      <c r="G222" s="123"/>
      <c r="H222" s="123"/>
      <c r="I222" s="123"/>
      <c r="J222" s="123"/>
      <c r="K222" s="123"/>
      <c r="L222" s="123"/>
      <c r="M222" s="123"/>
      <c r="N222" s="123"/>
      <c r="O222" s="123"/>
      <c r="P222" s="123"/>
      <c r="Q222" s="123"/>
      <c r="R222" s="123"/>
      <c r="S222" s="123"/>
      <c r="T222" s="123"/>
      <c r="U222" s="123"/>
      <c r="V222" s="123"/>
      <c r="W222" s="123"/>
      <c r="X222" s="123"/>
      <c r="Y222" s="123"/>
      <c r="Z222" s="123"/>
      <c r="AA222" s="123"/>
      <c r="AB222" s="123"/>
      <c r="AC222" s="123"/>
      <c r="AD222" s="123"/>
      <c r="AE222" s="123"/>
      <c r="AF222" s="123"/>
      <c r="AG222" s="123"/>
    </row>
    <row r="223" spans="1:33">
      <c r="A223" s="123"/>
      <c r="B223" s="123"/>
      <c r="C223" s="123"/>
      <c r="D223" s="123"/>
      <c r="E223" s="123"/>
      <c r="F223" s="123"/>
      <c r="G223" s="123"/>
      <c r="H223" s="123"/>
      <c r="I223" s="123"/>
      <c r="J223" s="123"/>
      <c r="K223" s="123"/>
      <c r="L223" s="123"/>
      <c r="M223" s="123"/>
      <c r="N223" s="123"/>
      <c r="O223" s="123"/>
      <c r="P223" s="123"/>
      <c r="Q223" s="123"/>
      <c r="R223" s="123"/>
      <c r="S223" s="123"/>
      <c r="T223" s="123"/>
      <c r="U223" s="123"/>
      <c r="V223" s="123"/>
      <c r="W223" s="123"/>
      <c r="X223" s="123"/>
      <c r="Y223" s="123"/>
      <c r="Z223" s="123"/>
      <c r="AA223" s="123"/>
      <c r="AB223" s="123"/>
      <c r="AC223" s="123"/>
      <c r="AD223" s="123"/>
      <c r="AE223" s="123"/>
      <c r="AF223" s="123"/>
      <c r="AG223" s="123"/>
    </row>
    <row r="224" spans="1:33">
      <c r="A224" s="123"/>
      <c r="B224" s="123"/>
      <c r="C224" s="123"/>
      <c r="D224" s="123"/>
      <c r="E224" s="123"/>
      <c r="F224" s="123"/>
      <c r="G224" s="123"/>
      <c r="H224" s="123"/>
      <c r="I224" s="123"/>
      <c r="J224" s="123"/>
      <c r="K224" s="123"/>
      <c r="L224" s="123"/>
      <c r="M224" s="123"/>
      <c r="N224" s="123"/>
      <c r="O224" s="123"/>
      <c r="P224" s="123"/>
      <c r="Q224" s="123"/>
      <c r="R224" s="123"/>
      <c r="S224" s="123"/>
      <c r="T224" s="123"/>
      <c r="U224" s="123"/>
      <c r="V224" s="123"/>
      <c r="W224" s="123"/>
      <c r="X224" s="123"/>
      <c r="Y224" s="123"/>
      <c r="Z224" s="123"/>
      <c r="AA224" s="123"/>
      <c r="AB224" s="123"/>
      <c r="AC224" s="123"/>
      <c r="AD224" s="123"/>
      <c r="AE224" s="123"/>
      <c r="AF224" s="123"/>
      <c r="AG224" s="123"/>
    </row>
    <row r="225" spans="1:33">
      <c r="A225" s="123"/>
      <c r="B225" s="123"/>
      <c r="C225" s="123"/>
      <c r="D225" s="123"/>
      <c r="E225" s="123"/>
      <c r="F225" s="123"/>
      <c r="G225" s="123"/>
      <c r="H225" s="123"/>
      <c r="I225" s="123"/>
      <c r="J225" s="123"/>
      <c r="K225" s="123"/>
      <c r="L225" s="123"/>
      <c r="M225" s="123"/>
      <c r="N225" s="123"/>
      <c r="O225" s="123"/>
      <c r="P225" s="123"/>
      <c r="Q225" s="123"/>
      <c r="R225" s="123"/>
      <c r="S225" s="123"/>
      <c r="T225" s="123"/>
      <c r="U225" s="123"/>
      <c r="V225" s="123"/>
      <c r="W225" s="123"/>
      <c r="X225" s="123"/>
      <c r="Y225" s="123"/>
      <c r="Z225" s="123"/>
      <c r="AA225" s="123"/>
      <c r="AB225" s="123"/>
      <c r="AC225" s="123"/>
      <c r="AD225" s="123"/>
      <c r="AE225" s="123"/>
      <c r="AF225" s="123"/>
      <c r="AG225" s="123"/>
    </row>
    <row r="226" spans="1:33">
      <c r="A226" s="123"/>
      <c r="B226" s="123"/>
      <c r="C226" s="123"/>
      <c r="D226" s="123"/>
      <c r="E226" s="123"/>
      <c r="F226" s="123"/>
      <c r="G226" s="123"/>
      <c r="H226" s="123"/>
      <c r="I226" s="123"/>
      <c r="J226" s="123"/>
      <c r="K226" s="123"/>
      <c r="L226" s="123"/>
      <c r="M226" s="123"/>
      <c r="N226" s="123"/>
      <c r="O226" s="123"/>
      <c r="P226" s="123"/>
      <c r="Q226" s="123"/>
      <c r="R226" s="123"/>
      <c r="S226" s="123"/>
      <c r="T226" s="123"/>
      <c r="U226" s="123"/>
      <c r="V226" s="123"/>
      <c r="W226" s="123"/>
      <c r="X226" s="123"/>
      <c r="Y226" s="123"/>
      <c r="Z226" s="123"/>
      <c r="AA226" s="123"/>
      <c r="AB226" s="123"/>
      <c r="AC226" s="123"/>
      <c r="AD226" s="123"/>
      <c r="AE226" s="123"/>
      <c r="AF226" s="123"/>
      <c r="AG226" s="123"/>
    </row>
    <row r="227" spans="1:33">
      <c r="A227" s="123"/>
      <c r="B227" s="123"/>
      <c r="C227" s="123"/>
      <c r="D227" s="123"/>
      <c r="E227" s="123"/>
      <c r="F227" s="123"/>
      <c r="G227" s="123"/>
      <c r="H227" s="123"/>
      <c r="I227" s="123"/>
      <c r="J227" s="123"/>
      <c r="K227" s="123"/>
      <c r="L227" s="123"/>
      <c r="M227" s="123"/>
      <c r="N227" s="123"/>
      <c r="O227" s="123"/>
      <c r="P227" s="123"/>
      <c r="Q227" s="123"/>
      <c r="R227" s="123"/>
      <c r="S227" s="123"/>
      <c r="T227" s="123"/>
      <c r="U227" s="123"/>
      <c r="V227" s="123"/>
      <c r="W227" s="123"/>
      <c r="X227" s="123"/>
      <c r="Y227" s="123"/>
      <c r="Z227" s="123"/>
      <c r="AA227" s="123"/>
      <c r="AB227" s="123"/>
      <c r="AC227" s="123"/>
      <c r="AD227" s="123"/>
      <c r="AE227" s="123"/>
      <c r="AF227" s="123"/>
      <c r="AG227" s="123"/>
    </row>
    <row r="228" spans="1:33">
      <c r="A228" s="123"/>
      <c r="B228" s="123"/>
      <c r="C228" s="123"/>
      <c r="D228" s="123"/>
      <c r="E228" s="123"/>
      <c r="F228" s="123"/>
      <c r="G228" s="123"/>
      <c r="H228" s="123"/>
      <c r="I228" s="123"/>
      <c r="J228" s="123"/>
      <c r="K228" s="123"/>
      <c r="L228" s="123"/>
      <c r="M228" s="123"/>
      <c r="N228" s="123"/>
      <c r="O228" s="123"/>
      <c r="P228" s="123"/>
      <c r="Q228" s="123"/>
      <c r="R228" s="123"/>
      <c r="S228" s="123"/>
      <c r="T228" s="123"/>
      <c r="U228" s="123"/>
      <c r="V228" s="123"/>
      <c r="W228" s="123"/>
      <c r="X228" s="123"/>
      <c r="Y228" s="123"/>
      <c r="Z228" s="123"/>
      <c r="AA228" s="123"/>
      <c r="AB228" s="123"/>
      <c r="AC228" s="123"/>
      <c r="AD228" s="123"/>
      <c r="AE228" s="123"/>
      <c r="AF228" s="123"/>
      <c r="AG228" s="123"/>
    </row>
    <row r="229" spans="1:33">
      <c r="A229" s="123"/>
      <c r="B229" s="123"/>
      <c r="C229" s="123"/>
      <c r="D229" s="123"/>
      <c r="E229" s="123"/>
      <c r="F229" s="123"/>
      <c r="G229" s="123"/>
      <c r="H229" s="123"/>
      <c r="I229" s="123"/>
      <c r="J229" s="123"/>
      <c r="K229" s="123"/>
      <c r="L229" s="123"/>
      <c r="M229" s="123"/>
      <c r="N229" s="123"/>
      <c r="O229" s="123"/>
      <c r="P229" s="123"/>
      <c r="Q229" s="123"/>
      <c r="R229" s="123"/>
      <c r="S229" s="123"/>
      <c r="T229" s="123"/>
      <c r="U229" s="123"/>
      <c r="V229" s="123"/>
      <c r="W229" s="123"/>
      <c r="X229" s="123"/>
      <c r="Y229" s="123"/>
      <c r="Z229" s="123"/>
      <c r="AA229" s="123"/>
      <c r="AB229" s="123"/>
      <c r="AC229" s="123"/>
      <c r="AD229" s="123"/>
      <c r="AE229" s="123"/>
      <c r="AF229" s="123"/>
      <c r="AG229" s="123"/>
    </row>
    <row r="230" spans="1:33">
      <c r="A230" s="123"/>
      <c r="B230" s="123"/>
      <c r="C230" s="123"/>
      <c r="D230" s="123"/>
      <c r="E230" s="123"/>
      <c r="F230" s="123"/>
      <c r="G230" s="123"/>
      <c r="H230" s="123"/>
      <c r="I230" s="123"/>
      <c r="J230" s="123"/>
      <c r="K230" s="123"/>
      <c r="L230" s="123"/>
      <c r="M230" s="123"/>
      <c r="N230" s="123"/>
      <c r="O230" s="123"/>
      <c r="P230" s="123"/>
      <c r="Q230" s="123"/>
      <c r="R230" s="123"/>
      <c r="S230" s="123"/>
      <c r="T230" s="123"/>
      <c r="U230" s="123"/>
      <c r="V230" s="123"/>
      <c r="W230" s="123"/>
      <c r="X230" s="123"/>
      <c r="Y230" s="123"/>
      <c r="Z230" s="123"/>
      <c r="AA230" s="123"/>
      <c r="AB230" s="123"/>
      <c r="AC230" s="123"/>
      <c r="AD230" s="123"/>
      <c r="AE230" s="123"/>
      <c r="AF230" s="123"/>
      <c r="AG230" s="123"/>
    </row>
    <row r="231" spans="1:33">
      <c r="A231" s="123"/>
      <c r="B231" s="123"/>
      <c r="C231" s="123"/>
      <c r="D231" s="123"/>
      <c r="E231" s="123"/>
      <c r="F231" s="123"/>
      <c r="G231" s="123"/>
      <c r="H231" s="123"/>
      <c r="I231" s="123"/>
      <c r="J231" s="123"/>
      <c r="K231" s="123"/>
      <c r="L231" s="123"/>
      <c r="M231" s="123"/>
      <c r="N231" s="123"/>
      <c r="O231" s="123"/>
      <c r="P231" s="123"/>
      <c r="Q231" s="123"/>
      <c r="R231" s="123"/>
      <c r="S231" s="123"/>
      <c r="T231" s="123"/>
      <c r="U231" s="123"/>
      <c r="V231" s="123"/>
      <c r="W231" s="123"/>
      <c r="X231" s="123"/>
      <c r="Y231" s="123"/>
      <c r="Z231" s="123"/>
      <c r="AA231" s="123"/>
      <c r="AB231" s="123"/>
      <c r="AC231" s="123"/>
      <c r="AD231" s="123"/>
      <c r="AE231" s="123"/>
      <c r="AF231" s="123"/>
      <c r="AG231" s="123"/>
    </row>
    <row r="232" spans="1:33">
      <c r="A232" s="123"/>
      <c r="B232" s="123"/>
      <c r="C232" s="123"/>
      <c r="D232" s="123"/>
      <c r="E232" s="123"/>
      <c r="F232" s="123"/>
      <c r="G232" s="123"/>
      <c r="H232" s="123"/>
      <c r="I232" s="123"/>
      <c r="J232" s="123"/>
      <c r="K232" s="123"/>
      <c r="L232" s="123"/>
      <c r="M232" s="123"/>
      <c r="N232" s="123"/>
      <c r="O232" s="123"/>
      <c r="P232" s="123"/>
      <c r="Q232" s="123"/>
      <c r="R232" s="123"/>
      <c r="S232" s="123"/>
      <c r="T232" s="123"/>
      <c r="U232" s="123"/>
      <c r="V232" s="123"/>
      <c r="W232" s="123"/>
      <c r="X232" s="123"/>
      <c r="Y232" s="123"/>
      <c r="Z232" s="123"/>
      <c r="AA232" s="123"/>
      <c r="AB232" s="123"/>
      <c r="AC232" s="123"/>
      <c r="AD232" s="123"/>
      <c r="AE232" s="123"/>
      <c r="AF232" s="123"/>
      <c r="AG232" s="123"/>
    </row>
    <row r="233" spans="1:33">
      <c r="A233" s="123"/>
      <c r="B233" s="123"/>
      <c r="C233" s="123"/>
      <c r="D233" s="123"/>
      <c r="E233" s="123"/>
      <c r="F233" s="123"/>
      <c r="G233" s="123"/>
      <c r="H233" s="123"/>
      <c r="I233" s="123"/>
      <c r="J233" s="123"/>
      <c r="K233" s="123"/>
      <c r="L233" s="123"/>
      <c r="M233" s="123"/>
      <c r="N233" s="123"/>
      <c r="O233" s="123"/>
      <c r="P233" s="123"/>
      <c r="Q233" s="123"/>
      <c r="R233" s="123"/>
      <c r="S233" s="123"/>
      <c r="T233" s="123"/>
      <c r="U233" s="123"/>
      <c r="V233" s="123"/>
      <c r="W233" s="123"/>
      <c r="X233" s="123"/>
      <c r="Y233" s="123"/>
      <c r="Z233" s="123"/>
      <c r="AA233" s="123"/>
      <c r="AB233" s="123"/>
      <c r="AC233" s="123"/>
      <c r="AD233" s="123"/>
      <c r="AE233" s="123"/>
      <c r="AF233" s="123"/>
      <c r="AG233" s="123"/>
    </row>
    <row r="234" spans="1:33">
      <c r="A234" s="123"/>
      <c r="B234" s="123"/>
      <c r="C234" s="123"/>
      <c r="D234" s="123"/>
      <c r="E234" s="123"/>
      <c r="F234" s="123"/>
      <c r="G234" s="123"/>
      <c r="H234" s="123"/>
      <c r="I234" s="123"/>
      <c r="J234" s="123"/>
      <c r="K234" s="123"/>
      <c r="L234" s="123"/>
      <c r="M234" s="123"/>
      <c r="N234" s="123"/>
      <c r="O234" s="123"/>
      <c r="P234" s="123"/>
      <c r="Q234" s="123"/>
      <c r="R234" s="123"/>
      <c r="S234" s="123"/>
      <c r="T234" s="123"/>
      <c r="U234" s="123"/>
      <c r="V234" s="123"/>
      <c r="W234" s="123"/>
      <c r="X234" s="123"/>
      <c r="Y234" s="123"/>
      <c r="Z234" s="123"/>
      <c r="AA234" s="123"/>
      <c r="AB234" s="123"/>
      <c r="AC234" s="123"/>
      <c r="AD234" s="123"/>
      <c r="AE234" s="123"/>
      <c r="AF234" s="123"/>
      <c r="AG234" s="123"/>
    </row>
    <row r="235" spans="1:33">
      <c r="A235" s="123"/>
      <c r="B235" s="123"/>
      <c r="C235" s="123"/>
      <c r="D235" s="123"/>
      <c r="E235" s="123"/>
      <c r="F235" s="123"/>
      <c r="G235" s="123"/>
      <c r="H235" s="123"/>
      <c r="I235" s="123"/>
      <c r="J235" s="123"/>
      <c r="K235" s="123"/>
      <c r="L235" s="123"/>
      <c r="M235" s="123"/>
      <c r="N235" s="123"/>
      <c r="O235" s="123"/>
      <c r="P235" s="123"/>
      <c r="Q235" s="123"/>
      <c r="R235" s="123"/>
      <c r="S235" s="123"/>
      <c r="T235" s="123"/>
      <c r="U235" s="123"/>
      <c r="V235" s="123"/>
      <c r="W235" s="123"/>
      <c r="X235" s="123"/>
      <c r="Y235" s="123"/>
      <c r="Z235" s="123"/>
      <c r="AA235" s="123"/>
      <c r="AB235" s="123"/>
      <c r="AC235" s="123"/>
      <c r="AD235" s="123"/>
      <c r="AE235" s="123"/>
      <c r="AF235" s="123"/>
      <c r="AG235" s="123"/>
    </row>
    <row r="236" spans="1:33">
      <c r="A236" s="123"/>
      <c r="B236" s="123"/>
      <c r="C236" s="123"/>
      <c r="D236" s="123"/>
      <c r="E236" s="123"/>
      <c r="F236" s="123"/>
      <c r="G236" s="123"/>
      <c r="H236" s="123"/>
      <c r="I236" s="123"/>
      <c r="J236" s="123"/>
      <c r="K236" s="123"/>
      <c r="L236" s="123"/>
      <c r="M236" s="123"/>
      <c r="N236" s="123"/>
      <c r="O236" s="123"/>
      <c r="P236" s="123"/>
      <c r="Q236" s="123"/>
      <c r="R236" s="123"/>
      <c r="S236" s="123"/>
      <c r="T236" s="123"/>
      <c r="U236" s="123"/>
      <c r="V236" s="123"/>
      <c r="W236" s="123"/>
      <c r="X236" s="123"/>
      <c r="Y236" s="123"/>
      <c r="Z236" s="123"/>
      <c r="AA236" s="123"/>
      <c r="AB236" s="123"/>
      <c r="AC236" s="123"/>
      <c r="AD236" s="123"/>
      <c r="AE236" s="123"/>
      <c r="AF236" s="123"/>
      <c r="AG236" s="123"/>
    </row>
    <row r="237" spans="1:33">
      <c r="A237" s="123"/>
      <c r="B237" s="123"/>
      <c r="C237" s="123"/>
      <c r="D237" s="123"/>
      <c r="E237" s="123"/>
      <c r="F237" s="123"/>
      <c r="G237" s="123"/>
      <c r="H237" s="123"/>
      <c r="I237" s="123"/>
      <c r="J237" s="123"/>
      <c r="K237" s="123"/>
      <c r="L237" s="123"/>
      <c r="M237" s="123"/>
      <c r="N237" s="123"/>
      <c r="O237" s="123"/>
      <c r="P237" s="123"/>
      <c r="Q237" s="123"/>
      <c r="R237" s="123"/>
      <c r="S237" s="123"/>
      <c r="T237" s="123"/>
      <c r="U237" s="123"/>
      <c r="V237" s="123"/>
      <c r="W237" s="123"/>
      <c r="X237" s="123"/>
      <c r="Y237" s="123"/>
      <c r="Z237" s="123"/>
      <c r="AA237" s="123"/>
      <c r="AB237" s="123"/>
      <c r="AC237" s="123"/>
      <c r="AD237" s="123"/>
      <c r="AE237" s="123"/>
      <c r="AF237" s="123"/>
      <c r="AG237" s="123"/>
    </row>
    <row r="238" spans="1:33">
      <c r="A238" s="123"/>
      <c r="B238" s="123"/>
      <c r="C238" s="123"/>
      <c r="D238" s="123"/>
      <c r="E238" s="123"/>
      <c r="F238" s="123"/>
      <c r="G238" s="123"/>
      <c r="H238" s="123"/>
      <c r="I238" s="123"/>
      <c r="J238" s="123"/>
      <c r="K238" s="123"/>
      <c r="L238" s="123"/>
      <c r="M238" s="123"/>
      <c r="N238" s="123"/>
      <c r="O238" s="123"/>
      <c r="P238" s="123"/>
      <c r="Q238" s="123"/>
      <c r="R238" s="123"/>
      <c r="S238" s="123"/>
      <c r="T238" s="123"/>
      <c r="U238" s="123"/>
      <c r="V238" s="123"/>
      <c r="W238" s="123"/>
      <c r="X238" s="123"/>
      <c r="Y238" s="123"/>
      <c r="Z238" s="123"/>
      <c r="AA238" s="123"/>
      <c r="AB238" s="123"/>
      <c r="AC238" s="123"/>
      <c r="AD238" s="123"/>
      <c r="AE238" s="123"/>
      <c r="AF238" s="123"/>
      <c r="AG238" s="123"/>
    </row>
    <row r="239" spans="1:33">
      <c r="A239" s="123"/>
      <c r="B239" s="123"/>
      <c r="C239" s="123"/>
      <c r="D239" s="123"/>
      <c r="E239" s="123"/>
      <c r="F239" s="123"/>
      <c r="G239" s="123"/>
      <c r="H239" s="123"/>
      <c r="I239" s="123"/>
      <c r="J239" s="123"/>
      <c r="K239" s="123"/>
      <c r="L239" s="123"/>
      <c r="M239" s="123"/>
      <c r="N239" s="123"/>
      <c r="O239" s="123"/>
      <c r="P239" s="123"/>
      <c r="Q239" s="123"/>
      <c r="R239" s="123"/>
      <c r="S239" s="123"/>
      <c r="T239" s="123"/>
      <c r="U239" s="123"/>
      <c r="V239" s="123"/>
      <c r="W239" s="123"/>
      <c r="X239" s="123"/>
      <c r="Y239" s="123"/>
      <c r="Z239" s="123"/>
      <c r="AA239" s="123"/>
      <c r="AB239" s="123"/>
      <c r="AC239" s="123"/>
      <c r="AD239" s="123"/>
      <c r="AE239" s="123"/>
      <c r="AF239" s="123"/>
      <c r="AG239" s="123"/>
    </row>
    <row r="240" spans="1:33">
      <c r="A240" s="123"/>
      <c r="B240" s="123"/>
      <c r="C240" s="123"/>
      <c r="D240" s="123"/>
      <c r="E240" s="123"/>
      <c r="F240" s="123"/>
      <c r="G240" s="123"/>
      <c r="H240" s="123"/>
      <c r="I240" s="123"/>
      <c r="J240" s="123"/>
      <c r="K240" s="123"/>
      <c r="L240" s="123"/>
      <c r="M240" s="123"/>
      <c r="N240" s="123"/>
      <c r="O240" s="123"/>
      <c r="P240" s="123"/>
      <c r="Q240" s="123"/>
      <c r="R240" s="123"/>
      <c r="S240" s="123"/>
      <c r="T240" s="123"/>
      <c r="U240" s="123"/>
      <c r="V240" s="123"/>
      <c r="W240" s="123"/>
      <c r="X240" s="123"/>
      <c r="Y240" s="123"/>
      <c r="Z240" s="123"/>
      <c r="AA240" s="123"/>
      <c r="AB240" s="123"/>
      <c r="AC240" s="123"/>
      <c r="AD240" s="123"/>
      <c r="AE240" s="123"/>
      <c r="AF240" s="123"/>
      <c r="AG240" s="123"/>
    </row>
    <row r="241" spans="1:33">
      <c r="A241" s="123"/>
      <c r="B241" s="123"/>
      <c r="C241" s="123"/>
      <c r="D241" s="123"/>
      <c r="E241" s="123"/>
      <c r="F241" s="123"/>
      <c r="G241" s="123"/>
      <c r="H241" s="123"/>
      <c r="I241" s="123"/>
      <c r="J241" s="123"/>
      <c r="K241" s="123"/>
      <c r="L241" s="123"/>
      <c r="M241" s="123"/>
      <c r="N241" s="123"/>
      <c r="O241" s="123"/>
      <c r="P241" s="123"/>
      <c r="Q241" s="123"/>
      <c r="R241" s="123"/>
      <c r="S241" s="123"/>
      <c r="T241" s="123"/>
      <c r="U241" s="123"/>
      <c r="V241" s="123"/>
      <c r="W241" s="123"/>
      <c r="X241" s="123"/>
      <c r="Y241" s="123"/>
      <c r="Z241" s="123"/>
      <c r="AA241" s="123"/>
      <c r="AB241" s="123"/>
      <c r="AC241" s="123"/>
      <c r="AD241" s="123"/>
      <c r="AE241" s="123"/>
      <c r="AF241" s="123"/>
      <c r="AG241" s="123"/>
    </row>
    <row r="242" spans="1:33">
      <c r="A242" s="123"/>
      <c r="B242" s="123"/>
      <c r="C242" s="123"/>
      <c r="D242" s="123"/>
      <c r="E242" s="123"/>
      <c r="F242" s="123"/>
      <c r="G242" s="123"/>
      <c r="H242" s="123"/>
      <c r="I242" s="123"/>
      <c r="J242" s="123"/>
      <c r="K242" s="123"/>
      <c r="L242" s="123"/>
      <c r="M242" s="123"/>
      <c r="N242" s="123"/>
      <c r="O242" s="123"/>
      <c r="P242" s="123"/>
      <c r="Q242" s="123"/>
      <c r="R242" s="123"/>
      <c r="S242" s="123"/>
      <c r="T242" s="123"/>
      <c r="U242" s="123"/>
      <c r="V242" s="123"/>
      <c r="W242" s="123"/>
      <c r="X242" s="123"/>
      <c r="Y242" s="123"/>
      <c r="Z242" s="123"/>
      <c r="AA242" s="123"/>
      <c r="AB242" s="123"/>
      <c r="AC242" s="123"/>
      <c r="AD242" s="123"/>
      <c r="AE242" s="123"/>
      <c r="AF242" s="123"/>
      <c r="AG242" s="123"/>
    </row>
    <row r="243" spans="1:33">
      <c r="A243" s="123"/>
      <c r="B243" s="123"/>
      <c r="C243" s="123"/>
      <c r="D243" s="123"/>
      <c r="E243" s="123"/>
      <c r="F243" s="123"/>
      <c r="G243" s="123"/>
      <c r="H243" s="123"/>
      <c r="I243" s="123"/>
      <c r="J243" s="123"/>
      <c r="K243" s="123"/>
      <c r="L243" s="123"/>
      <c r="M243" s="123"/>
      <c r="N243" s="123"/>
      <c r="O243" s="123"/>
      <c r="P243" s="123"/>
      <c r="Q243" s="123"/>
      <c r="R243" s="123"/>
      <c r="S243" s="123"/>
      <c r="T243" s="123"/>
      <c r="U243" s="123"/>
      <c r="V243" s="123"/>
      <c r="W243" s="123"/>
      <c r="X243" s="123"/>
      <c r="Y243" s="123"/>
      <c r="Z243" s="123"/>
      <c r="AA243" s="123"/>
      <c r="AB243" s="123"/>
      <c r="AC243" s="123"/>
      <c r="AD243" s="123"/>
      <c r="AE243" s="123"/>
      <c r="AF243" s="123"/>
      <c r="AG243" s="123"/>
    </row>
    <row r="244" spans="1:33">
      <c r="A244" s="123"/>
      <c r="B244" s="123"/>
      <c r="C244" s="123"/>
      <c r="D244" s="123"/>
      <c r="E244" s="123"/>
      <c r="F244" s="123"/>
      <c r="G244" s="123"/>
      <c r="H244" s="123"/>
      <c r="I244" s="123"/>
      <c r="J244" s="123"/>
      <c r="K244" s="123"/>
      <c r="L244" s="123"/>
      <c r="M244" s="123"/>
      <c r="N244" s="123"/>
      <c r="O244" s="123"/>
      <c r="P244" s="123"/>
      <c r="Q244" s="123"/>
      <c r="R244" s="123"/>
      <c r="S244" s="123"/>
      <c r="T244" s="123"/>
      <c r="U244" s="123"/>
      <c r="V244" s="123"/>
      <c r="W244" s="123"/>
      <c r="X244" s="123"/>
      <c r="Y244" s="123"/>
      <c r="Z244" s="123"/>
      <c r="AA244" s="123"/>
      <c r="AB244" s="123"/>
      <c r="AC244" s="123"/>
      <c r="AD244" s="123"/>
      <c r="AE244" s="123"/>
      <c r="AF244" s="123"/>
      <c r="AG244" s="123"/>
    </row>
    <row r="245" spans="1:33">
      <c r="A245" s="123"/>
      <c r="B245" s="123"/>
      <c r="C245" s="123"/>
      <c r="D245" s="123"/>
      <c r="E245" s="123"/>
      <c r="F245" s="123"/>
      <c r="G245" s="123"/>
      <c r="H245" s="123"/>
      <c r="I245" s="123"/>
      <c r="J245" s="123"/>
      <c r="K245" s="123"/>
      <c r="L245" s="123"/>
      <c r="M245" s="123"/>
      <c r="N245" s="123"/>
      <c r="O245" s="123"/>
      <c r="P245" s="123"/>
      <c r="Q245" s="123"/>
      <c r="R245" s="123"/>
      <c r="S245" s="123"/>
      <c r="T245" s="123"/>
      <c r="U245" s="123"/>
      <c r="V245" s="123"/>
      <c r="W245" s="123"/>
      <c r="X245" s="123"/>
      <c r="Y245" s="123"/>
      <c r="Z245" s="123"/>
      <c r="AA245" s="123"/>
      <c r="AB245" s="123"/>
      <c r="AC245" s="123"/>
      <c r="AD245" s="123"/>
      <c r="AE245" s="123"/>
      <c r="AF245" s="123"/>
      <c r="AG245" s="123"/>
    </row>
    <row r="246" spans="1:33">
      <c r="A246" s="123"/>
      <c r="B246" s="123"/>
      <c r="C246" s="123"/>
      <c r="D246" s="123"/>
      <c r="E246" s="123"/>
      <c r="F246" s="123"/>
      <c r="G246" s="123"/>
      <c r="H246" s="123"/>
      <c r="I246" s="123"/>
      <c r="J246" s="123"/>
      <c r="K246" s="123"/>
      <c r="L246" s="123"/>
      <c r="M246" s="123"/>
      <c r="N246" s="123"/>
      <c r="O246" s="123"/>
      <c r="P246" s="123"/>
      <c r="Q246" s="123"/>
      <c r="R246" s="123"/>
      <c r="S246" s="123"/>
      <c r="T246" s="123"/>
      <c r="U246" s="123"/>
      <c r="V246" s="123"/>
      <c r="W246" s="123"/>
      <c r="X246" s="123"/>
      <c r="Y246" s="123"/>
      <c r="Z246" s="123"/>
      <c r="AA246" s="123"/>
      <c r="AB246" s="123"/>
      <c r="AC246" s="123"/>
      <c r="AD246" s="123"/>
      <c r="AE246" s="123"/>
      <c r="AF246" s="123"/>
      <c r="AG246" s="123"/>
    </row>
    <row r="247" spans="1:33">
      <c r="A247" s="123"/>
      <c r="B247" s="123"/>
      <c r="C247" s="123"/>
      <c r="D247" s="123"/>
      <c r="E247" s="123"/>
      <c r="F247" s="123"/>
      <c r="G247" s="123"/>
      <c r="H247" s="123"/>
      <c r="I247" s="123"/>
      <c r="J247" s="123"/>
      <c r="K247" s="123"/>
      <c r="L247" s="123"/>
      <c r="M247" s="123"/>
      <c r="N247" s="123"/>
      <c r="O247" s="123"/>
      <c r="P247" s="123"/>
      <c r="Q247" s="123"/>
      <c r="R247" s="123"/>
      <c r="S247" s="123"/>
      <c r="T247" s="123"/>
      <c r="U247" s="123"/>
      <c r="V247" s="123"/>
      <c r="W247" s="123"/>
      <c r="X247" s="123"/>
      <c r="Y247" s="123"/>
      <c r="Z247" s="123"/>
      <c r="AA247" s="123"/>
      <c r="AB247" s="123"/>
      <c r="AC247" s="123"/>
      <c r="AD247" s="123"/>
      <c r="AE247" s="123"/>
      <c r="AF247" s="123"/>
      <c r="AG247" s="123"/>
    </row>
    <row r="248" spans="1:33">
      <c r="A248" s="123"/>
      <c r="B248" s="123"/>
      <c r="C248" s="123"/>
      <c r="D248" s="123"/>
      <c r="E248" s="123"/>
      <c r="F248" s="123"/>
      <c r="G248" s="123"/>
      <c r="H248" s="123"/>
      <c r="I248" s="123"/>
      <c r="J248" s="123"/>
      <c r="K248" s="123"/>
      <c r="L248" s="123"/>
      <c r="M248" s="123"/>
      <c r="N248" s="123"/>
      <c r="O248" s="123"/>
      <c r="P248" s="123"/>
      <c r="Q248" s="123"/>
      <c r="R248" s="123"/>
      <c r="S248" s="123"/>
      <c r="T248" s="123"/>
      <c r="U248" s="123"/>
      <c r="V248" s="123"/>
      <c r="W248" s="123"/>
      <c r="X248" s="123"/>
      <c r="Y248" s="123"/>
      <c r="Z248" s="123"/>
      <c r="AA248" s="123"/>
      <c r="AB248" s="123"/>
      <c r="AC248" s="123"/>
      <c r="AD248" s="123"/>
      <c r="AE248" s="123"/>
      <c r="AF248" s="123"/>
      <c r="AG248" s="123"/>
    </row>
    <row r="249" spans="1:33">
      <c r="A249" s="123"/>
      <c r="B249" s="123"/>
      <c r="C249" s="123"/>
      <c r="D249" s="123"/>
      <c r="E249" s="123"/>
      <c r="F249" s="123"/>
      <c r="G249" s="123"/>
      <c r="H249" s="123"/>
      <c r="I249" s="123"/>
      <c r="J249" s="123"/>
      <c r="K249" s="123"/>
      <c r="L249" s="123"/>
      <c r="M249" s="123"/>
      <c r="N249" s="123"/>
      <c r="O249" s="123"/>
      <c r="P249" s="123"/>
      <c r="Q249" s="123"/>
      <c r="R249" s="123"/>
      <c r="S249" s="123"/>
      <c r="T249" s="123"/>
      <c r="U249" s="123"/>
      <c r="V249" s="123"/>
      <c r="W249" s="123"/>
      <c r="X249" s="123"/>
      <c r="Y249" s="123"/>
      <c r="Z249" s="123"/>
      <c r="AA249" s="123"/>
      <c r="AB249" s="123"/>
      <c r="AC249" s="123"/>
      <c r="AD249" s="123"/>
      <c r="AE249" s="123"/>
      <c r="AF249" s="123"/>
      <c r="AG249" s="123"/>
    </row>
    <row r="250" spans="1:33">
      <c r="A250" s="123"/>
      <c r="B250" s="123"/>
      <c r="C250" s="123"/>
      <c r="D250" s="123"/>
      <c r="E250" s="123"/>
      <c r="F250" s="123"/>
      <c r="G250" s="123"/>
      <c r="H250" s="123"/>
      <c r="I250" s="123"/>
      <c r="J250" s="123"/>
      <c r="K250" s="123"/>
      <c r="L250" s="123"/>
      <c r="M250" s="123"/>
      <c r="N250" s="123"/>
      <c r="O250" s="123"/>
      <c r="P250" s="123"/>
      <c r="Q250" s="123"/>
      <c r="R250" s="123"/>
      <c r="S250" s="123"/>
      <c r="T250" s="123"/>
      <c r="U250" s="123"/>
      <c r="V250" s="123"/>
      <c r="W250" s="123"/>
      <c r="X250" s="123"/>
      <c r="Y250" s="123"/>
      <c r="Z250" s="123"/>
      <c r="AA250" s="123"/>
      <c r="AB250" s="123"/>
      <c r="AC250" s="123"/>
      <c r="AD250" s="123"/>
      <c r="AE250" s="123"/>
      <c r="AF250" s="123"/>
      <c r="AG250" s="123"/>
    </row>
    <row r="251" spans="1:33">
      <c r="A251" s="123"/>
      <c r="B251" s="123"/>
      <c r="C251" s="123"/>
      <c r="D251" s="123"/>
      <c r="E251" s="123"/>
      <c r="F251" s="123"/>
      <c r="G251" s="123"/>
      <c r="H251" s="123"/>
      <c r="I251" s="123"/>
      <c r="J251" s="123"/>
      <c r="K251" s="123"/>
      <c r="L251" s="123"/>
      <c r="M251" s="123"/>
      <c r="N251" s="123"/>
      <c r="O251" s="123"/>
      <c r="P251" s="123"/>
      <c r="Q251" s="123"/>
      <c r="R251" s="123"/>
      <c r="S251" s="123"/>
      <c r="T251" s="123"/>
      <c r="U251" s="123"/>
      <c r="V251" s="123"/>
      <c r="W251" s="123"/>
      <c r="X251" s="123"/>
      <c r="Y251" s="123"/>
      <c r="Z251" s="123"/>
      <c r="AA251" s="123"/>
      <c r="AB251" s="123"/>
      <c r="AC251" s="123"/>
      <c r="AD251" s="123"/>
      <c r="AE251" s="123"/>
      <c r="AF251" s="123"/>
      <c r="AG251" s="123"/>
    </row>
    <row r="252" spans="1:33">
      <c r="A252" s="123"/>
      <c r="B252" s="123"/>
      <c r="C252" s="123"/>
      <c r="D252" s="123"/>
      <c r="E252" s="123"/>
      <c r="F252" s="123"/>
      <c r="G252" s="123"/>
      <c r="H252" s="123"/>
      <c r="I252" s="123"/>
      <c r="J252" s="123"/>
      <c r="K252" s="123"/>
      <c r="L252" s="123"/>
      <c r="M252" s="123"/>
      <c r="N252" s="123"/>
      <c r="O252" s="123"/>
      <c r="P252" s="123"/>
      <c r="Q252" s="123"/>
      <c r="R252" s="123"/>
      <c r="S252" s="123"/>
      <c r="T252" s="123"/>
      <c r="U252" s="123"/>
      <c r="V252" s="123"/>
      <c r="W252" s="123"/>
      <c r="X252" s="123"/>
      <c r="Y252" s="123"/>
      <c r="Z252" s="123"/>
      <c r="AA252" s="123"/>
      <c r="AB252" s="123"/>
      <c r="AC252" s="123"/>
      <c r="AD252" s="123"/>
      <c r="AE252" s="123"/>
      <c r="AF252" s="123"/>
      <c r="AG252" s="123"/>
    </row>
    <row r="253" spans="1:33">
      <c r="A253" s="123"/>
      <c r="B253" s="123"/>
      <c r="C253" s="123"/>
      <c r="D253" s="123"/>
      <c r="E253" s="123"/>
      <c r="F253" s="123"/>
      <c r="G253" s="123"/>
      <c r="H253" s="123"/>
      <c r="I253" s="123"/>
      <c r="J253" s="123"/>
      <c r="K253" s="123"/>
      <c r="L253" s="123"/>
      <c r="M253" s="123"/>
      <c r="N253" s="123"/>
      <c r="O253" s="123"/>
      <c r="P253" s="123"/>
      <c r="Q253" s="123"/>
      <c r="R253" s="123"/>
      <c r="S253" s="123"/>
      <c r="T253" s="123"/>
      <c r="U253" s="123"/>
      <c r="V253" s="123"/>
      <c r="W253" s="123"/>
      <c r="X253" s="123"/>
      <c r="Y253" s="123"/>
      <c r="Z253" s="123"/>
      <c r="AA253" s="123"/>
      <c r="AB253" s="123"/>
      <c r="AC253" s="123"/>
      <c r="AD253" s="123"/>
      <c r="AE253" s="123"/>
      <c r="AF253" s="123"/>
      <c r="AG253" s="123"/>
    </row>
    <row r="254" spans="1:33">
      <c r="A254" s="123"/>
      <c r="B254" s="123"/>
      <c r="C254" s="123"/>
      <c r="D254" s="123"/>
      <c r="E254" s="123"/>
      <c r="F254" s="123"/>
      <c r="G254" s="123"/>
      <c r="H254" s="123"/>
      <c r="I254" s="123"/>
      <c r="J254" s="123"/>
      <c r="K254" s="123"/>
      <c r="L254" s="123"/>
      <c r="M254" s="123"/>
      <c r="N254" s="123"/>
      <c r="O254" s="123"/>
      <c r="P254" s="123"/>
      <c r="Q254" s="123"/>
      <c r="R254" s="123"/>
      <c r="S254" s="123"/>
      <c r="T254" s="123"/>
      <c r="U254" s="123"/>
      <c r="V254" s="123"/>
      <c r="W254" s="123"/>
      <c r="X254" s="123"/>
      <c r="Y254" s="123"/>
      <c r="Z254" s="123"/>
      <c r="AA254" s="123"/>
      <c r="AB254" s="123"/>
      <c r="AC254" s="123"/>
      <c r="AD254" s="123"/>
      <c r="AE254" s="123"/>
      <c r="AF254" s="123"/>
      <c r="AG254" s="123"/>
    </row>
    <row r="255" spans="1:33">
      <c r="A255" s="123"/>
      <c r="B255" s="123"/>
      <c r="C255" s="123"/>
      <c r="D255" s="123"/>
      <c r="E255" s="123"/>
      <c r="F255" s="123"/>
      <c r="G255" s="123"/>
      <c r="H255" s="123"/>
      <c r="I255" s="123"/>
      <c r="J255" s="123"/>
      <c r="K255" s="123"/>
      <c r="L255" s="123"/>
      <c r="M255" s="123"/>
      <c r="N255" s="123"/>
      <c r="O255" s="123"/>
      <c r="P255" s="123"/>
      <c r="Q255" s="123"/>
      <c r="R255" s="123"/>
      <c r="S255" s="123"/>
      <c r="T255" s="123"/>
      <c r="U255" s="123"/>
      <c r="V255" s="123"/>
      <c r="W255" s="123"/>
      <c r="X255" s="123"/>
      <c r="Y255" s="123"/>
      <c r="Z255" s="123"/>
      <c r="AA255" s="123"/>
      <c r="AB255" s="123"/>
      <c r="AC255" s="123"/>
      <c r="AD255" s="123"/>
      <c r="AE255" s="123"/>
      <c r="AF255" s="123"/>
      <c r="AG255" s="123"/>
    </row>
    <row r="256" spans="1:33">
      <c r="A256" s="123"/>
      <c r="B256" s="123"/>
      <c r="C256" s="123"/>
      <c r="D256" s="123"/>
      <c r="E256" s="123"/>
      <c r="F256" s="123"/>
      <c r="G256" s="123"/>
      <c r="H256" s="123"/>
      <c r="I256" s="123"/>
      <c r="J256" s="123"/>
      <c r="K256" s="123"/>
      <c r="L256" s="123"/>
      <c r="M256" s="123"/>
      <c r="N256" s="123"/>
      <c r="O256" s="123"/>
      <c r="P256" s="123"/>
      <c r="Q256" s="123"/>
      <c r="R256" s="123"/>
      <c r="S256" s="123"/>
      <c r="T256" s="123"/>
      <c r="U256" s="123"/>
      <c r="V256" s="123"/>
      <c r="W256" s="123"/>
      <c r="X256" s="123"/>
      <c r="Y256" s="123"/>
      <c r="Z256" s="123"/>
      <c r="AA256" s="123"/>
      <c r="AB256" s="123"/>
      <c r="AC256" s="123"/>
      <c r="AD256" s="123"/>
      <c r="AE256" s="123"/>
      <c r="AF256" s="123"/>
      <c r="AG256" s="123"/>
    </row>
    <row r="257" spans="1:33">
      <c r="A257" s="123"/>
      <c r="B257" s="123"/>
      <c r="C257" s="123"/>
      <c r="D257" s="123"/>
      <c r="E257" s="123"/>
      <c r="F257" s="123"/>
      <c r="G257" s="123"/>
      <c r="H257" s="123"/>
      <c r="I257" s="123"/>
      <c r="J257" s="123"/>
      <c r="K257" s="123"/>
      <c r="L257" s="123"/>
      <c r="M257" s="123"/>
      <c r="N257" s="123"/>
      <c r="O257" s="123"/>
      <c r="P257" s="123"/>
      <c r="Q257" s="123"/>
      <c r="R257" s="123"/>
      <c r="S257" s="123"/>
      <c r="T257" s="123"/>
      <c r="U257" s="123"/>
      <c r="V257" s="123"/>
      <c r="W257" s="123"/>
      <c r="X257" s="123"/>
      <c r="Y257" s="123"/>
      <c r="Z257" s="123"/>
      <c r="AA257" s="123"/>
      <c r="AB257" s="123"/>
      <c r="AC257" s="123"/>
      <c r="AD257" s="123"/>
      <c r="AE257" s="123"/>
      <c r="AF257" s="123"/>
      <c r="AG257" s="123"/>
    </row>
    <row r="258" spans="1:33">
      <c r="A258" s="123"/>
      <c r="B258" s="123"/>
      <c r="C258" s="123"/>
      <c r="D258" s="123"/>
      <c r="E258" s="123"/>
      <c r="F258" s="123"/>
      <c r="G258" s="123"/>
      <c r="H258" s="123"/>
      <c r="I258" s="123"/>
      <c r="J258" s="123"/>
      <c r="K258" s="123"/>
      <c r="L258" s="123"/>
      <c r="M258" s="123"/>
      <c r="N258" s="123"/>
      <c r="O258" s="123"/>
      <c r="P258" s="123"/>
      <c r="Q258" s="123"/>
      <c r="R258" s="123"/>
      <c r="S258" s="123"/>
      <c r="T258" s="123"/>
      <c r="U258" s="123"/>
      <c r="V258" s="123"/>
      <c r="W258" s="123"/>
      <c r="X258" s="123"/>
      <c r="Y258" s="123"/>
      <c r="Z258" s="123"/>
      <c r="AA258" s="123"/>
      <c r="AB258" s="123"/>
      <c r="AC258" s="123"/>
      <c r="AD258" s="123"/>
      <c r="AE258" s="123"/>
      <c r="AF258" s="123"/>
      <c r="AG258" s="123"/>
    </row>
    <row r="259" spans="1:33">
      <c r="A259" s="123"/>
      <c r="B259" s="123"/>
      <c r="C259" s="123"/>
      <c r="D259" s="123"/>
      <c r="E259" s="123"/>
      <c r="F259" s="123"/>
      <c r="G259" s="123"/>
      <c r="H259" s="123"/>
      <c r="I259" s="123"/>
      <c r="J259" s="123"/>
      <c r="K259" s="123"/>
      <c r="L259" s="123"/>
      <c r="M259" s="123"/>
      <c r="N259" s="123"/>
      <c r="O259" s="123"/>
      <c r="P259" s="123"/>
      <c r="Q259" s="123"/>
      <c r="R259" s="123"/>
      <c r="S259" s="123"/>
      <c r="T259" s="123"/>
      <c r="U259" s="123"/>
      <c r="V259" s="123"/>
      <c r="W259" s="123"/>
      <c r="X259" s="123"/>
      <c r="Y259" s="123"/>
      <c r="Z259" s="123"/>
      <c r="AA259" s="123"/>
      <c r="AB259" s="123"/>
      <c r="AC259" s="123"/>
      <c r="AD259" s="123"/>
      <c r="AE259" s="123"/>
      <c r="AF259" s="123"/>
      <c r="AG259" s="123"/>
    </row>
    <row r="260" spans="1:33">
      <c r="A260" s="123"/>
      <c r="B260" s="123"/>
      <c r="C260" s="123"/>
      <c r="D260" s="123"/>
      <c r="E260" s="123"/>
      <c r="F260" s="123"/>
      <c r="G260" s="123"/>
      <c r="H260" s="123"/>
      <c r="I260" s="123"/>
      <c r="J260" s="123"/>
      <c r="K260" s="123"/>
      <c r="L260" s="123"/>
      <c r="M260" s="123"/>
      <c r="N260" s="123"/>
      <c r="O260" s="123"/>
      <c r="P260" s="123"/>
      <c r="Q260" s="123"/>
      <c r="R260" s="123"/>
      <c r="S260" s="123"/>
      <c r="T260" s="123"/>
      <c r="U260" s="123"/>
      <c r="V260" s="123"/>
      <c r="W260" s="123"/>
      <c r="X260" s="123"/>
      <c r="Y260" s="123"/>
      <c r="Z260" s="123"/>
      <c r="AA260" s="123"/>
      <c r="AB260" s="123"/>
      <c r="AC260" s="123"/>
      <c r="AD260" s="123"/>
      <c r="AE260" s="123"/>
      <c r="AF260" s="123"/>
      <c r="AG260" s="123"/>
    </row>
    <row r="261" spans="1:33">
      <c r="A261" s="123"/>
      <c r="B261" s="123"/>
      <c r="C261" s="123"/>
      <c r="D261" s="123"/>
      <c r="E261" s="123"/>
      <c r="F261" s="123"/>
      <c r="G261" s="123"/>
      <c r="H261" s="123"/>
      <c r="I261" s="123"/>
      <c r="J261" s="123"/>
      <c r="K261" s="123"/>
      <c r="L261" s="123"/>
      <c r="M261" s="123"/>
      <c r="N261" s="123"/>
      <c r="O261" s="123"/>
      <c r="P261" s="123"/>
      <c r="Q261" s="123"/>
      <c r="R261" s="123"/>
      <c r="S261" s="123"/>
      <c r="T261" s="123"/>
      <c r="U261" s="123"/>
      <c r="V261" s="123"/>
      <c r="W261" s="123"/>
      <c r="X261" s="123"/>
      <c r="Y261" s="123"/>
      <c r="Z261" s="123"/>
      <c r="AA261" s="123"/>
      <c r="AB261" s="123"/>
      <c r="AC261" s="123"/>
      <c r="AD261" s="123"/>
      <c r="AE261" s="123"/>
      <c r="AF261" s="123"/>
      <c r="AG261" s="123"/>
    </row>
    <row r="262" spans="1:33">
      <c r="A262" s="123"/>
      <c r="B262" s="123"/>
      <c r="C262" s="123"/>
      <c r="D262" s="123"/>
      <c r="E262" s="123"/>
      <c r="F262" s="123"/>
      <c r="G262" s="123"/>
      <c r="H262" s="123"/>
      <c r="I262" s="123"/>
      <c r="J262" s="123"/>
      <c r="K262" s="123"/>
      <c r="L262" s="123"/>
      <c r="M262" s="123"/>
      <c r="N262" s="123"/>
      <c r="O262" s="123"/>
      <c r="P262" s="123"/>
      <c r="Q262" s="123"/>
      <c r="R262" s="123"/>
      <c r="S262" s="123"/>
      <c r="T262" s="123"/>
      <c r="U262" s="123"/>
      <c r="V262" s="123"/>
      <c r="W262" s="123"/>
      <c r="X262" s="123"/>
      <c r="Y262" s="123"/>
      <c r="Z262" s="123"/>
      <c r="AA262" s="123"/>
      <c r="AB262" s="123"/>
      <c r="AC262" s="123"/>
      <c r="AD262" s="123"/>
      <c r="AE262" s="123"/>
      <c r="AF262" s="123"/>
      <c r="AG262" s="123"/>
    </row>
    <row r="263" spans="1:33">
      <c r="A263" s="123"/>
      <c r="B263" s="123"/>
      <c r="C263" s="123"/>
      <c r="D263" s="123"/>
      <c r="E263" s="123"/>
      <c r="F263" s="123"/>
      <c r="G263" s="123"/>
      <c r="H263" s="123"/>
      <c r="I263" s="123"/>
      <c r="J263" s="123"/>
      <c r="K263" s="123"/>
      <c r="L263" s="123"/>
      <c r="M263" s="123"/>
      <c r="N263" s="123"/>
      <c r="O263" s="123"/>
      <c r="P263" s="123"/>
      <c r="Q263" s="123"/>
      <c r="R263" s="123"/>
      <c r="S263" s="123"/>
      <c r="T263" s="123"/>
      <c r="U263" s="123"/>
      <c r="V263" s="123"/>
      <c r="W263" s="123"/>
      <c r="X263" s="123"/>
      <c r="Y263" s="123"/>
      <c r="Z263" s="123"/>
      <c r="AA263" s="123"/>
      <c r="AB263" s="123"/>
      <c r="AC263" s="123"/>
      <c r="AD263" s="123"/>
      <c r="AE263" s="123"/>
      <c r="AF263" s="123"/>
      <c r="AG263" s="123"/>
    </row>
    <row r="264" spans="1:33">
      <c r="A264" s="123"/>
      <c r="B264" s="123"/>
      <c r="C264" s="123"/>
      <c r="D264" s="123"/>
      <c r="E264" s="123"/>
      <c r="F264" s="123"/>
      <c r="G264" s="123"/>
      <c r="H264" s="123"/>
      <c r="I264" s="123"/>
      <c r="J264" s="123"/>
      <c r="K264" s="123"/>
      <c r="L264" s="123"/>
      <c r="M264" s="123"/>
      <c r="N264" s="123"/>
      <c r="O264" s="123"/>
      <c r="P264" s="123"/>
      <c r="Q264" s="123"/>
      <c r="R264" s="123"/>
      <c r="S264" s="123"/>
      <c r="T264" s="123"/>
      <c r="U264" s="123"/>
      <c r="V264" s="123"/>
      <c r="W264" s="123"/>
      <c r="X264" s="123"/>
      <c r="Y264" s="123"/>
      <c r="Z264" s="123"/>
      <c r="AA264" s="123"/>
      <c r="AB264" s="123"/>
      <c r="AC264" s="123"/>
      <c r="AD264" s="123"/>
      <c r="AE264" s="123"/>
      <c r="AF264" s="123"/>
      <c r="AG264" s="123"/>
    </row>
    <row r="265" spans="1:33">
      <c r="A265" s="123"/>
      <c r="B265" s="123"/>
      <c r="C265" s="123"/>
      <c r="D265" s="123"/>
      <c r="E265" s="123"/>
      <c r="F265" s="123"/>
      <c r="G265" s="123"/>
      <c r="H265" s="123"/>
      <c r="I265" s="123"/>
      <c r="J265" s="123"/>
      <c r="K265" s="123"/>
      <c r="L265" s="123"/>
      <c r="M265" s="123"/>
      <c r="N265" s="123"/>
      <c r="O265" s="123"/>
      <c r="P265" s="123"/>
      <c r="Q265" s="123"/>
      <c r="R265" s="123"/>
      <c r="S265" s="123"/>
      <c r="T265" s="123"/>
      <c r="U265" s="123"/>
      <c r="V265" s="123"/>
      <c r="W265" s="123"/>
      <c r="X265" s="123"/>
      <c r="Y265" s="123"/>
      <c r="Z265" s="123"/>
      <c r="AA265" s="123"/>
      <c r="AB265" s="123"/>
      <c r="AC265" s="123"/>
      <c r="AD265" s="123"/>
      <c r="AE265" s="123"/>
      <c r="AF265" s="123"/>
      <c r="AG265" s="123"/>
    </row>
    <row r="266" spans="1:33">
      <c r="A266" s="123"/>
      <c r="B266" s="123"/>
      <c r="C266" s="123"/>
      <c r="D266" s="123"/>
      <c r="E266" s="123"/>
      <c r="F266" s="123"/>
      <c r="G266" s="123"/>
      <c r="H266" s="123"/>
      <c r="I266" s="123"/>
      <c r="J266" s="123"/>
      <c r="K266" s="123"/>
      <c r="L266" s="123"/>
      <c r="M266" s="123"/>
      <c r="N266" s="123"/>
      <c r="O266" s="123"/>
      <c r="P266" s="123"/>
      <c r="Q266" s="123"/>
      <c r="R266" s="123"/>
      <c r="S266" s="123"/>
      <c r="T266" s="123"/>
      <c r="U266" s="123"/>
      <c r="V266" s="123"/>
      <c r="W266" s="123"/>
      <c r="X266" s="123"/>
      <c r="Y266" s="123"/>
      <c r="Z266" s="123"/>
      <c r="AA266" s="123"/>
      <c r="AB266" s="123"/>
      <c r="AC266" s="123"/>
      <c r="AD266" s="123"/>
      <c r="AE266" s="123"/>
      <c r="AF266" s="123"/>
      <c r="AG266" s="123"/>
    </row>
    <row r="267" spans="1:33">
      <c r="A267" s="123"/>
      <c r="B267" s="123"/>
      <c r="C267" s="123"/>
      <c r="D267" s="123"/>
      <c r="E267" s="123"/>
      <c r="F267" s="123"/>
      <c r="G267" s="123"/>
      <c r="H267" s="123"/>
      <c r="I267" s="123"/>
      <c r="J267" s="123"/>
      <c r="K267" s="123"/>
      <c r="L267" s="123"/>
      <c r="M267" s="123"/>
      <c r="N267" s="123"/>
      <c r="O267" s="123"/>
      <c r="P267" s="123"/>
      <c r="Q267" s="123"/>
      <c r="R267" s="123"/>
      <c r="S267" s="123"/>
      <c r="T267" s="123"/>
      <c r="U267" s="123"/>
      <c r="V267" s="123"/>
      <c r="W267" s="123"/>
      <c r="X267" s="123"/>
      <c r="Y267" s="123"/>
      <c r="Z267" s="123"/>
      <c r="AA267" s="123"/>
      <c r="AB267" s="123"/>
      <c r="AC267" s="123"/>
      <c r="AD267" s="123"/>
      <c r="AE267" s="123"/>
      <c r="AF267" s="123"/>
      <c r="AG267" s="123"/>
    </row>
    <row r="268" spans="1:33">
      <c r="A268" s="123"/>
      <c r="B268" s="123"/>
      <c r="C268" s="123"/>
      <c r="D268" s="123"/>
      <c r="E268" s="123"/>
      <c r="F268" s="123"/>
      <c r="G268" s="123"/>
      <c r="H268" s="123"/>
      <c r="I268" s="123"/>
      <c r="J268" s="123"/>
      <c r="K268" s="123"/>
      <c r="L268" s="123"/>
      <c r="M268" s="123"/>
      <c r="N268" s="123"/>
      <c r="O268" s="123"/>
      <c r="P268" s="123"/>
      <c r="Q268" s="123"/>
      <c r="R268" s="123"/>
      <c r="S268" s="123"/>
      <c r="T268" s="123"/>
      <c r="U268" s="123"/>
      <c r="V268" s="123"/>
      <c r="W268" s="123"/>
      <c r="X268" s="123"/>
      <c r="Y268" s="123"/>
      <c r="Z268" s="123"/>
      <c r="AA268" s="123"/>
      <c r="AB268" s="123"/>
      <c r="AC268" s="123"/>
      <c r="AD268" s="123"/>
      <c r="AE268" s="123"/>
      <c r="AF268" s="123"/>
      <c r="AG268" s="123"/>
    </row>
    <row r="269" spans="1:33">
      <c r="A269" s="123"/>
      <c r="B269" s="123"/>
      <c r="C269" s="123"/>
      <c r="D269" s="123"/>
      <c r="E269" s="123"/>
      <c r="F269" s="123"/>
      <c r="G269" s="123"/>
      <c r="H269" s="123"/>
      <c r="I269" s="123"/>
      <c r="J269" s="123"/>
      <c r="K269" s="123"/>
      <c r="L269" s="123"/>
      <c r="M269" s="123"/>
      <c r="N269" s="123"/>
      <c r="O269" s="123"/>
      <c r="P269" s="123"/>
      <c r="Q269" s="123"/>
      <c r="R269" s="123"/>
      <c r="S269" s="123"/>
      <c r="T269" s="123"/>
      <c r="U269" s="123"/>
      <c r="V269" s="123"/>
      <c r="W269" s="123"/>
      <c r="X269" s="123"/>
      <c r="Y269" s="123"/>
      <c r="Z269" s="123"/>
      <c r="AA269" s="123"/>
      <c r="AB269" s="123"/>
      <c r="AC269" s="123"/>
      <c r="AD269" s="123"/>
      <c r="AE269" s="123"/>
      <c r="AF269" s="123"/>
      <c r="AG269" s="123"/>
    </row>
    <row r="270" spans="1:33">
      <c r="A270" s="123"/>
      <c r="B270" s="123"/>
      <c r="C270" s="123"/>
      <c r="D270" s="123"/>
      <c r="E270" s="123"/>
      <c r="F270" s="123"/>
      <c r="G270" s="123"/>
      <c r="H270" s="123"/>
      <c r="I270" s="123"/>
      <c r="J270" s="123"/>
      <c r="K270" s="123"/>
      <c r="L270" s="123"/>
      <c r="M270" s="123"/>
      <c r="N270" s="123"/>
      <c r="O270" s="123"/>
      <c r="P270" s="123"/>
      <c r="Q270" s="123"/>
      <c r="R270" s="123"/>
      <c r="S270" s="123"/>
      <c r="T270" s="123"/>
      <c r="U270" s="123"/>
      <c r="V270" s="123"/>
      <c r="W270" s="123"/>
      <c r="X270" s="123"/>
      <c r="Y270" s="123"/>
      <c r="Z270" s="123"/>
      <c r="AA270" s="123"/>
      <c r="AB270" s="123"/>
      <c r="AC270" s="123"/>
      <c r="AD270" s="123"/>
      <c r="AE270" s="123"/>
      <c r="AF270" s="123"/>
      <c r="AG270" s="123"/>
    </row>
    <row r="271" spans="1:33">
      <c r="A271" s="123"/>
      <c r="B271" s="123"/>
      <c r="C271" s="123"/>
      <c r="D271" s="123"/>
      <c r="E271" s="123"/>
      <c r="F271" s="123"/>
      <c r="G271" s="123"/>
      <c r="H271" s="123"/>
      <c r="I271" s="123"/>
      <c r="J271" s="123"/>
      <c r="K271" s="123"/>
      <c r="L271" s="123"/>
      <c r="M271" s="123"/>
      <c r="N271" s="123"/>
      <c r="O271" s="123"/>
      <c r="P271" s="123"/>
      <c r="Q271" s="123"/>
      <c r="R271" s="123"/>
      <c r="S271" s="123"/>
      <c r="T271" s="123"/>
      <c r="U271" s="123"/>
      <c r="V271" s="123"/>
      <c r="W271" s="123"/>
      <c r="X271" s="123"/>
      <c r="Y271" s="123"/>
      <c r="Z271" s="123"/>
      <c r="AA271" s="123"/>
      <c r="AB271" s="123"/>
      <c r="AC271" s="123"/>
      <c r="AD271" s="123"/>
      <c r="AE271" s="123"/>
      <c r="AF271" s="123"/>
      <c r="AG271" s="123"/>
    </row>
    <row r="272" spans="1:33">
      <c r="A272" s="123"/>
      <c r="B272" s="123"/>
      <c r="C272" s="123"/>
      <c r="D272" s="123"/>
      <c r="E272" s="123"/>
      <c r="F272" s="123"/>
      <c r="G272" s="123"/>
      <c r="H272" s="123"/>
      <c r="I272" s="123"/>
      <c r="J272" s="123"/>
      <c r="K272" s="123"/>
      <c r="L272" s="123"/>
      <c r="M272" s="123"/>
      <c r="N272" s="123"/>
      <c r="O272" s="123"/>
      <c r="P272" s="123"/>
      <c r="Q272" s="123"/>
      <c r="R272" s="123"/>
      <c r="S272" s="123"/>
      <c r="T272" s="123"/>
      <c r="U272" s="123"/>
      <c r="V272" s="123"/>
      <c r="W272" s="123"/>
      <c r="X272" s="123"/>
      <c r="Y272" s="123"/>
      <c r="Z272" s="123"/>
      <c r="AA272" s="123"/>
      <c r="AB272" s="123"/>
      <c r="AC272" s="123"/>
      <c r="AD272" s="123"/>
      <c r="AE272" s="123"/>
      <c r="AF272" s="123"/>
      <c r="AG272" s="123"/>
    </row>
    <row r="273" spans="1:33">
      <c r="A273" s="123"/>
      <c r="B273" s="123"/>
      <c r="C273" s="123"/>
      <c r="D273" s="123"/>
      <c r="E273" s="123"/>
      <c r="F273" s="123"/>
      <c r="G273" s="123"/>
      <c r="H273" s="123"/>
      <c r="I273" s="123"/>
      <c r="J273" s="123"/>
      <c r="K273" s="123"/>
      <c r="L273" s="123"/>
      <c r="M273" s="123"/>
      <c r="N273" s="123"/>
      <c r="O273" s="123"/>
      <c r="P273" s="123"/>
      <c r="Q273" s="123"/>
      <c r="R273" s="123"/>
      <c r="S273" s="123"/>
      <c r="T273" s="123"/>
      <c r="U273" s="123"/>
      <c r="V273" s="123"/>
      <c r="W273" s="123"/>
      <c r="X273" s="123"/>
      <c r="Y273" s="123"/>
      <c r="Z273" s="123"/>
      <c r="AA273" s="123"/>
      <c r="AB273" s="123"/>
      <c r="AC273" s="123"/>
      <c r="AD273" s="123"/>
      <c r="AE273" s="123"/>
      <c r="AF273" s="123"/>
      <c r="AG273" s="123"/>
    </row>
    <row r="274" spans="1:33">
      <c r="A274" s="123"/>
      <c r="B274" s="123"/>
      <c r="C274" s="123"/>
      <c r="D274" s="123"/>
      <c r="E274" s="123"/>
      <c r="F274" s="123"/>
      <c r="G274" s="123"/>
      <c r="H274" s="123"/>
      <c r="I274" s="123"/>
      <c r="J274" s="123"/>
      <c r="K274" s="123"/>
      <c r="L274" s="123"/>
      <c r="M274" s="123"/>
      <c r="N274" s="123"/>
      <c r="O274" s="123"/>
      <c r="P274" s="123"/>
      <c r="Q274" s="123"/>
      <c r="R274" s="123"/>
      <c r="S274" s="123"/>
      <c r="T274" s="123"/>
      <c r="U274" s="123"/>
      <c r="V274" s="123"/>
      <c r="W274" s="123"/>
      <c r="X274" s="123"/>
      <c r="Y274" s="123"/>
      <c r="Z274" s="123"/>
      <c r="AA274" s="123"/>
      <c r="AB274" s="123"/>
      <c r="AC274" s="123"/>
      <c r="AD274" s="123"/>
      <c r="AE274" s="123"/>
      <c r="AF274" s="123"/>
      <c r="AG274" s="123"/>
    </row>
    <row r="275" spans="1:33">
      <c r="A275" s="123"/>
      <c r="B275" s="123"/>
      <c r="C275" s="123"/>
      <c r="D275" s="123"/>
      <c r="E275" s="123"/>
      <c r="F275" s="123"/>
      <c r="G275" s="123"/>
      <c r="H275" s="123"/>
      <c r="I275" s="123"/>
      <c r="J275" s="123"/>
      <c r="K275" s="123"/>
      <c r="L275" s="123"/>
      <c r="M275" s="123"/>
      <c r="N275" s="123"/>
      <c r="O275" s="123"/>
      <c r="P275" s="123"/>
      <c r="Q275" s="123"/>
      <c r="R275" s="123"/>
      <c r="S275" s="123"/>
      <c r="T275" s="123"/>
      <c r="U275" s="123"/>
      <c r="V275" s="123"/>
      <c r="W275" s="123"/>
      <c r="X275" s="123"/>
      <c r="Y275" s="123"/>
      <c r="Z275" s="123"/>
      <c r="AA275" s="123"/>
      <c r="AB275" s="123"/>
      <c r="AC275" s="123"/>
      <c r="AD275" s="123"/>
      <c r="AE275" s="123"/>
      <c r="AF275" s="123"/>
      <c r="AG275" s="123"/>
    </row>
    <row r="276" spans="1:33">
      <c r="A276" s="123"/>
      <c r="B276" s="123"/>
      <c r="C276" s="123"/>
      <c r="D276" s="123"/>
      <c r="E276" s="123"/>
      <c r="F276" s="123"/>
      <c r="G276" s="123"/>
      <c r="H276" s="123"/>
      <c r="I276" s="123"/>
      <c r="J276" s="123"/>
      <c r="K276" s="123"/>
      <c r="L276" s="123"/>
      <c r="M276" s="123"/>
      <c r="N276" s="123"/>
      <c r="O276" s="123"/>
      <c r="P276" s="123"/>
      <c r="Q276" s="123"/>
      <c r="R276" s="123"/>
      <c r="S276" s="123"/>
      <c r="T276" s="123"/>
      <c r="U276" s="123"/>
      <c r="V276" s="123"/>
      <c r="W276" s="123"/>
      <c r="X276" s="123"/>
      <c r="Y276" s="123"/>
      <c r="Z276" s="123"/>
      <c r="AA276" s="123"/>
      <c r="AB276" s="123"/>
      <c r="AC276" s="123"/>
      <c r="AD276" s="123"/>
      <c r="AE276" s="123"/>
      <c r="AF276" s="123"/>
      <c r="AG276" s="123"/>
    </row>
    <row r="277" spans="1:33">
      <c r="A277" s="123"/>
      <c r="B277" s="123"/>
      <c r="C277" s="123"/>
      <c r="D277" s="123"/>
      <c r="E277" s="123"/>
      <c r="F277" s="123"/>
      <c r="G277" s="123"/>
      <c r="H277" s="123"/>
      <c r="I277" s="123"/>
      <c r="J277" s="123"/>
      <c r="K277" s="123"/>
      <c r="L277" s="123"/>
      <c r="M277" s="123"/>
      <c r="N277" s="123"/>
      <c r="O277" s="123"/>
      <c r="P277" s="123"/>
      <c r="Q277" s="123"/>
      <c r="R277" s="123"/>
      <c r="S277" s="123"/>
      <c r="T277" s="123"/>
      <c r="U277" s="123"/>
      <c r="V277" s="123"/>
      <c r="W277" s="123"/>
      <c r="X277" s="123"/>
      <c r="Y277" s="123"/>
      <c r="Z277" s="123"/>
      <c r="AA277" s="123"/>
      <c r="AB277" s="123"/>
      <c r="AC277" s="123"/>
      <c r="AD277" s="123"/>
      <c r="AE277" s="123"/>
      <c r="AF277" s="123"/>
      <c r="AG277" s="123"/>
    </row>
    <row r="278" spans="1:33">
      <c r="A278" s="123"/>
      <c r="B278" s="123"/>
      <c r="C278" s="123"/>
      <c r="D278" s="123"/>
      <c r="E278" s="123"/>
      <c r="F278" s="123"/>
      <c r="G278" s="123"/>
      <c r="H278" s="123"/>
      <c r="I278" s="123"/>
      <c r="J278" s="123"/>
      <c r="K278" s="123"/>
      <c r="L278" s="123"/>
      <c r="M278" s="123"/>
      <c r="N278" s="123"/>
      <c r="O278" s="123"/>
      <c r="P278" s="123"/>
      <c r="Q278" s="123"/>
      <c r="R278" s="123"/>
      <c r="S278" s="123"/>
      <c r="T278" s="123"/>
      <c r="U278" s="123"/>
      <c r="V278" s="123"/>
      <c r="W278" s="123"/>
      <c r="X278" s="123"/>
      <c r="Y278" s="123"/>
      <c r="Z278" s="123"/>
      <c r="AA278" s="123"/>
      <c r="AB278" s="123"/>
      <c r="AC278" s="123"/>
      <c r="AD278" s="123"/>
      <c r="AE278" s="123"/>
      <c r="AF278" s="123"/>
      <c r="AG278" s="123"/>
    </row>
    <row r="279" spans="1:33">
      <c r="A279" s="123"/>
      <c r="B279" s="123"/>
      <c r="C279" s="123"/>
      <c r="D279" s="123"/>
      <c r="E279" s="123"/>
      <c r="F279" s="123"/>
      <c r="G279" s="123"/>
      <c r="H279" s="123"/>
      <c r="I279" s="123"/>
      <c r="J279" s="123"/>
      <c r="K279" s="123"/>
      <c r="L279" s="123"/>
      <c r="M279" s="123"/>
      <c r="N279" s="123"/>
      <c r="O279" s="123"/>
      <c r="P279" s="123"/>
      <c r="Q279" s="123"/>
      <c r="R279" s="123"/>
      <c r="S279" s="123"/>
      <c r="T279" s="123"/>
      <c r="U279" s="123"/>
      <c r="V279" s="123"/>
      <c r="W279" s="123"/>
      <c r="X279" s="123"/>
      <c r="Y279" s="123"/>
      <c r="Z279" s="123"/>
      <c r="AA279" s="123"/>
      <c r="AB279" s="123"/>
      <c r="AC279" s="123"/>
      <c r="AD279" s="123"/>
      <c r="AE279" s="123"/>
      <c r="AF279" s="123"/>
      <c r="AG279" s="123"/>
    </row>
    <row r="280" spans="1:33">
      <c r="A280" s="123"/>
      <c r="B280" s="123"/>
      <c r="C280" s="123"/>
      <c r="D280" s="123"/>
      <c r="E280" s="123"/>
      <c r="F280" s="123"/>
      <c r="G280" s="123"/>
      <c r="H280" s="123"/>
      <c r="I280" s="123"/>
      <c r="J280" s="123"/>
      <c r="K280" s="123"/>
      <c r="L280" s="123"/>
      <c r="M280" s="123"/>
      <c r="N280" s="123"/>
      <c r="O280" s="123"/>
      <c r="P280" s="123"/>
      <c r="Q280" s="123"/>
      <c r="R280" s="123"/>
      <c r="S280" s="123"/>
      <c r="T280" s="123"/>
      <c r="U280" s="123"/>
      <c r="V280" s="123"/>
      <c r="W280" s="123"/>
      <c r="X280" s="123"/>
      <c r="Y280" s="123"/>
      <c r="Z280" s="123"/>
      <c r="AA280" s="123"/>
      <c r="AB280" s="123"/>
      <c r="AC280" s="123"/>
      <c r="AD280" s="123"/>
      <c r="AE280" s="123"/>
      <c r="AF280" s="123"/>
      <c r="AG280" s="123"/>
    </row>
    <row r="281" spans="1:33">
      <c r="A281" s="123"/>
      <c r="B281" s="123"/>
      <c r="C281" s="123"/>
      <c r="D281" s="123"/>
      <c r="E281" s="123"/>
      <c r="F281" s="123"/>
      <c r="G281" s="123"/>
      <c r="H281" s="123"/>
      <c r="I281" s="123"/>
      <c r="J281" s="123"/>
      <c r="K281" s="123"/>
      <c r="L281" s="123"/>
      <c r="M281" s="123"/>
      <c r="N281" s="123"/>
      <c r="O281" s="123"/>
      <c r="P281" s="123"/>
      <c r="Q281" s="123"/>
      <c r="R281" s="123"/>
      <c r="S281" s="123"/>
      <c r="T281" s="123"/>
      <c r="U281" s="123"/>
      <c r="V281" s="123"/>
      <c r="W281" s="123"/>
      <c r="X281" s="123"/>
      <c r="Y281" s="123"/>
      <c r="Z281" s="123"/>
      <c r="AA281" s="123"/>
      <c r="AB281" s="123"/>
      <c r="AC281" s="123"/>
      <c r="AD281" s="123"/>
      <c r="AE281" s="123"/>
      <c r="AF281" s="123"/>
      <c r="AG281" s="123"/>
    </row>
    <row r="282" spans="1:33">
      <c r="A282" s="123"/>
      <c r="B282" s="123"/>
      <c r="C282" s="123"/>
      <c r="D282" s="123"/>
      <c r="E282" s="123"/>
      <c r="F282" s="123"/>
      <c r="G282" s="123"/>
      <c r="H282" s="123"/>
      <c r="I282" s="123"/>
      <c r="J282" s="123"/>
      <c r="K282" s="123"/>
      <c r="L282" s="123"/>
      <c r="M282" s="123"/>
      <c r="N282" s="123"/>
      <c r="O282" s="123"/>
      <c r="P282" s="123"/>
      <c r="Q282" s="123"/>
      <c r="R282" s="123"/>
      <c r="S282" s="123"/>
      <c r="T282" s="123"/>
      <c r="U282" s="123"/>
      <c r="V282" s="123"/>
      <c r="W282" s="123"/>
      <c r="X282" s="123"/>
      <c r="Y282" s="123"/>
      <c r="Z282" s="123"/>
      <c r="AA282" s="123"/>
      <c r="AB282" s="123"/>
      <c r="AC282" s="123"/>
      <c r="AD282" s="123"/>
      <c r="AE282" s="123"/>
      <c r="AF282" s="123"/>
      <c r="AG282" s="123"/>
    </row>
    <row r="283" spans="1:33">
      <c r="A283" s="123"/>
      <c r="B283" s="123"/>
      <c r="C283" s="123"/>
      <c r="D283" s="123"/>
      <c r="E283" s="123"/>
      <c r="F283" s="123"/>
      <c r="G283" s="123"/>
      <c r="H283" s="123"/>
      <c r="I283" s="123"/>
      <c r="J283" s="123"/>
      <c r="K283" s="123"/>
      <c r="L283" s="123"/>
      <c r="M283" s="123"/>
      <c r="N283" s="123"/>
      <c r="O283" s="123"/>
      <c r="P283" s="123"/>
      <c r="Q283" s="123"/>
      <c r="R283" s="123"/>
      <c r="S283" s="123"/>
      <c r="T283" s="123"/>
      <c r="U283" s="123"/>
      <c r="V283" s="123"/>
      <c r="W283" s="123"/>
      <c r="X283" s="123"/>
      <c r="Y283" s="123"/>
      <c r="Z283" s="123"/>
      <c r="AA283" s="123"/>
      <c r="AB283" s="123"/>
      <c r="AC283" s="123"/>
      <c r="AD283" s="123"/>
      <c r="AE283" s="123"/>
      <c r="AF283" s="123"/>
      <c r="AG283" s="123"/>
    </row>
    <row r="284" spans="1:33">
      <c r="A284" s="123"/>
      <c r="B284" s="123"/>
      <c r="C284" s="123"/>
      <c r="D284" s="123"/>
      <c r="E284" s="123"/>
      <c r="F284" s="123"/>
      <c r="G284" s="123"/>
      <c r="H284" s="123"/>
      <c r="I284" s="123"/>
      <c r="J284" s="123"/>
      <c r="K284" s="123"/>
      <c r="L284" s="123"/>
      <c r="M284" s="123"/>
      <c r="N284" s="123"/>
      <c r="O284" s="123"/>
      <c r="P284" s="123"/>
      <c r="Q284" s="123"/>
      <c r="R284" s="123"/>
      <c r="S284" s="123"/>
      <c r="T284" s="123"/>
      <c r="U284" s="123"/>
      <c r="V284" s="123"/>
      <c r="W284" s="123"/>
      <c r="X284" s="123"/>
      <c r="Y284" s="123"/>
      <c r="Z284" s="123"/>
      <c r="AA284" s="123"/>
      <c r="AB284" s="123"/>
      <c r="AC284" s="123"/>
      <c r="AD284" s="123"/>
      <c r="AE284" s="123"/>
      <c r="AF284" s="123"/>
      <c r="AG284" s="123"/>
    </row>
    <row r="285" spans="1:33">
      <c r="A285" s="123"/>
      <c r="B285" s="123"/>
      <c r="C285" s="123"/>
      <c r="D285" s="123"/>
      <c r="E285" s="123"/>
      <c r="F285" s="123"/>
      <c r="G285" s="123"/>
      <c r="H285" s="123"/>
      <c r="I285" s="123"/>
      <c r="J285" s="123"/>
      <c r="K285" s="123"/>
      <c r="L285" s="123"/>
      <c r="M285" s="123"/>
      <c r="N285" s="123"/>
      <c r="O285" s="123"/>
      <c r="P285" s="123"/>
      <c r="Q285" s="123"/>
      <c r="R285" s="123"/>
      <c r="S285" s="123"/>
      <c r="T285" s="123"/>
      <c r="U285" s="123"/>
      <c r="V285" s="123"/>
      <c r="W285" s="123"/>
      <c r="X285" s="123"/>
      <c r="Y285" s="123"/>
      <c r="Z285" s="123"/>
      <c r="AA285" s="123"/>
      <c r="AB285" s="123"/>
      <c r="AC285" s="123"/>
      <c r="AD285" s="123"/>
      <c r="AE285" s="123"/>
      <c r="AF285" s="123"/>
      <c r="AG285" s="123"/>
    </row>
    <row r="286" spans="1:33">
      <c r="A286" s="123"/>
      <c r="B286" s="123"/>
      <c r="C286" s="123"/>
      <c r="D286" s="123"/>
      <c r="E286" s="123"/>
      <c r="F286" s="123"/>
      <c r="G286" s="123"/>
      <c r="H286" s="123"/>
      <c r="I286" s="123"/>
      <c r="J286" s="123"/>
      <c r="K286" s="123"/>
      <c r="L286" s="123"/>
      <c r="M286" s="123"/>
      <c r="N286" s="123"/>
      <c r="O286" s="123"/>
      <c r="P286" s="123"/>
      <c r="Q286" s="123"/>
      <c r="R286" s="123"/>
      <c r="S286" s="123"/>
      <c r="T286" s="123"/>
      <c r="U286" s="123"/>
      <c r="V286" s="123"/>
      <c r="W286" s="123"/>
      <c r="X286" s="123"/>
      <c r="Y286" s="123"/>
      <c r="Z286" s="123"/>
      <c r="AA286" s="123"/>
      <c r="AB286" s="123"/>
      <c r="AC286" s="123"/>
      <c r="AD286" s="123"/>
      <c r="AE286" s="123"/>
      <c r="AF286" s="123"/>
      <c r="AG286" s="123"/>
    </row>
    <row r="287" spans="1:33">
      <c r="A287" s="123"/>
      <c r="B287" s="123"/>
      <c r="C287" s="123"/>
      <c r="D287" s="123"/>
      <c r="E287" s="123"/>
      <c r="F287" s="123"/>
      <c r="G287" s="123"/>
      <c r="H287" s="123"/>
      <c r="I287" s="123"/>
      <c r="J287" s="123"/>
      <c r="K287" s="123"/>
      <c r="L287" s="123"/>
      <c r="M287" s="123"/>
      <c r="N287" s="123"/>
      <c r="O287" s="123"/>
      <c r="P287" s="123"/>
      <c r="Q287" s="123"/>
      <c r="R287" s="123"/>
      <c r="S287" s="123"/>
      <c r="T287" s="123"/>
      <c r="U287" s="123"/>
      <c r="V287" s="123"/>
      <c r="W287" s="123"/>
      <c r="X287" s="123"/>
      <c r="Y287" s="123"/>
      <c r="Z287" s="123"/>
      <c r="AA287" s="123"/>
      <c r="AB287" s="123"/>
      <c r="AC287" s="123"/>
      <c r="AD287" s="123"/>
      <c r="AE287" s="123"/>
      <c r="AF287" s="123"/>
      <c r="AG287" s="123"/>
    </row>
    <row r="288" spans="1:33">
      <c r="A288" s="123"/>
      <c r="B288" s="123"/>
      <c r="C288" s="123"/>
      <c r="D288" s="123"/>
      <c r="E288" s="123"/>
      <c r="F288" s="123"/>
      <c r="G288" s="123"/>
      <c r="H288" s="123"/>
      <c r="I288" s="123"/>
      <c r="J288" s="123"/>
      <c r="K288" s="123"/>
      <c r="L288" s="123"/>
      <c r="M288" s="123"/>
      <c r="N288" s="123"/>
      <c r="O288" s="123"/>
      <c r="P288" s="123"/>
      <c r="Q288" s="123"/>
      <c r="R288" s="123"/>
      <c r="S288" s="123"/>
      <c r="T288" s="123"/>
      <c r="U288" s="123"/>
      <c r="V288" s="123"/>
      <c r="W288" s="123"/>
      <c r="X288" s="123"/>
      <c r="Y288" s="123"/>
      <c r="Z288" s="123"/>
      <c r="AA288" s="123"/>
      <c r="AB288" s="123"/>
      <c r="AC288" s="123"/>
      <c r="AD288" s="123"/>
      <c r="AE288" s="123"/>
      <c r="AF288" s="123"/>
      <c r="AG288" s="123"/>
    </row>
    <row r="289" spans="1:33">
      <c r="A289" s="123"/>
      <c r="B289" s="123"/>
      <c r="C289" s="123"/>
      <c r="D289" s="123"/>
      <c r="E289" s="123"/>
      <c r="F289" s="123"/>
      <c r="G289" s="123"/>
      <c r="H289" s="123"/>
      <c r="I289" s="123"/>
      <c r="J289" s="123"/>
      <c r="K289" s="123"/>
      <c r="L289" s="123"/>
      <c r="M289" s="123"/>
      <c r="N289" s="123"/>
      <c r="O289" s="123"/>
      <c r="P289" s="123"/>
      <c r="Q289" s="123"/>
      <c r="R289" s="123"/>
      <c r="S289" s="123"/>
      <c r="T289" s="123"/>
      <c r="U289" s="123"/>
      <c r="V289" s="123"/>
      <c r="W289" s="123"/>
      <c r="X289" s="123"/>
      <c r="Y289" s="123"/>
      <c r="Z289" s="123"/>
      <c r="AA289" s="123"/>
      <c r="AB289" s="123"/>
      <c r="AC289" s="123"/>
      <c r="AD289" s="123"/>
      <c r="AE289" s="123"/>
      <c r="AF289" s="123"/>
      <c r="AG289" s="123"/>
    </row>
    <row r="290" spans="1:33">
      <c r="A290" s="123"/>
      <c r="B290" s="123"/>
      <c r="C290" s="123"/>
      <c r="D290" s="123"/>
      <c r="E290" s="123"/>
      <c r="F290" s="123"/>
      <c r="G290" s="123"/>
      <c r="H290" s="123"/>
      <c r="I290" s="123"/>
      <c r="J290" s="123"/>
      <c r="K290" s="123"/>
      <c r="L290" s="123"/>
      <c r="M290" s="123"/>
      <c r="N290" s="123"/>
      <c r="O290" s="123"/>
      <c r="P290" s="123"/>
      <c r="Q290" s="123"/>
      <c r="R290" s="123"/>
      <c r="S290" s="123"/>
      <c r="T290" s="123"/>
      <c r="U290" s="123"/>
      <c r="V290" s="123"/>
      <c r="W290" s="123"/>
      <c r="X290" s="123"/>
      <c r="Y290" s="123"/>
      <c r="Z290" s="123"/>
      <c r="AA290" s="123"/>
      <c r="AB290" s="123"/>
      <c r="AC290" s="123"/>
      <c r="AD290" s="123"/>
      <c r="AE290" s="123"/>
      <c r="AF290" s="123"/>
      <c r="AG290" s="123"/>
    </row>
    <row r="291" spans="1:33">
      <c r="A291" s="123"/>
      <c r="B291" s="123"/>
      <c r="C291" s="123"/>
      <c r="D291" s="123"/>
      <c r="E291" s="123"/>
      <c r="F291" s="123"/>
      <c r="G291" s="123"/>
      <c r="H291" s="123"/>
      <c r="I291" s="123"/>
      <c r="J291" s="123"/>
      <c r="K291" s="123"/>
      <c r="L291" s="123"/>
      <c r="M291" s="123"/>
      <c r="N291" s="123"/>
      <c r="O291" s="123"/>
      <c r="P291" s="123"/>
      <c r="Q291" s="123"/>
      <c r="R291" s="123"/>
      <c r="S291" s="123"/>
      <c r="T291" s="123"/>
      <c r="U291" s="123"/>
      <c r="V291" s="123"/>
      <c r="W291" s="123"/>
      <c r="X291" s="123"/>
      <c r="Y291" s="123"/>
      <c r="Z291" s="123"/>
      <c r="AA291" s="123"/>
      <c r="AB291" s="123"/>
      <c r="AC291" s="123"/>
      <c r="AD291" s="123"/>
      <c r="AE291" s="123"/>
      <c r="AF291" s="123"/>
      <c r="AG291" s="123"/>
    </row>
    <row r="292" spans="1:33">
      <c r="A292" s="123"/>
      <c r="B292" s="123"/>
      <c r="C292" s="123"/>
      <c r="D292" s="123"/>
      <c r="E292" s="123"/>
      <c r="F292" s="123"/>
      <c r="G292" s="123"/>
      <c r="H292" s="123"/>
      <c r="I292" s="123"/>
      <c r="J292" s="123"/>
      <c r="K292" s="123"/>
      <c r="L292" s="123"/>
      <c r="M292" s="123"/>
      <c r="N292" s="123"/>
      <c r="O292" s="123"/>
      <c r="P292" s="123"/>
      <c r="Q292" s="123"/>
      <c r="R292" s="123"/>
      <c r="S292" s="123"/>
      <c r="T292" s="123"/>
      <c r="U292" s="123"/>
      <c r="V292" s="123"/>
      <c r="W292" s="123"/>
      <c r="X292" s="123"/>
      <c r="Y292" s="123"/>
      <c r="Z292" s="123"/>
      <c r="AA292" s="123"/>
      <c r="AB292" s="123"/>
      <c r="AC292" s="123"/>
      <c r="AD292" s="123"/>
      <c r="AE292" s="123"/>
      <c r="AF292" s="123"/>
      <c r="AG292" s="123"/>
    </row>
    <row r="293" spans="1:33">
      <c r="A293" s="123"/>
      <c r="B293" s="123"/>
      <c r="C293" s="123"/>
      <c r="D293" s="123"/>
      <c r="E293" s="123"/>
      <c r="F293" s="123"/>
      <c r="G293" s="123"/>
      <c r="H293" s="123"/>
      <c r="I293" s="123"/>
      <c r="J293" s="123"/>
      <c r="K293" s="123"/>
      <c r="L293" s="123"/>
      <c r="M293" s="123"/>
      <c r="N293" s="123"/>
      <c r="O293" s="123"/>
      <c r="P293" s="123"/>
      <c r="Q293" s="123"/>
      <c r="R293" s="123"/>
      <c r="S293" s="123"/>
      <c r="T293" s="123"/>
      <c r="U293" s="123"/>
      <c r="V293" s="123"/>
      <c r="W293" s="123"/>
      <c r="X293" s="123"/>
      <c r="Y293" s="123"/>
      <c r="Z293" s="123"/>
      <c r="AA293" s="123"/>
      <c r="AB293" s="123"/>
      <c r="AC293" s="123"/>
      <c r="AD293" s="123"/>
      <c r="AE293" s="123"/>
      <c r="AF293" s="123"/>
      <c r="AG293" s="123"/>
    </row>
    <row r="294" spans="1:33">
      <c r="A294" s="123"/>
      <c r="B294" s="123"/>
      <c r="C294" s="123"/>
      <c r="D294" s="123"/>
      <c r="E294" s="123"/>
      <c r="F294" s="123"/>
      <c r="G294" s="123"/>
      <c r="H294" s="123"/>
      <c r="I294" s="123"/>
      <c r="J294" s="123"/>
      <c r="K294" s="123"/>
      <c r="L294" s="123"/>
      <c r="M294" s="123"/>
      <c r="N294" s="123"/>
      <c r="O294" s="123"/>
      <c r="P294" s="123"/>
      <c r="Q294" s="123"/>
      <c r="R294" s="123"/>
      <c r="S294" s="123"/>
      <c r="T294" s="123"/>
      <c r="U294" s="123"/>
      <c r="V294" s="123"/>
      <c r="W294" s="123"/>
      <c r="X294" s="123"/>
      <c r="Y294" s="123"/>
      <c r="Z294" s="123"/>
      <c r="AA294" s="123"/>
      <c r="AB294" s="123"/>
      <c r="AC294" s="123"/>
      <c r="AD294" s="123"/>
      <c r="AE294" s="123"/>
      <c r="AF294" s="123"/>
      <c r="AG294" s="123"/>
    </row>
    <row r="295" spans="1:33">
      <c r="A295" s="123"/>
      <c r="B295" s="123"/>
      <c r="C295" s="123"/>
      <c r="D295" s="123"/>
      <c r="E295" s="123"/>
      <c r="F295" s="123"/>
      <c r="G295" s="123"/>
      <c r="H295" s="123"/>
      <c r="I295" s="123"/>
      <c r="J295" s="123"/>
      <c r="K295" s="123"/>
      <c r="L295" s="123"/>
      <c r="M295" s="123"/>
      <c r="N295" s="123"/>
      <c r="O295" s="123"/>
      <c r="P295" s="123"/>
      <c r="Q295" s="123"/>
      <c r="R295" s="123"/>
      <c r="S295" s="123"/>
      <c r="T295" s="123"/>
      <c r="U295" s="123"/>
      <c r="V295" s="123"/>
      <c r="W295" s="123"/>
      <c r="X295" s="123"/>
      <c r="Y295" s="123"/>
      <c r="Z295" s="123"/>
      <c r="AA295" s="123"/>
      <c r="AB295" s="123"/>
      <c r="AC295" s="123"/>
      <c r="AD295" s="123"/>
      <c r="AE295" s="123"/>
      <c r="AF295" s="123"/>
      <c r="AG295" s="123"/>
    </row>
    <row r="296" spans="1:33">
      <c r="A296" s="123"/>
      <c r="B296" s="123"/>
      <c r="C296" s="123"/>
      <c r="D296" s="123"/>
      <c r="E296" s="123"/>
      <c r="F296" s="123"/>
      <c r="G296" s="123"/>
      <c r="H296" s="123"/>
      <c r="I296" s="123"/>
      <c r="J296" s="123"/>
      <c r="K296" s="123"/>
      <c r="L296" s="123"/>
      <c r="M296" s="123"/>
      <c r="N296" s="123"/>
      <c r="O296" s="123"/>
      <c r="P296" s="123"/>
      <c r="Q296" s="123"/>
      <c r="R296" s="123"/>
      <c r="S296" s="123"/>
      <c r="T296" s="123"/>
      <c r="U296" s="123"/>
      <c r="V296" s="123"/>
      <c r="W296" s="123"/>
      <c r="X296" s="123"/>
      <c r="Y296" s="123"/>
      <c r="Z296" s="123"/>
      <c r="AA296" s="123"/>
      <c r="AB296" s="123"/>
      <c r="AC296" s="123"/>
      <c r="AD296" s="123"/>
      <c r="AE296" s="123"/>
      <c r="AF296" s="123"/>
      <c r="AG296" s="123"/>
    </row>
    <row r="297" spans="1:33">
      <c r="A297" s="123"/>
      <c r="B297" s="123"/>
      <c r="C297" s="123"/>
      <c r="D297" s="123"/>
      <c r="E297" s="123"/>
      <c r="F297" s="123"/>
      <c r="G297" s="123"/>
      <c r="H297" s="123"/>
      <c r="I297" s="123"/>
      <c r="J297" s="123"/>
      <c r="K297" s="123"/>
      <c r="L297" s="123"/>
      <c r="M297" s="123"/>
      <c r="N297" s="123"/>
      <c r="O297" s="123"/>
      <c r="P297" s="123"/>
      <c r="Q297" s="123"/>
      <c r="R297" s="123"/>
      <c r="S297" s="123"/>
      <c r="T297" s="123"/>
      <c r="U297" s="123"/>
      <c r="V297" s="123"/>
      <c r="W297" s="123"/>
      <c r="X297" s="123"/>
      <c r="Y297" s="123"/>
      <c r="Z297" s="123"/>
      <c r="AA297" s="123"/>
      <c r="AB297" s="123"/>
      <c r="AC297" s="123"/>
      <c r="AD297" s="123"/>
      <c r="AE297" s="123"/>
      <c r="AF297" s="123"/>
      <c r="AG297" s="123"/>
    </row>
    <row r="298" spans="1:33">
      <c r="A298" s="123"/>
      <c r="B298" s="123"/>
      <c r="C298" s="123"/>
      <c r="D298" s="123"/>
      <c r="E298" s="123"/>
      <c r="F298" s="123"/>
      <c r="G298" s="123"/>
      <c r="H298" s="123"/>
      <c r="I298" s="123"/>
      <c r="J298" s="123"/>
      <c r="K298" s="123"/>
      <c r="L298" s="123"/>
      <c r="M298" s="123"/>
      <c r="N298" s="123"/>
      <c r="O298" s="123"/>
      <c r="P298" s="123"/>
      <c r="Q298" s="123"/>
      <c r="R298" s="123"/>
      <c r="S298" s="123"/>
      <c r="T298" s="123"/>
      <c r="U298" s="123"/>
      <c r="V298" s="123"/>
      <c r="W298" s="123"/>
      <c r="X298" s="123"/>
      <c r="Y298" s="123"/>
      <c r="Z298" s="123"/>
      <c r="AA298" s="123"/>
      <c r="AB298" s="123"/>
      <c r="AC298" s="123"/>
      <c r="AD298" s="123"/>
      <c r="AE298" s="123"/>
      <c r="AF298" s="123"/>
      <c r="AG298" s="123"/>
    </row>
    <row r="299" spans="1:33">
      <c r="A299" s="123"/>
      <c r="B299" s="123"/>
      <c r="C299" s="123"/>
      <c r="D299" s="123"/>
      <c r="E299" s="123"/>
      <c r="F299" s="123"/>
      <c r="G299" s="123"/>
      <c r="H299" s="123"/>
      <c r="I299" s="123"/>
      <c r="J299" s="123"/>
      <c r="K299" s="123"/>
      <c r="L299" s="123"/>
      <c r="M299" s="123"/>
      <c r="N299" s="123"/>
      <c r="O299" s="123"/>
      <c r="P299" s="123"/>
      <c r="Q299" s="123"/>
      <c r="R299" s="123"/>
      <c r="S299" s="123"/>
      <c r="T299" s="123"/>
      <c r="U299" s="123"/>
      <c r="V299" s="123"/>
      <c r="W299" s="123"/>
      <c r="X299" s="123"/>
      <c r="Y299" s="123"/>
      <c r="Z299" s="123"/>
      <c r="AA299" s="123"/>
      <c r="AB299" s="123"/>
      <c r="AC299" s="123"/>
      <c r="AD299" s="123"/>
      <c r="AE299" s="123"/>
      <c r="AF299" s="123"/>
      <c r="AG299" s="123"/>
    </row>
    <row r="300" spans="1:33">
      <c r="A300" s="123"/>
      <c r="B300" s="123"/>
      <c r="C300" s="123"/>
      <c r="D300" s="123"/>
      <c r="E300" s="123"/>
      <c r="F300" s="123"/>
      <c r="G300" s="123"/>
      <c r="H300" s="123"/>
      <c r="I300" s="123"/>
      <c r="J300" s="123"/>
      <c r="K300" s="123"/>
      <c r="L300" s="123"/>
      <c r="M300" s="123"/>
      <c r="N300" s="123"/>
      <c r="O300" s="123"/>
      <c r="P300" s="123"/>
      <c r="Q300" s="123"/>
      <c r="R300" s="123"/>
      <c r="S300" s="123"/>
      <c r="T300" s="123"/>
      <c r="U300" s="123"/>
      <c r="V300" s="123"/>
      <c r="W300" s="123"/>
      <c r="X300" s="123"/>
      <c r="Y300" s="123"/>
      <c r="Z300" s="123"/>
      <c r="AA300" s="123"/>
      <c r="AB300" s="123"/>
      <c r="AC300" s="123"/>
      <c r="AD300" s="123"/>
      <c r="AE300" s="123"/>
      <c r="AF300" s="123"/>
      <c r="AG300" s="123"/>
    </row>
    <row r="301" spans="1:33">
      <c r="A301" s="123"/>
      <c r="B301" s="123"/>
      <c r="C301" s="123"/>
      <c r="D301" s="123"/>
      <c r="E301" s="123"/>
      <c r="F301" s="123"/>
      <c r="G301" s="123"/>
      <c r="H301" s="123"/>
      <c r="I301" s="123"/>
      <c r="J301" s="123"/>
      <c r="K301" s="123"/>
      <c r="L301" s="123"/>
      <c r="M301" s="123"/>
      <c r="N301" s="123"/>
      <c r="O301" s="123"/>
      <c r="P301" s="123"/>
      <c r="Q301" s="123"/>
      <c r="R301" s="123"/>
      <c r="S301" s="123"/>
      <c r="T301" s="123"/>
      <c r="U301" s="123"/>
      <c r="V301" s="123"/>
      <c r="W301" s="123"/>
      <c r="X301" s="123"/>
      <c r="Y301" s="123"/>
      <c r="Z301" s="123"/>
      <c r="AA301" s="123"/>
      <c r="AB301" s="123"/>
      <c r="AC301" s="123"/>
      <c r="AD301" s="123"/>
      <c r="AE301" s="123"/>
      <c r="AF301" s="123"/>
      <c r="AG301" s="123"/>
    </row>
    <row r="302" spans="1:33">
      <c r="A302" s="123"/>
      <c r="B302" s="123"/>
      <c r="C302" s="123"/>
      <c r="D302" s="123"/>
      <c r="E302" s="123"/>
      <c r="F302" s="123"/>
      <c r="G302" s="123"/>
      <c r="H302" s="123"/>
      <c r="I302" s="123"/>
      <c r="J302" s="123"/>
      <c r="K302" s="123"/>
      <c r="L302" s="123"/>
      <c r="M302" s="123"/>
      <c r="N302" s="123"/>
      <c r="O302" s="123"/>
      <c r="P302" s="123"/>
      <c r="Q302" s="123"/>
      <c r="R302" s="123"/>
      <c r="S302" s="123"/>
      <c r="T302" s="123"/>
      <c r="U302" s="123"/>
      <c r="V302" s="123"/>
      <c r="W302" s="123"/>
      <c r="X302" s="123"/>
      <c r="Y302" s="123"/>
      <c r="Z302" s="123"/>
      <c r="AA302" s="123"/>
      <c r="AB302" s="123"/>
      <c r="AC302" s="123"/>
      <c r="AD302" s="123"/>
      <c r="AE302" s="123"/>
      <c r="AF302" s="123"/>
      <c r="AG302" s="123"/>
    </row>
    <row r="303" spans="1:33">
      <c r="A303" s="123"/>
      <c r="B303" s="123"/>
      <c r="C303" s="123"/>
      <c r="D303" s="123"/>
      <c r="E303" s="123"/>
      <c r="F303" s="123"/>
      <c r="G303" s="123"/>
      <c r="H303" s="123"/>
      <c r="I303" s="123"/>
      <c r="J303" s="123"/>
      <c r="K303" s="123"/>
      <c r="L303" s="123"/>
      <c r="M303" s="123"/>
      <c r="N303" s="123"/>
      <c r="O303" s="123"/>
      <c r="P303" s="123"/>
      <c r="Q303" s="123"/>
      <c r="R303" s="123"/>
      <c r="S303" s="123"/>
      <c r="T303" s="123"/>
      <c r="U303" s="123"/>
      <c r="V303" s="123"/>
      <c r="W303" s="123"/>
      <c r="X303" s="123"/>
      <c r="Y303" s="123"/>
      <c r="Z303" s="123"/>
      <c r="AA303" s="123"/>
      <c r="AB303" s="123"/>
      <c r="AC303" s="123"/>
      <c r="AD303" s="123"/>
      <c r="AE303" s="123"/>
      <c r="AF303" s="123"/>
      <c r="AG303" s="123"/>
    </row>
    <row r="304" spans="1:33">
      <c r="A304" s="123"/>
      <c r="B304" s="123"/>
      <c r="C304" s="123"/>
      <c r="D304" s="123"/>
      <c r="E304" s="123"/>
      <c r="F304" s="123"/>
      <c r="G304" s="123"/>
      <c r="H304" s="123"/>
      <c r="I304" s="123"/>
      <c r="J304" s="123"/>
      <c r="K304" s="123"/>
      <c r="L304" s="123"/>
      <c r="M304" s="123"/>
      <c r="N304" s="123"/>
      <c r="O304" s="123"/>
      <c r="P304" s="123"/>
      <c r="Q304" s="123"/>
      <c r="R304" s="123"/>
      <c r="S304" s="123"/>
      <c r="T304" s="123"/>
      <c r="U304" s="123"/>
      <c r="V304" s="123"/>
      <c r="W304" s="123"/>
      <c r="X304" s="123"/>
      <c r="Y304" s="123"/>
      <c r="Z304" s="123"/>
      <c r="AA304" s="123"/>
      <c r="AB304" s="123"/>
      <c r="AC304" s="123"/>
      <c r="AD304" s="123"/>
      <c r="AE304" s="123"/>
      <c r="AF304" s="123"/>
      <c r="AG304" s="123"/>
    </row>
    <row r="305" spans="1:33">
      <c r="A305" s="123"/>
      <c r="B305" s="123"/>
      <c r="C305" s="123"/>
      <c r="D305" s="123"/>
      <c r="E305" s="123"/>
      <c r="F305" s="123"/>
      <c r="G305" s="123"/>
      <c r="H305" s="123"/>
      <c r="I305" s="123"/>
      <c r="J305" s="123"/>
      <c r="K305" s="123"/>
      <c r="L305" s="123"/>
      <c r="M305" s="123"/>
      <c r="N305" s="123"/>
      <c r="O305" s="123"/>
      <c r="P305" s="123"/>
      <c r="Q305" s="123"/>
      <c r="R305" s="123"/>
      <c r="S305" s="123"/>
      <c r="T305" s="123"/>
      <c r="U305" s="123"/>
      <c r="V305" s="123"/>
      <c r="W305" s="123"/>
      <c r="X305" s="123"/>
      <c r="Y305" s="123"/>
      <c r="Z305" s="123"/>
      <c r="AA305" s="123"/>
      <c r="AB305" s="123"/>
      <c r="AC305" s="123"/>
      <c r="AD305" s="123"/>
      <c r="AE305" s="123"/>
      <c r="AF305" s="123"/>
      <c r="AG305" s="123"/>
    </row>
    <row r="306" spans="1:33">
      <c r="A306" s="123"/>
      <c r="B306" s="123"/>
      <c r="C306" s="123"/>
      <c r="D306" s="123"/>
      <c r="E306" s="123"/>
      <c r="F306" s="123"/>
      <c r="G306" s="123"/>
      <c r="H306" s="123"/>
      <c r="I306" s="123"/>
      <c r="J306" s="123"/>
      <c r="K306" s="123"/>
      <c r="L306" s="123"/>
      <c r="M306" s="123"/>
      <c r="N306" s="123"/>
      <c r="O306" s="123"/>
      <c r="P306" s="123"/>
      <c r="Q306" s="123"/>
      <c r="R306" s="123"/>
      <c r="S306" s="123"/>
      <c r="T306" s="123"/>
      <c r="U306" s="123"/>
      <c r="V306" s="123"/>
      <c r="W306" s="123"/>
      <c r="X306" s="123"/>
      <c r="Y306" s="123"/>
      <c r="Z306" s="123"/>
      <c r="AA306" s="123"/>
      <c r="AB306" s="123"/>
      <c r="AC306" s="123"/>
      <c r="AD306" s="123"/>
      <c r="AE306" s="123"/>
      <c r="AF306" s="123"/>
      <c r="AG306" s="123"/>
    </row>
    <row r="307" spans="1:33">
      <c r="A307" s="123"/>
      <c r="B307" s="123"/>
      <c r="C307" s="123"/>
      <c r="D307" s="123"/>
      <c r="E307" s="123"/>
      <c r="F307" s="123"/>
      <c r="G307" s="123"/>
      <c r="H307" s="123"/>
      <c r="I307" s="123"/>
      <c r="J307" s="123"/>
      <c r="K307" s="123"/>
      <c r="L307" s="123"/>
      <c r="M307" s="123"/>
      <c r="N307" s="123"/>
      <c r="O307" s="123"/>
      <c r="P307" s="123"/>
      <c r="Q307" s="123"/>
      <c r="R307" s="123"/>
      <c r="S307" s="123"/>
      <c r="T307" s="123"/>
      <c r="U307" s="123"/>
      <c r="V307" s="123"/>
      <c r="W307" s="123"/>
      <c r="X307" s="123"/>
      <c r="Y307" s="123"/>
      <c r="Z307" s="123"/>
      <c r="AA307" s="123"/>
      <c r="AB307" s="123"/>
      <c r="AC307" s="123"/>
      <c r="AD307" s="123"/>
      <c r="AE307" s="123"/>
      <c r="AF307" s="123"/>
      <c r="AG307" s="123"/>
    </row>
    <row r="308" spans="1:33">
      <c r="A308" s="123"/>
      <c r="B308" s="123"/>
      <c r="C308" s="123"/>
      <c r="D308" s="123"/>
      <c r="E308" s="123"/>
      <c r="F308" s="123"/>
      <c r="G308" s="123"/>
      <c r="H308" s="123"/>
      <c r="I308" s="123"/>
      <c r="J308" s="123"/>
      <c r="K308" s="123"/>
      <c r="L308" s="123"/>
      <c r="M308" s="123"/>
      <c r="N308" s="123"/>
      <c r="O308" s="123"/>
      <c r="P308" s="123"/>
      <c r="Q308" s="123"/>
      <c r="R308" s="123"/>
      <c r="S308" s="123"/>
      <c r="T308" s="123"/>
      <c r="U308" s="123"/>
      <c r="V308" s="123"/>
      <c r="W308" s="123"/>
      <c r="X308" s="123"/>
      <c r="Y308" s="123"/>
      <c r="Z308" s="123"/>
      <c r="AA308" s="123"/>
      <c r="AB308" s="123"/>
      <c r="AC308" s="123"/>
      <c r="AD308" s="123"/>
      <c r="AE308" s="123"/>
      <c r="AF308" s="123"/>
      <c r="AG308" s="123"/>
    </row>
    <row r="309" spans="1:33">
      <c r="A309" s="123"/>
      <c r="B309" s="123"/>
      <c r="C309" s="123"/>
      <c r="D309" s="123"/>
      <c r="E309" s="123"/>
      <c r="F309" s="123"/>
      <c r="G309" s="123"/>
      <c r="H309" s="123"/>
      <c r="I309" s="123"/>
      <c r="J309" s="123"/>
      <c r="K309" s="123"/>
      <c r="L309" s="123"/>
      <c r="M309" s="123"/>
      <c r="N309" s="123"/>
      <c r="O309" s="123"/>
      <c r="P309" s="123"/>
      <c r="Q309" s="123"/>
      <c r="R309" s="123"/>
      <c r="S309" s="123"/>
      <c r="T309" s="123"/>
      <c r="U309" s="123"/>
      <c r="V309" s="123"/>
      <c r="W309" s="123"/>
      <c r="X309" s="123"/>
      <c r="Y309" s="123"/>
      <c r="Z309" s="123"/>
      <c r="AA309" s="123"/>
      <c r="AB309" s="123"/>
      <c r="AC309" s="123"/>
      <c r="AD309" s="123"/>
      <c r="AE309" s="123"/>
      <c r="AF309" s="123"/>
      <c r="AG309" s="123"/>
    </row>
    <row r="310" spans="1:33">
      <c r="A310" s="123"/>
      <c r="B310" s="123"/>
      <c r="C310" s="123"/>
      <c r="D310" s="123"/>
      <c r="E310" s="123"/>
      <c r="F310" s="123"/>
      <c r="G310" s="123"/>
      <c r="H310" s="123"/>
      <c r="I310" s="123"/>
      <c r="J310" s="123"/>
      <c r="K310" s="123"/>
      <c r="L310" s="123"/>
      <c r="M310" s="123"/>
      <c r="N310" s="123"/>
      <c r="O310" s="123"/>
      <c r="P310" s="123"/>
      <c r="Q310" s="123"/>
      <c r="R310" s="123"/>
      <c r="S310" s="123"/>
      <c r="T310" s="123"/>
      <c r="U310" s="123"/>
      <c r="V310" s="123"/>
      <c r="W310" s="123"/>
      <c r="X310" s="123"/>
      <c r="Y310" s="123"/>
      <c r="Z310" s="123"/>
      <c r="AA310" s="123"/>
      <c r="AB310" s="123"/>
      <c r="AC310" s="123"/>
      <c r="AD310" s="123"/>
      <c r="AE310" s="123"/>
      <c r="AF310" s="123"/>
      <c r="AG310" s="123"/>
    </row>
    <row r="311" spans="1:33">
      <c r="A311" s="123"/>
      <c r="B311" s="123"/>
      <c r="C311" s="123"/>
      <c r="D311" s="123"/>
      <c r="E311" s="123"/>
      <c r="F311" s="123"/>
      <c r="G311" s="123"/>
      <c r="H311" s="123"/>
      <c r="I311" s="123"/>
      <c r="J311" s="123"/>
      <c r="K311" s="123"/>
      <c r="L311" s="123"/>
      <c r="M311" s="123"/>
      <c r="N311" s="123"/>
      <c r="O311" s="123"/>
      <c r="P311" s="123"/>
      <c r="Q311" s="123"/>
      <c r="R311" s="123"/>
      <c r="S311" s="123"/>
      <c r="T311" s="123"/>
      <c r="U311" s="123"/>
      <c r="V311" s="123"/>
      <c r="W311" s="123"/>
      <c r="X311" s="123"/>
      <c r="Y311" s="123"/>
      <c r="Z311" s="123"/>
      <c r="AA311" s="123"/>
      <c r="AB311" s="123"/>
      <c r="AC311" s="123"/>
      <c r="AD311" s="123"/>
      <c r="AE311" s="123"/>
      <c r="AF311" s="123"/>
      <c r="AG311" s="123"/>
    </row>
    <row r="312" spans="1:33">
      <c r="A312" s="123"/>
      <c r="B312" s="123"/>
      <c r="C312" s="123"/>
      <c r="D312" s="123"/>
      <c r="E312" s="123"/>
      <c r="F312" s="123"/>
      <c r="G312" s="123"/>
      <c r="H312" s="123"/>
      <c r="I312" s="123"/>
      <c r="J312" s="123"/>
      <c r="K312" s="123"/>
      <c r="L312" s="123"/>
      <c r="M312" s="123"/>
      <c r="N312" s="123"/>
      <c r="O312" s="123"/>
      <c r="P312" s="123"/>
      <c r="Q312" s="123"/>
      <c r="R312" s="123"/>
      <c r="S312" s="123"/>
      <c r="T312" s="123"/>
      <c r="U312" s="123"/>
      <c r="V312" s="123"/>
      <c r="W312" s="123"/>
      <c r="X312" s="123"/>
      <c r="Y312" s="123"/>
      <c r="Z312" s="123"/>
      <c r="AA312" s="123"/>
      <c r="AB312" s="123"/>
      <c r="AC312" s="123"/>
      <c r="AD312" s="123"/>
      <c r="AE312" s="123"/>
      <c r="AF312" s="123"/>
      <c r="AG312" s="123"/>
    </row>
    <row r="313" spans="1:33">
      <c r="A313" s="123"/>
      <c r="B313" s="123"/>
      <c r="C313" s="123"/>
      <c r="D313" s="123"/>
      <c r="E313" s="123"/>
      <c r="F313" s="123"/>
      <c r="G313" s="123"/>
      <c r="H313" s="123"/>
      <c r="I313" s="123"/>
      <c r="J313" s="123"/>
      <c r="K313" s="123"/>
      <c r="L313" s="123"/>
      <c r="M313" s="123"/>
      <c r="N313" s="123"/>
      <c r="O313" s="123"/>
      <c r="P313" s="123"/>
      <c r="Q313" s="123"/>
      <c r="R313" s="123"/>
      <c r="S313" s="123"/>
      <c r="T313" s="123"/>
      <c r="U313" s="123"/>
      <c r="V313" s="123"/>
      <c r="W313" s="123"/>
      <c r="X313" s="123"/>
      <c r="Y313" s="123"/>
      <c r="Z313" s="123"/>
      <c r="AA313" s="123"/>
      <c r="AB313" s="123"/>
      <c r="AC313" s="123"/>
      <c r="AD313" s="123"/>
      <c r="AE313" s="123"/>
      <c r="AF313" s="123"/>
      <c r="AG313" s="123"/>
    </row>
    <row r="314" spans="1:33">
      <c r="A314" s="123"/>
      <c r="B314" s="123"/>
      <c r="C314" s="123"/>
      <c r="D314" s="123"/>
      <c r="E314" s="123"/>
      <c r="F314" s="123"/>
      <c r="G314" s="123"/>
      <c r="H314" s="123"/>
      <c r="I314" s="123"/>
      <c r="J314" s="123"/>
      <c r="K314" s="123"/>
      <c r="L314" s="123"/>
      <c r="M314" s="123"/>
      <c r="N314" s="123"/>
      <c r="O314" s="123"/>
      <c r="P314" s="123"/>
      <c r="Q314" s="123"/>
      <c r="R314" s="123"/>
      <c r="S314" s="123"/>
      <c r="T314" s="123"/>
      <c r="U314" s="123"/>
      <c r="V314" s="123"/>
      <c r="W314" s="123"/>
      <c r="X314" s="123"/>
      <c r="Y314" s="123"/>
      <c r="Z314" s="123"/>
      <c r="AA314" s="123"/>
      <c r="AB314" s="123"/>
      <c r="AC314" s="123"/>
      <c r="AD314" s="123"/>
      <c r="AE314" s="123"/>
      <c r="AF314" s="123"/>
      <c r="AG314" s="123"/>
    </row>
    <row r="315" spans="1:33">
      <c r="A315" s="123"/>
      <c r="B315" s="123"/>
      <c r="C315" s="123"/>
      <c r="D315" s="123"/>
      <c r="E315" s="123"/>
      <c r="F315" s="123"/>
      <c r="G315" s="123"/>
      <c r="H315" s="123"/>
      <c r="I315" s="123"/>
      <c r="J315" s="123"/>
      <c r="K315" s="123"/>
      <c r="L315" s="123"/>
      <c r="M315" s="123"/>
      <c r="N315" s="123"/>
      <c r="O315" s="123"/>
      <c r="P315" s="123"/>
      <c r="Q315" s="123"/>
      <c r="R315" s="123"/>
      <c r="S315" s="123"/>
      <c r="T315" s="123"/>
      <c r="U315" s="123"/>
      <c r="V315" s="123"/>
      <c r="W315" s="123"/>
      <c r="X315" s="123"/>
      <c r="Y315" s="123"/>
      <c r="Z315" s="123"/>
      <c r="AA315" s="123"/>
      <c r="AB315" s="123"/>
      <c r="AC315" s="123"/>
      <c r="AD315" s="123"/>
      <c r="AE315" s="123"/>
      <c r="AF315" s="123"/>
      <c r="AG315" s="123"/>
    </row>
    <row r="316" spans="1:33">
      <c r="A316" s="123"/>
      <c r="B316" s="123"/>
      <c r="C316" s="123"/>
      <c r="D316" s="123"/>
      <c r="E316" s="123"/>
      <c r="F316" s="123"/>
      <c r="G316" s="123"/>
      <c r="H316" s="123"/>
      <c r="I316" s="123"/>
      <c r="J316" s="123"/>
      <c r="K316" s="123"/>
      <c r="L316" s="123"/>
      <c r="M316" s="123"/>
      <c r="N316" s="123"/>
      <c r="O316" s="123"/>
      <c r="P316" s="123"/>
      <c r="Q316" s="123"/>
      <c r="R316" s="123"/>
      <c r="S316" s="123"/>
      <c r="T316" s="123"/>
      <c r="U316" s="123"/>
      <c r="V316" s="123"/>
      <c r="W316" s="123"/>
      <c r="X316" s="123"/>
      <c r="Y316" s="123"/>
      <c r="Z316" s="123"/>
      <c r="AA316" s="123"/>
      <c r="AB316" s="123"/>
      <c r="AC316" s="123"/>
      <c r="AD316" s="123"/>
      <c r="AE316" s="123"/>
      <c r="AF316" s="123"/>
      <c r="AG316" s="123"/>
    </row>
    <row r="317" spans="1:33">
      <c r="A317" s="123"/>
      <c r="B317" s="123"/>
      <c r="C317" s="123"/>
      <c r="D317" s="123"/>
      <c r="E317" s="123"/>
      <c r="F317" s="123"/>
      <c r="G317" s="123"/>
      <c r="H317" s="123"/>
      <c r="I317" s="123"/>
      <c r="J317" s="123"/>
      <c r="K317" s="123"/>
      <c r="L317" s="123"/>
      <c r="M317" s="123"/>
      <c r="N317" s="123"/>
      <c r="O317" s="123"/>
      <c r="P317" s="123"/>
      <c r="Q317" s="123"/>
      <c r="R317" s="123"/>
      <c r="S317" s="123"/>
      <c r="T317" s="123"/>
      <c r="U317" s="123"/>
      <c r="V317" s="123"/>
      <c r="W317" s="123"/>
      <c r="X317" s="123"/>
      <c r="Y317" s="123"/>
      <c r="Z317" s="123"/>
      <c r="AA317" s="123"/>
      <c r="AB317" s="123"/>
      <c r="AC317" s="123"/>
      <c r="AD317" s="123"/>
      <c r="AE317" s="123"/>
      <c r="AF317" s="123"/>
      <c r="AG317" s="123"/>
    </row>
    <row r="318" spans="1:33">
      <c r="A318" s="123"/>
      <c r="B318" s="123"/>
      <c r="C318" s="123"/>
      <c r="D318" s="123"/>
      <c r="E318" s="123"/>
      <c r="F318" s="123"/>
      <c r="G318" s="123"/>
      <c r="H318" s="123"/>
      <c r="I318" s="123"/>
      <c r="J318" s="123"/>
      <c r="K318" s="123"/>
      <c r="L318" s="123"/>
      <c r="M318" s="123"/>
      <c r="N318" s="123"/>
      <c r="O318" s="123"/>
      <c r="P318" s="123"/>
      <c r="Q318" s="123"/>
      <c r="R318" s="123"/>
      <c r="S318" s="123"/>
      <c r="T318" s="123"/>
      <c r="U318" s="123"/>
      <c r="V318" s="123"/>
      <c r="W318" s="123"/>
      <c r="X318" s="123"/>
      <c r="Y318" s="123"/>
      <c r="Z318" s="123"/>
      <c r="AA318" s="123"/>
      <c r="AB318" s="123"/>
      <c r="AC318" s="123"/>
      <c r="AD318" s="123"/>
      <c r="AE318" s="123"/>
      <c r="AF318" s="123"/>
      <c r="AG318" s="123"/>
    </row>
    <row r="319" spans="1:33">
      <c r="A319" s="123"/>
      <c r="B319" s="123"/>
      <c r="C319" s="123"/>
      <c r="D319" s="123"/>
      <c r="E319" s="123"/>
      <c r="F319" s="123"/>
      <c r="G319" s="123"/>
      <c r="H319" s="123"/>
      <c r="I319" s="123"/>
      <c r="J319" s="123"/>
      <c r="K319" s="123"/>
      <c r="L319" s="123"/>
      <c r="M319" s="123"/>
      <c r="N319" s="123"/>
      <c r="O319" s="123"/>
      <c r="P319" s="123"/>
      <c r="Q319" s="123"/>
      <c r="R319" s="123"/>
      <c r="S319" s="123"/>
      <c r="T319" s="123"/>
      <c r="U319" s="123"/>
      <c r="V319" s="123"/>
      <c r="W319" s="123"/>
      <c r="X319" s="123"/>
      <c r="Y319" s="123"/>
      <c r="Z319" s="123"/>
      <c r="AA319" s="123"/>
      <c r="AB319" s="123"/>
      <c r="AC319" s="123"/>
      <c r="AD319" s="123"/>
      <c r="AE319" s="123"/>
      <c r="AF319" s="123"/>
      <c r="AG319" s="123"/>
    </row>
    <row r="320" spans="1:33">
      <c r="A320" s="123"/>
      <c r="B320" s="123"/>
      <c r="C320" s="123"/>
      <c r="D320" s="123"/>
      <c r="E320" s="123"/>
      <c r="F320" s="123"/>
      <c r="G320" s="123"/>
      <c r="H320" s="123"/>
      <c r="I320" s="123"/>
      <c r="J320" s="123"/>
      <c r="K320" s="123"/>
      <c r="L320" s="123"/>
      <c r="M320" s="123"/>
      <c r="N320" s="123"/>
      <c r="O320" s="123"/>
      <c r="P320" s="123"/>
      <c r="Q320" s="123"/>
      <c r="R320" s="123"/>
      <c r="S320" s="123"/>
      <c r="T320" s="123"/>
      <c r="U320" s="123"/>
      <c r="V320" s="123"/>
      <c r="W320" s="123"/>
      <c r="X320" s="123"/>
      <c r="Y320" s="123"/>
      <c r="Z320" s="123"/>
      <c r="AA320" s="123"/>
      <c r="AB320" s="123"/>
      <c r="AC320" s="123"/>
      <c r="AD320" s="123"/>
      <c r="AE320" s="123"/>
      <c r="AF320" s="123"/>
      <c r="AG320" s="123"/>
    </row>
    <row r="321" spans="1:33">
      <c r="A321" s="123"/>
      <c r="B321" s="123"/>
      <c r="C321" s="123"/>
      <c r="D321" s="123"/>
      <c r="E321" s="123"/>
      <c r="F321" s="123"/>
      <c r="G321" s="123"/>
      <c r="H321" s="123"/>
      <c r="I321" s="123"/>
      <c r="J321" s="123"/>
      <c r="K321" s="123"/>
      <c r="L321" s="123"/>
      <c r="M321" s="123"/>
      <c r="N321" s="123"/>
      <c r="O321" s="123"/>
      <c r="P321" s="123"/>
      <c r="Q321" s="123"/>
      <c r="R321" s="123"/>
      <c r="S321" s="123"/>
      <c r="T321" s="123"/>
      <c r="U321" s="123"/>
      <c r="V321" s="123"/>
      <c r="W321" s="123"/>
      <c r="X321" s="123"/>
      <c r="Y321" s="123"/>
      <c r="Z321" s="123"/>
      <c r="AA321" s="123"/>
      <c r="AB321" s="123"/>
      <c r="AC321" s="123"/>
      <c r="AD321" s="123"/>
      <c r="AE321" s="123"/>
      <c r="AF321" s="123"/>
      <c r="AG321" s="123"/>
    </row>
    <row r="322" spans="1:33">
      <c r="A322" s="123"/>
      <c r="B322" s="123"/>
      <c r="C322" s="123"/>
      <c r="D322" s="123"/>
      <c r="E322" s="123"/>
      <c r="F322" s="123"/>
      <c r="G322" s="123"/>
      <c r="H322" s="123"/>
      <c r="I322" s="123"/>
      <c r="J322" s="123"/>
      <c r="K322" s="123"/>
      <c r="L322" s="123"/>
      <c r="M322" s="123"/>
      <c r="N322" s="123"/>
      <c r="O322" s="123"/>
      <c r="P322" s="123"/>
      <c r="Q322" s="123"/>
      <c r="R322" s="123"/>
      <c r="S322" s="123"/>
      <c r="T322" s="123"/>
      <c r="U322" s="123"/>
      <c r="V322" s="123"/>
      <c r="W322" s="123"/>
      <c r="X322" s="123"/>
      <c r="Y322" s="123"/>
      <c r="Z322" s="123"/>
      <c r="AA322" s="123"/>
      <c r="AB322" s="123"/>
      <c r="AC322" s="123"/>
      <c r="AD322" s="123"/>
      <c r="AE322" s="123"/>
      <c r="AF322" s="123"/>
      <c r="AG322" s="123"/>
    </row>
    <row r="323" spans="1:33">
      <c r="A323" s="123"/>
      <c r="B323" s="123"/>
      <c r="C323" s="123"/>
      <c r="D323" s="123"/>
      <c r="E323" s="123"/>
      <c r="F323" s="123"/>
      <c r="G323" s="123"/>
      <c r="H323" s="123"/>
      <c r="I323" s="123"/>
      <c r="J323" s="123"/>
      <c r="K323" s="123"/>
      <c r="L323" s="123"/>
      <c r="M323" s="123"/>
      <c r="N323" s="123"/>
      <c r="O323" s="123"/>
      <c r="P323" s="123"/>
      <c r="Q323" s="123"/>
      <c r="R323" s="123"/>
      <c r="S323" s="123"/>
      <c r="T323" s="123"/>
      <c r="U323" s="123"/>
      <c r="V323" s="123"/>
      <c r="W323" s="123"/>
      <c r="X323" s="123"/>
      <c r="Y323" s="123"/>
      <c r="Z323" s="123"/>
      <c r="AA323" s="123"/>
      <c r="AB323" s="123"/>
      <c r="AC323" s="123"/>
      <c r="AD323" s="123"/>
      <c r="AE323" s="123"/>
      <c r="AF323" s="123"/>
      <c r="AG323" s="123"/>
    </row>
    <row r="324" spans="1:33">
      <c r="A324" s="123"/>
      <c r="B324" s="123"/>
      <c r="C324" s="123"/>
      <c r="D324" s="123"/>
      <c r="E324" s="123"/>
      <c r="F324" s="123"/>
      <c r="G324" s="123"/>
      <c r="H324" s="123"/>
      <c r="I324" s="123"/>
      <c r="J324" s="123"/>
      <c r="K324" s="123"/>
      <c r="L324" s="123"/>
      <c r="M324" s="123"/>
      <c r="N324" s="123"/>
      <c r="O324" s="123"/>
      <c r="P324" s="123"/>
      <c r="Q324" s="123"/>
      <c r="R324" s="123"/>
      <c r="S324" s="123"/>
      <c r="T324" s="123"/>
      <c r="U324" s="123"/>
      <c r="V324" s="123"/>
      <c r="W324" s="123"/>
      <c r="X324" s="123"/>
      <c r="Y324" s="123"/>
      <c r="Z324" s="123"/>
      <c r="AA324" s="123"/>
      <c r="AB324" s="123"/>
      <c r="AC324" s="123"/>
      <c r="AD324" s="123"/>
      <c r="AE324" s="123"/>
      <c r="AF324" s="123"/>
      <c r="AG324" s="123"/>
    </row>
    <row r="325" spans="1:33">
      <c r="A325" s="123"/>
      <c r="B325" s="123"/>
      <c r="C325" s="123"/>
      <c r="D325" s="123"/>
      <c r="E325" s="123"/>
      <c r="F325" s="123"/>
      <c r="G325" s="123"/>
      <c r="H325" s="123"/>
      <c r="I325" s="123"/>
      <c r="J325" s="123"/>
      <c r="K325" s="123"/>
      <c r="L325" s="123"/>
      <c r="M325" s="123"/>
      <c r="N325" s="123"/>
      <c r="O325" s="123"/>
      <c r="P325" s="123"/>
      <c r="Q325" s="123"/>
      <c r="R325" s="123"/>
      <c r="S325" s="123"/>
      <c r="T325" s="123"/>
      <c r="U325" s="123"/>
      <c r="V325" s="123"/>
      <c r="W325" s="123"/>
      <c r="X325" s="123"/>
      <c r="Y325" s="123"/>
      <c r="Z325" s="123"/>
      <c r="AA325" s="123"/>
      <c r="AB325" s="123"/>
      <c r="AC325" s="123"/>
      <c r="AD325" s="123"/>
      <c r="AE325" s="123"/>
      <c r="AF325" s="123"/>
      <c r="AG325" s="123"/>
    </row>
    <row r="326" spans="1:33">
      <c r="A326" s="123"/>
      <c r="B326" s="123"/>
      <c r="C326" s="123"/>
      <c r="D326" s="123"/>
      <c r="E326" s="123"/>
      <c r="F326" s="123"/>
      <c r="G326" s="123"/>
      <c r="H326" s="123"/>
      <c r="I326" s="123"/>
      <c r="J326" s="123"/>
      <c r="K326" s="123"/>
      <c r="L326" s="123"/>
      <c r="M326" s="123"/>
      <c r="N326" s="123"/>
      <c r="O326" s="123"/>
      <c r="P326" s="123"/>
      <c r="Q326" s="123"/>
      <c r="R326" s="123"/>
      <c r="S326" s="123"/>
      <c r="T326" s="123"/>
      <c r="U326" s="123"/>
      <c r="V326" s="123"/>
      <c r="W326" s="123"/>
      <c r="X326" s="123"/>
      <c r="Y326" s="123"/>
      <c r="Z326" s="123"/>
      <c r="AA326" s="123"/>
      <c r="AB326" s="123"/>
      <c r="AC326" s="123"/>
      <c r="AD326" s="123"/>
      <c r="AE326" s="123"/>
      <c r="AF326" s="123"/>
      <c r="AG326" s="123"/>
    </row>
    <row r="327" spans="1:33">
      <c r="A327" s="123"/>
      <c r="B327" s="123"/>
      <c r="C327" s="123"/>
      <c r="D327" s="123"/>
      <c r="E327" s="123"/>
      <c r="F327" s="123"/>
      <c r="G327" s="123"/>
      <c r="H327" s="123"/>
      <c r="I327" s="123"/>
      <c r="J327" s="123"/>
      <c r="K327" s="123"/>
      <c r="L327" s="123"/>
      <c r="M327" s="123"/>
      <c r="N327" s="123"/>
      <c r="O327" s="123"/>
      <c r="P327" s="123"/>
      <c r="Q327" s="123"/>
      <c r="R327" s="123"/>
      <c r="S327" s="123"/>
      <c r="T327" s="123"/>
      <c r="U327" s="123"/>
      <c r="V327" s="123"/>
      <c r="W327" s="123"/>
      <c r="X327" s="123"/>
      <c r="Y327" s="123"/>
      <c r="Z327" s="123"/>
      <c r="AA327" s="123"/>
      <c r="AB327" s="123"/>
      <c r="AC327" s="123"/>
      <c r="AD327" s="123"/>
      <c r="AE327" s="123"/>
      <c r="AF327" s="123"/>
      <c r="AG327" s="123"/>
    </row>
    <row r="328" spans="1:33">
      <c r="A328" s="123"/>
      <c r="B328" s="123"/>
      <c r="C328" s="123"/>
      <c r="D328" s="123"/>
      <c r="E328" s="123"/>
      <c r="F328" s="123"/>
      <c r="G328" s="123"/>
      <c r="H328" s="123"/>
      <c r="I328" s="123"/>
      <c r="J328" s="123"/>
      <c r="K328" s="123"/>
      <c r="L328" s="123"/>
      <c r="M328" s="123"/>
      <c r="N328" s="123"/>
      <c r="O328" s="123"/>
      <c r="P328" s="123"/>
      <c r="Q328" s="123"/>
      <c r="R328" s="123"/>
      <c r="S328" s="123"/>
      <c r="T328" s="123"/>
      <c r="U328" s="123"/>
      <c r="V328" s="123"/>
      <c r="W328" s="123"/>
      <c r="X328" s="123"/>
      <c r="Y328" s="123"/>
      <c r="Z328" s="123"/>
      <c r="AA328" s="123"/>
      <c r="AB328" s="123"/>
      <c r="AC328" s="123"/>
      <c r="AD328" s="123"/>
      <c r="AE328" s="123"/>
      <c r="AF328" s="123"/>
      <c r="AG328" s="123"/>
    </row>
    <row r="329" spans="1:33">
      <c r="A329" s="123"/>
      <c r="B329" s="123"/>
      <c r="C329" s="123"/>
      <c r="D329" s="123"/>
      <c r="E329" s="123"/>
      <c r="F329" s="123"/>
      <c r="G329" s="123"/>
      <c r="H329" s="123"/>
      <c r="I329" s="123"/>
      <c r="J329" s="123"/>
      <c r="K329" s="123"/>
      <c r="L329" s="123"/>
      <c r="M329" s="123"/>
      <c r="N329" s="123"/>
      <c r="O329" s="123"/>
      <c r="P329" s="123"/>
      <c r="Q329" s="123"/>
      <c r="R329" s="123"/>
      <c r="S329" s="123"/>
      <c r="T329" s="123"/>
      <c r="U329" s="123"/>
      <c r="V329" s="123"/>
      <c r="W329" s="123"/>
      <c r="X329" s="123"/>
      <c r="Y329" s="123"/>
      <c r="Z329" s="123"/>
      <c r="AA329" s="123"/>
      <c r="AB329" s="123"/>
      <c r="AC329" s="123"/>
      <c r="AD329" s="123"/>
      <c r="AE329" s="123"/>
      <c r="AF329" s="123"/>
      <c r="AG329" s="123"/>
    </row>
    <row r="330" spans="1:33">
      <c r="A330" s="123"/>
      <c r="B330" s="123"/>
      <c r="C330" s="123"/>
      <c r="D330" s="123"/>
      <c r="E330" s="123"/>
      <c r="F330" s="123"/>
      <c r="G330" s="123"/>
      <c r="H330" s="123"/>
      <c r="I330" s="123"/>
      <c r="J330" s="123"/>
      <c r="K330" s="123"/>
      <c r="L330" s="123"/>
      <c r="M330" s="123"/>
      <c r="N330" s="123"/>
      <c r="O330" s="123"/>
      <c r="P330" s="123"/>
      <c r="Q330" s="123"/>
      <c r="R330" s="123"/>
      <c r="S330" s="123"/>
      <c r="T330" s="123"/>
      <c r="U330" s="123"/>
      <c r="V330" s="123"/>
      <c r="W330" s="123"/>
      <c r="X330" s="123"/>
      <c r="Y330" s="123"/>
      <c r="Z330" s="123"/>
      <c r="AA330" s="123"/>
      <c r="AB330" s="123"/>
      <c r="AC330" s="123"/>
      <c r="AD330" s="123"/>
      <c r="AE330" s="123"/>
      <c r="AF330" s="123"/>
      <c r="AG330" s="123"/>
    </row>
    <row r="331" spans="1:33">
      <c r="A331" s="123"/>
      <c r="B331" s="123"/>
      <c r="C331" s="123"/>
      <c r="D331" s="123"/>
      <c r="E331" s="123"/>
      <c r="F331" s="123"/>
      <c r="G331" s="123"/>
      <c r="H331" s="123"/>
      <c r="I331" s="123"/>
      <c r="J331" s="123"/>
      <c r="K331" s="123"/>
      <c r="L331" s="123"/>
      <c r="M331" s="123"/>
      <c r="N331" s="123"/>
      <c r="O331" s="123"/>
      <c r="P331" s="123"/>
      <c r="Q331" s="123"/>
      <c r="R331" s="123"/>
      <c r="S331" s="123"/>
      <c r="T331" s="123"/>
      <c r="U331" s="123"/>
      <c r="V331" s="123"/>
      <c r="W331" s="123"/>
      <c r="X331" s="123"/>
      <c r="Y331" s="123"/>
      <c r="Z331" s="123"/>
      <c r="AA331" s="123"/>
      <c r="AB331" s="123"/>
      <c r="AC331" s="123"/>
      <c r="AD331" s="123"/>
      <c r="AE331" s="123"/>
      <c r="AF331" s="123"/>
      <c r="AG331" s="123"/>
    </row>
    <row r="332" spans="1:33">
      <c r="A332" s="123"/>
      <c r="B332" s="123"/>
      <c r="C332" s="123"/>
      <c r="D332" s="123"/>
      <c r="E332" s="123"/>
      <c r="F332" s="123"/>
      <c r="G332" s="123"/>
      <c r="H332" s="123"/>
      <c r="I332" s="123"/>
      <c r="J332" s="123"/>
      <c r="K332" s="123"/>
      <c r="L332" s="123"/>
      <c r="M332" s="123"/>
      <c r="N332" s="123"/>
      <c r="O332" s="123"/>
      <c r="P332" s="123"/>
      <c r="Q332" s="123"/>
      <c r="R332" s="123"/>
      <c r="S332" s="123"/>
      <c r="T332" s="123"/>
      <c r="U332" s="123"/>
      <c r="V332" s="123"/>
      <c r="W332" s="123"/>
      <c r="X332" s="123"/>
      <c r="Y332" s="123"/>
      <c r="Z332" s="123"/>
      <c r="AA332" s="123"/>
      <c r="AB332" s="123"/>
      <c r="AC332" s="123"/>
      <c r="AD332" s="123"/>
      <c r="AE332" s="123"/>
      <c r="AF332" s="123"/>
      <c r="AG332" s="123"/>
    </row>
    <row r="333" spans="1:33">
      <c r="A333" s="123"/>
      <c r="B333" s="123"/>
      <c r="C333" s="123"/>
      <c r="D333" s="123"/>
      <c r="E333" s="123"/>
      <c r="F333" s="123"/>
      <c r="G333" s="123"/>
      <c r="H333" s="123"/>
      <c r="I333" s="123"/>
      <c r="J333" s="123"/>
      <c r="K333" s="123"/>
      <c r="L333" s="123"/>
      <c r="M333" s="123"/>
      <c r="N333" s="123"/>
      <c r="O333" s="123"/>
      <c r="P333" s="123"/>
      <c r="Q333" s="123"/>
      <c r="R333" s="123"/>
      <c r="S333" s="123"/>
      <c r="T333" s="123"/>
      <c r="U333" s="123"/>
      <c r="V333" s="123"/>
      <c r="W333" s="123"/>
      <c r="X333" s="123"/>
      <c r="Y333" s="123"/>
      <c r="Z333" s="123"/>
      <c r="AA333" s="123"/>
      <c r="AB333" s="123"/>
      <c r="AC333" s="123"/>
      <c r="AD333" s="123"/>
      <c r="AE333" s="123"/>
      <c r="AF333" s="123"/>
      <c r="AG333" s="123"/>
    </row>
    <row r="334" spans="1:33">
      <c r="A334" s="123"/>
      <c r="B334" s="123"/>
      <c r="C334" s="123"/>
      <c r="D334" s="123"/>
      <c r="E334" s="123"/>
      <c r="F334" s="123"/>
      <c r="G334" s="123"/>
      <c r="H334" s="123"/>
      <c r="I334" s="123"/>
      <c r="J334" s="123"/>
      <c r="K334" s="123"/>
      <c r="L334" s="123"/>
      <c r="M334" s="123"/>
      <c r="N334" s="123"/>
      <c r="O334" s="123"/>
      <c r="P334" s="123"/>
      <c r="Q334" s="123"/>
      <c r="R334" s="123"/>
      <c r="S334" s="123"/>
      <c r="T334" s="123"/>
      <c r="U334" s="123"/>
      <c r="V334" s="123"/>
      <c r="W334" s="123"/>
      <c r="X334" s="123"/>
      <c r="Y334" s="123"/>
      <c r="Z334" s="123"/>
      <c r="AA334" s="123"/>
      <c r="AB334" s="123"/>
      <c r="AC334" s="123"/>
      <c r="AD334" s="123"/>
      <c r="AE334" s="123"/>
      <c r="AF334" s="123"/>
      <c r="AG334" s="123"/>
    </row>
    <row r="335" spans="1:33">
      <c r="A335" s="123"/>
      <c r="B335" s="123"/>
      <c r="C335" s="123"/>
      <c r="D335" s="123"/>
      <c r="E335" s="123"/>
      <c r="F335" s="123"/>
      <c r="G335" s="123"/>
      <c r="H335" s="123"/>
      <c r="I335" s="123"/>
      <c r="J335" s="123"/>
      <c r="K335" s="123"/>
      <c r="L335" s="123"/>
      <c r="M335" s="123"/>
      <c r="N335" s="123"/>
      <c r="O335" s="123"/>
      <c r="P335" s="123"/>
      <c r="Q335" s="123"/>
      <c r="R335" s="123"/>
      <c r="S335" s="123"/>
      <c r="T335" s="123"/>
      <c r="U335" s="123"/>
      <c r="V335" s="123"/>
      <c r="W335" s="123"/>
      <c r="X335" s="123"/>
      <c r="Y335" s="123"/>
      <c r="Z335" s="123"/>
      <c r="AA335" s="123"/>
      <c r="AB335" s="123"/>
      <c r="AC335" s="123"/>
      <c r="AD335" s="123"/>
      <c r="AE335" s="123"/>
      <c r="AF335" s="123"/>
      <c r="AG335" s="123"/>
    </row>
    <row r="336" spans="1:33">
      <c r="A336" s="123"/>
      <c r="B336" s="123"/>
      <c r="C336" s="123"/>
      <c r="D336" s="123"/>
      <c r="E336" s="123"/>
      <c r="F336" s="123"/>
      <c r="G336" s="123"/>
      <c r="H336" s="123"/>
      <c r="I336" s="123"/>
      <c r="J336" s="123"/>
      <c r="K336" s="123"/>
      <c r="L336" s="123"/>
      <c r="M336" s="123"/>
      <c r="N336" s="123"/>
      <c r="O336" s="123"/>
      <c r="P336" s="123"/>
      <c r="Q336" s="123"/>
      <c r="R336" s="123"/>
      <c r="S336" s="123"/>
      <c r="T336" s="123"/>
      <c r="U336" s="123"/>
      <c r="V336" s="123"/>
      <c r="W336" s="123"/>
      <c r="X336" s="123"/>
      <c r="Y336" s="123"/>
      <c r="Z336" s="123"/>
      <c r="AA336" s="123"/>
      <c r="AB336" s="123"/>
      <c r="AC336" s="123"/>
      <c r="AD336" s="123"/>
      <c r="AE336" s="123"/>
      <c r="AF336" s="123"/>
      <c r="AG336" s="123"/>
    </row>
    <row r="337" spans="1:33">
      <c r="A337" s="123"/>
      <c r="B337" s="123"/>
      <c r="C337" s="123"/>
      <c r="D337" s="123"/>
      <c r="E337" s="123"/>
      <c r="F337" s="123"/>
      <c r="G337" s="123"/>
      <c r="H337" s="123"/>
      <c r="I337" s="123"/>
      <c r="J337" s="123"/>
      <c r="K337" s="123"/>
      <c r="L337" s="123"/>
      <c r="M337" s="123"/>
      <c r="N337" s="123"/>
      <c r="O337" s="123"/>
      <c r="P337" s="123"/>
      <c r="Q337" s="123"/>
      <c r="R337" s="123"/>
      <c r="S337" s="123"/>
      <c r="T337" s="123"/>
      <c r="U337" s="123"/>
      <c r="V337" s="123"/>
      <c r="W337" s="123"/>
      <c r="X337" s="123"/>
      <c r="Y337" s="123"/>
      <c r="Z337" s="123"/>
      <c r="AA337" s="123"/>
      <c r="AB337" s="123"/>
      <c r="AC337" s="123"/>
      <c r="AD337" s="123"/>
      <c r="AE337" s="123"/>
      <c r="AF337" s="123"/>
      <c r="AG337" s="123"/>
    </row>
    <row r="338" spans="1:33">
      <c r="A338" s="123"/>
      <c r="B338" s="123"/>
      <c r="C338" s="123"/>
      <c r="D338" s="123"/>
      <c r="E338" s="123"/>
      <c r="F338" s="123"/>
      <c r="G338" s="123"/>
      <c r="H338" s="123"/>
      <c r="I338" s="123"/>
      <c r="J338" s="123"/>
      <c r="K338" s="123"/>
      <c r="L338" s="123"/>
      <c r="M338" s="123"/>
      <c r="N338" s="123"/>
      <c r="O338" s="123"/>
      <c r="P338" s="123"/>
      <c r="Q338" s="123"/>
      <c r="R338" s="123"/>
      <c r="S338" s="123"/>
      <c r="T338" s="123"/>
      <c r="U338" s="123"/>
      <c r="V338" s="123"/>
      <c r="W338" s="123"/>
      <c r="X338" s="123"/>
      <c r="Y338" s="123"/>
      <c r="Z338" s="123"/>
      <c r="AA338" s="123"/>
      <c r="AB338" s="123"/>
      <c r="AC338" s="123"/>
      <c r="AD338" s="123"/>
      <c r="AE338" s="123"/>
      <c r="AF338" s="123"/>
      <c r="AG338" s="123"/>
    </row>
    <row r="339" spans="1:33">
      <c r="A339" s="123"/>
      <c r="B339" s="123"/>
      <c r="C339" s="123"/>
      <c r="D339" s="123"/>
      <c r="E339" s="123"/>
      <c r="F339" s="123"/>
      <c r="G339" s="123"/>
      <c r="H339" s="123"/>
      <c r="I339" s="123"/>
      <c r="J339" s="123"/>
      <c r="K339" s="123"/>
      <c r="L339" s="123"/>
      <c r="M339" s="123"/>
      <c r="N339" s="123"/>
      <c r="O339" s="123"/>
      <c r="P339" s="123"/>
      <c r="Q339" s="123"/>
      <c r="R339" s="123"/>
      <c r="S339" s="123"/>
      <c r="T339" s="123"/>
      <c r="U339" s="123"/>
      <c r="V339" s="123"/>
      <c r="W339" s="123"/>
      <c r="X339" s="123"/>
      <c r="Y339" s="123"/>
      <c r="Z339" s="123"/>
      <c r="AA339" s="123"/>
      <c r="AB339" s="123"/>
      <c r="AC339" s="123"/>
      <c r="AD339" s="123"/>
      <c r="AE339" s="123"/>
      <c r="AF339" s="123"/>
      <c r="AG339" s="123"/>
    </row>
    <row r="340" spans="1:33">
      <c r="A340" s="123"/>
      <c r="B340" s="123"/>
      <c r="C340" s="123"/>
      <c r="D340" s="123"/>
      <c r="E340" s="123"/>
      <c r="F340" s="123"/>
      <c r="G340" s="123"/>
      <c r="H340" s="123"/>
      <c r="I340" s="123"/>
      <c r="J340" s="123"/>
      <c r="K340" s="123"/>
      <c r="L340" s="123"/>
      <c r="M340" s="123"/>
      <c r="N340" s="123"/>
      <c r="O340" s="123"/>
      <c r="P340" s="123"/>
      <c r="Q340" s="123"/>
      <c r="R340" s="123"/>
      <c r="S340" s="123"/>
      <c r="T340" s="123"/>
      <c r="U340" s="123"/>
      <c r="V340" s="123"/>
      <c r="W340" s="123"/>
      <c r="X340" s="123"/>
      <c r="Y340" s="123"/>
      <c r="Z340" s="123"/>
      <c r="AA340" s="123"/>
      <c r="AB340" s="123"/>
      <c r="AC340" s="123"/>
      <c r="AD340" s="123"/>
      <c r="AE340" s="123"/>
      <c r="AF340" s="123"/>
      <c r="AG340" s="123"/>
    </row>
    <row r="341" spans="1:33">
      <c r="A341" s="123"/>
      <c r="B341" s="123"/>
      <c r="C341" s="123"/>
      <c r="D341" s="123"/>
      <c r="E341" s="123"/>
      <c r="F341" s="123"/>
      <c r="G341" s="123"/>
      <c r="H341" s="123"/>
      <c r="I341" s="123"/>
      <c r="J341" s="123"/>
      <c r="K341" s="123"/>
      <c r="L341" s="123"/>
      <c r="M341" s="123"/>
      <c r="N341" s="123"/>
      <c r="O341" s="123"/>
      <c r="P341" s="123"/>
      <c r="Q341" s="123"/>
      <c r="R341" s="123"/>
      <c r="S341" s="123"/>
      <c r="T341" s="123"/>
      <c r="U341" s="123"/>
      <c r="V341" s="123"/>
      <c r="W341" s="123"/>
      <c r="X341" s="123"/>
      <c r="Y341" s="123"/>
      <c r="Z341" s="123"/>
      <c r="AA341" s="123"/>
      <c r="AB341" s="123"/>
      <c r="AC341" s="123"/>
      <c r="AD341" s="123"/>
      <c r="AE341" s="123"/>
      <c r="AF341" s="123"/>
      <c r="AG341" s="123"/>
    </row>
    <row r="342" spans="1:33">
      <c r="A342" s="123"/>
      <c r="B342" s="123"/>
      <c r="C342" s="123"/>
      <c r="D342" s="123"/>
      <c r="E342" s="123"/>
      <c r="F342" s="123"/>
      <c r="G342" s="123"/>
      <c r="H342" s="123"/>
      <c r="I342" s="123"/>
      <c r="J342" s="123"/>
      <c r="K342" s="123"/>
      <c r="L342" s="123"/>
      <c r="M342" s="123"/>
      <c r="N342" s="123"/>
      <c r="O342" s="123"/>
      <c r="P342" s="123"/>
      <c r="Q342" s="123"/>
      <c r="R342" s="123"/>
      <c r="S342" s="123"/>
      <c r="T342" s="123"/>
      <c r="U342" s="123"/>
      <c r="V342" s="123"/>
      <c r="W342" s="123"/>
      <c r="X342" s="123"/>
      <c r="Y342" s="123"/>
      <c r="Z342" s="123"/>
      <c r="AA342" s="123"/>
      <c r="AB342" s="123"/>
      <c r="AC342" s="123"/>
      <c r="AD342" s="123"/>
      <c r="AE342" s="123"/>
      <c r="AF342" s="123"/>
      <c r="AG342" s="123"/>
    </row>
    <row r="343" spans="1:33">
      <c r="A343" s="123"/>
      <c r="B343" s="123"/>
      <c r="C343" s="123"/>
      <c r="D343" s="123"/>
      <c r="E343" s="123"/>
      <c r="F343" s="123"/>
      <c r="G343" s="123"/>
      <c r="H343" s="123"/>
      <c r="I343" s="123"/>
      <c r="J343" s="123"/>
      <c r="K343" s="123"/>
      <c r="L343" s="123"/>
      <c r="M343" s="123"/>
      <c r="N343" s="123"/>
      <c r="O343" s="123"/>
      <c r="P343" s="123"/>
      <c r="Q343" s="123"/>
      <c r="R343" s="123"/>
      <c r="S343" s="123"/>
      <c r="T343" s="123"/>
      <c r="U343" s="123"/>
      <c r="V343" s="123"/>
      <c r="W343" s="123"/>
      <c r="X343" s="123"/>
      <c r="Y343" s="123"/>
      <c r="Z343" s="123"/>
      <c r="AA343" s="123"/>
      <c r="AB343" s="123"/>
      <c r="AC343" s="123"/>
      <c r="AD343" s="123"/>
      <c r="AE343" s="123"/>
      <c r="AF343" s="123"/>
      <c r="AG343" s="123"/>
    </row>
    <row r="344" spans="1:33">
      <c r="A344" s="123"/>
      <c r="B344" s="123"/>
      <c r="C344" s="123"/>
      <c r="D344" s="123"/>
      <c r="E344" s="123"/>
      <c r="F344" s="123"/>
      <c r="G344" s="123"/>
      <c r="H344" s="123"/>
      <c r="I344" s="123"/>
      <c r="J344" s="123"/>
      <c r="K344" s="123"/>
      <c r="L344" s="123"/>
      <c r="M344" s="123"/>
      <c r="N344" s="123"/>
      <c r="O344" s="123"/>
      <c r="P344" s="123"/>
      <c r="Q344" s="123"/>
      <c r="R344" s="123"/>
      <c r="S344" s="123"/>
      <c r="T344" s="123"/>
      <c r="U344" s="123"/>
      <c r="V344" s="123"/>
      <c r="W344" s="123"/>
      <c r="X344" s="123"/>
      <c r="Y344" s="123"/>
      <c r="Z344" s="123"/>
      <c r="AA344" s="123"/>
      <c r="AB344" s="123"/>
      <c r="AC344" s="123"/>
      <c r="AD344" s="123"/>
      <c r="AE344" s="123"/>
      <c r="AF344" s="123"/>
      <c r="AG344" s="123"/>
    </row>
    <row r="345" spans="1:33">
      <c r="A345" s="123"/>
      <c r="B345" s="123"/>
      <c r="C345" s="123"/>
      <c r="D345" s="123"/>
      <c r="E345" s="123"/>
      <c r="F345" s="123"/>
      <c r="G345" s="123"/>
      <c r="H345" s="123"/>
      <c r="I345" s="123"/>
      <c r="J345" s="123"/>
      <c r="K345" s="123"/>
      <c r="L345" s="123"/>
      <c r="M345" s="123"/>
      <c r="N345" s="123"/>
      <c r="O345" s="123"/>
      <c r="P345" s="123"/>
      <c r="Q345" s="123"/>
      <c r="R345" s="123"/>
      <c r="S345" s="123"/>
      <c r="T345" s="123"/>
      <c r="U345" s="123"/>
      <c r="V345" s="123"/>
      <c r="W345" s="123"/>
      <c r="X345" s="123"/>
      <c r="Y345" s="123"/>
      <c r="Z345" s="123"/>
      <c r="AA345" s="123"/>
      <c r="AB345" s="123"/>
      <c r="AC345" s="123"/>
      <c r="AD345" s="123"/>
      <c r="AE345" s="123"/>
      <c r="AF345" s="123"/>
      <c r="AG345" s="123"/>
    </row>
    <row r="346" spans="1:33">
      <c r="A346" s="123"/>
      <c r="B346" s="123"/>
      <c r="C346" s="123"/>
      <c r="D346" s="123"/>
      <c r="E346" s="123"/>
      <c r="F346" s="123"/>
      <c r="G346" s="123"/>
      <c r="H346" s="123"/>
      <c r="I346" s="123"/>
      <c r="J346" s="123"/>
      <c r="K346" s="123"/>
      <c r="L346" s="123"/>
      <c r="M346" s="123"/>
      <c r="N346" s="123"/>
      <c r="O346" s="123"/>
      <c r="P346" s="123"/>
      <c r="Q346" s="123"/>
      <c r="R346" s="123"/>
      <c r="S346" s="123"/>
      <c r="T346" s="123"/>
      <c r="U346" s="123"/>
      <c r="V346" s="123"/>
      <c r="W346" s="123"/>
      <c r="X346" s="123"/>
      <c r="Y346" s="123"/>
      <c r="Z346" s="123"/>
      <c r="AA346" s="123"/>
      <c r="AB346" s="123"/>
      <c r="AC346" s="123"/>
      <c r="AD346" s="123"/>
      <c r="AE346" s="123"/>
      <c r="AF346" s="123"/>
      <c r="AG346" s="123"/>
    </row>
    <row r="347" spans="1:33">
      <c r="A347" s="123"/>
      <c r="B347" s="123"/>
      <c r="C347" s="123"/>
      <c r="D347" s="123"/>
      <c r="E347" s="123"/>
      <c r="F347" s="123"/>
      <c r="G347" s="123"/>
      <c r="H347" s="123"/>
      <c r="I347" s="123"/>
      <c r="J347" s="123"/>
      <c r="K347" s="123"/>
      <c r="L347" s="123"/>
      <c r="M347" s="123"/>
      <c r="N347" s="123"/>
      <c r="O347" s="123"/>
      <c r="P347" s="123"/>
      <c r="Q347" s="123"/>
      <c r="R347" s="123"/>
      <c r="S347" s="123"/>
      <c r="T347" s="123"/>
      <c r="U347" s="123"/>
      <c r="V347" s="123"/>
      <c r="W347" s="123"/>
      <c r="X347" s="123"/>
      <c r="Y347" s="123"/>
      <c r="Z347" s="123"/>
      <c r="AA347" s="123"/>
      <c r="AB347" s="123"/>
      <c r="AC347" s="123"/>
      <c r="AD347" s="123"/>
      <c r="AE347" s="123"/>
      <c r="AF347" s="123"/>
      <c r="AG347" s="123"/>
    </row>
    <row r="348" spans="1:33">
      <c r="A348" s="123"/>
      <c r="B348" s="123"/>
      <c r="C348" s="123"/>
      <c r="D348" s="123"/>
      <c r="E348" s="123"/>
      <c r="F348" s="123"/>
      <c r="G348" s="123"/>
      <c r="H348" s="123"/>
      <c r="I348" s="123"/>
      <c r="J348" s="123"/>
      <c r="K348" s="123"/>
      <c r="L348" s="123"/>
      <c r="M348" s="123"/>
      <c r="N348" s="123"/>
      <c r="O348" s="123"/>
      <c r="P348" s="123"/>
      <c r="Q348" s="123"/>
      <c r="R348" s="123"/>
      <c r="S348" s="123"/>
      <c r="T348" s="123"/>
      <c r="U348" s="123"/>
      <c r="V348" s="123"/>
      <c r="W348" s="123"/>
      <c r="X348" s="123"/>
      <c r="Y348" s="123"/>
      <c r="Z348" s="123"/>
      <c r="AA348" s="123"/>
      <c r="AB348" s="123"/>
      <c r="AC348" s="123"/>
      <c r="AD348" s="123"/>
      <c r="AE348" s="123"/>
      <c r="AF348" s="123"/>
      <c r="AG348" s="123"/>
    </row>
    <row r="349" spans="1:33">
      <c r="A349" s="123"/>
      <c r="B349" s="123"/>
      <c r="C349" s="123"/>
      <c r="D349" s="123"/>
      <c r="E349" s="123"/>
      <c r="F349" s="123"/>
      <c r="G349" s="123"/>
      <c r="H349" s="123"/>
      <c r="I349" s="123"/>
      <c r="J349" s="123"/>
      <c r="K349" s="123"/>
      <c r="L349" s="123"/>
      <c r="M349" s="123"/>
      <c r="N349" s="123"/>
      <c r="O349" s="123"/>
      <c r="P349" s="123"/>
      <c r="Q349" s="123"/>
      <c r="R349" s="123"/>
      <c r="S349" s="123"/>
      <c r="T349" s="123"/>
      <c r="U349" s="123"/>
      <c r="V349" s="123"/>
      <c r="W349" s="123"/>
      <c r="X349" s="123"/>
      <c r="Y349" s="123"/>
      <c r="Z349" s="123"/>
      <c r="AA349" s="123"/>
      <c r="AB349" s="123"/>
      <c r="AC349" s="123"/>
      <c r="AD349" s="123"/>
      <c r="AE349" s="123"/>
      <c r="AF349" s="123"/>
      <c r="AG349" s="123"/>
    </row>
    <row r="350" spans="1:33">
      <c r="A350" s="123"/>
      <c r="B350" s="123"/>
      <c r="C350" s="123"/>
      <c r="D350" s="123"/>
      <c r="E350" s="123"/>
      <c r="F350" s="123"/>
      <c r="G350" s="123"/>
      <c r="H350" s="123"/>
      <c r="I350" s="123"/>
      <c r="J350" s="123"/>
      <c r="K350" s="123"/>
      <c r="L350" s="123"/>
      <c r="M350" s="123"/>
      <c r="N350" s="123"/>
      <c r="O350" s="123"/>
      <c r="P350" s="123"/>
      <c r="Q350" s="123"/>
      <c r="R350" s="123"/>
      <c r="S350" s="123"/>
      <c r="T350" s="123"/>
      <c r="U350" s="123"/>
      <c r="V350" s="123"/>
      <c r="W350" s="123"/>
      <c r="X350" s="123"/>
      <c r="Y350" s="123"/>
      <c r="Z350" s="123"/>
      <c r="AA350" s="123"/>
      <c r="AB350" s="123"/>
      <c r="AC350" s="123"/>
      <c r="AD350" s="123"/>
      <c r="AE350" s="123"/>
      <c r="AF350" s="123"/>
      <c r="AG350" s="123"/>
    </row>
    <row r="351" spans="1:33">
      <c r="A351" s="123"/>
      <c r="B351" s="123"/>
      <c r="C351" s="123"/>
      <c r="D351" s="123"/>
      <c r="E351" s="123"/>
      <c r="F351" s="123"/>
      <c r="G351" s="123"/>
      <c r="H351" s="123"/>
      <c r="I351" s="123"/>
      <c r="J351" s="123"/>
      <c r="K351" s="123"/>
      <c r="L351" s="123"/>
      <c r="M351" s="123"/>
      <c r="N351" s="123"/>
      <c r="O351" s="123"/>
      <c r="P351" s="123"/>
      <c r="Q351" s="123"/>
      <c r="R351" s="123"/>
      <c r="S351" s="123"/>
      <c r="T351" s="123"/>
      <c r="U351" s="123"/>
      <c r="V351" s="123"/>
      <c r="W351" s="123"/>
      <c r="X351" s="123"/>
      <c r="Y351" s="123"/>
      <c r="Z351" s="123"/>
      <c r="AA351" s="123"/>
      <c r="AB351" s="123"/>
      <c r="AC351" s="123"/>
      <c r="AD351" s="123"/>
      <c r="AE351" s="123"/>
      <c r="AF351" s="123"/>
      <c r="AG351" s="123"/>
    </row>
    <row r="352" spans="1:33">
      <c r="A352" s="123"/>
      <c r="B352" s="123"/>
      <c r="C352" s="123"/>
      <c r="D352" s="123"/>
      <c r="E352" s="123"/>
      <c r="F352" s="123"/>
      <c r="G352" s="123"/>
      <c r="H352" s="123"/>
      <c r="I352" s="123"/>
      <c r="J352" s="123"/>
      <c r="K352" s="123"/>
      <c r="L352" s="123"/>
      <c r="M352" s="123"/>
      <c r="N352" s="123"/>
      <c r="O352" s="123"/>
      <c r="P352" s="123"/>
      <c r="Q352" s="123"/>
      <c r="R352" s="123"/>
      <c r="S352" s="123"/>
      <c r="T352" s="123"/>
      <c r="U352" s="123"/>
      <c r="V352" s="123"/>
      <c r="W352" s="123"/>
      <c r="X352" s="123"/>
      <c r="Y352" s="123"/>
      <c r="Z352" s="123"/>
      <c r="AA352" s="123"/>
      <c r="AB352" s="123"/>
      <c r="AC352" s="123"/>
      <c r="AD352" s="123"/>
      <c r="AE352" s="123"/>
      <c r="AF352" s="123"/>
      <c r="AG352" s="123"/>
    </row>
    <row r="353" spans="1:33">
      <c r="A353" s="123"/>
      <c r="B353" s="123"/>
      <c r="C353" s="123"/>
      <c r="D353" s="123"/>
      <c r="E353" s="123"/>
      <c r="F353" s="123"/>
      <c r="G353" s="123"/>
      <c r="H353" s="123"/>
      <c r="I353" s="123"/>
      <c r="J353" s="123"/>
      <c r="K353" s="123"/>
      <c r="L353" s="123"/>
      <c r="M353" s="123"/>
      <c r="N353" s="123"/>
      <c r="O353" s="123"/>
      <c r="P353" s="123"/>
      <c r="Q353" s="123"/>
      <c r="R353" s="123"/>
      <c r="S353" s="123"/>
      <c r="T353" s="123"/>
      <c r="U353" s="123"/>
      <c r="V353" s="123"/>
      <c r="W353" s="123"/>
      <c r="X353" s="123"/>
      <c r="Y353" s="123"/>
      <c r="Z353" s="123"/>
      <c r="AA353" s="123"/>
      <c r="AB353" s="123"/>
      <c r="AC353" s="123"/>
      <c r="AD353" s="123"/>
      <c r="AE353" s="123"/>
      <c r="AF353" s="123"/>
      <c r="AG353" s="123"/>
    </row>
    <row r="354" spans="1:33">
      <c r="A354" s="123"/>
      <c r="B354" s="123"/>
      <c r="C354" s="123"/>
      <c r="D354" s="123"/>
      <c r="E354" s="123"/>
      <c r="F354" s="123"/>
      <c r="G354" s="123"/>
      <c r="H354" s="123"/>
      <c r="I354" s="123"/>
      <c r="J354" s="123"/>
      <c r="K354" s="123"/>
      <c r="L354" s="123"/>
      <c r="M354" s="123"/>
      <c r="N354" s="123"/>
      <c r="O354" s="123"/>
      <c r="P354" s="123"/>
      <c r="Q354" s="123"/>
      <c r="R354" s="123"/>
      <c r="S354" s="123"/>
      <c r="T354" s="123"/>
      <c r="U354" s="123"/>
      <c r="V354" s="123"/>
      <c r="W354" s="123"/>
      <c r="X354" s="123"/>
      <c r="Y354" s="123"/>
      <c r="Z354" s="123"/>
      <c r="AA354" s="123"/>
      <c r="AB354" s="123"/>
      <c r="AC354" s="123"/>
      <c r="AD354" s="123"/>
      <c r="AE354" s="123"/>
      <c r="AF354" s="123"/>
      <c r="AG354" s="123"/>
    </row>
    <row r="355" spans="1:33">
      <c r="A355" s="123"/>
      <c r="B355" s="123"/>
      <c r="C355" s="123"/>
      <c r="D355" s="123"/>
      <c r="E355" s="123"/>
      <c r="F355" s="123"/>
      <c r="G355" s="123"/>
      <c r="H355" s="123"/>
      <c r="I355" s="123"/>
      <c r="J355" s="123"/>
      <c r="K355" s="123"/>
      <c r="L355" s="123"/>
      <c r="M355" s="123"/>
      <c r="N355" s="123"/>
      <c r="O355" s="123"/>
      <c r="P355" s="123"/>
      <c r="Q355" s="123"/>
      <c r="R355" s="123"/>
      <c r="S355" s="123"/>
      <c r="T355" s="123"/>
      <c r="U355" s="123"/>
      <c r="V355" s="123"/>
      <c r="W355" s="123"/>
      <c r="X355" s="123"/>
      <c r="Y355" s="123"/>
      <c r="Z355" s="123"/>
      <c r="AA355" s="123"/>
      <c r="AB355" s="123"/>
      <c r="AC355" s="123"/>
      <c r="AD355" s="123"/>
      <c r="AE355" s="123"/>
      <c r="AF355" s="123"/>
      <c r="AG355" s="123"/>
    </row>
    <row r="356" spans="1:33">
      <c r="A356" s="123"/>
      <c r="B356" s="123"/>
      <c r="C356" s="123"/>
      <c r="D356" s="123"/>
      <c r="E356" s="123"/>
      <c r="F356" s="123"/>
      <c r="G356" s="123"/>
      <c r="H356" s="123"/>
      <c r="I356" s="123"/>
      <c r="J356" s="123"/>
      <c r="K356" s="123"/>
      <c r="L356" s="123"/>
      <c r="M356" s="123"/>
      <c r="N356" s="123"/>
      <c r="O356" s="123"/>
      <c r="P356" s="123"/>
      <c r="Q356" s="123"/>
      <c r="R356" s="123"/>
      <c r="S356" s="123"/>
      <c r="T356" s="123"/>
      <c r="U356" s="123"/>
      <c r="V356" s="123"/>
      <c r="W356" s="123"/>
      <c r="X356" s="123"/>
      <c r="Y356" s="123"/>
      <c r="Z356" s="123"/>
      <c r="AA356" s="123"/>
      <c r="AB356" s="123"/>
      <c r="AC356" s="123"/>
      <c r="AD356" s="123"/>
      <c r="AE356" s="123"/>
      <c r="AF356" s="123"/>
      <c r="AG356" s="123"/>
    </row>
    <row r="357" spans="1:33">
      <c r="A357" s="123"/>
      <c r="B357" s="123"/>
      <c r="C357" s="123"/>
      <c r="D357" s="123"/>
      <c r="E357" s="123"/>
      <c r="F357" s="123"/>
      <c r="G357" s="123"/>
      <c r="H357" s="123"/>
      <c r="I357" s="123"/>
      <c r="J357" s="123"/>
      <c r="K357" s="123"/>
      <c r="L357" s="123"/>
      <c r="M357" s="123"/>
      <c r="N357" s="123"/>
      <c r="O357" s="123"/>
      <c r="P357" s="123"/>
      <c r="Q357" s="123"/>
      <c r="R357" s="123"/>
      <c r="S357" s="123"/>
      <c r="T357" s="123"/>
      <c r="U357" s="123"/>
      <c r="V357" s="123"/>
      <c r="W357" s="123"/>
      <c r="X357" s="123"/>
      <c r="Y357" s="123"/>
      <c r="Z357" s="123"/>
      <c r="AA357" s="123"/>
      <c r="AB357" s="123"/>
      <c r="AC357" s="123"/>
      <c r="AD357" s="123"/>
      <c r="AE357" s="123"/>
      <c r="AF357" s="123"/>
      <c r="AG357" s="123"/>
    </row>
    <row r="358" spans="1:33">
      <c r="A358" s="123"/>
      <c r="B358" s="123"/>
      <c r="C358" s="123"/>
      <c r="D358" s="123"/>
      <c r="E358" s="123"/>
      <c r="F358" s="123"/>
      <c r="G358" s="123"/>
      <c r="H358" s="123"/>
      <c r="I358" s="123"/>
      <c r="J358" s="123"/>
      <c r="K358" s="123"/>
      <c r="L358" s="123"/>
      <c r="M358" s="123"/>
      <c r="N358" s="123"/>
      <c r="O358" s="123"/>
      <c r="P358" s="123"/>
      <c r="Q358" s="123"/>
      <c r="R358" s="123"/>
      <c r="S358" s="123"/>
      <c r="T358" s="123"/>
      <c r="U358" s="123"/>
      <c r="V358" s="123"/>
      <c r="W358" s="123"/>
      <c r="X358" s="123"/>
      <c r="Y358" s="123"/>
      <c r="Z358" s="123"/>
      <c r="AA358" s="123"/>
      <c r="AB358" s="123"/>
      <c r="AC358" s="123"/>
      <c r="AD358" s="123"/>
      <c r="AE358" s="123"/>
      <c r="AF358" s="123"/>
      <c r="AG358" s="123"/>
    </row>
    <row r="359" spans="1:33">
      <c r="A359" s="123"/>
      <c r="B359" s="123"/>
      <c r="C359" s="123"/>
      <c r="D359" s="123"/>
      <c r="E359" s="123"/>
      <c r="F359" s="123"/>
      <c r="G359" s="123"/>
      <c r="H359" s="123"/>
      <c r="I359" s="123"/>
      <c r="J359" s="123"/>
      <c r="K359" s="123"/>
      <c r="L359" s="123"/>
      <c r="M359" s="123"/>
      <c r="N359" s="123"/>
      <c r="O359" s="123"/>
      <c r="P359" s="123"/>
      <c r="Q359" s="123"/>
      <c r="R359" s="123"/>
      <c r="S359" s="123"/>
      <c r="T359" s="123"/>
      <c r="U359" s="123"/>
      <c r="V359" s="123"/>
      <c r="W359" s="123"/>
      <c r="X359" s="123"/>
      <c r="Y359" s="123"/>
      <c r="Z359" s="123"/>
      <c r="AA359" s="123"/>
      <c r="AB359" s="123"/>
      <c r="AC359" s="123"/>
      <c r="AD359" s="123"/>
      <c r="AE359" s="123"/>
      <c r="AF359" s="123"/>
      <c r="AG359" s="123"/>
    </row>
    <row r="360" spans="1:33">
      <c r="A360" s="123"/>
      <c r="B360" s="123"/>
      <c r="C360" s="123"/>
      <c r="D360" s="123"/>
      <c r="E360" s="123"/>
      <c r="F360" s="123"/>
      <c r="G360" s="123"/>
      <c r="H360" s="123"/>
      <c r="I360" s="123"/>
      <c r="J360" s="123"/>
      <c r="K360" s="123"/>
      <c r="L360" s="123"/>
      <c r="M360" s="123"/>
      <c r="N360" s="123"/>
      <c r="O360" s="123"/>
      <c r="P360" s="123"/>
      <c r="Q360" s="123"/>
      <c r="R360" s="123"/>
      <c r="S360" s="123"/>
      <c r="T360" s="123"/>
      <c r="U360" s="123"/>
      <c r="V360" s="123"/>
      <c r="W360" s="123"/>
      <c r="X360" s="123"/>
      <c r="Y360" s="123"/>
      <c r="Z360" s="123"/>
      <c r="AA360" s="123"/>
      <c r="AB360" s="123"/>
      <c r="AC360" s="123"/>
      <c r="AD360" s="123"/>
      <c r="AE360" s="123"/>
      <c r="AF360" s="123"/>
      <c r="AG360" s="123"/>
    </row>
    <row r="361" spans="1:33">
      <c r="A361" s="123"/>
      <c r="B361" s="123"/>
      <c r="C361" s="123"/>
      <c r="D361" s="123"/>
      <c r="E361" s="123"/>
      <c r="F361" s="123"/>
      <c r="G361" s="123"/>
      <c r="H361" s="123"/>
      <c r="I361" s="123"/>
      <c r="J361" s="123"/>
      <c r="K361" s="123"/>
      <c r="L361" s="123"/>
      <c r="M361" s="123"/>
      <c r="N361" s="123"/>
      <c r="O361" s="123"/>
      <c r="P361" s="123"/>
      <c r="Q361" s="123"/>
      <c r="R361" s="123"/>
      <c r="S361" s="123"/>
      <c r="T361" s="123"/>
      <c r="U361" s="123"/>
      <c r="V361" s="123"/>
      <c r="W361" s="123"/>
      <c r="X361" s="123"/>
      <c r="Y361" s="123"/>
      <c r="Z361" s="123"/>
      <c r="AA361" s="123"/>
      <c r="AB361" s="123"/>
      <c r="AC361" s="123"/>
      <c r="AD361" s="123"/>
      <c r="AE361" s="123"/>
      <c r="AF361" s="123"/>
      <c r="AG361" s="123"/>
    </row>
    <row r="362" spans="1:33">
      <c r="A362" s="123"/>
      <c r="B362" s="123"/>
      <c r="C362" s="123"/>
      <c r="D362" s="123"/>
      <c r="E362" s="123"/>
      <c r="F362" s="123"/>
      <c r="G362" s="123"/>
      <c r="H362" s="123"/>
      <c r="I362" s="123"/>
      <c r="J362" s="123"/>
      <c r="K362" s="123"/>
      <c r="L362" s="123"/>
      <c r="M362" s="123"/>
      <c r="N362" s="123"/>
      <c r="O362" s="123"/>
      <c r="P362" s="123"/>
      <c r="Q362" s="123"/>
      <c r="R362" s="123"/>
      <c r="S362" s="123"/>
      <c r="T362" s="123"/>
      <c r="U362" s="123"/>
      <c r="V362" s="123"/>
      <c r="W362" s="123"/>
      <c r="X362" s="123"/>
      <c r="Y362" s="123"/>
      <c r="Z362" s="123"/>
      <c r="AA362" s="123"/>
      <c r="AB362" s="123"/>
      <c r="AC362" s="123"/>
      <c r="AD362" s="123"/>
      <c r="AE362" s="123"/>
      <c r="AF362" s="123"/>
      <c r="AG362" s="123"/>
    </row>
    <row r="363" spans="1:33">
      <c r="A363" s="123"/>
      <c r="B363" s="123"/>
      <c r="C363" s="123"/>
      <c r="D363" s="123"/>
      <c r="E363" s="123"/>
      <c r="F363" s="123"/>
      <c r="G363" s="123"/>
      <c r="H363" s="123"/>
      <c r="I363" s="123"/>
      <c r="J363" s="123"/>
      <c r="K363" s="123"/>
      <c r="L363" s="123"/>
      <c r="M363" s="123"/>
      <c r="N363" s="123"/>
      <c r="O363" s="123"/>
      <c r="P363" s="123"/>
      <c r="Q363" s="123"/>
      <c r="R363" s="123"/>
      <c r="S363" s="123"/>
      <c r="T363" s="123"/>
      <c r="U363" s="123"/>
      <c r="V363" s="123"/>
      <c r="W363" s="123"/>
      <c r="X363" s="123"/>
      <c r="Y363" s="123"/>
      <c r="Z363" s="123"/>
      <c r="AA363" s="123"/>
      <c r="AB363" s="123"/>
      <c r="AC363" s="123"/>
      <c r="AD363" s="123"/>
      <c r="AE363" s="123"/>
      <c r="AF363" s="123"/>
      <c r="AG363" s="123"/>
    </row>
    <row r="364" spans="1:33">
      <c r="A364" s="123"/>
      <c r="B364" s="123"/>
      <c r="C364" s="123"/>
      <c r="D364" s="123"/>
      <c r="E364" s="123"/>
      <c r="F364" s="123"/>
      <c r="G364" s="123"/>
      <c r="H364" s="123"/>
      <c r="I364" s="123"/>
      <c r="J364" s="123"/>
      <c r="K364" s="123"/>
      <c r="L364" s="123"/>
      <c r="M364" s="123"/>
      <c r="N364" s="123"/>
      <c r="O364" s="123"/>
      <c r="P364" s="123"/>
      <c r="Q364" s="123"/>
      <c r="R364" s="123"/>
      <c r="S364" s="123"/>
      <c r="T364" s="123"/>
      <c r="U364" s="123"/>
      <c r="V364" s="123"/>
      <c r="W364" s="123"/>
      <c r="X364" s="123"/>
      <c r="Y364" s="123"/>
      <c r="Z364" s="123"/>
      <c r="AA364" s="123"/>
      <c r="AB364" s="123"/>
      <c r="AC364" s="123"/>
      <c r="AD364" s="123"/>
      <c r="AE364" s="123"/>
      <c r="AF364" s="123"/>
      <c r="AG364" s="123"/>
    </row>
    <row r="365" spans="1:33">
      <c r="A365" s="123"/>
      <c r="B365" s="123"/>
      <c r="C365" s="123"/>
      <c r="D365" s="123"/>
      <c r="E365" s="123"/>
      <c r="F365" s="123"/>
      <c r="G365" s="123"/>
      <c r="H365" s="123"/>
      <c r="I365" s="123"/>
      <c r="J365" s="123"/>
      <c r="K365" s="123"/>
      <c r="L365" s="123"/>
      <c r="M365" s="123"/>
      <c r="N365" s="123"/>
      <c r="O365" s="123"/>
      <c r="P365" s="123"/>
      <c r="Q365" s="123"/>
      <c r="R365" s="123"/>
      <c r="S365" s="123"/>
      <c r="T365" s="123"/>
      <c r="U365" s="123"/>
      <c r="V365" s="123"/>
      <c r="W365" s="123"/>
      <c r="X365" s="123"/>
      <c r="Y365" s="123"/>
      <c r="Z365" s="123"/>
      <c r="AA365" s="123"/>
      <c r="AB365" s="123"/>
      <c r="AC365" s="123"/>
      <c r="AD365" s="123"/>
      <c r="AE365" s="123"/>
      <c r="AF365" s="123"/>
      <c r="AG365" s="123"/>
    </row>
    <row r="366" spans="1:33">
      <c r="A366" s="123"/>
      <c r="B366" s="123"/>
      <c r="C366" s="123"/>
      <c r="D366" s="123"/>
      <c r="E366" s="123"/>
      <c r="F366" s="123"/>
      <c r="G366" s="123"/>
      <c r="H366" s="123"/>
      <c r="I366" s="123"/>
      <c r="J366" s="123"/>
      <c r="K366" s="123"/>
      <c r="L366" s="123"/>
      <c r="M366" s="123"/>
      <c r="N366" s="123"/>
      <c r="O366" s="123"/>
      <c r="P366" s="123"/>
      <c r="Q366" s="123"/>
      <c r="R366" s="123"/>
      <c r="S366" s="123"/>
      <c r="T366" s="123"/>
      <c r="U366" s="123"/>
      <c r="V366" s="123"/>
      <c r="W366" s="123"/>
      <c r="X366" s="123"/>
      <c r="Y366" s="123"/>
      <c r="Z366" s="123"/>
      <c r="AA366" s="123"/>
      <c r="AB366" s="123"/>
      <c r="AC366" s="123"/>
      <c r="AD366" s="123"/>
      <c r="AE366" s="123"/>
      <c r="AF366" s="123"/>
      <c r="AG366" s="123"/>
    </row>
    <row r="367" spans="1:33">
      <c r="A367" s="123"/>
      <c r="B367" s="123"/>
      <c r="C367" s="123"/>
      <c r="D367" s="123"/>
      <c r="E367" s="123"/>
      <c r="F367" s="123"/>
      <c r="G367" s="123"/>
      <c r="H367" s="123"/>
      <c r="I367" s="123"/>
      <c r="J367" s="123"/>
      <c r="K367" s="123"/>
      <c r="L367" s="123"/>
      <c r="M367" s="123"/>
      <c r="N367" s="123"/>
      <c r="O367" s="123"/>
      <c r="P367" s="123"/>
      <c r="Q367" s="123"/>
      <c r="R367" s="123"/>
      <c r="S367" s="123"/>
      <c r="T367" s="123"/>
      <c r="U367" s="123"/>
      <c r="V367" s="123"/>
      <c r="W367" s="123"/>
      <c r="X367" s="123"/>
      <c r="Y367" s="123"/>
      <c r="Z367" s="123"/>
      <c r="AA367" s="123"/>
      <c r="AB367" s="123"/>
      <c r="AC367" s="123"/>
      <c r="AD367" s="123"/>
      <c r="AE367" s="123"/>
      <c r="AF367" s="123"/>
      <c r="AG367" s="123"/>
    </row>
    <row r="368" spans="1:33">
      <c r="A368" s="123"/>
      <c r="B368" s="123"/>
      <c r="C368" s="123"/>
      <c r="D368" s="123"/>
      <c r="E368" s="123"/>
      <c r="F368" s="123"/>
      <c r="G368" s="123"/>
      <c r="H368" s="123"/>
      <c r="I368" s="123"/>
      <c r="J368" s="123"/>
      <c r="K368" s="123"/>
      <c r="L368" s="123"/>
      <c r="M368" s="123"/>
      <c r="N368" s="123"/>
      <c r="O368" s="123"/>
      <c r="P368" s="123"/>
      <c r="Q368" s="123"/>
      <c r="R368" s="123"/>
      <c r="S368" s="123"/>
      <c r="T368" s="123"/>
      <c r="U368" s="123"/>
      <c r="V368" s="123"/>
      <c r="W368" s="123"/>
      <c r="X368" s="123"/>
      <c r="Y368" s="123"/>
      <c r="Z368" s="123"/>
      <c r="AA368" s="123"/>
      <c r="AB368" s="123"/>
      <c r="AC368" s="123"/>
      <c r="AD368" s="123"/>
      <c r="AE368" s="123"/>
      <c r="AF368" s="123"/>
      <c r="AG368" s="123"/>
    </row>
    <row r="369" spans="1:33">
      <c r="A369" s="123"/>
      <c r="B369" s="123"/>
      <c r="C369" s="123"/>
      <c r="D369" s="123"/>
      <c r="E369" s="123"/>
      <c r="F369" s="123"/>
      <c r="G369" s="123"/>
      <c r="H369" s="123"/>
      <c r="I369" s="123"/>
      <c r="J369" s="123"/>
      <c r="K369" s="123"/>
      <c r="L369" s="123"/>
      <c r="M369" s="123"/>
      <c r="N369" s="123"/>
      <c r="O369" s="123"/>
      <c r="P369" s="123"/>
      <c r="Q369" s="123"/>
      <c r="R369" s="123"/>
      <c r="S369" s="123"/>
      <c r="T369" s="123"/>
      <c r="U369" s="123"/>
      <c r="V369" s="123"/>
      <c r="W369" s="123"/>
      <c r="X369" s="123"/>
      <c r="Y369" s="123"/>
      <c r="Z369" s="123"/>
      <c r="AA369" s="123"/>
      <c r="AB369" s="123"/>
      <c r="AC369" s="123"/>
      <c r="AD369" s="123"/>
      <c r="AE369" s="123"/>
      <c r="AF369" s="123"/>
      <c r="AG369" s="123"/>
    </row>
    <row r="370" spans="1:33">
      <c r="A370" s="123"/>
      <c r="B370" s="123"/>
      <c r="C370" s="123"/>
      <c r="D370" s="123"/>
      <c r="E370" s="123"/>
      <c r="F370" s="123"/>
      <c r="G370" s="123"/>
      <c r="H370" s="123"/>
      <c r="I370" s="123"/>
      <c r="J370" s="123"/>
      <c r="K370" s="123"/>
      <c r="L370" s="123"/>
      <c r="M370" s="123"/>
      <c r="N370" s="123"/>
      <c r="O370" s="123"/>
      <c r="P370" s="123"/>
      <c r="Q370" s="123"/>
      <c r="R370" s="123"/>
      <c r="S370" s="123"/>
      <c r="T370" s="123"/>
      <c r="U370" s="123"/>
      <c r="V370" s="123"/>
      <c r="W370" s="123"/>
      <c r="X370" s="123"/>
      <c r="Y370" s="123"/>
      <c r="Z370" s="123"/>
      <c r="AA370" s="123"/>
      <c r="AB370" s="123"/>
      <c r="AC370" s="123"/>
      <c r="AD370" s="123"/>
      <c r="AE370" s="123"/>
      <c r="AF370" s="123"/>
      <c r="AG370" s="123"/>
    </row>
    <row r="371" spans="1:33">
      <c r="A371" s="123"/>
      <c r="B371" s="123"/>
      <c r="C371" s="123"/>
      <c r="D371" s="123"/>
      <c r="E371" s="123"/>
      <c r="F371" s="123"/>
      <c r="G371" s="123"/>
      <c r="H371" s="123"/>
      <c r="I371" s="123"/>
      <c r="J371" s="123"/>
      <c r="K371" s="123"/>
      <c r="L371" s="123"/>
      <c r="M371" s="123"/>
      <c r="N371" s="123"/>
      <c r="O371" s="123"/>
      <c r="P371" s="123"/>
      <c r="Q371" s="123"/>
      <c r="R371" s="123"/>
      <c r="S371" s="123"/>
      <c r="T371" s="123"/>
      <c r="U371" s="123"/>
      <c r="V371" s="123"/>
      <c r="W371" s="123"/>
      <c r="X371" s="123"/>
      <c r="Y371" s="123"/>
      <c r="Z371" s="123"/>
      <c r="AA371" s="123"/>
      <c r="AB371" s="123"/>
      <c r="AC371" s="123"/>
      <c r="AD371" s="123"/>
      <c r="AE371" s="123"/>
      <c r="AF371" s="123"/>
      <c r="AG371" s="123"/>
    </row>
    <row r="372" spans="1:33">
      <c r="A372" s="123"/>
      <c r="B372" s="123"/>
      <c r="C372" s="123"/>
      <c r="D372" s="123"/>
      <c r="E372" s="123"/>
      <c r="F372" s="123"/>
      <c r="G372" s="123"/>
      <c r="H372" s="123"/>
      <c r="I372" s="123"/>
      <c r="J372" s="123"/>
      <c r="K372" s="123"/>
      <c r="L372" s="123"/>
      <c r="M372" s="123"/>
      <c r="N372" s="123"/>
      <c r="O372" s="123"/>
      <c r="P372" s="123"/>
      <c r="Q372" s="123"/>
      <c r="R372" s="123"/>
      <c r="S372" s="123"/>
      <c r="T372" s="123"/>
      <c r="U372" s="123"/>
      <c r="V372" s="123"/>
      <c r="W372" s="123"/>
      <c r="X372" s="123"/>
      <c r="Y372" s="123"/>
      <c r="Z372" s="123"/>
      <c r="AA372" s="123"/>
      <c r="AB372" s="123"/>
      <c r="AC372" s="123"/>
      <c r="AD372" s="123"/>
      <c r="AE372" s="123"/>
      <c r="AF372" s="123"/>
      <c r="AG372" s="123"/>
    </row>
    <row r="373" spans="1:33">
      <c r="A373" s="123"/>
      <c r="B373" s="123"/>
      <c r="C373" s="123"/>
      <c r="D373" s="123"/>
      <c r="E373" s="123"/>
      <c r="F373" s="123"/>
      <c r="G373" s="123"/>
      <c r="H373" s="123"/>
      <c r="I373" s="123"/>
      <c r="J373" s="123"/>
      <c r="K373" s="123"/>
      <c r="L373" s="123"/>
      <c r="M373" s="123"/>
      <c r="N373" s="123"/>
      <c r="O373" s="123"/>
      <c r="P373" s="123"/>
      <c r="Q373" s="123"/>
      <c r="R373" s="123"/>
      <c r="S373" s="123"/>
      <c r="T373" s="123"/>
      <c r="U373" s="123"/>
      <c r="V373" s="123"/>
      <c r="W373" s="123"/>
      <c r="X373" s="123"/>
      <c r="Y373" s="123"/>
      <c r="Z373" s="123"/>
      <c r="AA373" s="123"/>
      <c r="AB373" s="123"/>
      <c r="AC373" s="123"/>
      <c r="AD373" s="123"/>
      <c r="AE373" s="123"/>
      <c r="AF373" s="123"/>
      <c r="AG373" s="123"/>
    </row>
    <row r="374" spans="1:33">
      <c r="A374" s="123"/>
      <c r="B374" s="123"/>
      <c r="C374" s="123"/>
      <c r="D374" s="123"/>
      <c r="E374" s="123"/>
      <c r="F374" s="123"/>
      <c r="G374" s="123"/>
      <c r="H374" s="123"/>
      <c r="I374" s="123"/>
      <c r="J374" s="123"/>
      <c r="K374" s="123"/>
      <c r="L374" s="123"/>
      <c r="M374" s="123"/>
      <c r="N374" s="123"/>
      <c r="O374" s="123"/>
      <c r="P374" s="123"/>
      <c r="Q374" s="123"/>
      <c r="R374" s="123"/>
      <c r="S374" s="123"/>
      <c r="T374" s="123"/>
      <c r="U374" s="123"/>
      <c r="V374" s="123"/>
      <c r="W374" s="123"/>
      <c r="X374" s="123"/>
      <c r="Y374" s="123"/>
      <c r="Z374" s="123"/>
      <c r="AA374" s="123"/>
      <c r="AB374" s="123"/>
      <c r="AC374" s="123"/>
      <c r="AD374" s="123"/>
      <c r="AE374" s="123"/>
      <c r="AF374" s="123"/>
      <c r="AG374" s="123"/>
    </row>
    <row r="375" spans="1:33">
      <c r="A375" s="123"/>
      <c r="B375" s="123"/>
      <c r="C375" s="123"/>
      <c r="D375" s="123"/>
      <c r="E375" s="123"/>
      <c r="F375" s="123"/>
      <c r="G375" s="123"/>
      <c r="H375" s="123"/>
      <c r="I375" s="123"/>
      <c r="J375" s="123"/>
      <c r="K375" s="123"/>
      <c r="L375" s="123"/>
      <c r="M375" s="123"/>
      <c r="N375" s="123"/>
      <c r="O375" s="123"/>
      <c r="P375" s="123"/>
      <c r="Q375" s="123"/>
      <c r="R375" s="123"/>
      <c r="S375" s="123"/>
      <c r="T375" s="123"/>
      <c r="U375" s="123"/>
      <c r="V375" s="123"/>
      <c r="W375" s="123"/>
      <c r="X375" s="123"/>
      <c r="Y375" s="123"/>
      <c r="Z375" s="123"/>
      <c r="AA375" s="123"/>
      <c r="AB375" s="123"/>
      <c r="AC375" s="123"/>
      <c r="AD375" s="123"/>
      <c r="AE375" s="123"/>
      <c r="AF375" s="123"/>
      <c r="AG375" s="123"/>
    </row>
    <row r="376" spans="1:33">
      <c r="A376" s="123"/>
      <c r="B376" s="123"/>
      <c r="C376" s="123"/>
      <c r="D376" s="123"/>
      <c r="E376" s="123"/>
      <c r="F376" s="123"/>
      <c r="G376" s="123"/>
      <c r="H376" s="123"/>
      <c r="I376" s="123"/>
      <c r="J376" s="123"/>
      <c r="K376" s="123"/>
      <c r="L376" s="123"/>
      <c r="M376" s="123"/>
      <c r="N376" s="123"/>
      <c r="O376" s="123"/>
      <c r="P376" s="123"/>
      <c r="Q376" s="123"/>
      <c r="R376" s="123"/>
      <c r="S376" s="123"/>
      <c r="T376" s="123"/>
      <c r="U376" s="123"/>
      <c r="V376" s="123"/>
      <c r="W376" s="123"/>
      <c r="X376" s="123"/>
      <c r="Y376" s="123"/>
      <c r="Z376" s="123"/>
      <c r="AA376" s="123"/>
      <c r="AB376" s="123"/>
      <c r="AC376" s="123"/>
      <c r="AD376" s="123"/>
      <c r="AE376" s="123"/>
      <c r="AF376" s="123"/>
      <c r="AG376" s="123"/>
    </row>
    <row r="377" spans="1:33">
      <c r="A377" s="123"/>
      <c r="B377" s="123"/>
      <c r="C377" s="123"/>
      <c r="D377" s="123"/>
      <c r="E377" s="123"/>
      <c r="F377" s="123"/>
      <c r="G377" s="123"/>
      <c r="H377" s="123"/>
      <c r="I377" s="123"/>
      <c r="J377" s="123"/>
      <c r="K377" s="123"/>
      <c r="L377" s="123"/>
      <c r="M377" s="123"/>
      <c r="N377" s="123"/>
      <c r="O377" s="123"/>
      <c r="P377" s="123"/>
      <c r="Q377" s="123"/>
      <c r="R377" s="123"/>
      <c r="S377" s="123"/>
      <c r="T377" s="123"/>
      <c r="U377" s="123"/>
      <c r="V377" s="123"/>
      <c r="W377" s="123"/>
      <c r="X377" s="123"/>
      <c r="Y377" s="123"/>
      <c r="Z377" s="123"/>
      <c r="AA377" s="123"/>
      <c r="AB377" s="123"/>
      <c r="AC377" s="123"/>
      <c r="AD377" s="123"/>
      <c r="AE377" s="123"/>
      <c r="AF377" s="123"/>
      <c r="AG377" s="123"/>
    </row>
    <row r="378" spans="1:33">
      <c r="A378" s="123"/>
      <c r="B378" s="123"/>
      <c r="C378" s="123"/>
      <c r="D378" s="123"/>
      <c r="E378" s="123"/>
      <c r="F378" s="123"/>
      <c r="G378" s="123"/>
      <c r="H378" s="123"/>
      <c r="I378" s="123"/>
      <c r="J378" s="123"/>
      <c r="K378" s="123"/>
      <c r="L378" s="123"/>
      <c r="M378" s="123"/>
      <c r="N378" s="123"/>
      <c r="O378" s="123"/>
      <c r="P378" s="123"/>
      <c r="Q378" s="123"/>
      <c r="R378" s="123"/>
      <c r="S378" s="123"/>
      <c r="T378" s="123"/>
      <c r="U378" s="123"/>
      <c r="V378" s="123"/>
      <c r="W378" s="123"/>
      <c r="X378" s="123"/>
      <c r="Y378" s="123"/>
      <c r="Z378" s="123"/>
      <c r="AA378" s="123"/>
      <c r="AB378" s="123"/>
      <c r="AC378" s="123"/>
      <c r="AD378" s="123"/>
      <c r="AE378" s="123"/>
      <c r="AF378" s="123"/>
      <c r="AG378" s="123"/>
    </row>
    <row r="379" spans="1:33">
      <c r="A379" s="123"/>
      <c r="B379" s="123"/>
      <c r="C379" s="123"/>
      <c r="D379" s="123"/>
      <c r="E379" s="123"/>
      <c r="F379" s="123"/>
      <c r="G379" s="123"/>
      <c r="H379" s="123"/>
      <c r="I379" s="123"/>
      <c r="J379" s="123"/>
      <c r="K379" s="123"/>
      <c r="L379" s="123"/>
      <c r="M379" s="123"/>
      <c r="N379" s="123"/>
      <c r="O379" s="123"/>
      <c r="P379" s="123"/>
      <c r="Q379" s="123"/>
      <c r="R379" s="123"/>
      <c r="S379" s="123"/>
      <c r="T379" s="123"/>
      <c r="U379" s="123"/>
      <c r="V379" s="123"/>
      <c r="W379" s="123"/>
      <c r="X379" s="123"/>
      <c r="Y379" s="123"/>
      <c r="Z379" s="123"/>
      <c r="AA379" s="123"/>
      <c r="AB379" s="123"/>
      <c r="AC379" s="123"/>
      <c r="AD379" s="123"/>
      <c r="AE379" s="123"/>
      <c r="AF379" s="123"/>
      <c r="AG379" s="123"/>
    </row>
    <row r="380" spans="1:33">
      <c r="A380" s="123"/>
      <c r="B380" s="123"/>
      <c r="C380" s="123"/>
      <c r="D380" s="123"/>
      <c r="E380" s="123"/>
      <c r="F380" s="123"/>
      <c r="G380" s="123"/>
      <c r="H380" s="123"/>
      <c r="I380" s="123"/>
      <c r="J380" s="123"/>
      <c r="K380" s="123"/>
      <c r="L380" s="123"/>
      <c r="M380" s="123"/>
      <c r="N380" s="123"/>
      <c r="O380" s="123"/>
      <c r="P380" s="123"/>
      <c r="Q380" s="123"/>
      <c r="R380" s="123"/>
      <c r="S380" s="123"/>
      <c r="T380" s="123"/>
      <c r="U380" s="123"/>
      <c r="V380" s="123"/>
      <c r="W380" s="123"/>
      <c r="X380" s="123"/>
      <c r="Y380" s="123"/>
      <c r="Z380" s="123"/>
      <c r="AA380" s="123"/>
      <c r="AB380" s="123"/>
      <c r="AC380" s="123"/>
      <c r="AD380" s="123"/>
      <c r="AE380" s="123"/>
      <c r="AF380" s="123"/>
      <c r="AG380" s="123"/>
    </row>
    <row r="381" spans="1:33">
      <c r="A381" s="123"/>
      <c r="B381" s="123"/>
      <c r="C381" s="123"/>
      <c r="D381" s="123"/>
      <c r="E381" s="123"/>
      <c r="F381" s="123"/>
      <c r="G381" s="123"/>
      <c r="H381" s="123"/>
      <c r="I381" s="123"/>
      <c r="J381" s="123"/>
      <c r="K381" s="123"/>
      <c r="L381" s="123"/>
      <c r="M381" s="123"/>
      <c r="N381" s="123"/>
      <c r="O381" s="123"/>
      <c r="P381" s="123"/>
      <c r="Q381" s="123"/>
      <c r="R381" s="123"/>
      <c r="S381" s="123"/>
      <c r="T381" s="123"/>
      <c r="U381" s="123"/>
      <c r="V381" s="123"/>
      <c r="W381" s="123"/>
      <c r="X381" s="123"/>
      <c r="Y381" s="123"/>
      <c r="Z381" s="123"/>
      <c r="AA381" s="123"/>
      <c r="AB381" s="123"/>
      <c r="AC381" s="123"/>
      <c r="AD381" s="123"/>
      <c r="AE381" s="123"/>
      <c r="AF381" s="123"/>
      <c r="AG381" s="123"/>
    </row>
    <row r="382" spans="1:33">
      <c r="A382" s="123"/>
      <c r="B382" s="123"/>
      <c r="C382" s="123"/>
      <c r="D382" s="123"/>
      <c r="E382" s="123"/>
      <c r="F382" s="123"/>
      <c r="G382" s="123"/>
      <c r="H382" s="123"/>
      <c r="I382" s="123"/>
      <c r="J382" s="123"/>
      <c r="K382" s="123"/>
      <c r="L382" s="123"/>
      <c r="M382" s="123"/>
      <c r="N382" s="123"/>
      <c r="O382" s="123"/>
      <c r="P382" s="123"/>
      <c r="Q382" s="123"/>
      <c r="R382" s="123"/>
      <c r="S382" s="123"/>
      <c r="T382" s="123"/>
      <c r="U382" s="123"/>
      <c r="V382" s="123"/>
      <c r="W382" s="123"/>
      <c r="X382" s="123"/>
      <c r="Y382" s="123"/>
      <c r="Z382" s="123"/>
      <c r="AA382" s="123"/>
      <c r="AB382" s="123"/>
      <c r="AC382" s="123"/>
      <c r="AD382" s="123"/>
      <c r="AE382" s="123"/>
      <c r="AF382" s="123"/>
      <c r="AG382" s="123"/>
    </row>
    <row r="383" spans="1:33">
      <c r="A383" s="123"/>
      <c r="B383" s="123"/>
      <c r="C383" s="123"/>
      <c r="D383" s="123"/>
      <c r="E383" s="123"/>
      <c r="F383" s="123"/>
      <c r="G383" s="123"/>
      <c r="H383" s="123"/>
      <c r="I383" s="123"/>
      <c r="J383" s="123"/>
      <c r="K383" s="123"/>
      <c r="L383" s="123"/>
      <c r="M383" s="123"/>
      <c r="N383" s="123"/>
      <c r="O383" s="123"/>
      <c r="P383" s="123"/>
      <c r="Q383" s="123"/>
      <c r="R383" s="123"/>
      <c r="S383" s="123"/>
      <c r="T383" s="123"/>
      <c r="U383" s="123"/>
      <c r="V383" s="123"/>
      <c r="W383" s="123"/>
      <c r="X383" s="123"/>
      <c r="Y383" s="123"/>
      <c r="Z383" s="123"/>
      <c r="AA383" s="123"/>
      <c r="AB383" s="123"/>
      <c r="AC383" s="123"/>
      <c r="AD383" s="123"/>
      <c r="AE383" s="123"/>
      <c r="AF383" s="123"/>
      <c r="AG383" s="123"/>
    </row>
    <row r="384" spans="1:33">
      <c r="A384" s="123"/>
      <c r="B384" s="123"/>
      <c r="C384" s="123"/>
      <c r="D384" s="123"/>
      <c r="E384" s="123"/>
      <c r="F384" s="123"/>
      <c r="G384" s="123"/>
      <c r="H384" s="123"/>
      <c r="I384" s="123"/>
      <c r="J384" s="123"/>
      <c r="K384" s="123"/>
      <c r="L384" s="123"/>
      <c r="M384" s="123"/>
      <c r="N384" s="123"/>
      <c r="O384" s="123"/>
      <c r="P384" s="123"/>
      <c r="Q384" s="123"/>
      <c r="R384" s="123"/>
      <c r="S384" s="123"/>
      <c r="T384" s="123"/>
      <c r="U384" s="123"/>
      <c r="V384" s="123"/>
      <c r="W384" s="123"/>
      <c r="X384" s="123"/>
      <c r="Y384" s="123"/>
      <c r="Z384" s="123"/>
      <c r="AA384" s="123"/>
      <c r="AB384" s="123"/>
      <c r="AC384" s="123"/>
      <c r="AD384" s="123"/>
      <c r="AE384" s="123"/>
      <c r="AF384" s="123"/>
      <c r="AG384" s="123"/>
    </row>
    <row r="385" spans="1:33">
      <c r="A385" s="123"/>
      <c r="B385" s="123"/>
      <c r="C385" s="123"/>
      <c r="D385" s="123"/>
      <c r="E385" s="123"/>
      <c r="F385" s="123"/>
      <c r="G385" s="123"/>
      <c r="H385" s="123"/>
      <c r="I385" s="123"/>
      <c r="J385" s="123"/>
      <c r="K385" s="123"/>
      <c r="L385" s="123"/>
      <c r="M385" s="123"/>
      <c r="N385" s="123"/>
      <c r="O385" s="123"/>
      <c r="P385" s="123"/>
      <c r="Q385" s="123"/>
      <c r="R385" s="123"/>
      <c r="S385" s="123"/>
      <c r="T385" s="123"/>
      <c r="U385" s="123"/>
      <c r="V385" s="123"/>
      <c r="W385" s="123"/>
      <c r="X385" s="123"/>
      <c r="Y385" s="123"/>
      <c r="Z385" s="123"/>
      <c r="AA385" s="123"/>
      <c r="AB385" s="123"/>
      <c r="AC385" s="123"/>
      <c r="AD385" s="123"/>
      <c r="AE385" s="123"/>
      <c r="AF385" s="123"/>
      <c r="AG385" s="123"/>
    </row>
    <row r="386" spans="1:33">
      <c r="A386" s="123"/>
      <c r="B386" s="123"/>
      <c r="C386" s="123"/>
      <c r="D386" s="123"/>
      <c r="E386" s="123"/>
      <c r="F386" s="123"/>
      <c r="G386" s="123"/>
      <c r="H386" s="123"/>
      <c r="I386" s="123"/>
      <c r="J386" s="123"/>
      <c r="K386" s="123"/>
      <c r="L386" s="123"/>
      <c r="M386" s="123"/>
      <c r="N386" s="123"/>
      <c r="O386" s="123"/>
      <c r="P386" s="123"/>
      <c r="Q386" s="123"/>
      <c r="R386" s="123"/>
      <c r="S386" s="123"/>
      <c r="T386" s="123"/>
      <c r="U386" s="123"/>
      <c r="V386" s="123"/>
      <c r="W386" s="123"/>
      <c r="X386" s="123"/>
      <c r="Y386" s="123"/>
      <c r="Z386" s="123"/>
      <c r="AA386" s="123"/>
      <c r="AB386" s="123"/>
      <c r="AC386" s="123"/>
      <c r="AD386" s="123"/>
      <c r="AE386" s="123"/>
      <c r="AF386" s="123"/>
      <c r="AG386" s="123"/>
    </row>
    <row r="387" spans="1:33">
      <c r="A387" s="123"/>
      <c r="B387" s="123"/>
      <c r="C387" s="123"/>
      <c r="D387" s="123"/>
      <c r="E387" s="123"/>
      <c r="F387" s="123"/>
      <c r="G387" s="123"/>
      <c r="H387" s="123"/>
      <c r="I387" s="123"/>
      <c r="J387" s="123"/>
      <c r="K387" s="123"/>
      <c r="L387" s="123"/>
      <c r="M387" s="123"/>
      <c r="N387" s="123"/>
      <c r="O387" s="123"/>
      <c r="P387" s="123"/>
      <c r="Q387" s="123"/>
      <c r="R387" s="123"/>
      <c r="S387" s="123"/>
      <c r="T387" s="123"/>
      <c r="U387" s="123"/>
      <c r="V387" s="123"/>
      <c r="W387" s="123"/>
      <c r="X387" s="123"/>
      <c r="Y387" s="123"/>
      <c r="Z387" s="123"/>
      <c r="AA387" s="123"/>
      <c r="AB387" s="123"/>
      <c r="AC387" s="123"/>
      <c r="AD387" s="123"/>
      <c r="AE387" s="123"/>
      <c r="AF387" s="123"/>
      <c r="AG387" s="123"/>
    </row>
    <row r="388" spans="1:33">
      <c r="A388" s="123"/>
      <c r="B388" s="123"/>
      <c r="C388" s="123"/>
      <c r="D388" s="123"/>
      <c r="E388" s="123"/>
      <c r="F388" s="123"/>
      <c r="G388" s="123"/>
      <c r="H388" s="123"/>
      <c r="I388" s="123"/>
      <c r="J388" s="123"/>
      <c r="K388" s="123"/>
      <c r="L388" s="123"/>
      <c r="M388" s="123"/>
      <c r="N388" s="123"/>
      <c r="O388" s="123"/>
      <c r="P388" s="123"/>
      <c r="Q388" s="123"/>
      <c r="R388" s="123"/>
      <c r="S388" s="123"/>
      <c r="T388" s="123"/>
      <c r="U388" s="123"/>
      <c r="V388" s="123"/>
      <c r="W388" s="123"/>
      <c r="X388" s="123"/>
      <c r="Y388" s="123"/>
      <c r="Z388" s="123"/>
      <c r="AA388" s="123"/>
      <c r="AB388" s="123"/>
      <c r="AC388" s="123"/>
      <c r="AD388" s="123"/>
      <c r="AE388" s="123"/>
      <c r="AF388" s="123"/>
      <c r="AG388" s="123"/>
    </row>
    <row r="389" spans="1:33">
      <c r="A389" s="123"/>
      <c r="B389" s="123"/>
      <c r="C389" s="123"/>
      <c r="D389" s="123"/>
      <c r="E389" s="123"/>
      <c r="F389" s="123"/>
      <c r="G389" s="123"/>
      <c r="H389" s="123"/>
      <c r="I389" s="123"/>
      <c r="J389" s="123"/>
      <c r="K389" s="123"/>
      <c r="L389" s="123"/>
      <c r="M389" s="123"/>
      <c r="N389" s="123"/>
      <c r="O389" s="123"/>
      <c r="P389" s="123"/>
      <c r="Q389" s="123"/>
      <c r="R389" s="123"/>
      <c r="S389" s="123"/>
      <c r="T389" s="123"/>
      <c r="U389" s="123"/>
      <c r="V389" s="123"/>
      <c r="W389" s="123"/>
      <c r="X389" s="123"/>
      <c r="Y389" s="123"/>
      <c r="Z389" s="123"/>
      <c r="AA389" s="123"/>
      <c r="AB389" s="123"/>
      <c r="AC389" s="123"/>
      <c r="AD389" s="123"/>
      <c r="AE389" s="123"/>
      <c r="AF389" s="123"/>
      <c r="AG389" s="123"/>
    </row>
    <row r="390" spans="1:33">
      <c r="A390" s="123"/>
      <c r="B390" s="123"/>
      <c r="C390" s="123"/>
      <c r="D390" s="123"/>
      <c r="E390" s="123"/>
      <c r="F390" s="123"/>
      <c r="G390" s="123"/>
      <c r="H390" s="123"/>
      <c r="I390" s="123"/>
      <c r="J390" s="123"/>
      <c r="K390" s="123"/>
      <c r="L390" s="123"/>
      <c r="M390" s="123"/>
      <c r="N390" s="123"/>
      <c r="O390" s="123"/>
      <c r="P390" s="123"/>
      <c r="Q390" s="123"/>
      <c r="R390" s="123"/>
      <c r="S390" s="123"/>
      <c r="T390" s="123"/>
      <c r="U390" s="123"/>
      <c r="V390" s="123"/>
      <c r="W390" s="123"/>
      <c r="X390" s="123"/>
      <c r="Y390" s="123"/>
      <c r="Z390" s="123"/>
      <c r="AA390" s="123"/>
      <c r="AB390" s="123"/>
      <c r="AC390" s="123"/>
      <c r="AD390" s="123"/>
      <c r="AE390" s="123"/>
      <c r="AF390" s="123"/>
      <c r="AG390" s="123"/>
    </row>
    <row r="391" spans="1:33">
      <c r="A391" s="123"/>
      <c r="B391" s="123"/>
      <c r="C391" s="123"/>
      <c r="D391" s="123"/>
      <c r="E391" s="123"/>
      <c r="F391" s="123"/>
      <c r="G391" s="123"/>
      <c r="H391" s="123"/>
      <c r="I391" s="123"/>
      <c r="J391" s="123"/>
      <c r="K391" s="123"/>
      <c r="L391" s="123"/>
      <c r="M391" s="123"/>
      <c r="N391" s="123"/>
      <c r="O391" s="123"/>
      <c r="P391" s="123"/>
      <c r="Q391" s="123"/>
      <c r="R391" s="123"/>
      <c r="S391" s="123"/>
      <c r="T391" s="123"/>
      <c r="U391" s="123"/>
      <c r="V391" s="123"/>
      <c r="W391" s="123"/>
      <c r="X391" s="123"/>
      <c r="Y391" s="123"/>
      <c r="Z391" s="123"/>
      <c r="AA391" s="123"/>
      <c r="AB391" s="123"/>
      <c r="AC391" s="123"/>
      <c r="AD391" s="123"/>
      <c r="AE391" s="123"/>
      <c r="AF391" s="123"/>
      <c r="AG391" s="123"/>
    </row>
    <row r="392" spans="1:33">
      <c r="A392" s="123"/>
      <c r="B392" s="123"/>
      <c r="C392" s="123"/>
      <c r="D392" s="123"/>
      <c r="E392" s="123"/>
      <c r="F392" s="123"/>
      <c r="G392" s="123"/>
      <c r="H392" s="123"/>
      <c r="I392" s="123"/>
      <c r="J392" s="123"/>
      <c r="K392" s="123"/>
      <c r="L392" s="123"/>
      <c r="M392" s="123"/>
      <c r="N392" s="123"/>
      <c r="O392" s="123"/>
      <c r="P392" s="123"/>
      <c r="Q392" s="123"/>
      <c r="R392" s="123"/>
      <c r="S392" s="123"/>
      <c r="T392" s="123"/>
      <c r="U392" s="123"/>
      <c r="V392" s="123"/>
      <c r="W392" s="123"/>
      <c r="X392" s="123"/>
      <c r="Y392" s="123"/>
      <c r="Z392" s="123"/>
      <c r="AA392" s="123"/>
      <c r="AB392" s="123"/>
      <c r="AC392" s="123"/>
      <c r="AD392" s="123"/>
      <c r="AE392" s="123"/>
      <c r="AF392" s="123"/>
      <c r="AG392" s="123"/>
    </row>
    <row r="393" spans="1:33">
      <c r="A393" s="123"/>
      <c r="B393" s="123"/>
      <c r="C393" s="123"/>
      <c r="D393" s="123"/>
      <c r="E393" s="123"/>
      <c r="F393" s="123"/>
      <c r="G393" s="123"/>
      <c r="H393" s="123"/>
      <c r="I393" s="123"/>
      <c r="J393" s="123"/>
      <c r="K393" s="123"/>
      <c r="L393" s="123"/>
      <c r="M393" s="123"/>
      <c r="N393" s="123"/>
      <c r="O393" s="123"/>
      <c r="P393" s="123"/>
      <c r="Q393" s="123"/>
      <c r="R393" s="123"/>
      <c r="S393" s="123"/>
      <c r="T393" s="123"/>
      <c r="U393" s="123"/>
      <c r="V393" s="123"/>
      <c r="W393" s="123"/>
      <c r="X393" s="123"/>
      <c r="Y393" s="123"/>
      <c r="Z393" s="123"/>
      <c r="AA393" s="123"/>
      <c r="AB393" s="123"/>
      <c r="AC393" s="123"/>
      <c r="AD393" s="123"/>
      <c r="AE393" s="123"/>
      <c r="AF393" s="123"/>
      <c r="AG393" s="123"/>
    </row>
    <row r="394" spans="1:33">
      <c r="A394" s="123"/>
      <c r="B394" s="123"/>
      <c r="C394" s="123"/>
      <c r="D394" s="123"/>
      <c r="E394" s="123"/>
      <c r="F394" s="123"/>
      <c r="G394" s="123"/>
      <c r="H394" s="123"/>
      <c r="I394" s="123"/>
      <c r="J394" s="123"/>
      <c r="K394" s="123"/>
      <c r="L394" s="123"/>
      <c r="M394" s="123"/>
      <c r="N394" s="123"/>
      <c r="O394" s="123"/>
      <c r="P394" s="123"/>
      <c r="Q394" s="123"/>
      <c r="R394" s="123"/>
      <c r="S394" s="123"/>
      <c r="T394" s="123"/>
      <c r="U394" s="123"/>
      <c r="V394" s="123"/>
      <c r="W394" s="123"/>
      <c r="X394" s="123"/>
      <c r="Y394" s="123"/>
      <c r="Z394" s="123"/>
      <c r="AA394" s="123"/>
      <c r="AB394" s="123"/>
      <c r="AC394" s="123"/>
      <c r="AD394" s="123"/>
      <c r="AE394" s="123"/>
      <c r="AF394" s="123"/>
      <c r="AG394" s="123"/>
    </row>
    <row r="395" spans="1:33">
      <c r="A395" s="123"/>
      <c r="B395" s="123"/>
      <c r="C395" s="123"/>
      <c r="D395" s="123"/>
      <c r="E395" s="123"/>
      <c r="F395" s="123"/>
      <c r="G395" s="123"/>
      <c r="H395" s="123"/>
      <c r="I395" s="123"/>
      <c r="J395" s="123"/>
      <c r="K395" s="123"/>
      <c r="L395" s="123"/>
      <c r="M395" s="123"/>
      <c r="N395" s="123"/>
      <c r="O395" s="123"/>
      <c r="P395" s="123"/>
      <c r="Q395" s="123"/>
      <c r="R395" s="123"/>
      <c r="S395" s="123"/>
      <c r="T395" s="123"/>
      <c r="U395" s="123"/>
      <c r="V395" s="123"/>
      <c r="W395" s="123"/>
      <c r="X395" s="123"/>
      <c r="Y395" s="123"/>
      <c r="Z395" s="123"/>
      <c r="AA395" s="123"/>
      <c r="AB395" s="123"/>
      <c r="AC395" s="123"/>
      <c r="AD395" s="123"/>
      <c r="AE395" s="123"/>
      <c r="AF395" s="123"/>
      <c r="AG395" s="123"/>
    </row>
    <row r="396" spans="1:33">
      <c r="A396" s="123"/>
      <c r="B396" s="123"/>
      <c r="C396" s="123"/>
      <c r="D396" s="123"/>
      <c r="E396" s="123"/>
      <c r="F396" s="123"/>
      <c r="G396" s="123"/>
      <c r="H396" s="123"/>
      <c r="I396" s="123"/>
      <c r="J396" s="123"/>
      <c r="K396" s="123"/>
      <c r="L396" s="123"/>
      <c r="M396" s="123"/>
      <c r="N396" s="123"/>
      <c r="O396" s="123"/>
      <c r="P396" s="123"/>
      <c r="Q396" s="123"/>
      <c r="R396" s="123"/>
      <c r="S396" s="123"/>
      <c r="T396" s="123"/>
      <c r="U396" s="123"/>
      <c r="V396" s="123"/>
      <c r="W396" s="123"/>
      <c r="X396" s="123"/>
      <c r="Y396" s="123"/>
      <c r="Z396" s="123"/>
      <c r="AA396" s="123"/>
      <c r="AB396" s="123"/>
      <c r="AC396" s="123"/>
      <c r="AD396" s="123"/>
      <c r="AE396" s="123"/>
      <c r="AF396" s="123"/>
      <c r="AG396" s="123"/>
    </row>
    <row r="397" spans="1:33">
      <c r="A397" s="123"/>
      <c r="B397" s="123"/>
      <c r="C397" s="123"/>
      <c r="D397" s="123"/>
      <c r="E397" s="123"/>
      <c r="F397" s="123"/>
      <c r="G397" s="123"/>
      <c r="H397" s="123"/>
      <c r="I397" s="123"/>
      <c r="J397" s="123"/>
      <c r="K397" s="123"/>
      <c r="L397" s="123"/>
      <c r="M397" s="123"/>
      <c r="N397" s="123"/>
      <c r="O397" s="123"/>
      <c r="P397" s="123"/>
      <c r="Q397" s="123"/>
      <c r="R397" s="123"/>
      <c r="S397" s="123"/>
      <c r="T397" s="123"/>
      <c r="U397" s="123"/>
      <c r="V397" s="123"/>
      <c r="W397" s="123"/>
      <c r="X397" s="123"/>
      <c r="Y397" s="123"/>
      <c r="Z397" s="123"/>
      <c r="AA397" s="123"/>
      <c r="AB397" s="123"/>
      <c r="AC397" s="123"/>
      <c r="AD397" s="123"/>
      <c r="AE397" s="123"/>
      <c r="AF397" s="123"/>
      <c r="AG397" s="123"/>
    </row>
    <row r="398" spans="1:33">
      <c r="A398" s="123"/>
      <c r="B398" s="123"/>
      <c r="C398" s="123"/>
      <c r="D398" s="123"/>
      <c r="E398" s="123"/>
      <c r="F398" s="123"/>
      <c r="G398" s="123"/>
      <c r="H398" s="123"/>
      <c r="I398" s="123"/>
      <c r="J398" s="123"/>
      <c r="K398" s="123"/>
      <c r="L398" s="123"/>
      <c r="M398" s="123"/>
      <c r="N398" s="123"/>
      <c r="O398" s="123"/>
      <c r="P398" s="123"/>
      <c r="Q398" s="123"/>
      <c r="R398" s="123"/>
      <c r="S398" s="123"/>
      <c r="T398" s="123"/>
      <c r="U398" s="123"/>
      <c r="V398" s="123"/>
      <c r="W398" s="123"/>
      <c r="X398" s="123"/>
      <c r="Y398" s="123"/>
      <c r="Z398" s="123"/>
      <c r="AA398" s="123"/>
      <c r="AB398" s="123"/>
      <c r="AC398" s="123"/>
      <c r="AD398" s="123"/>
      <c r="AE398" s="123"/>
      <c r="AF398" s="123"/>
      <c r="AG398" s="123"/>
    </row>
    <row r="399" spans="1:33">
      <c r="A399" s="123"/>
      <c r="B399" s="123"/>
      <c r="C399" s="123"/>
      <c r="D399" s="123"/>
      <c r="E399" s="123"/>
      <c r="F399" s="123"/>
      <c r="G399" s="123"/>
      <c r="H399" s="123"/>
      <c r="I399" s="123"/>
      <c r="J399" s="123"/>
      <c r="K399" s="123"/>
      <c r="L399" s="123"/>
      <c r="M399" s="123"/>
      <c r="N399" s="123"/>
      <c r="O399" s="123"/>
      <c r="P399" s="123"/>
      <c r="Q399" s="123"/>
      <c r="R399" s="123"/>
      <c r="S399" s="123"/>
      <c r="T399" s="123"/>
      <c r="U399" s="123"/>
      <c r="V399" s="123"/>
      <c r="W399" s="123"/>
      <c r="X399" s="123"/>
      <c r="Y399" s="123"/>
      <c r="Z399" s="123"/>
      <c r="AA399" s="123"/>
      <c r="AB399" s="123"/>
      <c r="AC399" s="123"/>
      <c r="AD399" s="123"/>
      <c r="AE399" s="123"/>
      <c r="AF399" s="123"/>
      <c r="AG399" s="123"/>
    </row>
    <row r="400" spans="1:33">
      <c r="A400" s="123"/>
      <c r="B400" s="123"/>
      <c r="C400" s="123"/>
      <c r="D400" s="123"/>
      <c r="E400" s="123"/>
      <c r="F400" s="123"/>
      <c r="G400" s="123"/>
      <c r="H400" s="123"/>
      <c r="I400" s="123"/>
      <c r="J400" s="123"/>
      <c r="K400" s="123"/>
      <c r="L400" s="123"/>
      <c r="M400" s="123"/>
      <c r="N400" s="123"/>
      <c r="O400" s="123"/>
      <c r="P400" s="123"/>
      <c r="Q400" s="123"/>
      <c r="R400" s="123"/>
      <c r="S400" s="123"/>
      <c r="T400" s="123"/>
      <c r="U400" s="123"/>
      <c r="V400" s="123"/>
      <c r="W400" s="123"/>
      <c r="X400" s="123"/>
      <c r="Y400" s="123"/>
      <c r="Z400" s="123"/>
      <c r="AA400" s="123"/>
      <c r="AB400" s="123"/>
      <c r="AC400" s="123"/>
      <c r="AD400" s="123"/>
      <c r="AE400" s="123"/>
      <c r="AF400" s="123"/>
      <c r="AG400" s="123"/>
    </row>
    <row r="401" spans="1:33">
      <c r="A401" s="123"/>
      <c r="B401" s="123"/>
      <c r="C401" s="123"/>
      <c r="D401" s="123"/>
      <c r="E401" s="123"/>
      <c r="F401" s="123"/>
      <c r="G401" s="123"/>
      <c r="H401" s="123"/>
      <c r="I401" s="123"/>
      <c r="J401" s="123"/>
      <c r="K401" s="123"/>
      <c r="L401" s="123"/>
      <c r="M401" s="123"/>
      <c r="N401" s="123"/>
      <c r="O401" s="123"/>
      <c r="P401" s="123"/>
      <c r="Q401" s="123"/>
      <c r="R401" s="123"/>
      <c r="S401" s="123"/>
      <c r="T401" s="123"/>
      <c r="U401" s="123"/>
      <c r="V401" s="123"/>
      <c r="W401" s="123"/>
      <c r="X401" s="123"/>
      <c r="Y401" s="123"/>
      <c r="Z401" s="123"/>
      <c r="AA401" s="123"/>
      <c r="AB401" s="123"/>
      <c r="AC401" s="123"/>
      <c r="AD401" s="123"/>
      <c r="AE401" s="123"/>
      <c r="AF401" s="123"/>
      <c r="AG401" s="123"/>
    </row>
    <row r="402" spans="1:33">
      <c r="A402" s="123"/>
      <c r="B402" s="123"/>
      <c r="C402" s="123"/>
      <c r="D402" s="123"/>
      <c r="E402" s="123"/>
      <c r="F402" s="123"/>
      <c r="G402" s="123"/>
      <c r="H402" s="123"/>
      <c r="I402" s="123"/>
      <c r="J402" s="123"/>
      <c r="K402" s="123"/>
      <c r="L402" s="123"/>
      <c r="M402" s="123"/>
      <c r="N402" s="123"/>
      <c r="O402" s="123"/>
      <c r="P402" s="123"/>
      <c r="Q402" s="123"/>
      <c r="R402" s="123"/>
      <c r="S402" s="123"/>
      <c r="T402" s="123"/>
      <c r="U402" s="123"/>
      <c r="V402" s="123"/>
      <c r="W402" s="123"/>
      <c r="X402" s="123"/>
      <c r="Y402" s="123"/>
      <c r="Z402" s="123"/>
      <c r="AA402" s="123"/>
      <c r="AB402" s="123"/>
      <c r="AC402" s="123"/>
      <c r="AD402" s="123"/>
      <c r="AE402" s="123"/>
      <c r="AF402" s="123"/>
      <c r="AG402" s="123"/>
    </row>
    <row r="403" spans="1:33">
      <c r="A403" s="123"/>
      <c r="B403" s="123"/>
      <c r="C403" s="123"/>
      <c r="D403" s="123"/>
      <c r="E403" s="123"/>
      <c r="F403" s="123"/>
      <c r="G403" s="123"/>
      <c r="H403" s="123"/>
      <c r="I403" s="123"/>
      <c r="J403" s="123"/>
      <c r="K403" s="123"/>
      <c r="L403" s="123"/>
      <c r="M403" s="123"/>
      <c r="N403" s="123"/>
      <c r="O403" s="123"/>
      <c r="P403" s="123"/>
      <c r="Q403" s="123"/>
      <c r="R403" s="123"/>
      <c r="S403" s="123"/>
      <c r="T403" s="123"/>
      <c r="U403" s="123"/>
      <c r="V403" s="123"/>
      <c r="W403" s="123"/>
      <c r="X403" s="123"/>
      <c r="Y403" s="123"/>
      <c r="Z403" s="123"/>
      <c r="AA403" s="123"/>
      <c r="AB403" s="123"/>
      <c r="AC403" s="123"/>
      <c r="AD403" s="123"/>
      <c r="AE403" s="123"/>
      <c r="AF403" s="123"/>
      <c r="AG403" s="123"/>
    </row>
    <row r="404" spans="1:33">
      <c r="A404" s="123"/>
      <c r="B404" s="123"/>
      <c r="C404" s="123"/>
      <c r="D404" s="123"/>
      <c r="E404" s="123"/>
      <c r="F404" s="123"/>
      <c r="G404" s="123"/>
      <c r="H404" s="123"/>
      <c r="I404" s="123"/>
      <c r="J404" s="123"/>
      <c r="K404" s="123"/>
      <c r="L404" s="123"/>
      <c r="M404" s="123"/>
      <c r="N404" s="123"/>
      <c r="O404" s="123"/>
      <c r="P404" s="123"/>
      <c r="Q404" s="123"/>
      <c r="R404" s="123"/>
      <c r="S404" s="123"/>
      <c r="T404" s="123"/>
      <c r="U404" s="123"/>
      <c r="V404" s="123"/>
      <c r="W404" s="123"/>
      <c r="X404" s="123"/>
      <c r="Y404" s="123"/>
      <c r="Z404" s="123"/>
      <c r="AA404" s="123"/>
      <c r="AB404" s="123"/>
      <c r="AC404" s="123"/>
      <c r="AD404" s="123"/>
      <c r="AE404" s="123"/>
      <c r="AF404" s="123"/>
      <c r="AG404" s="123"/>
    </row>
    <row r="405" spans="1:33">
      <c r="A405" s="123"/>
      <c r="B405" s="123"/>
      <c r="C405" s="123"/>
      <c r="D405" s="123"/>
      <c r="E405" s="123"/>
      <c r="F405" s="123"/>
      <c r="G405" s="123"/>
      <c r="H405" s="123"/>
      <c r="I405" s="123"/>
      <c r="J405" s="123"/>
      <c r="K405" s="123"/>
      <c r="L405" s="123"/>
      <c r="M405" s="123"/>
      <c r="N405" s="123"/>
      <c r="O405" s="123"/>
      <c r="P405" s="123"/>
      <c r="Q405" s="123"/>
      <c r="R405" s="123"/>
      <c r="S405" s="123"/>
      <c r="T405" s="123"/>
      <c r="U405" s="123"/>
      <c r="V405" s="123"/>
      <c r="W405" s="123"/>
      <c r="X405" s="123"/>
      <c r="Y405" s="123"/>
      <c r="Z405" s="123"/>
      <c r="AA405" s="123"/>
      <c r="AB405" s="123"/>
      <c r="AC405" s="123"/>
      <c r="AD405" s="123"/>
      <c r="AE405" s="123"/>
      <c r="AF405" s="123"/>
      <c r="AG405" s="123"/>
    </row>
    <row r="406" spans="1:33">
      <c r="A406" s="123"/>
      <c r="B406" s="123"/>
      <c r="C406" s="123"/>
      <c r="D406" s="123"/>
      <c r="E406" s="123"/>
      <c r="F406" s="123"/>
      <c r="G406" s="123"/>
      <c r="H406" s="123"/>
      <c r="I406" s="123"/>
      <c r="J406" s="123"/>
      <c r="K406" s="123"/>
      <c r="L406" s="123"/>
      <c r="M406" s="123"/>
      <c r="N406" s="123"/>
      <c r="O406" s="123"/>
      <c r="P406" s="123"/>
      <c r="Q406" s="123"/>
      <c r="R406" s="123"/>
      <c r="S406" s="123"/>
      <c r="T406" s="123"/>
      <c r="U406" s="123"/>
      <c r="V406" s="123"/>
      <c r="W406" s="123"/>
      <c r="X406" s="123"/>
      <c r="Y406" s="123"/>
      <c r="Z406" s="123"/>
      <c r="AA406" s="123"/>
      <c r="AB406" s="123"/>
      <c r="AC406" s="123"/>
      <c r="AD406" s="123"/>
      <c r="AE406" s="123"/>
      <c r="AF406" s="123"/>
      <c r="AG406" s="123"/>
    </row>
  </sheetData>
  <sheetProtection algorithmName="SHA-512" hashValue="Nmmgw5hInPtUlzYDr+gpZewjoxWoB3Y+WTahtGjv9wniYgL90yvzQFw/x+XJpfwnTPsMFmwptKxNykpLtp8q0A==" saltValue="Z/9j5odrLNYOR8NybnDEVQ=="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Blad13">
    <tabColor rgb="FF00FFFF"/>
    <pageSetUpPr autoPageBreaks="0" fitToPage="1"/>
  </sheetPr>
  <dimension ref="A1:AM410"/>
  <sheetViews>
    <sheetView showGridLines="0" tabSelected="1" zoomScale="85" zoomScaleNormal="85" workbookViewId="0">
      <pane ySplit="9" topLeftCell="A10" activePane="bottomLeft" state="frozen"/>
      <selection pane="bottomLeft" activeCell="I11" sqref="I11"/>
    </sheetView>
  </sheetViews>
  <sheetFormatPr defaultColWidth="9.140625" defaultRowHeight="12.75"/>
  <cols>
    <col min="1" max="1" width="13" style="75" customWidth="1" collapsed="1"/>
    <col min="2" max="2" width="13.140625" style="75" bestFit="1" customWidth="1" collapsed="1"/>
    <col min="3" max="3" width="17.7109375" style="75" customWidth="1" collapsed="1"/>
    <col min="4" max="4" width="25.7109375" style="75" bestFit="1" customWidth="1" collapsed="1"/>
    <col min="5" max="5" width="8.5703125" style="80" customWidth="1" collapsed="1"/>
    <col min="6" max="6" width="6.5703125" style="75" customWidth="1" collapsed="1"/>
    <col min="7" max="7" width="34" style="75" customWidth="1" collapsed="1"/>
    <col min="8" max="8" width="12" style="114" customWidth="1" collapsed="1"/>
    <col min="9" max="9" width="17" style="275" customWidth="1" collapsed="1"/>
    <col min="10" max="10" width="17" style="114" customWidth="1" collapsed="1"/>
    <col min="11" max="13" width="11.85546875" style="114" customWidth="1" collapsed="1"/>
    <col min="14" max="14" width="20.5703125" style="114" customWidth="1" collapsed="1"/>
    <col min="15" max="15" width="22.85546875" style="75" bestFit="1" customWidth="1" collapsed="1"/>
    <col min="16" max="16" width="40" style="75" bestFit="1" customWidth="1" collapsed="1"/>
    <col min="17" max="17" width="13.7109375" style="80" bestFit="1" customWidth="1" collapsed="1"/>
    <col min="18" max="18" width="60" style="113" bestFit="1" customWidth="1" collapsed="1"/>
    <col min="19" max="19" width="16.42578125" style="113" customWidth="1" collapsed="1"/>
    <col min="20" max="20" width="22.85546875" style="113" bestFit="1" customWidth="1" collapsed="1"/>
    <col min="21" max="23" width="9.140625" style="113" collapsed="1"/>
    <col min="24" max="27" width="9.140625" style="75" collapsed="1"/>
    <col min="28" max="29" width="10.42578125" style="75" customWidth="1" collapsed="1"/>
    <col min="30" max="30" width="22.5703125" style="75" bestFit="1" customWidth="1" collapsed="1"/>
    <col min="31" max="36" width="9.140625" style="75" collapsed="1"/>
    <col min="37" max="37" width="14" style="75" customWidth="1" collapsed="1"/>
    <col min="38" max="38" width="9.140625" style="75" collapsed="1"/>
    <col min="39" max="39" width="16.42578125" style="75" customWidth="1" collapsed="1"/>
    <col min="40" max="16384" width="9.140625" style="75" collapsed="1"/>
  </cols>
  <sheetData>
    <row r="1" spans="1:39">
      <c r="A1" s="115">
        <f>COLUMN()</f>
        <v>1</v>
      </c>
      <c r="B1" s="115">
        <f>COLUMN()</f>
        <v>2</v>
      </c>
      <c r="C1" s="115">
        <f>COLUMN()</f>
        <v>3</v>
      </c>
      <c r="D1" s="115">
        <f>COLUMN()</f>
        <v>4</v>
      </c>
      <c r="E1" s="115">
        <f>COLUMN()</f>
        <v>5</v>
      </c>
      <c r="F1" s="115">
        <f>COLUMN()</f>
        <v>6</v>
      </c>
      <c r="G1" s="115">
        <f>COLUMN()</f>
        <v>7</v>
      </c>
      <c r="H1" s="115">
        <f>COLUMN()</f>
        <v>8</v>
      </c>
      <c r="I1" s="268">
        <f>COLUMN()</f>
        <v>9</v>
      </c>
      <c r="J1" s="115">
        <f>COLUMN()</f>
        <v>10</v>
      </c>
      <c r="K1" s="115">
        <f>COLUMN()</f>
        <v>11</v>
      </c>
      <c r="L1" s="115">
        <f>COLUMN()</f>
        <v>12</v>
      </c>
      <c r="M1" s="115">
        <f>COLUMN()</f>
        <v>13</v>
      </c>
      <c r="N1" s="115">
        <f>COLUMN()</f>
        <v>14</v>
      </c>
      <c r="O1" s="115">
        <f>COLUMN()</f>
        <v>15</v>
      </c>
      <c r="P1" s="115">
        <f>COLUMN()</f>
        <v>16</v>
      </c>
      <c r="Q1" s="115">
        <f>COLUMN()</f>
        <v>17</v>
      </c>
      <c r="R1" s="115">
        <f>COLUMN()</f>
        <v>18</v>
      </c>
      <c r="S1" s="115">
        <f>COLUMN()</f>
        <v>19</v>
      </c>
      <c r="T1" s="115">
        <f>COLUMN()</f>
        <v>20</v>
      </c>
      <c r="U1" s="115">
        <f>COLUMN()</f>
        <v>21</v>
      </c>
      <c r="V1" s="115">
        <f>COLUMN()</f>
        <v>22</v>
      </c>
      <c r="W1" s="115">
        <f>COLUMN()</f>
        <v>23</v>
      </c>
      <c r="X1" s="115">
        <f>COLUMN()</f>
        <v>24</v>
      </c>
      <c r="Y1" s="115">
        <f>COLUMN()</f>
        <v>25</v>
      </c>
      <c r="Z1" s="115">
        <f>COLUMN()</f>
        <v>26</v>
      </c>
      <c r="AA1" s="115">
        <f>COLUMN()</f>
        <v>27</v>
      </c>
      <c r="AB1" s="115">
        <f>COLUMN()</f>
        <v>28</v>
      </c>
      <c r="AC1" s="115">
        <f>COLUMN()</f>
        <v>29</v>
      </c>
      <c r="AD1" s="115">
        <f>COLUMN()</f>
        <v>30</v>
      </c>
      <c r="AE1" s="115">
        <f>COLUMN()</f>
        <v>31</v>
      </c>
      <c r="AF1" s="115">
        <f>COLUMN()</f>
        <v>32</v>
      </c>
      <c r="AG1" s="115">
        <f>COLUMN()</f>
        <v>33</v>
      </c>
      <c r="AH1" s="115">
        <f>COLUMN()</f>
        <v>34</v>
      </c>
      <c r="AI1" s="115">
        <f>COLUMN()</f>
        <v>35</v>
      </c>
      <c r="AJ1" s="115">
        <f>COLUMN()</f>
        <v>36</v>
      </c>
      <c r="AK1" s="115">
        <f>COLUMN()</f>
        <v>37</v>
      </c>
      <c r="AL1" s="115">
        <f>COLUMN()</f>
        <v>38</v>
      </c>
      <c r="AM1" s="115">
        <f>COLUMN()</f>
        <v>39</v>
      </c>
    </row>
    <row r="2" spans="1:39">
      <c r="E2" s="75"/>
      <c r="H2" s="75"/>
      <c r="I2" s="268"/>
      <c r="J2" s="75"/>
      <c r="K2" s="75"/>
      <c r="L2" s="75"/>
      <c r="M2" s="75"/>
      <c r="N2" s="75"/>
      <c r="Q2" s="75"/>
      <c r="R2" s="75"/>
      <c r="S2" s="75"/>
      <c r="T2" s="75"/>
      <c r="U2" s="75"/>
      <c r="V2" s="75"/>
      <c r="W2" s="75"/>
    </row>
    <row r="3" spans="1:39">
      <c r="A3" s="76" t="s">
        <v>128</v>
      </c>
      <c r="E3" s="75"/>
      <c r="H3" s="75"/>
      <c r="I3" s="268"/>
      <c r="J3" s="75"/>
      <c r="K3" s="75"/>
      <c r="L3" s="75"/>
      <c r="M3" s="75"/>
      <c r="N3" s="75"/>
      <c r="Q3" s="75"/>
      <c r="R3" s="75"/>
      <c r="S3" s="75"/>
      <c r="T3" s="75"/>
      <c r="U3" s="75"/>
      <c r="V3" s="75"/>
      <c r="W3" s="75"/>
    </row>
    <row r="4" spans="1:39">
      <c r="E4" s="75"/>
      <c r="H4" s="75"/>
      <c r="I4" s="268"/>
      <c r="J4" s="75"/>
      <c r="K4" s="75"/>
      <c r="L4" s="75"/>
      <c r="M4" s="75"/>
      <c r="N4" s="75"/>
      <c r="Q4" s="75"/>
      <c r="R4" s="75"/>
      <c r="S4" s="75"/>
      <c r="T4" s="75"/>
      <c r="U4" s="75"/>
      <c r="V4" s="75"/>
      <c r="W4" s="75"/>
    </row>
    <row r="5" spans="1:39">
      <c r="A5" s="77" t="s">
        <v>129</v>
      </c>
      <c r="B5" s="78">
        <v>242</v>
      </c>
      <c r="C5" s="79" t="s">
        <v>1198</v>
      </c>
      <c r="H5" s="75"/>
      <c r="I5" s="268"/>
      <c r="J5" s="75"/>
      <c r="K5" s="75"/>
      <c r="L5" s="75"/>
      <c r="M5" s="75"/>
      <c r="N5" s="75"/>
      <c r="P5" s="79"/>
      <c r="Q5" s="81"/>
      <c r="R5" s="81"/>
      <c r="S5" s="81"/>
      <c r="T5" s="81"/>
      <c r="U5" s="81"/>
      <c r="V5" s="81"/>
      <c r="W5" s="75"/>
      <c r="AE5" s="75" t="s">
        <v>130</v>
      </c>
      <c r="AF5" s="75" t="s">
        <v>130</v>
      </c>
      <c r="AG5" s="75" t="s">
        <v>130</v>
      </c>
      <c r="AH5" s="75" t="s">
        <v>130</v>
      </c>
      <c r="AI5" s="75" t="s">
        <v>130</v>
      </c>
      <c r="AJ5" s="75" t="s">
        <v>130</v>
      </c>
    </row>
    <row r="6" spans="1:39">
      <c r="A6" s="77" t="s">
        <v>131</v>
      </c>
      <c r="B6" s="78">
        <v>70749.433899999975</v>
      </c>
      <c r="C6" s="82"/>
      <c r="D6" s="82"/>
      <c r="E6" s="83"/>
      <c r="F6" s="82"/>
      <c r="G6" s="82"/>
      <c r="H6" s="82"/>
      <c r="I6" s="269"/>
      <c r="J6" s="82"/>
      <c r="K6" s="82"/>
      <c r="L6" s="82"/>
      <c r="M6" s="82"/>
      <c r="N6" s="83"/>
      <c r="O6" s="82"/>
      <c r="P6" s="82"/>
      <c r="Q6" s="83"/>
      <c r="R6" s="83"/>
      <c r="S6" s="83"/>
      <c r="T6" s="83"/>
      <c r="U6" s="83"/>
      <c r="V6" s="83"/>
      <c r="W6" s="83"/>
      <c r="X6" s="83"/>
      <c r="Y6" s="83"/>
      <c r="Z6" s="82"/>
      <c r="AA6" s="82"/>
      <c r="AB6" s="82"/>
      <c r="AC6" s="82"/>
      <c r="AD6" s="82"/>
      <c r="AE6" s="82"/>
      <c r="AF6" s="82"/>
      <c r="AG6" s="82"/>
      <c r="AH6" s="82"/>
      <c r="AI6" s="82"/>
      <c r="AJ6" s="82"/>
      <c r="AK6" s="82"/>
      <c r="AL6" s="82"/>
      <c r="AM6" s="82"/>
    </row>
    <row r="7" spans="1:39">
      <c r="A7" s="84"/>
      <c r="B7" s="85"/>
      <c r="C7" s="85"/>
      <c r="D7" s="85"/>
      <c r="E7" s="86"/>
      <c r="F7" s="85"/>
      <c r="G7" s="85"/>
      <c r="H7" s="85"/>
      <c r="I7" s="270"/>
      <c r="J7" s="87"/>
      <c r="K7" s="87"/>
      <c r="L7" s="87"/>
      <c r="M7" s="87"/>
      <c r="N7" s="86"/>
      <c r="O7" s="85"/>
      <c r="P7" s="85"/>
      <c r="Q7" s="86"/>
      <c r="R7" s="86"/>
      <c r="S7" s="86"/>
      <c r="T7" s="86"/>
      <c r="U7" s="86"/>
      <c r="V7" s="86"/>
      <c r="W7" s="86"/>
      <c r="X7" s="86"/>
      <c r="Y7" s="86"/>
      <c r="Z7" s="85"/>
      <c r="AA7" s="85"/>
      <c r="AB7" s="85"/>
      <c r="AC7" s="85"/>
      <c r="AD7" s="85"/>
      <c r="AE7" s="85"/>
      <c r="AF7" s="85"/>
      <c r="AG7" s="85"/>
      <c r="AH7" s="85"/>
      <c r="AI7" s="85"/>
      <c r="AJ7" s="85"/>
      <c r="AK7" s="85"/>
      <c r="AL7" s="85"/>
      <c r="AM7" s="85"/>
    </row>
    <row r="8" spans="1:39">
      <c r="A8" s="84"/>
      <c r="B8" s="85"/>
      <c r="C8" s="85"/>
      <c r="D8" s="85"/>
      <c r="E8" s="86"/>
      <c r="F8" s="85"/>
      <c r="G8" s="85"/>
      <c r="H8" s="87"/>
      <c r="I8" s="268"/>
      <c r="J8" s="85"/>
      <c r="K8" s="87"/>
      <c r="L8" s="87"/>
      <c r="M8" s="87"/>
      <c r="N8" s="86"/>
      <c r="O8" s="85"/>
      <c r="P8" s="85"/>
      <c r="Q8" s="86"/>
      <c r="R8" s="86"/>
      <c r="S8" s="86"/>
      <c r="T8" s="86"/>
      <c r="U8" s="86"/>
      <c r="V8" s="86"/>
      <c r="W8" s="86"/>
      <c r="X8" s="86"/>
      <c r="Y8" s="86"/>
      <c r="Z8" s="85"/>
      <c r="AA8" s="85"/>
      <c r="AB8" s="85"/>
      <c r="AC8" s="85"/>
      <c r="AD8" s="85"/>
      <c r="AE8" s="85"/>
      <c r="AF8" s="85"/>
      <c r="AG8" s="85"/>
      <c r="AH8" s="85" t="s">
        <v>132</v>
      </c>
      <c r="AI8" s="85"/>
      <c r="AJ8" s="85"/>
      <c r="AK8" s="85"/>
      <c r="AL8" s="85"/>
      <c r="AM8" s="85"/>
    </row>
    <row r="9" spans="1:39" s="79" customFormat="1" ht="114.75">
      <c r="A9" s="116" t="s">
        <v>37</v>
      </c>
      <c r="B9" s="89" t="s">
        <v>133</v>
      </c>
      <c r="C9" s="89" t="s">
        <v>134</v>
      </c>
      <c r="D9" s="89" t="s">
        <v>135</v>
      </c>
      <c r="E9" s="88" t="s">
        <v>136</v>
      </c>
      <c r="F9" s="89" t="s">
        <v>137</v>
      </c>
      <c r="G9" s="89" t="s">
        <v>138</v>
      </c>
      <c r="H9" s="117" t="s">
        <v>139</v>
      </c>
      <c r="I9" s="271" t="s">
        <v>140</v>
      </c>
      <c r="J9" s="117" t="s">
        <v>141</v>
      </c>
      <c r="K9" s="89" t="s">
        <v>142</v>
      </c>
      <c r="L9" s="89" t="s">
        <v>143</v>
      </c>
      <c r="M9" s="89" t="s">
        <v>144</v>
      </c>
      <c r="N9" s="88" t="s">
        <v>145</v>
      </c>
      <c r="O9" s="89" t="s">
        <v>146</v>
      </c>
      <c r="P9" s="85" t="s">
        <v>147</v>
      </c>
      <c r="Q9" s="86" t="s">
        <v>148</v>
      </c>
      <c r="R9" s="88" t="s">
        <v>149</v>
      </c>
      <c r="S9" s="86" t="s">
        <v>150</v>
      </c>
      <c r="T9" s="88" t="s">
        <v>151</v>
      </c>
      <c r="U9" s="88" t="s">
        <v>152</v>
      </c>
      <c r="V9" s="88" t="s">
        <v>153</v>
      </c>
      <c r="W9" s="88" t="s">
        <v>154</v>
      </c>
      <c r="X9" s="88" t="s">
        <v>155</v>
      </c>
      <c r="Y9" s="88" t="s">
        <v>156</v>
      </c>
      <c r="Z9" s="85"/>
      <c r="AA9" s="89" t="s">
        <v>157</v>
      </c>
      <c r="AB9" s="89" t="s">
        <v>158</v>
      </c>
      <c r="AC9" s="89" t="s">
        <v>158</v>
      </c>
      <c r="AD9" s="89" t="s">
        <v>159</v>
      </c>
      <c r="AE9" s="89" t="s">
        <v>160</v>
      </c>
      <c r="AF9" s="89" t="s">
        <v>161</v>
      </c>
      <c r="AG9" s="89" t="s">
        <v>162</v>
      </c>
      <c r="AH9" s="89" t="s">
        <v>163</v>
      </c>
      <c r="AI9" s="89" t="s">
        <v>164</v>
      </c>
      <c r="AJ9" s="89" t="s">
        <v>165</v>
      </c>
      <c r="AK9" s="89" t="s">
        <v>166</v>
      </c>
      <c r="AL9" s="89" t="s">
        <v>167</v>
      </c>
      <c r="AM9" s="89" t="s">
        <v>963</v>
      </c>
    </row>
    <row r="10" spans="1:39">
      <c r="A10" s="90" t="s">
        <v>1191</v>
      </c>
      <c r="B10" s="91" t="s">
        <v>615</v>
      </c>
      <c r="C10" s="91" t="s">
        <v>616</v>
      </c>
      <c r="D10" s="91" t="s">
        <v>617</v>
      </c>
      <c r="E10" s="92">
        <v>14</v>
      </c>
      <c r="F10" s="92">
        <v>3</v>
      </c>
      <c r="G10" s="91" t="s">
        <v>631</v>
      </c>
      <c r="H10" s="93">
        <v>2</v>
      </c>
      <c r="I10" s="272">
        <v>3</v>
      </c>
      <c r="J10" s="93">
        <v>2</v>
      </c>
      <c r="K10" s="93">
        <v>0</v>
      </c>
      <c r="L10" s="93">
        <v>2</v>
      </c>
      <c r="M10" s="94">
        <v>1</v>
      </c>
      <c r="N10" s="95">
        <v>1</v>
      </c>
      <c r="O10" s="91" t="s">
        <v>619</v>
      </c>
      <c r="P10" s="91" t="s">
        <v>1095</v>
      </c>
      <c r="Q10" s="96" t="s">
        <v>748</v>
      </c>
      <c r="R10" s="97" t="s">
        <v>633</v>
      </c>
      <c r="S10" s="91" t="s">
        <v>622</v>
      </c>
      <c r="T10" s="91" t="s">
        <v>623</v>
      </c>
      <c r="U10" s="91"/>
      <c r="V10" s="91"/>
      <c r="W10" s="91" t="s">
        <v>625</v>
      </c>
      <c r="X10" s="91" t="s">
        <v>626</v>
      </c>
      <c r="Y10" s="91"/>
      <c r="Z10" s="91"/>
      <c r="AA10" s="91" t="s">
        <v>630</v>
      </c>
      <c r="AB10" s="91"/>
      <c r="AC10" s="91"/>
      <c r="AD10" s="91" t="s">
        <v>629</v>
      </c>
      <c r="AE10" s="75">
        <v>3</v>
      </c>
      <c r="AG10" s="75">
        <v>38</v>
      </c>
      <c r="AH10" s="75">
        <v>2</v>
      </c>
      <c r="AI10" s="75">
        <v>2</v>
      </c>
      <c r="AJ10" s="75">
        <v>167</v>
      </c>
      <c r="AK10" s="75">
        <v>27</v>
      </c>
      <c r="AL10" s="75">
        <v>1</v>
      </c>
      <c r="AM10" s="75">
        <v>0</v>
      </c>
    </row>
    <row r="11" spans="1:39">
      <c r="A11" s="98" t="s">
        <v>418</v>
      </c>
      <c r="B11" s="75" t="s">
        <v>615</v>
      </c>
      <c r="C11" s="75" t="s">
        <v>616</v>
      </c>
      <c r="D11" s="75" t="s">
        <v>617</v>
      </c>
      <c r="E11" s="80">
        <v>12</v>
      </c>
      <c r="F11" s="80">
        <v>3</v>
      </c>
      <c r="G11" s="75" t="s">
        <v>618</v>
      </c>
      <c r="H11" s="99">
        <v>2</v>
      </c>
      <c r="I11" s="273">
        <v>1</v>
      </c>
      <c r="J11" s="99">
        <v>2</v>
      </c>
      <c r="K11" s="99">
        <v>0</v>
      </c>
      <c r="L11" s="99">
        <v>2</v>
      </c>
      <c r="M11" s="100">
        <v>1</v>
      </c>
      <c r="N11" s="101">
        <v>1</v>
      </c>
      <c r="O11" s="75" t="s">
        <v>619</v>
      </c>
      <c r="P11" s="75" t="s">
        <v>620</v>
      </c>
      <c r="Q11" s="102">
        <v>5.0000000000000001E-3</v>
      </c>
      <c r="R11" s="103" t="s">
        <v>621</v>
      </c>
      <c r="S11" s="104" t="s">
        <v>622</v>
      </c>
      <c r="T11" s="75" t="s">
        <v>623</v>
      </c>
      <c r="U11" s="75" t="s">
        <v>624</v>
      </c>
      <c r="V11" s="75" t="s">
        <v>624</v>
      </c>
      <c r="W11" s="75" t="s">
        <v>625</v>
      </c>
      <c r="X11" s="75" t="s">
        <v>626</v>
      </c>
      <c r="Y11" s="75" t="s">
        <v>626</v>
      </c>
      <c r="AA11" s="75" t="s">
        <v>626</v>
      </c>
      <c r="AB11" s="75" t="s">
        <v>627</v>
      </c>
      <c r="AC11" s="75" t="s">
        <v>628</v>
      </c>
      <c r="AD11" s="75" t="s">
        <v>629</v>
      </c>
      <c r="AE11" s="75">
        <v>5</v>
      </c>
      <c r="AG11" s="75">
        <v>38</v>
      </c>
      <c r="AH11" s="75">
        <v>19</v>
      </c>
      <c r="AI11" s="75">
        <v>3</v>
      </c>
      <c r="AJ11" s="75">
        <v>184</v>
      </c>
      <c r="AK11" s="75">
        <v>17</v>
      </c>
      <c r="AL11" s="75">
        <v>1</v>
      </c>
      <c r="AM11" s="75">
        <v>0</v>
      </c>
    </row>
    <row r="12" spans="1:39">
      <c r="A12" s="98" t="s">
        <v>419</v>
      </c>
      <c r="B12" s="75" t="s">
        <v>615</v>
      </c>
      <c r="C12" s="75" t="s">
        <v>616</v>
      </c>
      <c r="D12" s="75" t="s">
        <v>617</v>
      </c>
      <c r="E12" s="80">
        <v>12</v>
      </c>
      <c r="F12" s="80">
        <v>3</v>
      </c>
      <c r="G12" s="75" t="s">
        <v>618</v>
      </c>
      <c r="H12" s="99">
        <v>2</v>
      </c>
      <c r="I12" s="273">
        <v>1</v>
      </c>
      <c r="J12" s="99">
        <v>2</v>
      </c>
      <c r="K12" s="99">
        <v>0</v>
      </c>
      <c r="L12" s="99">
        <v>2</v>
      </c>
      <c r="M12" s="100">
        <v>1</v>
      </c>
      <c r="N12" s="101">
        <v>1</v>
      </c>
      <c r="O12" s="75" t="s">
        <v>619</v>
      </c>
      <c r="P12" s="75" t="s">
        <v>620</v>
      </c>
      <c r="Q12" s="102">
        <v>7.4999999999999997E-3</v>
      </c>
      <c r="R12" s="103" t="s">
        <v>621</v>
      </c>
      <c r="S12" s="104" t="s">
        <v>622</v>
      </c>
      <c r="T12" s="75" t="s">
        <v>623</v>
      </c>
      <c r="U12" s="75" t="s">
        <v>624</v>
      </c>
      <c r="V12" s="75" t="s">
        <v>624</v>
      </c>
      <c r="W12" s="75" t="s">
        <v>625</v>
      </c>
      <c r="X12" s="75" t="s">
        <v>626</v>
      </c>
      <c r="Y12" s="75" t="s">
        <v>626</v>
      </c>
      <c r="AA12" s="75" t="s">
        <v>626</v>
      </c>
      <c r="AB12" s="75" t="s">
        <v>627</v>
      </c>
      <c r="AC12" s="75" t="s">
        <v>628</v>
      </c>
      <c r="AD12" s="75" t="s">
        <v>629</v>
      </c>
      <c r="AE12" s="75">
        <v>5</v>
      </c>
      <c r="AG12" s="75">
        <v>38</v>
      </c>
      <c r="AH12" s="75">
        <v>20</v>
      </c>
      <c r="AI12" s="75">
        <v>4</v>
      </c>
      <c r="AJ12" s="75">
        <v>185</v>
      </c>
      <c r="AK12" s="75">
        <v>17</v>
      </c>
      <c r="AL12" s="75">
        <v>1</v>
      </c>
      <c r="AM12" s="75">
        <v>0</v>
      </c>
    </row>
    <row r="13" spans="1:39">
      <c r="A13" s="98" t="s">
        <v>420</v>
      </c>
      <c r="B13" s="75" t="s">
        <v>615</v>
      </c>
      <c r="C13" s="75" t="s">
        <v>616</v>
      </c>
      <c r="D13" s="75" t="s">
        <v>617</v>
      </c>
      <c r="E13" s="80">
        <v>12</v>
      </c>
      <c r="F13" s="80">
        <v>3</v>
      </c>
      <c r="G13" s="75" t="s">
        <v>618</v>
      </c>
      <c r="H13" s="99">
        <v>2</v>
      </c>
      <c r="I13" s="273">
        <v>1</v>
      </c>
      <c r="J13" s="99">
        <v>2</v>
      </c>
      <c r="K13" s="99">
        <v>0</v>
      </c>
      <c r="L13" s="99">
        <v>2</v>
      </c>
      <c r="M13" s="100">
        <v>1</v>
      </c>
      <c r="N13" s="101">
        <v>1</v>
      </c>
      <c r="O13" s="75" t="s">
        <v>619</v>
      </c>
      <c r="P13" s="75" t="s">
        <v>620</v>
      </c>
      <c r="Q13" s="102">
        <v>0.01</v>
      </c>
      <c r="R13" s="103" t="s">
        <v>621</v>
      </c>
      <c r="S13" s="104" t="s">
        <v>622</v>
      </c>
      <c r="T13" s="75" t="s">
        <v>623</v>
      </c>
      <c r="U13" s="75" t="s">
        <v>624</v>
      </c>
      <c r="V13" s="75" t="s">
        <v>624</v>
      </c>
      <c r="W13" s="75" t="s">
        <v>625</v>
      </c>
      <c r="X13" s="75" t="s">
        <v>626</v>
      </c>
      <c r="Y13" s="75" t="s">
        <v>626</v>
      </c>
      <c r="AA13" s="75" t="s">
        <v>626</v>
      </c>
      <c r="AB13" s="75" t="s">
        <v>627</v>
      </c>
      <c r="AC13" s="75" t="s">
        <v>628</v>
      </c>
      <c r="AD13" s="75" t="s">
        <v>629</v>
      </c>
      <c r="AE13" s="75">
        <v>5</v>
      </c>
      <c r="AG13" s="75">
        <v>38</v>
      </c>
      <c r="AH13" s="75">
        <v>21</v>
      </c>
      <c r="AI13" s="75">
        <v>5</v>
      </c>
      <c r="AJ13" s="75">
        <v>186</v>
      </c>
      <c r="AK13" s="75">
        <v>17</v>
      </c>
      <c r="AL13" s="75">
        <v>1</v>
      </c>
      <c r="AM13" s="75">
        <v>0</v>
      </c>
    </row>
    <row r="14" spans="1:39">
      <c r="A14" s="98" t="s">
        <v>421</v>
      </c>
      <c r="B14" s="75" t="s">
        <v>615</v>
      </c>
      <c r="C14" s="75" t="s">
        <v>616</v>
      </c>
      <c r="D14" s="75" t="s">
        <v>617</v>
      </c>
      <c r="E14" s="80">
        <v>12</v>
      </c>
      <c r="F14" s="80">
        <v>3</v>
      </c>
      <c r="G14" s="75" t="s">
        <v>618</v>
      </c>
      <c r="H14" s="99">
        <v>2</v>
      </c>
      <c r="I14" s="273">
        <v>1</v>
      </c>
      <c r="J14" s="99">
        <v>2</v>
      </c>
      <c r="K14" s="99">
        <v>0</v>
      </c>
      <c r="L14" s="99">
        <v>2</v>
      </c>
      <c r="M14" s="100">
        <v>1</v>
      </c>
      <c r="N14" s="101">
        <v>1</v>
      </c>
      <c r="O14" s="75" t="s">
        <v>619</v>
      </c>
      <c r="P14" s="75" t="s">
        <v>620</v>
      </c>
      <c r="Q14" s="102">
        <v>0.03</v>
      </c>
      <c r="R14" s="103" t="s">
        <v>621</v>
      </c>
      <c r="S14" s="75" t="s">
        <v>622</v>
      </c>
      <c r="T14" s="75" t="s">
        <v>623</v>
      </c>
      <c r="U14" s="75">
        <v>3</v>
      </c>
      <c r="V14" s="75">
        <v>1</v>
      </c>
      <c r="W14" s="75" t="s">
        <v>625</v>
      </c>
      <c r="X14" s="75" t="s">
        <v>626</v>
      </c>
      <c r="Y14" s="75" t="s">
        <v>626</v>
      </c>
      <c r="AA14" s="75" t="s">
        <v>626</v>
      </c>
      <c r="AB14" s="75" t="s">
        <v>627</v>
      </c>
      <c r="AC14" s="75" t="s">
        <v>628</v>
      </c>
      <c r="AD14" s="75" t="s">
        <v>629</v>
      </c>
      <c r="AE14" s="75">
        <v>5</v>
      </c>
      <c r="AG14" s="75">
        <v>38</v>
      </c>
      <c r="AH14" s="75">
        <v>22</v>
      </c>
      <c r="AI14" s="75">
        <v>6</v>
      </c>
      <c r="AJ14" s="75">
        <v>187</v>
      </c>
      <c r="AK14" s="75">
        <v>17</v>
      </c>
      <c r="AL14" s="75">
        <v>1</v>
      </c>
      <c r="AM14" s="75">
        <v>0</v>
      </c>
    </row>
    <row r="15" spans="1:39">
      <c r="A15" s="98" t="s">
        <v>422</v>
      </c>
      <c r="B15" s="75" t="s">
        <v>615</v>
      </c>
      <c r="C15" s="75" t="s">
        <v>616</v>
      </c>
      <c r="D15" s="75" t="s">
        <v>617</v>
      </c>
      <c r="E15" s="80">
        <v>12</v>
      </c>
      <c r="F15" s="80">
        <v>3</v>
      </c>
      <c r="G15" s="75" t="s">
        <v>618</v>
      </c>
      <c r="H15" s="99">
        <v>2</v>
      </c>
      <c r="I15" s="273">
        <v>1</v>
      </c>
      <c r="J15" s="99">
        <v>2</v>
      </c>
      <c r="K15" s="99">
        <v>0</v>
      </c>
      <c r="L15" s="99">
        <v>2</v>
      </c>
      <c r="M15" s="100">
        <v>1</v>
      </c>
      <c r="N15" s="101">
        <v>1</v>
      </c>
      <c r="O15" s="75" t="s">
        <v>619</v>
      </c>
      <c r="P15" s="75" t="s">
        <v>620</v>
      </c>
      <c r="Q15" s="102">
        <v>1.2500000000000001E-2</v>
      </c>
      <c r="R15" s="103" t="s">
        <v>621</v>
      </c>
      <c r="S15" s="104" t="s">
        <v>622</v>
      </c>
      <c r="T15" s="75" t="s">
        <v>623</v>
      </c>
      <c r="U15" s="75" t="s">
        <v>624</v>
      </c>
      <c r="V15" s="75" t="s">
        <v>624</v>
      </c>
      <c r="W15" s="75" t="s">
        <v>625</v>
      </c>
      <c r="X15" s="75" t="s">
        <v>626</v>
      </c>
      <c r="Y15" s="75" t="s">
        <v>626</v>
      </c>
      <c r="AA15" s="75" t="s">
        <v>626</v>
      </c>
      <c r="AB15" s="75" t="s">
        <v>627</v>
      </c>
      <c r="AC15" s="75" t="s">
        <v>628</v>
      </c>
      <c r="AD15" s="75" t="s">
        <v>629</v>
      </c>
      <c r="AE15" s="75">
        <v>5</v>
      </c>
      <c r="AG15" s="75">
        <v>38</v>
      </c>
      <c r="AH15" s="75">
        <v>23</v>
      </c>
      <c r="AI15" s="75">
        <v>7</v>
      </c>
      <c r="AJ15" s="75">
        <v>188</v>
      </c>
      <c r="AK15" s="75">
        <v>17</v>
      </c>
      <c r="AL15" s="75">
        <v>1</v>
      </c>
      <c r="AM15" s="75">
        <v>0</v>
      </c>
    </row>
    <row r="16" spans="1:39">
      <c r="A16" s="98" t="s">
        <v>423</v>
      </c>
      <c r="B16" s="75" t="s">
        <v>615</v>
      </c>
      <c r="C16" s="75" t="s">
        <v>616</v>
      </c>
      <c r="D16" s="75" t="s">
        <v>617</v>
      </c>
      <c r="E16" s="80">
        <v>12</v>
      </c>
      <c r="F16" s="80">
        <v>3</v>
      </c>
      <c r="G16" s="75" t="s">
        <v>618</v>
      </c>
      <c r="H16" s="99">
        <v>2</v>
      </c>
      <c r="I16" s="273">
        <v>1</v>
      </c>
      <c r="J16" s="99">
        <v>2</v>
      </c>
      <c r="K16" s="99">
        <v>0</v>
      </c>
      <c r="L16" s="99">
        <v>2</v>
      </c>
      <c r="M16" s="100">
        <v>1</v>
      </c>
      <c r="N16" s="101">
        <v>1</v>
      </c>
      <c r="O16" s="75" t="s">
        <v>619</v>
      </c>
      <c r="P16" s="75" t="s">
        <v>620</v>
      </c>
      <c r="Q16" s="102">
        <v>2.5000000000000001E-2</v>
      </c>
      <c r="R16" s="103" t="s">
        <v>621</v>
      </c>
      <c r="S16" s="104" t="s">
        <v>622</v>
      </c>
      <c r="T16" s="75" t="s">
        <v>623</v>
      </c>
      <c r="U16" s="75">
        <v>3</v>
      </c>
      <c r="V16" s="75">
        <v>1</v>
      </c>
      <c r="W16" s="75" t="s">
        <v>625</v>
      </c>
      <c r="X16" s="75" t="s">
        <v>626</v>
      </c>
      <c r="Y16" s="75" t="s">
        <v>626</v>
      </c>
      <c r="AA16" s="75" t="s">
        <v>626</v>
      </c>
      <c r="AB16" s="75" t="s">
        <v>627</v>
      </c>
      <c r="AC16" s="75" t="s">
        <v>628</v>
      </c>
      <c r="AD16" s="75" t="s">
        <v>629</v>
      </c>
      <c r="AE16" s="75">
        <v>5</v>
      </c>
      <c r="AG16" s="75">
        <v>38</v>
      </c>
      <c r="AH16" s="75">
        <v>24</v>
      </c>
      <c r="AI16" s="75">
        <v>8</v>
      </c>
      <c r="AJ16" s="75">
        <v>189</v>
      </c>
      <c r="AK16" s="75">
        <v>17</v>
      </c>
      <c r="AL16" s="75">
        <v>1</v>
      </c>
      <c r="AM16" s="75">
        <v>0</v>
      </c>
    </row>
    <row r="17" spans="1:39">
      <c r="A17" s="98" t="s">
        <v>424</v>
      </c>
      <c r="B17" s="75" t="s">
        <v>615</v>
      </c>
      <c r="C17" s="75" t="s">
        <v>616</v>
      </c>
      <c r="D17" s="75" t="s">
        <v>617</v>
      </c>
      <c r="E17" s="80">
        <v>12</v>
      </c>
      <c r="F17" s="80">
        <v>3</v>
      </c>
      <c r="G17" s="75" t="s">
        <v>618</v>
      </c>
      <c r="H17" s="99">
        <v>2</v>
      </c>
      <c r="I17" s="273">
        <v>1</v>
      </c>
      <c r="J17" s="99">
        <v>2</v>
      </c>
      <c r="K17" s="99">
        <v>0</v>
      </c>
      <c r="L17" s="99">
        <v>2</v>
      </c>
      <c r="M17" s="100">
        <v>1</v>
      </c>
      <c r="N17" s="101">
        <v>1</v>
      </c>
      <c r="O17" s="75" t="s">
        <v>619</v>
      </c>
      <c r="P17" s="75" t="s">
        <v>620</v>
      </c>
      <c r="Q17" s="102">
        <v>1.4999999999999999E-2</v>
      </c>
      <c r="R17" s="103" t="s">
        <v>621</v>
      </c>
      <c r="S17" s="104" t="s">
        <v>622</v>
      </c>
      <c r="T17" s="75" t="s">
        <v>623</v>
      </c>
      <c r="U17" s="75" t="s">
        <v>624</v>
      </c>
      <c r="V17" s="75" t="s">
        <v>624</v>
      </c>
      <c r="W17" s="75" t="s">
        <v>625</v>
      </c>
      <c r="X17" s="75" t="s">
        <v>626</v>
      </c>
      <c r="Y17" s="75" t="s">
        <v>626</v>
      </c>
      <c r="AA17" s="75" t="s">
        <v>626</v>
      </c>
      <c r="AB17" s="75" t="s">
        <v>627</v>
      </c>
      <c r="AC17" s="75" t="s">
        <v>628</v>
      </c>
      <c r="AD17" s="75" t="s">
        <v>629</v>
      </c>
      <c r="AE17" s="75">
        <v>5</v>
      </c>
      <c r="AG17" s="75">
        <v>38</v>
      </c>
      <c r="AH17" s="75">
        <v>25</v>
      </c>
      <c r="AI17" s="75">
        <v>9</v>
      </c>
      <c r="AJ17" s="75">
        <v>190</v>
      </c>
      <c r="AK17" s="75">
        <v>17</v>
      </c>
      <c r="AL17" s="75">
        <v>1</v>
      </c>
      <c r="AM17" s="75">
        <v>0</v>
      </c>
    </row>
    <row r="18" spans="1:39">
      <c r="A18" s="98" t="s">
        <v>425</v>
      </c>
      <c r="B18" s="75" t="s">
        <v>615</v>
      </c>
      <c r="C18" s="75" t="s">
        <v>616</v>
      </c>
      <c r="D18" s="75" t="s">
        <v>617</v>
      </c>
      <c r="E18" s="80">
        <v>12</v>
      </c>
      <c r="F18" s="80">
        <v>3</v>
      </c>
      <c r="G18" s="75" t="s">
        <v>618</v>
      </c>
      <c r="H18" s="99">
        <v>2</v>
      </c>
      <c r="I18" s="273">
        <v>1</v>
      </c>
      <c r="J18" s="99">
        <v>2</v>
      </c>
      <c r="K18" s="99">
        <v>0</v>
      </c>
      <c r="L18" s="99">
        <v>2</v>
      </c>
      <c r="M18" s="100">
        <v>1</v>
      </c>
      <c r="N18" s="101">
        <v>1</v>
      </c>
      <c r="O18" s="75" t="s">
        <v>619</v>
      </c>
      <c r="P18" s="75" t="s">
        <v>620</v>
      </c>
      <c r="Q18" s="102">
        <v>1.7500000000000002E-2</v>
      </c>
      <c r="R18" s="103" t="s">
        <v>621</v>
      </c>
      <c r="S18" s="104" t="s">
        <v>622</v>
      </c>
      <c r="T18" s="75" t="s">
        <v>623</v>
      </c>
      <c r="U18" s="75" t="s">
        <v>624</v>
      </c>
      <c r="V18" s="75" t="s">
        <v>624</v>
      </c>
      <c r="W18" s="75" t="s">
        <v>625</v>
      </c>
      <c r="X18" s="75" t="s">
        <v>626</v>
      </c>
      <c r="Y18" s="75" t="s">
        <v>626</v>
      </c>
      <c r="AA18" s="75" t="s">
        <v>626</v>
      </c>
      <c r="AB18" s="75" t="s">
        <v>627</v>
      </c>
      <c r="AC18" s="75" t="s">
        <v>628</v>
      </c>
      <c r="AD18" s="75" t="s">
        <v>629</v>
      </c>
      <c r="AE18" s="75">
        <v>5</v>
      </c>
      <c r="AG18" s="75">
        <v>38</v>
      </c>
      <c r="AH18" s="75">
        <v>26</v>
      </c>
      <c r="AI18" s="75">
        <v>10</v>
      </c>
      <c r="AJ18" s="75">
        <v>191</v>
      </c>
      <c r="AK18" s="75">
        <v>17</v>
      </c>
      <c r="AL18" s="75">
        <v>1</v>
      </c>
      <c r="AM18" s="75">
        <v>0</v>
      </c>
    </row>
    <row r="19" spans="1:39">
      <c r="A19" s="98" t="s">
        <v>426</v>
      </c>
      <c r="B19" s="75" t="s">
        <v>615</v>
      </c>
      <c r="C19" s="75" t="s">
        <v>616</v>
      </c>
      <c r="D19" s="75" t="s">
        <v>617</v>
      </c>
      <c r="E19" s="80">
        <v>12</v>
      </c>
      <c r="F19" s="80">
        <v>3</v>
      </c>
      <c r="G19" s="75" t="s">
        <v>618</v>
      </c>
      <c r="H19" s="99">
        <v>2</v>
      </c>
      <c r="I19" s="273">
        <v>1</v>
      </c>
      <c r="J19" s="99">
        <v>2</v>
      </c>
      <c r="K19" s="99">
        <v>0</v>
      </c>
      <c r="L19" s="99">
        <v>2</v>
      </c>
      <c r="M19" s="100">
        <v>1</v>
      </c>
      <c r="N19" s="101">
        <v>1</v>
      </c>
      <c r="O19" s="75" t="s">
        <v>619</v>
      </c>
      <c r="P19" s="75" t="s">
        <v>620</v>
      </c>
      <c r="Q19" s="102">
        <v>2.2499999999999999E-2</v>
      </c>
      <c r="R19" s="103" t="s">
        <v>621</v>
      </c>
      <c r="S19" s="104" t="s">
        <v>622</v>
      </c>
      <c r="T19" s="75" t="s">
        <v>623</v>
      </c>
      <c r="U19" s="75" t="s">
        <v>624</v>
      </c>
      <c r="V19" s="75" t="s">
        <v>624</v>
      </c>
      <c r="W19" s="75" t="s">
        <v>625</v>
      </c>
      <c r="X19" s="75" t="s">
        <v>626</v>
      </c>
      <c r="Y19" s="75" t="s">
        <v>626</v>
      </c>
      <c r="AA19" s="75" t="s">
        <v>626</v>
      </c>
      <c r="AB19" s="75" t="s">
        <v>627</v>
      </c>
      <c r="AC19" s="75" t="s">
        <v>628</v>
      </c>
      <c r="AD19" s="75" t="s">
        <v>629</v>
      </c>
      <c r="AE19" s="75">
        <v>5</v>
      </c>
      <c r="AG19" s="75">
        <v>38</v>
      </c>
      <c r="AH19" s="75">
        <v>27</v>
      </c>
      <c r="AI19" s="75">
        <v>11</v>
      </c>
      <c r="AJ19" s="75">
        <v>192</v>
      </c>
      <c r="AK19" s="75">
        <v>17</v>
      </c>
      <c r="AL19" s="75">
        <v>1</v>
      </c>
      <c r="AM19" s="75">
        <v>0</v>
      </c>
    </row>
    <row r="20" spans="1:39">
      <c r="A20" s="98" t="s">
        <v>427</v>
      </c>
      <c r="B20" s="75" t="s">
        <v>615</v>
      </c>
      <c r="C20" s="75" t="s">
        <v>616</v>
      </c>
      <c r="D20" s="75" t="s">
        <v>617</v>
      </c>
      <c r="E20" s="80">
        <v>12</v>
      </c>
      <c r="F20" s="80">
        <v>3</v>
      </c>
      <c r="G20" s="75" t="s">
        <v>618</v>
      </c>
      <c r="H20" s="99">
        <v>2</v>
      </c>
      <c r="I20" s="273">
        <v>1</v>
      </c>
      <c r="J20" s="99">
        <v>2</v>
      </c>
      <c r="K20" s="99">
        <v>0</v>
      </c>
      <c r="L20" s="99">
        <v>2</v>
      </c>
      <c r="M20" s="100">
        <v>1</v>
      </c>
      <c r="N20" s="101">
        <v>1</v>
      </c>
      <c r="O20" s="75" t="s">
        <v>619</v>
      </c>
      <c r="P20" s="75" t="s">
        <v>620</v>
      </c>
      <c r="Q20" s="102">
        <v>3.2500000000000001E-2</v>
      </c>
      <c r="R20" s="103" t="s">
        <v>621</v>
      </c>
      <c r="S20" s="104" t="s">
        <v>622</v>
      </c>
      <c r="T20" s="75" t="s">
        <v>623</v>
      </c>
      <c r="U20" s="75" t="s">
        <v>624</v>
      </c>
      <c r="V20" s="75" t="s">
        <v>624</v>
      </c>
      <c r="W20" s="75" t="s">
        <v>625</v>
      </c>
      <c r="X20" s="75" t="s">
        <v>626</v>
      </c>
      <c r="Y20" s="75" t="s">
        <v>626</v>
      </c>
      <c r="AA20" s="75" t="s">
        <v>626</v>
      </c>
      <c r="AB20" s="75" t="s">
        <v>627</v>
      </c>
      <c r="AC20" s="75" t="s">
        <v>628</v>
      </c>
      <c r="AD20" s="75" t="s">
        <v>629</v>
      </c>
      <c r="AE20" s="75">
        <v>5</v>
      </c>
      <c r="AG20" s="75">
        <v>38</v>
      </c>
      <c r="AH20" s="75">
        <v>28</v>
      </c>
      <c r="AI20" s="75">
        <v>12</v>
      </c>
      <c r="AJ20" s="75">
        <v>193</v>
      </c>
      <c r="AK20" s="75">
        <v>17</v>
      </c>
      <c r="AL20" s="75">
        <v>1</v>
      </c>
      <c r="AM20" s="75">
        <v>0</v>
      </c>
    </row>
    <row r="21" spans="1:39">
      <c r="A21" s="98" t="s">
        <v>428</v>
      </c>
      <c r="B21" s="75" t="s">
        <v>615</v>
      </c>
      <c r="C21" s="75" t="s">
        <v>616</v>
      </c>
      <c r="D21" s="75" t="s">
        <v>617</v>
      </c>
      <c r="E21" s="80">
        <v>12</v>
      </c>
      <c r="F21" s="80">
        <v>3</v>
      </c>
      <c r="G21" s="75" t="s">
        <v>618</v>
      </c>
      <c r="H21" s="99">
        <v>2</v>
      </c>
      <c r="I21" s="273">
        <v>1</v>
      </c>
      <c r="J21" s="99">
        <v>2</v>
      </c>
      <c r="K21" s="99">
        <v>0</v>
      </c>
      <c r="L21" s="99">
        <v>2</v>
      </c>
      <c r="M21" s="100">
        <v>1</v>
      </c>
      <c r="N21" s="101">
        <v>1</v>
      </c>
      <c r="O21" s="75" t="s">
        <v>619</v>
      </c>
      <c r="P21" s="75" t="s">
        <v>620</v>
      </c>
      <c r="Q21" s="102">
        <v>2.75E-2</v>
      </c>
      <c r="R21" s="103" t="s">
        <v>621</v>
      </c>
      <c r="S21" s="104" t="s">
        <v>622</v>
      </c>
      <c r="T21" s="75" t="s">
        <v>623</v>
      </c>
      <c r="U21" s="75" t="s">
        <v>624</v>
      </c>
      <c r="V21" s="75" t="s">
        <v>624</v>
      </c>
      <c r="W21" s="75" t="s">
        <v>625</v>
      </c>
      <c r="X21" s="75" t="s">
        <v>626</v>
      </c>
      <c r="Y21" s="75" t="s">
        <v>626</v>
      </c>
      <c r="AA21" s="75" t="s">
        <v>626</v>
      </c>
      <c r="AB21" s="75" t="s">
        <v>627</v>
      </c>
      <c r="AC21" s="75" t="s">
        <v>628</v>
      </c>
      <c r="AD21" s="75" t="s">
        <v>629</v>
      </c>
      <c r="AE21" s="75">
        <v>5</v>
      </c>
      <c r="AG21" s="75">
        <v>38</v>
      </c>
      <c r="AH21" s="75">
        <v>29</v>
      </c>
      <c r="AI21" s="75">
        <v>13</v>
      </c>
      <c r="AJ21" s="75">
        <v>194</v>
      </c>
      <c r="AK21" s="75">
        <v>17</v>
      </c>
      <c r="AL21" s="75">
        <v>1</v>
      </c>
      <c r="AM21" s="75">
        <v>0</v>
      </c>
    </row>
    <row r="22" spans="1:39">
      <c r="A22" s="98" t="s">
        <v>429</v>
      </c>
      <c r="B22" s="75" t="s">
        <v>615</v>
      </c>
      <c r="C22" s="75" t="s">
        <v>616</v>
      </c>
      <c r="D22" s="75" t="s">
        <v>617</v>
      </c>
      <c r="E22" s="80">
        <v>12</v>
      </c>
      <c r="F22" s="80">
        <v>3</v>
      </c>
      <c r="G22" s="75" t="s">
        <v>618</v>
      </c>
      <c r="H22" s="99">
        <v>2</v>
      </c>
      <c r="I22" s="273">
        <v>1</v>
      </c>
      <c r="J22" s="99">
        <v>2</v>
      </c>
      <c r="K22" s="99">
        <v>0</v>
      </c>
      <c r="L22" s="99">
        <v>2</v>
      </c>
      <c r="M22" s="100">
        <v>1</v>
      </c>
      <c r="N22" s="101">
        <v>1</v>
      </c>
      <c r="O22" s="75" t="s">
        <v>619</v>
      </c>
      <c r="P22" s="75" t="s">
        <v>620</v>
      </c>
      <c r="Q22" s="80">
        <v>0.02</v>
      </c>
      <c r="R22" s="103" t="s">
        <v>621</v>
      </c>
      <c r="S22" s="104" t="s">
        <v>622</v>
      </c>
      <c r="T22" s="75" t="s">
        <v>623</v>
      </c>
      <c r="U22" s="75">
        <v>3</v>
      </c>
      <c r="V22" s="75">
        <v>1</v>
      </c>
      <c r="W22" s="75" t="s">
        <v>625</v>
      </c>
      <c r="X22" s="75" t="s">
        <v>626</v>
      </c>
      <c r="Y22" s="75" t="s">
        <v>626</v>
      </c>
      <c r="AA22" s="75" t="s">
        <v>626</v>
      </c>
      <c r="AB22" s="75" t="s">
        <v>627</v>
      </c>
      <c r="AC22" s="75" t="s">
        <v>628</v>
      </c>
      <c r="AD22" s="75" t="s">
        <v>629</v>
      </c>
      <c r="AE22" s="75">
        <v>5</v>
      </c>
      <c r="AG22" s="75">
        <v>38</v>
      </c>
      <c r="AH22" s="75">
        <v>30</v>
      </c>
      <c r="AI22" s="75">
        <v>14</v>
      </c>
      <c r="AJ22" s="75">
        <v>195</v>
      </c>
      <c r="AK22" s="75">
        <v>17</v>
      </c>
      <c r="AL22" s="75">
        <v>1</v>
      </c>
      <c r="AM22" s="75">
        <v>0</v>
      </c>
    </row>
    <row r="23" spans="1:39">
      <c r="A23" s="98" t="s">
        <v>430</v>
      </c>
      <c r="B23" s="75" t="s">
        <v>615</v>
      </c>
      <c r="C23" s="75" t="s">
        <v>616</v>
      </c>
      <c r="D23" s="75" t="s">
        <v>617</v>
      </c>
      <c r="E23" s="80">
        <v>12</v>
      </c>
      <c r="F23" s="80">
        <v>3</v>
      </c>
      <c r="G23" s="75" t="s">
        <v>618</v>
      </c>
      <c r="H23" s="99">
        <v>2</v>
      </c>
      <c r="I23" s="273">
        <v>1</v>
      </c>
      <c r="J23" s="99">
        <v>2</v>
      </c>
      <c r="K23" s="99">
        <v>0</v>
      </c>
      <c r="L23" s="99">
        <v>2</v>
      </c>
      <c r="M23" s="100">
        <v>1</v>
      </c>
      <c r="N23" s="101">
        <v>1</v>
      </c>
      <c r="O23" s="75" t="s">
        <v>619</v>
      </c>
      <c r="P23" s="75" t="s">
        <v>620</v>
      </c>
      <c r="Q23" s="80">
        <v>0.04</v>
      </c>
      <c r="R23" s="103" t="s">
        <v>621</v>
      </c>
      <c r="S23" s="104" t="s">
        <v>622</v>
      </c>
      <c r="T23" s="75" t="s">
        <v>623</v>
      </c>
      <c r="U23" s="75">
        <v>4</v>
      </c>
      <c r="V23" s="75">
        <v>0</v>
      </c>
      <c r="W23" s="75" t="s">
        <v>625</v>
      </c>
      <c r="X23" s="75" t="s">
        <v>626</v>
      </c>
      <c r="Y23" s="75" t="s">
        <v>626</v>
      </c>
      <c r="AA23" s="75" t="s">
        <v>630</v>
      </c>
      <c r="AB23" s="75" t="s">
        <v>627</v>
      </c>
      <c r="AC23" s="75" t="s">
        <v>628</v>
      </c>
      <c r="AD23" s="75" t="s">
        <v>629</v>
      </c>
      <c r="AE23" s="75">
        <v>5</v>
      </c>
      <c r="AG23" s="75">
        <v>38</v>
      </c>
      <c r="AH23" s="75">
        <v>31</v>
      </c>
      <c r="AI23" s="75">
        <v>15</v>
      </c>
      <c r="AJ23" s="75">
        <v>196</v>
      </c>
      <c r="AK23" s="75">
        <v>17</v>
      </c>
      <c r="AL23" s="75">
        <v>1</v>
      </c>
      <c r="AM23" s="75">
        <v>0</v>
      </c>
    </row>
    <row r="24" spans="1:39">
      <c r="A24" s="98" t="s">
        <v>332</v>
      </c>
      <c r="B24" s="75" t="s">
        <v>615</v>
      </c>
      <c r="C24" s="75" t="s">
        <v>616</v>
      </c>
      <c r="D24" s="75" t="s">
        <v>617</v>
      </c>
      <c r="E24" s="80">
        <v>14</v>
      </c>
      <c r="F24" s="80">
        <v>3</v>
      </c>
      <c r="G24" s="75" t="s">
        <v>631</v>
      </c>
      <c r="H24" s="99">
        <v>2</v>
      </c>
      <c r="I24" s="273">
        <v>3</v>
      </c>
      <c r="J24" s="99">
        <v>2</v>
      </c>
      <c r="K24" s="99">
        <v>0</v>
      </c>
      <c r="L24" s="99">
        <v>2</v>
      </c>
      <c r="M24" s="100">
        <v>1</v>
      </c>
      <c r="N24" s="101">
        <v>1</v>
      </c>
      <c r="O24" s="75" t="s">
        <v>619</v>
      </c>
      <c r="P24" s="75" t="s">
        <v>632</v>
      </c>
      <c r="Q24" s="80" t="s">
        <v>624</v>
      </c>
      <c r="R24" s="103" t="s">
        <v>633</v>
      </c>
      <c r="S24" s="104" t="s">
        <v>622</v>
      </c>
      <c r="T24" s="75" t="s">
        <v>623</v>
      </c>
      <c r="U24" s="75" t="s">
        <v>624</v>
      </c>
      <c r="V24" s="75" t="s">
        <v>624</v>
      </c>
      <c r="W24" s="75" t="s">
        <v>625</v>
      </c>
      <c r="X24" s="75" t="s">
        <v>626</v>
      </c>
      <c r="Y24" s="75" t="s">
        <v>626</v>
      </c>
      <c r="AA24" s="75" t="s">
        <v>626</v>
      </c>
      <c r="AB24" s="75" t="s">
        <v>627</v>
      </c>
      <c r="AC24" s="75" t="s">
        <v>628</v>
      </c>
      <c r="AD24" s="75" t="s">
        <v>629</v>
      </c>
      <c r="AE24" s="75">
        <v>3</v>
      </c>
      <c r="AG24" s="75">
        <v>38</v>
      </c>
      <c r="AH24" s="75">
        <v>3</v>
      </c>
      <c r="AI24" s="75">
        <v>3</v>
      </c>
      <c r="AJ24" s="75">
        <v>168</v>
      </c>
      <c r="AK24" s="75">
        <v>27</v>
      </c>
      <c r="AL24" s="75">
        <v>1</v>
      </c>
      <c r="AM24" s="75">
        <v>0</v>
      </c>
    </row>
    <row r="25" spans="1:39">
      <c r="A25" s="98" t="s">
        <v>333</v>
      </c>
      <c r="B25" s="75" t="s">
        <v>615</v>
      </c>
      <c r="C25" s="75" t="s">
        <v>616</v>
      </c>
      <c r="D25" s="75" t="s">
        <v>617</v>
      </c>
      <c r="E25" s="80">
        <v>14</v>
      </c>
      <c r="F25" s="80">
        <v>3</v>
      </c>
      <c r="G25" s="75" t="s">
        <v>631</v>
      </c>
      <c r="H25" s="99">
        <v>2</v>
      </c>
      <c r="I25" s="273">
        <v>3</v>
      </c>
      <c r="J25" s="99">
        <v>2</v>
      </c>
      <c r="K25" s="99">
        <v>0</v>
      </c>
      <c r="L25" s="99">
        <v>2</v>
      </c>
      <c r="M25" s="100">
        <v>1</v>
      </c>
      <c r="N25" s="101">
        <v>1</v>
      </c>
      <c r="O25" s="75" t="s">
        <v>619</v>
      </c>
      <c r="P25" s="75" t="s">
        <v>632</v>
      </c>
      <c r="Q25" s="102">
        <v>1.89E-2</v>
      </c>
      <c r="R25" s="103" t="s">
        <v>633</v>
      </c>
      <c r="S25" s="104" t="s">
        <v>622</v>
      </c>
      <c r="T25" s="75" t="s">
        <v>623</v>
      </c>
      <c r="U25" s="75">
        <v>3</v>
      </c>
      <c r="V25" s="75">
        <v>1</v>
      </c>
      <c r="W25" s="75" t="s">
        <v>625</v>
      </c>
      <c r="X25" s="75" t="s">
        <v>626</v>
      </c>
      <c r="Y25" s="75" t="s">
        <v>626</v>
      </c>
      <c r="AA25" s="75" t="s">
        <v>630</v>
      </c>
      <c r="AB25" s="75" t="s">
        <v>627</v>
      </c>
      <c r="AC25" s="75" t="s">
        <v>628</v>
      </c>
      <c r="AD25" s="75" t="s">
        <v>629</v>
      </c>
      <c r="AE25" s="75">
        <v>3</v>
      </c>
      <c r="AG25" s="75">
        <v>38</v>
      </c>
      <c r="AH25" s="75">
        <v>4</v>
      </c>
      <c r="AI25" s="75">
        <v>4</v>
      </c>
      <c r="AJ25" s="75">
        <v>169</v>
      </c>
      <c r="AK25" s="75">
        <v>27</v>
      </c>
      <c r="AL25" s="75">
        <v>3</v>
      </c>
      <c r="AM25" s="75">
        <v>0</v>
      </c>
    </row>
    <row r="26" spans="1:39">
      <c r="A26" s="98" t="s">
        <v>971</v>
      </c>
      <c r="B26" s="75" t="s">
        <v>615</v>
      </c>
      <c r="C26" s="75" t="s">
        <v>616</v>
      </c>
      <c r="D26" s="75" t="s">
        <v>617</v>
      </c>
      <c r="E26" s="80">
        <v>14</v>
      </c>
      <c r="F26" s="80">
        <v>3</v>
      </c>
      <c r="G26" s="75" t="s">
        <v>631</v>
      </c>
      <c r="H26" s="99"/>
      <c r="I26" s="273">
        <v>3</v>
      </c>
      <c r="J26" s="99">
        <v>2</v>
      </c>
      <c r="K26" s="99">
        <v>0</v>
      </c>
      <c r="L26" s="99">
        <v>2</v>
      </c>
      <c r="M26" s="100">
        <v>1</v>
      </c>
      <c r="N26" s="101">
        <v>1</v>
      </c>
      <c r="O26" s="75" t="s">
        <v>619</v>
      </c>
      <c r="P26" s="75" t="s">
        <v>777</v>
      </c>
      <c r="Q26" s="80" t="s">
        <v>1090</v>
      </c>
      <c r="R26" s="103" t="s">
        <v>621</v>
      </c>
      <c r="S26" s="104" t="s">
        <v>622</v>
      </c>
      <c r="T26" s="75" t="s">
        <v>623</v>
      </c>
      <c r="U26" s="75"/>
      <c r="V26" s="75"/>
      <c r="W26" s="75" t="s">
        <v>625</v>
      </c>
      <c r="X26" s="75" t="s">
        <v>626</v>
      </c>
      <c r="AA26" s="75" t="s">
        <v>626</v>
      </c>
      <c r="AB26" s="75" t="s">
        <v>627</v>
      </c>
      <c r="AC26" s="75" t="s">
        <v>628</v>
      </c>
      <c r="AD26" s="75" t="s">
        <v>629</v>
      </c>
      <c r="AE26" s="75">
        <v>3</v>
      </c>
      <c r="AG26" s="75">
        <v>38</v>
      </c>
      <c r="AH26" s="75">
        <v>5</v>
      </c>
      <c r="AI26" s="75">
        <v>5</v>
      </c>
      <c r="AJ26" s="75">
        <v>170</v>
      </c>
      <c r="AK26" s="75">
        <v>27</v>
      </c>
      <c r="AL26" s="75">
        <v>3</v>
      </c>
      <c r="AM26" s="75">
        <v>0</v>
      </c>
    </row>
    <row r="27" spans="1:39">
      <c r="A27" s="98" t="s">
        <v>972</v>
      </c>
      <c r="B27" s="75" t="s">
        <v>661</v>
      </c>
      <c r="C27" s="75" t="s">
        <v>616</v>
      </c>
      <c r="D27" s="75" t="s">
        <v>653</v>
      </c>
      <c r="E27" s="80">
        <v>16</v>
      </c>
      <c r="F27" s="80">
        <v>3</v>
      </c>
      <c r="G27" s="75" t="s">
        <v>675</v>
      </c>
      <c r="H27" s="99"/>
      <c r="I27" s="273">
        <v>2</v>
      </c>
      <c r="J27" s="99">
        <v>2</v>
      </c>
      <c r="K27" s="99">
        <v>0</v>
      </c>
      <c r="L27" s="99">
        <v>2</v>
      </c>
      <c r="M27" s="100">
        <v>1</v>
      </c>
      <c r="N27" s="101">
        <v>1</v>
      </c>
      <c r="O27" s="75" t="s">
        <v>619</v>
      </c>
      <c r="P27" s="75" t="s">
        <v>777</v>
      </c>
      <c r="Q27" s="80" t="s">
        <v>1090</v>
      </c>
      <c r="R27" s="103" t="s">
        <v>676</v>
      </c>
      <c r="S27" s="104" t="s">
        <v>657</v>
      </c>
      <c r="T27" s="75" t="s">
        <v>623</v>
      </c>
      <c r="U27" s="75"/>
      <c r="V27" s="75"/>
      <c r="W27" s="75" t="s">
        <v>658</v>
      </c>
      <c r="X27" s="75" t="s">
        <v>626</v>
      </c>
      <c r="AA27" s="75" t="s">
        <v>626</v>
      </c>
      <c r="AB27" s="75" t="s">
        <v>659</v>
      </c>
      <c r="AC27" s="75" t="s">
        <v>660</v>
      </c>
      <c r="AD27" s="75" t="s">
        <v>629</v>
      </c>
      <c r="AE27" s="75">
        <v>4</v>
      </c>
      <c r="AG27" s="75">
        <v>36</v>
      </c>
      <c r="AH27" s="75">
        <v>12</v>
      </c>
      <c r="AI27" s="75">
        <v>1</v>
      </c>
      <c r="AJ27" s="75">
        <v>177</v>
      </c>
      <c r="AK27" s="75">
        <v>21</v>
      </c>
      <c r="AL27" s="75">
        <v>3</v>
      </c>
      <c r="AM27" s="75">
        <v>0</v>
      </c>
    </row>
    <row r="28" spans="1:39">
      <c r="A28" s="98" t="s">
        <v>334</v>
      </c>
      <c r="B28" s="75" t="s">
        <v>615</v>
      </c>
      <c r="C28" s="75" t="s">
        <v>616</v>
      </c>
      <c r="D28" s="75" t="s">
        <v>617</v>
      </c>
      <c r="E28" s="80">
        <v>14</v>
      </c>
      <c r="F28" s="80">
        <v>3</v>
      </c>
      <c r="G28" s="75" t="s">
        <v>631</v>
      </c>
      <c r="H28" s="99">
        <v>2</v>
      </c>
      <c r="I28" s="273">
        <v>3</v>
      </c>
      <c r="J28" s="99">
        <v>2</v>
      </c>
      <c r="K28" s="99">
        <v>0</v>
      </c>
      <c r="L28" s="99">
        <v>2</v>
      </c>
      <c r="M28" s="100">
        <v>1</v>
      </c>
      <c r="N28" s="101">
        <v>1</v>
      </c>
      <c r="O28" s="75" t="s">
        <v>619</v>
      </c>
      <c r="P28" s="75" t="s">
        <v>632</v>
      </c>
      <c r="Q28" s="102" t="s">
        <v>634</v>
      </c>
      <c r="R28" s="103" t="s">
        <v>633</v>
      </c>
      <c r="S28" s="104" t="s">
        <v>622</v>
      </c>
      <c r="T28" s="75" t="s">
        <v>623</v>
      </c>
      <c r="U28" s="75" t="s">
        <v>635</v>
      </c>
      <c r="V28" s="75">
        <v>0.34</v>
      </c>
      <c r="W28" s="75" t="s">
        <v>625</v>
      </c>
      <c r="X28" s="75" t="s">
        <v>626</v>
      </c>
      <c r="Y28" s="75" t="s">
        <v>626</v>
      </c>
      <c r="AA28" s="75" t="s">
        <v>626</v>
      </c>
      <c r="AB28" s="75" t="s">
        <v>627</v>
      </c>
      <c r="AC28" s="75" t="s">
        <v>628</v>
      </c>
      <c r="AD28" s="75" t="s">
        <v>629</v>
      </c>
      <c r="AE28" s="75">
        <v>3</v>
      </c>
      <c r="AG28" s="75">
        <v>38</v>
      </c>
      <c r="AH28" s="75">
        <v>6</v>
      </c>
      <c r="AI28" s="75">
        <v>6</v>
      </c>
      <c r="AJ28" s="75">
        <v>171</v>
      </c>
      <c r="AK28" s="75">
        <v>27</v>
      </c>
      <c r="AL28" s="75">
        <v>1</v>
      </c>
      <c r="AM28" s="75">
        <v>0</v>
      </c>
    </row>
    <row r="29" spans="1:39">
      <c r="A29" s="98" t="s">
        <v>431</v>
      </c>
      <c r="B29" s="75" t="s">
        <v>615</v>
      </c>
      <c r="C29" s="75" t="s">
        <v>616</v>
      </c>
      <c r="D29" s="75" t="s">
        <v>617</v>
      </c>
      <c r="E29" s="80">
        <v>12</v>
      </c>
      <c r="F29" s="80">
        <v>3</v>
      </c>
      <c r="G29" s="75" t="s">
        <v>618</v>
      </c>
      <c r="H29" s="99">
        <v>2</v>
      </c>
      <c r="I29" s="273">
        <v>1</v>
      </c>
      <c r="J29" s="99">
        <v>2</v>
      </c>
      <c r="K29" s="99">
        <v>0</v>
      </c>
      <c r="L29" s="99">
        <v>2</v>
      </c>
      <c r="M29" s="100">
        <v>1</v>
      </c>
      <c r="N29" s="101">
        <v>1</v>
      </c>
      <c r="O29" s="75" t="s">
        <v>619</v>
      </c>
      <c r="P29" s="75" t="s">
        <v>636</v>
      </c>
      <c r="Q29" s="102">
        <v>5.0000000000000001E-3</v>
      </c>
      <c r="R29" s="103" t="s">
        <v>621</v>
      </c>
      <c r="S29" s="104" t="s">
        <v>622</v>
      </c>
      <c r="T29" s="75" t="s">
        <v>623</v>
      </c>
      <c r="U29" s="75" t="s">
        <v>624</v>
      </c>
      <c r="V29" s="75" t="s">
        <v>624</v>
      </c>
      <c r="W29" s="75" t="s">
        <v>625</v>
      </c>
      <c r="X29" s="75" t="s">
        <v>626</v>
      </c>
      <c r="Y29" s="75" t="s">
        <v>626</v>
      </c>
      <c r="AA29" s="75" t="s">
        <v>626</v>
      </c>
      <c r="AB29" s="75" t="s">
        <v>627</v>
      </c>
      <c r="AC29" s="75" t="s">
        <v>628</v>
      </c>
      <c r="AD29" s="75" t="s">
        <v>629</v>
      </c>
      <c r="AE29" s="75">
        <v>5</v>
      </c>
      <c r="AG29" s="75">
        <v>38</v>
      </c>
      <c r="AH29" s="75">
        <v>32</v>
      </c>
      <c r="AI29" s="75">
        <v>16</v>
      </c>
      <c r="AJ29" s="75">
        <v>197</v>
      </c>
      <c r="AK29" s="75">
        <v>17</v>
      </c>
      <c r="AL29" s="75">
        <v>1</v>
      </c>
      <c r="AM29" s="75">
        <v>0</v>
      </c>
    </row>
    <row r="30" spans="1:39">
      <c r="A30" s="98" t="s">
        <v>432</v>
      </c>
      <c r="B30" s="75" t="s">
        <v>615</v>
      </c>
      <c r="C30" s="75" t="s">
        <v>616</v>
      </c>
      <c r="D30" s="75" t="s">
        <v>617</v>
      </c>
      <c r="E30" s="80">
        <v>12</v>
      </c>
      <c r="F30" s="80">
        <v>3</v>
      </c>
      <c r="G30" s="75" t="s">
        <v>618</v>
      </c>
      <c r="H30" s="99">
        <v>2</v>
      </c>
      <c r="I30" s="273">
        <v>1</v>
      </c>
      <c r="J30" s="99">
        <v>2</v>
      </c>
      <c r="K30" s="99">
        <v>0</v>
      </c>
      <c r="L30" s="99">
        <v>2</v>
      </c>
      <c r="M30" s="100">
        <v>1</v>
      </c>
      <c r="N30" s="101">
        <v>1</v>
      </c>
      <c r="O30" s="75" t="s">
        <v>619</v>
      </c>
      <c r="P30" s="75" t="s">
        <v>636</v>
      </c>
      <c r="Q30" s="80">
        <v>7.4999999999999997E-3</v>
      </c>
      <c r="R30" s="103" t="s">
        <v>621</v>
      </c>
      <c r="S30" s="104" t="s">
        <v>622</v>
      </c>
      <c r="T30" s="75" t="s">
        <v>623</v>
      </c>
      <c r="U30" s="75" t="s">
        <v>624</v>
      </c>
      <c r="V30" s="75" t="s">
        <v>624</v>
      </c>
      <c r="W30" s="75" t="s">
        <v>625</v>
      </c>
      <c r="X30" s="75" t="s">
        <v>626</v>
      </c>
      <c r="Y30" s="75" t="s">
        <v>626</v>
      </c>
      <c r="AA30" s="75" t="s">
        <v>626</v>
      </c>
      <c r="AB30" s="75" t="s">
        <v>627</v>
      </c>
      <c r="AC30" s="75" t="s">
        <v>628</v>
      </c>
      <c r="AD30" s="75" t="s">
        <v>629</v>
      </c>
      <c r="AE30" s="75">
        <v>5</v>
      </c>
      <c r="AG30" s="75">
        <v>38</v>
      </c>
      <c r="AH30" s="75">
        <v>33</v>
      </c>
      <c r="AI30" s="75">
        <v>17</v>
      </c>
      <c r="AJ30" s="75">
        <v>198</v>
      </c>
      <c r="AK30" s="75">
        <v>17</v>
      </c>
      <c r="AL30" s="75">
        <v>1</v>
      </c>
      <c r="AM30" s="75">
        <v>0</v>
      </c>
    </row>
    <row r="31" spans="1:39">
      <c r="A31" s="98" t="s">
        <v>433</v>
      </c>
      <c r="B31" s="75" t="s">
        <v>615</v>
      </c>
      <c r="C31" s="75" t="s">
        <v>616</v>
      </c>
      <c r="D31" s="75" t="s">
        <v>617</v>
      </c>
      <c r="E31" s="80">
        <v>12</v>
      </c>
      <c r="F31" s="80">
        <v>3</v>
      </c>
      <c r="G31" s="75" t="s">
        <v>618</v>
      </c>
      <c r="H31" s="99">
        <v>2</v>
      </c>
      <c r="I31" s="273">
        <v>1</v>
      </c>
      <c r="J31" s="99">
        <v>2</v>
      </c>
      <c r="K31" s="99">
        <v>0</v>
      </c>
      <c r="L31" s="99">
        <v>2</v>
      </c>
      <c r="M31" s="100">
        <v>1</v>
      </c>
      <c r="N31" s="101">
        <v>1</v>
      </c>
      <c r="O31" s="75" t="s">
        <v>619</v>
      </c>
      <c r="P31" s="75" t="s">
        <v>636</v>
      </c>
      <c r="Q31" s="102">
        <v>0.01</v>
      </c>
      <c r="R31" s="103" t="s">
        <v>621</v>
      </c>
      <c r="S31" s="104" t="s">
        <v>622</v>
      </c>
      <c r="T31" s="75" t="s">
        <v>623</v>
      </c>
      <c r="U31" s="75" t="s">
        <v>624</v>
      </c>
      <c r="V31" s="75" t="s">
        <v>624</v>
      </c>
      <c r="W31" s="75" t="s">
        <v>625</v>
      </c>
      <c r="X31" s="75" t="s">
        <v>626</v>
      </c>
      <c r="Y31" s="75" t="s">
        <v>626</v>
      </c>
      <c r="AA31" s="75" t="s">
        <v>626</v>
      </c>
      <c r="AB31" s="75" t="s">
        <v>627</v>
      </c>
      <c r="AC31" s="75" t="s">
        <v>628</v>
      </c>
      <c r="AD31" s="75" t="s">
        <v>629</v>
      </c>
      <c r="AE31" s="75">
        <v>5</v>
      </c>
      <c r="AG31" s="75">
        <v>38</v>
      </c>
      <c r="AH31" s="75">
        <v>34</v>
      </c>
      <c r="AI31" s="75">
        <v>18</v>
      </c>
      <c r="AJ31" s="75">
        <v>199</v>
      </c>
      <c r="AK31" s="75">
        <v>17</v>
      </c>
      <c r="AL31" s="75">
        <v>1</v>
      </c>
      <c r="AM31" s="75">
        <v>0</v>
      </c>
    </row>
    <row r="32" spans="1:39">
      <c r="A32" s="98" t="s">
        <v>434</v>
      </c>
      <c r="B32" s="75" t="s">
        <v>615</v>
      </c>
      <c r="C32" s="75" t="s">
        <v>616</v>
      </c>
      <c r="D32" s="75" t="s">
        <v>617</v>
      </c>
      <c r="E32" s="80">
        <v>12</v>
      </c>
      <c r="F32" s="80">
        <v>3</v>
      </c>
      <c r="G32" s="75" t="s">
        <v>618</v>
      </c>
      <c r="H32" s="99">
        <v>2</v>
      </c>
      <c r="I32" s="273">
        <v>1</v>
      </c>
      <c r="J32" s="99">
        <v>2</v>
      </c>
      <c r="K32" s="99">
        <v>0</v>
      </c>
      <c r="L32" s="99">
        <v>2</v>
      </c>
      <c r="M32" s="100">
        <v>1</v>
      </c>
      <c r="N32" s="101">
        <v>1</v>
      </c>
      <c r="O32" s="75" t="s">
        <v>619</v>
      </c>
      <c r="P32" s="75" t="s">
        <v>636</v>
      </c>
      <c r="Q32" s="102">
        <v>0.03</v>
      </c>
      <c r="R32" s="103" t="s">
        <v>621</v>
      </c>
      <c r="S32" s="104" t="s">
        <v>622</v>
      </c>
      <c r="T32" s="75" t="s">
        <v>623</v>
      </c>
      <c r="U32" s="75">
        <v>3</v>
      </c>
      <c r="V32" s="75">
        <v>1</v>
      </c>
      <c r="W32" s="75" t="s">
        <v>625</v>
      </c>
      <c r="X32" s="75" t="s">
        <v>626</v>
      </c>
      <c r="Y32" s="75" t="s">
        <v>626</v>
      </c>
      <c r="AA32" s="75" t="s">
        <v>626</v>
      </c>
      <c r="AB32" s="75" t="s">
        <v>627</v>
      </c>
      <c r="AC32" s="75" t="s">
        <v>628</v>
      </c>
      <c r="AD32" s="75" t="s">
        <v>629</v>
      </c>
      <c r="AE32" s="75">
        <v>5</v>
      </c>
      <c r="AG32" s="75">
        <v>38</v>
      </c>
      <c r="AH32" s="75">
        <v>35</v>
      </c>
      <c r="AI32" s="75">
        <v>19</v>
      </c>
      <c r="AJ32" s="75">
        <v>200</v>
      </c>
      <c r="AK32" s="75">
        <v>17</v>
      </c>
      <c r="AL32" s="75">
        <v>1</v>
      </c>
      <c r="AM32" s="75">
        <v>0</v>
      </c>
    </row>
    <row r="33" spans="1:39">
      <c r="A33" s="98" t="s">
        <v>435</v>
      </c>
      <c r="B33" s="75" t="s">
        <v>615</v>
      </c>
      <c r="C33" s="75" t="s">
        <v>616</v>
      </c>
      <c r="D33" s="75" t="s">
        <v>617</v>
      </c>
      <c r="E33" s="80">
        <v>12</v>
      </c>
      <c r="F33" s="80">
        <v>3</v>
      </c>
      <c r="G33" s="75" t="s">
        <v>618</v>
      </c>
      <c r="H33" s="99">
        <v>2</v>
      </c>
      <c r="I33" s="273">
        <v>1</v>
      </c>
      <c r="J33" s="99">
        <v>2</v>
      </c>
      <c r="K33" s="99">
        <v>0</v>
      </c>
      <c r="L33" s="99">
        <v>2</v>
      </c>
      <c r="M33" s="100">
        <v>1</v>
      </c>
      <c r="N33" s="101">
        <v>1</v>
      </c>
      <c r="O33" s="75" t="s">
        <v>619</v>
      </c>
      <c r="P33" s="75" t="s">
        <v>636</v>
      </c>
      <c r="Q33" s="102">
        <v>1.2500000000000001E-2</v>
      </c>
      <c r="R33" s="103" t="s">
        <v>621</v>
      </c>
      <c r="S33" s="104" t="s">
        <v>622</v>
      </c>
      <c r="T33" s="75" t="s">
        <v>623</v>
      </c>
      <c r="U33" s="75" t="s">
        <v>624</v>
      </c>
      <c r="V33" s="75" t="s">
        <v>624</v>
      </c>
      <c r="W33" s="75" t="s">
        <v>625</v>
      </c>
      <c r="X33" s="75" t="s">
        <v>626</v>
      </c>
      <c r="Y33" s="75" t="s">
        <v>626</v>
      </c>
      <c r="AA33" s="75" t="s">
        <v>626</v>
      </c>
      <c r="AB33" s="75" t="s">
        <v>627</v>
      </c>
      <c r="AC33" s="75" t="s">
        <v>628</v>
      </c>
      <c r="AD33" s="75" t="s">
        <v>629</v>
      </c>
      <c r="AE33" s="75">
        <v>5</v>
      </c>
      <c r="AG33" s="75">
        <v>38</v>
      </c>
      <c r="AH33" s="75">
        <v>36</v>
      </c>
      <c r="AI33" s="75">
        <v>20</v>
      </c>
      <c r="AJ33" s="75">
        <v>201</v>
      </c>
      <c r="AK33" s="75">
        <v>17</v>
      </c>
      <c r="AL33" s="75">
        <v>1</v>
      </c>
      <c r="AM33" s="75">
        <v>0</v>
      </c>
    </row>
    <row r="34" spans="1:39">
      <c r="A34" s="98" t="s">
        <v>436</v>
      </c>
      <c r="B34" s="75" t="s">
        <v>615</v>
      </c>
      <c r="C34" s="75" t="s">
        <v>616</v>
      </c>
      <c r="D34" s="75" t="s">
        <v>617</v>
      </c>
      <c r="E34" s="80">
        <v>12</v>
      </c>
      <c r="F34" s="80">
        <v>3</v>
      </c>
      <c r="G34" s="75" t="s">
        <v>618</v>
      </c>
      <c r="H34" s="99">
        <v>2</v>
      </c>
      <c r="I34" s="273">
        <v>1</v>
      </c>
      <c r="J34" s="99">
        <v>2</v>
      </c>
      <c r="K34" s="99">
        <v>0</v>
      </c>
      <c r="L34" s="99">
        <v>2</v>
      </c>
      <c r="M34" s="100">
        <v>1</v>
      </c>
      <c r="N34" s="101">
        <v>1</v>
      </c>
      <c r="O34" s="75" t="s">
        <v>619</v>
      </c>
      <c r="P34" s="75" t="s">
        <v>636</v>
      </c>
      <c r="Q34" s="105">
        <v>2.5000000000000001E-2</v>
      </c>
      <c r="R34" s="103" t="s">
        <v>621</v>
      </c>
      <c r="S34" s="104" t="s">
        <v>622</v>
      </c>
      <c r="T34" s="75" t="s">
        <v>623</v>
      </c>
      <c r="U34" s="75">
        <v>3</v>
      </c>
      <c r="V34" s="75">
        <v>1</v>
      </c>
      <c r="W34" s="75" t="s">
        <v>625</v>
      </c>
      <c r="X34" s="75" t="s">
        <v>626</v>
      </c>
      <c r="Y34" s="75" t="s">
        <v>626</v>
      </c>
      <c r="AA34" s="75" t="s">
        <v>626</v>
      </c>
      <c r="AB34" s="75" t="s">
        <v>627</v>
      </c>
      <c r="AC34" s="75" t="s">
        <v>628</v>
      </c>
      <c r="AD34" s="75" t="s">
        <v>629</v>
      </c>
      <c r="AE34" s="75">
        <v>5</v>
      </c>
      <c r="AG34" s="75">
        <v>38</v>
      </c>
      <c r="AH34" s="75">
        <v>37</v>
      </c>
      <c r="AI34" s="75">
        <v>21</v>
      </c>
      <c r="AJ34" s="75">
        <v>202</v>
      </c>
      <c r="AK34" s="75">
        <v>17</v>
      </c>
      <c r="AL34" s="75">
        <v>1</v>
      </c>
      <c r="AM34" s="75">
        <v>0</v>
      </c>
    </row>
    <row r="35" spans="1:39">
      <c r="A35" s="98" t="s">
        <v>437</v>
      </c>
      <c r="B35" s="75" t="s">
        <v>615</v>
      </c>
      <c r="C35" s="75" t="s">
        <v>616</v>
      </c>
      <c r="D35" s="75" t="s">
        <v>617</v>
      </c>
      <c r="E35" s="80">
        <v>12</v>
      </c>
      <c r="F35" s="80">
        <v>3</v>
      </c>
      <c r="G35" s="75" t="s">
        <v>618</v>
      </c>
      <c r="H35" s="99">
        <v>2</v>
      </c>
      <c r="I35" s="273">
        <v>1</v>
      </c>
      <c r="J35" s="99">
        <v>2</v>
      </c>
      <c r="K35" s="99">
        <v>0</v>
      </c>
      <c r="L35" s="99">
        <v>2</v>
      </c>
      <c r="M35" s="100">
        <v>1</v>
      </c>
      <c r="N35" s="101">
        <v>1</v>
      </c>
      <c r="O35" s="75" t="s">
        <v>619</v>
      </c>
      <c r="P35" s="75" t="s">
        <v>636</v>
      </c>
      <c r="Q35" s="80">
        <v>1.4999999999999999E-2</v>
      </c>
      <c r="R35" s="103" t="s">
        <v>621</v>
      </c>
      <c r="S35" s="104" t="s">
        <v>622</v>
      </c>
      <c r="T35" s="75" t="s">
        <v>623</v>
      </c>
      <c r="U35" s="75" t="s">
        <v>624</v>
      </c>
      <c r="V35" s="75" t="s">
        <v>624</v>
      </c>
      <c r="W35" s="75" t="s">
        <v>625</v>
      </c>
      <c r="X35" s="75" t="s">
        <v>626</v>
      </c>
      <c r="Y35" s="75" t="s">
        <v>626</v>
      </c>
      <c r="AA35" s="75" t="s">
        <v>626</v>
      </c>
      <c r="AB35" s="75" t="s">
        <v>627</v>
      </c>
      <c r="AC35" s="75" t="s">
        <v>628</v>
      </c>
      <c r="AD35" s="75" t="s">
        <v>629</v>
      </c>
      <c r="AE35" s="75">
        <v>5</v>
      </c>
      <c r="AG35" s="75">
        <v>38</v>
      </c>
      <c r="AH35" s="75">
        <v>38</v>
      </c>
      <c r="AI35" s="75">
        <v>22</v>
      </c>
      <c r="AJ35" s="75">
        <v>203</v>
      </c>
      <c r="AK35" s="75">
        <v>17</v>
      </c>
      <c r="AL35" s="75">
        <v>3</v>
      </c>
      <c r="AM35" s="75">
        <v>0</v>
      </c>
    </row>
    <row r="36" spans="1:39">
      <c r="A36" s="98" t="s">
        <v>438</v>
      </c>
      <c r="B36" s="75" t="s">
        <v>615</v>
      </c>
      <c r="C36" s="75" t="s">
        <v>616</v>
      </c>
      <c r="D36" s="75" t="s">
        <v>617</v>
      </c>
      <c r="E36" s="80">
        <v>12</v>
      </c>
      <c r="F36" s="80">
        <v>3</v>
      </c>
      <c r="G36" s="75" t="s">
        <v>618</v>
      </c>
      <c r="H36" s="99">
        <v>2</v>
      </c>
      <c r="I36" s="273">
        <v>1</v>
      </c>
      <c r="J36" s="99">
        <v>2</v>
      </c>
      <c r="K36" s="99">
        <v>0</v>
      </c>
      <c r="L36" s="99">
        <v>2</v>
      </c>
      <c r="M36" s="100">
        <v>1</v>
      </c>
      <c r="N36" s="101">
        <v>1</v>
      </c>
      <c r="O36" s="75" t="s">
        <v>619</v>
      </c>
      <c r="P36" s="75" t="s">
        <v>636</v>
      </c>
      <c r="Q36" s="102">
        <v>1.7500000000000002E-2</v>
      </c>
      <c r="R36" s="103" t="s">
        <v>621</v>
      </c>
      <c r="S36" s="104" t="s">
        <v>622</v>
      </c>
      <c r="T36" s="75" t="s">
        <v>623</v>
      </c>
      <c r="U36" s="75" t="s">
        <v>624</v>
      </c>
      <c r="V36" s="75" t="s">
        <v>624</v>
      </c>
      <c r="W36" s="75" t="s">
        <v>625</v>
      </c>
      <c r="X36" s="75" t="s">
        <v>626</v>
      </c>
      <c r="Y36" s="75" t="s">
        <v>626</v>
      </c>
      <c r="AA36" s="75" t="s">
        <v>626</v>
      </c>
      <c r="AB36" s="75" t="s">
        <v>627</v>
      </c>
      <c r="AC36" s="75" t="s">
        <v>628</v>
      </c>
      <c r="AD36" s="75" t="s">
        <v>629</v>
      </c>
      <c r="AE36" s="75">
        <v>5</v>
      </c>
      <c r="AG36" s="75">
        <v>38</v>
      </c>
      <c r="AH36" s="75">
        <v>39</v>
      </c>
      <c r="AI36" s="75">
        <v>23</v>
      </c>
      <c r="AJ36" s="75">
        <v>204</v>
      </c>
      <c r="AK36" s="75">
        <v>17</v>
      </c>
      <c r="AL36" s="75">
        <v>1</v>
      </c>
      <c r="AM36" s="75">
        <v>0</v>
      </c>
    </row>
    <row r="37" spans="1:39">
      <c r="A37" s="98" t="s">
        <v>439</v>
      </c>
      <c r="B37" s="75" t="s">
        <v>615</v>
      </c>
      <c r="C37" s="75" t="s">
        <v>616</v>
      </c>
      <c r="D37" s="75" t="s">
        <v>617</v>
      </c>
      <c r="E37" s="80">
        <v>12</v>
      </c>
      <c r="F37" s="80">
        <v>3</v>
      </c>
      <c r="G37" s="75" t="s">
        <v>618</v>
      </c>
      <c r="H37" s="99">
        <v>2</v>
      </c>
      <c r="I37" s="273">
        <v>1</v>
      </c>
      <c r="J37" s="99">
        <v>2</v>
      </c>
      <c r="K37" s="99">
        <v>0</v>
      </c>
      <c r="L37" s="99">
        <v>2</v>
      </c>
      <c r="M37" s="100">
        <v>1</v>
      </c>
      <c r="N37" s="101">
        <v>1</v>
      </c>
      <c r="O37" s="75" t="s">
        <v>619</v>
      </c>
      <c r="P37" s="75" t="s">
        <v>636</v>
      </c>
      <c r="Q37" s="102">
        <v>2.2499999999999999E-2</v>
      </c>
      <c r="R37" s="103" t="s">
        <v>621</v>
      </c>
      <c r="S37" s="104" t="s">
        <v>622</v>
      </c>
      <c r="T37" s="75" t="s">
        <v>623</v>
      </c>
      <c r="U37" s="75" t="s">
        <v>624</v>
      </c>
      <c r="V37" s="75" t="s">
        <v>624</v>
      </c>
      <c r="W37" s="75" t="s">
        <v>625</v>
      </c>
      <c r="X37" s="75" t="s">
        <v>626</v>
      </c>
      <c r="Y37" s="75" t="s">
        <v>626</v>
      </c>
      <c r="AA37" s="75" t="s">
        <v>626</v>
      </c>
      <c r="AB37" s="75" t="s">
        <v>627</v>
      </c>
      <c r="AC37" s="75" t="s">
        <v>628</v>
      </c>
      <c r="AD37" s="75" t="s">
        <v>629</v>
      </c>
      <c r="AE37" s="75">
        <v>5</v>
      </c>
      <c r="AG37" s="75">
        <v>38</v>
      </c>
      <c r="AH37" s="75">
        <v>40</v>
      </c>
      <c r="AI37" s="75">
        <v>24</v>
      </c>
      <c r="AJ37" s="75">
        <v>205</v>
      </c>
      <c r="AK37" s="75">
        <v>17</v>
      </c>
      <c r="AL37" s="75">
        <v>1</v>
      </c>
      <c r="AM37" s="75">
        <v>0</v>
      </c>
    </row>
    <row r="38" spans="1:39">
      <c r="A38" s="98" t="s">
        <v>440</v>
      </c>
      <c r="B38" s="75" t="s">
        <v>615</v>
      </c>
      <c r="C38" s="75" t="s">
        <v>616</v>
      </c>
      <c r="D38" s="75" t="s">
        <v>617</v>
      </c>
      <c r="E38" s="80">
        <v>12</v>
      </c>
      <c r="F38" s="80">
        <v>3</v>
      </c>
      <c r="G38" s="75" t="s">
        <v>618</v>
      </c>
      <c r="H38" s="99">
        <v>2</v>
      </c>
      <c r="I38" s="273">
        <v>1</v>
      </c>
      <c r="J38" s="99">
        <v>2</v>
      </c>
      <c r="K38" s="99">
        <v>0</v>
      </c>
      <c r="L38" s="99">
        <v>2</v>
      </c>
      <c r="M38" s="100">
        <v>1</v>
      </c>
      <c r="N38" s="101">
        <v>1</v>
      </c>
      <c r="O38" s="75" t="s">
        <v>619</v>
      </c>
      <c r="P38" s="75" t="s">
        <v>636</v>
      </c>
      <c r="Q38" s="102">
        <v>3.2500000000000001E-2</v>
      </c>
      <c r="R38" s="104" t="s">
        <v>621</v>
      </c>
      <c r="S38" s="104" t="s">
        <v>622</v>
      </c>
      <c r="T38" s="75" t="s">
        <v>623</v>
      </c>
      <c r="U38" s="75" t="s">
        <v>624</v>
      </c>
      <c r="V38" s="75" t="s">
        <v>624</v>
      </c>
      <c r="W38" s="75" t="s">
        <v>625</v>
      </c>
      <c r="X38" s="75" t="s">
        <v>626</v>
      </c>
      <c r="Y38" s="75" t="s">
        <v>626</v>
      </c>
      <c r="AA38" s="75" t="s">
        <v>626</v>
      </c>
      <c r="AB38" s="75" t="s">
        <v>627</v>
      </c>
      <c r="AC38" s="75" t="s">
        <v>628</v>
      </c>
      <c r="AD38" s="75" t="s">
        <v>629</v>
      </c>
      <c r="AE38" s="75">
        <v>5</v>
      </c>
      <c r="AG38" s="75">
        <v>38</v>
      </c>
      <c r="AH38" s="75">
        <v>41</v>
      </c>
      <c r="AI38" s="75">
        <v>25</v>
      </c>
      <c r="AJ38" s="75">
        <v>206</v>
      </c>
      <c r="AK38" s="75">
        <v>17</v>
      </c>
      <c r="AL38" s="75">
        <v>1</v>
      </c>
      <c r="AM38" s="75">
        <v>0</v>
      </c>
    </row>
    <row r="39" spans="1:39">
      <c r="A39" s="98" t="s">
        <v>441</v>
      </c>
      <c r="B39" s="75" t="s">
        <v>615</v>
      </c>
      <c r="C39" s="75" t="s">
        <v>616</v>
      </c>
      <c r="D39" s="75" t="s">
        <v>617</v>
      </c>
      <c r="E39" s="80">
        <v>12</v>
      </c>
      <c r="F39" s="80">
        <v>3</v>
      </c>
      <c r="G39" s="75" t="s">
        <v>618</v>
      </c>
      <c r="H39" s="99">
        <v>2</v>
      </c>
      <c r="I39" s="273">
        <v>1</v>
      </c>
      <c r="J39" s="99">
        <v>2</v>
      </c>
      <c r="K39" s="99">
        <v>0</v>
      </c>
      <c r="L39" s="99">
        <v>2</v>
      </c>
      <c r="M39" s="100">
        <v>1</v>
      </c>
      <c r="N39" s="101">
        <v>1</v>
      </c>
      <c r="O39" s="75" t="s">
        <v>619</v>
      </c>
      <c r="P39" s="75" t="s">
        <v>636</v>
      </c>
      <c r="Q39" s="102">
        <v>2.75E-2</v>
      </c>
      <c r="R39" s="104" t="s">
        <v>621</v>
      </c>
      <c r="S39" s="104" t="s">
        <v>622</v>
      </c>
      <c r="T39" s="75" t="s">
        <v>623</v>
      </c>
      <c r="U39" s="75" t="s">
        <v>624</v>
      </c>
      <c r="V39" s="75" t="s">
        <v>624</v>
      </c>
      <c r="W39" s="75" t="s">
        <v>625</v>
      </c>
      <c r="X39" s="75" t="s">
        <v>626</v>
      </c>
      <c r="Y39" s="75" t="s">
        <v>626</v>
      </c>
      <c r="AA39" s="75" t="s">
        <v>626</v>
      </c>
      <c r="AB39" s="75" t="s">
        <v>627</v>
      </c>
      <c r="AC39" s="75" t="s">
        <v>628</v>
      </c>
      <c r="AD39" s="75" t="s">
        <v>629</v>
      </c>
      <c r="AE39" s="75">
        <v>5</v>
      </c>
      <c r="AG39" s="75">
        <v>38</v>
      </c>
      <c r="AH39" s="75">
        <v>42</v>
      </c>
      <c r="AI39" s="75">
        <v>26</v>
      </c>
      <c r="AJ39" s="75">
        <v>207</v>
      </c>
      <c r="AK39" s="75">
        <v>17</v>
      </c>
      <c r="AL39" s="75">
        <v>1</v>
      </c>
      <c r="AM39" s="75">
        <v>0</v>
      </c>
    </row>
    <row r="40" spans="1:39">
      <c r="A40" s="98" t="s">
        <v>442</v>
      </c>
      <c r="B40" s="75" t="s">
        <v>615</v>
      </c>
      <c r="C40" s="75" t="s">
        <v>616</v>
      </c>
      <c r="D40" s="75" t="s">
        <v>617</v>
      </c>
      <c r="E40" s="80">
        <v>12</v>
      </c>
      <c r="F40" s="80">
        <v>3</v>
      </c>
      <c r="G40" s="75" t="s">
        <v>618</v>
      </c>
      <c r="H40" s="99">
        <v>2</v>
      </c>
      <c r="I40" s="273">
        <v>1</v>
      </c>
      <c r="J40" s="99">
        <v>2</v>
      </c>
      <c r="K40" s="99">
        <v>0</v>
      </c>
      <c r="L40" s="99">
        <v>2</v>
      </c>
      <c r="M40" s="100">
        <v>1</v>
      </c>
      <c r="N40" s="101">
        <v>1</v>
      </c>
      <c r="O40" s="75" t="s">
        <v>619</v>
      </c>
      <c r="P40" s="75" t="s">
        <v>636</v>
      </c>
      <c r="Q40" s="102">
        <v>0.02</v>
      </c>
      <c r="R40" s="104" t="s">
        <v>621</v>
      </c>
      <c r="S40" s="104" t="s">
        <v>622</v>
      </c>
      <c r="T40" s="75" t="s">
        <v>623</v>
      </c>
      <c r="U40" s="75">
        <v>3</v>
      </c>
      <c r="V40" s="75">
        <v>1</v>
      </c>
      <c r="W40" s="75" t="s">
        <v>625</v>
      </c>
      <c r="X40" s="75" t="s">
        <v>626</v>
      </c>
      <c r="Y40" s="75" t="s">
        <v>626</v>
      </c>
      <c r="AA40" s="75" t="s">
        <v>626</v>
      </c>
      <c r="AB40" s="75" t="s">
        <v>627</v>
      </c>
      <c r="AC40" s="75" t="s">
        <v>628</v>
      </c>
      <c r="AD40" s="75" t="s">
        <v>629</v>
      </c>
      <c r="AE40" s="75">
        <v>5</v>
      </c>
      <c r="AG40" s="75">
        <v>38</v>
      </c>
      <c r="AH40" s="75">
        <v>43</v>
      </c>
      <c r="AI40" s="75">
        <v>27</v>
      </c>
      <c r="AJ40" s="75">
        <v>208</v>
      </c>
      <c r="AK40" s="75">
        <v>17</v>
      </c>
      <c r="AL40" s="75">
        <v>1</v>
      </c>
      <c r="AM40" s="75">
        <v>0</v>
      </c>
    </row>
    <row r="41" spans="1:39">
      <c r="A41" s="98" t="s">
        <v>443</v>
      </c>
      <c r="B41" s="75" t="s">
        <v>615</v>
      </c>
      <c r="C41" s="75" t="s">
        <v>616</v>
      </c>
      <c r="D41" s="75" t="s">
        <v>617</v>
      </c>
      <c r="E41" s="80">
        <v>12</v>
      </c>
      <c r="F41" s="80">
        <v>3</v>
      </c>
      <c r="G41" s="75" t="s">
        <v>618</v>
      </c>
      <c r="H41" s="99">
        <v>2</v>
      </c>
      <c r="I41" s="273">
        <v>1</v>
      </c>
      <c r="J41" s="99">
        <v>2</v>
      </c>
      <c r="K41" s="99">
        <v>0</v>
      </c>
      <c r="L41" s="99">
        <v>2</v>
      </c>
      <c r="M41" s="100">
        <v>1</v>
      </c>
      <c r="N41" s="101">
        <v>1</v>
      </c>
      <c r="O41" s="75" t="s">
        <v>619</v>
      </c>
      <c r="P41" s="75" t="s">
        <v>636</v>
      </c>
      <c r="Q41" s="102">
        <v>0.04</v>
      </c>
      <c r="R41" s="104" t="s">
        <v>621</v>
      </c>
      <c r="S41" s="104" t="s">
        <v>622</v>
      </c>
      <c r="T41" s="75" t="s">
        <v>623</v>
      </c>
      <c r="U41" s="75">
        <v>4</v>
      </c>
      <c r="V41" s="75">
        <v>0</v>
      </c>
      <c r="W41" s="75" t="s">
        <v>625</v>
      </c>
      <c r="X41" s="75" t="s">
        <v>626</v>
      </c>
      <c r="Y41" s="75" t="s">
        <v>626</v>
      </c>
      <c r="AA41" s="75" t="s">
        <v>630</v>
      </c>
      <c r="AB41" s="75" t="s">
        <v>627</v>
      </c>
      <c r="AC41" s="75" t="s">
        <v>628</v>
      </c>
      <c r="AD41" s="75" t="s">
        <v>629</v>
      </c>
      <c r="AE41" s="75">
        <v>5</v>
      </c>
      <c r="AG41" s="75">
        <v>38</v>
      </c>
      <c r="AH41" s="75">
        <v>44</v>
      </c>
      <c r="AI41" s="75">
        <v>28</v>
      </c>
      <c r="AJ41" s="75">
        <v>209</v>
      </c>
      <c r="AK41" s="75">
        <v>17</v>
      </c>
      <c r="AL41" s="75">
        <v>1</v>
      </c>
      <c r="AM41" s="75">
        <v>0</v>
      </c>
    </row>
    <row r="42" spans="1:39">
      <c r="A42" s="98" t="s">
        <v>444</v>
      </c>
      <c r="B42" s="75" t="s">
        <v>615</v>
      </c>
      <c r="C42" s="75" t="s">
        <v>616</v>
      </c>
      <c r="D42" s="75" t="s">
        <v>617</v>
      </c>
      <c r="E42" s="80">
        <v>12</v>
      </c>
      <c r="F42" s="80">
        <v>3</v>
      </c>
      <c r="G42" s="75" t="s">
        <v>618</v>
      </c>
      <c r="H42" s="99">
        <v>2</v>
      </c>
      <c r="I42" s="273">
        <v>1</v>
      </c>
      <c r="J42" s="99">
        <v>2</v>
      </c>
      <c r="K42" s="99">
        <v>0</v>
      </c>
      <c r="L42" s="99">
        <v>2</v>
      </c>
      <c r="M42" s="100">
        <v>1</v>
      </c>
      <c r="N42" s="101">
        <v>1</v>
      </c>
      <c r="O42" s="75" t="s">
        <v>619</v>
      </c>
      <c r="P42" s="75" t="s">
        <v>641</v>
      </c>
      <c r="Q42" s="102">
        <v>0.02</v>
      </c>
      <c r="R42" s="104" t="s">
        <v>980</v>
      </c>
      <c r="S42" s="104" t="s">
        <v>981</v>
      </c>
      <c r="T42" s="75" t="s">
        <v>623</v>
      </c>
      <c r="U42" s="75" t="s">
        <v>639</v>
      </c>
      <c r="V42" s="75">
        <v>0.56999999999999995</v>
      </c>
      <c r="W42" s="75" t="s">
        <v>982</v>
      </c>
      <c r="X42" s="75" t="s">
        <v>626</v>
      </c>
      <c r="Y42" s="75" t="s">
        <v>626</v>
      </c>
      <c r="AA42" s="75" t="s">
        <v>630</v>
      </c>
      <c r="AD42" s="75" t="s">
        <v>629</v>
      </c>
      <c r="AE42" s="75">
        <v>6</v>
      </c>
      <c r="AG42" s="75">
        <v>41</v>
      </c>
      <c r="AH42" s="75">
        <v>77</v>
      </c>
      <c r="AI42" s="75">
        <v>14</v>
      </c>
      <c r="AJ42" s="75">
        <v>242</v>
      </c>
      <c r="AK42" s="75">
        <v>18</v>
      </c>
      <c r="AL42" s="75">
        <v>1</v>
      </c>
      <c r="AM42" s="75">
        <v>0</v>
      </c>
    </row>
    <row r="43" spans="1:39">
      <c r="A43" s="98" t="s">
        <v>1070</v>
      </c>
      <c r="B43" s="75" t="s">
        <v>615</v>
      </c>
      <c r="C43" s="75" t="s">
        <v>616</v>
      </c>
      <c r="D43" s="75" t="s">
        <v>617</v>
      </c>
      <c r="E43" s="80">
        <v>12</v>
      </c>
      <c r="F43" s="80">
        <v>3</v>
      </c>
      <c r="G43" s="75" t="s">
        <v>618</v>
      </c>
      <c r="H43" s="99">
        <v>3</v>
      </c>
      <c r="I43" s="273">
        <v>1</v>
      </c>
      <c r="J43" s="99">
        <v>2</v>
      </c>
      <c r="K43" s="99">
        <v>0</v>
      </c>
      <c r="L43" s="99">
        <v>2</v>
      </c>
      <c r="M43" s="100">
        <v>1</v>
      </c>
      <c r="N43" s="101">
        <v>1</v>
      </c>
      <c r="O43" s="75" t="s">
        <v>619</v>
      </c>
      <c r="P43" s="75" t="s">
        <v>641</v>
      </c>
      <c r="Q43" s="102">
        <v>0.04</v>
      </c>
      <c r="R43" s="104" t="s">
        <v>1091</v>
      </c>
      <c r="S43" s="104" t="s">
        <v>1092</v>
      </c>
      <c r="T43" s="75" t="s">
        <v>623</v>
      </c>
      <c r="U43" s="75"/>
      <c r="V43" s="75"/>
      <c r="W43" s="75" t="s">
        <v>1093</v>
      </c>
      <c r="X43" s="75" t="s">
        <v>626</v>
      </c>
      <c r="AA43" s="75" t="s">
        <v>630</v>
      </c>
      <c r="AD43" s="75" t="s">
        <v>629</v>
      </c>
      <c r="AE43" s="75">
        <v>5</v>
      </c>
      <c r="AG43" s="75">
        <v>42</v>
      </c>
      <c r="AH43" s="75">
        <v>63</v>
      </c>
      <c r="AI43" s="75">
        <v>47</v>
      </c>
      <c r="AJ43" s="75">
        <v>228</v>
      </c>
      <c r="AK43" s="75">
        <v>18</v>
      </c>
      <c r="AL43" s="75">
        <v>1</v>
      </c>
      <c r="AM43" s="75">
        <v>0</v>
      </c>
    </row>
    <row r="44" spans="1:39">
      <c r="A44" s="98" t="s">
        <v>445</v>
      </c>
      <c r="B44" s="75" t="s">
        <v>615</v>
      </c>
      <c r="C44" s="75" t="s">
        <v>616</v>
      </c>
      <c r="D44" s="75" t="s">
        <v>617</v>
      </c>
      <c r="E44" s="80">
        <v>12</v>
      </c>
      <c r="F44" s="80">
        <v>3</v>
      </c>
      <c r="G44" s="75" t="s">
        <v>618</v>
      </c>
      <c r="H44" s="99">
        <v>2</v>
      </c>
      <c r="I44" s="273">
        <v>1</v>
      </c>
      <c r="J44" s="99">
        <v>2</v>
      </c>
      <c r="K44" s="99">
        <v>0</v>
      </c>
      <c r="L44" s="99">
        <v>2</v>
      </c>
      <c r="M44" s="100">
        <v>1</v>
      </c>
      <c r="N44" s="101">
        <v>1</v>
      </c>
      <c r="O44" s="75" t="s">
        <v>619</v>
      </c>
      <c r="P44" s="75" t="s">
        <v>641</v>
      </c>
      <c r="Q44" s="102">
        <v>5.0000000000000001E-3</v>
      </c>
      <c r="R44" s="104" t="s">
        <v>621</v>
      </c>
      <c r="S44" s="104" t="s">
        <v>622</v>
      </c>
      <c r="T44" s="75" t="s">
        <v>623</v>
      </c>
      <c r="U44" s="75" t="s">
        <v>624</v>
      </c>
      <c r="V44" s="75" t="s">
        <v>624</v>
      </c>
      <c r="W44" s="75" t="s">
        <v>625</v>
      </c>
      <c r="X44" s="75" t="s">
        <v>626</v>
      </c>
      <c r="Y44" s="75" t="s">
        <v>626</v>
      </c>
      <c r="AA44" s="75" t="s">
        <v>626</v>
      </c>
      <c r="AB44" s="75" t="s">
        <v>642</v>
      </c>
      <c r="AC44" s="75" t="s">
        <v>628</v>
      </c>
      <c r="AD44" s="75" t="s">
        <v>629</v>
      </c>
      <c r="AE44" s="75">
        <v>6</v>
      </c>
      <c r="AG44" s="75">
        <v>38</v>
      </c>
      <c r="AH44" s="75">
        <v>64</v>
      </c>
      <c r="AI44" s="75">
        <v>1</v>
      </c>
      <c r="AJ44" s="75">
        <v>229</v>
      </c>
      <c r="AK44" s="75">
        <v>17</v>
      </c>
      <c r="AL44" s="75">
        <v>1</v>
      </c>
      <c r="AM44" s="75">
        <v>0</v>
      </c>
    </row>
    <row r="45" spans="1:39">
      <c r="A45" s="98" t="s">
        <v>446</v>
      </c>
      <c r="B45" s="75" t="s">
        <v>615</v>
      </c>
      <c r="C45" s="75" t="s">
        <v>616</v>
      </c>
      <c r="D45" s="75" t="s">
        <v>617</v>
      </c>
      <c r="E45" s="80">
        <v>12</v>
      </c>
      <c r="F45" s="80">
        <v>3</v>
      </c>
      <c r="G45" s="75" t="s">
        <v>618</v>
      </c>
      <c r="H45" s="99">
        <v>2</v>
      </c>
      <c r="I45" s="273">
        <v>1</v>
      </c>
      <c r="J45" s="99">
        <v>2</v>
      </c>
      <c r="K45" s="99">
        <v>0</v>
      </c>
      <c r="L45" s="99">
        <v>2</v>
      </c>
      <c r="M45" s="100">
        <v>1</v>
      </c>
      <c r="N45" s="101">
        <v>1</v>
      </c>
      <c r="O45" s="75" t="s">
        <v>619</v>
      </c>
      <c r="P45" s="75" t="s">
        <v>641</v>
      </c>
      <c r="Q45" s="102">
        <v>7.4999999999999997E-3</v>
      </c>
      <c r="R45" s="104" t="s">
        <v>621</v>
      </c>
      <c r="S45" s="104" t="s">
        <v>622</v>
      </c>
      <c r="T45" s="75" t="s">
        <v>623</v>
      </c>
      <c r="U45" s="75" t="s">
        <v>624</v>
      </c>
      <c r="V45" s="75" t="s">
        <v>624</v>
      </c>
      <c r="W45" s="75" t="s">
        <v>625</v>
      </c>
      <c r="X45" s="75" t="s">
        <v>626</v>
      </c>
      <c r="Y45" s="75" t="s">
        <v>626</v>
      </c>
      <c r="AA45" s="75" t="s">
        <v>626</v>
      </c>
      <c r="AB45" s="75" t="s">
        <v>642</v>
      </c>
      <c r="AC45" s="75" t="s">
        <v>628</v>
      </c>
      <c r="AD45" s="75" t="s">
        <v>629</v>
      </c>
      <c r="AE45" s="75">
        <v>6</v>
      </c>
      <c r="AG45" s="75">
        <v>38</v>
      </c>
      <c r="AH45" s="75">
        <v>65</v>
      </c>
      <c r="AI45" s="75">
        <v>2</v>
      </c>
      <c r="AJ45" s="75">
        <v>230</v>
      </c>
      <c r="AK45" s="75">
        <v>17</v>
      </c>
      <c r="AL45" s="75">
        <v>1</v>
      </c>
      <c r="AM45" s="75">
        <v>0</v>
      </c>
    </row>
    <row r="46" spans="1:39">
      <c r="A46" s="98" t="s">
        <v>447</v>
      </c>
      <c r="B46" s="75" t="s">
        <v>615</v>
      </c>
      <c r="C46" s="75" t="s">
        <v>616</v>
      </c>
      <c r="D46" s="75" t="s">
        <v>617</v>
      </c>
      <c r="E46" s="80">
        <v>12</v>
      </c>
      <c r="F46" s="80">
        <v>3</v>
      </c>
      <c r="G46" s="75" t="s">
        <v>618</v>
      </c>
      <c r="H46" s="99">
        <v>2</v>
      </c>
      <c r="I46" s="273">
        <v>1</v>
      </c>
      <c r="J46" s="99">
        <v>2</v>
      </c>
      <c r="K46" s="99">
        <v>0</v>
      </c>
      <c r="L46" s="99">
        <v>2</v>
      </c>
      <c r="M46" s="100">
        <v>1</v>
      </c>
      <c r="N46" s="101">
        <v>1</v>
      </c>
      <c r="O46" s="75" t="s">
        <v>619</v>
      </c>
      <c r="P46" s="75" t="s">
        <v>641</v>
      </c>
      <c r="Q46" s="102">
        <v>0.01</v>
      </c>
      <c r="R46" s="104" t="s">
        <v>621</v>
      </c>
      <c r="S46" s="104" t="s">
        <v>622</v>
      </c>
      <c r="T46" s="75" t="s">
        <v>623</v>
      </c>
      <c r="U46" s="75" t="s">
        <v>624</v>
      </c>
      <c r="V46" s="75" t="s">
        <v>624</v>
      </c>
      <c r="W46" s="75" t="s">
        <v>625</v>
      </c>
      <c r="X46" s="75" t="s">
        <v>626</v>
      </c>
      <c r="Y46" s="75" t="s">
        <v>626</v>
      </c>
      <c r="AA46" s="75" t="s">
        <v>626</v>
      </c>
      <c r="AB46" s="75" t="s">
        <v>642</v>
      </c>
      <c r="AC46" s="75" t="s">
        <v>628</v>
      </c>
      <c r="AD46" s="75" t="s">
        <v>629</v>
      </c>
      <c r="AE46" s="75">
        <v>6</v>
      </c>
      <c r="AG46" s="75">
        <v>38</v>
      </c>
      <c r="AH46" s="75">
        <v>66</v>
      </c>
      <c r="AI46" s="75">
        <v>3</v>
      </c>
      <c r="AJ46" s="75">
        <v>231</v>
      </c>
      <c r="AK46" s="75">
        <v>17</v>
      </c>
      <c r="AL46" s="75">
        <v>1</v>
      </c>
      <c r="AM46" s="75">
        <v>0</v>
      </c>
    </row>
    <row r="47" spans="1:39">
      <c r="A47" s="98" t="s">
        <v>448</v>
      </c>
      <c r="B47" s="75" t="s">
        <v>615</v>
      </c>
      <c r="C47" s="75" t="s">
        <v>616</v>
      </c>
      <c r="D47" s="75" t="s">
        <v>617</v>
      </c>
      <c r="E47" s="80">
        <v>12</v>
      </c>
      <c r="F47" s="80">
        <v>3</v>
      </c>
      <c r="G47" s="75" t="s">
        <v>618</v>
      </c>
      <c r="H47" s="99">
        <v>2</v>
      </c>
      <c r="I47" s="273">
        <v>1</v>
      </c>
      <c r="J47" s="99">
        <v>2</v>
      </c>
      <c r="K47" s="99">
        <v>0</v>
      </c>
      <c r="L47" s="99">
        <v>2</v>
      </c>
      <c r="M47" s="100">
        <v>1</v>
      </c>
      <c r="N47" s="101">
        <v>1</v>
      </c>
      <c r="O47" s="75" t="s">
        <v>619</v>
      </c>
      <c r="P47" s="75" t="s">
        <v>641</v>
      </c>
      <c r="Q47" s="102">
        <v>0.03</v>
      </c>
      <c r="R47" s="104" t="s">
        <v>621</v>
      </c>
      <c r="S47" s="104" t="s">
        <v>622</v>
      </c>
      <c r="T47" s="75" t="s">
        <v>623</v>
      </c>
      <c r="U47" s="75">
        <v>3</v>
      </c>
      <c r="V47" s="75">
        <v>1</v>
      </c>
      <c r="W47" s="75" t="s">
        <v>625</v>
      </c>
      <c r="X47" s="75" t="s">
        <v>626</v>
      </c>
      <c r="Y47" s="75" t="s">
        <v>626</v>
      </c>
      <c r="AA47" s="75" t="s">
        <v>626</v>
      </c>
      <c r="AB47" s="75" t="s">
        <v>642</v>
      </c>
      <c r="AC47" s="75" t="s">
        <v>628</v>
      </c>
      <c r="AD47" s="75" t="s">
        <v>629</v>
      </c>
      <c r="AE47" s="75">
        <v>6</v>
      </c>
      <c r="AG47" s="75">
        <v>38</v>
      </c>
      <c r="AH47" s="75">
        <v>67</v>
      </c>
      <c r="AI47" s="75">
        <v>4</v>
      </c>
      <c r="AJ47" s="75">
        <v>232</v>
      </c>
      <c r="AK47" s="75">
        <v>17</v>
      </c>
      <c r="AL47" s="75">
        <v>1</v>
      </c>
      <c r="AM47" s="75">
        <v>0</v>
      </c>
    </row>
    <row r="48" spans="1:39">
      <c r="A48" s="98" t="s">
        <v>449</v>
      </c>
      <c r="B48" s="75" t="s">
        <v>615</v>
      </c>
      <c r="C48" s="75" t="s">
        <v>616</v>
      </c>
      <c r="D48" s="75" t="s">
        <v>617</v>
      </c>
      <c r="E48" s="80">
        <v>12</v>
      </c>
      <c r="F48" s="80">
        <v>3</v>
      </c>
      <c r="G48" s="75" t="s">
        <v>618</v>
      </c>
      <c r="H48" s="99">
        <v>2</v>
      </c>
      <c r="I48" s="273">
        <v>1</v>
      </c>
      <c r="J48" s="99">
        <v>2</v>
      </c>
      <c r="K48" s="99">
        <v>0</v>
      </c>
      <c r="L48" s="99">
        <v>2</v>
      </c>
      <c r="M48" s="100">
        <v>1</v>
      </c>
      <c r="N48" s="101">
        <v>1</v>
      </c>
      <c r="O48" s="75" t="s">
        <v>619</v>
      </c>
      <c r="P48" s="75" t="s">
        <v>641</v>
      </c>
      <c r="Q48" s="102">
        <v>1.2500000000000001E-2</v>
      </c>
      <c r="R48" s="104" t="s">
        <v>621</v>
      </c>
      <c r="S48" s="104" t="s">
        <v>622</v>
      </c>
      <c r="T48" s="75" t="s">
        <v>623</v>
      </c>
      <c r="U48" s="75" t="s">
        <v>624</v>
      </c>
      <c r="V48" s="75" t="s">
        <v>624</v>
      </c>
      <c r="W48" s="75" t="s">
        <v>625</v>
      </c>
      <c r="X48" s="75" t="s">
        <v>626</v>
      </c>
      <c r="Y48" s="75" t="s">
        <v>626</v>
      </c>
      <c r="AA48" s="75" t="s">
        <v>626</v>
      </c>
      <c r="AB48" s="75" t="s">
        <v>642</v>
      </c>
      <c r="AC48" s="75" t="s">
        <v>628</v>
      </c>
      <c r="AD48" s="75" t="s">
        <v>629</v>
      </c>
      <c r="AE48" s="75">
        <v>6</v>
      </c>
      <c r="AG48" s="75">
        <v>38</v>
      </c>
      <c r="AH48" s="75">
        <v>68</v>
      </c>
      <c r="AI48" s="75">
        <v>5</v>
      </c>
      <c r="AJ48" s="75">
        <v>233</v>
      </c>
      <c r="AK48" s="75">
        <v>17</v>
      </c>
      <c r="AL48" s="75">
        <v>1</v>
      </c>
      <c r="AM48" s="75">
        <v>0</v>
      </c>
    </row>
    <row r="49" spans="1:39">
      <c r="A49" s="98" t="s">
        <v>450</v>
      </c>
      <c r="B49" s="75" t="s">
        <v>615</v>
      </c>
      <c r="C49" s="75" t="s">
        <v>616</v>
      </c>
      <c r="D49" s="75" t="s">
        <v>617</v>
      </c>
      <c r="E49" s="80">
        <v>12</v>
      </c>
      <c r="F49" s="80">
        <v>3</v>
      </c>
      <c r="G49" s="75" t="s">
        <v>618</v>
      </c>
      <c r="H49" s="99">
        <v>2</v>
      </c>
      <c r="I49" s="273">
        <v>1</v>
      </c>
      <c r="J49" s="99">
        <v>2</v>
      </c>
      <c r="K49" s="99">
        <v>0</v>
      </c>
      <c r="L49" s="99">
        <v>2</v>
      </c>
      <c r="M49" s="100">
        <v>1</v>
      </c>
      <c r="N49" s="101">
        <v>1</v>
      </c>
      <c r="O49" s="75" t="s">
        <v>619</v>
      </c>
      <c r="P49" s="75" t="s">
        <v>641</v>
      </c>
      <c r="Q49" s="102">
        <v>2.5000000000000001E-2</v>
      </c>
      <c r="R49" s="104" t="s">
        <v>621</v>
      </c>
      <c r="S49" s="104" t="s">
        <v>622</v>
      </c>
      <c r="T49" s="75" t="s">
        <v>623</v>
      </c>
      <c r="U49" s="75">
        <v>3</v>
      </c>
      <c r="V49" s="75">
        <v>1</v>
      </c>
      <c r="W49" s="75" t="s">
        <v>625</v>
      </c>
      <c r="X49" s="75" t="s">
        <v>626</v>
      </c>
      <c r="Y49" s="75" t="s">
        <v>626</v>
      </c>
      <c r="AA49" s="75" t="s">
        <v>626</v>
      </c>
      <c r="AB49" s="75" t="s">
        <v>642</v>
      </c>
      <c r="AC49" s="75" t="s">
        <v>628</v>
      </c>
      <c r="AD49" s="75" t="s">
        <v>629</v>
      </c>
      <c r="AE49" s="75">
        <v>6</v>
      </c>
      <c r="AG49" s="75">
        <v>38</v>
      </c>
      <c r="AH49" s="75">
        <v>69</v>
      </c>
      <c r="AI49" s="75">
        <v>6</v>
      </c>
      <c r="AJ49" s="75">
        <v>234</v>
      </c>
      <c r="AK49" s="75">
        <v>17</v>
      </c>
      <c r="AL49" s="75">
        <v>1</v>
      </c>
      <c r="AM49" s="75">
        <v>0</v>
      </c>
    </row>
    <row r="50" spans="1:39">
      <c r="A50" s="98" t="s">
        <v>451</v>
      </c>
      <c r="B50" s="75" t="s">
        <v>615</v>
      </c>
      <c r="C50" s="75" t="s">
        <v>616</v>
      </c>
      <c r="D50" s="75" t="s">
        <v>617</v>
      </c>
      <c r="E50" s="80">
        <v>12</v>
      </c>
      <c r="F50" s="80">
        <v>3</v>
      </c>
      <c r="G50" s="75" t="s">
        <v>618</v>
      </c>
      <c r="H50" s="99">
        <v>2</v>
      </c>
      <c r="I50" s="273">
        <v>1</v>
      </c>
      <c r="J50" s="99">
        <v>2</v>
      </c>
      <c r="K50" s="99">
        <v>0</v>
      </c>
      <c r="L50" s="99">
        <v>2</v>
      </c>
      <c r="M50" s="100">
        <v>1</v>
      </c>
      <c r="N50" s="101">
        <v>1</v>
      </c>
      <c r="O50" s="75" t="s">
        <v>619</v>
      </c>
      <c r="P50" s="75" t="s">
        <v>641</v>
      </c>
      <c r="Q50" s="102">
        <v>1.4999999999999999E-2</v>
      </c>
      <c r="R50" s="104" t="s">
        <v>621</v>
      </c>
      <c r="S50" s="75" t="s">
        <v>622</v>
      </c>
      <c r="T50" s="75" t="s">
        <v>623</v>
      </c>
      <c r="U50" s="75" t="s">
        <v>624</v>
      </c>
      <c r="V50" s="75" t="s">
        <v>624</v>
      </c>
      <c r="W50" s="75" t="s">
        <v>625</v>
      </c>
      <c r="X50" s="75" t="s">
        <v>626</v>
      </c>
      <c r="Y50" s="75" t="s">
        <v>626</v>
      </c>
      <c r="AA50" s="75" t="s">
        <v>626</v>
      </c>
      <c r="AB50" s="75" t="s">
        <v>642</v>
      </c>
      <c r="AC50" s="75" t="s">
        <v>628</v>
      </c>
      <c r="AD50" s="75" t="s">
        <v>629</v>
      </c>
      <c r="AE50" s="75">
        <v>6</v>
      </c>
      <c r="AG50" s="75">
        <v>38</v>
      </c>
      <c r="AH50" s="75">
        <v>70</v>
      </c>
      <c r="AI50" s="75">
        <v>7</v>
      </c>
      <c r="AJ50" s="75">
        <v>235</v>
      </c>
      <c r="AK50" s="75">
        <v>17</v>
      </c>
      <c r="AL50" s="75">
        <v>1</v>
      </c>
      <c r="AM50" s="75">
        <v>0</v>
      </c>
    </row>
    <row r="51" spans="1:39">
      <c r="A51" s="98" t="s">
        <v>452</v>
      </c>
      <c r="B51" s="75" t="s">
        <v>615</v>
      </c>
      <c r="C51" s="75" t="s">
        <v>616</v>
      </c>
      <c r="D51" s="75" t="s">
        <v>617</v>
      </c>
      <c r="E51" s="80">
        <v>12</v>
      </c>
      <c r="F51" s="80">
        <v>3</v>
      </c>
      <c r="G51" s="75" t="s">
        <v>618</v>
      </c>
      <c r="H51" s="99">
        <v>2</v>
      </c>
      <c r="I51" s="273">
        <v>1</v>
      </c>
      <c r="J51" s="99">
        <v>2</v>
      </c>
      <c r="K51" s="99">
        <v>0</v>
      </c>
      <c r="L51" s="99">
        <v>2</v>
      </c>
      <c r="M51" s="100">
        <v>1</v>
      </c>
      <c r="N51" s="101">
        <v>1</v>
      </c>
      <c r="O51" s="75" t="s">
        <v>619</v>
      </c>
      <c r="P51" s="75" t="s">
        <v>641</v>
      </c>
      <c r="Q51" s="102">
        <v>1.7500000000000002E-2</v>
      </c>
      <c r="R51" s="103" t="s">
        <v>621</v>
      </c>
      <c r="S51" s="75" t="s">
        <v>622</v>
      </c>
      <c r="T51" s="75" t="s">
        <v>623</v>
      </c>
      <c r="U51" s="75" t="s">
        <v>624</v>
      </c>
      <c r="V51" s="75" t="s">
        <v>624</v>
      </c>
      <c r="W51" s="75" t="s">
        <v>625</v>
      </c>
      <c r="X51" s="75" t="s">
        <v>626</v>
      </c>
      <c r="Y51" s="75" t="s">
        <v>626</v>
      </c>
      <c r="AA51" s="75" t="s">
        <v>626</v>
      </c>
      <c r="AB51" s="75" t="s">
        <v>642</v>
      </c>
      <c r="AC51" s="75" t="s">
        <v>628</v>
      </c>
      <c r="AD51" s="75" t="s">
        <v>629</v>
      </c>
      <c r="AE51" s="75">
        <v>6</v>
      </c>
      <c r="AG51" s="75">
        <v>38</v>
      </c>
      <c r="AH51" s="75">
        <v>71</v>
      </c>
      <c r="AI51" s="75">
        <v>8</v>
      </c>
      <c r="AJ51" s="75">
        <v>236</v>
      </c>
      <c r="AK51" s="75">
        <v>17</v>
      </c>
      <c r="AL51" s="75">
        <v>1</v>
      </c>
      <c r="AM51" s="75">
        <v>0</v>
      </c>
    </row>
    <row r="52" spans="1:39">
      <c r="A52" s="98" t="s">
        <v>453</v>
      </c>
      <c r="B52" s="75" t="s">
        <v>615</v>
      </c>
      <c r="C52" s="75" t="s">
        <v>616</v>
      </c>
      <c r="D52" s="75" t="s">
        <v>617</v>
      </c>
      <c r="E52" s="80">
        <v>12</v>
      </c>
      <c r="F52" s="80">
        <v>3</v>
      </c>
      <c r="G52" s="75" t="s">
        <v>618</v>
      </c>
      <c r="H52" s="99">
        <v>2</v>
      </c>
      <c r="I52" s="273">
        <v>1</v>
      </c>
      <c r="J52" s="99">
        <v>2</v>
      </c>
      <c r="K52" s="99">
        <v>0</v>
      </c>
      <c r="L52" s="99">
        <v>2</v>
      </c>
      <c r="M52" s="100">
        <v>1</v>
      </c>
      <c r="N52" s="101">
        <v>1</v>
      </c>
      <c r="O52" s="75" t="s">
        <v>619</v>
      </c>
      <c r="P52" s="75" t="s">
        <v>641</v>
      </c>
      <c r="Q52" s="102">
        <v>2.2499999999999999E-2</v>
      </c>
      <c r="R52" s="103" t="s">
        <v>621</v>
      </c>
      <c r="S52" s="75" t="s">
        <v>622</v>
      </c>
      <c r="T52" s="75" t="s">
        <v>623</v>
      </c>
      <c r="U52" s="75" t="s">
        <v>624</v>
      </c>
      <c r="V52" s="75" t="s">
        <v>624</v>
      </c>
      <c r="W52" s="75" t="s">
        <v>625</v>
      </c>
      <c r="X52" s="75" t="s">
        <v>626</v>
      </c>
      <c r="Y52" s="75" t="s">
        <v>626</v>
      </c>
      <c r="AA52" s="75" t="s">
        <v>626</v>
      </c>
      <c r="AB52" s="75" t="s">
        <v>642</v>
      </c>
      <c r="AC52" s="75" t="s">
        <v>628</v>
      </c>
      <c r="AD52" s="75" t="s">
        <v>629</v>
      </c>
      <c r="AE52" s="75">
        <v>6</v>
      </c>
      <c r="AG52" s="75">
        <v>38</v>
      </c>
      <c r="AH52" s="75">
        <v>72</v>
      </c>
      <c r="AI52" s="75">
        <v>9</v>
      </c>
      <c r="AJ52" s="75">
        <v>237</v>
      </c>
      <c r="AK52" s="75">
        <v>17</v>
      </c>
      <c r="AL52" s="75">
        <v>1</v>
      </c>
      <c r="AM52" s="75">
        <v>0</v>
      </c>
    </row>
    <row r="53" spans="1:39">
      <c r="A53" s="98" t="s">
        <v>454</v>
      </c>
      <c r="B53" s="75" t="s">
        <v>615</v>
      </c>
      <c r="C53" s="75" t="s">
        <v>616</v>
      </c>
      <c r="D53" s="75" t="s">
        <v>617</v>
      </c>
      <c r="E53" s="80">
        <v>12</v>
      </c>
      <c r="F53" s="80">
        <v>3</v>
      </c>
      <c r="G53" s="75" t="s">
        <v>618</v>
      </c>
      <c r="H53" s="99">
        <v>2</v>
      </c>
      <c r="I53" s="273">
        <v>1</v>
      </c>
      <c r="J53" s="99">
        <v>2</v>
      </c>
      <c r="K53" s="99">
        <v>0</v>
      </c>
      <c r="L53" s="99">
        <v>2</v>
      </c>
      <c r="M53" s="100">
        <v>1</v>
      </c>
      <c r="N53" s="101">
        <v>1</v>
      </c>
      <c r="O53" s="75" t="s">
        <v>619</v>
      </c>
      <c r="P53" s="75" t="s">
        <v>641</v>
      </c>
      <c r="Q53" s="80">
        <v>3.2500000000000001E-2</v>
      </c>
      <c r="R53" s="103" t="s">
        <v>621</v>
      </c>
      <c r="S53" s="75" t="s">
        <v>622</v>
      </c>
      <c r="T53" s="75" t="s">
        <v>623</v>
      </c>
      <c r="U53" s="75" t="s">
        <v>624</v>
      </c>
      <c r="V53" s="75" t="s">
        <v>624</v>
      </c>
      <c r="W53" s="75" t="s">
        <v>625</v>
      </c>
      <c r="X53" s="75" t="s">
        <v>626</v>
      </c>
      <c r="Y53" s="75" t="s">
        <v>626</v>
      </c>
      <c r="AA53" s="75" t="s">
        <v>626</v>
      </c>
      <c r="AB53" s="75" t="s">
        <v>642</v>
      </c>
      <c r="AC53" s="75" t="s">
        <v>628</v>
      </c>
      <c r="AD53" s="75" t="s">
        <v>629</v>
      </c>
      <c r="AE53" s="75">
        <v>6</v>
      </c>
      <c r="AG53" s="75">
        <v>38</v>
      </c>
      <c r="AH53" s="75">
        <v>73</v>
      </c>
      <c r="AI53" s="75">
        <v>10</v>
      </c>
      <c r="AJ53" s="75">
        <v>238</v>
      </c>
      <c r="AK53" s="75">
        <v>17</v>
      </c>
      <c r="AL53" s="75">
        <v>1</v>
      </c>
      <c r="AM53" s="75">
        <v>0</v>
      </c>
    </row>
    <row r="54" spans="1:39">
      <c r="A54" s="98" t="s">
        <v>455</v>
      </c>
      <c r="B54" s="75" t="s">
        <v>615</v>
      </c>
      <c r="C54" s="75" t="s">
        <v>616</v>
      </c>
      <c r="D54" s="75" t="s">
        <v>617</v>
      </c>
      <c r="E54" s="80">
        <v>12</v>
      </c>
      <c r="F54" s="80">
        <v>3</v>
      </c>
      <c r="G54" s="75" t="s">
        <v>618</v>
      </c>
      <c r="H54" s="99">
        <v>2</v>
      </c>
      <c r="I54" s="273">
        <v>1</v>
      </c>
      <c r="J54" s="99">
        <v>2</v>
      </c>
      <c r="K54" s="99">
        <v>0</v>
      </c>
      <c r="L54" s="99">
        <v>2</v>
      </c>
      <c r="M54" s="100">
        <v>1</v>
      </c>
      <c r="N54" s="101">
        <v>1</v>
      </c>
      <c r="O54" s="75" t="s">
        <v>619</v>
      </c>
      <c r="P54" s="75" t="s">
        <v>641</v>
      </c>
      <c r="Q54" s="80">
        <v>2.75E-2</v>
      </c>
      <c r="R54" s="103" t="s">
        <v>621</v>
      </c>
      <c r="S54" s="75" t="s">
        <v>622</v>
      </c>
      <c r="T54" s="75" t="s">
        <v>623</v>
      </c>
      <c r="U54" s="75" t="s">
        <v>624</v>
      </c>
      <c r="V54" s="75" t="s">
        <v>624</v>
      </c>
      <c r="W54" s="75" t="s">
        <v>625</v>
      </c>
      <c r="X54" s="75" t="s">
        <v>626</v>
      </c>
      <c r="Y54" s="75" t="s">
        <v>626</v>
      </c>
      <c r="AA54" s="75" t="s">
        <v>626</v>
      </c>
      <c r="AB54" s="75" t="s">
        <v>642</v>
      </c>
      <c r="AC54" s="75" t="s">
        <v>628</v>
      </c>
      <c r="AD54" s="75" t="s">
        <v>629</v>
      </c>
      <c r="AE54" s="75">
        <v>6</v>
      </c>
      <c r="AG54" s="75">
        <v>38</v>
      </c>
      <c r="AH54" s="75">
        <v>74</v>
      </c>
      <c r="AI54" s="75">
        <v>11</v>
      </c>
      <c r="AJ54" s="75">
        <v>239</v>
      </c>
      <c r="AK54" s="75">
        <v>17</v>
      </c>
      <c r="AL54" s="75">
        <v>1</v>
      </c>
      <c r="AM54" s="75">
        <v>0</v>
      </c>
    </row>
    <row r="55" spans="1:39">
      <c r="A55" s="98" t="s">
        <v>456</v>
      </c>
      <c r="B55" s="75" t="s">
        <v>615</v>
      </c>
      <c r="C55" s="75" t="s">
        <v>616</v>
      </c>
      <c r="D55" s="75" t="s">
        <v>617</v>
      </c>
      <c r="E55" s="80">
        <v>12</v>
      </c>
      <c r="F55" s="80">
        <v>3</v>
      </c>
      <c r="G55" s="75" t="s">
        <v>618</v>
      </c>
      <c r="H55" s="99">
        <v>2</v>
      </c>
      <c r="I55" s="273">
        <v>1</v>
      </c>
      <c r="J55" s="99">
        <v>2</v>
      </c>
      <c r="K55" s="99">
        <v>0</v>
      </c>
      <c r="L55" s="99">
        <v>2</v>
      </c>
      <c r="M55" s="100">
        <v>1</v>
      </c>
      <c r="N55" s="101">
        <v>1</v>
      </c>
      <c r="O55" s="75" t="s">
        <v>619</v>
      </c>
      <c r="P55" s="75" t="s">
        <v>641</v>
      </c>
      <c r="Q55" s="80">
        <v>0.02</v>
      </c>
      <c r="R55" s="103" t="s">
        <v>621</v>
      </c>
      <c r="S55" s="75" t="s">
        <v>622</v>
      </c>
      <c r="T55" s="75" t="s">
        <v>623</v>
      </c>
      <c r="U55" s="75">
        <v>3</v>
      </c>
      <c r="V55" s="75">
        <v>1</v>
      </c>
      <c r="W55" s="75" t="s">
        <v>625</v>
      </c>
      <c r="X55" s="75" t="s">
        <v>626</v>
      </c>
      <c r="Y55" s="75" t="s">
        <v>626</v>
      </c>
      <c r="AA55" s="75" t="s">
        <v>626</v>
      </c>
      <c r="AB55" s="75" t="s">
        <v>642</v>
      </c>
      <c r="AC55" s="75" t="s">
        <v>628</v>
      </c>
      <c r="AD55" s="75" t="s">
        <v>629</v>
      </c>
      <c r="AE55" s="75">
        <v>6</v>
      </c>
      <c r="AG55" s="75">
        <v>38</v>
      </c>
      <c r="AH55" s="75">
        <v>75</v>
      </c>
      <c r="AI55" s="75">
        <v>12</v>
      </c>
      <c r="AJ55" s="75">
        <v>240</v>
      </c>
      <c r="AK55" s="75">
        <v>17</v>
      </c>
      <c r="AL55" s="75">
        <v>1</v>
      </c>
      <c r="AM55" s="75">
        <v>0</v>
      </c>
    </row>
    <row r="56" spans="1:39">
      <c r="A56" s="98" t="s">
        <v>457</v>
      </c>
      <c r="B56" s="75" t="s">
        <v>615</v>
      </c>
      <c r="C56" s="75" t="s">
        <v>616</v>
      </c>
      <c r="D56" s="75" t="s">
        <v>617</v>
      </c>
      <c r="E56" s="80">
        <v>12</v>
      </c>
      <c r="F56" s="80">
        <v>3</v>
      </c>
      <c r="G56" s="75" t="s">
        <v>618</v>
      </c>
      <c r="H56" s="99">
        <v>2</v>
      </c>
      <c r="I56" s="273">
        <v>1</v>
      </c>
      <c r="J56" s="99">
        <v>2</v>
      </c>
      <c r="K56" s="99">
        <v>0</v>
      </c>
      <c r="L56" s="99">
        <v>2</v>
      </c>
      <c r="M56" s="100">
        <v>1</v>
      </c>
      <c r="N56" s="101">
        <v>1</v>
      </c>
      <c r="O56" s="75" t="s">
        <v>619</v>
      </c>
      <c r="P56" s="75" t="s">
        <v>641</v>
      </c>
      <c r="Q56" s="80">
        <v>0.04</v>
      </c>
      <c r="R56" s="103" t="s">
        <v>621</v>
      </c>
      <c r="S56" s="75" t="s">
        <v>622</v>
      </c>
      <c r="T56" s="75" t="s">
        <v>623</v>
      </c>
      <c r="U56" s="75">
        <v>4</v>
      </c>
      <c r="V56" s="75">
        <v>0</v>
      </c>
      <c r="W56" s="75" t="s">
        <v>625</v>
      </c>
      <c r="X56" s="75" t="s">
        <v>626</v>
      </c>
      <c r="Y56" s="75" t="s">
        <v>626</v>
      </c>
      <c r="AA56" s="75" t="s">
        <v>630</v>
      </c>
      <c r="AB56" s="75" t="s">
        <v>642</v>
      </c>
      <c r="AC56" s="75" t="s">
        <v>628</v>
      </c>
      <c r="AD56" s="75" t="s">
        <v>629</v>
      </c>
      <c r="AE56" s="75">
        <v>6</v>
      </c>
      <c r="AG56" s="75">
        <v>38</v>
      </c>
      <c r="AH56" s="75">
        <v>76</v>
      </c>
      <c r="AI56" s="75">
        <v>13</v>
      </c>
      <c r="AJ56" s="75">
        <v>241</v>
      </c>
      <c r="AK56" s="75">
        <v>17</v>
      </c>
      <c r="AL56" s="75">
        <v>1</v>
      </c>
      <c r="AM56" s="75">
        <v>0</v>
      </c>
    </row>
    <row r="57" spans="1:39">
      <c r="A57" s="98" t="s">
        <v>354</v>
      </c>
      <c r="B57" s="75" t="s">
        <v>615</v>
      </c>
      <c r="C57" s="75" t="s">
        <v>616</v>
      </c>
      <c r="D57" s="75" t="s">
        <v>617</v>
      </c>
      <c r="E57" s="80">
        <v>12</v>
      </c>
      <c r="F57" s="80">
        <v>3</v>
      </c>
      <c r="G57" s="75" t="s">
        <v>618</v>
      </c>
      <c r="H57" s="99">
        <v>2</v>
      </c>
      <c r="I57" s="273">
        <v>1</v>
      </c>
      <c r="J57" s="99">
        <v>2</v>
      </c>
      <c r="K57" s="99">
        <v>0</v>
      </c>
      <c r="L57" s="99">
        <v>2</v>
      </c>
      <c r="M57" s="100">
        <v>1</v>
      </c>
      <c r="N57" s="101">
        <v>1</v>
      </c>
      <c r="O57" s="75" t="s">
        <v>619</v>
      </c>
      <c r="P57" s="75" t="s">
        <v>643</v>
      </c>
      <c r="Q57" s="102">
        <v>0.03</v>
      </c>
      <c r="R57" s="103" t="s">
        <v>621</v>
      </c>
      <c r="S57" s="75" t="s">
        <v>644</v>
      </c>
      <c r="T57" s="75" t="s">
        <v>623</v>
      </c>
      <c r="U57" s="75">
        <v>3</v>
      </c>
      <c r="V57" s="75">
        <v>1</v>
      </c>
      <c r="W57" s="75" t="s">
        <v>645</v>
      </c>
      <c r="X57" s="75" t="s">
        <v>626</v>
      </c>
      <c r="Y57" s="75" t="s">
        <v>626</v>
      </c>
      <c r="AA57" s="75" t="s">
        <v>626</v>
      </c>
      <c r="AB57" s="75" t="s">
        <v>646</v>
      </c>
      <c r="AC57" s="75" t="s">
        <v>628</v>
      </c>
      <c r="AD57" s="75" t="s">
        <v>629</v>
      </c>
      <c r="AE57" s="75">
        <v>5</v>
      </c>
      <c r="AG57" s="75">
        <v>40</v>
      </c>
      <c r="AH57" s="75">
        <v>46</v>
      </c>
      <c r="AI57" s="75">
        <v>30</v>
      </c>
      <c r="AJ57" s="75">
        <v>211</v>
      </c>
      <c r="AK57" s="75">
        <v>19</v>
      </c>
      <c r="AL57" s="75">
        <v>1</v>
      </c>
      <c r="AM57" s="75">
        <v>0</v>
      </c>
    </row>
    <row r="58" spans="1:39">
      <c r="A58" s="98" t="s">
        <v>355</v>
      </c>
      <c r="B58" s="75" t="s">
        <v>615</v>
      </c>
      <c r="C58" s="75" t="s">
        <v>616</v>
      </c>
      <c r="D58" s="75" t="s">
        <v>617</v>
      </c>
      <c r="E58" s="80">
        <v>12</v>
      </c>
      <c r="F58" s="80">
        <v>3</v>
      </c>
      <c r="G58" s="75" t="s">
        <v>618</v>
      </c>
      <c r="H58" s="99">
        <v>2</v>
      </c>
      <c r="I58" s="273">
        <v>1</v>
      </c>
      <c r="J58" s="99">
        <v>2</v>
      </c>
      <c r="K58" s="99">
        <v>0</v>
      </c>
      <c r="L58" s="99">
        <v>2</v>
      </c>
      <c r="M58" s="100">
        <v>1</v>
      </c>
      <c r="N58" s="101">
        <v>1</v>
      </c>
      <c r="O58" s="75" t="s">
        <v>619</v>
      </c>
      <c r="P58" s="75" t="s">
        <v>643</v>
      </c>
      <c r="Q58" s="102">
        <v>0.04</v>
      </c>
      <c r="R58" s="103" t="s">
        <v>621</v>
      </c>
      <c r="S58" s="75" t="s">
        <v>644</v>
      </c>
      <c r="T58" s="75" t="s">
        <v>623</v>
      </c>
      <c r="U58" s="75">
        <v>4</v>
      </c>
      <c r="V58" s="75">
        <v>0</v>
      </c>
      <c r="W58" s="75" t="s">
        <v>645</v>
      </c>
      <c r="X58" s="75" t="s">
        <v>626</v>
      </c>
      <c r="Y58" s="75" t="s">
        <v>626</v>
      </c>
      <c r="AA58" s="75" t="s">
        <v>626</v>
      </c>
      <c r="AB58" s="75" t="s">
        <v>646</v>
      </c>
      <c r="AC58" s="75" t="s">
        <v>628</v>
      </c>
      <c r="AD58" s="75" t="s">
        <v>629</v>
      </c>
      <c r="AE58" s="75">
        <v>5</v>
      </c>
      <c r="AG58" s="75">
        <v>40</v>
      </c>
      <c r="AH58" s="75">
        <v>47</v>
      </c>
      <c r="AI58" s="75">
        <v>31</v>
      </c>
      <c r="AJ58" s="75">
        <v>212</v>
      </c>
      <c r="AK58" s="75">
        <v>19</v>
      </c>
      <c r="AL58" s="75">
        <v>1</v>
      </c>
      <c r="AM58" s="75">
        <v>0</v>
      </c>
    </row>
    <row r="59" spans="1:39" s="118" customFormat="1">
      <c r="A59" s="98" t="s">
        <v>356</v>
      </c>
      <c r="B59" s="75" t="s">
        <v>615</v>
      </c>
      <c r="C59" s="75" t="s">
        <v>616</v>
      </c>
      <c r="D59" s="75" t="s">
        <v>617</v>
      </c>
      <c r="E59" s="80">
        <v>12</v>
      </c>
      <c r="F59" s="80">
        <v>3</v>
      </c>
      <c r="G59" s="75" t="s">
        <v>618</v>
      </c>
      <c r="H59" s="99">
        <v>2</v>
      </c>
      <c r="I59" s="273">
        <v>1</v>
      </c>
      <c r="J59" s="99">
        <v>2</v>
      </c>
      <c r="K59" s="99">
        <v>0</v>
      </c>
      <c r="L59" s="99">
        <v>2</v>
      </c>
      <c r="M59" s="100">
        <v>1</v>
      </c>
      <c r="N59" s="101">
        <v>1</v>
      </c>
      <c r="O59" s="75" t="s">
        <v>619</v>
      </c>
      <c r="P59" s="75" t="s">
        <v>643</v>
      </c>
      <c r="Q59" s="80">
        <v>2.5000000000000001E-2</v>
      </c>
      <c r="R59" s="103" t="s">
        <v>621</v>
      </c>
      <c r="S59" s="75" t="s">
        <v>644</v>
      </c>
      <c r="T59" s="75" t="s">
        <v>623</v>
      </c>
      <c r="U59" s="106">
        <v>3</v>
      </c>
      <c r="V59" s="75">
        <v>1</v>
      </c>
      <c r="W59" s="75" t="s">
        <v>645</v>
      </c>
      <c r="X59" s="75" t="s">
        <v>626</v>
      </c>
      <c r="Y59" s="75" t="s">
        <v>626</v>
      </c>
      <c r="Z59" s="75"/>
      <c r="AA59" s="75" t="s">
        <v>626</v>
      </c>
      <c r="AB59" s="75" t="s">
        <v>646</v>
      </c>
      <c r="AC59" s="75" t="s">
        <v>628</v>
      </c>
      <c r="AD59" s="75" t="s">
        <v>629</v>
      </c>
      <c r="AE59" s="118">
        <v>5</v>
      </c>
      <c r="AG59" s="118">
        <v>40</v>
      </c>
      <c r="AH59" s="118">
        <v>48</v>
      </c>
      <c r="AI59" s="118">
        <v>32</v>
      </c>
      <c r="AJ59" s="118">
        <v>213</v>
      </c>
      <c r="AK59" s="118">
        <v>19</v>
      </c>
      <c r="AL59" s="118">
        <v>1</v>
      </c>
      <c r="AM59" s="118">
        <v>0</v>
      </c>
    </row>
    <row r="60" spans="1:39">
      <c r="A60" s="98" t="s">
        <v>357</v>
      </c>
      <c r="B60" s="75" t="s">
        <v>615</v>
      </c>
      <c r="C60" s="75" t="s">
        <v>616</v>
      </c>
      <c r="D60" s="75" t="s">
        <v>617</v>
      </c>
      <c r="E60" s="80">
        <v>12</v>
      </c>
      <c r="F60" s="80">
        <v>3</v>
      </c>
      <c r="G60" s="75" t="s">
        <v>618</v>
      </c>
      <c r="H60" s="99">
        <v>2</v>
      </c>
      <c r="I60" s="273">
        <v>1</v>
      </c>
      <c r="J60" s="99">
        <v>2</v>
      </c>
      <c r="K60" s="99">
        <v>0</v>
      </c>
      <c r="L60" s="99">
        <v>2</v>
      </c>
      <c r="M60" s="100">
        <v>1</v>
      </c>
      <c r="N60" s="101">
        <v>1</v>
      </c>
      <c r="O60" s="75" t="s">
        <v>619</v>
      </c>
      <c r="P60" s="75" t="s">
        <v>643</v>
      </c>
      <c r="Q60" s="80">
        <v>3.5000000000000003E-2</v>
      </c>
      <c r="R60" s="103" t="s">
        <v>621</v>
      </c>
      <c r="S60" s="75" t="s">
        <v>644</v>
      </c>
      <c r="T60" s="75" t="s">
        <v>623</v>
      </c>
      <c r="U60" s="75">
        <v>3</v>
      </c>
      <c r="V60" s="75">
        <v>1</v>
      </c>
      <c r="W60" s="75" t="s">
        <v>645</v>
      </c>
      <c r="X60" s="75" t="s">
        <v>626</v>
      </c>
      <c r="Y60" s="75" t="s">
        <v>626</v>
      </c>
      <c r="AA60" s="75" t="s">
        <v>626</v>
      </c>
      <c r="AB60" s="75" t="s">
        <v>646</v>
      </c>
      <c r="AC60" s="75" t="s">
        <v>628</v>
      </c>
      <c r="AD60" s="75" t="s">
        <v>629</v>
      </c>
      <c r="AE60" s="75">
        <v>5</v>
      </c>
      <c r="AG60" s="75">
        <v>40</v>
      </c>
      <c r="AH60" s="75">
        <v>49</v>
      </c>
      <c r="AI60" s="75">
        <v>33</v>
      </c>
      <c r="AJ60" s="75">
        <v>214</v>
      </c>
      <c r="AK60" s="75">
        <v>19</v>
      </c>
      <c r="AL60" s="75">
        <v>1</v>
      </c>
      <c r="AM60" s="75">
        <v>0</v>
      </c>
    </row>
    <row r="61" spans="1:39">
      <c r="A61" s="98" t="s">
        <v>358</v>
      </c>
      <c r="B61" s="75" t="s">
        <v>615</v>
      </c>
      <c r="C61" s="75" t="s">
        <v>616</v>
      </c>
      <c r="D61" s="75" t="s">
        <v>617</v>
      </c>
      <c r="E61" s="80">
        <v>12</v>
      </c>
      <c r="F61" s="80">
        <v>3</v>
      </c>
      <c r="G61" s="75" t="s">
        <v>618</v>
      </c>
      <c r="H61" s="99">
        <v>2</v>
      </c>
      <c r="I61" s="273">
        <v>1</v>
      </c>
      <c r="J61" s="99">
        <v>2</v>
      </c>
      <c r="K61" s="99">
        <v>0</v>
      </c>
      <c r="L61" s="99">
        <v>2</v>
      </c>
      <c r="M61" s="100">
        <v>1</v>
      </c>
      <c r="N61" s="101">
        <v>1</v>
      </c>
      <c r="O61" s="75" t="s">
        <v>619</v>
      </c>
      <c r="P61" s="75" t="s">
        <v>647</v>
      </c>
      <c r="Q61" s="102" t="s">
        <v>648</v>
      </c>
      <c r="R61" s="103" t="s">
        <v>621</v>
      </c>
      <c r="S61" s="75" t="s">
        <v>644</v>
      </c>
      <c r="T61" s="75" t="s">
        <v>623</v>
      </c>
      <c r="U61" s="75">
        <v>3</v>
      </c>
      <c r="V61" s="75">
        <v>1</v>
      </c>
      <c r="W61" s="75" t="s">
        <v>645</v>
      </c>
      <c r="X61" s="75" t="s">
        <v>626</v>
      </c>
      <c r="Y61" s="75" t="s">
        <v>626</v>
      </c>
      <c r="AA61" s="75" t="s">
        <v>626</v>
      </c>
      <c r="AB61" s="75" t="s">
        <v>646</v>
      </c>
      <c r="AC61" s="75" t="s">
        <v>628</v>
      </c>
      <c r="AD61" s="75" t="s">
        <v>629</v>
      </c>
      <c r="AE61" s="75">
        <v>5</v>
      </c>
      <c r="AG61" s="75">
        <v>40</v>
      </c>
      <c r="AH61" s="75">
        <v>50</v>
      </c>
      <c r="AI61" s="75">
        <v>34</v>
      </c>
      <c r="AJ61" s="75">
        <v>215</v>
      </c>
      <c r="AK61" s="75">
        <v>19</v>
      </c>
      <c r="AL61" s="75">
        <v>1</v>
      </c>
      <c r="AM61" s="75">
        <v>0</v>
      </c>
    </row>
    <row r="62" spans="1:39">
      <c r="A62" s="98" t="s">
        <v>359</v>
      </c>
      <c r="B62" s="75" t="s">
        <v>615</v>
      </c>
      <c r="C62" s="75" t="s">
        <v>616</v>
      </c>
      <c r="D62" s="75" t="s">
        <v>617</v>
      </c>
      <c r="E62" s="80">
        <v>12</v>
      </c>
      <c r="F62" s="80">
        <v>3</v>
      </c>
      <c r="G62" s="75" t="s">
        <v>618</v>
      </c>
      <c r="H62" s="99">
        <v>2</v>
      </c>
      <c r="I62" s="273">
        <v>1</v>
      </c>
      <c r="J62" s="99">
        <v>2</v>
      </c>
      <c r="K62" s="99">
        <v>0</v>
      </c>
      <c r="L62" s="99">
        <v>2</v>
      </c>
      <c r="M62" s="100">
        <v>1</v>
      </c>
      <c r="N62" s="101">
        <v>1</v>
      </c>
      <c r="O62" s="75" t="s">
        <v>619</v>
      </c>
      <c r="P62" s="75" t="s">
        <v>649</v>
      </c>
      <c r="Q62" s="102">
        <v>0.04</v>
      </c>
      <c r="R62" s="103" t="s">
        <v>621</v>
      </c>
      <c r="S62" s="75" t="s">
        <v>644</v>
      </c>
      <c r="T62" s="75" t="s">
        <v>623</v>
      </c>
      <c r="U62" s="75">
        <v>4</v>
      </c>
      <c r="V62" s="75">
        <v>0</v>
      </c>
      <c r="W62" s="75" t="s">
        <v>645</v>
      </c>
      <c r="X62" s="75" t="s">
        <v>626</v>
      </c>
      <c r="Y62" s="75" t="s">
        <v>626</v>
      </c>
      <c r="AA62" s="75" t="s">
        <v>630</v>
      </c>
      <c r="AD62" s="75" t="s">
        <v>629</v>
      </c>
      <c r="AE62" s="75">
        <v>5</v>
      </c>
      <c r="AG62" s="75">
        <v>40</v>
      </c>
      <c r="AH62" s="75">
        <v>51</v>
      </c>
      <c r="AI62" s="75">
        <v>35</v>
      </c>
      <c r="AJ62" s="75">
        <v>216</v>
      </c>
      <c r="AK62" s="75">
        <v>19</v>
      </c>
      <c r="AL62" s="75">
        <v>1</v>
      </c>
      <c r="AM62" s="75">
        <v>0</v>
      </c>
    </row>
    <row r="63" spans="1:39">
      <c r="A63" s="98" t="s">
        <v>360</v>
      </c>
      <c r="B63" s="75" t="s">
        <v>615</v>
      </c>
      <c r="C63" s="75" t="s">
        <v>616</v>
      </c>
      <c r="D63" s="75" t="s">
        <v>617</v>
      </c>
      <c r="E63" s="80">
        <v>12</v>
      </c>
      <c r="F63" s="80">
        <v>3</v>
      </c>
      <c r="G63" s="75" t="s">
        <v>618</v>
      </c>
      <c r="H63" s="99">
        <v>2</v>
      </c>
      <c r="I63" s="273">
        <v>1</v>
      </c>
      <c r="J63" s="99">
        <v>2</v>
      </c>
      <c r="K63" s="99">
        <v>0</v>
      </c>
      <c r="L63" s="99">
        <v>2</v>
      </c>
      <c r="M63" s="100">
        <v>1</v>
      </c>
      <c r="N63" s="101">
        <v>1</v>
      </c>
      <c r="O63" s="75" t="s">
        <v>619</v>
      </c>
      <c r="P63" s="75" t="s">
        <v>643</v>
      </c>
      <c r="Q63" s="80">
        <v>0.02</v>
      </c>
      <c r="R63" s="104" t="s">
        <v>621</v>
      </c>
      <c r="S63" s="75" t="s">
        <v>644</v>
      </c>
      <c r="T63" s="75" t="s">
        <v>623</v>
      </c>
      <c r="U63" s="75">
        <v>3</v>
      </c>
      <c r="V63" s="75">
        <v>1</v>
      </c>
      <c r="W63" s="75" t="s">
        <v>645</v>
      </c>
      <c r="X63" s="75" t="s">
        <v>626</v>
      </c>
      <c r="Y63" s="75" t="s">
        <v>626</v>
      </c>
      <c r="AA63" s="75" t="s">
        <v>626</v>
      </c>
      <c r="AB63" s="75" t="s">
        <v>646</v>
      </c>
      <c r="AC63" s="75" t="s">
        <v>628</v>
      </c>
      <c r="AD63" s="75" t="s">
        <v>629</v>
      </c>
      <c r="AE63" s="75">
        <v>5</v>
      </c>
      <c r="AG63" s="75">
        <v>40</v>
      </c>
      <c r="AH63" s="75">
        <v>52</v>
      </c>
      <c r="AI63" s="75">
        <v>36</v>
      </c>
      <c r="AJ63" s="75">
        <v>217</v>
      </c>
      <c r="AK63" s="75">
        <v>19</v>
      </c>
      <c r="AL63" s="75">
        <v>1</v>
      </c>
      <c r="AM63" s="75">
        <v>0</v>
      </c>
    </row>
    <row r="64" spans="1:39">
      <c r="A64" s="98" t="s">
        <v>990</v>
      </c>
      <c r="B64" s="75" t="s">
        <v>615</v>
      </c>
      <c r="C64" s="75" t="s">
        <v>616</v>
      </c>
      <c r="D64" s="75" t="s">
        <v>617</v>
      </c>
      <c r="E64" s="80">
        <v>14</v>
      </c>
      <c r="F64" s="80">
        <v>3</v>
      </c>
      <c r="G64" s="75" t="s">
        <v>631</v>
      </c>
      <c r="H64" s="99">
        <v>2</v>
      </c>
      <c r="I64" s="273">
        <v>3</v>
      </c>
      <c r="J64" s="99">
        <v>2</v>
      </c>
      <c r="K64" s="99">
        <v>0</v>
      </c>
      <c r="L64" s="99">
        <v>2</v>
      </c>
      <c r="M64" s="100">
        <v>1</v>
      </c>
      <c r="N64" s="101">
        <v>1</v>
      </c>
      <c r="O64" s="75" t="s">
        <v>1094</v>
      </c>
      <c r="P64" s="75" t="s">
        <v>1095</v>
      </c>
      <c r="Q64" s="80" t="s">
        <v>748</v>
      </c>
      <c r="R64" s="104" t="s">
        <v>1096</v>
      </c>
      <c r="S64" s="75" t="s">
        <v>1097</v>
      </c>
      <c r="T64" s="75" t="s">
        <v>623</v>
      </c>
      <c r="U64" s="75"/>
      <c r="V64" s="75"/>
      <c r="W64" s="75" t="s">
        <v>1098</v>
      </c>
      <c r="X64" s="75" t="s">
        <v>626</v>
      </c>
      <c r="AA64" s="75" t="s">
        <v>630</v>
      </c>
      <c r="AD64" s="75" t="s">
        <v>629</v>
      </c>
      <c r="AE64" s="75">
        <v>3</v>
      </c>
      <c r="AG64" s="75">
        <v>55</v>
      </c>
      <c r="AH64" s="75">
        <v>11</v>
      </c>
      <c r="AI64" s="75">
        <v>11</v>
      </c>
      <c r="AJ64" s="75">
        <v>176</v>
      </c>
      <c r="AK64" s="75">
        <v>27</v>
      </c>
      <c r="AL64" s="75">
        <v>1</v>
      </c>
      <c r="AM64" s="75">
        <v>0</v>
      </c>
    </row>
    <row r="65" spans="1:39">
      <c r="A65" s="98" t="s">
        <v>330</v>
      </c>
      <c r="B65" s="75" t="s">
        <v>615</v>
      </c>
      <c r="C65" s="75" t="s">
        <v>616</v>
      </c>
      <c r="D65" s="75" t="s">
        <v>653</v>
      </c>
      <c r="E65" s="80">
        <v>18</v>
      </c>
      <c r="F65" s="80">
        <v>3</v>
      </c>
      <c r="G65" s="75" t="s">
        <v>654</v>
      </c>
      <c r="H65" s="99">
        <v>4</v>
      </c>
      <c r="I65" s="273">
        <v>3</v>
      </c>
      <c r="J65" s="99">
        <v>4</v>
      </c>
      <c r="K65" s="99">
        <v>0</v>
      </c>
      <c r="L65" s="99">
        <v>2</v>
      </c>
      <c r="M65" s="100">
        <v>1</v>
      </c>
      <c r="N65" s="101">
        <v>1</v>
      </c>
      <c r="O65" s="75" t="s">
        <v>619</v>
      </c>
      <c r="P65" s="75" t="s">
        <v>655</v>
      </c>
      <c r="Q65" s="102" t="s">
        <v>624</v>
      </c>
      <c r="R65" s="104" t="s">
        <v>656</v>
      </c>
      <c r="S65" s="75" t="s">
        <v>657</v>
      </c>
      <c r="T65" s="75" t="s">
        <v>623</v>
      </c>
      <c r="U65" s="106" t="s">
        <v>624</v>
      </c>
      <c r="V65" s="75"/>
      <c r="W65" s="75" t="s">
        <v>658</v>
      </c>
      <c r="X65" s="75" t="s">
        <v>626</v>
      </c>
      <c r="Y65" s="75" t="s">
        <v>626</v>
      </c>
      <c r="AA65" s="75" t="s">
        <v>626</v>
      </c>
      <c r="AB65" s="75" t="s">
        <v>659</v>
      </c>
      <c r="AC65" s="75" t="s">
        <v>660</v>
      </c>
      <c r="AD65" s="75" t="s">
        <v>629</v>
      </c>
      <c r="AE65" s="75">
        <v>3</v>
      </c>
      <c r="AG65" s="75">
        <v>37</v>
      </c>
      <c r="AH65" s="75">
        <v>1</v>
      </c>
      <c r="AI65" s="75">
        <v>1</v>
      </c>
      <c r="AJ65" s="75">
        <v>166</v>
      </c>
      <c r="AK65" s="75">
        <v>28</v>
      </c>
      <c r="AL65" s="75">
        <v>1</v>
      </c>
      <c r="AM65" s="75">
        <v>1</v>
      </c>
    </row>
    <row r="66" spans="1:39">
      <c r="A66" s="98" t="s">
        <v>337</v>
      </c>
      <c r="B66" s="75" t="s">
        <v>615</v>
      </c>
      <c r="C66" s="75" t="s">
        <v>616</v>
      </c>
      <c r="D66" s="75" t="s">
        <v>653</v>
      </c>
      <c r="E66" s="80">
        <v>18</v>
      </c>
      <c r="F66" s="80">
        <v>3</v>
      </c>
      <c r="G66" s="75" t="s">
        <v>654</v>
      </c>
      <c r="H66" s="99">
        <v>4</v>
      </c>
      <c r="I66" s="273">
        <v>1</v>
      </c>
      <c r="J66" s="99">
        <v>4</v>
      </c>
      <c r="K66" s="99">
        <v>0</v>
      </c>
      <c r="L66" s="99">
        <v>2</v>
      </c>
      <c r="M66" s="100">
        <v>1</v>
      </c>
      <c r="N66" s="101">
        <v>1</v>
      </c>
      <c r="O66" s="75" t="s">
        <v>619</v>
      </c>
      <c r="P66" s="75" t="s">
        <v>655</v>
      </c>
      <c r="Q66" s="80">
        <v>0.03</v>
      </c>
      <c r="R66" s="104" t="s">
        <v>656</v>
      </c>
      <c r="S66" s="75" t="s">
        <v>657</v>
      </c>
      <c r="T66" s="75" t="s">
        <v>623</v>
      </c>
      <c r="U66" s="75" t="s">
        <v>624</v>
      </c>
      <c r="V66" s="75"/>
      <c r="W66" s="75" t="s">
        <v>658</v>
      </c>
      <c r="X66" s="75" t="s">
        <v>626</v>
      </c>
      <c r="Y66" s="75" t="s">
        <v>626</v>
      </c>
      <c r="AA66" s="75" t="s">
        <v>626</v>
      </c>
      <c r="AB66" s="75" t="s">
        <v>659</v>
      </c>
      <c r="AC66" s="75" t="s">
        <v>660</v>
      </c>
      <c r="AD66" s="75" t="s">
        <v>629</v>
      </c>
      <c r="AE66" s="75">
        <v>5</v>
      </c>
      <c r="AG66" s="75">
        <v>37</v>
      </c>
      <c r="AH66" s="75">
        <v>17</v>
      </c>
      <c r="AI66" s="75">
        <v>1</v>
      </c>
      <c r="AJ66" s="75">
        <v>182</v>
      </c>
      <c r="AK66" s="75">
        <v>26</v>
      </c>
      <c r="AL66" s="75">
        <v>1</v>
      </c>
      <c r="AM66" s="75">
        <v>1</v>
      </c>
    </row>
    <row r="67" spans="1:39">
      <c r="A67" s="98" t="s">
        <v>338</v>
      </c>
      <c r="B67" s="75" t="s">
        <v>615</v>
      </c>
      <c r="C67" s="75" t="s">
        <v>616</v>
      </c>
      <c r="D67" s="75" t="s">
        <v>653</v>
      </c>
      <c r="E67" s="80">
        <v>18</v>
      </c>
      <c r="F67" s="80">
        <v>3</v>
      </c>
      <c r="G67" s="75" t="s">
        <v>654</v>
      </c>
      <c r="H67" s="99">
        <v>4</v>
      </c>
      <c r="I67" s="273">
        <v>1</v>
      </c>
      <c r="J67" s="99">
        <v>4</v>
      </c>
      <c r="K67" s="99">
        <v>0</v>
      </c>
      <c r="L67" s="99">
        <v>2</v>
      </c>
      <c r="M67" s="100">
        <v>1</v>
      </c>
      <c r="N67" s="101">
        <v>1</v>
      </c>
      <c r="O67" s="75" t="s">
        <v>619</v>
      </c>
      <c r="P67" s="75" t="s">
        <v>655</v>
      </c>
      <c r="Q67" s="80">
        <v>0.04</v>
      </c>
      <c r="R67" s="104" t="s">
        <v>656</v>
      </c>
      <c r="S67" s="75" t="s">
        <v>657</v>
      </c>
      <c r="T67" s="75" t="s">
        <v>623</v>
      </c>
      <c r="U67" s="75" t="s">
        <v>624</v>
      </c>
      <c r="V67" s="75"/>
      <c r="W67" s="75" t="s">
        <v>658</v>
      </c>
      <c r="X67" s="75" t="s">
        <v>626</v>
      </c>
      <c r="Y67" s="75" t="s">
        <v>626</v>
      </c>
      <c r="AA67" s="75" t="s">
        <v>630</v>
      </c>
      <c r="AD67" s="75" t="s">
        <v>629</v>
      </c>
      <c r="AE67" s="75">
        <v>5</v>
      </c>
      <c r="AG67" s="75">
        <v>37</v>
      </c>
      <c r="AH67" s="75">
        <v>18</v>
      </c>
      <c r="AI67" s="75">
        <v>2</v>
      </c>
      <c r="AJ67" s="75">
        <v>183</v>
      </c>
      <c r="AK67" s="75">
        <v>26</v>
      </c>
      <c r="AL67" s="75">
        <v>1</v>
      </c>
      <c r="AM67" s="75">
        <v>1</v>
      </c>
    </row>
    <row r="68" spans="1:39">
      <c r="A68" s="98" t="s">
        <v>495</v>
      </c>
      <c r="B68" s="75" t="s">
        <v>661</v>
      </c>
      <c r="C68" s="75" t="s">
        <v>662</v>
      </c>
      <c r="D68" s="75" t="s">
        <v>653</v>
      </c>
      <c r="E68" s="80">
        <v>10</v>
      </c>
      <c r="F68" s="80">
        <v>2</v>
      </c>
      <c r="G68" s="75" t="s">
        <v>663</v>
      </c>
      <c r="H68" s="99">
        <v>3</v>
      </c>
      <c r="I68" s="273">
        <v>2</v>
      </c>
      <c r="J68" s="99">
        <v>4</v>
      </c>
      <c r="K68" s="99">
        <v>1</v>
      </c>
      <c r="L68" s="99">
        <v>1</v>
      </c>
      <c r="M68" s="100">
        <v>1</v>
      </c>
      <c r="N68" s="101">
        <v>0</v>
      </c>
      <c r="O68" s="75" t="s">
        <v>664</v>
      </c>
      <c r="P68" s="75" t="s">
        <v>665</v>
      </c>
      <c r="Q68" s="80" t="s">
        <v>624</v>
      </c>
      <c r="R68" s="104" t="s">
        <v>666</v>
      </c>
      <c r="S68" s="75" t="s">
        <v>667</v>
      </c>
      <c r="T68" s="75" t="s">
        <v>623</v>
      </c>
      <c r="U68" s="75" t="s">
        <v>624</v>
      </c>
      <c r="V68" s="75"/>
      <c r="W68" s="75" t="s">
        <v>668</v>
      </c>
      <c r="X68" s="75" t="s">
        <v>626</v>
      </c>
      <c r="Y68" s="75" t="s">
        <v>626</v>
      </c>
      <c r="AA68" s="75" t="s">
        <v>630</v>
      </c>
      <c r="AD68" s="75" t="s">
        <v>629</v>
      </c>
      <c r="AE68" s="75">
        <v>2</v>
      </c>
      <c r="AG68" s="75">
        <v>30</v>
      </c>
      <c r="AH68" s="75">
        <v>158</v>
      </c>
      <c r="AI68" s="75">
        <v>29</v>
      </c>
      <c r="AJ68" s="75">
        <v>158</v>
      </c>
      <c r="AK68" s="75">
        <v>12</v>
      </c>
      <c r="AL68" s="75">
        <v>1</v>
      </c>
      <c r="AM68" s="75">
        <v>1</v>
      </c>
    </row>
    <row r="69" spans="1:39">
      <c r="A69" s="98" t="s">
        <v>496</v>
      </c>
      <c r="B69" s="75" t="s">
        <v>661</v>
      </c>
      <c r="C69" s="75" t="s">
        <v>662</v>
      </c>
      <c r="D69" s="75" t="s">
        <v>653</v>
      </c>
      <c r="E69" s="80">
        <v>10</v>
      </c>
      <c r="F69" s="80">
        <v>2</v>
      </c>
      <c r="G69" s="75" t="s">
        <v>663</v>
      </c>
      <c r="H69" s="99">
        <v>3</v>
      </c>
      <c r="I69" s="273">
        <v>2</v>
      </c>
      <c r="J69" s="99">
        <v>4</v>
      </c>
      <c r="K69" s="99">
        <v>1</v>
      </c>
      <c r="L69" s="99">
        <v>1</v>
      </c>
      <c r="M69" s="100">
        <v>1</v>
      </c>
      <c r="N69" s="101">
        <v>0</v>
      </c>
      <c r="O69" s="75" t="s">
        <v>664</v>
      </c>
      <c r="P69" s="75" t="s">
        <v>669</v>
      </c>
      <c r="Q69" s="80" t="s">
        <v>624</v>
      </c>
      <c r="R69" s="104" t="s">
        <v>666</v>
      </c>
      <c r="S69" s="75" t="s">
        <v>667</v>
      </c>
      <c r="T69" s="75" t="s">
        <v>623</v>
      </c>
      <c r="U69" s="75" t="s">
        <v>624</v>
      </c>
      <c r="V69" s="75"/>
      <c r="W69" s="75" t="s">
        <v>668</v>
      </c>
      <c r="X69" s="75" t="s">
        <v>626</v>
      </c>
      <c r="Y69" s="75" t="s">
        <v>626</v>
      </c>
      <c r="AA69" s="75" t="s">
        <v>630</v>
      </c>
      <c r="AD69" s="75" t="s">
        <v>629</v>
      </c>
      <c r="AE69" s="75">
        <v>2</v>
      </c>
      <c r="AG69" s="75">
        <v>30</v>
      </c>
      <c r="AH69" s="75">
        <v>159</v>
      </c>
      <c r="AI69" s="75">
        <v>30</v>
      </c>
      <c r="AJ69" s="75">
        <v>159</v>
      </c>
      <c r="AK69" s="75">
        <v>12</v>
      </c>
      <c r="AL69" s="75">
        <v>1</v>
      </c>
      <c r="AM69" s="75">
        <v>1</v>
      </c>
    </row>
    <row r="70" spans="1:39">
      <c r="A70" s="98" t="s">
        <v>513</v>
      </c>
      <c r="B70" s="75" t="s">
        <v>661</v>
      </c>
      <c r="C70" s="75" t="s">
        <v>662</v>
      </c>
      <c r="D70" s="75" t="s">
        <v>653</v>
      </c>
      <c r="E70" s="80">
        <v>9</v>
      </c>
      <c r="F70" s="80">
        <v>2</v>
      </c>
      <c r="G70" s="75" t="s">
        <v>670</v>
      </c>
      <c r="H70" s="99">
        <v>3</v>
      </c>
      <c r="I70" s="273">
        <v>2</v>
      </c>
      <c r="J70" s="99">
        <v>4</v>
      </c>
      <c r="K70" s="99">
        <v>0</v>
      </c>
      <c r="L70" s="99">
        <v>1</v>
      </c>
      <c r="M70" s="100">
        <v>1</v>
      </c>
      <c r="N70" s="101">
        <v>0</v>
      </c>
      <c r="O70" s="75" t="s">
        <v>664</v>
      </c>
      <c r="P70" s="75" t="s">
        <v>665</v>
      </c>
      <c r="Q70" s="102" t="s">
        <v>624</v>
      </c>
      <c r="R70" s="104" t="s">
        <v>671</v>
      </c>
      <c r="S70" s="75" t="s">
        <v>667</v>
      </c>
      <c r="T70" s="75" t="s">
        <v>623</v>
      </c>
      <c r="U70" s="75" t="s">
        <v>624</v>
      </c>
      <c r="V70" s="75"/>
      <c r="W70" s="75" t="s">
        <v>668</v>
      </c>
      <c r="X70" s="75" t="s">
        <v>626</v>
      </c>
      <c r="Y70" s="75" t="s">
        <v>626</v>
      </c>
      <c r="AA70" s="75" t="s">
        <v>630</v>
      </c>
      <c r="AD70" s="75" t="s">
        <v>629</v>
      </c>
      <c r="AE70" s="75">
        <v>2</v>
      </c>
      <c r="AG70" s="75">
        <v>30</v>
      </c>
      <c r="AH70" s="75">
        <v>160</v>
      </c>
      <c r="AI70" s="75">
        <v>31</v>
      </c>
      <c r="AJ70" s="75">
        <v>160</v>
      </c>
      <c r="AK70" s="75">
        <v>11</v>
      </c>
      <c r="AL70" s="75">
        <v>1</v>
      </c>
      <c r="AM70" s="75">
        <v>0</v>
      </c>
    </row>
    <row r="71" spans="1:39">
      <c r="A71" s="98" t="s">
        <v>497</v>
      </c>
      <c r="B71" s="75" t="s">
        <v>661</v>
      </c>
      <c r="C71" s="75" t="s">
        <v>662</v>
      </c>
      <c r="D71" s="75" t="s">
        <v>653</v>
      </c>
      <c r="E71" s="80">
        <v>10</v>
      </c>
      <c r="F71" s="80">
        <v>2</v>
      </c>
      <c r="G71" s="75" t="s">
        <v>663</v>
      </c>
      <c r="H71" s="99">
        <v>3</v>
      </c>
      <c r="I71" s="273">
        <v>2</v>
      </c>
      <c r="J71" s="99">
        <v>4</v>
      </c>
      <c r="K71" s="99">
        <v>1</v>
      </c>
      <c r="L71" s="99">
        <v>1</v>
      </c>
      <c r="M71" s="100">
        <v>1</v>
      </c>
      <c r="N71" s="101">
        <v>0</v>
      </c>
      <c r="O71" s="75" t="s">
        <v>664</v>
      </c>
      <c r="P71" s="75" t="s">
        <v>672</v>
      </c>
      <c r="Q71" s="80" t="s">
        <v>624</v>
      </c>
      <c r="R71" s="104" t="s">
        <v>666</v>
      </c>
      <c r="S71" s="75" t="s">
        <v>667</v>
      </c>
      <c r="T71" s="75" t="s">
        <v>623</v>
      </c>
      <c r="U71" s="75" t="s">
        <v>624</v>
      </c>
      <c r="V71" s="75"/>
      <c r="W71" s="75" t="s">
        <v>668</v>
      </c>
      <c r="X71" s="75" t="s">
        <v>626</v>
      </c>
      <c r="Y71" s="75" t="s">
        <v>626</v>
      </c>
      <c r="AA71" s="75" t="s">
        <v>630</v>
      </c>
      <c r="AD71" s="75" t="s">
        <v>629</v>
      </c>
      <c r="AE71" s="75">
        <v>2</v>
      </c>
      <c r="AG71" s="75">
        <v>30</v>
      </c>
      <c r="AH71" s="75">
        <v>161</v>
      </c>
      <c r="AI71" s="75">
        <v>32</v>
      </c>
      <c r="AJ71" s="75">
        <v>161</v>
      </c>
      <c r="AK71" s="75">
        <v>12</v>
      </c>
      <c r="AL71" s="75">
        <v>1</v>
      </c>
      <c r="AM71" s="75">
        <v>1</v>
      </c>
    </row>
    <row r="72" spans="1:39">
      <c r="A72" s="98" t="s">
        <v>514</v>
      </c>
      <c r="B72" s="75" t="s">
        <v>661</v>
      </c>
      <c r="C72" s="75" t="s">
        <v>662</v>
      </c>
      <c r="D72" s="75" t="s">
        <v>653</v>
      </c>
      <c r="E72" s="80">
        <v>9</v>
      </c>
      <c r="F72" s="80">
        <v>2</v>
      </c>
      <c r="G72" s="75" t="s">
        <v>670</v>
      </c>
      <c r="H72" s="99">
        <v>3</v>
      </c>
      <c r="I72" s="273">
        <v>2</v>
      </c>
      <c r="J72" s="99">
        <v>4</v>
      </c>
      <c r="K72" s="99">
        <v>0</v>
      </c>
      <c r="L72" s="99">
        <v>1</v>
      </c>
      <c r="M72" s="100">
        <v>1</v>
      </c>
      <c r="N72" s="101">
        <v>0</v>
      </c>
      <c r="O72" s="75" t="s">
        <v>664</v>
      </c>
      <c r="P72" s="75" t="s">
        <v>669</v>
      </c>
      <c r="Q72" s="102" t="s">
        <v>624</v>
      </c>
      <c r="R72" s="104" t="s">
        <v>671</v>
      </c>
      <c r="S72" s="75" t="s">
        <v>667</v>
      </c>
      <c r="T72" s="75" t="s">
        <v>623</v>
      </c>
      <c r="U72" s="75" t="s">
        <v>624</v>
      </c>
      <c r="V72" s="75"/>
      <c r="W72" s="75" t="s">
        <v>668</v>
      </c>
      <c r="X72" s="75" t="s">
        <v>626</v>
      </c>
      <c r="Y72" s="75" t="s">
        <v>626</v>
      </c>
      <c r="AA72" s="75" t="s">
        <v>630</v>
      </c>
      <c r="AD72" s="75" t="s">
        <v>629</v>
      </c>
      <c r="AE72" s="75">
        <v>2</v>
      </c>
      <c r="AG72" s="75">
        <v>30</v>
      </c>
      <c r="AH72" s="75">
        <v>162</v>
      </c>
      <c r="AI72" s="75">
        <v>33</v>
      </c>
      <c r="AJ72" s="75">
        <v>162</v>
      </c>
      <c r="AK72" s="75">
        <v>11</v>
      </c>
      <c r="AL72" s="75">
        <v>1</v>
      </c>
      <c r="AM72" s="75">
        <v>0</v>
      </c>
    </row>
    <row r="73" spans="1:39">
      <c r="A73" s="98" t="s">
        <v>515</v>
      </c>
      <c r="B73" s="75" t="s">
        <v>661</v>
      </c>
      <c r="C73" s="75" t="s">
        <v>662</v>
      </c>
      <c r="D73" s="75" t="s">
        <v>653</v>
      </c>
      <c r="E73" s="80">
        <v>9</v>
      </c>
      <c r="F73" s="80">
        <v>2</v>
      </c>
      <c r="G73" s="75" t="s">
        <v>670</v>
      </c>
      <c r="H73" s="99">
        <v>3</v>
      </c>
      <c r="I73" s="273">
        <v>2</v>
      </c>
      <c r="J73" s="99">
        <v>4</v>
      </c>
      <c r="K73" s="99">
        <v>0</v>
      </c>
      <c r="L73" s="99">
        <v>1</v>
      </c>
      <c r="M73" s="100">
        <v>1</v>
      </c>
      <c r="N73" s="101">
        <v>0</v>
      </c>
      <c r="O73" s="75" t="s">
        <v>664</v>
      </c>
      <c r="P73" s="75" t="s">
        <v>672</v>
      </c>
      <c r="Q73" s="80" t="s">
        <v>624</v>
      </c>
      <c r="R73" s="103" t="s">
        <v>671</v>
      </c>
      <c r="S73" s="75" t="s">
        <v>667</v>
      </c>
      <c r="T73" s="75" t="s">
        <v>623</v>
      </c>
      <c r="U73" s="75" t="s">
        <v>624</v>
      </c>
      <c r="V73" s="75"/>
      <c r="W73" s="75" t="s">
        <v>668</v>
      </c>
      <c r="X73" s="75" t="s">
        <v>626</v>
      </c>
      <c r="Y73" s="75" t="s">
        <v>626</v>
      </c>
      <c r="AA73" s="75" t="s">
        <v>630</v>
      </c>
      <c r="AD73" s="75" t="s">
        <v>629</v>
      </c>
      <c r="AE73" s="75">
        <v>2</v>
      </c>
      <c r="AG73" s="75">
        <v>30</v>
      </c>
      <c r="AH73" s="75">
        <v>163</v>
      </c>
      <c r="AI73" s="75">
        <v>34</v>
      </c>
      <c r="AJ73" s="75">
        <v>163</v>
      </c>
      <c r="AK73" s="75">
        <v>11</v>
      </c>
      <c r="AL73" s="75">
        <v>1</v>
      </c>
      <c r="AM73" s="75">
        <v>0</v>
      </c>
    </row>
    <row r="74" spans="1:39">
      <c r="A74" s="98" t="s">
        <v>498</v>
      </c>
      <c r="B74" s="75" t="s">
        <v>615</v>
      </c>
      <c r="C74" s="75" t="s">
        <v>662</v>
      </c>
      <c r="D74" s="75" t="s">
        <v>653</v>
      </c>
      <c r="E74" s="80">
        <v>10</v>
      </c>
      <c r="F74" s="80">
        <v>2</v>
      </c>
      <c r="G74" s="75" t="s">
        <v>663</v>
      </c>
      <c r="H74" s="99">
        <v>3</v>
      </c>
      <c r="I74" s="273">
        <v>2</v>
      </c>
      <c r="J74" s="99">
        <v>4</v>
      </c>
      <c r="K74" s="99">
        <v>1</v>
      </c>
      <c r="L74" s="99">
        <v>1</v>
      </c>
      <c r="M74" s="100">
        <v>1</v>
      </c>
      <c r="N74" s="101">
        <v>0</v>
      </c>
      <c r="O74" s="75" t="s">
        <v>664</v>
      </c>
      <c r="P74" s="75" t="s">
        <v>673</v>
      </c>
      <c r="Q74" s="80" t="s">
        <v>624</v>
      </c>
      <c r="R74" s="103" t="s">
        <v>666</v>
      </c>
      <c r="S74" s="75" t="s">
        <v>667</v>
      </c>
      <c r="T74" s="75" t="s">
        <v>623</v>
      </c>
      <c r="U74" s="75" t="s">
        <v>624</v>
      </c>
      <c r="V74" s="75"/>
      <c r="W74" s="75" t="s">
        <v>668</v>
      </c>
      <c r="X74" s="75" t="s">
        <v>626</v>
      </c>
      <c r="Y74" s="75" t="s">
        <v>626</v>
      </c>
      <c r="AA74" s="75" t="s">
        <v>630</v>
      </c>
      <c r="AD74" s="75" t="s">
        <v>629</v>
      </c>
      <c r="AE74" s="75">
        <v>1</v>
      </c>
      <c r="AG74" s="75">
        <v>31</v>
      </c>
      <c r="AH74" s="75">
        <v>118</v>
      </c>
      <c r="AI74" s="75">
        <v>118</v>
      </c>
      <c r="AJ74" s="75">
        <v>118</v>
      </c>
      <c r="AK74" s="75">
        <v>12</v>
      </c>
      <c r="AL74" s="75">
        <v>1</v>
      </c>
      <c r="AM74" s="75">
        <v>1</v>
      </c>
    </row>
    <row r="75" spans="1:39">
      <c r="A75" s="98" t="s">
        <v>347</v>
      </c>
      <c r="B75" s="75" t="s">
        <v>661</v>
      </c>
      <c r="C75" s="75" t="s">
        <v>616</v>
      </c>
      <c r="D75" s="75" t="s">
        <v>653</v>
      </c>
      <c r="E75" s="80">
        <v>18</v>
      </c>
      <c r="F75" s="80">
        <v>3</v>
      </c>
      <c r="G75" s="75" t="s">
        <v>654</v>
      </c>
      <c r="H75" s="99">
        <v>4</v>
      </c>
      <c r="I75" s="273">
        <v>2</v>
      </c>
      <c r="J75" s="99">
        <v>2</v>
      </c>
      <c r="K75" s="99">
        <v>1</v>
      </c>
      <c r="L75" s="99">
        <v>2</v>
      </c>
      <c r="M75" s="100">
        <v>1</v>
      </c>
      <c r="N75" s="101">
        <v>1</v>
      </c>
      <c r="O75" s="75" t="s">
        <v>619</v>
      </c>
      <c r="P75" s="75" t="s">
        <v>674</v>
      </c>
      <c r="Q75" s="80" t="s">
        <v>624</v>
      </c>
      <c r="R75" s="103" t="s">
        <v>656</v>
      </c>
      <c r="S75" s="75" t="s">
        <v>657</v>
      </c>
      <c r="T75" s="75" t="s">
        <v>623</v>
      </c>
      <c r="U75" s="75" t="s">
        <v>624</v>
      </c>
      <c r="V75" s="75"/>
      <c r="W75" s="75" t="s">
        <v>658</v>
      </c>
      <c r="X75" s="75" t="s">
        <v>626</v>
      </c>
      <c r="Y75" s="75" t="s">
        <v>626</v>
      </c>
      <c r="AA75" s="75" t="s">
        <v>626</v>
      </c>
      <c r="AB75" s="75" t="s">
        <v>659</v>
      </c>
      <c r="AC75" s="75" t="s">
        <v>660</v>
      </c>
      <c r="AD75" s="75" t="s">
        <v>629</v>
      </c>
      <c r="AE75" s="75">
        <v>4</v>
      </c>
      <c r="AG75" s="75">
        <v>36</v>
      </c>
      <c r="AH75" s="75">
        <v>13</v>
      </c>
      <c r="AI75" s="75">
        <v>2</v>
      </c>
      <c r="AJ75" s="75">
        <v>178</v>
      </c>
      <c r="AK75" s="75">
        <v>22</v>
      </c>
      <c r="AL75" s="75">
        <v>1</v>
      </c>
      <c r="AM75" s="75">
        <v>1</v>
      </c>
    </row>
    <row r="76" spans="1:39">
      <c r="A76" s="98" t="s">
        <v>349</v>
      </c>
      <c r="B76" s="75" t="s">
        <v>661</v>
      </c>
      <c r="C76" s="75" t="s">
        <v>616</v>
      </c>
      <c r="D76" s="75" t="s">
        <v>653</v>
      </c>
      <c r="E76" s="80">
        <v>16</v>
      </c>
      <c r="F76" s="80">
        <v>3</v>
      </c>
      <c r="G76" s="75" t="s">
        <v>675</v>
      </c>
      <c r="H76" s="99">
        <v>4</v>
      </c>
      <c r="I76" s="273">
        <v>2</v>
      </c>
      <c r="J76" s="99">
        <v>2</v>
      </c>
      <c r="K76" s="99">
        <v>0</v>
      </c>
      <c r="L76" s="99">
        <v>2</v>
      </c>
      <c r="M76" s="100">
        <v>1</v>
      </c>
      <c r="N76" s="101">
        <v>1</v>
      </c>
      <c r="O76" s="75" t="s">
        <v>619</v>
      </c>
      <c r="P76" s="75" t="s">
        <v>674</v>
      </c>
      <c r="Q76" s="80" t="s">
        <v>624</v>
      </c>
      <c r="R76" s="103" t="s">
        <v>676</v>
      </c>
      <c r="S76" s="75" t="s">
        <v>657</v>
      </c>
      <c r="T76" s="75" t="s">
        <v>623</v>
      </c>
      <c r="U76" s="75" t="s">
        <v>624</v>
      </c>
      <c r="V76" s="75"/>
      <c r="W76" s="75" t="s">
        <v>658</v>
      </c>
      <c r="X76" s="75" t="s">
        <v>626</v>
      </c>
      <c r="Y76" s="75" t="s">
        <v>626</v>
      </c>
      <c r="AA76" s="75" t="s">
        <v>626</v>
      </c>
      <c r="AB76" s="75" t="s">
        <v>659</v>
      </c>
      <c r="AC76" s="75" t="s">
        <v>660</v>
      </c>
      <c r="AD76" s="75" t="s">
        <v>629</v>
      </c>
      <c r="AE76" s="75">
        <v>4</v>
      </c>
      <c r="AG76" s="75">
        <v>36</v>
      </c>
      <c r="AH76" s="75">
        <v>14</v>
      </c>
      <c r="AI76" s="75">
        <v>3</v>
      </c>
      <c r="AJ76" s="75">
        <v>179</v>
      </c>
      <c r="AK76" s="75">
        <v>21</v>
      </c>
      <c r="AL76" s="75">
        <v>1</v>
      </c>
      <c r="AM76" s="75">
        <v>0</v>
      </c>
    </row>
    <row r="77" spans="1:39">
      <c r="A77" s="98" t="s">
        <v>538</v>
      </c>
      <c r="B77" s="75" t="s">
        <v>615</v>
      </c>
      <c r="C77" s="75" t="s">
        <v>662</v>
      </c>
      <c r="D77" s="75" t="s">
        <v>617</v>
      </c>
      <c r="E77" s="80">
        <v>2</v>
      </c>
      <c r="F77" s="80">
        <v>1</v>
      </c>
      <c r="G77" s="75" t="s">
        <v>677</v>
      </c>
      <c r="H77" s="99">
        <v>1</v>
      </c>
      <c r="I77" s="273">
        <v>3</v>
      </c>
      <c r="J77" s="99">
        <v>1</v>
      </c>
      <c r="K77" s="99">
        <v>0</v>
      </c>
      <c r="L77" s="99">
        <v>1</v>
      </c>
      <c r="M77" s="100">
        <v>1</v>
      </c>
      <c r="N77" s="101">
        <v>0</v>
      </c>
      <c r="O77" s="75" t="s">
        <v>678</v>
      </c>
      <c r="P77" s="75" t="s">
        <v>679</v>
      </c>
      <c r="Q77" s="80" t="s">
        <v>152</v>
      </c>
      <c r="R77" s="103" t="s">
        <v>680</v>
      </c>
      <c r="S77" s="75" t="s">
        <v>678</v>
      </c>
      <c r="T77" s="75" t="s">
        <v>623</v>
      </c>
      <c r="U77" s="75"/>
      <c r="V77" s="75"/>
      <c r="W77" s="75" t="s">
        <v>681</v>
      </c>
      <c r="X77" s="75" t="s">
        <v>626</v>
      </c>
      <c r="Y77" s="75" t="s">
        <v>626</v>
      </c>
      <c r="AA77" s="75" t="s">
        <v>630</v>
      </c>
      <c r="AD77" s="75" t="s">
        <v>629</v>
      </c>
      <c r="AE77" s="75">
        <v>1</v>
      </c>
      <c r="AG77" s="75">
        <v>1</v>
      </c>
      <c r="AH77" s="75">
        <v>1</v>
      </c>
      <c r="AI77" s="75">
        <v>1</v>
      </c>
      <c r="AJ77" s="75">
        <v>1</v>
      </c>
      <c r="AK77" s="75">
        <v>5</v>
      </c>
      <c r="AL77" s="75">
        <v>1</v>
      </c>
      <c r="AM77" s="75">
        <v>0</v>
      </c>
    </row>
    <row r="78" spans="1:39">
      <c r="A78" s="98" t="s">
        <v>590</v>
      </c>
      <c r="B78" s="75" t="s">
        <v>615</v>
      </c>
      <c r="C78" s="75" t="s">
        <v>662</v>
      </c>
      <c r="D78" s="75" t="s">
        <v>617</v>
      </c>
      <c r="E78" s="80">
        <v>1</v>
      </c>
      <c r="F78" s="80">
        <v>1</v>
      </c>
      <c r="G78" s="75" t="s">
        <v>682</v>
      </c>
      <c r="H78" s="99">
        <v>1</v>
      </c>
      <c r="I78" s="273">
        <v>1</v>
      </c>
      <c r="J78" s="99">
        <v>1</v>
      </c>
      <c r="K78" s="99">
        <v>0</v>
      </c>
      <c r="L78" s="99">
        <v>1</v>
      </c>
      <c r="M78" s="100">
        <v>1</v>
      </c>
      <c r="N78" s="101">
        <v>0</v>
      </c>
      <c r="O78" s="75" t="s">
        <v>678</v>
      </c>
      <c r="P78" s="75" t="s">
        <v>683</v>
      </c>
      <c r="Q78" s="80">
        <v>3.7999999999999999E-2</v>
      </c>
      <c r="R78" s="103" t="s">
        <v>684</v>
      </c>
      <c r="S78" s="75" t="s">
        <v>678</v>
      </c>
      <c r="T78" s="75" t="s">
        <v>623</v>
      </c>
      <c r="U78" s="75"/>
      <c r="V78" s="75"/>
      <c r="W78" s="75" t="s">
        <v>681</v>
      </c>
      <c r="X78" s="75" t="s">
        <v>626</v>
      </c>
      <c r="Y78" s="75" t="s">
        <v>626</v>
      </c>
      <c r="AA78" s="75" t="s">
        <v>630</v>
      </c>
      <c r="AD78" s="75" t="s">
        <v>629</v>
      </c>
      <c r="AE78" s="75">
        <v>1</v>
      </c>
      <c r="AG78" s="75">
        <v>1</v>
      </c>
      <c r="AH78" s="75">
        <v>2</v>
      </c>
      <c r="AI78" s="75">
        <v>2</v>
      </c>
      <c r="AJ78" s="75">
        <v>2</v>
      </c>
      <c r="AK78" s="75">
        <v>2</v>
      </c>
      <c r="AL78" s="75">
        <v>1</v>
      </c>
      <c r="AM78" s="75">
        <v>0</v>
      </c>
    </row>
    <row r="79" spans="1:39">
      <c r="A79" s="98" t="s">
        <v>591</v>
      </c>
      <c r="B79" s="75" t="s">
        <v>615</v>
      </c>
      <c r="C79" s="75" t="s">
        <v>662</v>
      </c>
      <c r="D79" s="75" t="s">
        <v>617</v>
      </c>
      <c r="E79" s="80">
        <v>1</v>
      </c>
      <c r="F79" s="80">
        <v>1</v>
      </c>
      <c r="G79" s="75" t="s">
        <v>682</v>
      </c>
      <c r="H79" s="99">
        <v>1</v>
      </c>
      <c r="I79" s="273">
        <v>1</v>
      </c>
      <c r="J79" s="99">
        <v>1</v>
      </c>
      <c r="K79" s="99">
        <v>0</v>
      </c>
      <c r="L79" s="99">
        <v>1</v>
      </c>
      <c r="M79" s="100">
        <v>1</v>
      </c>
      <c r="N79" s="101">
        <v>0</v>
      </c>
      <c r="O79" s="75" t="s">
        <v>678</v>
      </c>
      <c r="P79" s="75" t="s">
        <v>685</v>
      </c>
      <c r="Q79" s="80">
        <v>0.03</v>
      </c>
      <c r="R79" s="103" t="s">
        <v>684</v>
      </c>
      <c r="S79" s="75" t="s">
        <v>678</v>
      </c>
      <c r="T79" s="75" t="s">
        <v>623</v>
      </c>
      <c r="U79" s="75">
        <v>3</v>
      </c>
      <c r="V79" s="75">
        <v>1</v>
      </c>
      <c r="W79" s="75" t="s">
        <v>681</v>
      </c>
      <c r="X79" s="75" t="s">
        <v>626</v>
      </c>
      <c r="Y79" s="75" t="s">
        <v>626</v>
      </c>
      <c r="AA79" s="75" t="s">
        <v>626</v>
      </c>
      <c r="AB79" s="75" t="s">
        <v>686</v>
      </c>
      <c r="AC79" s="75" t="s">
        <v>678</v>
      </c>
      <c r="AD79" s="75" t="s">
        <v>629</v>
      </c>
      <c r="AE79" s="75">
        <v>1</v>
      </c>
      <c r="AG79" s="75">
        <v>1</v>
      </c>
      <c r="AH79" s="75">
        <v>3</v>
      </c>
      <c r="AI79" s="75">
        <v>3</v>
      </c>
      <c r="AJ79" s="75">
        <v>3</v>
      </c>
      <c r="AK79" s="75">
        <v>2</v>
      </c>
      <c r="AL79" s="75">
        <v>1</v>
      </c>
      <c r="AM79" s="75">
        <v>0</v>
      </c>
    </row>
    <row r="80" spans="1:39">
      <c r="A80" s="98" t="s">
        <v>592</v>
      </c>
      <c r="B80" s="75" t="s">
        <v>615</v>
      </c>
      <c r="C80" s="75" t="s">
        <v>662</v>
      </c>
      <c r="D80" s="75" t="s">
        <v>617</v>
      </c>
      <c r="E80" s="80">
        <v>1</v>
      </c>
      <c r="F80" s="80">
        <v>1</v>
      </c>
      <c r="G80" s="75" t="s">
        <v>682</v>
      </c>
      <c r="H80" s="99">
        <v>1</v>
      </c>
      <c r="I80" s="273">
        <v>1</v>
      </c>
      <c r="J80" s="99">
        <v>1</v>
      </c>
      <c r="K80" s="99">
        <v>0</v>
      </c>
      <c r="L80" s="99">
        <v>1</v>
      </c>
      <c r="M80" s="100">
        <v>1</v>
      </c>
      <c r="N80" s="101">
        <v>0</v>
      </c>
      <c r="O80" s="75" t="s">
        <v>687</v>
      </c>
      <c r="P80" s="75" t="s">
        <v>688</v>
      </c>
      <c r="Q80" s="80">
        <v>0.03</v>
      </c>
      <c r="R80" s="103" t="s">
        <v>684</v>
      </c>
      <c r="S80" s="75" t="s">
        <v>687</v>
      </c>
      <c r="T80" s="75" t="s">
        <v>623</v>
      </c>
      <c r="U80" s="75">
        <v>3</v>
      </c>
      <c r="V80" s="75">
        <v>1</v>
      </c>
      <c r="W80" s="75" t="s">
        <v>689</v>
      </c>
      <c r="X80" s="75" t="s">
        <v>626</v>
      </c>
      <c r="Y80" s="75" t="s">
        <v>626</v>
      </c>
      <c r="AA80" s="75" t="s">
        <v>630</v>
      </c>
      <c r="AD80" s="75" t="s">
        <v>629</v>
      </c>
      <c r="AE80" s="75">
        <v>1</v>
      </c>
      <c r="AG80" s="75">
        <v>2</v>
      </c>
      <c r="AH80" s="75">
        <v>19</v>
      </c>
      <c r="AI80" s="75">
        <v>19</v>
      </c>
      <c r="AJ80" s="75">
        <v>19</v>
      </c>
      <c r="AK80" s="75">
        <v>2</v>
      </c>
      <c r="AL80" s="75">
        <v>1</v>
      </c>
      <c r="AM80" s="75">
        <v>0</v>
      </c>
    </row>
    <row r="81" spans="1:39">
      <c r="A81" s="98" t="s">
        <v>593</v>
      </c>
      <c r="B81" s="75" t="s">
        <v>615</v>
      </c>
      <c r="C81" s="75" t="s">
        <v>662</v>
      </c>
      <c r="D81" s="75" t="s">
        <v>617</v>
      </c>
      <c r="E81" s="80">
        <v>1</v>
      </c>
      <c r="F81" s="80">
        <v>1</v>
      </c>
      <c r="G81" s="75" t="s">
        <v>682</v>
      </c>
      <c r="H81" s="99">
        <v>1</v>
      </c>
      <c r="I81" s="273">
        <v>1</v>
      </c>
      <c r="J81" s="99">
        <v>1</v>
      </c>
      <c r="K81" s="99">
        <v>0</v>
      </c>
      <c r="L81" s="99">
        <v>1</v>
      </c>
      <c r="M81" s="100">
        <v>1</v>
      </c>
      <c r="N81" s="101">
        <v>0</v>
      </c>
      <c r="O81" s="75" t="s">
        <v>687</v>
      </c>
      <c r="P81" s="75" t="s">
        <v>688</v>
      </c>
      <c r="Q81" s="80">
        <v>0.04</v>
      </c>
      <c r="R81" s="103" t="s">
        <v>684</v>
      </c>
      <c r="S81" s="75" t="s">
        <v>687</v>
      </c>
      <c r="T81" s="75" t="s">
        <v>623</v>
      </c>
      <c r="U81" s="75">
        <v>4</v>
      </c>
      <c r="V81" s="75">
        <v>0</v>
      </c>
      <c r="W81" s="75" t="s">
        <v>689</v>
      </c>
      <c r="X81" s="75" t="s">
        <v>626</v>
      </c>
      <c r="Y81" s="75" t="s">
        <v>626</v>
      </c>
      <c r="AA81" s="75" t="s">
        <v>630</v>
      </c>
      <c r="AD81" s="75" t="s">
        <v>629</v>
      </c>
      <c r="AE81" s="75">
        <v>1</v>
      </c>
      <c r="AG81" s="75">
        <v>2</v>
      </c>
      <c r="AH81" s="75">
        <v>20</v>
      </c>
      <c r="AI81" s="75">
        <v>20</v>
      </c>
      <c r="AJ81" s="75">
        <v>20</v>
      </c>
      <c r="AK81" s="75">
        <v>2</v>
      </c>
      <c r="AL81" s="75">
        <v>1</v>
      </c>
      <c r="AM81" s="75">
        <v>0</v>
      </c>
    </row>
    <row r="82" spans="1:39">
      <c r="A82" s="98" t="s">
        <v>594</v>
      </c>
      <c r="B82" s="75" t="s">
        <v>615</v>
      </c>
      <c r="C82" s="75" t="s">
        <v>662</v>
      </c>
      <c r="D82" s="75" t="s">
        <v>617</v>
      </c>
      <c r="E82" s="80">
        <v>1</v>
      </c>
      <c r="F82" s="80">
        <v>1</v>
      </c>
      <c r="G82" s="75" t="s">
        <v>682</v>
      </c>
      <c r="H82" s="99">
        <v>1</v>
      </c>
      <c r="I82" s="273">
        <v>1</v>
      </c>
      <c r="J82" s="99">
        <v>1</v>
      </c>
      <c r="K82" s="99">
        <v>0</v>
      </c>
      <c r="L82" s="99">
        <v>2</v>
      </c>
      <c r="M82" s="100">
        <v>1</v>
      </c>
      <c r="N82" s="101">
        <v>0</v>
      </c>
      <c r="O82" s="75" t="s">
        <v>678</v>
      </c>
      <c r="P82" s="75" t="s">
        <v>690</v>
      </c>
      <c r="Q82" s="80">
        <v>0.03</v>
      </c>
      <c r="R82" s="103" t="s">
        <v>684</v>
      </c>
      <c r="S82" s="75" t="s">
        <v>678</v>
      </c>
      <c r="T82" s="75" t="s">
        <v>623</v>
      </c>
      <c r="U82" s="75">
        <v>3</v>
      </c>
      <c r="V82" s="75">
        <v>1</v>
      </c>
      <c r="W82" s="75" t="s">
        <v>681</v>
      </c>
      <c r="X82" s="75" t="s">
        <v>626</v>
      </c>
      <c r="Y82" s="75" t="s">
        <v>626</v>
      </c>
      <c r="AA82" s="75" t="s">
        <v>626</v>
      </c>
      <c r="AB82" s="75" t="s">
        <v>691</v>
      </c>
      <c r="AC82" s="75" t="s">
        <v>678</v>
      </c>
      <c r="AD82" s="75" t="s">
        <v>629</v>
      </c>
      <c r="AE82" s="75">
        <v>1</v>
      </c>
      <c r="AG82" s="75">
        <v>1</v>
      </c>
      <c r="AH82" s="75">
        <v>4</v>
      </c>
      <c r="AI82" s="75">
        <v>4</v>
      </c>
      <c r="AJ82" s="75">
        <v>4</v>
      </c>
      <c r="AK82" s="75">
        <v>4</v>
      </c>
      <c r="AL82" s="75">
        <v>2</v>
      </c>
      <c r="AM82" s="75">
        <v>0</v>
      </c>
    </row>
    <row r="83" spans="1:39">
      <c r="A83" s="98" t="s">
        <v>539</v>
      </c>
      <c r="B83" s="75" t="s">
        <v>615</v>
      </c>
      <c r="C83" s="75" t="s">
        <v>662</v>
      </c>
      <c r="D83" s="75" t="s">
        <v>617</v>
      </c>
      <c r="E83" s="80">
        <v>2</v>
      </c>
      <c r="F83" s="80">
        <v>1</v>
      </c>
      <c r="G83" s="75" t="s">
        <v>677</v>
      </c>
      <c r="H83" s="99">
        <v>1</v>
      </c>
      <c r="I83" s="273">
        <v>3</v>
      </c>
      <c r="J83" s="99">
        <v>1</v>
      </c>
      <c r="K83" s="99">
        <v>0</v>
      </c>
      <c r="L83" s="99">
        <v>2</v>
      </c>
      <c r="M83" s="100">
        <v>1</v>
      </c>
      <c r="N83" s="101">
        <v>0</v>
      </c>
      <c r="O83" s="75" t="s">
        <v>678</v>
      </c>
      <c r="P83" s="75" t="s">
        <v>692</v>
      </c>
      <c r="Q83" s="80">
        <v>4.4999999999999998E-2</v>
      </c>
      <c r="R83" s="103" t="s">
        <v>680</v>
      </c>
      <c r="S83" s="75" t="s">
        <v>678</v>
      </c>
      <c r="T83" s="75" t="s">
        <v>623</v>
      </c>
      <c r="U83" s="75">
        <v>4</v>
      </c>
      <c r="V83" s="75">
        <v>0</v>
      </c>
      <c r="W83" s="75" t="s">
        <v>681</v>
      </c>
      <c r="X83" s="75" t="s">
        <v>626</v>
      </c>
      <c r="Y83" s="75" t="s">
        <v>626</v>
      </c>
      <c r="AA83" s="75" t="s">
        <v>630</v>
      </c>
      <c r="AB83" s="75" t="s">
        <v>691</v>
      </c>
      <c r="AC83" s="75" t="s">
        <v>678</v>
      </c>
      <c r="AD83" s="75" t="s">
        <v>629</v>
      </c>
      <c r="AE83" s="75">
        <v>1</v>
      </c>
      <c r="AG83" s="75">
        <v>1</v>
      </c>
      <c r="AH83" s="75">
        <v>5</v>
      </c>
      <c r="AI83" s="75">
        <v>5</v>
      </c>
      <c r="AJ83" s="75">
        <v>5</v>
      </c>
      <c r="AK83" s="75">
        <v>6</v>
      </c>
      <c r="AL83" s="75">
        <v>2</v>
      </c>
      <c r="AM83" s="75">
        <v>0</v>
      </c>
    </row>
    <row r="84" spans="1:39">
      <c r="A84" s="98" t="s">
        <v>595</v>
      </c>
      <c r="B84" s="75" t="s">
        <v>615</v>
      </c>
      <c r="C84" s="75" t="s">
        <v>662</v>
      </c>
      <c r="D84" s="75" t="s">
        <v>617</v>
      </c>
      <c r="E84" s="80">
        <v>1</v>
      </c>
      <c r="F84" s="80">
        <v>1</v>
      </c>
      <c r="G84" s="75" t="s">
        <v>682</v>
      </c>
      <c r="H84" s="99">
        <v>1</v>
      </c>
      <c r="I84" s="273">
        <v>1</v>
      </c>
      <c r="J84" s="99">
        <v>1</v>
      </c>
      <c r="K84" s="99">
        <v>0</v>
      </c>
      <c r="L84" s="99">
        <v>1</v>
      </c>
      <c r="M84" s="100">
        <v>1</v>
      </c>
      <c r="N84" s="101">
        <v>0</v>
      </c>
      <c r="O84" s="75" t="s">
        <v>678</v>
      </c>
      <c r="P84" s="75" t="s">
        <v>693</v>
      </c>
      <c r="Q84" s="80" t="s">
        <v>694</v>
      </c>
      <c r="R84" s="103" t="s">
        <v>684</v>
      </c>
      <c r="S84" s="75" t="s">
        <v>678</v>
      </c>
      <c r="T84" s="75" t="s">
        <v>623</v>
      </c>
      <c r="U84" s="75" t="s">
        <v>695</v>
      </c>
      <c r="V84" s="75">
        <v>0.5</v>
      </c>
      <c r="W84" s="75" t="s">
        <v>681</v>
      </c>
      <c r="X84" s="75" t="s">
        <v>626</v>
      </c>
      <c r="Y84" s="75" t="s">
        <v>626</v>
      </c>
      <c r="AA84" s="75" t="s">
        <v>630</v>
      </c>
      <c r="AB84" s="75" t="s">
        <v>691</v>
      </c>
      <c r="AC84" s="75" t="s">
        <v>678</v>
      </c>
      <c r="AD84" s="75" t="s">
        <v>629</v>
      </c>
      <c r="AE84" s="75">
        <v>1</v>
      </c>
      <c r="AG84" s="75">
        <v>1</v>
      </c>
      <c r="AH84" s="75">
        <v>6</v>
      </c>
      <c r="AI84" s="75">
        <v>6</v>
      </c>
      <c r="AJ84" s="75">
        <v>6</v>
      </c>
      <c r="AK84" s="75">
        <v>2</v>
      </c>
      <c r="AL84" s="75">
        <v>1</v>
      </c>
      <c r="AM84" s="75">
        <v>0</v>
      </c>
    </row>
    <row r="85" spans="1:39">
      <c r="A85" s="98" t="s">
        <v>596</v>
      </c>
      <c r="B85" s="75" t="s">
        <v>615</v>
      </c>
      <c r="C85" s="75" t="s">
        <v>662</v>
      </c>
      <c r="D85" s="75" t="s">
        <v>617</v>
      </c>
      <c r="E85" s="80">
        <v>1</v>
      </c>
      <c r="F85" s="80">
        <v>1</v>
      </c>
      <c r="G85" s="75" t="s">
        <v>682</v>
      </c>
      <c r="H85" s="99">
        <v>1</v>
      </c>
      <c r="I85" s="273">
        <v>1</v>
      </c>
      <c r="J85" s="99">
        <v>1</v>
      </c>
      <c r="K85" s="99">
        <v>0</v>
      </c>
      <c r="L85" s="99">
        <v>2</v>
      </c>
      <c r="M85" s="100">
        <v>1</v>
      </c>
      <c r="N85" s="101">
        <v>0</v>
      </c>
      <c r="O85" s="75" t="s">
        <v>678</v>
      </c>
      <c r="P85" s="75" t="s">
        <v>696</v>
      </c>
      <c r="Q85" s="80">
        <v>0.03</v>
      </c>
      <c r="R85" s="103" t="s">
        <v>684</v>
      </c>
      <c r="S85" s="75" t="s">
        <v>678</v>
      </c>
      <c r="T85" s="75" t="s">
        <v>623</v>
      </c>
      <c r="U85" s="75">
        <v>3</v>
      </c>
      <c r="V85" s="75">
        <v>1</v>
      </c>
      <c r="W85" s="75" t="s">
        <v>681</v>
      </c>
      <c r="X85" s="75" t="s">
        <v>626</v>
      </c>
      <c r="Y85" s="75" t="s">
        <v>626</v>
      </c>
      <c r="AA85" s="75" t="s">
        <v>626</v>
      </c>
      <c r="AB85" s="75" t="s">
        <v>691</v>
      </c>
      <c r="AC85" s="75" t="s">
        <v>678</v>
      </c>
      <c r="AD85" s="75" t="s">
        <v>629</v>
      </c>
      <c r="AE85" s="75">
        <v>1</v>
      </c>
      <c r="AG85" s="75">
        <v>1</v>
      </c>
      <c r="AH85" s="75">
        <v>7</v>
      </c>
      <c r="AI85" s="75">
        <v>7</v>
      </c>
      <c r="AJ85" s="75">
        <v>7</v>
      </c>
      <c r="AK85" s="75">
        <v>4</v>
      </c>
      <c r="AL85" s="75">
        <v>2</v>
      </c>
      <c r="AM85" s="75">
        <v>0</v>
      </c>
    </row>
    <row r="86" spans="1:39">
      <c r="A86" s="98" t="s">
        <v>540</v>
      </c>
      <c r="B86" s="75" t="s">
        <v>615</v>
      </c>
      <c r="C86" s="75" t="s">
        <v>662</v>
      </c>
      <c r="D86" s="75" t="s">
        <v>617</v>
      </c>
      <c r="E86" s="80">
        <v>2</v>
      </c>
      <c r="F86" s="80">
        <v>1</v>
      </c>
      <c r="G86" s="75" t="s">
        <v>677</v>
      </c>
      <c r="H86" s="99">
        <v>1</v>
      </c>
      <c r="I86" s="273">
        <v>3</v>
      </c>
      <c r="J86" s="99">
        <v>1</v>
      </c>
      <c r="K86" s="99">
        <v>0</v>
      </c>
      <c r="L86" s="99">
        <v>1</v>
      </c>
      <c r="M86" s="100">
        <v>1</v>
      </c>
      <c r="N86" s="101">
        <v>0</v>
      </c>
      <c r="O86" s="75" t="s">
        <v>678</v>
      </c>
      <c r="P86" s="75" t="s">
        <v>697</v>
      </c>
      <c r="Q86" s="80">
        <v>0.03</v>
      </c>
      <c r="R86" s="103" t="s">
        <v>680</v>
      </c>
      <c r="S86" s="75" t="s">
        <v>678</v>
      </c>
      <c r="T86" s="75" t="s">
        <v>623</v>
      </c>
      <c r="U86" s="75">
        <v>3</v>
      </c>
      <c r="V86" s="75">
        <v>1</v>
      </c>
      <c r="W86" s="75" t="s">
        <v>681</v>
      </c>
      <c r="X86" s="75" t="s">
        <v>626</v>
      </c>
      <c r="Y86" s="75" t="s">
        <v>626</v>
      </c>
      <c r="AA86" s="75" t="s">
        <v>626</v>
      </c>
      <c r="AB86" s="75" t="s">
        <v>691</v>
      </c>
      <c r="AC86" s="75" t="s">
        <v>678</v>
      </c>
      <c r="AD86" s="75" t="s">
        <v>629</v>
      </c>
      <c r="AE86" s="75">
        <v>1</v>
      </c>
      <c r="AG86" s="75">
        <v>1</v>
      </c>
      <c r="AH86" s="75">
        <v>8</v>
      </c>
      <c r="AI86" s="75">
        <v>8</v>
      </c>
      <c r="AJ86" s="75">
        <v>8</v>
      </c>
      <c r="AK86" s="75">
        <v>5</v>
      </c>
      <c r="AL86" s="75">
        <v>1</v>
      </c>
      <c r="AM86" s="75">
        <v>0</v>
      </c>
    </row>
    <row r="87" spans="1:39">
      <c r="A87" s="98" t="s">
        <v>541</v>
      </c>
      <c r="B87" s="75" t="s">
        <v>615</v>
      </c>
      <c r="C87" s="75" t="s">
        <v>662</v>
      </c>
      <c r="D87" s="75" t="s">
        <v>617</v>
      </c>
      <c r="E87" s="80">
        <v>2</v>
      </c>
      <c r="F87" s="80">
        <v>1</v>
      </c>
      <c r="G87" s="75" t="s">
        <v>677</v>
      </c>
      <c r="H87" s="99">
        <v>1</v>
      </c>
      <c r="I87" s="273">
        <v>3</v>
      </c>
      <c r="J87" s="99">
        <v>1</v>
      </c>
      <c r="K87" s="99">
        <v>0</v>
      </c>
      <c r="L87" s="99">
        <v>2</v>
      </c>
      <c r="M87" s="100">
        <v>1</v>
      </c>
      <c r="N87" s="101">
        <v>0</v>
      </c>
      <c r="O87" s="75" t="s">
        <v>678</v>
      </c>
      <c r="P87" s="75" t="s">
        <v>697</v>
      </c>
      <c r="Q87" s="80">
        <v>0.03</v>
      </c>
      <c r="R87" s="103" t="s">
        <v>680</v>
      </c>
      <c r="S87" s="75" t="s">
        <v>678</v>
      </c>
      <c r="T87" s="75" t="s">
        <v>623</v>
      </c>
      <c r="U87" s="75">
        <v>3</v>
      </c>
      <c r="V87" s="75">
        <v>1</v>
      </c>
      <c r="W87" s="75" t="s">
        <v>681</v>
      </c>
      <c r="X87" s="75" t="s">
        <v>626</v>
      </c>
      <c r="Y87" s="75" t="s">
        <v>626</v>
      </c>
      <c r="AA87" s="75" t="s">
        <v>626</v>
      </c>
      <c r="AB87" s="75" t="s">
        <v>691</v>
      </c>
      <c r="AC87" s="75" t="s">
        <v>678</v>
      </c>
      <c r="AD87" s="75" t="s">
        <v>629</v>
      </c>
      <c r="AE87" s="75">
        <v>1</v>
      </c>
      <c r="AG87" s="75">
        <v>1</v>
      </c>
      <c r="AH87" s="75">
        <v>9</v>
      </c>
      <c r="AI87" s="75">
        <v>9</v>
      </c>
      <c r="AJ87" s="75">
        <v>9</v>
      </c>
      <c r="AK87" s="75">
        <v>6</v>
      </c>
      <c r="AL87" s="75">
        <v>2</v>
      </c>
      <c r="AM87" s="75">
        <v>0</v>
      </c>
    </row>
    <row r="88" spans="1:39">
      <c r="A88" s="98" t="s">
        <v>542</v>
      </c>
      <c r="B88" s="75" t="s">
        <v>615</v>
      </c>
      <c r="C88" s="75" t="s">
        <v>662</v>
      </c>
      <c r="D88" s="75" t="s">
        <v>617</v>
      </c>
      <c r="E88" s="80">
        <v>2</v>
      </c>
      <c r="F88" s="80">
        <v>1</v>
      </c>
      <c r="G88" s="75" t="s">
        <v>677</v>
      </c>
      <c r="H88" s="99">
        <v>1</v>
      </c>
      <c r="I88" s="273">
        <v>3</v>
      </c>
      <c r="J88" s="99">
        <v>1</v>
      </c>
      <c r="K88" s="99">
        <v>0</v>
      </c>
      <c r="L88" s="99">
        <v>2</v>
      </c>
      <c r="M88" s="100">
        <v>1</v>
      </c>
      <c r="N88" s="101">
        <v>0</v>
      </c>
      <c r="O88" s="75" t="s">
        <v>698</v>
      </c>
      <c r="P88" s="75" t="s">
        <v>699</v>
      </c>
      <c r="Q88" s="80" t="s">
        <v>700</v>
      </c>
      <c r="R88" s="103" t="s">
        <v>680</v>
      </c>
      <c r="S88" s="75" t="s">
        <v>698</v>
      </c>
      <c r="T88" s="75" t="s">
        <v>623</v>
      </c>
      <c r="U88" s="75"/>
      <c r="V88" s="75"/>
      <c r="W88" s="75" t="s">
        <v>701</v>
      </c>
      <c r="X88" s="75" t="s">
        <v>626</v>
      </c>
      <c r="Y88" s="75" t="s">
        <v>626</v>
      </c>
      <c r="AA88" s="75" t="s">
        <v>630</v>
      </c>
      <c r="AD88" s="75" t="s">
        <v>629</v>
      </c>
      <c r="AE88" s="75">
        <v>1</v>
      </c>
      <c r="AG88" s="75">
        <v>3</v>
      </c>
      <c r="AH88" s="75">
        <v>26</v>
      </c>
      <c r="AI88" s="75">
        <v>26</v>
      </c>
      <c r="AJ88" s="75">
        <v>26</v>
      </c>
      <c r="AK88" s="75">
        <v>6</v>
      </c>
      <c r="AL88" s="75">
        <v>2</v>
      </c>
      <c r="AM88" s="75">
        <v>0</v>
      </c>
    </row>
    <row r="89" spans="1:39">
      <c r="A89" s="98" t="s">
        <v>597</v>
      </c>
      <c r="B89" s="75" t="s">
        <v>615</v>
      </c>
      <c r="C89" s="75" t="s">
        <v>662</v>
      </c>
      <c r="D89" s="75" t="s">
        <v>617</v>
      </c>
      <c r="E89" s="80">
        <v>1</v>
      </c>
      <c r="F89" s="80">
        <v>1</v>
      </c>
      <c r="G89" s="75" t="s">
        <v>682</v>
      </c>
      <c r="H89" s="99">
        <v>1</v>
      </c>
      <c r="I89" s="273">
        <v>1</v>
      </c>
      <c r="J89" s="99">
        <v>1</v>
      </c>
      <c r="K89" s="99">
        <v>0</v>
      </c>
      <c r="L89" s="99">
        <v>2</v>
      </c>
      <c r="M89" s="100">
        <v>1</v>
      </c>
      <c r="N89" s="101">
        <v>0</v>
      </c>
      <c r="O89" s="75" t="s">
        <v>698</v>
      </c>
      <c r="P89" s="75" t="s">
        <v>702</v>
      </c>
      <c r="Q89" s="80">
        <v>0.04</v>
      </c>
      <c r="R89" s="103" t="s">
        <v>684</v>
      </c>
      <c r="S89" s="75" t="s">
        <v>698</v>
      </c>
      <c r="T89" s="75" t="s">
        <v>623</v>
      </c>
      <c r="U89" s="75"/>
      <c r="V89" s="75"/>
      <c r="W89" s="75" t="s">
        <v>701</v>
      </c>
      <c r="X89" s="75" t="s">
        <v>626</v>
      </c>
      <c r="Y89" s="75" t="s">
        <v>626</v>
      </c>
      <c r="AA89" s="75" t="s">
        <v>630</v>
      </c>
      <c r="AB89" s="75" t="s">
        <v>691</v>
      </c>
      <c r="AC89" s="75" t="s">
        <v>678</v>
      </c>
      <c r="AD89" s="75" t="s">
        <v>703</v>
      </c>
      <c r="AE89" s="75">
        <v>1</v>
      </c>
      <c r="AG89" s="75">
        <v>3</v>
      </c>
      <c r="AH89" s="75">
        <v>27</v>
      </c>
      <c r="AI89" s="75">
        <v>27</v>
      </c>
      <c r="AJ89" s="75">
        <v>27</v>
      </c>
      <c r="AK89" s="75">
        <v>3</v>
      </c>
      <c r="AL89" s="75">
        <v>2</v>
      </c>
      <c r="AM89" s="75">
        <v>0</v>
      </c>
    </row>
    <row r="90" spans="1:39">
      <c r="A90" s="98" t="s">
        <v>598</v>
      </c>
      <c r="B90" s="75" t="s">
        <v>615</v>
      </c>
      <c r="C90" s="75" t="s">
        <v>662</v>
      </c>
      <c r="D90" s="75" t="s">
        <v>617</v>
      </c>
      <c r="E90" s="80">
        <v>1</v>
      </c>
      <c r="F90" s="80">
        <v>1</v>
      </c>
      <c r="G90" s="75" t="s">
        <v>682</v>
      </c>
      <c r="H90" s="99">
        <v>1</v>
      </c>
      <c r="I90" s="273">
        <v>1</v>
      </c>
      <c r="J90" s="99">
        <v>1</v>
      </c>
      <c r="K90" s="99">
        <v>0</v>
      </c>
      <c r="L90" s="99">
        <v>1</v>
      </c>
      <c r="M90" s="100">
        <v>1</v>
      </c>
      <c r="N90" s="101">
        <v>0</v>
      </c>
      <c r="O90" s="75" t="s">
        <v>687</v>
      </c>
      <c r="P90" s="75" t="s">
        <v>704</v>
      </c>
      <c r="Q90" s="80">
        <v>0.04</v>
      </c>
      <c r="R90" s="103" t="s">
        <v>684</v>
      </c>
      <c r="S90" s="75" t="s">
        <v>687</v>
      </c>
      <c r="T90" s="75" t="s">
        <v>623</v>
      </c>
      <c r="U90" s="75">
        <v>4</v>
      </c>
      <c r="V90" s="75">
        <v>0</v>
      </c>
      <c r="W90" s="75" t="s">
        <v>689</v>
      </c>
      <c r="X90" s="75" t="s">
        <v>626</v>
      </c>
      <c r="Y90" s="75" t="s">
        <v>626</v>
      </c>
      <c r="AA90" s="75" t="s">
        <v>630</v>
      </c>
      <c r="AD90" s="75" t="s">
        <v>629</v>
      </c>
      <c r="AE90" s="75">
        <v>1</v>
      </c>
      <c r="AG90" s="75">
        <v>2</v>
      </c>
      <c r="AH90" s="75">
        <v>21</v>
      </c>
      <c r="AI90" s="75">
        <v>21</v>
      </c>
      <c r="AJ90" s="75">
        <v>21</v>
      </c>
      <c r="AK90" s="75">
        <v>2</v>
      </c>
      <c r="AL90" s="75">
        <v>1</v>
      </c>
      <c r="AM90" s="75">
        <v>0</v>
      </c>
    </row>
    <row r="91" spans="1:39" s="118" customFormat="1">
      <c r="A91" s="98" t="s">
        <v>599</v>
      </c>
      <c r="B91" s="75" t="s">
        <v>615</v>
      </c>
      <c r="C91" s="75" t="s">
        <v>662</v>
      </c>
      <c r="D91" s="75" t="s">
        <v>617</v>
      </c>
      <c r="E91" s="80">
        <v>1</v>
      </c>
      <c r="F91" s="80">
        <v>1</v>
      </c>
      <c r="G91" s="75" t="s">
        <v>682</v>
      </c>
      <c r="H91" s="99">
        <v>1</v>
      </c>
      <c r="I91" s="273">
        <v>1</v>
      </c>
      <c r="J91" s="99">
        <v>1</v>
      </c>
      <c r="K91" s="99">
        <v>0</v>
      </c>
      <c r="L91" s="99">
        <v>2</v>
      </c>
      <c r="M91" s="100">
        <v>1</v>
      </c>
      <c r="N91" s="101">
        <v>0</v>
      </c>
      <c r="O91" s="75" t="s">
        <v>678</v>
      </c>
      <c r="P91" s="75" t="s">
        <v>705</v>
      </c>
      <c r="Q91" s="80" t="s">
        <v>706</v>
      </c>
      <c r="R91" s="103" t="s">
        <v>684</v>
      </c>
      <c r="S91" s="75" t="s">
        <v>678</v>
      </c>
      <c r="T91" s="75" t="s">
        <v>623</v>
      </c>
      <c r="U91" s="75" t="s">
        <v>707</v>
      </c>
      <c r="V91" s="75">
        <v>0.81</v>
      </c>
      <c r="W91" s="75" t="s">
        <v>681</v>
      </c>
      <c r="X91" s="75" t="s">
        <v>626</v>
      </c>
      <c r="Y91" s="75" t="s">
        <v>626</v>
      </c>
      <c r="Z91" s="75"/>
      <c r="AA91" s="75" t="s">
        <v>626</v>
      </c>
      <c r="AB91" s="75" t="s">
        <v>691</v>
      </c>
      <c r="AC91" s="75" t="s">
        <v>678</v>
      </c>
      <c r="AD91" s="75" t="s">
        <v>629</v>
      </c>
      <c r="AE91" s="118">
        <v>1</v>
      </c>
      <c r="AG91" s="118">
        <v>1</v>
      </c>
      <c r="AH91" s="118">
        <v>10</v>
      </c>
      <c r="AI91" s="118">
        <v>10</v>
      </c>
      <c r="AJ91" s="118">
        <v>10</v>
      </c>
      <c r="AK91" s="118">
        <v>4</v>
      </c>
      <c r="AL91" s="118">
        <v>2</v>
      </c>
      <c r="AM91" s="118">
        <v>0</v>
      </c>
    </row>
    <row r="92" spans="1:39">
      <c r="A92" s="98" t="s">
        <v>543</v>
      </c>
      <c r="B92" s="75" t="s">
        <v>615</v>
      </c>
      <c r="C92" s="75" t="s">
        <v>662</v>
      </c>
      <c r="D92" s="75" t="s">
        <v>617</v>
      </c>
      <c r="E92" s="80">
        <v>2</v>
      </c>
      <c r="F92" s="80">
        <v>1</v>
      </c>
      <c r="G92" s="75" t="s">
        <v>677</v>
      </c>
      <c r="H92" s="99">
        <v>1</v>
      </c>
      <c r="I92" s="273">
        <v>3</v>
      </c>
      <c r="J92" s="99">
        <v>1</v>
      </c>
      <c r="K92" s="99">
        <v>0</v>
      </c>
      <c r="L92" s="99">
        <v>1</v>
      </c>
      <c r="M92" s="100">
        <v>1</v>
      </c>
      <c r="N92" s="101">
        <v>0</v>
      </c>
      <c r="O92" s="75" t="s">
        <v>678</v>
      </c>
      <c r="P92" s="75" t="s">
        <v>708</v>
      </c>
      <c r="Q92" s="80">
        <v>0.03</v>
      </c>
      <c r="R92" s="103" t="s">
        <v>680</v>
      </c>
      <c r="S92" s="75" t="s">
        <v>678</v>
      </c>
      <c r="T92" s="75" t="s">
        <v>623</v>
      </c>
      <c r="U92" s="75">
        <v>0.03</v>
      </c>
      <c r="V92" s="75">
        <v>1</v>
      </c>
      <c r="W92" s="75" t="s">
        <v>681</v>
      </c>
      <c r="X92" s="75" t="s">
        <v>626</v>
      </c>
      <c r="Y92" s="75" t="s">
        <v>626</v>
      </c>
      <c r="AA92" s="75" t="s">
        <v>630</v>
      </c>
      <c r="AB92" s="75" t="s">
        <v>691</v>
      </c>
      <c r="AC92" s="75" t="s">
        <v>678</v>
      </c>
      <c r="AD92" s="75" t="s">
        <v>629</v>
      </c>
      <c r="AE92" s="75">
        <v>1</v>
      </c>
      <c r="AG92" s="75">
        <v>1</v>
      </c>
      <c r="AH92" s="75">
        <v>11</v>
      </c>
      <c r="AI92" s="75">
        <v>11</v>
      </c>
      <c r="AJ92" s="75">
        <v>11</v>
      </c>
      <c r="AK92" s="75">
        <v>5</v>
      </c>
      <c r="AL92" s="75">
        <v>2</v>
      </c>
      <c r="AM92" s="75">
        <v>0</v>
      </c>
    </row>
    <row r="93" spans="1:39">
      <c r="A93" s="98" t="s">
        <v>544</v>
      </c>
      <c r="B93" s="75" t="s">
        <v>615</v>
      </c>
      <c r="C93" s="75" t="s">
        <v>662</v>
      </c>
      <c r="D93" s="75" t="s">
        <v>617</v>
      </c>
      <c r="E93" s="80">
        <v>2</v>
      </c>
      <c r="F93" s="80">
        <v>1</v>
      </c>
      <c r="G93" s="75" t="s">
        <v>677</v>
      </c>
      <c r="H93" s="99">
        <v>1</v>
      </c>
      <c r="I93" s="273">
        <v>3</v>
      </c>
      <c r="J93" s="99">
        <v>1</v>
      </c>
      <c r="K93" s="99">
        <v>0</v>
      </c>
      <c r="L93" s="99">
        <v>2</v>
      </c>
      <c r="M93" s="100">
        <v>1</v>
      </c>
      <c r="N93" s="101">
        <v>0</v>
      </c>
      <c r="O93" s="75" t="s">
        <v>678</v>
      </c>
      <c r="P93" s="75" t="s">
        <v>708</v>
      </c>
      <c r="Q93" s="80">
        <v>0.03</v>
      </c>
      <c r="R93" s="103" t="s">
        <v>680</v>
      </c>
      <c r="S93" s="75" t="s">
        <v>678</v>
      </c>
      <c r="T93" s="75" t="s">
        <v>623</v>
      </c>
      <c r="U93" s="75">
        <v>0.03</v>
      </c>
      <c r="V93" s="75">
        <v>1</v>
      </c>
      <c r="W93" s="75" t="s">
        <v>681</v>
      </c>
      <c r="X93" s="75" t="s">
        <v>626</v>
      </c>
      <c r="Y93" s="75" t="s">
        <v>626</v>
      </c>
      <c r="AA93" s="75" t="s">
        <v>630</v>
      </c>
      <c r="AB93" s="75" t="s">
        <v>691</v>
      </c>
      <c r="AC93" s="75" t="s">
        <v>678</v>
      </c>
      <c r="AD93" s="75" t="s">
        <v>629</v>
      </c>
      <c r="AE93" s="75">
        <v>1</v>
      </c>
      <c r="AG93" s="75">
        <v>1</v>
      </c>
      <c r="AH93" s="75">
        <v>12</v>
      </c>
      <c r="AI93" s="75">
        <v>12</v>
      </c>
      <c r="AJ93" s="75">
        <v>12</v>
      </c>
      <c r="AK93" s="75">
        <v>6</v>
      </c>
      <c r="AL93" s="75">
        <v>2</v>
      </c>
      <c r="AM93" s="75">
        <v>0</v>
      </c>
    </row>
    <row r="94" spans="1:39">
      <c r="A94" s="98" t="s">
        <v>545</v>
      </c>
      <c r="B94" s="75" t="s">
        <v>615</v>
      </c>
      <c r="C94" s="75" t="s">
        <v>662</v>
      </c>
      <c r="D94" s="75" t="s">
        <v>617</v>
      </c>
      <c r="E94" s="80">
        <v>2</v>
      </c>
      <c r="F94" s="80">
        <v>1</v>
      </c>
      <c r="G94" s="75" t="s">
        <v>677</v>
      </c>
      <c r="H94" s="99">
        <v>1</v>
      </c>
      <c r="I94" s="273">
        <v>3</v>
      </c>
      <c r="J94" s="99">
        <v>1</v>
      </c>
      <c r="K94" s="99">
        <v>0</v>
      </c>
      <c r="L94" s="99">
        <v>1</v>
      </c>
      <c r="M94" s="100">
        <v>1</v>
      </c>
      <c r="N94" s="101">
        <v>0</v>
      </c>
      <c r="O94" s="75" t="s">
        <v>687</v>
      </c>
      <c r="P94" s="75" t="s">
        <v>632</v>
      </c>
      <c r="Q94" s="80" t="s">
        <v>637</v>
      </c>
      <c r="R94" s="103" t="s">
        <v>680</v>
      </c>
      <c r="S94" s="75" t="s">
        <v>687</v>
      </c>
      <c r="T94" s="75" t="s">
        <v>623</v>
      </c>
      <c r="U94" s="75" t="s">
        <v>709</v>
      </c>
      <c r="V94" s="75">
        <v>0.05</v>
      </c>
      <c r="W94" s="75" t="s">
        <v>689</v>
      </c>
      <c r="X94" s="75" t="s">
        <v>626</v>
      </c>
      <c r="Y94" s="75" t="s">
        <v>626</v>
      </c>
      <c r="AA94" s="75" t="s">
        <v>630</v>
      </c>
      <c r="AD94" s="75" t="s">
        <v>629</v>
      </c>
      <c r="AE94" s="75">
        <v>1</v>
      </c>
      <c r="AG94" s="75">
        <v>2</v>
      </c>
      <c r="AH94" s="75">
        <v>22</v>
      </c>
      <c r="AI94" s="75">
        <v>22</v>
      </c>
      <c r="AJ94" s="75">
        <v>22</v>
      </c>
      <c r="AK94" s="75">
        <v>5</v>
      </c>
      <c r="AL94" s="75">
        <v>1</v>
      </c>
      <c r="AM94" s="75">
        <v>0</v>
      </c>
    </row>
    <row r="95" spans="1:39">
      <c r="A95" s="98" t="s">
        <v>546</v>
      </c>
      <c r="B95" s="75" t="s">
        <v>615</v>
      </c>
      <c r="C95" s="75" t="s">
        <v>662</v>
      </c>
      <c r="D95" s="75" t="s">
        <v>617</v>
      </c>
      <c r="E95" s="80">
        <v>2</v>
      </c>
      <c r="F95" s="80">
        <v>1</v>
      </c>
      <c r="G95" s="75" t="s">
        <v>677</v>
      </c>
      <c r="H95" s="99">
        <v>1</v>
      </c>
      <c r="I95" s="273">
        <v>3</v>
      </c>
      <c r="J95" s="99">
        <v>1</v>
      </c>
      <c r="K95" s="99">
        <v>0</v>
      </c>
      <c r="L95" s="99">
        <v>1</v>
      </c>
      <c r="M95" s="100">
        <v>1</v>
      </c>
      <c r="N95" s="101">
        <v>0</v>
      </c>
      <c r="O95" s="75" t="s">
        <v>678</v>
      </c>
      <c r="P95" s="75" t="s">
        <v>710</v>
      </c>
      <c r="R95" s="103" t="s">
        <v>680</v>
      </c>
      <c r="S95" s="75" t="s">
        <v>678</v>
      </c>
      <c r="T95" s="75" t="s">
        <v>623</v>
      </c>
      <c r="U95" s="75"/>
      <c r="V95" s="75"/>
      <c r="W95" s="75" t="s">
        <v>681</v>
      </c>
      <c r="X95" s="75" t="s">
        <v>626</v>
      </c>
      <c r="Y95" s="75" t="s">
        <v>626</v>
      </c>
      <c r="AA95" s="75" t="s">
        <v>626</v>
      </c>
      <c r="AB95" s="75" t="s">
        <v>691</v>
      </c>
      <c r="AC95" s="75" t="s">
        <v>678</v>
      </c>
      <c r="AD95" s="75" t="s">
        <v>629</v>
      </c>
      <c r="AE95" s="75">
        <v>1</v>
      </c>
      <c r="AG95" s="75">
        <v>1</v>
      </c>
      <c r="AH95" s="75">
        <v>13</v>
      </c>
      <c r="AI95" s="75">
        <v>13</v>
      </c>
      <c r="AJ95" s="75">
        <v>13</v>
      </c>
      <c r="AK95" s="75">
        <v>5</v>
      </c>
      <c r="AL95" s="75">
        <v>1</v>
      </c>
      <c r="AM95" s="75">
        <v>0</v>
      </c>
    </row>
    <row r="96" spans="1:39">
      <c r="A96" s="98" t="s">
        <v>547</v>
      </c>
      <c r="B96" s="75" t="s">
        <v>615</v>
      </c>
      <c r="C96" s="75" t="s">
        <v>662</v>
      </c>
      <c r="D96" s="75" t="s">
        <v>617</v>
      </c>
      <c r="E96" s="80">
        <v>2</v>
      </c>
      <c r="F96" s="80">
        <v>1</v>
      </c>
      <c r="G96" s="75" t="s">
        <v>677</v>
      </c>
      <c r="H96" s="99">
        <v>1</v>
      </c>
      <c r="I96" s="273">
        <v>3</v>
      </c>
      <c r="J96" s="99">
        <v>1</v>
      </c>
      <c r="K96" s="99">
        <v>0</v>
      </c>
      <c r="L96" s="99">
        <v>2</v>
      </c>
      <c r="M96" s="100">
        <v>1</v>
      </c>
      <c r="N96" s="101">
        <v>0</v>
      </c>
      <c r="O96" s="75" t="s">
        <v>678</v>
      </c>
      <c r="P96" s="75" t="s">
        <v>711</v>
      </c>
      <c r="R96" s="103" t="s">
        <v>680</v>
      </c>
      <c r="S96" s="75" t="s">
        <v>678</v>
      </c>
      <c r="T96" s="75" t="s">
        <v>623</v>
      </c>
      <c r="U96" s="75"/>
      <c r="V96" s="75"/>
      <c r="W96" s="75" t="s">
        <v>681</v>
      </c>
      <c r="X96" s="75" t="s">
        <v>626</v>
      </c>
      <c r="Y96" s="75" t="s">
        <v>626</v>
      </c>
      <c r="AA96" s="75" t="s">
        <v>626</v>
      </c>
      <c r="AB96" s="75" t="s">
        <v>691</v>
      </c>
      <c r="AC96" s="75" t="s">
        <v>678</v>
      </c>
      <c r="AD96" s="75" t="s">
        <v>629</v>
      </c>
      <c r="AE96" s="75">
        <v>1</v>
      </c>
      <c r="AG96" s="75">
        <v>1</v>
      </c>
      <c r="AH96" s="75">
        <v>14</v>
      </c>
      <c r="AI96" s="75">
        <v>14</v>
      </c>
      <c r="AJ96" s="75">
        <v>14</v>
      </c>
      <c r="AK96" s="75">
        <v>6</v>
      </c>
      <c r="AL96" s="75">
        <v>2</v>
      </c>
      <c r="AM96" s="75">
        <v>0</v>
      </c>
    </row>
    <row r="97" spans="1:39">
      <c r="A97" s="98" t="s">
        <v>549</v>
      </c>
      <c r="B97" s="75" t="s">
        <v>615</v>
      </c>
      <c r="C97" s="75" t="s">
        <v>662</v>
      </c>
      <c r="D97" s="75" t="s">
        <v>617</v>
      </c>
      <c r="E97" s="80">
        <v>2</v>
      </c>
      <c r="F97" s="80">
        <v>1</v>
      </c>
      <c r="G97" s="75" t="s">
        <v>677</v>
      </c>
      <c r="H97" s="99">
        <v>1</v>
      </c>
      <c r="I97" s="273">
        <v>3</v>
      </c>
      <c r="J97" s="99">
        <v>1</v>
      </c>
      <c r="K97" s="99">
        <v>0</v>
      </c>
      <c r="L97" s="99">
        <v>1</v>
      </c>
      <c r="M97" s="100">
        <v>1</v>
      </c>
      <c r="N97" s="101">
        <v>0</v>
      </c>
      <c r="O97" s="75" t="s">
        <v>650</v>
      </c>
      <c r="P97" s="75" t="s">
        <v>712</v>
      </c>
      <c r="Q97" s="80" t="s">
        <v>713</v>
      </c>
      <c r="R97" s="103" t="s">
        <v>714</v>
      </c>
      <c r="S97" s="75" t="s">
        <v>698</v>
      </c>
      <c r="T97" s="75" t="s">
        <v>623</v>
      </c>
      <c r="U97" s="75"/>
      <c r="V97" s="75"/>
      <c r="W97" s="75" t="s">
        <v>701</v>
      </c>
      <c r="X97" s="75" t="s">
        <v>626</v>
      </c>
      <c r="AA97" s="75" t="s">
        <v>630</v>
      </c>
      <c r="AD97" s="75" t="s">
        <v>629</v>
      </c>
      <c r="AE97" s="75">
        <v>1</v>
      </c>
      <c r="AG97" s="75">
        <v>3</v>
      </c>
      <c r="AH97" s="75">
        <v>28</v>
      </c>
      <c r="AI97" s="75">
        <v>28</v>
      </c>
      <c r="AJ97" s="75">
        <v>28</v>
      </c>
      <c r="AK97" s="75">
        <v>5</v>
      </c>
      <c r="AL97" s="75">
        <v>2</v>
      </c>
      <c r="AM97" s="75">
        <v>0</v>
      </c>
    </row>
    <row r="98" spans="1:39">
      <c r="A98" s="98" t="s">
        <v>601</v>
      </c>
      <c r="B98" s="75" t="s">
        <v>615</v>
      </c>
      <c r="C98" s="75" t="s">
        <v>662</v>
      </c>
      <c r="D98" s="75" t="s">
        <v>617</v>
      </c>
      <c r="E98" s="80">
        <v>1</v>
      </c>
      <c r="F98" s="80">
        <v>1</v>
      </c>
      <c r="G98" s="75" t="s">
        <v>682</v>
      </c>
      <c r="H98" s="99">
        <v>1</v>
      </c>
      <c r="I98" s="273">
        <v>1</v>
      </c>
      <c r="J98" s="99">
        <v>1</v>
      </c>
      <c r="K98" s="99">
        <v>0</v>
      </c>
      <c r="L98" s="99">
        <v>1</v>
      </c>
      <c r="M98" s="100">
        <v>1</v>
      </c>
      <c r="N98" s="101">
        <v>0</v>
      </c>
      <c r="O98" s="75" t="s">
        <v>650</v>
      </c>
      <c r="P98" s="75" t="s">
        <v>716</v>
      </c>
      <c r="Q98" s="80" t="s">
        <v>713</v>
      </c>
      <c r="R98" s="103" t="s">
        <v>715</v>
      </c>
      <c r="S98" s="75" t="s">
        <v>698</v>
      </c>
      <c r="T98" s="75" t="s">
        <v>623</v>
      </c>
      <c r="U98" s="75"/>
      <c r="V98" s="75"/>
      <c r="W98" s="75" t="s">
        <v>701</v>
      </c>
      <c r="X98" s="75" t="s">
        <v>626</v>
      </c>
      <c r="AA98" s="75" t="s">
        <v>630</v>
      </c>
      <c r="AD98" s="75" t="s">
        <v>629</v>
      </c>
      <c r="AE98" s="75">
        <v>1</v>
      </c>
      <c r="AG98" s="75">
        <v>3</v>
      </c>
      <c r="AH98" s="75">
        <v>29</v>
      </c>
      <c r="AI98" s="75">
        <v>29</v>
      </c>
      <c r="AJ98" s="75">
        <v>29</v>
      </c>
      <c r="AK98" s="75">
        <v>2</v>
      </c>
      <c r="AL98" s="75">
        <v>2</v>
      </c>
      <c r="AM98" s="75">
        <v>0</v>
      </c>
    </row>
    <row r="99" spans="1:39">
      <c r="A99" s="98" t="s">
        <v>602</v>
      </c>
      <c r="B99" s="75" t="s">
        <v>615</v>
      </c>
      <c r="C99" s="75" t="s">
        <v>662</v>
      </c>
      <c r="D99" s="75" t="s">
        <v>617</v>
      </c>
      <c r="E99" s="80">
        <v>1</v>
      </c>
      <c r="F99" s="80">
        <v>1</v>
      </c>
      <c r="G99" s="75" t="s">
        <v>682</v>
      </c>
      <c r="H99" s="99">
        <v>1</v>
      </c>
      <c r="I99" s="273">
        <v>1</v>
      </c>
      <c r="J99" s="99">
        <v>1</v>
      </c>
      <c r="K99" s="99">
        <v>0</v>
      </c>
      <c r="L99" s="99">
        <v>1</v>
      </c>
      <c r="M99" s="100">
        <v>1</v>
      </c>
      <c r="N99" s="101">
        <v>0</v>
      </c>
      <c r="O99" s="75" t="s">
        <v>687</v>
      </c>
      <c r="P99" s="75" t="s">
        <v>717</v>
      </c>
      <c r="Q99" s="80">
        <v>0.03</v>
      </c>
      <c r="R99" s="103" t="s">
        <v>684</v>
      </c>
      <c r="S99" s="75" t="s">
        <v>687</v>
      </c>
      <c r="T99" s="75" t="s">
        <v>623</v>
      </c>
      <c r="U99" s="75">
        <v>3</v>
      </c>
      <c r="V99" s="75">
        <v>1</v>
      </c>
      <c r="W99" s="75" t="s">
        <v>689</v>
      </c>
      <c r="X99" s="75" t="s">
        <v>626</v>
      </c>
      <c r="Y99" s="75" t="s">
        <v>626</v>
      </c>
      <c r="AA99" s="75" t="s">
        <v>630</v>
      </c>
      <c r="AD99" s="75" t="s">
        <v>629</v>
      </c>
      <c r="AE99" s="75">
        <v>1</v>
      </c>
      <c r="AG99" s="75">
        <v>2</v>
      </c>
      <c r="AH99" s="75">
        <v>23</v>
      </c>
      <c r="AI99" s="75">
        <v>23</v>
      </c>
      <c r="AJ99" s="75">
        <v>23</v>
      </c>
      <c r="AK99" s="75">
        <v>2</v>
      </c>
      <c r="AL99" s="75">
        <v>1</v>
      </c>
      <c r="AM99" s="75">
        <v>0</v>
      </c>
    </row>
    <row r="100" spans="1:39">
      <c r="A100" s="98" t="s">
        <v>550</v>
      </c>
      <c r="B100" s="75" t="s">
        <v>615</v>
      </c>
      <c r="C100" s="75" t="s">
        <v>662</v>
      </c>
      <c r="D100" s="75" t="s">
        <v>617</v>
      </c>
      <c r="E100" s="80">
        <v>2</v>
      </c>
      <c r="F100" s="80">
        <v>1</v>
      </c>
      <c r="G100" s="75" t="s">
        <v>677</v>
      </c>
      <c r="H100" s="99">
        <v>1</v>
      </c>
      <c r="I100" s="273">
        <v>3</v>
      </c>
      <c r="J100" s="99">
        <v>1</v>
      </c>
      <c r="K100" s="99">
        <v>0</v>
      </c>
      <c r="L100" s="99">
        <v>1</v>
      </c>
      <c r="M100" s="100">
        <v>1</v>
      </c>
      <c r="N100" s="101">
        <v>0</v>
      </c>
      <c r="O100" s="75" t="s">
        <v>698</v>
      </c>
      <c r="P100" s="75" t="s">
        <v>718</v>
      </c>
      <c r="Q100" s="80" t="s">
        <v>700</v>
      </c>
      <c r="R100" s="103" t="s">
        <v>680</v>
      </c>
      <c r="S100" s="75" t="s">
        <v>698</v>
      </c>
      <c r="T100" s="75" t="s">
        <v>623</v>
      </c>
      <c r="U100" s="75" t="s">
        <v>719</v>
      </c>
      <c r="V100" s="75">
        <v>0.32</v>
      </c>
      <c r="W100" s="75" t="s">
        <v>701</v>
      </c>
      <c r="X100" s="75" t="s">
        <v>626</v>
      </c>
      <c r="Y100" s="75" t="s">
        <v>626</v>
      </c>
      <c r="AA100" s="75" t="s">
        <v>630</v>
      </c>
      <c r="AD100" s="75" t="s">
        <v>629</v>
      </c>
      <c r="AE100" s="75">
        <v>1</v>
      </c>
      <c r="AG100" s="75">
        <v>3</v>
      </c>
      <c r="AH100" s="75">
        <v>30</v>
      </c>
      <c r="AI100" s="75">
        <v>30</v>
      </c>
      <c r="AJ100" s="75">
        <v>30</v>
      </c>
      <c r="AK100" s="75">
        <v>5</v>
      </c>
      <c r="AL100" s="75">
        <v>2</v>
      </c>
      <c r="AM100" s="75">
        <v>0</v>
      </c>
    </row>
    <row r="101" spans="1:39">
      <c r="A101" s="98" t="s">
        <v>551</v>
      </c>
      <c r="B101" s="75" t="s">
        <v>615</v>
      </c>
      <c r="C101" s="75" t="s">
        <v>662</v>
      </c>
      <c r="D101" s="75" t="s">
        <v>617</v>
      </c>
      <c r="E101" s="80">
        <v>2</v>
      </c>
      <c r="F101" s="80">
        <v>1</v>
      </c>
      <c r="G101" s="75" t="s">
        <v>677</v>
      </c>
      <c r="H101" s="99">
        <v>1</v>
      </c>
      <c r="I101" s="273">
        <v>3</v>
      </c>
      <c r="J101" s="99">
        <v>1</v>
      </c>
      <c r="K101" s="99">
        <v>0</v>
      </c>
      <c r="L101" s="99">
        <v>2</v>
      </c>
      <c r="M101" s="100">
        <v>1</v>
      </c>
      <c r="N101" s="101">
        <v>0</v>
      </c>
      <c r="O101" s="75" t="s">
        <v>698</v>
      </c>
      <c r="P101" s="75" t="s">
        <v>718</v>
      </c>
      <c r="Q101" s="80" t="s">
        <v>700</v>
      </c>
      <c r="R101" s="103" t="s">
        <v>680</v>
      </c>
      <c r="S101" s="75" t="s">
        <v>698</v>
      </c>
      <c r="T101" s="75" t="s">
        <v>623</v>
      </c>
      <c r="U101" s="75" t="s">
        <v>719</v>
      </c>
      <c r="V101" s="75">
        <v>0.32</v>
      </c>
      <c r="W101" s="75" t="s">
        <v>701</v>
      </c>
      <c r="X101" s="75" t="s">
        <v>626</v>
      </c>
      <c r="Y101" s="75" t="s">
        <v>626</v>
      </c>
      <c r="AA101" s="75" t="s">
        <v>630</v>
      </c>
      <c r="AD101" s="75" t="s">
        <v>629</v>
      </c>
      <c r="AE101" s="75">
        <v>1</v>
      </c>
      <c r="AG101" s="75">
        <v>3</v>
      </c>
      <c r="AH101" s="75">
        <v>31</v>
      </c>
      <c r="AI101" s="75">
        <v>31</v>
      </c>
      <c r="AJ101" s="75">
        <v>31</v>
      </c>
      <c r="AK101" s="75">
        <v>6</v>
      </c>
      <c r="AL101" s="75">
        <v>2</v>
      </c>
      <c r="AM101" s="75">
        <v>0</v>
      </c>
    </row>
    <row r="102" spans="1:39">
      <c r="A102" s="98" t="s">
        <v>603</v>
      </c>
      <c r="B102" s="75" t="s">
        <v>615</v>
      </c>
      <c r="C102" s="75" t="s">
        <v>662</v>
      </c>
      <c r="D102" s="75" t="s">
        <v>617</v>
      </c>
      <c r="E102" s="80">
        <v>1</v>
      </c>
      <c r="F102" s="80">
        <v>1</v>
      </c>
      <c r="G102" s="75" t="s">
        <v>682</v>
      </c>
      <c r="H102" s="99">
        <v>1</v>
      </c>
      <c r="I102" s="273">
        <v>1</v>
      </c>
      <c r="J102" s="99">
        <v>1</v>
      </c>
      <c r="K102" s="99">
        <v>0</v>
      </c>
      <c r="L102" s="99">
        <v>2</v>
      </c>
      <c r="M102" s="100">
        <v>1</v>
      </c>
      <c r="N102" s="101">
        <v>0</v>
      </c>
      <c r="O102" s="75" t="s">
        <v>698</v>
      </c>
      <c r="P102" s="75" t="s">
        <v>720</v>
      </c>
      <c r="Q102" s="80" t="s">
        <v>637</v>
      </c>
      <c r="R102" s="103" t="s">
        <v>684</v>
      </c>
      <c r="S102" s="75" t="s">
        <v>698</v>
      </c>
      <c r="T102" s="75" t="s">
        <v>623</v>
      </c>
      <c r="U102" s="75" t="s">
        <v>721</v>
      </c>
      <c r="V102" s="75">
        <v>0.12</v>
      </c>
      <c r="W102" s="75" t="s">
        <v>701</v>
      </c>
      <c r="X102" s="75" t="s">
        <v>626</v>
      </c>
      <c r="Y102" s="75" t="s">
        <v>626</v>
      </c>
      <c r="AA102" s="75" t="s">
        <v>626</v>
      </c>
      <c r="AB102" s="75" t="s">
        <v>691</v>
      </c>
      <c r="AC102" s="75" t="s">
        <v>678</v>
      </c>
      <c r="AD102" s="75" t="s">
        <v>703</v>
      </c>
      <c r="AE102" s="75">
        <v>1</v>
      </c>
      <c r="AG102" s="75">
        <v>3</v>
      </c>
      <c r="AH102" s="75">
        <v>32</v>
      </c>
      <c r="AI102" s="75">
        <v>32</v>
      </c>
      <c r="AJ102" s="75">
        <v>32</v>
      </c>
      <c r="AK102" s="75">
        <v>3</v>
      </c>
      <c r="AL102" s="75">
        <v>2</v>
      </c>
      <c r="AM102" s="75">
        <v>0</v>
      </c>
    </row>
    <row r="103" spans="1:39">
      <c r="A103" s="98" t="s">
        <v>604</v>
      </c>
      <c r="B103" s="75" t="s">
        <v>615</v>
      </c>
      <c r="C103" s="75" t="s">
        <v>662</v>
      </c>
      <c r="D103" s="75" t="s">
        <v>617</v>
      </c>
      <c r="E103" s="80">
        <v>1</v>
      </c>
      <c r="F103" s="80">
        <v>1</v>
      </c>
      <c r="G103" s="75" t="s">
        <v>682</v>
      </c>
      <c r="H103" s="99">
        <v>1</v>
      </c>
      <c r="I103" s="273">
        <v>1</v>
      </c>
      <c r="J103" s="99">
        <v>1</v>
      </c>
      <c r="K103" s="99">
        <v>0</v>
      </c>
      <c r="L103" s="99">
        <v>2</v>
      </c>
      <c r="M103" s="100">
        <v>1</v>
      </c>
      <c r="N103" s="101">
        <v>0</v>
      </c>
      <c r="O103" s="75" t="s">
        <v>678</v>
      </c>
      <c r="P103" s="75" t="s">
        <v>722</v>
      </c>
      <c r="Q103" s="80">
        <v>0.03</v>
      </c>
      <c r="R103" s="103" t="s">
        <v>684</v>
      </c>
      <c r="S103" s="75" t="s">
        <v>678</v>
      </c>
      <c r="T103" s="75" t="s">
        <v>623</v>
      </c>
      <c r="U103" s="75">
        <v>3</v>
      </c>
      <c r="V103" s="75">
        <v>1</v>
      </c>
      <c r="W103" s="75" t="s">
        <v>681</v>
      </c>
      <c r="X103" s="75" t="s">
        <v>626</v>
      </c>
      <c r="Y103" s="75" t="s">
        <v>626</v>
      </c>
      <c r="AA103" s="75" t="s">
        <v>626</v>
      </c>
      <c r="AB103" s="75" t="s">
        <v>691</v>
      </c>
      <c r="AC103" s="75" t="s">
        <v>678</v>
      </c>
      <c r="AD103" s="75" t="s">
        <v>629</v>
      </c>
      <c r="AE103" s="75">
        <v>1</v>
      </c>
      <c r="AG103" s="75">
        <v>1</v>
      </c>
      <c r="AH103" s="75">
        <v>15</v>
      </c>
      <c r="AI103" s="75">
        <v>15</v>
      </c>
      <c r="AJ103" s="75">
        <v>15</v>
      </c>
      <c r="AK103" s="75">
        <v>4</v>
      </c>
      <c r="AL103" s="75">
        <v>2</v>
      </c>
      <c r="AM103" s="75">
        <v>0</v>
      </c>
    </row>
    <row r="104" spans="1:39">
      <c r="A104" s="98" t="s">
        <v>605</v>
      </c>
      <c r="B104" s="75" t="s">
        <v>615</v>
      </c>
      <c r="C104" s="75" t="s">
        <v>662</v>
      </c>
      <c r="D104" s="75" t="s">
        <v>617</v>
      </c>
      <c r="E104" s="80">
        <v>1</v>
      </c>
      <c r="F104" s="80">
        <v>1</v>
      </c>
      <c r="G104" s="75" t="s">
        <v>682</v>
      </c>
      <c r="H104" s="99">
        <v>1</v>
      </c>
      <c r="I104" s="273">
        <v>1</v>
      </c>
      <c r="J104" s="99">
        <v>1</v>
      </c>
      <c r="K104" s="99">
        <v>0</v>
      </c>
      <c r="L104" s="99">
        <v>1</v>
      </c>
      <c r="M104" s="100">
        <v>1</v>
      </c>
      <c r="N104" s="101">
        <v>0</v>
      </c>
      <c r="O104" s="75" t="s">
        <v>687</v>
      </c>
      <c r="P104" s="75" t="s">
        <v>723</v>
      </c>
      <c r="Q104" s="80">
        <v>0.03</v>
      </c>
      <c r="R104" s="103" t="s">
        <v>684</v>
      </c>
      <c r="S104" s="75" t="s">
        <v>687</v>
      </c>
      <c r="T104" s="75" t="s">
        <v>623</v>
      </c>
      <c r="U104" s="75">
        <v>3</v>
      </c>
      <c r="V104" s="75">
        <v>1</v>
      </c>
      <c r="W104" s="75" t="s">
        <v>689</v>
      </c>
      <c r="X104" s="75" t="s">
        <v>626</v>
      </c>
      <c r="Y104" s="75" t="s">
        <v>626</v>
      </c>
      <c r="AA104" s="75" t="s">
        <v>630</v>
      </c>
      <c r="AD104" s="75" t="s">
        <v>629</v>
      </c>
      <c r="AE104" s="75">
        <v>1</v>
      </c>
      <c r="AG104" s="75">
        <v>2</v>
      </c>
      <c r="AH104" s="75">
        <v>24</v>
      </c>
      <c r="AI104" s="75">
        <v>24</v>
      </c>
      <c r="AJ104" s="75">
        <v>24</v>
      </c>
      <c r="AK104" s="75">
        <v>2</v>
      </c>
      <c r="AL104" s="75">
        <v>1</v>
      </c>
      <c r="AM104" s="75">
        <v>0</v>
      </c>
    </row>
    <row r="105" spans="1:39">
      <c r="A105" s="98" t="s">
        <v>606</v>
      </c>
      <c r="B105" s="75" t="s">
        <v>615</v>
      </c>
      <c r="C105" s="75" t="s">
        <v>662</v>
      </c>
      <c r="D105" s="75" t="s">
        <v>617</v>
      </c>
      <c r="E105" s="80">
        <v>1</v>
      </c>
      <c r="F105" s="80">
        <v>1</v>
      </c>
      <c r="G105" s="75" t="s">
        <v>682</v>
      </c>
      <c r="H105" s="99">
        <v>1</v>
      </c>
      <c r="I105" s="273">
        <v>1</v>
      </c>
      <c r="J105" s="99">
        <v>1</v>
      </c>
      <c r="K105" s="99">
        <v>0</v>
      </c>
      <c r="L105" s="99">
        <v>2</v>
      </c>
      <c r="M105" s="100">
        <v>1</v>
      </c>
      <c r="N105" s="101">
        <v>0</v>
      </c>
      <c r="O105" s="75" t="s">
        <v>678</v>
      </c>
      <c r="P105" s="75" t="s">
        <v>724</v>
      </c>
      <c r="Q105" s="80">
        <v>0.03</v>
      </c>
      <c r="R105" s="103" t="s">
        <v>684</v>
      </c>
      <c r="S105" s="75" t="s">
        <v>678</v>
      </c>
      <c r="T105" s="75" t="s">
        <v>623</v>
      </c>
      <c r="U105" s="75">
        <v>3</v>
      </c>
      <c r="V105" s="75">
        <v>1</v>
      </c>
      <c r="W105" s="75" t="s">
        <v>681</v>
      </c>
      <c r="X105" s="75" t="s">
        <v>626</v>
      </c>
      <c r="Y105" s="75" t="s">
        <v>626</v>
      </c>
      <c r="AA105" s="75" t="s">
        <v>626</v>
      </c>
      <c r="AB105" s="75" t="s">
        <v>691</v>
      </c>
      <c r="AC105" s="75" t="s">
        <v>678</v>
      </c>
      <c r="AD105" s="75" t="s">
        <v>629</v>
      </c>
      <c r="AE105" s="75">
        <v>1</v>
      </c>
      <c r="AG105" s="75">
        <v>1</v>
      </c>
      <c r="AH105" s="75">
        <v>16</v>
      </c>
      <c r="AI105" s="75">
        <v>16</v>
      </c>
      <c r="AJ105" s="75">
        <v>16</v>
      </c>
      <c r="AK105" s="75">
        <v>4</v>
      </c>
      <c r="AL105" s="75">
        <v>2</v>
      </c>
      <c r="AM105" s="75">
        <v>0</v>
      </c>
    </row>
    <row r="106" spans="1:39">
      <c r="A106" s="98" t="s">
        <v>607</v>
      </c>
      <c r="B106" s="75" t="s">
        <v>615</v>
      </c>
      <c r="C106" s="75" t="s">
        <v>662</v>
      </c>
      <c r="D106" s="75" t="s">
        <v>617</v>
      </c>
      <c r="E106" s="80">
        <v>1</v>
      </c>
      <c r="F106" s="80">
        <v>1</v>
      </c>
      <c r="G106" s="75" t="s">
        <v>682</v>
      </c>
      <c r="H106" s="99">
        <v>1</v>
      </c>
      <c r="I106" s="273">
        <v>1</v>
      </c>
      <c r="J106" s="99">
        <v>1</v>
      </c>
      <c r="K106" s="99">
        <v>0</v>
      </c>
      <c r="L106" s="99">
        <v>1</v>
      </c>
      <c r="M106" s="100">
        <v>1</v>
      </c>
      <c r="N106" s="101">
        <v>0</v>
      </c>
      <c r="O106" s="75" t="s">
        <v>687</v>
      </c>
      <c r="P106" s="75" t="s">
        <v>725</v>
      </c>
      <c r="Q106" s="80">
        <v>0.04</v>
      </c>
      <c r="R106" s="103" t="s">
        <v>684</v>
      </c>
      <c r="S106" s="75" t="s">
        <v>687</v>
      </c>
      <c r="T106" s="75" t="s">
        <v>623</v>
      </c>
      <c r="U106" s="75">
        <v>4</v>
      </c>
      <c r="V106" s="75">
        <v>0</v>
      </c>
      <c r="W106" s="75" t="s">
        <v>689</v>
      </c>
      <c r="X106" s="75" t="s">
        <v>626</v>
      </c>
      <c r="Y106" s="75" t="s">
        <v>626</v>
      </c>
      <c r="AA106" s="75" t="s">
        <v>630</v>
      </c>
      <c r="AD106" s="75" t="s">
        <v>629</v>
      </c>
      <c r="AE106" s="75">
        <v>1</v>
      </c>
      <c r="AG106" s="75">
        <v>2</v>
      </c>
      <c r="AH106" s="75">
        <v>25</v>
      </c>
      <c r="AI106" s="75">
        <v>25</v>
      </c>
      <c r="AJ106" s="75">
        <v>25</v>
      </c>
      <c r="AK106" s="75">
        <v>2</v>
      </c>
      <c r="AL106" s="75">
        <v>1</v>
      </c>
      <c r="AM106" s="75">
        <v>0</v>
      </c>
    </row>
    <row r="107" spans="1:39">
      <c r="A107" s="98" t="s">
        <v>608</v>
      </c>
      <c r="B107" s="75" t="s">
        <v>615</v>
      </c>
      <c r="C107" s="75" t="s">
        <v>662</v>
      </c>
      <c r="D107" s="75" t="s">
        <v>617</v>
      </c>
      <c r="E107" s="80">
        <v>1</v>
      </c>
      <c r="F107" s="80">
        <v>1</v>
      </c>
      <c r="G107" s="75" t="s">
        <v>682</v>
      </c>
      <c r="H107" s="99">
        <v>1</v>
      </c>
      <c r="I107" s="273">
        <v>1</v>
      </c>
      <c r="J107" s="99">
        <v>1</v>
      </c>
      <c r="K107" s="99">
        <v>0</v>
      </c>
      <c r="L107" s="99">
        <v>1</v>
      </c>
      <c r="M107" s="100">
        <v>1</v>
      </c>
      <c r="N107" s="101">
        <v>0</v>
      </c>
      <c r="O107" s="75" t="s">
        <v>726</v>
      </c>
      <c r="P107" s="75" t="s">
        <v>727</v>
      </c>
      <c r="Q107" s="80">
        <v>0.03</v>
      </c>
      <c r="R107" s="103" t="s">
        <v>728</v>
      </c>
      <c r="S107" s="75" t="s">
        <v>729</v>
      </c>
      <c r="T107" s="75" t="s">
        <v>623</v>
      </c>
      <c r="U107" s="75"/>
      <c r="V107" s="75"/>
      <c r="W107" s="75" t="s">
        <v>730</v>
      </c>
      <c r="X107" s="75" t="s">
        <v>626</v>
      </c>
      <c r="Y107" s="75" t="s">
        <v>626</v>
      </c>
      <c r="AA107" s="75" t="s">
        <v>626</v>
      </c>
      <c r="AB107" s="75" t="s">
        <v>726</v>
      </c>
      <c r="AD107" s="75" t="s">
        <v>629</v>
      </c>
      <c r="AE107" s="75">
        <v>1</v>
      </c>
      <c r="AG107" s="75">
        <v>4</v>
      </c>
      <c r="AH107" s="75">
        <v>33</v>
      </c>
      <c r="AI107" s="75">
        <v>33</v>
      </c>
      <c r="AJ107" s="75">
        <v>33</v>
      </c>
      <c r="AK107" s="75">
        <v>2</v>
      </c>
      <c r="AL107" s="75">
        <v>2</v>
      </c>
      <c r="AM107" s="75">
        <v>0</v>
      </c>
    </row>
    <row r="108" spans="1:39">
      <c r="A108" s="98" t="s">
        <v>552</v>
      </c>
      <c r="B108" s="75" t="s">
        <v>615</v>
      </c>
      <c r="C108" s="75" t="s">
        <v>662</v>
      </c>
      <c r="D108" s="75" t="s">
        <v>617</v>
      </c>
      <c r="E108" s="80">
        <v>2</v>
      </c>
      <c r="F108" s="80">
        <v>1</v>
      </c>
      <c r="G108" s="75" t="s">
        <v>677</v>
      </c>
      <c r="H108" s="99">
        <v>1</v>
      </c>
      <c r="I108" s="273">
        <v>3</v>
      </c>
      <c r="J108" s="99">
        <v>1</v>
      </c>
      <c r="K108" s="99">
        <v>0</v>
      </c>
      <c r="L108" s="99">
        <v>1</v>
      </c>
      <c r="M108" s="100">
        <v>1</v>
      </c>
      <c r="N108" s="101">
        <v>0</v>
      </c>
      <c r="O108" s="75" t="s">
        <v>726</v>
      </c>
      <c r="P108" s="75" t="s">
        <v>731</v>
      </c>
      <c r="Q108" s="105" t="s">
        <v>732</v>
      </c>
      <c r="R108" s="103" t="s">
        <v>733</v>
      </c>
      <c r="S108" s="75" t="s">
        <v>729</v>
      </c>
      <c r="T108" s="75" t="s">
        <v>623</v>
      </c>
      <c r="U108" s="75" t="s">
        <v>624</v>
      </c>
      <c r="V108" s="75"/>
      <c r="W108" s="75" t="s">
        <v>730</v>
      </c>
      <c r="X108" s="75" t="s">
        <v>626</v>
      </c>
      <c r="Y108" s="75" t="s">
        <v>626</v>
      </c>
      <c r="AA108" s="75" t="s">
        <v>626</v>
      </c>
      <c r="AB108" s="75" t="s">
        <v>726</v>
      </c>
      <c r="AD108" s="75" t="s">
        <v>629</v>
      </c>
      <c r="AE108" s="75">
        <v>1</v>
      </c>
      <c r="AG108" s="75">
        <v>4</v>
      </c>
      <c r="AH108" s="75">
        <v>34</v>
      </c>
      <c r="AI108" s="75">
        <v>34</v>
      </c>
      <c r="AJ108" s="75">
        <v>34</v>
      </c>
      <c r="AK108" s="75">
        <v>5</v>
      </c>
      <c r="AL108" s="75">
        <v>2</v>
      </c>
      <c r="AM108" s="75">
        <v>0</v>
      </c>
    </row>
    <row r="109" spans="1:39">
      <c r="A109" s="98" t="s">
        <v>609</v>
      </c>
      <c r="B109" s="75" t="s">
        <v>615</v>
      </c>
      <c r="C109" s="75" t="s">
        <v>662</v>
      </c>
      <c r="D109" s="75" t="s">
        <v>617</v>
      </c>
      <c r="E109" s="80">
        <v>1</v>
      </c>
      <c r="F109" s="80">
        <v>1</v>
      </c>
      <c r="G109" s="75" t="s">
        <v>682</v>
      </c>
      <c r="H109" s="99">
        <v>1</v>
      </c>
      <c r="I109" s="273">
        <v>1</v>
      </c>
      <c r="J109" s="99">
        <v>1</v>
      </c>
      <c r="K109" s="99">
        <v>0</v>
      </c>
      <c r="L109" s="99">
        <v>2</v>
      </c>
      <c r="M109" s="100">
        <v>1</v>
      </c>
      <c r="N109" s="101">
        <v>0</v>
      </c>
      <c r="O109" s="75" t="s">
        <v>726</v>
      </c>
      <c r="P109" s="75" t="s">
        <v>734</v>
      </c>
      <c r="Q109" s="102">
        <v>0.04</v>
      </c>
      <c r="R109" s="103" t="s">
        <v>728</v>
      </c>
      <c r="S109" s="75" t="s">
        <v>729</v>
      </c>
      <c r="T109" s="75" t="s">
        <v>623</v>
      </c>
      <c r="U109" s="75"/>
      <c r="V109" s="75"/>
      <c r="W109" s="75" t="s">
        <v>730</v>
      </c>
      <c r="X109" s="75" t="s">
        <v>626</v>
      </c>
      <c r="Y109" s="75" t="s">
        <v>626</v>
      </c>
      <c r="AA109" s="75" t="s">
        <v>626</v>
      </c>
      <c r="AB109" s="75" t="s">
        <v>726</v>
      </c>
      <c r="AD109" s="75" t="s">
        <v>703</v>
      </c>
      <c r="AE109" s="75">
        <v>1</v>
      </c>
      <c r="AG109" s="75">
        <v>4</v>
      </c>
      <c r="AH109" s="75">
        <v>35</v>
      </c>
      <c r="AI109" s="75">
        <v>35</v>
      </c>
      <c r="AJ109" s="75">
        <v>35</v>
      </c>
      <c r="AK109" s="75">
        <v>3</v>
      </c>
      <c r="AL109" s="75">
        <v>2</v>
      </c>
      <c r="AM109" s="75">
        <v>0</v>
      </c>
    </row>
    <row r="110" spans="1:39">
      <c r="A110" s="98" t="s">
        <v>610</v>
      </c>
      <c r="B110" s="75" t="s">
        <v>615</v>
      </c>
      <c r="C110" s="75" t="s">
        <v>662</v>
      </c>
      <c r="D110" s="75" t="s">
        <v>617</v>
      </c>
      <c r="E110" s="80">
        <v>1</v>
      </c>
      <c r="F110" s="80">
        <v>1</v>
      </c>
      <c r="G110" s="75" t="s">
        <v>682</v>
      </c>
      <c r="H110" s="99">
        <v>1</v>
      </c>
      <c r="I110" s="273">
        <v>1</v>
      </c>
      <c r="J110" s="99">
        <v>1</v>
      </c>
      <c r="K110" s="99">
        <v>0</v>
      </c>
      <c r="L110" s="99">
        <v>2</v>
      </c>
      <c r="M110" s="100">
        <v>1</v>
      </c>
      <c r="N110" s="101">
        <v>0</v>
      </c>
      <c r="O110" s="75" t="s">
        <v>726</v>
      </c>
      <c r="P110" s="75" t="s">
        <v>735</v>
      </c>
      <c r="Q110" s="102" t="s">
        <v>732</v>
      </c>
      <c r="R110" s="103" t="s">
        <v>728</v>
      </c>
      <c r="S110" s="75" t="s">
        <v>729</v>
      </c>
      <c r="T110" s="75" t="s">
        <v>623</v>
      </c>
      <c r="U110" s="75"/>
      <c r="V110" s="75"/>
      <c r="W110" s="75" t="s">
        <v>730</v>
      </c>
      <c r="X110" s="75" t="s">
        <v>626</v>
      </c>
      <c r="Y110" s="75" t="s">
        <v>626</v>
      </c>
      <c r="AA110" s="75" t="s">
        <v>626</v>
      </c>
      <c r="AB110" s="75" t="s">
        <v>726</v>
      </c>
      <c r="AD110" s="75" t="s">
        <v>629</v>
      </c>
      <c r="AE110" s="75">
        <v>1</v>
      </c>
      <c r="AG110" s="75">
        <v>4</v>
      </c>
      <c r="AH110" s="75">
        <v>36</v>
      </c>
      <c r="AI110" s="75">
        <v>36</v>
      </c>
      <c r="AJ110" s="75">
        <v>36</v>
      </c>
      <c r="AK110" s="75">
        <v>4</v>
      </c>
      <c r="AL110" s="75">
        <v>2</v>
      </c>
      <c r="AM110" s="75">
        <v>0</v>
      </c>
    </row>
    <row r="111" spans="1:39">
      <c r="A111" s="98" t="s">
        <v>611</v>
      </c>
      <c r="B111" s="75" t="s">
        <v>615</v>
      </c>
      <c r="C111" s="75" t="s">
        <v>662</v>
      </c>
      <c r="D111" s="75" t="s">
        <v>617</v>
      </c>
      <c r="E111" s="80">
        <v>1</v>
      </c>
      <c r="F111" s="80">
        <v>1</v>
      </c>
      <c r="G111" s="75" t="s">
        <v>682</v>
      </c>
      <c r="H111" s="99">
        <v>1</v>
      </c>
      <c r="I111" s="273">
        <v>1</v>
      </c>
      <c r="J111" s="99">
        <v>1</v>
      </c>
      <c r="K111" s="99">
        <v>0</v>
      </c>
      <c r="L111" s="99">
        <v>2</v>
      </c>
      <c r="M111" s="100">
        <v>1</v>
      </c>
      <c r="N111" s="101">
        <v>0</v>
      </c>
      <c r="O111" s="75" t="s">
        <v>726</v>
      </c>
      <c r="P111" s="75" t="s">
        <v>727</v>
      </c>
      <c r="Q111" s="80">
        <v>0.03</v>
      </c>
      <c r="R111" s="103" t="s">
        <v>728</v>
      </c>
      <c r="S111" s="75" t="s">
        <v>729</v>
      </c>
      <c r="T111" s="75" t="s">
        <v>623</v>
      </c>
      <c r="U111" s="75"/>
      <c r="V111" s="75"/>
      <c r="W111" s="75" t="s">
        <v>730</v>
      </c>
      <c r="X111" s="75" t="s">
        <v>626</v>
      </c>
      <c r="Y111" s="75" t="s">
        <v>626</v>
      </c>
      <c r="AA111" s="75" t="s">
        <v>626</v>
      </c>
      <c r="AB111" s="75" t="s">
        <v>726</v>
      </c>
      <c r="AD111" s="75" t="s">
        <v>629</v>
      </c>
      <c r="AE111" s="75">
        <v>1</v>
      </c>
      <c r="AG111" s="75">
        <v>4</v>
      </c>
      <c r="AH111" s="75">
        <v>37</v>
      </c>
      <c r="AI111" s="75">
        <v>37</v>
      </c>
      <c r="AJ111" s="75">
        <v>37</v>
      </c>
      <c r="AK111" s="75">
        <v>4</v>
      </c>
      <c r="AL111" s="75">
        <v>2</v>
      </c>
      <c r="AM111" s="75">
        <v>0</v>
      </c>
    </row>
    <row r="112" spans="1:39">
      <c r="A112" s="98" t="s">
        <v>612</v>
      </c>
      <c r="B112" s="75" t="s">
        <v>615</v>
      </c>
      <c r="C112" s="75" t="s">
        <v>662</v>
      </c>
      <c r="D112" s="75" t="s">
        <v>617</v>
      </c>
      <c r="E112" s="80">
        <v>1</v>
      </c>
      <c r="F112" s="80">
        <v>1</v>
      </c>
      <c r="G112" s="75" t="s">
        <v>682</v>
      </c>
      <c r="H112" s="99">
        <v>1</v>
      </c>
      <c r="I112" s="273">
        <v>1</v>
      </c>
      <c r="J112" s="99">
        <v>1</v>
      </c>
      <c r="K112" s="99">
        <v>0</v>
      </c>
      <c r="L112" s="99">
        <v>2</v>
      </c>
      <c r="M112" s="100">
        <v>1</v>
      </c>
      <c r="N112" s="101">
        <v>0</v>
      </c>
      <c r="O112" s="75" t="s">
        <v>726</v>
      </c>
      <c r="P112" s="75" t="s">
        <v>727</v>
      </c>
      <c r="Q112" s="105">
        <v>0.04</v>
      </c>
      <c r="R112" s="103" t="s">
        <v>728</v>
      </c>
      <c r="S112" s="75" t="s">
        <v>729</v>
      </c>
      <c r="T112" s="75" t="s">
        <v>623</v>
      </c>
      <c r="U112" s="75"/>
      <c r="V112" s="75"/>
      <c r="W112" s="75" t="s">
        <v>730</v>
      </c>
      <c r="X112" s="75" t="s">
        <v>626</v>
      </c>
      <c r="Y112" s="75" t="s">
        <v>626</v>
      </c>
      <c r="AA112" s="75" t="s">
        <v>626</v>
      </c>
      <c r="AB112" s="75" t="s">
        <v>726</v>
      </c>
      <c r="AD112" s="75" t="s">
        <v>629</v>
      </c>
      <c r="AE112" s="75">
        <v>1</v>
      </c>
      <c r="AG112" s="75">
        <v>4</v>
      </c>
      <c r="AH112" s="75">
        <v>38</v>
      </c>
      <c r="AI112" s="75">
        <v>38</v>
      </c>
      <c r="AJ112" s="75">
        <v>38</v>
      </c>
      <c r="AK112" s="75">
        <v>4</v>
      </c>
      <c r="AL112" s="75">
        <v>2</v>
      </c>
      <c r="AM112" s="75">
        <v>0</v>
      </c>
    </row>
    <row r="113" spans="1:39">
      <c r="A113" s="98" t="s">
        <v>553</v>
      </c>
      <c r="B113" s="75" t="s">
        <v>615</v>
      </c>
      <c r="C113" s="75" t="s">
        <v>662</v>
      </c>
      <c r="D113" s="75" t="s">
        <v>617</v>
      </c>
      <c r="E113" s="80">
        <v>2</v>
      </c>
      <c r="F113" s="80">
        <v>1</v>
      </c>
      <c r="G113" s="75" t="s">
        <v>677</v>
      </c>
      <c r="H113" s="99">
        <v>1</v>
      </c>
      <c r="I113" s="273">
        <v>3</v>
      </c>
      <c r="J113" s="99">
        <v>1</v>
      </c>
      <c r="K113" s="99">
        <v>0</v>
      </c>
      <c r="L113" s="99">
        <v>2</v>
      </c>
      <c r="M113" s="100">
        <v>1</v>
      </c>
      <c r="N113" s="101">
        <v>0</v>
      </c>
      <c r="O113" s="75" t="s">
        <v>726</v>
      </c>
      <c r="P113" s="75" t="s">
        <v>731</v>
      </c>
      <c r="Q113" s="102" t="s">
        <v>732</v>
      </c>
      <c r="R113" s="103" t="s">
        <v>733</v>
      </c>
      <c r="S113" s="75" t="s">
        <v>729</v>
      </c>
      <c r="T113" s="75" t="s">
        <v>623</v>
      </c>
      <c r="U113" s="75" t="s">
        <v>624</v>
      </c>
      <c r="V113" s="75"/>
      <c r="W113" s="75" t="s">
        <v>730</v>
      </c>
      <c r="X113" s="75" t="s">
        <v>626</v>
      </c>
      <c r="Y113" s="75" t="s">
        <v>626</v>
      </c>
      <c r="AA113" s="75" t="s">
        <v>626</v>
      </c>
      <c r="AB113" s="75" t="s">
        <v>726</v>
      </c>
      <c r="AD113" s="75" t="s">
        <v>629</v>
      </c>
      <c r="AE113" s="75">
        <v>1</v>
      </c>
      <c r="AG113" s="75">
        <v>4</v>
      </c>
      <c r="AH113" s="75">
        <v>39</v>
      </c>
      <c r="AI113" s="75">
        <v>39</v>
      </c>
      <c r="AJ113" s="75">
        <v>39</v>
      </c>
      <c r="AK113" s="75">
        <v>6</v>
      </c>
      <c r="AL113" s="75">
        <v>2</v>
      </c>
      <c r="AM113" s="75">
        <v>0</v>
      </c>
    </row>
    <row r="114" spans="1:39">
      <c r="A114" s="98" t="s">
        <v>613</v>
      </c>
      <c r="B114" s="75" t="s">
        <v>615</v>
      </c>
      <c r="C114" s="75" t="s">
        <v>662</v>
      </c>
      <c r="D114" s="75" t="s">
        <v>617</v>
      </c>
      <c r="E114" s="80">
        <v>1</v>
      </c>
      <c r="F114" s="80">
        <v>1</v>
      </c>
      <c r="G114" s="75" t="s">
        <v>682</v>
      </c>
      <c r="H114" s="99">
        <v>1</v>
      </c>
      <c r="I114" s="273">
        <v>1</v>
      </c>
      <c r="J114" s="99">
        <v>1</v>
      </c>
      <c r="K114" s="99">
        <v>0</v>
      </c>
      <c r="L114" s="99">
        <v>2</v>
      </c>
      <c r="M114" s="100">
        <v>1</v>
      </c>
      <c r="N114" s="101">
        <v>0</v>
      </c>
      <c r="O114" s="75" t="s">
        <v>726</v>
      </c>
      <c r="P114" s="75" t="s">
        <v>736</v>
      </c>
      <c r="Q114" s="102">
        <v>3</v>
      </c>
      <c r="R114" s="103" t="s">
        <v>728</v>
      </c>
      <c r="S114" s="75" t="s">
        <v>729</v>
      </c>
      <c r="T114" s="75" t="s">
        <v>623</v>
      </c>
      <c r="U114" s="75" t="s">
        <v>624</v>
      </c>
      <c r="V114" s="75"/>
      <c r="W114" s="75" t="s">
        <v>730</v>
      </c>
      <c r="X114" s="75" t="s">
        <v>626</v>
      </c>
      <c r="Y114" s="75" t="s">
        <v>626</v>
      </c>
      <c r="AA114" s="75" t="s">
        <v>626</v>
      </c>
      <c r="AB114" s="75" t="s">
        <v>726</v>
      </c>
      <c r="AD114" s="75" t="s">
        <v>629</v>
      </c>
      <c r="AE114" s="75">
        <v>1</v>
      </c>
      <c r="AG114" s="75">
        <v>4</v>
      </c>
      <c r="AH114" s="75">
        <v>40</v>
      </c>
      <c r="AI114" s="75">
        <v>40</v>
      </c>
      <c r="AJ114" s="75">
        <v>40</v>
      </c>
      <c r="AK114" s="75">
        <v>4</v>
      </c>
      <c r="AL114" s="75">
        <v>2</v>
      </c>
      <c r="AM114" s="75">
        <v>0</v>
      </c>
    </row>
    <row r="115" spans="1:39">
      <c r="A115" s="98" t="s">
        <v>614</v>
      </c>
      <c r="B115" s="75" t="s">
        <v>615</v>
      </c>
      <c r="C115" s="75" t="s">
        <v>662</v>
      </c>
      <c r="D115" s="75" t="s">
        <v>617</v>
      </c>
      <c r="E115" s="80">
        <v>1</v>
      </c>
      <c r="F115" s="80">
        <v>1</v>
      </c>
      <c r="G115" s="75" t="s">
        <v>682</v>
      </c>
      <c r="H115" s="99">
        <v>1</v>
      </c>
      <c r="I115" s="273">
        <v>1</v>
      </c>
      <c r="J115" s="99">
        <v>1</v>
      </c>
      <c r="K115" s="99">
        <v>0</v>
      </c>
      <c r="L115" s="99">
        <v>2</v>
      </c>
      <c r="M115" s="100">
        <v>1</v>
      </c>
      <c r="N115" s="101">
        <v>0</v>
      </c>
      <c r="O115" s="75" t="s">
        <v>726</v>
      </c>
      <c r="P115" s="75" t="s">
        <v>736</v>
      </c>
      <c r="Q115" s="80">
        <v>4</v>
      </c>
      <c r="R115" s="103" t="s">
        <v>728</v>
      </c>
      <c r="S115" s="75" t="s">
        <v>729</v>
      </c>
      <c r="T115" s="75" t="s">
        <v>623</v>
      </c>
      <c r="U115" s="75" t="s">
        <v>624</v>
      </c>
      <c r="V115" s="75"/>
      <c r="W115" s="75" t="s">
        <v>730</v>
      </c>
      <c r="X115" s="75" t="s">
        <v>626</v>
      </c>
      <c r="Y115" s="75" t="s">
        <v>626</v>
      </c>
      <c r="AA115" s="75" t="s">
        <v>626</v>
      </c>
      <c r="AB115" s="75" t="s">
        <v>726</v>
      </c>
      <c r="AD115" s="75" t="s">
        <v>629</v>
      </c>
      <c r="AE115" s="75">
        <v>1</v>
      </c>
      <c r="AG115" s="75">
        <v>4</v>
      </c>
      <c r="AH115" s="75">
        <v>41</v>
      </c>
      <c r="AI115" s="75">
        <v>41</v>
      </c>
      <c r="AJ115" s="75">
        <v>41</v>
      </c>
      <c r="AK115" s="75">
        <v>4</v>
      </c>
      <c r="AL115" s="75">
        <v>2</v>
      </c>
      <c r="AM115" s="75">
        <v>0</v>
      </c>
    </row>
    <row r="116" spans="1:39">
      <c r="A116" s="98" t="s">
        <v>554</v>
      </c>
      <c r="B116" s="75" t="s">
        <v>615</v>
      </c>
      <c r="C116" s="75" t="s">
        <v>662</v>
      </c>
      <c r="D116" s="75" t="s">
        <v>617</v>
      </c>
      <c r="E116" s="80">
        <v>2</v>
      </c>
      <c r="F116" s="80">
        <v>1</v>
      </c>
      <c r="G116" s="75" t="s">
        <v>677</v>
      </c>
      <c r="H116" s="99">
        <v>1</v>
      </c>
      <c r="I116" s="273">
        <v>3</v>
      </c>
      <c r="J116" s="99">
        <v>1</v>
      </c>
      <c r="K116" s="99">
        <v>0</v>
      </c>
      <c r="L116" s="99">
        <v>1</v>
      </c>
      <c r="M116" s="100">
        <v>1</v>
      </c>
      <c r="N116" s="101">
        <v>0</v>
      </c>
      <c r="O116" s="75" t="s">
        <v>678</v>
      </c>
      <c r="P116" s="75" t="s">
        <v>737</v>
      </c>
      <c r="Q116" s="105" t="s">
        <v>637</v>
      </c>
      <c r="R116" s="103" t="s">
        <v>680</v>
      </c>
      <c r="S116" s="75" t="s">
        <v>678</v>
      </c>
      <c r="T116" s="75" t="s">
        <v>623</v>
      </c>
      <c r="U116" s="75" t="s">
        <v>738</v>
      </c>
      <c r="V116" s="75">
        <v>0.47</v>
      </c>
      <c r="W116" s="75" t="s">
        <v>681</v>
      </c>
      <c r="X116" s="75" t="s">
        <v>626</v>
      </c>
      <c r="Y116" s="75" t="s">
        <v>626</v>
      </c>
      <c r="AA116" s="75" t="s">
        <v>626</v>
      </c>
      <c r="AB116" s="75" t="s">
        <v>691</v>
      </c>
      <c r="AC116" s="75" t="s">
        <v>678</v>
      </c>
      <c r="AD116" s="75" t="s">
        <v>629</v>
      </c>
      <c r="AE116" s="75">
        <v>1</v>
      </c>
      <c r="AG116" s="75">
        <v>1</v>
      </c>
      <c r="AH116" s="75">
        <v>17</v>
      </c>
      <c r="AI116" s="75">
        <v>17</v>
      </c>
      <c r="AJ116" s="75">
        <v>17</v>
      </c>
      <c r="AK116" s="75">
        <v>5</v>
      </c>
      <c r="AL116" s="75">
        <v>2</v>
      </c>
      <c r="AM116" s="75">
        <v>0</v>
      </c>
    </row>
    <row r="117" spans="1:39">
      <c r="A117" s="98" t="s">
        <v>555</v>
      </c>
      <c r="B117" s="75" t="s">
        <v>615</v>
      </c>
      <c r="C117" s="75" t="s">
        <v>662</v>
      </c>
      <c r="D117" s="75" t="s">
        <v>617</v>
      </c>
      <c r="E117" s="80">
        <v>2</v>
      </c>
      <c r="F117" s="80">
        <v>1</v>
      </c>
      <c r="G117" s="75" t="s">
        <v>677</v>
      </c>
      <c r="H117" s="99">
        <v>1</v>
      </c>
      <c r="I117" s="273">
        <v>3</v>
      </c>
      <c r="J117" s="99">
        <v>1</v>
      </c>
      <c r="K117" s="99">
        <v>0</v>
      </c>
      <c r="L117" s="99">
        <v>2</v>
      </c>
      <c r="M117" s="100">
        <v>1</v>
      </c>
      <c r="N117" s="101">
        <v>0</v>
      </c>
      <c r="O117" s="75" t="s">
        <v>678</v>
      </c>
      <c r="P117" s="75" t="s">
        <v>737</v>
      </c>
      <c r="Q117" s="102" t="s">
        <v>637</v>
      </c>
      <c r="R117" s="103" t="s">
        <v>680</v>
      </c>
      <c r="S117" s="75" t="s">
        <v>678</v>
      </c>
      <c r="T117" s="75" t="s">
        <v>623</v>
      </c>
      <c r="U117" s="75" t="s">
        <v>738</v>
      </c>
      <c r="V117" s="75">
        <v>0.47</v>
      </c>
      <c r="W117" s="75" t="s">
        <v>681</v>
      </c>
      <c r="X117" s="75" t="s">
        <v>626</v>
      </c>
      <c r="Y117" s="75" t="s">
        <v>626</v>
      </c>
      <c r="AA117" s="75" t="s">
        <v>626</v>
      </c>
      <c r="AB117" s="75" t="s">
        <v>691</v>
      </c>
      <c r="AC117" s="75" t="s">
        <v>678</v>
      </c>
      <c r="AD117" s="75" t="s">
        <v>629</v>
      </c>
      <c r="AE117" s="75">
        <v>1</v>
      </c>
      <c r="AG117" s="75">
        <v>1</v>
      </c>
      <c r="AH117" s="75">
        <v>18</v>
      </c>
      <c r="AI117" s="75">
        <v>18</v>
      </c>
      <c r="AJ117" s="75">
        <v>18</v>
      </c>
      <c r="AK117" s="75">
        <v>6</v>
      </c>
      <c r="AL117" s="75">
        <v>2</v>
      </c>
      <c r="AM117" s="75">
        <v>0</v>
      </c>
    </row>
    <row r="118" spans="1:39">
      <c r="A118" s="98" t="s">
        <v>516</v>
      </c>
      <c r="B118" s="75" t="s">
        <v>615</v>
      </c>
      <c r="C118" s="75" t="s">
        <v>662</v>
      </c>
      <c r="D118" s="75" t="s">
        <v>653</v>
      </c>
      <c r="E118" s="80">
        <v>9</v>
      </c>
      <c r="F118" s="80">
        <v>2</v>
      </c>
      <c r="G118" s="75" t="s">
        <v>670</v>
      </c>
      <c r="H118" s="99">
        <v>3</v>
      </c>
      <c r="I118" s="273">
        <v>2</v>
      </c>
      <c r="J118" s="99">
        <v>4</v>
      </c>
      <c r="K118" s="99">
        <v>0</v>
      </c>
      <c r="L118" s="99">
        <v>1</v>
      </c>
      <c r="M118" s="100">
        <v>1</v>
      </c>
      <c r="N118" s="101">
        <v>0</v>
      </c>
      <c r="O118" s="75" t="s">
        <v>739</v>
      </c>
      <c r="Q118" s="102" t="s">
        <v>624</v>
      </c>
      <c r="R118" s="103" t="s">
        <v>740</v>
      </c>
      <c r="S118" s="75" t="s">
        <v>741</v>
      </c>
      <c r="T118" s="75" t="s">
        <v>623</v>
      </c>
      <c r="U118" s="75" t="s">
        <v>624</v>
      </c>
      <c r="V118" s="75"/>
      <c r="W118" s="75" t="s">
        <v>742</v>
      </c>
      <c r="X118" s="75" t="s">
        <v>626</v>
      </c>
      <c r="Y118" s="75" t="s">
        <v>626</v>
      </c>
      <c r="AA118" s="75" t="s">
        <v>630</v>
      </c>
      <c r="AD118" s="75" t="s">
        <v>629</v>
      </c>
      <c r="AE118" s="75">
        <v>1</v>
      </c>
      <c r="AG118" s="75">
        <v>33</v>
      </c>
      <c r="AH118" s="75">
        <v>122</v>
      </c>
      <c r="AI118" s="75">
        <v>122</v>
      </c>
      <c r="AJ118" s="75">
        <v>122</v>
      </c>
      <c r="AK118" s="75">
        <v>11</v>
      </c>
      <c r="AL118" s="75">
        <v>1</v>
      </c>
      <c r="AM118" s="75">
        <v>0</v>
      </c>
    </row>
    <row r="119" spans="1:39">
      <c r="A119" s="98" t="s">
        <v>488</v>
      </c>
      <c r="B119" s="75" t="s">
        <v>615</v>
      </c>
      <c r="C119" s="75" t="s">
        <v>662</v>
      </c>
      <c r="D119" s="75" t="s">
        <v>617</v>
      </c>
      <c r="E119" s="80">
        <v>8</v>
      </c>
      <c r="F119" s="80">
        <v>2</v>
      </c>
      <c r="G119" s="75" t="s">
        <v>743</v>
      </c>
      <c r="H119" s="99">
        <v>1</v>
      </c>
      <c r="I119" s="273">
        <v>3</v>
      </c>
      <c r="J119" s="99">
        <v>1</v>
      </c>
      <c r="K119" s="99">
        <v>0</v>
      </c>
      <c r="L119" s="99">
        <v>1</v>
      </c>
      <c r="M119" s="100">
        <v>1</v>
      </c>
      <c r="N119" s="101">
        <v>0</v>
      </c>
      <c r="O119" s="75" t="s">
        <v>739</v>
      </c>
      <c r="Q119" s="80">
        <v>0.04</v>
      </c>
      <c r="R119" s="103" t="s">
        <v>744</v>
      </c>
      <c r="S119" s="75" t="s">
        <v>745</v>
      </c>
      <c r="T119" s="75" t="s">
        <v>623</v>
      </c>
      <c r="U119" s="75">
        <v>4</v>
      </c>
      <c r="V119" s="75">
        <v>0</v>
      </c>
      <c r="W119" s="75" t="s">
        <v>746</v>
      </c>
      <c r="X119" s="75" t="s">
        <v>626</v>
      </c>
      <c r="Y119" s="75" t="s">
        <v>626</v>
      </c>
      <c r="AA119" s="75" t="s">
        <v>630</v>
      </c>
      <c r="AD119" s="75" t="s">
        <v>629</v>
      </c>
      <c r="AE119" s="75">
        <v>1</v>
      </c>
      <c r="AG119" s="75">
        <v>32</v>
      </c>
      <c r="AH119" s="75">
        <v>119</v>
      </c>
      <c r="AI119" s="75">
        <v>119</v>
      </c>
      <c r="AJ119" s="75">
        <v>119</v>
      </c>
      <c r="AK119" s="75">
        <v>13</v>
      </c>
      <c r="AL119" s="75">
        <v>1</v>
      </c>
      <c r="AM119" s="75">
        <v>0</v>
      </c>
    </row>
    <row r="120" spans="1:39">
      <c r="A120" s="98" t="s">
        <v>478</v>
      </c>
      <c r="B120" s="75" t="s">
        <v>615</v>
      </c>
      <c r="C120" s="75" t="s">
        <v>662</v>
      </c>
      <c r="D120" s="75" t="s">
        <v>617</v>
      </c>
      <c r="E120" s="80">
        <v>8</v>
      </c>
      <c r="F120" s="80">
        <v>2</v>
      </c>
      <c r="G120" s="75" t="s">
        <v>743</v>
      </c>
      <c r="H120" s="99">
        <v>1</v>
      </c>
      <c r="I120" s="273">
        <v>3</v>
      </c>
      <c r="J120" s="99">
        <v>4</v>
      </c>
      <c r="K120" s="99">
        <v>0</v>
      </c>
      <c r="L120" s="99">
        <v>1</v>
      </c>
      <c r="M120" s="100">
        <v>1</v>
      </c>
      <c r="N120" s="101">
        <v>0</v>
      </c>
      <c r="O120" s="75" t="s">
        <v>739</v>
      </c>
      <c r="P120" s="75" t="s">
        <v>747</v>
      </c>
      <c r="Q120" s="80" t="s">
        <v>748</v>
      </c>
      <c r="R120" s="103" t="s">
        <v>744</v>
      </c>
      <c r="S120" s="75" t="s">
        <v>745</v>
      </c>
      <c r="T120" s="75" t="s">
        <v>749</v>
      </c>
      <c r="U120" s="75" t="s">
        <v>624</v>
      </c>
      <c r="V120" s="75"/>
      <c r="W120" s="75" t="s">
        <v>746</v>
      </c>
      <c r="X120" s="75" t="s">
        <v>626</v>
      </c>
      <c r="Y120" s="75" t="s">
        <v>626</v>
      </c>
      <c r="AA120" s="75" t="s">
        <v>630</v>
      </c>
      <c r="AD120" s="75" t="s">
        <v>629</v>
      </c>
      <c r="AE120" s="75">
        <v>1</v>
      </c>
      <c r="AG120" s="75">
        <v>32</v>
      </c>
      <c r="AH120" s="75">
        <v>120</v>
      </c>
      <c r="AI120" s="75">
        <v>120</v>
      </c>
      <c r="AJ120" s="75">
        <v>120</v>
      </c>
      <c r="AK120" s="75">
        <v>14</v>
      </c>
      <c r="AL120" s="75">
        <v>1</v>
      </c>
      <c r="AM120" s="75">
        <v>0</v>
      </c>
    </row>
    <row r="121" spans="1:39">
      <c r="A121" s="98" t="s">
        <v>556</v>
      </c>
      <c r="B121" s="75" t="s">
        <v>615</v>
      </c>
      <c r="C121" s="75" t="s">
        <v>662</v>
      </c>
      <c r="D121" s="75" t="s">
        <v>617</v>
      </c>
      <c r="E121" s="80">
        <v>4</v>
      </c>
      <c r="F121" s="80">
        <v>2</v>
      </c>
      <c r="G121" s="75" t="s">
        <v>750</v>
      </c>
      <c r="H121" s="99">
        <v>1</v>
      </c>
      <c r="I121" s="273">
        <v>1</v>
      </c>
      <c r="J121" s="99">
        <v>4</v>
      </c>
      <c r="K121" s="99">
        <v>0</v>
      </c>
      <c r="L121" s="99">
        <v>1</v>
      </c>
      <c r="M121" s="100">
        <v>1</v>
      </c>
      <c r="N121" s="101">
        <v>0</v>
      </c>
      <c r="O121" s="75" t="s">
        <v>739</v>
      </c>
      <c r="P121" s="75" t="s">
        <v>751</v>
      </c>
      <c r="Q121" s="102">
        <v>0.04</v>
      </c>
      <c r="R121" s="103" t="s">
        <v>752</v>
      </c>
      <c r="S121" s="75" t="s">
        <v>745</v>
      </c>
      <c r="T121" s="75" t="s">
        <v>623</v>
      </c>
      <c r="U121" s="75">
        <v>4</v>
      </c>
      <c r="V121" s="75">
        <v>0</v>
      </c>
      <c r="W121" s="75" t="s">
        <v>746</v>
      </c>
      <c r="X121" s="75" t="s">
        <v>626</v>
      </c>
      <c r="Y121" s="75" t="s">
        <v>626</v>
      </c>
      <c r="AA121" s="75" t="s">
        <v>630</v>
      </c>
      <c r="AD121" s="75" t="s">
        <v>629</v>
      </c>
      <c r="AE121" s="75">
        <v>1</v>
      </c>
      <c r="AG121" s="75">
        <v>32</v>
      </c>
      <c r="AH121" s="75">
        <v>121</v>
      </c>
      <c r="AI121" s="75">
        <v>121</v>
      </c>
      <c r="AJ121" s="75">
        <v>121</v>
      </c>
      <c r="AK121" s="75">
        <v>9</v>
      </c>
      <c r="AL121" s="75">
        <v>1</v>
      </c>
      <c r="AM121" s="75">
        <v>0</v>
      </c>
    </row>
    <row r="122" spans="1:39">
      <c r="A122" s="98" t="s">
        <v>499</v>
      </c>
      <c r="B122" s="75" t="s">
        <v>615</v>
      </c>
      <c r="C122" s="75" t="s">
        <v>662</v>
      </c>
      <c r="D122" s="75" t="s">
        <v>653</v>
      </c>
      <c r="E122" s="80">
        <v>10</v>
      </c>
      <c r="F122" s="80">
        <v>2</v>
      </c>
      <c r="G122" s="75" t="s">
        <v>663</v>
      </c>
      <c r="H122" s="99">
        <v>3</v>
      </c>
      <c r="I122" s="273">
        <v>2</v>
      </c>
      <c r="J122" s="99">
        <v>4</v>
      </c>
      <c r="K122" s="99">
        <v>1</v>
      </c>
      <c r="L122" s="99">
        <v>1</v>
      </c>
      <c r="M122" s="100">
        <v>1</v>
      </c>
      <c r="N122" s="101">
        <v>0</v>
      </c>
      <c r="O122" s="75" t="s">
        <v>753</v>
      </c>
      <c r="P122" s="75" t="s">
        <v>754</v>
      </c>
      <c r="Q122" s="102" t="s">
        <v>624</v>
      </c>
      <c r="R122" s="103" t="s">
        <v>755</v>
      </c>
      <c r="S122" s="75" t="s">
        <v>756</v>
      </c>
      <c r="T122" s="75" t="s">
        <v>623</v>
      </c>
      <c r="U122" s="75" t="s">
        <v>624</v>
      </c>
      <c r="V122" s="75"/>
      <c r="W122" s="75" t="s">
        <v>757</v>
      </c>
      <c r="X122" s="75" t="s">
        <v>626</v>
      </c>
      <c r="Y122" s="75" t="s">
        <v>626</v>
      </c>
      <c r="AA122" s="75" t="s">
        <v>630</v>
      </c>
      <c r="AD122" s="75" t="s">
        <v>629</v>
      </c>
      <c r="AE122" s="75">
        <v>1</v>
      </c>
      <c r="AG122" s="75">
        <v>13</v>
      </c>
      <c r="AH122" s="75">
        <v>53</v>
      </c>
      <c r="AI122" s="75">
        <v>53</v>
      </c>
      <c r="AJ122" s="75">
        <v>53</v>
      </c>
      <c r="AK122" s="75">
        <v>12</v>
      </c>
      <c r="AL122" s="75">
        <v>1</v>
      </c>
      <c r="AM122" s="75">
        <v>1</v>
      </c>
    </row>
    <row r="123" spans="1:39">
      <c r="A123" s="98" t="s">
        <v>584</v>
      </c>
      <c r="B123" s="75" t="s">
        <v>615</v>
      </c>
      <c r="C123" s="75" t="s">
        <v>662</v>
      </c>
      <c r="D123" s="75" t="s">
        <v>617</v>
      </c>
      <c r="E123" s="80">
        <v>5</v>
      </c>
      <c r="F123" s="80">
        <v>2</v>
      </c>
      <c r="G123" s="75" t="s">
        <v>758</v>
      </c>
      <c r="H123" s="99">
        <v>1</v>
      </c>
      <c r="I123" s="273">
        <v>1</v>
      </c>
      <c r="J123" s="99">
        <v>2</v>
      </c>
      <c r="K123" s="99">
        <v>0</v>
      </c>
      <c r="L123" s="99">
        <v>2</v>
      </c>
      <c r="M123" s="100">
        <v>1</v>
      </c>
      <c r="N123" s="101">
        <v>0</v>
      </c>
      <c r="O123" s="75" t="s">
        <v>759</v>
      </c>
      <c r="P123" s="75" t="s">
        <v>760</v>
      </c>
      <c r="Q123" s="102" t="s">
        <v>761</v>
      </c>
      <c r="R123" s="103" t="s">
        <v>762</v>
      </c>
      <c r="S123" s="75" t="s">
        <v>763</v>
      </c>
      <c r="T123" s="75" t="s">
        <v>623</v>
      </c>
      <c r="U123" s="75" t="s">
        <v>624</v>
      </c>
      <c r="V123" s="75" t="s">
        <v>624</v>
      </c>
      <c r="W123" s="75" t="s">
        <v>764</v>
      </c>
      <c r="X123" s="75" t="s">
        <v>626</v>
      </c>
      <c r="Y123" s="75" t="s">
        <v>626</v>
      </c>
      <c r="AA123" s="75" t="s">
        <v>626</v>
      </c>
      <c r="AB123" s="75" t="s">
        <v>765</v>
      </c>
      <c r="AC123" s="75" t="s">
        <v>766</v>
      </c>
      <c r="AD123" s="75" t="s">
        <v>629</v>
      </c>
      <c r="AE123" s="75">
        <v>1</v>
      </c>
      <c r="AG123" s="75">
        <v>27</v>
      </c>
      <c r="AH123" s="75">
        <v>101</v>
      </c>
      <c r="AI123" s="75">
        <v>101</v>
      </c>
      <c r="AJ123" s="75">
        <v>101</v>
      </c>
      <c r="AK123" s="75">
        <v>7</v>
      </c>
      <c r="AL123" s="75">
        <v>3</v>
      </c>
      <c r="AM123" s="75">
        <v>0</v>
      </c>
    </row>
    <row r="124" spans="1:39">
      <c r="A124" s="98" t="s">
        <v>489</v>
      </c>
      <c r="B124" s="75" t="s">
        <v>615</v>
      </c>
      <c r="C124" s="75" t="s">
        <v>662</v>
      </c>
      <c r="D124" s="75" t="s">
        <v>617</v>
      </c>
      <c r="E124" s="80">
        <v>6</v>
      </c>
      <c r="F124" s="80">
        <v>2</v>
      </c>
      <c r="G124" s="75" t="s">
        <v>767</v>
      </c>
      <c r="H124" s="99">
        <v>1</v>
      </c>
      <c r="I124" s="273">
        <v>3</v>
      </c>
      <c r="J124" s="99">
        <v>1</v>
      </c>
      <c r="K124" s="99">
        <v>0</v>
      </c>
      <c r="L124" s="99">
        <v>1</v>
      </c>
      <c r="M124" s="100">
        <v>1</v>
      </c>
      <c r="N124" s="101">
        <v>0</v>
      </c>
      <c r="O124" s="75" t="s">
        <v>759</v>
      </c>
      <c r="P124" s="75" t="s">
        <v>768</v>
      </c>
      <c r="Q124" s="105">
        <v>0.03</v>
      </c>
      <c r="R124" s="103" t="s">
        <v>769</v>
      </c>
      <c r="S124" s="75" t="s">
        <v>763</v>
      </c>
      <c r="T124" s="75" t="s">
        <v>623</v>
      </c>
      <c r="U124" s="75">
        <v>3</v>
      </c>
      <c r="V124" s="75">
        <v>1</v>
      </c>
      <c r="W124" s="75" t="s">
        <v>764</v>
      </c>
      <c r="X124" s="75" t="s">
        <v>626</v>
      </c>
      <c r="Y124" s="75" t="s">
        <v>626</v>
      </c>
      <c r="AA124" s="75" t="s">
        <v>626</v>
      </c>
      <c r="AB124" s="75" t="s">
        <v>770</v>
      </c>
      <c r="AC124" s="75" t="s">
        <v>766</v>
      </c>
      <c r="AD124" s="75" t="s">
        <v>629</v>
      </c>
      <c r="AE124" s="75">
        <v>1</v>
      </c>
      <c r="AG124" s="75">
        <v>27</v>
      </c>
      <c r="AH124" s="75">
        <v>102</v>
      </c>
      <c r="AI124" s="75">
        <v>102</v>
      </c>
      <c r="AJ124" s="75">
        <v>102</v>
      </c>
      <c r="AK124" s="75">
        <v>13</v>
      </c>
      <c r="AL124" s="75">
        <v>1</v>
      </c>
      <c r="AM124" s="75">
        <v>0</v>
      </c>
    </row>
    <row r="125" spans="1:39">
      <c r="A125" s="98" t="s">
        <v>500</v>
      </c>
      <c r="B125" s="75" t="s">
        <v>615</v>
      </c>
      <c r="C125" s="75" t="s">
        <v>662</v>
      </c>
      <c r="D125" s="75" t="s">
        <v>653</v>
      </c>
      <c r="E125" s="80">
        <v>10</v>
      </c>
      <c r="F125" s="80">
        <v>2</v>
      </c>
      <c r="G125" s="75" t="s">
        <v>663</v>
      </c>
      <c r="H125" s="99">
        <v>3</v>
      </c>
      <c r="I125" s="273">
        <v>2</v>
      </c>
      <c r="J125" s="99">
        <v>4</v>
      </c>
      <c r="K125" s="99">
        <v>1</v>
      </c>
      <c r="L125" s="99">
        <v>1</v>
      </c>
      <c r="M125" s="100">
        <v>1</v>
      </c>
      <c r="N125" s="101">
        <v>0</v>
      </c>
      <c r="O125" s="75" t="s">
        <v>771</v>
      </c>
      <c r="P125" s="75" t="s">
        <v>754</v>
      </c>
      <c r="Q125" s="80" t="s">
        <v>624</v>
      </c>
      <c r="R125" s="103" t="s">
        <v>772</v>
      </c>
      <c r="S125" s="75" t="s">
        <v>773</v>
      </c>
      <c r="T125" s="75" t="s">
        <v>623</v>
      </c>
      <c r="U125" s="75" t="s">
        <v>624</v>
      </c>
      <c r="V125" s="75"/>
      <c r="W125" s="75" t="s">
        <v>774</v>
      </c>
      <c r="X125" s="75" t="s">
        <v>626</v>
      </c>
      <c r="Y125" s="75" t="s">
        <v>626</v>
      </c>
      <c r="AA125" s="75" t="s">
        <v>630</v>
      </c>
      <c r="AD125" s="75" t="s">
        <v>629</v>
      </c>
      <c r="AE125" s="75">
        <v>1</v>
      </c>
      <c r="AG125" s="75">
        <v>18</v>
      </c>
      <c r="AH125" s="75">
        <v>65</v>
      </c>
      <c r="AI125" s="75">
        <v>65</v>
      </c>
      <c r="AJ125" s="75">
        <v>65</v>
      </c>
      <c r="AK125" s="75">
        <v>12</v>
      </c>
      <c r="AL125" s="75">
        <v>1</v>
      </c>
      <c r="AM125" s="75">
        <v>1</v>
      </c>
    </row>
    <row r="126" spans="1:39">
      <c r="A126" s="98" t="s">
        <v>517</v>
      </c>
      <c r="B126" s="75" t="s">
        <v>615</v>
      </c>
      <c r="C126" s="75" t="s">
        <v>662</v>
      </c>
      <c r="D126" s="75" t="s">
        <v>653</v>
      </c>
      <c r="E126" s="80">
        <v>9</v>
      </c>
      <c r="F126" s="80">
        <v>2</v>
      </c>
      <c r="G126" s="75" t="s">
        <v>670</v>
      </c>
      <c r="H126" s="99">
        <v>3</v>
      </c>
      <c r="I126" s="273">
        <v>2</v>
      </c>
      <c r="J126" s="99">
        <v>4</v>
      </c>
      <c r="K126" s="99">
        <v>0</v>
      </c>
      <c r="L126" s="99">
        <v>1</v>
      </c>
      <c r="M126" s="100">
        <v>1</v>
      </c>
      <c r="N126" s="101">
        <v>0</v>
      </c>
      <c r="O126" s="75" t="s">
        <v>779</v>
      </c>
      <c r="P126" s="75" t="s">
        <v>780</v>
      </c>
      <c r="Q126" s="102" t="s">
        <v>624</v>
      </c>
      <c r="R126" s="103" t="s">
        <v>781</v>
      </c>
      <c r="S126" s="75" t="s">
        <v>782</v>
      </c>
      <c r="T126" s="75" t="s">
        <v>623</v>
      </c>
      <c r="U126" s="75" t="s">
        <v>624</v>
      </c>
      <c r="V126" s="75"/>
      <c r="W126" s="75" t="s">
        <v>783</v>
      </c>
      <c r="X126" s="75" t="s">
        <v>626</v>
      </c>
      <c r="Y126" s="75" t="s">
        <v>626</v>
      </c>
      <c r="AA126" s="75" t="s">
        <v>630</v>
      </c>
      <c r="AD126" s="75" t="s">
        <v>629</v>
      </c>
      <c r="AE126" s="75">
        <v>1</v>
      </c>
      <c r="AG126" s="75">
        <v>23</v>
      </c>
      <c r="AH126" s="75">
        <v>90</v>
      </c>
      <c r="AI126" s="75">
        <v>90</v>
      </c>
      <c r="AJ126" s="75">
        <v>90</v>
      </c>
      <c r="AK126" s="75">
        <v>11</v>
      </c>
      <c r="AL126" s="75">
        <v>1</v>
      </c>
      <c r="AM126" s="75">
        <v>0</v>
      </c>
    </row>
    <row r="127" spans="1:39">
      <c r="A127" s="98" t="s">
        <v>518</v>
      </c>
      <c r="B127" s="75" t="s">
        <v>615</v>
      </c>
      <c r="C127" s="75" t="s">
        <v>662</v>
      </c>
      <c r="D127" s="75" t="s">
        <v>653</v>
      </c>
      <c r="E127" s="80">
        <v>9</v>
      </c>
      <c r="F127" s="80">
        <v>2</v>
      </c>
      <c r="G127" s="75" t="s">
        <v>670</v>
      </c>
      <c r="H127" s="99">
        <v>3</v>
      </c>
      <c r="I127" s="273">
        <v>2</v>
      </c>
      <c r="J127" s="99">
        <v>4</v>
      </c>
      <c r="K127" s="99">
        <v>0</v>
      </c>
      <c r="L127" s="99">
        <v>1</v>
      </c>
      <c r="M127" s="100">
        <v>1</v>
      </c>
      <c r="N127" s="101">
        <v>0</v>
      </c>
      <c r="O127" s="75" t="s">
        <v>784</v>
      </c>
      <c r="P127" s="75" t="s">
        <v>780</v>
      </c>
      <c r="Q127" s="102" t="s">
        <v>624</v>
      </c>
      <c r="R127" s="103" t="s">
        <v>785</v>
      </c>
      <c r="S127" s="75" t="s">
        <v>786</v>
      </c>
      <c r="T127" s="75" t="s">
        <v>623</v>
      </c>
      <c r="U127" s="75" t="s">
        <v>624</v>
      </c>
      <c r="V127" s="75"/>
      <c r="W127" s="75" t="s">
        <v>787</v>
      </c>
      <c r="X127" s="75" t="s">
        <v>626</v>
      </c>
      <c r="Y127" s="75" t="s">
        <v>626</v>
      </c>
      <c r="AA127" s="75" t="s">
        <v>630</v>
      </c>
      <c r="AD127" s="75" t="s">
        <v>629</v>
      </c>
      <c r="AE127" s="75">
        <v>1</v>
      </c>
      <c r="AG127" s="75">
        <v>6</v>
      </c>
      <c r="AH127" s="75">
        <v>42</v>
      </c>
      <c r="AI127" s="75">
        <v>42</v>
      </c>
      <c r="AJ127" s="75">
        <v>42</v>
      </c>
      <c r="AK127" s="75">
        <v>11</v>
      </c>
      <c r="AL127" s="75">
        <v>1</v>
      </c>
      <c r="AM127" s="75">
        <v>0</v>
      </c>
    </row>
    <row r="128" spans="1:39">
      <c r="A128" s="98" t="s">
        <v>1024</v>
      </c>
      <c r="B128" s="75" t="s">
        <v>615</v>
      </c>
      <c r="C128" s="75" t="s">
        <v>662</v>
      </c>
      <c r="D128" s="75" t="s">
        <v>617</v>
      </c>
      <c r="E128" s="80">
        <v>5</v>
      </c>
      <c r="F128" s="80">
        <v>2</v>
      </c>
      <c r="G128" s="75" t="s">
        <v>758</v>
      </c>
      <c r="H128" s="99">
        <v>1</v>
      </c>
      <c r="I128" s="273">
        <v>1</v>
      </c>
      <c r="J128" s="99">
        <v>2</v>
      </c>
      <c r="K128" s="99">
        <v>0</v>
      </c>
      <c r="L128" s="99">
        <v>2</v>
      </c>
      <c r="M128" s="100">
        <v>1</v>
      </c>
      <c r="N128" s="101">
        <v>0</v>
      </c>
      <c r="O128" s="75" t="s">
        <v>1094</v>
      </c>
      <c r="P128" s="75" t="s">
        <v>1099</v>
      </c>
      <c r="Q128" s="102" t="s">
        <v>1100</v>
      </c>
      <c r="R128" s="103" t="s">
        <v>1101</v>
      </c>
      <c r="S128" s="75" t="s">
        <v>1102</v>
      </c>
      <c r="T128" s="75" t="s">
        <v>623</v>
      </c>
      <c r="U128" s="75"/>
      <c r="V128" s="75"/>
      <c r="W128" s="75" t="s">
        <v>1103</v>
      </c>
      <c r="X128" s="75" t="s">
        <v>626</v>
      </c>
      <c r="AA128" s="75" t="s">
        <v>630</v>
      </c>
      <c r="AD128" s="75" t="s">
        <v>629</v>
      </c>
      <c r="AE128" s="75">
        <v>1</v>
      </c>
      <c r="AG128" s="75">
        <v>25</v>
      </c>
      <c r="AH128" s="75">
        <v>93</v>
      </c>
      <c r="AI128" s="75">
        <v>93</v>
      </c>
      <c r="AJ128" s="75">
        <v>93</v>
      </c>
      <c r="AK128" s="75">
        <v>7</v>
      </c>
      <c r="AL128" s="75">
        <v>3</v>
      </c>
      <c r="AM128" s="75">
        <v>0</v>
      </c>
    </row>
    <row r="129" spans="1:39">
      <c r="A129" s="98" t="s">
        <v>1025</v>
      </c>
      <c r="B129" s="75" t="s">
        <v>615</v>
      </c>
      <c r="C129" s="75" t="s">
        <v>662</v>
      </c>
      <c r="D129" s="75" t="s">
        <v>617</v>
      </c>
      <c r="E129" s="80">
        <v>5</v>
      </c>
      <c r="F129" s="80">
        <v>2</v>
      </c>
      <c r="G129" s="75" t="s">
        <v>758</v>
      </c>
      <c r="H129" s="99">
        <v>1</v>
      </c>
      <c r="I129" s="273">
        <v>1</v>
      </c>
      <c r="J129" s="99">
        <v>2</v>
      </c>
      <c r="K129" s="99">
        <v>0</v>
      </c>
      <c r="L129" s="99">
        <v>2</v>
      </c>
      <c r="M129" s="100">
        <v>1</v>
      </c>
      <c r="N129" s="101">
        <v>0</v>
      </c>
      <c r="O129" s="75" t="s">
        <v>1094</v>
      </c>
      <c r="P129" s="75" t="s">
        <v>1104</v>
      </c>
      <c r="Q129" s="102" t="s">
        <v>1100</v>
      </c>
      <c r="R129" s="103" t="s">
        <v>1101</v>
      </c>
      <c r="S129" s="75" t="s">
        <v>1102</v>
      </c>
      <c r="T129" s="75" t="s">
        <v>623</v>
      </c>
      <c r="U129" s="75"/>
      <c r="V129" s="75"/>
      <c r="W129" s="75" t="s">
        <v>1103</v>
      </c>
      <c r="X129" s="75" t="s">
        <v>626</v>
      </c>
      <c r="AA129" s="75" t="s">
        <v>630</v>
      </c>
      <c r="AD129" s="75" t="s">
        <v>629</v>
      </c>
      <c r="AE129" s="75">
        <v>1</v>
      </c>
      <c r="AG129" s="75">
        <v>25</v>
      </c>
      <c r="AH129" s="75">
        <v>94</v>
      </c>
      <c r="AI129" s="75">
        <v>94</v>
      </c>
      <c r="AJ129" s="75">
        <v>94</v>
      </c>
      <c r="AK129" s="75">
        <v>7</v>
      </c>
      <c r="AL129" s="75">
        <v>3</v>
      </c>
      <c r="AM129" s="75">
        <v>0</v>
      </c>
    </row>
    <row r="130" spans="1:39">
      <c r="A130" s="98" t="s">
        <v>1079</v>
      </c>
      <c r="B130" s="75" t="s">
        <v>615</v>
      </c>
      <c r="C130" s="75" t="s">
        <v>662</v>
      </c>
      <c r="D130" s="75" t="s">
        <v>617</v>
      </c>
      <c r="E130" s="80">
        <v>8</v>
      </c>
      <c r="F130" s="80">
        <v>2</v>
      </c>
      <c r="G130" s="75" t="s">
        <v>743</v>
      </c>
      <c r="H130" s="99"/>
      <c r="I130" s="273">
        <v>3</v>
      </c>
      <c r="J130" s="99">
        <v>4</v>
      </c>
      <c r="K130" s="99">
        <v>0</v>
      </c>
      <c r="L130" s="99">
        <v>1</v>
      </c>
      <c r="M130" s="100">
        <v>1</v>
      </c>
      <c r="N130" s="101">
        <v>0</v>
      </c>
      <c r="O130" s="75" t="s">
        <v>1094</v>
      </c>
      <c r="P130" s="75" t="s">
        <v>632</v>
      </c>
      <c r="Q130" s="102" t="s">
        <v>1100</v>
      </c>
      <c r="R130" s="103" t="s">
        <v>1105</v>
      </c>
      <c r="S130" s="75" t="s">
        <v>1102</v>
      </c>
      <c r="T130" s="75" t="s">
        <v>623</v>
      </c>
      <c r="U130" s="75"/>
      <c r="V130" s="75"/>
      <c r="W130" s="75" t="s">
        <v>1103</v>
      </c>
      <c r="X130" s="75" t="s">
        <v>626</v>
      </c>
      <c r="AA130" s="75" t="s">
        <v>630</v>
      </c>
      <c r="AD130" s="75" t="s">
        <v>629</v>
      </c>
      <c r="AE130" s="75">
        <v>1</v>
      </c>
      <c r="AG130" s="75">
        <v>25</v>
      </c>
      <c r="AH130" s="75">
        <v>95</v>
      </c>
      <c r="AI130" s="75">
        <v>95</v>
      </c>
      <c r="AJ130" s="75">
        <v>95</v>
      </c>
      <c r="AK130" s="75">
        <v>16</v>
      </c>
      <c r="AL130" s="75">
        <v>1</v>
      </c>
      <c r="AM130" s="75">
        <v>0</v>
      </c>
    </row>
    <row r="131" spans="1:39">
      <c r="A131" s="98" t="s">
        <v>1010</v>
      </c>
      <c r="B131" s="75" t="s">
        <v>615</v>
      </c>
      <c r="C131" s="75" t="s">
        <v>662</v>
      </c>
      <c r="D131" s="75" t="s">
        <v>617</v>
      </c>
      <c r="E131" s="80">
        <v>6</v>
      </c>
      <c r="F131" s="80">
        <v>2</v>
      </c>
      <c r="G131" s="75" t="s">
        <v>767</v>
      </c>
      <c r="H131" s="99">
        <v>1</v>
      </c>
      <c r="I131" s="273">
        <v>3</v>
      </c>
      <c r="J131" s="99">
        <v>1</v>
      </c>
      <c r="K131" s="99">
        <v>0</v>
      </c>
      <c r="L131" s="99">
        <v>1</v>
      </c>
      <c r="M131" s="100">
        <v>1</v>
      </c>
      <c r="N131" s="101">
        <v>0</v>
      </c>
      <c r="O131" s="75" t="s">
        <v>1094</v>
      </c>
      <c r="P131" s="75" t="s">
        <v>1106</v>
      </c>
      <c r="Q131" s="80" t="s">
        <v>1100</v>
      </c>
      <c r="R131" s="103" t="s">
        <v>1107</v>
      </c>
      <c r="S131" s="75" t="s">
        <v>1102</v>
      </c>
      <c r="T131" s="75" t="s">
        <v>623</v>
      </c>
      <c r="U131" s="75"/>
      <c r="V131" s="75"/>
      <c r="W131" s="75" t="s">
        <v>1103</v>
      </c>
      <c r="X131" s="75" t="s">
        <v>626</v>
      </c>
      <c r="AA131" s="75" t="s">
        <v>630</v>
      </c>
      <c r="AD131" s="75" t="s">
        <v>629</v>
      </c>
      <c r="AE131" s="75">
        <v>1</v>
      </c>
      <c r="AG131" s="75">
        <v>25</v>
      </c>
      <c r="AH131" s="75">
        <v>96</v>
      </c>
      <c r="AI131" s="75">
        <v>96</v>
      </c>
      <c r="AJ131" s="75">
        <v>96</v>
      </c>
      <c r="AK131" s="75">
        <v>13</v>
      </c>
      <c r="AL131" s="75">
        <v>1</v>
      </c>
      <c r="AM131" s="75">
        <v>0</v>
      </c>
    </row>
    <row r="132" spans="1:39">
      <c r="A132" s="98" t="s">
        <v>1011</v>
      </c>
      <c r="B132" s="75" t="s">
        <v>615</v>
      </c>
      <c r="C132" s="75" t="s">
        <v>662</v>
      </c>
      <c r="D132" s="75" t="s">
        <v>617</v>
      </c>
      <c r="E132" s="80">
        <v>6</v>
      </c>
      <c r="F132" s="80">
        <v>2</v>
      </c>
      <c r="G132" s="75" t="s">
        <v>767</v>
      </c>
      <c r="H132" s="99">
        <v>1</v>
      </c>
      <c r="I132" s="273">
        <v>3</v>
      </c>
      <c r="J132" s="99">
        <v>1</v>
      </c>
      <c r="K132" s="99">
        <v>0</v>
      </c>
      <c r="L132" s="99">
        <v>1</v>
      </c>
      <c r="M132" s="100">
        <v>1</v>
      </c>
      <c r="N132" s="101">
        <v>0</v>
      </c>
      <c r="O132" s="75" t="s">
        <v>1094</v>
      </c>
      <c r="P132" s="75" t="s">
        <v>1108</v>
      </c>
      <c r="Q132" s="80" t="s">
        <v>1100</v>
      </c>
      <c r="R132" s="103" t="s">
        <v>1107</v>
      </c>
      <c r="S132" s="75" t="s">
        <v>1102</v>
      </c>
      <c r="T132" s="75" t="s">
        <v>623</v>
      </c>
      <c r="U132" s="75"/>
      <c r="V132" s="75"/>
      <c r="W132" s="75" t="s">
        <v>1103</v>
      </c>
      <c r="X132" s="75" t="s">
        <v>626</v>
      </c>
      <c r="AA132" s="75" t="s">
        <v>630</v>
      </c>
      <c r="AD132" s="75" t="s">
        <v>629</v>
      </c>
      <c r="AE132" s="75">
        <v>1</v>
      </c>
      <c r="AG132" s="75">
        <v>25</v>
      </c>
      <c r="AH132" s="75">
        <v>97</v>
      </c>
      <c r="AI132" s="75">
        <v>97</v>
      </c>
      <c r="AJ132" s="75">
        <v>97</v>
      </c>
      <c r="AK132" s="75">
        <v>13</v>
      </c>
      <c r="AL132" s="75">
        <v>1</v>
      </c>
      <c r="AM132" s="75">
        <v>0</v>
      </c>
    </row>
    <row r="133" spans="1:39">
      <c r="A133" s="98" t="s">
        <v>1193</v>
      </c>
      <c r="B133" s="75" t="s">
        <v>615</v>
      </c>
      <c r="C133" s="75" t="s">
        <v>662</v>
      </c>
      <c r="D133" s="75" t="s">
        <v>617</v>
      </c>
      <c r="E133" s="80">
        <v>8</v>
      </c>
      <c r="F133" s="80">
        <v>2</v>
      </c>
      <c r="G133" s="75" t="s">
        <v>743</v>
      </c>
      <c r="H133" s="99">
        <v>1</v>
      </c>
      <c r="I133" s="273">
        <v>3</v>
      </c>
      <c r="J133" s="99">
        <v>4</v>
      </c>
      <c r="K133" s="99">
        <v>0</v>
      </c>
      <c r="L133" s="99">
        <v>1</v>
      </c>
      <c r="M133" s="100">
        <v>1</v>
      </c>
      <c r="N133" s="101">
        <v>0</v>
      </c>
      <c r="O133" s="75" t="s">
        <v>1094</v>
      </c>
      <c r="P133" s="75" t="s">
        <v>747</v>
      </c>
      <c r="Q133" s="80" t="s">
        <v>748</v>
      </c>
      <c r="R133" s="103" t="s">
        <v>820</v>
      </c>
      <c r="S133" s="75" t="s">
        <v>1102</v>
      </c>
      <c r="T133" s="75" t="s">
        <v>749</v>
      </c>
      <c r="U133" s="75"/>
      <c r="V133" s="75"/>
      <c r="W133" s="75" t="s">
        <v>1103</v>
      </c>
      <c r="X133" s="75" t="s">
        <v>626</v>
      </c>
      <c r="AA133" s="75" t="s">
        <v>630</v>
      </c>
      <c r="AD133" s="75" t="s">
        <v>629</v>
      </c>
      <c r="AE133" s="75">
        <v>1</v>
      </c>
      <c r="AG133" s="75">
        <v>25</v>
      </c>
      <c r="AH133" s="75">
        <v>98</v>
      </c>
      <c r="AI133" s="75">
        <v>98</v>
      </c>
      <c r="AJ133" s="75">
        <v>98</v>
      </c>
      <c r="AK133" s="75">
        <v>14</v>
      </c>
      <c r="AL133" s="75">
        <v>1</v>
      </c>
      <c r="AM133" s="75">
        <v>0</v>
      </c>
    </row>
    <row r="134" spans="1:39">
      <c r="A134" s="98" t="s">
        <v>1015</v>
      </c>
      <c r="B134" s="75" t="s">
        <v>615</v>
      </c>
      <c r="C134" s="75" t="s">
        <v>662</v>
      </c>
      <c r="D134" s="75" t="s">
        <v>653</v>
      </c>
      <c r="E134" s="80">
        <v>9</v>
      </c>
      <c r="F134" s="80">
        <v>2</v>
      </c>
      <c r="G134" s="75" t="s">
        <v>670</v>
      </c>
      <c r="H134" s="99">
        <v>3</v>
      </c>
      <c r="I134" s="273">
        <v>2</v>
      </c>
      <c r="J134" s="99">
        <v>4</v>
      </c>
      <c r="K134" s="99">
        <v>0</v>
      </c>
      <c r="L134" s="99">
        <v>1</v>
      </c>
      <c r="M134" s="100">
        <v>1</v>
      </c>
      <c r="N134" s="101">
        <v>0</v>
      </c>
      <c r="O134" s="75" t="s">
        <v>1094</v>
      </c>
      <c r="P134" s="75" t="s">
        <v>1109</v>
      </c>
      <c r="Q134" s="80" t="s">
        <v>1100</v>
      </c>
      <c r="R134" s="103" t="s">
        <v>1110</v>
      </c>
      <c r="S134" s="75" t="s">
        <v>1111</v>
      </c>
      <c r="T134" s="75" t="s">
        <v>623</v>
      </c>
      <c r="U134" s="75"/>
      <c r="V134" s="75"/>
      <c r="W134" s="75" t="s">
        <v>1112</v>
      </c>
      <c r="X134" s="75" t="s">
        <v>626</v>
      </c>
      <c r="AA134" s="75" t="s">
        <v>630</v>
      </c>
      <c r="AD134" s="75" t="s">
        <v>629</v>
      </c>
      <c r="AE134" s="75">
        <v>1</v>
      </c>
      <c r="AG134" s="75">
        <v>26</v>
      </c>
      <c r="AH134" s="75">
        <v>100</v>
      </c>
      <c r="AI134" s="75">
        <v>100</v>
      </c>
      <c r="AJ134" s="75">
        <v>100</v>
      </c>
      <c r="AK134" s="75">
        <v>11</v>
      </c>
      <c r="AL134" s="75">
        <v>1</v>
      </c>
      <c r="AM134" s="75">
        <v>0</v>
      </c>
    </row>
    <row r="135" spans="1:39">
      <c r="A135" s="98" t="s">
        <v>1085</v>
      </c>
      <c r="B135" s="75" t="s">
        <v>615</v>
      </c>
      <c r="C135" s="75" t="s">
        <v>662</v>
      </c>
      <c r="D135" s="75" t="s">
        <v>617</v>
      </c>
      <c r="E135" s="80">
        <v>4</v>
      </c>
      <c r="F135" s="80">
        <v>2</v>
      </c>
      <c r="G135" s="75" t="s">
        <v>750</v>
      </c>
      <c r="H135" s="99"/>
      <c r="I135" s="273">
        <v>1</v>
      </c>
      <c r="J135" s="99">
        <v>4</v>
      </c>
      <c r="K135" s="99">
        <v>0</v>
      </c>
      <c r="L135" s="99">
        <v>1</v>
      </c>
      <c r="M135" s="100">
        <v>1</v>
      </c>
      <c r="N135" s="101">
        <v>0</v>
      </c>
      <c r="O135" s="75" t="s">
        <v>1094</v>
      </c>
      <c r="P135" s="75" t="s">
        <v>1113</v>
      </c>
      <c r="R135" s="103" t="s">
        <v>1114</v>
      </c>
      <c r="S135" s="75" t="s">
        <v>1102</v>
      </c>
      <c r="T135" s="75" t="s">
        <v>623</v>
      </c>
      <c r="U135" s="75"/>
      <c r="V135" s="75"/>
      <c r="W135" s="75" t="s">
        <v>1103</v>
      </c>
      <c r="X135" s="75" t="s">
        <v>626</v>
      </c>
      <c r="AA135" s="75" t="s">
        <v>630</v>
      </c>
      <c r="AD135" s="75" t="s">
        <v>629</v>
      </c>
      <c r="AE135" s="75">
        <v>1</v>
      </c>
      <c r="AG135" s="75">
        <v>25</v>
      </c>
      <c r="AH135" s="75">
        <v>99</v>
      </c>
      <c r="AI135" s="75">
        <v>99</v>
      </c>
      <c r="AJ135" s="75">
        <v>99</v>
      </c>
      <c r="AK135" s="75">
        <v>9</v>
      </c>
      <c r="AL135" s="75">
        <v>1</v>
      </c>
      <c r="AM135" s="75">
        <v>0</v>
      </c>
    </row>
    <row r="136" spans="1:39">
      <c r="A136" s="98" t="s">
        <v>557</v>
      </c>
      <c r="B136" s="75" t="s">
        <v>615</v>
      </c>
      <c r="C136" s="75" t="s">
        <v>662</v>
      </c>
      <c r="D136" s="75" t="s">
        <v>617</v>
      </c>
      <c r="E136" s="80">
        <v>4</v>
      </c>
      <c r="F136" s="80">
        <v>2</v>
      </c>
      <c r="G136" s="75" t="s">
        <v>750</v>
      </c>
      <c r="H136" s="99">
        <v>1</v>
      </c>
      <c r="I136" s="273">
        <v>1</v>
      </c>
      <c r="J136" s="99">
        <v>4</v>
      </c>
      <c r="K136" s="99">
        <v>0</v>
      </c>
      <c r="L136" s="99">
        <v>1</v>
      </c>
      <c r="M136" s="100">
        <v>1</v>
      </c>
      <c r="N136" s="101">
        <v>0</v>
      </c>
      <c r="O136" s="75" t="s">
        <v>775</v>
      </c>
      <c r="P136" s="75" t="s">
        <v>751</v>
      </c>
      <c r="Q136" s="102">
        <v>0.03</v>
      </c>
      <c r="R136" s="103" t="s">
        <v>788</v>
      </c>
      <c r="S136" s="75" t="s">
        <v>789</v>
      </c>
      <c r="T136" s="75" t="s">
        <v>623</v>
      </c>
      <c r="U136" s="75">
        <v>3</v>
      </c>
      <c r="V136" s="75">
        <v>1</v>
      </c>
      <c r="W136" s="75" t="s">
        <v>790</v>
      </c>
      <c r="X136" s="75" t="s">
        <v>626</v>
      </c>
      <c r="Y136" s="75" t="s">
        <v>626</v>
      </c>
      <c r="AA136" s="75" t="s">
        <v>630</v>
      </c>
      <c r="AB136" s="75" t="s">
        <v>791</v>
      </c>
      <c r="AC136" s="75" t="s">
        <v>766</v>
      </c>
      <c r="AD136" s="75" t="s">
        <v>629</v>
      </c>
      <c r="AE136" s="75">
        <v>1</v>
      </c>
      <c r="AG136" s="75">
        <v>9</v>
      </c>
      <c r="AH136" s="75">
        <v>44</v>
      </c>
      <c r="AI136" s="75">
        <v>44</v>
      </c>
      <c r="AJ136" s="75">
        <v>44</v>
      </c>
      <c r="AK136" s="75">
        <v>9</v>
      </c>
      <c r="AL136" s="75">
        <v>1</v>
      </c>
      <c r="AM136" s="75">
        <v>0</v>
      </c>
    </row>
    <row r="137" spans="1:39">
      <c r="A137" s="98" t="s">
        <v>558</v>
      </c>
      <c r="B137" s="75" t="s">
        <v>615</v>
      </c>
      <c r="C137" s="75" t="s">
        <v>662</v>
      </c>
      <c r="D137" s="75" t="s">
        <v>617</v>
      </c>
      <c r="E137" s="80">
        <v>4</v>
      </c>
      <c r="F137" s="80">
        <v>2</v>
      </c>
      <c r="G137" s="75" t="s">
        <v>750</v>
      </c>
      <c r="H137" s="99">
        <v>1</v>
      </c>
      <c r="I137" s="273">
        <v>1</v>
      </c>
      <c r="J137" s="99">
        <v>4</v>
      </c>
      <c r="K137" s="99">
        <v>0</v>
      </c>
      <c r="L137" s="99">
        <v>1</v>
      </c>
      <c r="M137" s="100">
        <v>1</v>
      </c>
      <c r="N137" s="101">
        <v>0</v>
      </c>
      <c r="O137" s="75" t="s">
        <v>775</v>
      </c>
      <c r="P137" s="75" t="s">
        <v>751</v>
      </c>
      <c r="Q137" s="102">
        <v>0.04</v>
      </c>
      <c r="R137" s="103" t="s">
        <v>788</v>
      </c>
      <c r="S137" s="75" t="s">
        <v>789</v>
      </c>
      <c r="T137" s="75" t="s">
        <v>623</v>
      </c>
      <c r="U137" s="75">
        <v>4</v>
      </c>
      <c r="V137" s="75">
        <v>0</v>
      </c>
      <c r="W137" s="75" t="s">
        <v>790</v>
      </c>
      <c r="X137" s="75" t="s">
        <v>626</v>
      </c>
      <c r="Y137" s="75" t="s">
        <v>626</v>
      </c>
      <c r="AA137" s="75" t="s">
        <v>630</v>
      </c>
      <c r="AB137" s="75" t="s">
        <v>791</v>
      </c>
      <c r="AC137" s="75" t="s">
        <v>766</v>
      </c>
      <c r="AD137" s="75" t="s">
        <v>629</v>
      </c>
      <c r="AE137" s="75">
        <v>1</v>
      </c>
      <c r="AG137" s="75">
        <v>9</v>
      </c>
      <c r="AH137" s="75">
        <v>45</v>
      </c>
      <c r="AI137" s="75">
        <v>45</v>
      </c>
      <c r="AJ137" s="75">
        <v>45</v>
      </c>
      <c r="AK137" s="75">
        <v>9</v>
      </c>
      <c r="AL137" s="75">
        <v>1</v>
      </c>
      <c r="AM137" s="75">
        <v>0</v>
      </c>
    </row>
    <row r="138" spans="1:39">
      <c r="A138" s="98" t="s">
        <v>973</v>
      </c>
      <c r="B138" s="75" t="s">
        <v>615</v>
      </c>
      <c r="C138" s="75" t="s">
        <v>662</v>
      </c>
      <c r="D138" s="75" t="s">
        <v>617</v>
      </c>
      <c r="E138" s="80">
        <v>5</v>
      </c>
      <c r="F138" s="80">
        <v>2</v>
      </c>
      <c r="G138" s="75" t="s">
        <v>758</v>
      </c>
      <c r="H138" s="99">
        <v>1</v>
      </c>
      <c r="I138" s="273">
        <v>1</v>
      </c>
      <c r="J138" s="99">
        <v>2</v>
      </c>
      <c r="K138" s="99">
        <v>0</v>
      </c>
      <c r="L138" s="99">
        <v>2</v>
      </c>
      <c r="M138" s="100">
        <v>1</v>
      </c>
      <c r="N138" s="101">
        <v>0</v>
      </c>
      <c r="O138" s="75" t="s">
        <v>775</v>
      </c>
      <c r="P138" s="75" t="s">
        <v>983</v>
      </c>
      <c r="Q138" s="80" t="s">
        <v>637</v>
      </c>
      <c r="R138" s="103" t="s">
        <v>794</v>
      </c>
      <c r="S138" s="75" t="s">
        <v>789</v>
      </c>
      <c r="T138" s="75" t="s">
        <v>623</v>
      </c>
      <c r="U138" s="75"/>
      <c r="V138" s="75"/>
      <c r="W138" s="75" t="s">
        <v>790</v>
      </c>
      <c r="X138" s="75" t="s">
        <v>626</v>
      </c>
      <c r="Y138" s="75" t="s">
        <v>626</v>
      </c>
      <c r="AA138" s="75" t="s">
        <v>630</v>
      </c>
      <c r="AD138" s="75" t="s">
        <v>629</v>
      </c>
      <c r="AE138" s="75">
        <v>1</v>
      </c>
      <c r="AG138" s="75">
        <v>9</v>
      </c>
      <c r="AH138" s="75">
        <v>46</v>
      </c>
      <c r="AI138" s="75">
        <v>46</v>
      </c>
      <c r="AJ138" s="75">
        <v>46</v>
      </c>
      <c r="AK138" s="75">
        <v>7</v>
      </c>
      <c r="AL138" s="75">
        <v>3</v>
      </c>
      <c r="AM138" s="75">
        <v>0</v>
      </c>
    </row>
    <row r="139" spans="1:39" s="118" customFormat="1">
      <c r="A139" s="98" t="s">
        <v>472</v>
      </c>
      <c r="B139" s="75" t="s">
        <v>615</v>
      </c>
      <c r="C139" s="75" t="s">
        <v>662</v>
      </c>
      <c r="D139" s="75" t="s">
        <v>617</v>
      </c>
      <c r="E139" s="80">
        <v>8</v>
      </c>
      <c r="F139" s="80">
        <v>2</v>
      </c>
      <c r="G139" s="75" t="s">
        <v>743</v>
      </c>
      <c r="H139" s="99">
        <v>1</v>
      </c>
      <c r="I139" s="273">
        <v>3</v>
      </c>
      <c r="J139" s="99">
        <v>4</v>
      </c>
      <c r="K139" s="99">
        <v>0</v>
      </c>
      <c r="L139" s="99">
        <v>1</v>
      </c>
      <c r="M139" s="100">
        <v>1</v>
      </c>
      <c r="N139" s="101">
        <v>0</v>
      </c>
      <c r="O139" s="75" t="s">
        <v>775</v>
      </c>
      <c r="P139" s="75" t="s">
        <v>792</v>
      </c>
      <c r="Q139" s="80" t="s">
        <v>748</v>
      </c>
      <c r="R139" s="103" t="s">
        <v>793</v>
      </c>
      <c r="S139" s="75" t="s">
        <v>789</v>
      </c>
      <c r="T139" s="75" t="s">
        <v>749</v>
      </c>
      <c r="U139" s="75" t="s">
        <v>624</v>
      </c>
      <c r="V139" s="75">
        <v>0</v>
      </c>
      <c r="W139" s="75" t="s">
        <v>790</v>
      </c>
      <c r="X139" s="75" t="s">
        <v>626</v>
      </c>
      <c r="Y139" s="75" t="s">
        <v>626</v>
      </c>
      <c r="Z139" s="75"/>
      <c r="AA139" s="75" t="s">
        <v>630</v>
      </c>
      <c r="AB139" s="75" t="s">
        <v>791</v>
      </c>
      <c r="AC139" s="75" t="s">
        <v>766</v>
      </c>
      <c r="AD139" s="75" t="s">
        <v>629</v>
      </c>
      <c r="AE139" s="118">
        <v>1</v>
      </c>
      <c r="AG139" s="118">
        <v>9</v>
      </c>
      <c r="AH139" s="118">
        <v>47</v>
      </c>
      <c r="AI139" s="118">
        <v>47</v>
      </c>
      <c r="AJ139" s="118">
        <v>47</v>
      </c>
      <c r="AK139" s="118">
        <v>15</v>
      </c>
      <c r="AL139" s="118">
        <v>1</v>
      </c>
      <c r="AM139" s="118">
        <v>0</v>
      </c>
    </row>
    <row r="140" spans="1:39">
      <c r="A140" s="98" t="s">
        <v>585</v>
      </c>
      <c r="B140" s="75" t="s">
        <v>615</v>
      </c>
      <c r="C140" s="75" t="s">
        <v>662</v>
      </c>
      <c r="D140" s="75" t="s">
        <v>617</v>
      </c>
      <c r="E140" s="80">
        <v>5</v>
      </c>
      <c r="F140" s="80">
        <v>2</v>
      </c>
      <c r="G140" s="75" t="s">
        <v>758</v>
      </c>
      <c r="H140" s="99">
        <v>1</v>
      </c>
      <c r="I140" s="273">
        <v>1</v>
      </c>
      <c r="J140" s="99">
        <v>2</v>
      </c>
      <c r="K140" s="99">
        <v>0</v>
      </c>
      <c r="L140" s="99">
        <v>2</v>
      </c>
      <c r="M140" s="100">
        <v>1</v>
      </c>
      <c r="N140" s="101">
        <v>0</v>
      </c>
      <c r="O140" s="75" t="s">
        <v>775</v>
      </c>
      <c r="P140" s="75" t="s">
        <v>641</v>
      </c>
      <c r="Q140" s="80" t="s">
        <v>637</v>
      </c>
      <c r="R140" s="103" t="s">
        <v>794</v>
      </c>
      <c r="S140" s="75" t="s">
        <v>789</v>
      </c>
      <c r="T140" s="75" t="s">
        <v>623</v>
      </c>
      <c r="U140" s="75" t="s">
        <v>795</v>
      </c>
      <c r="V140" s="75">
        <v>0.82699999999999996</v>
      </c>
      <c r="W140" s="75" t="s">
        <v>790</v>
      </c>
      <c r="X140" s="75" t="s">
        <v>626</v>
      </c>
      <c r="Y140" s="75" t="s">
        <v>626</v>
      </c>
      <c r="AA140" s="75" t="s">
        <v>630</v>
      </c>
      <c r="AB140" s="75" t="s">
        <v>796</v>
      </c>
      <c r="AC140" s="75" t="s">
        <v>766</v>
      </c>
      <c r="AD140" s="75" t="s">
        <v>629</v>
      </c>
      <c r="AE140" s="75">
        <v>1</v>
      </c>
      <c r="AG140" s="75">
        <v>9</v>
      </c>
      <c r="AH140" s="75">
        <v>48</v>
      </c>
      <c r="AI140" s="75">
        <v>48</v>
      </c>
      <c r="AJ140" s="75">
        <v>48</v>
      </c>
      <c r="AK140" s="75">
        <v>7</v>
      </c>
      <c r="AL140" s="75">
        <v>3</v>
      </c>
      <c r="AM140" s="75">
        <v>0</v>
      </c>
    </row>
    <row r="141" spans="1:39">
      <c r="A141" s="98" t="s">
        <v>468</v>
      </c>
      <c r="B141" s="75" t="s">
        <v>615</v>
      </c>
      <c r="C141" s="75" t="s">
        <v>662</v>
      </c>
      <c r="D141" s="75" t="s">
        <v>617</v>
      </c>
      <c r="E141" s="80">
        <v>8</v>
      </c>
      <c r="F141" s="80">
        <v>2</v>
      </c>
      <c r="G141" s="75" t="s">
        <v>743</v>
      </c>
      <c r="H141" s="99">
        <v>1</v>
      </c>
      <c r="I141" s="273">
        <v>3</v>
      </c>
      <c r="J141" s="99">
        <v>4</v>
      </c>
      <c r="K141" s="99">
        <v>0</v>
      </c>
      <c r="L141" s="99">
        <v>1</v>
      </c>
      <c r="M141" s="100">
        <v>1</v>
      </c>
      <c r="N141" s="101">
        <v>0</v>
      </c>
      <c r="O141" s="75" t="s">
        <v>775</v>
      </c>
      <c r="Q141" s="80">
        <v>0.04</v>
      </c>
      <c r="R141" s="103" t="s">
        <v>793</v>
      </c>
      <c r="S141" s="75" t="s">
        <v>789</v>
      </c>
      <c r="T141" s="75" t="s">
        <v>623</v>
      </c>
      <c r="U141" s="75">
        <v>4</v>
      </c>
      <c r="V141" s="75">
        <v>0</v>
      </c>
      <c r="W141" s="75" t="s">
        <v>790</v>
      </c>
      <c r="X141" s="75" t="s">
        <v>626</v>
      </c>
      <c r="Y141" s="75" t="s">
        <v>626</v>
      </c>
      <c r="AA141" s="75" t="s">
        <v>630</v>
      </c>
      <c r="AB141" s="75" t="s">
        <v>791</v>
      </c>
      <c r="AC141" s="75" t="s">
        <v>766</v>
      </c>
      <c r="AD141" s="75" t="s">
        <v>629</v>
      </c>
      <c r="AE141" s="75">
        <v>1</v>
      </c>
      <c r="AG141" s="75">
        <v>9</v>
      </c>
      <c r="AH141" s="75">
        <v>49</v>
      </c>
      <c r="AI141" s="75">
        <v>49</v>
      </c>
      <c r="AJ141" s="75">
        <v>49</v>
      </c>
      <c r="AK141" s="75">
        <v>16</v>
      </c>
      <c r="AL141" s="75">
        <v>1</v>
      </c>
      <c r="AM141" s="75">
        <v>0</v>
      </c>
    </row>
    <row r="142" spans="1:39">
      <c r="A142" s="98" t="s">
        <v>490</v>
      </c>
      <c r="B142" s="75" t="s">
        <v>615</v>
      </c>
      <c r="C142" s="75" t="s">
        <v>662</v>
      </c>
      <c r="D142" s="75" t="s">
        <v>617</v>
      </c>
      <c r="E142" s="80">
        <v>6</v>
      </c>
      <c r="F142" s="80">
        <v>2</v>
      </c>
      <c r="G142" s="75" t="s">
        <v>767</v>
      </c>
      <c r="H142" s="99">
        <v>1</v>
      </c>
      <c r="I142" s="273">
        <v>3</v>
      </c>
      <c r="J142" s="99">
        <v>1</v>
      </c>
      <c r="K142" s="99">
        <v>0</v>
      </c>
      <c r="L142" s="99">
        <v>1</v>
      </c>
      <c r="M142" s="100">
        <v>1</v>
      </c>
      <c r="N142" s="101">
        <v>0</v>
      </c>
      <c r="O142" s="75" t="s">
        <v>775</v>
      </c>
      <c r="P142" s="75" t="s">
        <v>797</v>
      </c>
      <c r="Q142" s="80">
        <v>0.04</v>
      </c>
      <c r="R142" s="103" t="s">
        <v>793</v>
      </c>
      <c r="S142" s="75" t="s">
        <v>789</v>
      </c>
      <c r="T142" s="75" t="s">
        <v>623</v>
      </c>
      <c r="U142" s="75">
        <v>4</v>
      </c>
      <c r="V142" s="75">
        <v>0</v>
      </c>
      <c r="W142" s="75" t="s">
        <v>790</v>
      </c>
      <c r="X142" s="75" t="s">
        <v>626</v>
      </c>
      <c r="Y142" s="75" t="s">
        <v>626</v>
      </c>
      <c r="AA142" s="75" t="s">
        <v>630</v>
      </c>
      <c r="AB142" s="75" t="s">
        <v>791</v>
      </c>
      <c r="AC142" s="75" t="s">
        <v>766</v>
      </c>
      <c r="AD142" s="75" t="s">
        <v>629</v>
      </c>
      <c r="AE142" s="75">
        <v>1</v>
      </c>
      <c r="AG142" s="75">
        <v>9</v>
      </c>
      <c r="AH142" s="75">
        <v>50</v>
      </c>
      <c r="AI142" s="75">
        <v>50</v>
      </c>
      <c r="AJ142" s="75">
        <v>50</v>
      </c>
      <c r="AK142" s="75">
        <v>13</v>
      </c>
      <c r="AL142" s="75">
        <v>1</v>
      </c>
      <c r="AM142" s="75">
        <v>0</v>
      </c>
    </row>
    <row r="143" spans="1:39">
      <c r="A143" s="98" t="s">
        <v>479</v>
      </c>
      <c r="B143" s="75" t="s">
        <v>615</v>
      </c>
      <c r="C143" s="75" t="s">
        <v>662</v>
      </c>
      <c r="D143" s="75" t="s">
        <v>617</v>
      </c>
      <c r="E143" s="80">
        <v>8</v>
      </c>
      <c r="F143" s="80">
        <v>2</v>
      </c>
      <c r="G143" s="75" t="s">
        <v>743</v>
      </c>
      <c r="H143" s="99">
        <v>1</v>
      </c>
      <c r="I143" s="273">
        <v>3</v>
      </c>
      <c r="J143" s="99">
        <v>4</v>
      </c>
      <c r="K143" s="99">
        <v>0</v>
      </c>
      <c r="L143" s="99">
        <v>1</v>
      </c>
      <c r="M143" s="100">
        <v>1</v>
      </c>
      <c r="N143" s="101">
        <v>0</v>
      </c>
      <c r="O143" s="75" t="s">
        <v>775</v>
      </c>
      <c r="P143" s="75" t="s">
        <v>747</v>
      </c>
      <c r="Q143" s="80" t="s">
        <v>748</v>
      </c>
      <c r="R143" s="103" t="s">
        <v>793</v>
      </c>
      <c r="S143" s="75" t="s">
        <v>789</v>
      </c>
      <c r="T143" s="75" t="s">
        <v>749</v>
      </c>
      <c r="U143" s="75" t="s">
        <v>624</v>
      </c>
      <c r="V143" s="75"/>
      <c r="W143" s="75" t="s">
        <v>790</v>
      </c>
      <c r="X143" s="75" t="s">
        <v>626</v>
      </c>
      <c r="Y143" s="75" t="s">
        <v>626</v>
      </c>
      <c r="AA143" s="75" t="s">
        <v>630</v>
      </c>
      <c r="AB143" s="75" t="s">
        <v>791</v>
      </c>
      <c r="AC143" s="75" t="s">
        <v>766</v>
      </c>
      <c r="AD143" s="75" t="s">
        <v>629</v>
      </c>
      <c r="AE143" s="75">
        <v>1</v>
      </c>
      <c r="AG143" s="75">
        <v>9</v>
      </c>
      <c r="AH143" s="75">
        <v>51</v>
      </c>
      <c r="AI143" s="75">
        <v>51</v>
      </c>
      <c r="AJ143" s="75">
        <v>51</v>
      </c>
      <c r="AK143" s="75">
        <v>14</v>
      </c>
      <c r="AL143" s="75">
        <v>1</v>
      </c>
      <c r="AM143" s="75">
        <v>0</v>
      </c>
    </row>
    <row r="144" spans="1:39">
      <c r="A144" s="98" t="s">
        <v>501</v>
      </c>
      <c r="B144" s="75" t="s">
        <v>615</v>
      </c>
      <c r="C144" s="75" t="s">
        <v>662</v>
      </c>
      <c r="D144" s="75" t="s">
        <v>653</v>
      </c>
      <c r="E144" s="80">
        <v>10</v>
      </c>
      <c r="F144" s="80">
        <v>2</v>
      </c>
      <c r="G144" s="75" t="s">
        <v>663</v>
      </c>
      <c r="H144" s="99">
        <v>3</v>
      </c>
      <c r="I144" s="273">
        <v>2</v>
      </c>
      <c r="J144" s="99">
        <v>4</v>
      </c>
      <c r="K144" s="99">
        <v>1</v>
      </c>
      <c r="L144" s="99">
        <v>1</v>
      </c>
      <c r="M144" s="100">
        <v>1</v>
      </c>
      <c r="N144" s="101">
        <v>0</v>
      </c>
      <c r="O144" s="75" t="s">
        <v>775</v>
      </c>
      <c r="P144" s="75" t="s">
        <v>778</v>
      </c>
      <c r="Q144" s="80" t="s">
        <v>624</v>
      </c>
      <c r="R144" s="103" t="s">
        <v>798</v>
      </c>
      <c r="S144" s="75" t="s">
        <v>799</v>
      </c>
      <c r="T144" s="75" t="s">
        <v>623</v>
      </c>
      <c r="U144" s="75" t="s">
        <v>624</v>
      </c>
      <c r="V144" s="75"/>
      <c r="W144" s="75" t="s">
        <v>800</v>
      </c>
      <c r="X144" s="75" t="s">
        <v>626</v>
      </c>
      <c r="Y144" s="75" t="s">
        <v>626</v>
      </c>
      <c r="AA144" s="75" t="s">
        <v>630</v>
      </c>
      <c r="AB144" s="75" t="s">
        <v>801</v>
      </c>
      <c r="AC144" s="75" t="s">
        <v>802</v>
      </c>
      <c r="AD144" s="75" t="s">
        <v>629</v>
      </c>
      <c r="AE144" s="75">
        <v>1</v>
      </c>
      <c r="AG144" s="75">
        <v>11</v>
      </c>
      <c r="AH144" s="75">
        <v>52</v>
      </c>
      <c r="AI144" s="75">
        <v>52</v>
      </c>
      <c r="AJ144" s="75">
        <v>52</v>
      </c>
      <c r="AK144" s="75">
        <v>12</v>
      </c>
      <c r="AL144" s="75">
        <v>1</v>
      </c>
      <c r="AM144" s="75">
        <v>1</v>
      </c>
    </row>
    <row r="145" spans="1:39">
      <c r="A145" s="98" t="s">
        <v>473</v>
      </c>
      <c r="B145" s="75" t="s">
        <v>615</v>
      </c>
      <c r="C145" s="75" t="s">
        <v>662</v>
      </c>
      <c r="D145" s="75" t="s">
        <v>617</v>
      </c>
      <c r="E145" s="80">
        <v>8</v>
      </c>
      <c r="F145" s="80">
        <v>2</v>
      </c>
      <c r="G145" s="75" t="s">
        <v>743</v>
      </c>
      <c r="H145" s="99">
        <v>1</v>
      </c>
      <c r="I145" s="273">
        <v>3</v>
      </c>
      <c r="J145" s="99">
        <v>4</v>
      </c>
      <c r="K145" s="99">
        <v>0</v>
      </c>
      <c r="L145" s="99">
        <v>1</v>
      </c>
      <c r="M145" s="100">
        <v>1</v>
      </c>
      <c r="N145" s="101">
        <v>0</v>
      </c>
      <c r="O145" s="75" t="s">
        <v>650</v>
      </c>
      <c r="P145" s="75" t="s">
        <v>792</v>
      </c>
      <c r="Q145" s="80" t="s">
        <v>748</v>
      </c>
      <c r="R145" s="103" t="s">
        <v>803</v>
      </c>
      <c r="S145" s="75" t="s">
        <v>804</v>
      </c>
      <c r="T145" s="75" t="s">
        <v>749</v>
      </c>
      <c r="U145" s="75"/>
      <c r="V145" s="75"/>
      <c r="W145" s="75" t="s">
        <v>805</v>
      </c>
      <c r="X145" s="75" t="s">
        <v>626</v>
      </c>
      <c r="AA145" s="75" t="s">
        <v>630</v>
      </c>
      <c r="AD145" s="75" t="s">
        <v>629</v>
      </c>
      <c r="AE145" s="75">
        <v>1</v>
      </c>
      <c r="AG145" s="75">
        <v>15</v>
      </c>
      <c r="AH145" s="75">
        <v>56</v>
      </c>
      <c r="AI145" s="75">
        <v>56</v>
      </c>
      <c r="AJ145" s="75">
        <v>56</v>
      </c>
      <c r="AK145" s="75">
        <v>15</v>
      </c>
      <c r="AL145" s="75">
        <v>1</v>
      </c>
      <c r="AM145" s="75">
        <v>0</v>
      </c>
    </row>
    <row r="146" spans="1:39">
      <c r="A146" s="98" t="s">
        <v>559</v>
      </c>
      <c r="B146" s="75" t="s">
        <v>615</v>
      </c>
      <c r="C146" s="75" t="s">
        <v>662</v>
      </c>
      <c r="D146" s="75" t="s">
        <v>617</v>
      </c>
      <c r="E146" s="80">
        <v>4</v>
      </c>
      <c r="F146" s="80">
        <v>2</v>
      </c>
      <c r="G146" s="75" t="s">
        <v>750</v>
      </c>
      <c r="H146" s="99">
        <v>1</v>
      </c>
      <c r="I146" s="273">
        <v>1</v>
      </c>
      <c r="J146" s="99">
        <v>4</v>
      </c>
      <c r="K146" s="99">
        <v>0</v>
      </c>
      <c r="L146" s="99">
        <v>1</v>
      </c>
      <c r="M146" s="100">
        <v>1</v>
      </c>
      <c r="N146" s="101">
        <v>0</v>
      </c>
      <c r="O146" s="75" t="s">
        <v>650</v>
      </c>
      <c r="P146" s="75" t="s">
        <v>776</v>
      </c>
      <c r="Q146" s="80" t="s">
        <v>651</v>
      </c>
      <c r="R146" s="103" t="s">
        <v>806</v>
      </c>
      <c r="S146" s="75" t="s">
        <v>804</v>
      </c>
      <c r="T146" s="75" t="s">
        <v>623</v>
      </c>
      <c r="U146" s="75"/>
      <c r="V146" s="75"/>
      <c r="W146" s="75" t="s">
        <v>805</v>
      </c>
      <c r="X146" s="75" t="s">
        <v>626</v>
      </c>
      <c r="AA146" s="75" t="s">
        <v>630</v>
      </c>
      <c r="AD146" s="75" t="s">
        <v>629</v>
      </c>
      <c r="AE146" s="75">
        <v>1</v>
      </c>
      <c r="AG146" s="75">
        <v>15</v>
      </c>
      <c r="AH146" s="75">
        <v>57</v>
      </c>
      <c r="AI146" s="75">
        <v>57</v>
      </c>
      <c r="AJ146" s="75">
        <v>57</v>
      </c>
      <c r="AK146" s="75">
        <v>9</v>
      </c>
      <c r="AL146" s="75">
        <v>3</v>
      </c>
      <c r="AM146" s="75">
        <v>0</v>
      </c>
    </row>
    <row r="147" spans="1:39">
      <c r="A147" s="98" t="s">
        <v>586</v>
      </c>
      <c r="B147" s="75" t="s">
        <v>615</v>
      </c>
      <c r="C147" s="75" t="s">
        <v>662</v>
      </c>
      <c r="D147" s="75" t="s">
        <v>617</v>
      </c>
      <c r="E147" s="80">
        <v>5</v>
      </c>
      <c r="F147" s="80">
        <v>2</v>
      </c>
      <c r="G147" s="75" t="s">
        <v>758</v>
      </c>
      <c r="H147" s="99">
        <v>1</v>
      </c>
      <c r="I147" s="273">
        <v>1</v>
      </c>
      <c r="J147" s="99">
        <v>2</v>
      </c>
      <c r="K147" s="99">
        <v>0</v>
      </c>
      <c r="L147" s="99">
        <v>2</v>
      </c>
      <c r="M147" s="100">
        <v>1</v>
      </c>
      <c r="N147" s="101">
        <v>0</v>
      </c>
      <c r="O147" s="75" t="s">
        <v>650</v>
      </c>
      <c r="P147" s="75" t="s">
        <v>807</v>
      </c>
      <c r="Q147" s="80" t="s">
        <v>651</v>
      </c>
      <c r="R147" s="103" t="s">
        <v>808</v>
      </c>
      <c r="S147" s="75" t="s">
        <v>804</v>
      </c>
      <c r="T147" s="75" t="s">
        <v>623</v>
      </c>
      <c r="U147" s="75"/>
      <c r="V147" s="75"/>
      <c r="W147" s="75" t="s">
        <v>805</v>
      </c>
      <c r="X147" s="75" t="s">
        <v>626</v>
      </c>
      <c r="AA147" s="75" t="s">
        <v>630</v>
      </c>
      <c r="AD147" s="75" t="s">
        <v>629</v>
      </c>
      <c r="AE147" s="75">
        <v>1</v>
      </c>
      <c r="AG147" s="75">
        <v>15</v>
      </c>
      <c r="AH147" s="75">
        <v>58</v>
      </c>
      <c r="AI147" s="75">
        <v>58</v>
      </c>
      <c r="AJ147" s="75">
        <v>58</v>
      </c>
      <c r="AK147" s="75">
        <v>7</v>
      </c>
      <c r="AL147" s="75">
        <v>3</v>
      </c>
      <c r="AM147" s="75">
        <v>0</v>
      </c>
    </row>
    <row r="148" spans="1:39">
      <c r="A148" s="98" t="s">
        <v>578</v>
      </c>
      <c r="B148" s="75" t="s">
        <v>615</v>
      </c>
      <c r="C148" s="75" t="s">
        <v>662</v>
      </c>
      <c r="D148" s="75" t="s">
        <v>617</v>
      </c>
      <c r="E148" s="80">
        <v>4</v>
      </c>
      <c r="F148" s="80">
        <v>2</v>
      </c>
      <c r="G148" s="75" t="s">
        <v>750</v>
      </c>
      <c r="H148" s="99">
        <v>1</v>
      </c>
      <c r="I148" s="273">
        <v>1</v>
      </c>
      <c r="J148" s="99">
        <v>4</v>
      </c>
      <c r="K148" s="99">
        <v>0</v>
      </c>
      <c r="L148" s="99">
        <v>1</v>
      </c>
      <c r="M148" s="100">
        <v>1</v>
      </c>
      <c r="N148" s="101">
        <v>0</v>
      </c>
      <c r="O148" s="75" t="s">
        <v>650</v>
      </c>
      <c r="P148" s="75" t="s">
        <v>809</v>
      </c>
      <c r="Q148" s="80">
        <v>0.03</v>
      </c>
      <c r="R148" s="103" t="s">
        <v>806</v>
      </c>
      <c r="S148" s="75" t="s">
        <v>804</v>
      </c>
      <c r="T148" s="75" t="s">
        <v>623</v>
      </c>
      <c r="U148" s="75"/>
      <c r="V148" s="75"/>
      <c r="W148" s="75" t="s">
        <v>805</v>
      </c>
      <c r="X148" s="75" t="s">
        <v>626</v>
      </c>
      <c r="AA148" s="75" t="s">
        <v>630</v>
      </c>
      <c r="AD148" s="75" t="s">
        <v>703</v>
      </c>
      <c r="AE148" s="75">
        <v>1</v>
      </c>
      <c r="AG148" s="75">
        <v>15</v>
      </c>
      <c r="AH148" s="75">
        <v>59</v>
      </c>
      <c r="AI148" s="75">
        <v>59</v>
      </c>
      <c r="AJ148" s="75">
        <v>59</v>
      </c>
      <c r="AK148" s="75">
        <v>8</v>
      </c>
      <c r="AL148" s="75">
        <v>1</v>
      </c>
      <c r="AM148" s="75">
        <v>0</v>
      </c>
    </row>
    <row r="149" spans="1:39">
      <c r="A149" s="98" t="s">
        <v>579</v>
      </c>
      <c r="B149" s="75" t="s">
        <v>615</v>
      </c>
      <c r="C149" s="75" t="s">
        <v>662</v>
      </c>
      <c r="D149" s="75" t="s">
        <v>617</v>
      </c>
      <c r="E149" s="80">
        <v>4</v>
      </c>
      <c r="F149" s="80">
        <v>2</v>
      </c>
      <c r="G149" s="75" t="s">
        <v>750</v>
      </c>
      <c r="H149" s="99">
        <v>1</v>
      </c>
      <c r="I149" s="273">
        <v>1</v>
      </c>
      <c r="J149" s="99">
        <v>4</v>
      </c>
      <c r="K149" s="99">
        <v>0</v>
      </c>
      <c r="L149" s="99">
        <v>1</v>
      </c>
      <c r="M149" s="100">
        <v>1</v>
      </c>
      <c r="N149" s="101">
        <v>0</v>
      </c>
      <c r="O149" s="75" t="s">
        <v>650</v>
      </c>
      <c r="P149" s="75" t="s">
        <v>809</v>
      </c>
      <c r="Q149" s="80">
        <v>0.04</v>
      </c>
      <c r="R149" s="103" t="s">
        <v>806</v>
      </c>
      <c r="S149" s="75" t="s">
        <v>804</v>
      </c>
      <c r="T149" s="75" t="s">
        <v>623</v>
      </c>
      <c r="U149" s="75"/>
      <c r="V149" s="75"/>
      <c r="W149" s="75" t="s">
        <v>805</v>
      </c>
      <c r="X149" s="75" t="s">
        <v>626</v>
      </c>
      <c r="AA149" s="75" t="s">
        <v>630</v>
      </c>
      <c r="AD149" s="75" t="s">
        <v>703</v>
      </c>
      <c r="AE149" s="75">
        <v>1</v>
      </c>
      <c r="AG149" s="75">
        <v>15</v>
      </c>
      <c r="AH149" s="75">
        <v>60</v>
      </c>
      <c r="AI149" s="75">
        <v>60</v>
      </c>
      <c r="AJ149" s="75">
        <v>60</v>
      </c>
      <c r="AK149" s="75">
        <v>8</v>
      </c>
      <c r="AL149" s="75">
        <v>1</v>
      </c>
      <c r="AM149" s="75">
        <v>0</v>
      </c>
    </row>
    <row r="150" spans="1:39">
      <c r="A150" s="98" t="s">
        <v>469</v>
      </c>
      <c r="B150" s="75" t="s">
        <v>615</v>
      </c>
      <c r="C150" s="75" t="s">
        <v>662</v>
      </c>
      <c r="D150" s="75" t="s">
        <v>617</v>
      </c>
      <c r="E150" s="80">
        <v>8</v>
      </c>
      <c r="F150" s="80">
        <v>2</v>
      </c>
      <c r="G150" s="75" t="s">
        <v>743</v>
      </c>
      <c r="H150" s="99">
        <v>1</v>
      </c>
      <c r="I150" s="273">
        <v>3</v>
      </c>
      <c r="J150" s="99">
        <v>4</v>
      </c>
      <c r="K150" s="99">
        <v>0</v>
      </c>
      <c r="L150" s="99">
        <v>1</v>
      </c>
      <c r="M150" s="100">
        <v>1</v>
      </c>
      <c r="N150" s="101">
        <v>0</v>
      </c>
      <c r="O150" s="75" t="s">
        <v>650</v>
      </c>
      <c r="P150" s="75" t="s">
        <v>632</v>
      </c>
      <c r="Q150" s="80" t="s">
        <v>651</v>
      </c>
      <c r="R150" s="103" t="s">
        <v>803</v>
      </c>
      <c r="S150" s="75" t="s">
        <v>804</v>
      </c>
      <c r="T150" s="75" t="s">
        <v>623</v>
      </c>
      <c r="U150" s="75"/>
      <c r="V150" s="75"/>
      <c r="W150" s="75" t="s">
        <v>805</v>
      </c>
      <c r="X150" s="75" t="s">
        <v>626</v>
      </c>
      <c r="AA150" s="75" t="s">
        <v>630</v>
      </c>
      <c r="AD150" s="75" t="s">
        <v>629</v>
      </c>
      <c r="AE150" s="75">
        <v>1</v>
      </c>
      <c r="AG150" s="75">
        <v>15</v>
      </c>
      <c r="AH150" s="75">
        <v>61</v>
      </c>
      <c r="AI150" s="75">
        <v>61</v>
      </c>
      <c r="AJ150" s="75">
        <v>61</v>
      </c>
      <c r="AK150" s="75">
        <v>16</v>
      </c>
      <c r="AL150" s="75">
        <v>1</v>
      </c>
      <c r="AM150" s="75">
        <v>0</v>
      </c>
    </row>
    <row r="151" spans="1:39">
      <c r="A151" s="98" t="s">
        <v>491</v>
      </c>
      <c r="B151" s="75" t="s">
        <v>615</v>
      </c>
      <c r="C151" s="75" t="s">
        <v>662</v>
      </c>
      <c r="D151" s="75" t="s">
        <v>617</v>
      </c>
      <c r="E151" s="80">
        <v>6</v>
      </c>
      <c r="F151" s="80">
        <v>2</v>
      </c>
      <c r="G151" s="75" t="s">
        <v>767</v>
      </c>
      <c r="H151" s="99">
        <v>1</v>
      </c>
      <c r="I151" s="273">
        <v>3</v>
      </c>
      <c r="J151" s="99">
        <v>1</v>
      </c>
      <c r="K151" s="99">
        <v>0</v>
      </c>
      <c r="L151" s="99">
        <v>1</v>
      </c>
      <c r="M151" s="100">
        <v>1</v>
      </c>
      <c r="N151" s="101">
        <v>0</v>
      </c>
      <c r="O151" s="75" t="s">
        <v>650</v>
      </c>
      <c r="P151" s="75" t="s">
        <v>797</v>
      </c>
      <c r="Q151" s="80" t="s">
        <v>810</v>
      </c>
      <c r="R151" s="103" t="s">
        <v>811</v>
      </c>
      <c r="S151" s="75" t="s">
        <v>804</v>
      </c>
      <c r="T151" s="75" t="s">
        <v>623</v>
      </c>
      <c r="U151" s="75"/>
      <c r="V151" s="75"/>
      <c r="W151" s="75" t="s">
        <v>805</v>
      </c>
      <c r="X151" s="75" t="s">
        <v>626</v>
      </c>
      <c r="AA151" s="75" t="s">
        <v>630</v>
      </c>
      <c r="AD151" s="75" t="s">
        <v>629</v>
      </c>
      <c r="AE151" s="75">
        <v>1</v>
      </c>
      <c r="AG151" s="75">
        <v>15</v>
      </c>
      <c r="AH151" s="75">
        <v>62</v>
      </c>
      <c r="AI151" s="75">
        <v>62</v>
      </c>
      <c r="AJ151" s="75">
        <v>62</v>
      </c>
      <c r="AK151" s="75">
        <v>13</v>
      </c>
      <c r="AL151" s="75">
        <v>1</v>
      </c>
      <c r="AM151" s="75">
        <v>0</v>
      </c>
    </row>
    <row r="152" spans="1:39">
      <c r="A152" s="98" t="s">
        <v>480</v>
      </c>
      <c r="B152" s="75" t="s">
        <v>615</v>
      </c>
      <c r="C152" s="75" t="s">
        <v>662</v>
      </c>
      <c r="D152" s="75" t="s">
        <v>617</v>
      </c>
      <c r="E152" s="80">
        <v>8</v>
      </c>
      <c r="F152" s="80">
        <v>2</v>
      </c>
      <c r="G152" s="75" t="s">
        <v>743</v>
      </c>
      <c r="H152" s="99">
        <v>1</v>
      </c>
      <c r="I152" s="273">
        <v>3</v>
      </c>
      <c r="J152" s="99">
        <v>4</v>
      </c>
      <c r="K152" s="99">
        <v>0</v>
      </c>
      <c r="L152" s="99">
        <v>1</v>
      </c>
      <c r="M152" s="100">
        <v>1</v>
      </c>
      <c r="N152" s="101">
        <v>0</v>
      </c>
      <c r="O152" s="75" t="s">
        <v>650</v>
      </c>
      <c r="P152" s="75" t="s">
        <v>812</v>
      </c>
      <c r="Q152" s="80" t="s">
        <v>748</v>
      </c>
      <c r="R152" s="103" t="s">
        <v>803</v>
      </c>
      <c r="S152" s="75" t="s">
        <v>804</v>
      </c>
      <c r="T152" s="75" t="s">
        <v>749</v>
      </c>
      <c r="U152" s="75"/>
      <c r="V152" s="75"/>
      <c r="W152" s="75" t="s">
        <v>805</v>
      </c>
      <c r="X152" s="75" t="s">
        <v>626</v>
      </c>
      <c r="AA152" s="75" t="s">
        <v>630</v>
      </c>
      <c r="AD152" s="75" t="s">
        <v>629</v>
      </c>
      <c r="AE152" s="75">
        <v>1</v>
      </c>
      <c r="AG152" s="75">
        <v>15</v>
      </c>
      <c r="AH152" s="75">
        <v>63</v>
      </c>
      <c r="AI152" s="75">
        <v>63</v>
      </c>
      <c r="AJ152" s="75">
        <v>63</v>
      </c>
      <c r="AK152" s="75">
        <v>14</v>
      </c>
      <c r="AL152" s="75">
        <v>1</v>
      </c>
      <c r="AM152" s="75">
        <v>0</v>
      </c>
    </row>
    <row r="153" spans="1:39">
      <c r="A153" s="98" t="s">
        <v>560</v>
      </c>
      <c r="B153" s="75" t="s">
        <v>615</v>
      </c>
      <c r="C153" s="75" t="s">
        <v>662</v>
      </c>
      <c r="D153" s="75" t="s">
        <v>617</v>
      </c>
      <c r="E153" s="80">
        <v>4</v>
      </c>
      <c r="F153" s="80">
        <v>2</v>
      </c>
      <c r="G153" s="75" t="s">
        <v>750</v>
      </c>
      <c r="H153" s="99">
        <v>1</v>
      </c>
      <c r="I153" s="273">
        <v>1</v>
      </c>
      <c r="J153" s="99">
        <v>4</v>
      </c>
      <c r="K153" s="99">
        <v>0</v>
      </c>
      <c r="L153" s="99">
        <v>1</v>
      </c>
      <c r="M153" s="100">
        <v>1</v>
      </c>
      <c r="N153" s="101">
        <v>0</v>
      </c>
      <c r="O153" s="75" t="s">
        <v>650</v>
      </c>
      <c r="P153" s="75" t="s">
        <v>813</v>
      </c>
      <c r="Q153" s="80" t="s">
        <v>713</v>
      </c>
      <c r="R153" s="103" t="s">
        <v>806</v>
      </c>
      <c r="S153" s="75" t="s">
        <v>804</v>
      </c>
      <c r="T153" s="75" t="s">
        <v>623</v>
      </c>
      <c r="U153" s="75"/>
      <c r="V153" s="75"/>
      <c r="W153" s="75" t="s">
        <v>805</v>
      </c>
      <c r="X153" s="75" t="s">
        <v>626</v>
      </c>
      <c r="AA153" s="75" t="s">
        <v>630</v>
      </c>
      <c r="AD153" s="75" t="s">
        <v>629</v>
      </c>
      <c r="AE153" s="75">
        <v>1</v>
      </c>
      <c r="AG153" s="75">
        <v>15</v>
      </c>
      <c r="AH153" s="75">
        <v>64</v>
      </c>
      <c r="AI153" s="75">
        <v>64</v>
      </c>
      <c r="AJ153" s="75">
        <v>64</v>
      </c>
      <c r="AK153" s="75">
        <v>9</v>
      </c>
      <c r="AL153" s="75">
        <v>1</v>
      </c>
      <c r="AM153" s="75">
        <v>0</v>
      </c>
    </row>
    <row r="154" spans="1:39">
      <c r="A154" s="98" t="s">
        <v>561</v>
      </c>
      <c r="B154" s="75" t="s">
        <v>615</v>
      </c>
      <c r="C154" s="75" t="s">
        <v>662</v>
      </c>
      <c r="D154" s="75" t="s">
        <v>617</v>
      </c>
      <c r="E154" s="80">
        <v>4</v>
      </c>
      <c r="F154" s="80">
        <v>2</v>
      </c>
      <c r="G154" s="75" t="s">
        <v>750</v>
      </c>
      <c r="H154" s="99">
        <v>1</v>
      </c>
      <c r="I154" s="273">
        <v>1</v>
      </c>
      <c r="J154" s="99">
        <v>4</v>
      </c>
      <c r="K154" s="99">
        <v>0</v>
      </c>
      <c r="L154" s="99">
        <v>1</v>
      </c>
      <c r="M154" s="100">
        <v>1</v>
      </c>
      <c r="N154" s="101">
        <v>0</v>
      </c>
      <c r="O154" s="75" t="s">
        <v>664</v>
      </c>
      <c r="P154" s="75" t="s">
        <v>814</v>
      </c>
      <c r="Q154" s="80">
        <v>0.04</v>
      </c>
      <c r="R154" s="103" t="s">
        <v>815</v>
      </c>
      <c r="S154" s="75" t="s">
        <v>816</v>
      </c>
      <c r="T154" s="75" t="s">
        <v>623</v>
      </c>
      <c r="U154" s="75">
        <v>4</v>
      </c>
      <c r="V154" s="75">
        <v>0</v>
      </c>
      <c r="W154" s="75" t="s">
        <v>817</v>
      </c>
      <c r="X154" s="75" t="s">
        <v>626</v>
      </c>
      <c r="Y154" s="75" t="s">
        <v>626</v>
      </c>
      <c r="AA154" s="75" t="s">
        <v>630</v>
      </c>
      <c r="AD154" s="75" t="s">
        <v>629</v>
      </c>
      <c r="AE154" s="75">
        <v>1</v>
      </c>
      <c r="AG154" s="75">
        <v>29</v>
      </c>
      <c r="AH154" s="75">
        <v>103</v>
      </c>
      <c r="AI154" s="75">
        <v>103</v>
      </c>
      <c r="AJ154" s="75">
        <v>103</v>
      </c>
      <c r="AK154" s="75">
        <v>9</v>
      </c>
      <c r="AL154" s="75">
        <v>1</v>
      </c>
      <c r="AM154" s="75">
        <v>0</v>
      </c>
    </row>
    <row r="155" spans="1:39">
      <c r="A155" s="98" t="s">
        <v>562</v>
      </c>
      <c r="B155" s="75" t="s">
        <v>615</v>
      </c>
      <c r="C155" s="75" t="s">
        <v>662</v>
      </c>
      <c r="D155" s="75" t="s">
        <v>617</v>
      </c>
      <c r="E155" s="80">
        <v>4</v>
      </c>
      <c r="F155" s="80">
        <v>2</v>
      </c>
      <c r="G155" s="75" t="s">
        <v>750</v>
      </c>
      <c r="H155" s="99">
        <v>1</v>
      </c>
      <c r="I155" s="273">
        <v>1</v>
      </c>
      <c r="J155" s="99">
        <v>4</v>
      </c>
      <c r="K155" s="99">
        <v>0</v>
      </c>
      <c r="L155" s="99">
        <v>1</v>
      </c>
      <c r="M155" s="100">
        <v>1</v>
      </c>
      <c r="N155" s="101">
        <v>0</v>
      </c>
      <c r="O155" s="75" t="s">
        <v>664</v>
      </c>
      <c r="P155" s="75" t="s">
        <v>818</v>
      </c>
      <c r="Q155" s="80">
        <v>0.04</v>
      </c>
      <c r="R155" s="103" t="s">
        <v>815</v>
      </c>
      <c r="S155" s="75" t="s">
        <v>816</v>
      </c>
      <c r="T155" s="75" t="s">
        <v>623</v>
      </c>
      <c r="U155" s="75">
        <v>4</v>
      </c>
      <c r="V155" s="75">
        <v>0</v>
      </c>
      <c r="W155" s="75" t="s">
        <v>817</v>
      </c>
      <c r="X155" s="75" t="s">
        <v>626</v>
      </c>
      <c r="Y155" s="75" t="s">
        <v>626</v>
      </c>
      <c r="AA155" s="75" t="s">
        <v>630</v>
      </c>
      <c r="AD155" s="75" t="s">
        <v>629</v>
      </c>
      <c r="AE155" s="75">
        <v>1</v>
      </c>
      <c r="AG155" s="75">
        <v>29</v>
      </c>
      <c r="AH155" s="75">
        <v>104</v>
      </c>
      <c r="AI155" s="75">
        <v>104</v>
      </c>
      <c r="AJ155" s="75">
        <v>104</v>
      </c>
      <c r="AK155" s="75">
        <v>9</v>
      </c>
      <c r="AL155" s="75">
        <v>1</v>
      </c>
      <c r="AM155" s="75">
        <v>0</v>
      </c>
    </row>
    <row r="156" spans="1:39" s="118" customFormat="1">
      <c r="A156" s="98" t="s">
        <v>563</v>
      </c>
      <c r="B156" s="75" t="s">
        <v>615</v>
      </c>
      <c r="C156" s="75" t="s">
        <v>662</v>
      </c>
      <c r="D156" s="75" t="s">
        <v>617</v>
      </c>
      <c r="E156" s="80">
        <v>4</v>
      </c>
      <c r="F156" s="80">
        <v>2</v>
      </c>
      <c r="G156" s="75" t="s">
        <v>750</v>
      </c>
      <c r="H156" s="99">
        <v>1</v>
      </c>
      <c r="I156" s="273">
        <v>1</v>
      </c>
      <c r="J156" s="99">
        <v>4</v>
      </c>
      <c r="K156" s="99">
        <v>0</v>
      </c>
      <c r="L156" s="99">
        <v>1</v>
      </c>
      <c r="M156" s="100">
        <v>1</v>
      </c>
      <c r="N156" s="101">
        <v>0</v>
      </c>
      <c r="O156" s="75" t="s">
        <v>664</v>
      </c>
      <c r="P156" s="75" t="s">
        <v>819</v>
      </c>
      <c r="Q156" s="80">
        <v>0.03</v>
      </c>
      <c r="R156" s="103" t="s">
        <v>815</v>
      </c>
      <c r="S156" s="75" t="s">
        <v>816</v>
      </c>
      <c r="T156" s="75" t="s">
        <v>623</v>
      </c>
      <c r="U156" s="75">
        <v>3</v>
      </c>
      <c r="V156" s="75">
        <v>1</v>
      </c>
      <c r="W156" s="75" t="s">
        <v>817</v>
      </c>
      <c r="X156" s="75" t="s">
        <v>626</v>
      </c>
      <c r="Y156" s="75" t="s">
        <v>626</v>
      </c>
      <c r="Z156" s="75"/>
      <c r="AA156" s="75" t="s">
        <v>630</v>
      </c>
      <c r="AB156" s="75"/>
      <c r="AC156" s="75"/>
      <c r="AD156" s="75" t="s">
        <v>629</v>
      </c>
      <c r="AE156" s="118">
        <v>1</v>
      </c>
      <c r="AG156" s="118">
        <v>29</v>
      </c>
      <c r="AH156" s="118">
        <v>105</v>
      </c>
      <c r="AI156" s="118">
        <v>105</v>
      </c>
      <c r="AJ156" s="118">
        <v>105</v>
      </c>
      <c r="AK156" s="118">
        <v>9</v>
      </c>
      <c r="AL156" s="118">
        <v>1</v>
      </c>
      <c r="AM156" s="118">
        <v>0</v>
      </c>
    </row>
    <row r="157" spans="1:39">
      <c r="A157" s="98" t="s">
        <v>564</v>
      </c>
      <c r="B157" s="75" t="s">
        <v>615</v>
      </c>
      <c r="C157" s="75" t="s">
        <v>662</v>
      </c>
      <c r="D157" s="75" t="s">
        <v>617</v>
      </c>
      <c r="E157" s="80">
        <v>4</v>
      </c>
      <c r="F157" s="75">
        <v>2</v>
      </c>
      <c r="G157" s="75" t="s">
        <v>750</v>
      </c>
      <c r="H157" s="99">
        <v>1</v>
      </c>
      <c r="I157" s="273">
        <v>1</v>
      </c>
      <c r="J157" s="99">
        <v>4</v>
      </c>
      <c r="K157" s="99">
        <v>0</v>
      </c>
      <c r="L157" s="99">
        <v>1</v>
      </c>
      <c r="M157" s="99">
        <v>1</v>
      </c>
      <c r="N157" s="99">
        <v>0</v>
      </c>
      <c r="O157" s="75" t="s">
        <v>664</v>
      </c>
      <c r="P157" s="75" t="s">
        <v>819</v>
      </c>
      <c r="Q157" s="80">
        <v>0.04</v>
      </c>
      <c r="R157" s="75" t="s">
        <v>815</v>
      </c>
      <c r="S157" s="75" t="s">
        <v>816</v>
      </c>
      <c r="T157" s="75" t="s">
        <v>623</v>
      </c>
      <c r="U157" s="75">
        <v>4</v>
      </c>
      <c r="V157" s="75">
        <v>0</v>
      </c>
      <c r="W157" s="75" t="s">
        <v>817</v>
      </c>
      <c r="X157" s="75" t="s">
        <v>626</v>
      </c>
      <c r="Y157" s="75" t="s">
        <v>626</v>
      </c>
      <c r="AA157" s="75" t="s">
        <v>630</v>
      </c>
      <c r="AD157" s="75" t="s">
        <v>629</v>
      </c>
      <c r="AE157" s="75">
        <v>1</v>
      </c>
      <c r="AG157" s="75">
        <v>29</v>
      </c>
      <c r="AH157" s="75">
        <v>106</v>
      </c>
      <c r="AI157" s="75">
        <v>106</v>
      </c>
      <c r="AJ157" s="75">
        <v>106</v>
      </c>
      <c r="AK157" s="75">
        <v>9</v>
      </c>
      <c r="AL157" s="75">
        <v>1</v>
      </c>
      <c r="AM157" s="75">
        <v>0</v>
      </c>
    </row>
    <row r="158" spans="1:39">
      <c r="A158" s="98" t="s">
        <v>474</v>
      </c>
      <c r="B158" s="75" t="s">
        <v>615</v>
      </c>
      <c r="C158" s="107" t="s">
        <v>662</v>
      </c>
      <c r="D158" s="75" t="s">
        <v>617</v>
      </c>
      <c r="E158" s="80">
        <v>8</v>
      </c>
      <c r="F158" s="75">
        <v>2</v>
      </c>
      <c r="G158" s="75" t="s">
        <v>743</v>
      </c>
      <c r="H158" s="99">
        <v>1</v>
      </c>
      <c r="I158" s="273">
        <v>3</v>
      </c>
      <c r="J158" s="99">
        <v>4</v>
      </c>
      <c r="K158" s="99">
        <v>0</v>
      </c>
      <c r="L158" s="99">
        <v>1</v>
      </c>
      <c r="M158" s="99">
        <v>1</v>
      </c>
      <c r="N158" s="99">
        <v>0</v>
      </c>
      <c r="O158" s="75" t="s">
        <v>664</v>
      </c>
      <c r="P158" s="75" t="s">
        <v>792</v>
      </c>
      <c r="Q158" s="80" t="s">
        <v>748</v>
      </c>
      <c r="R158" s="75" t="s">
        <v>820</v>
      </c>
      <c r="S158" s="75" t="s">
        <v>816</v>
      </c>
      <c r="T158" s="75" t="s">
        <v>749</v>
      </c>
      <c r="U158" s="75" t="s">
        <v>624</v>
      </c>
      <c r="V158" s="75">
        <v>0</v>
      </c>
      <c r="W158" s="75" t="s">
        <v>817</v>
      </c>
      <c r="X158" s="75" t="s">
        <v>626</v>
      </c>
      <c r="Y158" s="75" t="s">
        <v>626</v>
      </c>
      <c r="AA158" s="75" t="s">
        <v>630</v>
      </c>
      <c r="AD158" s="75" t="s">
        <v>629</v>
      </c>
      <c r="AE158" s="75">
        <v>1</v>
      </c>
      <c r="AG158" s="75">
        <v>29</v>
      </c>
      <c r="AH158" s="75">
        <v>107</v>
      </c>
      <c r="AI158" s="75">
        <v>107</v>
      </c>
      <c r="AJ158" s="75">
        <v>107</v>
      </c>
      <c r="AK158" s="75">
        <v>15</v>
      </c>
      <c r="AL158" s="75">
        <v>1</v>
      </c>
      <c r="AM158" s="75">
        <v>0</v>
      </c>
    </row>
    <row r="159" spans="1:39">
      <c r="A159" s="98" t="s">
        <v>565</v>
      </c>
      <c r="B159" s="75" t="s">
        <v>615</v>
      </c>
      <c r="C159" s="75" t="s">
        <v>662</v>
      </c>
      <c r="D159" s="75" t="s">
        <v>617</v>
      </c>
      <c r="E159" s="80">
        <v>4</v>
      </c>
      <c r="F159" s="75">
        <v>2</v>
      </c>
      <c r="G159" s="75" t="s">
        <v>750</v>
      </c>
      <c r="H159" s="99">
        <v>1</v>
      </c>
      <c r="I159" s="273">
        <v>1</v>
      </c>
      <c r="J159" s="99">
        <v>4</v>
      </c>
      <c r="K159" s="99">
        <v>0</v>
      </c>
      <c r="L159" s="99">
        <v>1</v>
      </c>
      <c r="M159" s="99">
        <v>1</v>
      </c>
      <c r="N159" s="99">
        <v>0</v>
      </c>
      <c r="O159" s="75" t="s">
        <v>664</v>
      </c>
      <c r="P159" s="75" t="s">
        <v>776</v>
      </c>
      <c r="Q159" s="80" t="s">
        <v>821</v>
      </c>
      <c r="R159" s="75" t="s">
        <v>815</v>
      </c>
      <c r="S159" s="75" t="s">
        <v>816</v>
      </c>
      <c r="T159" s="75" t="s">
        <v>623</v>
      </c>
      <c r="U159" s="75" t="s">
        <v>822</v>
      </c>
      <c r="V159" s="75">
        <v>0.06</v>
      </c>
      <c r="W159" s="75" t="s">
        <v>817</v>
      </c>
      <c r="X159" s="75" t="s">
        <v>626</v>
      </c>
      <c r="Y159" s="75" t="s">
        <v>626</v>
      </c>
      <c r="AA159" s="75" t="s">
        <v>630</v>
      </c>
      <c r="AD159" s="75" t="s">
        <v>629</v>
      </c>
      <c r="AE159" s="75">
        <v>1</v>
      </c>
      <c r="AG159" s="75">
        <v>29</v>
      </c>
      <c r="AH159" s="75">
        <v>108</v>
      </c>
      <c r="AI159" s="75">
        <v>108</v>
      </c>
      <c r="AJ159" s="75">
        <v>108</v>
      </c>
      <c r="AK159" s="75">
        <v>9</v>
      </c>
      <c r="AL159" s="75">
        <v>1</v>
      </c>
      <c r="AM159" s="75">
        <v>0</v>
      </c>
    </row>
    <row r="160" spans="1:39">
      <c r="A160" s="98" t="s">
        <v>587</v>
      </c>
      <c r="B160" s="75" t="s">
        <v>615</v>
      </c>
      <c r="C160" s="75" t="s">
        <v>662</v>
      </c>
      <c r="D160" s="75" t="s">
        <v>617</v>
      </c>
      <c r="E160" s="80">
        <v>5</v>
      </c>
      <c r="F160" s="75">
        <v>2</v>
      </c>
      <c r="G160" s="75" t="s">
        <v>758</v>
      </c>
      <c r="H160" s="99">
        <v>1</v>
      </c>
      <c r="I160" s="273">
        <v>1</v>
      </c>
      <c r="J160" s="99">
        <v>2</v>
      </c>
      <c r="K160" s="99">
        <v>0</v>
      </c>
      <c r="L160" s="99">
        <v>2</v>
      </c>
      <c r="M160" s="99">
        <v>1</v>
      </c>
      <c r="N160" s="99">
        <v>0</v>
      </c>
      <c r="O160" s="75" t="s">
        <v>664</v>
      </c>
      <c r="P160" s="75" t="s">
        <v>641</v>
      </c>
      <c r="Q160" s="80" t="s">
        <v>637</v>
      </c>
      <c r="R160" s="75" t="s">
        <v>762</v>
      </c>
      <c r="S160" s="75" t="s">
        <v>816</v>
      </c>
      <c r="T160" s="75" t="s">
        <v>623</v>
      </c>
      <c r="U160" s="75" t="s">
        <v>823</v>
      </c>
      <c r="V160" s="75">
        <v>0.17</v>
      </c>
      <c r="W160" s="75" t="s">
        <v>817</v>
      </c>
      <c r="X160" s="75" t="s">
        <v>626</v>
      </c>
      <c r="Y160" s="75" t="s">
        <v>626</v>
      </c>
      <c r="AA160" s="75" t="s">
        <v>630</v>
      </c>
      <c r="AD160" s="75" t="s">
        <v>629</v>
      </c>
      <c r="AE160" s="75">
        <v>1</v>
      </c>
      <c r="AG160" s="75">
        <v>29</v>
      </c>
      <c r="AH160" s="75">
        <v>109</v>
      </c>
      <c r="AI160" s="75">
        <v>109</v>
      </c>
      <c r="AJ160" s="75">
        <v>109</v>
      </c>
      <c r="AK160" s="75">
        <v>7</v>
      </c>
      <c r="AL160" s="75">
        <v>3</v>
      </c>
      <c r="AM160" s="75">
        <v>0</v>
      </c>
    </row>
    <row r="161" spans="1:39">
      <c r="A161" s="98" t="s">
        <v>566</v>
      </c>
      <c r="B161" s="75" t="s">
        <v>615</v>
      </c>
      <c r="C161" s="75" t="s">
        <v>662</v>
      </c>
      <c r="D161" s="75" t="s">
        <v>617</v>
      </c>
      <c r="E161" s="80">
        <v>4</v>
      </c>
      <c r="F161" s="75">
        <v>2</v>
      </c>
      <c r="G161" s="75" t="s">
        <v>750</v>
      </c>
      <c r="H161" s="99">
        <v>1</v>
      </c>
      <c r="I161" s="273">
        <v>1</v>
      </c>
      <c r="J161" s="99">
        <v>4</v>
      </c>
      <c r="K161" s="99">
        <v>0</v>
      </c>
      <c r="L161" s="99">
        <v>1</v>
      </c>
      <c r="M161" s="99">
        <v>1</v>
      </c>
      <c r="N161" s="99">
        <v>0</v>
      </c>
      <c r="O161" s="75" t="s">
        <v>664</v>
      </c>
      <c r="P161" s="75" t="s">
        <v>824</v>
      </c>
      <c r="Q161" s="80">
        <v>0.04</v>
      </c>
      <c r="R161" s="75" t="s">
        <v>815</v>
      </c>
      <c r="S161" s="75" t="s">
        <v>816</v>
      </c>
      <c r="T161" s="75" t="s">
        <v>623</v>
      </c>
      <c r="U161" s="75">
        <v>4</v>
      </c>
      <c r="V161" s="75">
        <v>0</v>
      </c>
      <c r="W161" s="75" t="s">
        <v>817</v>
      </c>
      <c r="X161" s="75" t="s">
        <v>626</v>
      </c>
      <c r="Y161" s="75" t="s">
        <v>626</v>
      </c>
      <c r="AA161" s="75" t="s">
        <v>630</v>
      </c>
      <c r="AD161" s="75" t="s">
        <v>629</v>
      </c>
      <c r="AE161" s="75">
        <v>1</v>
      </c>
      <c r="AG161" s="75">
        <v>29</v>
      </c>
      <c r="AH161" s="75">
        <v>110</v>
      </c>
      <c r="AI161" s="75">
        <v>110</v>
      </c>
      <c r="AJ161" s="75">
        <v>110</v>
      </c>
      <c r="AK161" s="75">
        <v>9</v>
      </c>
      <c r="AL161" s="75">
        <v>1</v>
      </c>
      <c r="AM161" s="75">
        <v>0</v>
      </c>
    </row>
    <row r="162" spans="1:39">
      <c r="A162" s="98" t="s">
        <v>470</v>
      </c>
      <c r="B162" s="75" t="s">
        <v>615</v>
      </c>
      <c r="C162" s="75" t="s">
        <v>662</v>
      </c>
      <c r="D162" s="75" t="s">
        <v>617</v>
      </c>
      <c r="E162" s="80">
        <v>8</v>
      </c>
      <c r="F162" s="75">
        <v>2</v>
      </c>
      <c r="G162" s="75" t="s">
        <v>743</v>
      </c>
      <c r="H162" s="99">
        <v>1</v>
      </c>
      <c r="I162" s="273">
        <v>3</v>
      </c>
      <c r="J162" s="99">
        <v>4</v>
      </c>
      <c r="K162" s="99">
        <v>0</v>
      </c>
      <c r="L162" s="99">
        <v>1</v>
      </c>
      <c r="M162" s="99">
        <v>1</v>
      </c>
      <c r="N162" s="99">
        <v>0</v>
      </c>
      <c r="O162" s="75" t="s">
        <v>664</v>
      </c>
      <c r="Q162" s="80" t="s">
        <v>634</v>
      </c>
      <c r="R162" s="75" t="s">
        <v>820</v>
      </c>
      <c r="S162" s="75" t="s">
        <v>816</v>
      </c>
      <c r="T162" s="75" t="s">
        <v>623</v>
      </c>
      <c r="U162" s="75" t="s">
        <v>825</v>
      </c>
      <c r="V162" s="75">
        <v>0.18</v>
      </c>
      <c r="W162" s="75" t="s">
        <v>817</v>
      </c>
      <c r="X162" s="75" t="s">
        <v>626</v>
      </c>
      <c r="Y162" s="75" t="s">
        <v>626</v>
      </c>
      <c r="AA162" s="75" t="s">
        <v>630</v>
      </c>
      <c r="AD162" s="75" t="s">
        <v>629</v>
      </c>
      <c r="AE162" s="75">
        <v>1</v>
      </c>
      <c r="AG162" s="75">
        <v>29</v>
      </c>
      <c r="AH162" s="75">
        <v>111</v>
      </c>
      <c r="AI162" s="75">
        <v>111</v>
      </c>
      <c r="AJ162" s="75">
        <v>111</v>
      </c>
      <c r="AK162" s="75">
        <v>16</v>
      </c>
      <c r="AL162" s="75">
        <v>1</v>
      </c>
      <c r="AM162" s="75">
        <v>0</v>
      </c>
    </row>
    <row r="163" spans="1:39">
      <c r="A163" s="98" t="s">
        <v>481</v>
      </c>
      <c r="B163" s="75" t="s">
        <v>615</v>
      </c>
      <c r="C163" s="75" t="s">
        <v>662</v>
      </c>
      <c r="D163" s="75" t="s">
        <v>617</v>
      </c>
      <c r="E163" s="80">
        <v>8</v>
      </c>
      <c r="F163" s="75">
        <v>2</v>
      </c>
      <c r="G163" s="75" t="s">
        <v>743</v>
      </c>
      <c r="H163" s="99">
        <v>1</v>
      </c>
      <c r="I163" s="273">
        <v>3</v>
      </c>
      <c r="J163" s="99">
        <v>4</v>
      </c>
      <c r="K163" s="99">
        <v>0</v>
      </c>
      <c r="L163" s="99">
        <v>1</v>
      </c>
      <c r="M163" s="99">
        <v>1</v>
      </c>
      <c r="N163" s="99">
        <v>0</v>
      </c>
      <c r="O163" s="75" t="s">
        <v>664</v>
      </c>
      <c r="P163" s="75" t="s">
        <v>747</v>
      </c>
      <c r="Q163" s="80" t="s">
        <v>748</v>
      </c>
      <c r="R163" s="75" t="s">
        <v>820</v>
      </c>
      <c r="S163" s="75" t="s">
        <v>816</v>
      </c>
      <c r="T163" s="75" t="s">
        <v>749</v>
      </c>
      <c r="U163" s="75" t="s">
        <v>624</v>
      </c>
      <c r="V163" s="75">
        <v>0</v>
      </c>
      <c r="W163" s="75" t="s">
        <v>817</v>
      </c>
      <c r="X163" s="75" t="s">
        <v>626</v>
      </c>
      <c r="Y163" s="75" t="s">
        <v>626</v>
      </c>
      <c r="AA163" s="75" t="s">
        <v>630</v>
      </c>
      <c r="AD163" s="75" t="s">
        <v>629</v>
      </c>
      <c r="AE163" s="75">
        <v>1</v>
      </c>
      <c r="AG163" s="75">
        <v>29</v>
      </c>
      <c r="AH163" s="75">
        <v>112</v>
      </c>
      <c r="AI163" s="75">
        <v>112</v>
      </c>
      <c r="AJ163" s="75">
        <v>112</v>
      </c>
      <c r="AK163" s="75">
        <v>14</v>
      </c>
      <c r="AL163" s="75">
        <v>1</v>
      </c>
      <c r="AM163" s="75">
        <v>0</v>
      </c>
    </row>
    <row r="164" spans="1:39">
      <c r="A164" s="98" t="s">
        <v>567</v>
      </c>
      <c r="B164" s="75" t="s">
        <v>615</v>
      </c>
      <c r="C164" s="75" t="s">
        <v>662</v>
      </c>
      <c r="D164" s="75" t="s">
        <v>617</v>
      </c>
      <c r="E164" s="80">
        <v>4</v>
      </c>
      <c r="F164" s="75">
        <v>2</v>
      </c>
      <c r="G164" s="75" t="s">
        <v>750</v>
      </c>
      <c r="H164" s="99">
        <v>1</v>
      </c>
      <c r="I164" s="273">
        <v>1</v>
      </c>
      <c r="J164" s="99">
        <v>4</v>
      </c>
      <c r="K164" s="99">
        <v>0</v>
      </c>
      <c r="L164" s="99">
        <v>1</v>
      </c>
      <c r="M164" s="99">
        <v>1</v>
      </c>
      <c r="N164" s="99">
        <v>0</v>
      </c>
      <c r="O164" s="75" t="s">
        <v>664</v>
      </c>
      <c r="P164" s="75" t="s">
        <v>826</v>
      </c>
      <c r="Q164" s="80" t="s">
        <v>634</v>
      </c>
      <c r="R164" s="75" t="s">
        <v>815</v>
      </c>
      <c r="S164" s="75" t="s">
        <v>816</v>
      </c>
      <c r="T164" s="75" t="s">
        <v>623</v>
      </c>
      <c r="U164" s="75" t="s">
        <v>827</v>
      </c>
      <c r="V164" s="75">
        <v>0.94</v>
      </c>
      <c r="W164" s="75" t="s">
        <v>817</v>
      </c>
      <c r="X164" s="75" t="s">
        <v>626</v>
      </c>
      <c r="Y164" s="75" t="s">
        <v>626</v>
      </c>
      <c r="AA164" s="75" t="s">
        <v>630</v>
      </c>
      <c r="AD164" s="75" t="s">
        <v>629</v>
      </c>
      <c r="AE164" s="75">
        <v>1</v>
      </c>
      <c r="AG164" s="75">
        <v>29</v>
      </c>
      <c r="AH164" s="75">
        <v>113</v>
      </c>
      <c r="AI164" s="75">
        <v>113</v>
      </c>
      <c r="AJ164" s="75">
        <v>113</v>
      </c>
      <c r="AK164" s="75">
        <v>9</v>
      </c>
      <c r="AL164" s="75">
        <v>1</v>
      </c>
      <c r="AM164" s="75">
        <v>0</v>
      </c>
    </row>
    <row r="165" spans="1:39">
      <c r="A165" s="98" t="s">
        <v>568</v>
      </c>
      <c r="B165" s="75" t="s">
        <v>615</v>
      </c>
      <c r="C165" s="75" t="s">
        <v>662</v>
      </c>
      <c r="D165" s="75" t="s">
        <v>617</v>
      </c>
      <c r="E165" s="80">
        <v>4</v>
      </c>
      <c r="F165" s="75">
        <v>2</v>
      </c>
      <c r="G165" s="75" t="s">
        <v>750</v>
      </c>
      <c r="H165" s="99">
        <v>1</v>
      </c>
      <c r="I165" s="273">
        <v>1</v>
      </c>
      <c r="J165" s="99">
        <v>4</v>
      </c>
      <c r="K165" s="99">
        <v>0</v>
      </c>
      <c r="L165" s="99">
        <v>1</v>
      </c>
      <c r="M165" s="99">
        <v>1</v>
      </c>
      <c r="N165" s="99">
        <v>0</v>
      </c>
      <c r="O165" s="75" t="s">
        <v>664</v>
      </c>
      <c r="P165" s="75" t="s">
        <v>828</v>
      </c>
      <c r="Q165" s="80">
        <v>0.04</v>
      </c>
      <c r="R165" s="75" t="s">
        <v>815</v>
      </c>
      <c r="S165" s="75" t="s">
        <v>816</v>
      </c>
      <c r="T165" s="75" t="s">
        <v>623</v>
      </c>
      <c r="U165" s="75">
        <v>4</v>
      </c>
      <c r="V165" s="75">
        <v>0</v>
      </c>
      <c r="W165" s="75" t="s">
        <v>817</v>
      </c>
      <c r="X165" s="75" t="s">
        <v>626</v>
      </c>
      <c r="Y165" s="75" t="s">
        <v>626</v>
      </c>
      <c r="AA165" s="75" t="s">
        <v>630</v>
      </c>
      <c r="AD165" s="75" t="s">
        <v>629</v>
      </c>
      <c r="AE165" s="75">
        <v>1</v>
      </c>
      <c r="AG165" s="75">
        <v>29</v>
      </c>
      <c r="AH165" s="75">
        <v>114</v>
      </c>
      <c r="AI165" s="75">
        <v>114</v>
      </c>
      <c r="AJ165" s="75">
        <v>114</v>
      </c>
      <c r="AK165" s="75">
        <v>9</v>
      </c>
      <c r="AL165" s="75">
        <v>1</v>
      </c>
      <c r="AM165" s="75">
        <v>0</v>
      </c>
    </row>
    <row r="166" spans="1:39">
      <c r="A166" s="98" t="s">
        <v>569</v>
      </c>
      <c r="B166" s="75" t="s">
        <v>615</v>
      </c>
      <c r="C166" s="75" t="s">
        <v>662</v>
      </c>
      <c r="D166" s="75" t="s">
        <v>617</v>
      </c>
      <c r="E166" s="80">
        <v>4</v>
      </c>
      <c r="F166" s="75">
        <v>2</v>
      </c>
      <c r="G166" s="75" t="s">
        <v>750</v>
      </c>
      <c r="H166" s="99">
        <v>1</v>
      </c>
      <c r="I166" s="273">
        <v>1</v>
      </c>
      <c r="J166" s="99">
        <v>4</v>
      </c>
      <c r="K166" s="99">
        <v>0</v>
      </c>
      <c r="L166" s="99">
        <v>1</v>
      </c>
      <c r="M166" s="99">
        <v>1</v>
      </c>
      <c r="N166" s="99">
        <v>0</v>
      </c>
      <c r="O166" s="75" t="s">
        <v>664</v>
      </c>
      <c r="P166" s="75" t="s">
        <v>829</v>
      </c>
      <c r="Q166" s="80">
        <v>0.03</v>
      </c>
      <c r="R166" s="75" t="s">
        <v>815</v>
      </c>
      <c r="S166" s="75" t="s">
        <v>816</v>
      </c>
      <c r="T166" s="75" t="s">
        <v>623</v>
      </c>
      <c r="U166" s="75">
        <v>3</v>
      </c>
      <c r="V166" s="75">
        <v>1</v>
      </c>
      <c r="W166" s="75" t="s">
        <v>817</v>
      </c>
      <c r="X166" s="75" t="s">
        <v>626</v>
      </c>
      <c r="Y166" s="75" t="s">
        <v>626</v>
      </c>
      <c r="AA166" s="75" t="s">
        <v>630</v>
      </c>
      <c r="AD166" s="75" t="s">
        <v>629</v>
      </c>
      <c r="AE166" s="75">
        <v>1</v>
      </c>
      <c r="AG166" s="75">
        <v>29</v>
      </c>
      <c r="AH166" s="75">
        <v>115</v>
      </c>
      <c r="AI166" s="75">
        <v>115</v>
      </c>
      <c r="AJ166" s="75">
        <v>115</v>
      </c>
      <c r="AK166" s="75">
        <v>9</v>
      </c>
      <c r="AL166" s="75">
        <v>1</v>
      </c>
      <c r="AM166" s="75">
        <v>0</v>
      </c>
    </row>
    <row r="167" spans="1:39">
      <c r="A167" s="98" t="s">
        <v>570</v>
      </c>
      <c r="B167" s="75" t="s">
        <v>615</v>
      </c>
      <c r="C167" s="75" t="s">
        <v>662</v>
      </c>
      <c r="D167" s="75" t="s">
        <v>617</v>
      </c>
      <c r="E167" s="80">
        <v>4</v>
      </c>
      <c r="F167" s="75">
        <v>2</v>
      </c>
      <c r="G167" s="75" t="s">
        <v>750</v>
      </c>
      <c r="H167" s="99">
        <v>1</v>
      </c>
      <c r="I167" s="273">
        <v>1</v>
      </c>
      <c r="J167" s="99">
        <v>4</v>
      </c>
      <c r="K167" s="99">
        <v>0</v>
      </c>
      <c r="L167" s="99">
        <v>1</v>
      </c>
      <c r="M167" s="99">
        <v>1</v>
      </c>
      <c r="N167" s="99">
        <v>0</v>
      </c>
      <c r="O167" s="75" t="s">
        <v>664</v>
      </c>
      <c r="P167" s="75" t="s">
        <v>829</v>
      </c>
      <c r="Q167" s="80">
        <v>0.04</v>
      </c>
      <c r="R167" s="75" t="s">
        <v>815</v>
      </c>
      <c r="S167" s="75" t="s">
        <v>816</v>
      </c>
      <c r="T167" s="75" t="s">
        <v>623</v>
      </c>
      <c r="U167" s="75">
        <v>4</v>
      </c>
      <c r="V167" s="75">
        <v>0</v>
      </c>
      <c r="W167" s="75" t="s">
        <v>817</v>
      </c>
      <c r="X167" s="75" t="s">
        <v>626</v>
      </c>
      <c r="Y167" s="75" t="s">
        <v>626</v>
      </c>
      <c r="AA167" s="75" t="s">
        <v>630</v>
      </c>
      <c r="AD167" s="75" t="s">
        <v>629</v>
      </c>
      <c r="AE167" s="75">
        <v>1</v>
      </c>
      <c r="AG167" s="75">
        <v>29</v>
      </c>
      <c r="AH167" s="75">
        <v>116</v>
      </c>
      <c r="AI167" s="75">
        <v>116</v>
      </c>
      <c r="AJ167" s="75">
        <v>116</v>
      </c>
      <c r="AK167" s="75">
        <v>9</v>
      </c>
      <c r="AL167" s="75">
        <v>1</v>
      </c>
      <c r="AM167" s="75">
        <v>0</v>
      </c>
    </row>
    <row r="168" spans="1:39">
      <c r="A168" s="98" t="s">
        <v>571</v>
      </c>
      <c r="B168" s="75" t="s">
        <v>615</v>
      </c>
      <c r="C168" s="75" t="s">
        <v>662</v>
      </c>
      <c r="D168" s="75" t="s">
        <v>617</v>
      </c>
      <c r="E168" s="80">
        <v>4</v>
      </c>
      <c r="F168" s="75">
        <v>2</v>
      </c>
      <c r="G168" s="75" t="s">
        <v>750</v>
      </c>
      <c r="H168" s="99">
        <v>1</v>
      </c>
      <c r="I168" s="273">
        <v>1</v>
      </c>
      <c r="J168" s="99">
        <v>4</v>
      </c>
      <c r="K168" s="99">
        <v>0</v>
      </c>
      <c r="L168" s="99">
        <v>1</v>
      </c>
      <c r="M168" s="99">
        <v>1</v>
      </c>
      <c r="N168" s="99">
        <v>0</v>
      </c>
      <c r="O168" s="75" t="s">
        <v>664</v>
      </c>
      <c r="P168" s="75" t="s">
        <v>830</v>
      </c>
      <c r="Q168" s="80">
        <v>0.04</v>
      </c>
      <c r="R168" s="75" t="s">
        <v>815</v>
      </c>
      <c r="S168" s="75" t="s">
        <v>816</v>
      </c>
      <c r="T168" s="75" t="s">
        <v>623</v>
      </c>
      <c r="U168" s="75">
        <v>4</v>
      </c>
      <c r="V168" s="75">
        <v>0</v>
      </c>
      <c r="W168" s="75" t="s">
        <v>817</v>
      </c>
      <c r="X168" s="75" t="s">
        <v>626</v>
      </c>
      <c r="Y168" s="75" t="s">
        <v>626</v>
      </c>
      <c r="AA168" s="75" t="s">
        <v>630</v>
      </c>
      <c r="AD168" s="75" t="s">
        <v>629</v>
      </c>
      <c r="AE168" s="75">
        <v>1</v>
      </c>
      <c r="AG168" s="75">
        <v>29</v>
      </c>
      <c r="AH168" s="75">
        <v>117</v>
      </c>
      <c r="AI168" s="75">
        <v>117</v>
      </c>
      <c r="AJ168" s="75">
        <v>117</v>
      </c>
      <c r="AK168" s="75">
        <v>9</v>
      </c>
      <c r="AL168" s="75">
        <v>1</v>
      </c>
      <c r="AM168" s="75">
        <v>0</v>
      </c>
    </row>
    <row r="169" spans="1:39">
      <c r="A169" s="98" t="s">
        <v>475</v>
      </c>
      <c r="B169" s="75" t="s">
        <v>615</v>
      </c>
      <c r="C169" s="75" t="s">
        <v>662</v>
      </c>
      <c r="D169" s="75" t="s">
        <v>617</v>
      </c>
      <c r="E169" s="80">
        <v>8</v>
      </c>
      <c r="F169" s="75">
        <v>2</v>
      </c>
      <c r="G169" s="75" t="s">
        <v>743</v>
      </c>
      <c r="H169" s="99">
        <v>1</v>
      </c>
      <c r="I169" s="273">
        <v>3</v>
      </c>
      <c r="J169" s="99">
        <v>4</v>
      </c>
      <c r="K169" s="99">
        <v>0</v>
      </c>
      <c r="L169" s="99">
        <v>1</v>
      </c>
      <c r="M169" s="99">
        <v>1</v>
      </c>
      <c r="N169" s="99">
        <v>0</v>
      </c>
      <c r="O169" s="75" t="s">
        <v>779</v>
      </c>
      <c r="P169" s="75" t="s">
        <v>831</v>
      </c>
      <c r="Q169" s="80" t="s">
        <v>748</v>
      </c>
      <c r="R169" s="75" t="s">
        <v>820</v>
      </c>
      <c r="S169" s="75" t="s">
        <v>832</v>
      </c>
      <c r="T169" s="75" t="s">
        <v>749</v>
      </c>
      <c r="U169" s="75" t="s">
        <v>624</v>
      </c>
      <c r="V169" s="75"/>
      <c r="W169" s="75" t="s">
        <v>833</v>
      </c>
      <c r="X169" s="75" t="s">
        <v>626</v>
      </c>
      <c r="Y169" s="75" t="s">
        <v>626</v>
      </c>
      <c r="AA169" s="75" t="s">
        <v>626</v>
      </c>
      <c r="AB169" s="75" t="s">
        <v>834</v>
      </c>
      <c r="AC169" s="75" t="s">
        <v>766</v>
      </c>
      <c r="AD169" s="75" t="s">
        <v>629</v>
      </c>
      <c r="AE169" s="75">
        <v>1</v>
      </c>
      <c r="AG169" s="75">
        <v>21</v>
      </c>
      <c r="AH169" s="75">
        <v>81</v>
      </c>
      <c r="AI169" s="75">
        <v>81</v>
      </c>
      <c r="AJ169" s="75">
        <v>81</v>
      </c>
      <c r="AK169" s="75">
        <v>15</v>
      </c>
      <c r="AL169" s="75">
        <v>1</v>
      </c>
      <c r="AM169" s="75">
        <v>0</v>
      </c>
    </row>
    <row r="170" spans="1:39">
      <c r="A170" s="98" t="s">
        <v>476</v>
      </c>
      <c r="B170" s="75" t="s">
        <v>615</v>
      </c>
      <c r="C170" s="75" t="s">
        <v>662</v>
      </c>
      <c r="D170" s="75" t="s">
        <v>617</v>
      </c>
      <c r="E170" s="80">
        <v>8</v>
      </c>
      <c r="F170" s="75">
        <v>2</v>
      </c>
      <c r="G170" s="75" t="s">
        <v>743</v>
      </c>
      <c r="H170" s="99">
        <v>1</v>
      </c>
      <c r="I170" s="273">
        <v>3</v>
      </c>
      <c r="J170" s="99">
        <v>4</v>
      </c>
      <c r="K170" s="99">
        <v>0</v>
      </c>
      <c r="L170" s="99">
        <v>1</v>
      </c>
      <c r="M170" s="99">
        <v>1</v>
      </c>
      <c r="N170" s="99">
        <v>0</v>
      </c>
      <c r="O170" s="75" t="s">
        <v>779</v>
      </c>
      <c r="P170" s="75" t="s">
        <v>792</v>
      </c>
      <c r="Q170" s="80" t="s">
        <v>748</v>
      </c>
      <c r="R170" s="75" t="s">
        <v>820</v>
      </c>
      <c r="S170" s="75" t="s">
        <v>832</v>
      </c>
      <c r="T170" s="75" t="s">
        <v>749</v>
      </c>
      <c r="U170" s="75" t="s">
        <v>624</v>
      </c>
      <c r="V170" s="75"/>
      <c r="W170" s="75" t="s">
        <v>833</v>
      </c>
      <c r="X170" s="75" t="s">
        <v>626</v>
      </c>
      <c r="Y170" s="75" t="s">
        <v>626</v>
      </c>
      <c r="AA170" s="75" t="s">
        <v>626</v>
      </c>
      <c r="AB170" s="75" t="s">
        <v>834</v>
      </c>
      <c r="AC170" s="75" t="s">
        <v>766</v>
      </c>
      <c r="AD170" s="75" t="s">
        <v>629</v>
      </c>
      <c r="AE170" s="75">
        <v>1</v>
      </c>
      <c r="AG170" s="75">
        <v>21</v>
      </c>
      <c r="AH170" s="75">
        <v>82</v>
      </c>
      <c r="AI170" s="75">
        <v>82</v>
      </c>
      <c r="AJ170" s="75">
        <v>82</v>
      </c>
      <c r="AK170" s="75">
        <v>15</v>
      </c>
      <c r="AL170" s="75">
        <v>1</v>
      </c>
      <c r="AM170" s="75">
        <v>0</v>
      </c>
    </row>
    <row r="171" spans="1:39">
      <c r="A171" s="98" t="s">
        <v>482</v>
      </c>
      <c r="B171" s="75" t="s">
        <v>615</v>
      </c>
      <c r="C171" s="75" t="s">
        <v>662</v>
      </c>
      <c r="D171" s="75" t="s">
        <v>617</v>
      </c>
      <c r="E171" s="80">
        <v>8</v>
      </c>
      <c r="F171" s="75">
        <v>2</v>
      </c>
      <c r="G171" s="75" t="s">
        <v>743</v>
      </c>
      <c r="H171" s="99">
        <v>1</v>
      </c>
      <c r="I171" s="273">
        <v>3</v>
      </c>
      <c r="J171" s="99">
        <v>4</v>
      </c>
      <c r="K171" s="99">
        <v>0</v>
      </c>
      <c r="L171" s="99">
        <v>1</v>
      </c>
      <c r="M171" s="99">
        <v>1</v>
      </c>
      <c r="N171" s="99">
        <v>0</v>
      </c>
      <c r="O171" s="75" t="s">
        <v>779</v>
      </c>
      <c r="P171" s="75" t="s">
        <v>835</v>
      </c>
      <c r="Q171" s="80" t="s">
        <v>748</v>
      </c>
      <c r="R171" s="75" t="s">
        <v>820</v>
      </c>
      <c r="S171" s="75" t="s">
        <v>832</v>
      </c>
      <c r="T171" s="75" t="s">
        <v>749</v>
      </c>
      <c r="U171" s="75" t="s">
        <v>624</v>
      </c>
      <c r="V171" s="75"/>
      <c r="W171" s="75" t="s">
        <v>833</v>
      </c>
      <c r="X171" s="75" t="s">
        <v>626</v>
      </c>
      <c r="Y171" s="75" t="s">
        <v>626</v>
      </c>
      <c r="AA171" s="75" t="s">
        <v>626</v>
      </c>
      <c r="AB171" s="75" t="s">
        <v>834</v>
      </c>
      <c r="AC171" s="75" t="s">
        <v>766</v>
      </c>
      <c r="AD171" s="75" t="s">
        <v>629</v>
      </c>
      <c r="AE171" s="75">
        <v>1</v>
      </c>
      <c r="AG171" s="75">
        <v>21</v>
      </c>
      <c r="AH171" s="75">
        <v>83</v>
      </c>
      <c r="AI171" s="75">
        <v>83</v>
      </c>
      <c r="AJ171" s="75">
        <v>83</v>
      </c>
      <c r="AK171" s="75">
        <v>14</v>
      </c>
      <c r="AL171" s="75">
        <v>1</v>
      </c>
      <c r="AM171" s="75">
        <v>0</v>
      </c>
    </row>
    <row r="172" spans="1:39">
      <c r="A172" s="98" t="s">
        <v>492</v>
      </c>
      <c r="B172" s="75" t="s">
        <v>615</v>
      </c>
      <c r="C172" s="75" t="s">
        <v>662</v>
      </c>
      <c r="D172" s="75" t="s">
        <v>617</v>
      </c>
      <c r="E172" s="80">
        <v>6</v>
      </c>
      <c r="F172" s="75">
        <v>2</v>
      </c>
      <c r="G172" s="75" t="s">
        <v>767</v>
      </c>
      <c r="H172" s="99">
        <v>1</v>
      </c>
      <c r="I172" s="273">
        <v>3</v>
      </c>
      <c r="J172" s="99">
        <v>1</v>
      </c>
      <c r="K172" s="99">
        <v>0</v>
      </c>
      <c r="L172" s="99">
        <v>1</v>
      </c>
      <c r="M172" s="99">
        <v>1</v>
      </c>
      <c r="N172" s="99">
        <v>0</v>
      </c>
      <c r="O172" s="75" t="s">
        <v>779</v>
      </c>
      <c r="Q172" s="80" t="s">
        <v>634</v>
      </c>
      <c r="R172" s="75" t="s">
        <v>769</v>
      </c>
      <c r="S172" s="75" t="s">
        <v>832</v>
      </c>
      <c r="T172" s="75" t="s">
        <v>623</v>
      </c>
      <c r="U172" s="75">
        <v>3</v>
      </c>
      <c r="V172" s="75">
        <v>1</v>
      </c>
      <c r="W172" s="75" t="s">
        <v>833</v>
      </c>
      <c r="X172" s="75" t="s">
        <v>626</v>
      </c>
      <c r="Y172" s="75" t="s">
        <v>626</v>
      </c>
      <c r="AA172" s="75" t="s">
        <v>630</v>
      </c>
      <c r="AD172" s="75" t="s">
        <v>629</v>
      </c>
      <c r="AE172" s="75">
        <v>1</v>
      </c>
      <c r="AG172" s="75">
        <v>21</v>
      </c>
      <c r="AH172" s="75">
        <v>84</v>
      </c>
      <c r="AI172" s="75">
        <v>84</v>
      </c>
      <c r="AJ172" s="75">
        <v>84</v>
      </c>
      <c r="AK172" s="75">
        <v>13</v>
      </c>
      <c r="AL172" s="75">
        <v>1</v>
      </c>
      <c r="AM172" s="75">
        <v>0</v>
      </c>
    </row>
    <row r="173" spans="1:39">
      <c r="A173" s="98" t="s">
        <v>483</v>
      </c>
      <c r="B173" s="75" t="s">
        <v>615</v>
      </c>
      <c r="C173" s="75" t="s">
        <v>662</v>
      </c>
      <c r="D173" s="75" t="s">
        <v>617</v>
      </c>
      <c r="E173" s="80">
        <v>8</v>
      </c>
      <c r="F173" s="75">
        <v>2</v>
      </c>
      <c r="G173" s="75" t="s">
        <v>743</v>
      </c>
      <c r="H173" s="99">
        <v>1</v>
      </c>
      <c r="I173" s="273">
        <v>3</v>
      </c>
      <c r="J173" s="99">
        <v>4</v>
      </c>
      <c r="K173" s="99">
        <v>0</v>
      </c>
      <c r="L173" s="99">
        <v>1</v>
      </c>
      <c r="M173" s="99">
        <v>1</v>
      </c>
      <c r="N173" s="99">
        <v>0</v>
      </c>
      <c r="O173" s="75" t="s">
        <v>779</v>
      </c>
      <c r="P173" s="75" t="s">
        <v>836</v>
      </c>
      <c r="Q173" s="80" t="s">
        <v>748</v>
      </c>
      <c r="R173" s="75" t="s">
        <v>820</v>
      </c>
      <c r="S173" s="75" t="s">
        <v>832</v>
      </c>
      <c r="T173" s="75" t="s">
        <v>749</v>
      </c>
      <c r="U173" s="75" t="s">
        <v>624</v>
      </c>
      <c r="V173" s="75"/>
      <c r="W173" s="75" t="s">
        <v>833</v>
      </c>
      <c r="X173" s="75" t="s">
        <v>626</v>
      </c>
      <c r="Y173" s="75" t="s">
        <v>626</v>
      </c>
      <c r="AA173" s="75" t="s">
        <v>630</v>
      </c>
      <c r="AD173" s="75" t="s">
        <v>629</v>
      </c>
      <c r="AE173" s="75">
        <v>1</v>
      </c>
      <c r="AG173" s="75">
        <v>21</v>
      </c>
      <c r="AH173" s="75">
        <v>85</v>
      </c>
      <c r="AI173" s="75">
        <v>85</v>
      </c>
      <c r="AJ173" s="75">
        <v>85</v>
      </c>
      <c r="AK173" s="75">
        <v>14</v>
      </c>
      <c r="AL173" s="75">
        <v>1</v>
      </c>
      <c r="AM173" s="75">
        <v>0</v>
      </c>
    </row>
    <row r="174" spans="1:39">
      <c r="A174" s="98" t="s">
        <v>484</v>
      </c>
      <c r="B174" s="75" t="s">
        <v>615</v>
      </c>
      <c r="C174" s="75" t="s">
        <v>662</v>
      </c>
      <c r="D174" s="75" t="s">
        <v>617</v>
      </c>
      <c r="E174" s="80">
        <v>8</v>
      </c>
      <c r="F174" s="75">
        <v>2</v>
      </c>
      <c r="G174" s="75" t="s">
        <v>743</v>
      </c>
      <c r="H174" s="99">
        <v>1</v>
      </c>
      <c r="I174" s="273">
        <v>3</v>
      </c>
      <c r="J174" s="99">
        <v>4</v>
      </c>
      <c r="K174" s="99">
        <v>0</v>
      </c>
      <c r="L174" s="99">
        <v>1</v>
      </c>
      <c r="M174" s="99">
        <v>1</v>
      </c>
      <c r="N174" s="99">
        <v>0</v>
      </c>
      <c r="O174" s="75" t="s">
        <v>779</v>
      </c>
      <c r="P174" s="75" t="s">
        <v>747</v>
      </c>
      <c r="Q174" s="80" t="s">
        <v>748</v>
      </c>
      <c r="R174" s="75" t="s">
        <v>820</v>
      </c>
      <c r="S174" s="75" t="s">
        <v>832</v>
      </c>
      <c r="T174" s="75" t="s">
        <v>749</v>
      </c>
      <c r="U174" s="75" t="s">
        <v>624</v>
      </c>
      <c r="V174" s="75"/>
      <c r="W174" s="75" t="s">
        <v>833</v>
      </c>
      <c r="X174" s="75" t="s">
        <v>626</v>
      </c>
      <c r="Y174" s="75" t="s">
        <v>626</v>
      </c>
      <c r="AA174" s="75" t="s">
        <v>626</v>
      </c>
      <c r="AB174" s="75" t="s">
        <v>834</v>
      </c>
      <c r="AC174" s="75" t="s">
        <v>766</v>
      </c>
      <c r="AD174" s="75" t="s">
        <v>629</v>
      </c>
      <c r="AE174" s="75">
        <v>1</v>
      </c>
      <c r="AG174" s="75">
        <v>21</v>
      </c>
      <c r="AH174" s="75">
        <v>86</v>
      </c>
      <c r="AI174" s="75">
        <v>86</v>
      </c>
      <c r="AJ174" s="75">
        <v>86</v>
      </c>
      <c r="AK174" s="75">
        <v>14</v>
      </c>
      <c r="AL174" s="75">
        <v>1</v>
      </c>
      <c r="AM174" s="75">
        <v>0</v>
      </c>
    </row>
    <row r="175" spans="1:39">
      <c r="A175" s="98" t="s">
        <v>485</v>
      </c>
      <c r="B175" s="75" t="s">
        <v>615</v>
      </c>
      <c r="C175" s="75" t="s">
        <v>662</v>
      </c>
      <c r="D175" s="75" t="s">
        <v>617</v>
      </c>
      <c r="E175" s="80">
        <v>8</v>
      </c>
      <c r="F175" s="75">
        <v>2</v>
      </c>
      <c r="G175" s="75" t="s">
        <v>743</v>
      </c>
      <c r="H175" s="99">
        <v>1</v>
      </c>
      <c r="I175" s="273">
        <v>3</v>
      </c>
      <c r="J175" s="99">
        <v>4</v>
      </c>
      <c r="K175" s="99">
        <v>0</v>
      </c>
      <c r="L175" s="99">
        <v>1</v>
      </c>
      <c r="M175" s="99">
        <v>1</v>
      </c>
      <c r="N175" s="99">
        <v>0</v>
      </c>
      <c r="O175" s="75" t="s">
        <v>779</v>
      </c>
      <c r="P175" s="75" t="s">
        <v>837</v>
      </c>
      <c r="Q175" s="80" t="s">
        <v>748</v>
      </c>
      <c r="R175" s="75" t="s">
        <v>820</v>
      </c>
      <c r="S175" s="75" t="s">
        <v>832</v>
      </c>
      <c r="T175" s="75" t="s">
        <v>749</v>
      </c>
      <c r="U175" s="75" t="s">
        <v>624</v>
      </c>
      <c r="V175" s="75"/>
      <c r="W175" s="75" t="s">
        <v>833</v>
      </c>
      <c r="X175" s="75" t="s">
        <v>626</v>
      </c>
      <c r="Y175" s="75" t="s">
        <v>626</v>
      </c>
      <c r="AA175" s="75" t="s">
        <v>626</v>
      </c>
      <c r="AB175" s="75" t="s">
        <v>838</v>
      </c>
      <c r="AC175" s="75" t="s">
        <v>766</v>
      </c>
      <c r="AD175" s="75" t="s">
        <v>629</v>
      </c>
      <c r="AE175" s="75">
        <v>1</v>
      </c>
      <c r="AG175" s="75">
        <v>21</v>
      </c>
      <c r="AH175" s="75">
        <v>87</v>
      </c>
      <c r="AI175" s="75">
        <v>87</v>
      </c>
      <c r="AJ175" s="75">
        <v>87</v>
      </c>
      <c r="AK175" s="75">
        <v>14</v>
      </c>
      <c r="AL175" s="75">
        <v>1</v>
      </c>
      <c r="AM175" s="75">
        <v>0</v>
      </c>
    </row>
    <row r="176" spans="1:39" s="283" customFormat="1">
      <c r="A176" s="282" t="s">
        <v>572</v>
      </c>
      <c r="B176" s="283" t="s">
        <v>615</v>
      </c>
      <c r="C176" s="283" t="s">
        <v>662</v>
      </c>
      <c r="D176" s="283" t="s">
        <v>617</v>
      </c>
      <c r="E176" s="284">
        <v>4</v>
      </c>
      <c r="F176" s="283">
        <v>2</v>
      </c>
      <c r="G176" s="283" t="s">
        <v>750</v>
      </c>
      <c r="H176" s="284">
        <v>1</v>
      </c>
      <c r="I176" s="284">
        <v>1</v>
      </c>
      <c r="J176" s="284">
        <v>4</v>
      </c>
      <c r="K176" s="284">
        <v>0</v>
      </c>
      <c r="L176" s="284">
        <v>1</v>
      </c>
      <c r="M176" s="284">
        <v>1</v>
      </c>
      <c r="N176" s="284">
        <v>0</v>
      </c>
      <c r="O176" s="283" t="s">
        <v>779</v>
      </c>
      <c r="P176" s="283" t="s">
        <v>751</v>
      </c>
      <c r="Q176" s="284">
        <v>0.03</v>
      </c>
      <c r="R176" s="283" t="s">
        <v>815</v>
      </c>
      <c r="S176" s="283" t="s">
        <v>832</v>
      </c>
      <c r="T176" s="283" t="s">
        <v>623</v>
      </c>
      <c r="U176" s="283">
        <v>3</v>
      </c>
      <c r="V176" s="283">
        <v>1</v>
      </c>
      <c r="W176" s="283" t="s">
        <v>833</v>
      </c>
      <c r="X176" s="283" t="s">
        <v>626</v>
      </c>
      <c r="Y176" s="283" t="s">
        <v>626</v>
      </c>
      <c r="AA176" s="283" t="s">
        <v>626</v>
      </c>
      <c r="AB176" s="283" t="s">
        <v>791</v>
      </c>
      <c r="AC176" s="283" t="s">
        <v>766</v>
      </c>
      <c r="AD176" s="283" t="s">
        <v>629</v>
      </c>
      <c r="AE176" s="283">
        <v>1</v>
      </c>
      <c r="AG176" s="283">
        <v>21</v>
      </c>
      <c r="AH176" s="283">
        <v>88</v>
      </c>
      <c r="AI176" s="283">
        <v>88</v>
      </c>
      <c r="AJ176" s="283">
        <v>88</v>
      </c>
      <c r="AK176" s="283">
        <v>9</v>
      </c>
      <c r="AL176" s="283">
        <v>1</v>
      </c>
      <c r="AM176" s="283">
        <v>0</v>
      </c>
    </row>
    <row r="177" spans="1:39">
      <c r="A177" s="98" t="s">
        <v>573</v>
      </c>
      <c r="B177" s="75" t="s">
        <v>615</v>
      </c>
      <c r="C177" s="75" t="s">
        <v>662</v>
      </c>
      <c r="D177" s="75" t="s">
        <v>617</v>
      </c>
      <c r="E177" s="80">
        <v>4</v>
      </c>
      <c r="F177" s="75">
        <v>2</v>
      </c>
      <c r="G177" s="75" t="s">
        <v>750</v>
      </c>
      <c r="H177" s="99">
        <v>1</v>
      </c>
      <c r="I177" s="273">
        <v>1</v>
      </c>
      <c r="J177" s="99">
        <v>4</v>
      </c>
      <c r="K177" s="99">
        <v>0</v>
      </c>
      <c r="L177" s="99">
        <v>1</v>
      </c>
      <c r="M177" s="99">
        <v>1</v>
      </c>
      <c r="N177" s="99">
        <v>0</v>
      </c>
      <c r="O177" s="75" t="s">
        <v>779</v>
      </c>
      <c r="P177" s="75" t="s">
        <v>751</v>
      </c>
      <c r="Q177" s="80">
        <v>0.04</v>
      </c>
      <c r="R177" s="75" t="s">
        <v>815</v>
      </c>
      <c r="S177" s="75" t="s">
        <v>832</v>
      </c>
      <c r="T177" s="75" t="s">
        <v>623</v>
      </c>
      <c r="U177" s="75">
        <v>4</v>
      </c>
      <c r="V177" s="75">
        <v>0</v>
      </c>
      <c r="W177" s="75" t="s">
        <v>833</v>
      </c>
      <c r="X177" s="75" t="s">
        <v>626</v>
      </c>
      <c r="Y177" s="75" t="s">
        <v>626</v>
      </c>
      <c r="AA177" s="75" t="s">
        <v>630</v>
      </c>
      <c r="AD177" s="75" t="s">
        <v>629</v>
      </c>
      <c r="AE177" s="75">
        <v>1</v>
      </c>
      <c r="AG177" s="75">
        <v>21</v>
      </c>
      <c r="AH177" s="75">
        <v>89</v>
      </c>
      <c r="AI177" s="75">
        <v>89</v>
      </c>
      <c r="AJ177" s="75">
        <v>89</v>
      </c>
      <c r="AK177" s="75">
        <v>9</v>
      </c>
      <c r="AL177" s="75">
        <v>1</v>
      </c>
      <c r="AM177" s="75">
        <v>0</v>
      </c>
    </row>
    <row r="178" spans="1:39">
      <c r="A178" s="98" t="s">
        <v>1088</v>
      </c>
      <c r="B178" s="75" t="s">
        <v>615</v>
      </c>
      <c r="C178" s="75" t="s">
        <v>662</v>
      </c>
      <c r="D178" s="75" t="s">
        <v>617</v>
      </c>
      <c r="E178" s="80">
        <v>5</v>
      </c>
      <c r="F178" s="75">
        <v>2</v>
      </c>
      <c r="G178" s="75" t="s">
        <v>758</v>
      </c>
      <c r="H178" s="99"/>
      <c r="I178" s="273">
        <v>1</v>
      </c>
      <c r="J178" s="99">
        <v>2</v>
      </c>
      <c r="K178" s="99">
        <v>0</v>
      </c>
      <c r="L178" s="99">
        <v>2</v>
      </c>
      <c r="M178" s="99">
        <v>1</v>
      </c>
      <c r="N178" s="99">
        <v>0</v>
      </c>
      <c r="O178" s="75" t="s">
        <v>1115</v>
      </c>
      <c r="P178" s="75" t="s">
        <v>1116</v>
      </c>
      <c r="Q178" s="80" t="s">
        <v>624</v>
      </c>
      <c r="R178" s="75" t="s">
        <v>1117</v>
      </c>
      <c r="S178" s="75" t="s">
        <v>1118</v>
      </c>
      <c r="T178" s="75" t="s">
        <v>623</v>
      </c>
      <c r="U178" s="75"/>
      <c r="V178" s="75"/>
      <c r="W178" s="75" t="s">
        <v>1119</v>
      </c>
      <c r="X178" s="75" t="s">
        <v>626</v>
      </c>
      <c r="AA178" s="75" t="s">
        <v>630</v>
      </c>
      <c r="AD178" s="75" t="s">
        <v>629</v>
      </c>
      <c r="AE178" s="75">
        <v>1</v>
      </c>
      <c r="AG178" s="75">
        <v>34</v>
      </c>
      <c r="AH178" s="75">
        <v>123</v>
      </c>
      <c r="AI178" s="75">
        <v>123</v>
      </c>
      <c r="AJ178" s="75">
        <v>123</v>
      </c>
      <c r="AK178" s="75">
        <v>7</v>
      </c>
      <c r="AL178" s="75">
        <v>3</v>
      </c>
      <c r="AM178" s="75">
        <v>0</v>
      </c>
    </row>
    <row r="179" spans="1:39">
      <c r="A179" s="98" t="s">
        <v>1089</v>
      </c>
      <c r="B179" s="75" t="s">
        <v>615</v>
      </c>
      <c r="C179" s="75" t="s">
        <v>662</v>
      </c>
      <c r="D179" s="75" t="s">
        <v>617</v>
      </c>
      <c r="E179" s="80">
        <v>5</v>
      </c>
      <c r="F179" s="75">
        <v>2</v>
      </c>
      <c r="G179" s="75" t="s">
        <v>758</v>
      </c>
      <c r="H179" s="99"/>
      <c r="I179" s="273">
        <v>1</v>
      </c>
      <c r="J179" s="99">
        <v>2</v>
      </c>
      <c r="K179" s="99">
        <v>0</v>
      </c>
      <c r="L179" s="99">
        <v>2</v>
      </c>
      <c r="M179" s="99">
        <v>1</v>
      </c>
      <c r="N179" s="99">
        <v>0</v>
      </c>
      <c r="O179" s="75" t="s">
        <v>1115</v>
      </c>
      <c r="P179" s="75" t="s">
        <v>1120</v>
      </c>
      <c r="Q179" s="80" t="s">
        <v>624</v>
      </c>
      <c r="R179" s="75" t="s">
        <v>1117</v>
      </c>
      <c r="S179" s="75" t="s">
        <v>1118</v>
      </c>
      <c r="T179" s="75" t="s">
        <v>623</v>
      </c>
      <c r="U179" s="75"/>
      <c r="V179" s="75"/>
      <c r="W179" s="75" t="s">
        <v>1119</v>
      </c>
      <c r="X179" s="75" t="s">
        <v>626</v>
      </c>
      <c r="AA179" s="75" t="s">
        <v>630</v>
      </c>
      <c r="AD179" s="75" t="s">
        <v>629</v>
      </c>
      <c r="AE179" s="75">
        <v>1</v>
      </c>
      <c r="AG179" s="75">
        <v>34</v>
      </c>
      <c r="AH179" s="75">
        <v>124</v>
      </c>
      <c r="AI179" s="75">
        <v>124</v>
      </c>
      <c r="AJ179" s="75">
        <v>124</v>
      </c>
      <c r="AK179" s="75">
        <v>7</v>
      </c>
      <c r="AL179" s="75">
        <v>3</v>
      </c>
      <c r="AM179" s="75">
        <v>0</v>
      </c>
    </row>
    <row r="180" spans="1:39">
      <c r="A180" s="98" t="s">
        <v>1080</v>
      </c>
      <c r="B180" s="75" t="s">
        <v>615</v>
      </c>
      <c r="C180" s="75" t="s">
        <v>662</v>
      </c>
      <c r="D180" s="75" t="s">
        <v>617</v>
      </c>
      <c r="E180" s="80">
        <v>8</v>
      </c>
      <c r="F180" s="75">
        <v>2</v>
      </c>
      <c r="G180" s="75" t="s">
        <v>743</v>
      </c>
      <c r="H180" s="99"/>
      <c r="I180" s="273">
        <v>3</v>
      </c>
      <c r="J180" s="99">
        <v>4</v>
      </c>
      <c r="K180" s="99">
        <v>0</v>
      </c>
      <c r="L180" s="99">
        <v>1</v>
      </c>
      <c r="M180" s="99">
        <v>1</v>
      </c>
      <c r="N180" s="99">
        <v>0</v>
      </c>
      <c r="O180" s="75" t="s">
        <v>1115</v>
      </c>
      <c r="P180" s="75" t="s">
        <v>632</v>
      </c>
      <c r="Q180" s="80" t="s">
        <v>624</v>
      </c>
      <c r="R180" s="75" t="s">
        <v>1121</v>
      </c>
      <c r="S180" s="75" t="s">
        <v>1118</v>
      </c>
      <c r="T180" s="75" t="s">
        <v>623</v>
      </c>
      <c r="U180" s="75"/>
      <c r="V180" s="75"/>
      <c r="W180" s="75" t="s">
        <v>1119</v>
      </c>
      <c r="X180" s="75" t="s">
        <v>626</v>
      </c>
      <c r="AA180" s="75" t="s">
        <v>630</v>
      </c>
      <c r="AD180" s="75" t="s">
        <v>629</v>
      </c>
      <c r="AE180" s="75">
        <v>1</v>
      </c>
      <c r="AG180" s="75">
        <v>34</v>
      </c>
      <c r="AH180" s="75">
        <v>125</v>
      </c>
      <c r="AI180" s="75">
        <v>125</v>
      </c>
      <c r="AJ180" s="75">
        <v>125</v>
      </c>
      <c r="AK180" s="75">
        <v>16</v>
      </c>
      <c r="AL180" s="75">
        <v>1</v>
      </c>
      <c r="AM180" s="75">
        <v>0</v>
      </c>
    </row>
    <row r="181" spans="1:39">
      <c r="A181" s="98" t="s">
        <v>1086</v>
      </c>
      <c r="B181" s="75" t="s">
        <v>615</v>
      </c>
      <c r="C181" s="75" t="s">
        <v>662</v>
      </c>
      <c r="D181" s="75" t="s">
        <v>617</v>
      </c>
      <c r="E181" s="80">
        <v>4</v>
      </c>
      <c r="F181" s="75">
        <v>2</v>
      </c>
      <c r="G181" s="75" t="s">
        <v>750</v>
      </c>
      <c r="H181" s="99"/>
      <c r="I181" s="273">
        <v>1</v>
      </c>
      <c r="J181" s="99">
        <v>4</v>
      </c>
      <c r="K181" s="99">
        <v>0</v>
      </c>
      <c r="L181" s="99">
        <v>1</v>
      </c>
      <c r="M181" s="99">
        <v>1</v>
      </c>
      <c r="N181" s="99">
        <v>0</v>
      </c>
      <c r="O181" s="75" t="s">
        <v>1115</v>
      </c>
      <c r="P181" s="75" t="s">
        <v>1113</v>
      </c>
      <c r="Q181" s="80">
        <v>0.03</v>
      </c>
      <c r="R181" s="75" t="s">
        <v>1122</v>
      </c>
      <c r="S181" s="75" t="s">
        <v>1118</v>
      </c>
      <c r="T181" s="75" t="s">
        <v>623</v>
      </c>
      <c r="U181" s="75"/>
      <c r="V181" s="75"/>
      <c r="W181" s="75" t="s">
        <v>1119</v>
      </c>
      <c r="X181" s="75" t="s">
        <v>626</v>
      </c>
      <c r="AA181" s="75" t="s">
        <v>630</v>
      </c>
      <c r="AD181" s="75" t="s">
        <v>629</v>
      </c>
      <c r="AE181" s="75">
        <v>1</v>
      </c>
      <c r="AG181" s="75">
        <v>34</v>
      </c>
      <c r="AH181" s="75">
        <v>126</v>
      </c>
      <c r="AI181" s="75">
        <v>126</v>
      </c>
      <c r="AJ181" s="75">
        <v>126</v>
      </c>
      <c r="AK181" s="75">
        <v>9</v>
      </c>
      <c r="AL181" s="75">
        <v>1</v>
      </c>
      <c r="AM181" s="75">
        <v>0</v>
      </c>
    </row>
    <row r="182" spans="1:39">
      <c r="A182" s="98" t="s">
        <v>1087</v>
      </c>
      <c r="B182" s="75" t="s">
        <v>615</v>
      </c>
      <c r="C182" s="75" t="s">
        <v>662</v>
      </c>
      <c r="D182" s="75" t="s">
        <v>617</v>
      </c>
      <c r="E182" s="80">
        <v>4</v>
      </c>
      <c r="F182" s="75">
        <v>2</v>
      </c>
      <c r="G182" s="75" t="s">
        <v>750</v>
      </c>
      <c r="H182" s="99"/>
      <c r="I182" s="273">
        <v>1</v>
      </c>
      <c r="J182" s="99">
        <v>4</v>
      </c>
      <c r="K182" s="99">
        <v>0</v>
      </c>
      <c r="L182" s="99">
        <v>1</v>
      </c>
      <c r="M182" s="99">
        <v>1</v>
      </c>
      <c r="N182" s="99">
        <v>0</v>
      </c>
      <c r="O182" s="75" t="s">
        <v>1115</v>
      </c>
      <c r="P182" s="75" t="s">
        <v>1113</v>
      </c>
      <c r="Q182" s="80">
        <v>0.04</v>
      </c>
      <c r="R182" s="75" t="s">
        <v>1122</v>
      </c>
      <c r="S182" s="75" t="s">
        <v>1118</v>
      </c>
      <c r="T182" s="75" t="s">
        <v>623</v>
      </c>
      <c r="U182" s="75"/>
      <c r="V182" s="75"/>
      <c r="W182" s="75" t="s">
        <v>1119</v>
      </c>
      <c r="X182" s="75" t="s">
        <v>626</v>
      </c>
      <c r="AA182" s="75" t="s">
        <v>630</v>
      </c>
      <c r="AD182" s="75" t="s">
        <v>629</v>
      </c>
      <c r="AE182" s="75">
        <v>1</v>
      </c>
      <c r="AG182" s="75">
        <v>34</v>
      </c>
      <c r="AH182" s="75">
        <v>127</v>
      </c>
      <c r="AI182" s="75">
        <v>127</v>
      </c>
      <c r="AJ182" s="75">
        <v>127</v>
      </c>
      <c r="AK182" s="75">
        <v>9</v>
      </c>
      <c r="AL182" s="75">
        <v>1</v>
      </c>
      <c r="AM182" s="75">
        <v>0</v>
      </c>
    </row>
    <row r="183" spans="1:39">
      <c r="A183" s="98" t="s">
        <v>1081</v>
      </c>
      <c r="B183" s="75" t="s">
        <v>615</v>
      </c>
      <c r="C183" s="75" t="s">
        <v>662</v>
      </c>
      <c r="D183" s="75" t="s">
        <v>617</v>
      </c>
      <c r="E183" s="80">
        <v>6</v>
      </c>
      <c r="F183" s="75">
        <v>2</v>
      </c>
      <c r="G183" s="75" t="s">
        <v>767</v>
      </c>
      <c r="H183" s="99"/>
      <c r="I183" s="273">
        <v>3</v>
      </c>
      <c r="J183" s="99">
        <v>1</v>
      </c>
      <c r="K183" s="99">
        <v>0</v>
      </c>
      <c r="L183" s="99">
        <v>1</v>
      </c>
      <c r="M183" s="99">
        <v>1</v>
      </c>
      <c r="N183" s="99">
        <v>0</v>
      </c>
      <c r="O183" s="75" t="s">
        <v>1115</v>
      </c>
      <c r="P183" s="75" t="s">
        <v>1106</v>
      </c>
      <c r="Q183" s="80" t="s">
        <v>624</v>
      </c>
      <c r="R183" s="75" t="s">
        <v>1123</v>
      </c>
      <c r="S183" s="75" t="s">
        <v>1118</v>
      </c>
      <c r="T183" s="75" t="s">
        <v>623</v>
      </c>
      <c r="U183" s="75"/>
      <c r="V183" s="75"/>
      <c r="W183" s="75" t="s">
        <v>1119</v>
      </c>
      <c r="X183" s="75" t="s">
        <v>626</v>
      </c>
      <c r="AA183" s="75" t="s">
        <v>630</v>
      </c>
      <c r="AD183" s="75" t="s">
        <v>629</v>
      </c>
      <c r="AE183" s="75">
        <v>1</v>
      </c>
      <c r="AG183" s="75">
        <v>34</v>
      </c>
      <c r="AH183" s="75">
        <v>128</v>
      </c>
      <c r="AI183" s="75">
        <v>128</v>
      </c>
      <c r="AJ183" s="75">
        <v>128</v>
      </c>
      <c r="AK183" s="75">
        <v>13</v>
      </c>
      <c r="AL183" s="75">
        <v>1</v>
      </c>
      <c r="AM183" s="75">
        <v>0</v>
      </c>
    </row>
    <row r="184" spans="1:39">
      <c r="A184" s="98" t="s">
        <v>1082</v>
      </c>
      <c r="B184" s="75" t="s">
        <v>615</v>
      </c>
      <c r="C184" s="75" t="s">
        <v>662</v>
      </c>
      <c r="D184" s="75" t="s">
        <v>617</v>
      </c>
      <c r="E184" s="80">
        <v>6</v>
      </c>
      <c r="F184" s="75">
        <v>2</v>
      </c>
      <c r="G184" s="75" t="s">
        <v>767</v>
      </c>
      <c r="H184" s="99"/>
      <c r="I184" s="273">
        <v>3</v>
      </c>
      <c r="J184" s="99">
        <v>1</v>
      </c>
      <c r="K184" s="99">
        <v>0</v>
      </c>
      <c r="L184" s="99">
        <v>1</v>
      </c>
      <c r="M184" s="99">
        <v>1</v>
      </c>
      <c r="N184" s="99">
        <v>0</v>
      </c>
      <c r="O184" s="75" t="s">
        <v>1115</v>
      </c>
      <c r="P184" s="75" t="s">
        <v>1108</v>
      </c>
      <c r="Q184" s="80" t="s">
        <v>624</v>
      </c>
      <c r="R184" s="75" t="s">
        <v>1123</v>
      </c>
      <c r="S184" s="75" t="s">
        <v>1118</v>
      </c>
      <c r="T184" s="75" t="s">
        <v>623</v>
      </c>
      <c r="U184" s="75"/>
      <c r="V184" s="75"/>
      <c r="W184" s="75" t="s">
        <v>1119</v>
      </c>
      <c r="X184" s="75" t="s">
        <v>626</v>
      </c>
      <c r="AA184" s="75" t="s">
        <v>630</v>
      </c>
      <c r="AD184" s="75" t="s">
        <v>629</v>
      </c>
      <c r="AE184" s="75">
        <v>1</v>
      </c>
      <c r="AG184" s="75">
        <v>34</v>
      </c>
      <c r="AH184" s="75">
        <v>129</v>
      </c>
      <c r="AI184" s="75">
        <v>129</v>
      </c>
      <c r="AJ184" s="75">
        <v>129</v>
      </c>
      <c r="AK184" s="75">
        <v>13</v>
      </c>
      <c r="AL184" s="75">
        <v>1</v>
      </c>
      <c r="AM184" s="75">
        <v>0</v>
      </c>
    </row>
    <row r="185" spans="1:39">
      <c r="A185" s="98" t="s">
        <v>574</v>
      </c>
      <c r="B185" s="75" t="s">
        <v>615</v>
      </c>
      <c r="C185" s="75" t="s">
        <v>662</v>
      </c>
      <c r="D185" s="75" t="s">
        <v>617</v>
      </c>
      <c r="E185" s="80">
        <v>4</v>
      </c>
      <c r="F185" s="75">
        <v>2</v>
      </c>
      <c r="G185" s="75" t="s">
        <v>750</v>
      </c>
      <c r="H185" s="99">
        <v>1</v>
      </c>
      <c r="I185" s="273">
        <v>1</v>
      </c>
      <c r="J185" s="99">
        <v>4</v>
      </c>
      <c r="K185" s="99">
        <v>0</v>
      </c>
      <c r="L185" s="99">
        <v>1</v>
      </c>
      <c r="M185" s="99">
        <v>1</v>
      </c>
      <c r="N185" s="99">
        <v>0</v>
      </c>
      <c r="O185" s="75" t="s">
        <v>839</v>
      </c>
      <c r="P185" s="75" t="s">
        <v>840</v>
      </c>
      <c r="Q185" s="80">
        <v>0.04</v>
      </c>
      <c r="R185" s="75" t="s">
        <v>815</v>
      </c>
      <c r="S185" s="75" t="s">
        <v>839</v>
      </c>
      <c r="T185" s="75" t="s">
        <v>623</v>
      </c>
      <c r="U185" s="75">
        <v>4</v>
      </c>
      <c r="V185" s="75">
        <v>0</v>
      </c>
      <c r="W185" s="75" t="s">
        <v>841</v>
      </c>
      <c r="X185" s="75" t="s">
        <v>626</v>
      </c>
      <c r="Y185" s="75" t="s">
        <v>626</v>
      </c>
      <c r="AA185" s="75" t="s">
        <v>630</v>
      </c>
      <c r="AD185" s="75" t="s">
        <v>629</v>
      </c>
      <c r="AE185" s="75">
        <v>1</v>
      </c>
      <c r="AG185" s="75">
        <v>20</v>
      </c>
      <c r="AH185" s="75">
        <v>68</v>
      </c>
      <c r="AI185" s="75">
        <v>68</v>
      </c>
      <c r="AJ185" s="75">
        <v>68</v>
      </c>
      <c r="AK185" s="75">
        <v>9</v>
      </c>
      <c r="AL185" s="75">
        <v>1</v>
      </c>
      <c r="AM185" s="75">
        <v>0</v>
      </c>
    </row>
    <row r="186" spans="1:39">
      <c r="A186" s="98" t="s">
        <v>580</v>
      </c>
      <c r="B186" s="75" t="s">
        <v>615</v>
      </c>
      <c r="C186" s="75" t="s">
        <v>662</v>
      </c>
      <c r="D186" s="75" t="s">
        <v>617</v>
      </c>
      <c r="E186" s="80">
        <v>4</v>
      </c>
      <c r="F186" s="75">
        <v>2</v>
      </c>
      <c r="G186" s="75" t="s">
        <v>750</v>
      </c>
      <c r="H186" s="99">
        <v>1</v>
      </c>
      <c r="I186" s="273">
        <v>1</v>
      </c>
      <c r="J186" s="99">
        <v>4</v>
      </c>
      <c r="K186" s="99">
        <v>0</v>
      </c>
      <c r="L186" s="99">
        <v>1</v>
      </c>
      <c r="M186" s="99">
        <v>1</v>
      </c>
      <c r="N186" s="99">
        <v>0</v>
      </c>
      <c r="O186" s="75" t="s">
        <v>839</v>
      </c>
      <c r="P186" s="75" t="s">
        <v>842</v>
      </c>
      <c r="Q186" s="80" t="s">
        <v>706</v>
      </c>
      <c r="R186" s="75" t="s">
        <v>815</v>
      </c>
      <c r="S186" s="75" t="s">
        <v>839</v>
      </c>
      <c r="T186" s="75" t="s">
        <v>623</v>
      </c>
      <c r="U186" s="75" t="s">
        <v>843</v>
      </c>
      <c r="V186" s="75">
        <v>0.02</v>
      </c>
      <c r="W186" s="75" t="s">
        <v>841</v>
      </c>
      <c r="X186" s="75" t="s">
        <v>626</v>
      </c>
      <c r="Y186" s="75" t="s">
        <v>626</v>
      </c>
      <c r="AA186" s="75" t="s">
        <v>630</v>
      </c>
      <c r="AD186" s="75" t="s">
        <v>703</v>
      </c>
      <c r="AE186" s="75">
        <v>1</v>
      </c>
      <c r="AG186" s="75">
        <v>20</v>
      </c>
      <c r="AH186" s="75">
        <v>69</v>
      </c>
      <c r="AI186" s="75">
        <v>69</v>
      </c>
      <c r="AJ186" s="75">
        <v>69</v>
      </c>
      <c r="AK186" s="75">
        <v>8</v>
      </c>
      <c r="AL186" s="75">
        <v>1</v>
      </c>
      <c r="AM186" s="75">
        <v>0</v>
      </c>
    </row>
    <row r="187" spans="1:39">
      <c r="A187" s="98" t="s">
        <v>477</v>
      </c>
      <c r="B187" s="75" t="s">
        <v>615</v>
      </c>
      <c r="C187" s="75" t="s">
        <v>662</v>
      </c>
      <c r="D187" s="75" t="s">
        <v>617</v>
      </c>
      <c r="E187" s="80">
        <v>8</v>
      </c>
      <c r="F187" s="75">
        <v>2</v>
      </c>
      <c r="G187" s="75" t="s">
        <v>743</v>
      </c>
      <c r="H187" s="99">
        <v>1</v>
      </c>
      <c r="I187" s="273">
        <v>3</v>
      </c>
      <c r="J187" s="99">
        <v>4</v>
      </c>
      <c r="K187" s="99">
        <v>0</v>
      </c>
      <c r="L187" s="99">
        <v>1</v>
      </c>
      <c r="M187" s="99">
        <v>1</v>
      </c>
      <c r="N187" s="99">
        <v>0</v>
      </c>
      <c r="O187" s="75" t="s">
        <v>839</v>
      </c>
      <c r="P187" s="75" t="s">
        <v>792</v>
      </c>
      <c r="Q187" s="80" t="s">
        <v>748</v>
      </c>
      <c r="R187" s="75" t="s">
        <v>820</v>
      </c>
      <c r="S187" s="75" t="s">
        <v>839</v>
      </c>
      <c r="T187" s="75" t="s">
        <v>749</v>
      </c>
      <c r="U187" s="75" t="s">
        <v>624</v>
      </c>
      <c r="V187" s="75"/>
      <c r="W187" s="75" t="s">
        <v>841</v>
      </c>
      <c r="X187" s="75" t="s">
        <v>626</v>
      </c>
      <c r="Y187" s="75" t="s">
        <v>626</v>
      </c>
      <c r="AA187" s="75" t="s">
        <v>630</v>
      </c>
      <c r="AD187" s="75" t="s">
        <v>629</v>
      </c>
      <c r="AE187" s="75">
        <v>1</v>
      </c>
      <c r="AG187" s="75">
        <v>20</v>
      </c>
      <c r="AH187" s="75">
        <v>70</v>
      </c>
      <c r="AI187" s="75">
        <v>70</v>
      </c>
      <c r="AJ187" s="75">
        <v>70</v>
      </c>
      <c r="AK187" s="75">
        <v>15</v>
      </c>
      <c r="AL187" s="75">
        <v>1</v>
      </c>
      <c r="AM187" s="75">
        <v>0</v>
      </c>
    </row>
    <row r="188" spans="1:39">
      <c r="A188" s="98" t="s">
        <v>581</v>
      </c>
      <c r="B188" s="75" t="s">
        <v>615</v>
      </c>
      <c r="C188" s="75" t="s">
        <v>662</v>
      </c>
      <c r="D188" s="75" t="s">
        <v>617</v>
      </c>
      <c r="E188" s="80">
        <v>4</v>
      </c>
      <c r="F188" s="75">
        <v>2</v>
      </c>
      <c r="G188" s="75" t="s">
        <v>750</v>
      </c>
      <c r="H188" s="99">
        <v>1</v>
      </c>
      <c r="I188" s="273">
        <v>1</v>
      </c>
      <c r="J188" s="99">
        <v>4</v>
      </c>
      <c r="K188" s="99">
        <v>0</v>
      </c>
      <c r="L188" s="99">
        <v>1</v>
      </c>
      <c r="M188" s="99">
        <v>1</v>
      </c>
      <c r="N188" s="99">
        <v>0</v>
      </c>
      <c r="O188" s="75" t="s">
        <v>839</v>
      </c>
      <c r="P188" s="75" t="s">
        <v>844</v>
      </c>
      <c r="Q188" s="80">
        <v>0.03</v>
      </c>
      <c r="R188" s="75" t="s">
        <v>815</v>
      </c>
      <c r="S188" s="75" t="s">
        <v>839</v>
      </c>
      <c r="T188" s="75" t="s">
        <v>623</v>
      </c>
      <c r="U188" s="75">
        <v>3</v>
      </c>
      <c r="V188" s="75">
        <v>1</v>
      </c>
      <c r="W188" s="75" t="s">
        <v>841</v>
      </c>
      <c r="X188" s="75" t="s">
        <v>626</v>
      </c>
      <c r="Y188" s="75" t="s">
        <v>626</v>
      </c>
      <c r="AA188" s="75" t="s">
        <v>630</v>
      </c>
      <c r="AD188" s="75" t="s">
        <v>703</v>
      </c>
      <c r="AE188" s="75">
        <v>1</v>
      </c>
      <c r="AG188" s="75">
        <v>20</v>
      </c>
      <c r="AH188" s="75">
        <v>71</v>
      </c>
      <c r="AI188" s="75">
        <v>71</v>
      </c>
      <c r="AJ188" s="75">
        <v>71</v>
      </c>
      <c r="AK188" s="75">
        <v>8</v>
      </c>
      <c r="AL188" s="75">
        <v>1</v>
      </c>
      <c r="AM188" s="75">
        <v>0</v>
      </c>
    </row>
    <row r="189" spans="1:39">
      <c r="A189" s="98" t="s">
        <v>582</v>
      </c>
      <c r="B189" s="75" t="s">
        <v>615</v>
      </c>
      <c r="C189" s="75" t="s">
        <v>662</v>
      </c>
      <c r="D189" s="75" t="s">
        <v>617</v>
      </c>
      <c r="E189" s="80">
        <v>6</v>
      </c>
      <c r="F189" s="75">
        <v>2</v>
      </c>
      <c r="G189" s="75" t="s">
        <v>767</v>
      </c>
      <c r="H189" s="99">
        <v>1</v>
      </c>
      <c r="I189" s="273">
        <v>3</v>
      </c>
      <c r="J189" s="99">
        <v>1</v>
      </c>
      <c r="K189" s="99">
        <v>0</v>
      </c>
      <c r="L189" s="99">
        <v>1</v>
      </c>
      <c r="M189" s="99">
        <v>1</v>
      </c>
      <c r="N189" s="99">
        <v>0</v>
      </c>
      <c r="O189" s="75" t="s">
        <v>839</v>
      </c>
      <c r="P189" s="75" t="s">
        <v>674</v>
      </c>
      <c r="Q189" s="80" t="s">
        <v>761</v>
      </c>
      <c r="R189" s="75" t="s">
        <v>769</v>
      </c>
      <c r="S189" s="75" t="s">
        <v>839</v>
      </c>
      <c r="T189" s="75" t="s">
        <v>623</v>
      </c>
      <c r="U189" s="75">
        <v>4</v>
      </c>
      <c r="V189" s="75">
        <v>0</v>
      </c>
      <c r="W189" s="75" t="s">
        <v>841</v>
      </c>
      <c r="X189" s="75" t="s">
        <v>626</v>
      </c>
      <c r="Y189" s="75" t="s">
        <v>626</v>
      </c>
      <c r="AA189" s="75" t="s">
        <v>630</v>
      </c>
      <c r="AD189" s="75" t="s">
        <v>629</v>
      </c>
      <c r="AE189" s="75">
        <v>1</v>
      </c>
      <c r="AG189" s="75">
        <v>20</v>
      </c>
      <c r="AH189" s="75">
        <v>72</v>
      </c>
      <c r="AI189" s="75">
        <v>72</v>
      </c>
      <c r="AJ189" s="75">
        <v>72</v>
      </c>
      <c r="AK189" s="75">
        <v>13</v>
      </c>
      <c r="AL189" s="75">
        <v>1</v>
      </c>
      <c r="AM189" s="75">
        <v>0</v>
      </c>
    </row>
    <row r="190" spans="1:39">
      <c r="A190" s="98" t="s">
        <v>575</v>
      </c>
      <c r="B190" s="75" t="s">
        <v>615</v>
      </c>
      <c r="C190" s="75" t="s">
        <v>662</v>
      </c>
      <c r="D190" s="75" t="s">
        <v>653</v>
      </c>
      <c r="E190" s="80">
        <v>9</v>
      </c>
      <c r="F190" s="75">
        <v>2</v>
      </c>
      <c r="G190" s="75" t="s">
        <v>670</v>
      </c>
      <c r="H190" s="99">
        <v>3</v>
      </c>
      <c r="I190" s="273">
        <v>2</v>
      </c>
      <c r="J190" s="99">
        <v>4</v>
      </c>
      <c r="K190" s="99">
        <v>0</v>
      </c>
      <c r="L190" s="99">
        <v>1</v>
      </c>
      <c r="M190" s="99">
        <v>1</v>
      </c>
      <c r="N190" s="99">
        <v>0</v>
      </c>
      <c r="O190" s="75" t="s">
        <v>839</v>
      </c>
      <c r="P190" s="75" t="s">
        <v>984</v>
      </c>
      <c r="Q190" s="80" t="s">
        <v>624</v>
      </c>
      <c r="R190" s="75" t="s">
        <v>985</v>
      </c>
      <c r="S190" s="75" t="s">
        <v>839</v>
      </c>
      <c r="T190" s="75" t="s">
        <v>623</v>
      </c>
      <c r="U190" s="75" t="s">
        <v>624</v>
      </c>
      <c r="V190" s="75"/>
      <c r="W190" s="75" t="s">
        <v>841</v>
      </c>
      <c r="X190" s="75" t="s">
        <v>626</v>
      </c>
      <c r="Y190" s="75" t="s">
        <v>626</v>
      </c>
      <c r="AA190" s="75" t="s">
        <v>630</v>
      </c>
      <c r="AD190" s="75" t="s">
        <v>629</v>
      </c>
      <c r="AE190" s="75">
        <v>1</v>
      </c>
      <c r="AG190" s="75">
        <v>20</v>
      </c>
      <c r="AH190" s="75">
        <v>73</v>
      </c>
      <c r="AI190" s="75">
        <v>73</v>
      </c>
      <c r="AJ190" s="75">
        <v>73</v>
      </c>
      <c r="AK190" s="75">
        <v>11</v>
      </c>
      <c r="AL190" s="75">
        <v>1</v>
      </c>
      <c r="AM190" s="75">
        <v>0</v>
      </c>
    </row>
    <row r="191" spans="1:39">
      <c r="A191" s="98" t="s">
        <v>583</v>
      </c>
      <c r="B191" s="75" t="s">
        <v>615</v>
      </c>
      <c r="C191" s="75" t="s">
        <v>662</v>
      </c>
      <c r="D191" s="75" t="s">
        <v>617</v>
      </c>
      <c r="E191" s="80">
        <v>4</v>
      </c>
      <c r="F191" s="75">
        <v>2</v>
      </c>
      <c r="G191" s="75" t="s">
        <v>750</v>
      </c>
      <c r="H191" s="99">
        <v>1</v>
      </c>
      <c r="I191" s="273">
        <v>1</v>
      </c>
      <c r="J191" s="99">
        <v>4</v>
      </c>
      <c r="K191" s="99">
        <v>0</v>
      </c>
      <c r="L191" s="99">
        <v>1</v>
      </c>
      <c r="M191" s="99">
        <v>1</v>
      </c>
      <c r="N191" s="99">
        <v>0</v>
      </c>
      <c r="O191" s="75" t="s">
        <v>839</v>
      </c>
      <c r="P191" s="75" t="s">
        <v>844</v>
      </c>
      <c r="Q191" s="80">
        <v>0.04</v>
      </c>
      <c r="R191" s="75" t="s">
        <v>815</v>
      </c>
      <c r="S191" s="75" t="s">
        <v>839</v>
      </c>
      <c r="T191" s="75" t="s">
        <v>623</v>
      </c>
      <c r="U191" s="75">
        <v>4</v>
      </c>
      <c r="V191" s="75">
        <v>0</v>
      </c>
      <c r="W191" s="75" t="s">
        <v>841</v>
      </c>
      <c r="X191" s="75" t="s">
        <v>626</v>
      </c>
      <c r="Y191" s="75" t="s">
        <v>626</v>
      </c>
      <c r="AA191" s="75" t="s">
        <v>630</v>
      </c>
      <c r="AD191" s="75" t="s">
        <v>703</v>
      </c>
      <c r="AE191" s="75">
        <v>1</v>
      </c>
      <c r="AG191" s="75">
        <v>20</v>
      </c>
      <c r="AH191" s="75">
        <v>74</v>
      </c>
      <c r="AI191" s="75">
        <v>74</v>
      </c>
      <c r="AJ191" s="75">
        <v>74</v>
      </c>
      <c r="AK191" s="75">
        <v>8</v>
      </c>
      <c r="AL191" s="75">
        <v>1</v>
      </c>
      <c r="AM191" s="75">
        <v>0</v>
      </c>
    </row>
    <row r="192" spans="1:39">
      <c r="A192" s="98" t="s">
        <v>576</v>
      </c>
      <c r="B192" s="75" t="s">
        <v>615</v>
      </c>
      <c r="C192" s="75" t="s">
        <v>662</v>
      </c>
      <c r="D192" s="75" t="s">
        <v>617</v>
      </c>
      <c r="E192" s="80">
        <v>4</v>
      </c>
      <c r="F192" s="75">
        <v>2</v>
      </c>
      <c r="G192" s="75" t="s">
        <v>750</v>
      </c>
      <c r="H192" s="99">
        <v>1</v>
      </c>
      <c r="I192" s="273">
        <v>1</v>
      </c>
      <c r="J192" s="99">
        <v>4</v>
      </c>
      <c r="K192" s="99">
        <v>0</v>
      </c>
      <c r="L192" s="99">
        <v>1</v>
      </c>
      <c r="M192" s="99">
        <v>1</v>
      </c>
      <c r="N192" s="99">
        <v>0</v>
      </c>
      <c r="O192" s="75" t="s">
        <v>839</v>
      </c>
      <c r="P192" s="75" t="s">
        <v>846</v>
      </c>
      <c r="Q192" s="80">
        <v>0.03</v>
      </c>
      <c r="R192" s="75" t="s">
        <v>815</v>
      </c>
      <c r="S192" s="75" t="s">
        <v>839</v>
      </c>
      <c r="T192" s="75" t="s">
        <v>623</v>
      </c>
      <c r="U192" s="75">
        <v>3</v>
      </c>
      <c r="V192" s="75">
        <v>1</v>
      </c>
      <c r="W192" s="75" t="s">
        <v>841</v>
      </c>
      <c r="X192" s="75" t="s">
        <v>626</v>
      </c>
      <c r="Y192" s="75" t="s">
        <v>626</v>
      </c>
      <c r="AA192" s="75" t="s">
        <v>626</v>
      </c>
      <c r="AB192" s="75" t="s">
        <v>845</v>
      </c>
      <c r="AC192" s="75" t="s">
        <v>766</v>
      </c>
      <c r="AD192" s="75" t="s">
        <v>629</v>
      </c>
      <c r="AE192" s="75">
        <v>1</v>
      </c>
      <c r="AG192" s="75">
        <v>20</v>
      </c>
      <c r="AH192" s="75">
        <v>75</v>
      </c>
      <c r="AI192" s="75">
        <v>75</v>
      </c>
      <c r="AJ192" s="75">
        <v>75</v>
      </c>
      <c r="AK192" s="75">
        <v>9</v>
      </c>
      <c r="AL192" s="75">
        <v>1</v>
      </c>
      <c r="AM192" s="75">
        <v>0</v>
      </c>
    </row>
    <row r="193" spans="1:39">
      <c r="A193" s="98" t="s">
        <v>588</v>
      </c>
      <c r="B193" s="75" t="s">
        <v>615</v>
      </c>
      <c r="C193" s="75" t="s">
        <v>662</v>
      </c>
      <c r="D193" s="75" t="s">
        <v>617</v>
      </c>
      <c r="E193" s="80">
        <v>5</v>
      </c>
      <c r="F193" s="75">
        <v>2</v>
      </c>
      <c r="G193" s="75" t="s">
        <v>758</v>
      </c>
      <c r="H193" s="99">
        <v>1</v>
      </c>
      <c r="I193" s="273">
        <v>1</v>
      </c>
      <c r="J193" s="99">
        <v>2</v>
      </c>
      <c r="K193" s="99">
        <v>0</v>
      </c>
      <c r="L193" s="99">
        <v>2</v>
      </c>
      <c r="M193" s="99">
        <v>1</v>
      </c>
      <c r="N193" s="99">
        <v>0</v>
      </c>
      <c r="O193" s="75" t="s">
        <v>839</v>
      </c>
      <c r="P193" s="75" t="s">
        <v>641</v>
      </c>
      <c r="Q193" s="80" t="s">
        <v>637</v>
      </c>
      <c r="R193" s="75" t="s">
        <v>762</v>
      </c>
      <c r="S193" s="75" t="s">
        <v>839</v>
      </c>
      <c r="T193" s="75" t="s">
        <v>623</v>
      </c>
      <c r="U193" s="75" t="s">
        <v>707</v>
      </c>
      <c r="V193" s="75">
        <v>0.81</v>
      </c>
      <c r="W193" s="75" t="s">
        <v>841</v>
      </c>
      <c r="X193" s="75" t="s">
        <v>626</v>
      </c>
      <c r="Y193" s="75" t="s">
        <v>626</v>
      </c>
      <c r="AA193" s="75" t="s">
        <v>626</v>
      </c>
      <c r="AB193" s="75" t="s">
        <v>796</v>
      </c>
      <c r="AC193" s="75" t="s">
        <v>766</v>
      </c>
      <c r="AD193" s="75" t="s">
        <v>629</v>
      </c>
      <c r="AE193" s="75">
        <v>1</v>
      </c>
      <c r="AG193" s="75">
        <v>20</v>
      </c>
      <c r="AH193" s="75">
        <v>76</v>
      </c>
      <c r="AI193" s="75">
        <v>76</v>
      </c>
      <c r="AJ193" s="75">
        <v>76</v>
      </c>
      <c r="AK193" s="75">
        <v>7</v>
      </c>
      <c r="AL193" s="75">
        <v>3</v>
      </c>
      <c r="AM193" s="75">
        <v>0</v>
      </c>
    </row>
    <row r="194" spans="1:39">
      <c r="A194" s="98" t="s">
        <v>589</v>
      </c>
      <c r="B194" s="75" t="s">
        <v>615</v>
      </c>
      <c r="C194" s="75" t="s">
        <v>662</v>
      </c>
      <c r="D194" s="75" t="s">
        <v>617</v>
      </c>
      <c r="E194" s="80">
        <v>5</v>
      </c>
      <c r="F194" s="75">
        <v>2</v>
      </c>
      <c r="G194" s="75" t="s">
        <v>758</v>
      </c>
      <c r="H194" s="99">
        <v>1</v>
      </c>
      <c r="I194" s="273">
        <v>1</v>
      </c>
      <c r="J194" s="99">
        <v>2</v>
      </c>
      <c r="K194" s="99">
        <v>0</v>
      </c>
      <c r="L194" s="99">
        <v>2</v>
      </c>
      <c r="M194" s="99">
        <v>1</v>
      </c>
      <c r="N194" s="99">
        <v>0</v>
      </c>
      <c r="O194" s="75" t="s">
        <v>839</v>
      </c>
      <c r="P194" s="75" t="s">
        <v>846</v>
      </c>
      <c r="Q194" s="80">
        <v>0.03</v>
      </c>
      <c r="R194" s="75" t="s">
        <v>762</v>
      </c>
      <c r="S194" s="75" t="s">
        <v>839</v>
      </c>
      <c r="T194" s="75" t="s">
        <v>623</v>
      </c>
      <c r="U194" s="75">
        <v>3</v>
      </c>
      <c r="V194" s="75">
        <v>1</v>
      </c>
      <c r="W194" s="75" t="s">
        <v>841</v>
      </c>
      <c r="X194" s="75" t="s">
        <v>626</v>
      </c>
      <c r="Y194" s="75" t="s">
        <v>626</v>
      </c>
      <c r="AA194" s="75" t="s">
        <v>626</v>
      </c>
      <c r="AB194" s="75" t="s">
        <v>796</v>
      </c>
      <c r="AC194" s="75" t="s">
        <v>766</v>
      </c>
      <c r="AD194" s="75" t="s">
        <v>629</v>
      </c>
      <c r="AE194" s="75">
        <v>1</v>
      </c>
      <c r="AG194" s="75">
        <v>20</v>
      </c>
      <c r="AH194" s="75">
        <v>77</v>
      </c>
      <c r="AI194" s="75">
        <v>77</v>
      </c>
      <c r="AJ194" s="75">
        <v>77</v>
      </c>
      <c r="AK194" s="75">
        <v>7</v>
      </c>
      <c r="AL194" s="75">
        <v>3</v>
      </c>
      <c r="AM194" s="75">
        <v>0</v>
      </c>
    </row>
    <row r="195" spans="1:39">
      <c r="A195" s="98" t="s">
        <v>471</v>
      </c>
      <c r="B195" s="75" t="s">
        <v>615</v>
      </c>
      <c r="C195" s="75" t="s">
        <v>662</v>
      </c>
      <c r="D195" s="75" t="s">
        <v>617</v>
      </c>
      <c r="E195" s="80">
        <v>8</v>
      </c>
      <c r="F195" s="75">
        <v>2</v>
      </c>
      <c r="G195" s="75" t="s">
        <v>743</v>
      </c>
      <c r="H195" s="99">
        <v>1</v>
      </c>
      <c r="I195" s="273">
        <v>3</v>
      </c>
      <c r="J195" s="99">
        <v>4</v>
      </c>
      <c r="K195" s="99">
        <v>0</v>
      </c>
      <c r="L195" s="99">
        <v>1</v>
      </c>
      <c r="M195" s="99">
        <v>1</v>
      </c>
      <c r="N195" s="99">
        <v>0</v>
      </c>
      <c r="O195" s="75" t="s">
        <v>839</v>
      </c>
      <c r="Q195" s="80" t="s">
        <v>637</v>
      </c>
      <c r="R195" s="75" t="s">
        <v>820</v>
      </c>
      <c r="S195" s="75" t="s">
        <v>839</v>
      </c>
      <c r="T195" s="75" t="s">
        <v>623</v>
      </c>
      <c r="U195" s="75" t="s">
        <v>847</v>
      </c>
      <c r="V195" s="75">
        <v>0.38</v>
      </c>
      <c r="W195" s="75" t="s">
        <v>841</v>
      </c>
      <c r="X195" s="75" t="s">
        <v>626</v>
      </c>
      <c r="Y195" s="75" t="s">
        <v>626</v>
      </c>
      <c r="AA195" s="75" t="s">
        <v>630</v>
      </c>
      <c r="AD195" s="75" t="s">
        <v>629</v>
      </c>
      <c r="AE195" s="75">
        <v>1</v>
      </c>
      <c r="AG195" s="75">
        <v>20</v>
      </c>
      <c r="AH195" s="75">
        <v>78</v>
      </c>
      <c r="AI195" s="75">
        <v>78</v>
      </c>
      <c r="AJ195" s="75">
        <v>78</v>
      </c>
      <c r="AK195" s="75">
        <v>16</v>
      </c>
      <c r="AL195" s="75">
        <v>1</v>
      </c>
      <c r="AM195" s="75">
        <v>0</v>
      </c>
    </row>
    <row r="196" spans="1:39">
      <c r="A196" s="98" t="s">
        <v>486</v>
      </c>
      <c r="B196" s="75" t="s">
        <v>615</v>
      </c>
      <c r="C196" s="75" t="s">
        <v>662</v>
      </c>
      <c r="D196" s="75" t="s">
        <v>617</v>
      </c>
      <c r="E196" s="80">
        <v>8</v>
      </c>
      <c r="F196" s="75">
        <v>2</v>
      </c>
      <c r="G196" s="75" t="s">
        <v>743</v>
      </c>
      <c r="H196" s="99">
        <v>1</v>
      </c>
      <c r="I196" s="273">
        <v>3</v>
      </c>
      <c r="J196" s="99">
        <v>4</v>
      </c>
      <c r="K196" s="99">
        <v>0</v>
      </c>
      <c r="L196" s="99">
        <v>1</v>
      </c>
      <c r="M196" s="99">
        <v>1</v>
      </c>
      <c r="N196" s="99">
        <v>0</v>
      </c>
      <c r="O196" s="75" t="s">
        <v>839</v>
      </c>
      <c r="P196" s="75" t="s">
        <v>747</v>
      </c>
      <c r="Q196" s="80" t="s">
        <v>748</v>
      </c>
      <c r="R196" s="75" t="s">
        <v>820</v>
      </c>
      <c r="S196" s="75" t="s">
        <v>839</v>
      </c>
      <c r="T196" s="75" t="s">
        <v>749</v>
      </c>
      <c r="U196" s="75" t="s">
        <v>624</v>
      </c>
      <c r="V196" s="75"/>
      <c r="W196" s="75" t="s">
        <v>841</v>
      </c>
      <c r="X196" s="75" t="s">
        <v>626</v>
      </c>
      <c r="Y196" s="75" t="s">
        <v>626</v>
      </c>
      <c r="AA196" s="75" t="s">
        <v>630</v>
      </c>
      <c r="AD196" s="75" t="s">
        <v>629</v>
      </c>
      <c r="AE196" s="75">
        <v>1</v>
      </c>
      <c r="AG196" s="75">
        <v>20</v>
      </c>
      <c r="AH196" s="75">
        <v>79</v>
      </c>
      <c r="AI196" s="75">
        <v>79</v>
      </c>
      <c r="AJ196" s="75">
        <v>79</v>
      </c>
      <c r="AK196" s="75">
        <v>14</v>
      </c>
      <c r="AL196" s="75">
        <v>1</v>
      </c>
      <c r="AM196" s="75">
        <v>0</v>
      </c>
    </row>
    <row r="197" spans="1:39">
      <c r="A197" s="98" t="s">
        <v>577</v>
      </c>
      <c r="B197" s="75" t="s">
        <v>615</v>
      </c>
      <c r="C197" s="75" t="s">
        <v>662</v>
      </c>
      <c r="D197" s="75" t="s">
        <v>617</v>
      </c>
      <c r="E197" s="80">
        <v>4</v>
      </c>
      <c r="F197" s="75">
        <v>2</v>
      </c>
      <c r="G197" s="75" t="s">
        <v>750</v>
      </c>
      <c r="H197" s="99">
        <v>1</v>
      </c>
      <c r="I197" s="273">
        <v>1</v>
      </c>
      <c r="J197" s="99">
        <v>4</v>
      </c>
      <c r="K197" s="99">
        <v>0</v>
      </c>
      <c r="L197" s="99">
        <v>1</v>
      </c>
      <c r="M197" s="99">
        <v>1</v>
      </c>
      <c r="N197" s="99">
        <v>0</v>
      </c>
      <c r="O197" s="75" t="s">
        <v>839</v>
      </c>
      <c r="P197" s="75" t="s">
        <v>828</v>
      </c>
      <c r="Q197" s="80">
        <v>0.04</v>
      </c>
      <c r="R197" s="75" t="s">
        <v>815</v>
      </c>
      <c r="S197" s="75" t="s">
        <v>839</v>
      </c>
      <c r="T197" s="75" t="s">
        <v>623</v>
      </c>
      <c r="U197" s="75">
        <v>4</v>
      </c>
      <c r="V197" s="75">
        <v>0</v>
      </c>
      <c r="W197" s="75" t="s">
        <v>841</v>
      </c>
      <c r="X197" s="75" t="s">
        <v>626</v>
      </c>
      <c r="Y197" s="75" t="s">
        <v>626</v>
      </c>
      <c r="AA197" s="75" t="s">
        <v>630</v>
      </c>
      <c r="AD197" s="75" t="s">
        <v>629</v>
      </c>
      <c r="AE197" s="75">
        <v>1</v>
      </c>
      <c r="AG197" s="75">
        <v>20</v>
      </c>
      <c r="AH197" s="75">
        <v>80</v>
      </c>
      <c r="AI197" s="75">
        <v>80</v>
      </c>
      <c r="AJ197" s="75">
        <v>80</v>
      </c>
      <c r="AK197" s="75">
        <v>9</v>
      </c>
      <c r="AL197" s="75">
        <v>1</v>
      </c>
      <c r="AM197" s="75">
        <v>0</v>
      </c>
    </row>
    <row r="198" spans="1:39">
      <c r="A198" s="98" t="s">
        <v>534</v>
      </c>
      <c r="B198" s="75" t="s">
        <v>615</v>
      </c>
      <c r="C198" s="75" t="s">
        <v>662</v>
      </c>
      <c r="D198" s="75" t="s">
        <v>653</v>
      </c>
      <c r="E198" s="80">
        <v>9</v>
      </c>
      <c r="F198" s="75">
        <v>2</v>
      </c>
      <c r="G198" s="75" t="s">
        <v>670</v>
      </c>
      <c r="H198" s="99">
        <v>3</v>
      </c>
      <c r="I198" s="273">
        <v>3</v>
      </c>
      <c r="J198" s="99">
        <v>4</v>
      </c>
      <c r="K198" s="99">
        <v>0</v>
      </c>
      <c r="L198" s="99">
        <v>1</v>
      </c>
      <c r="M198" s="99">
        <v>1</v>
      </c>
      <c r="N198" s="99">
        <v>0</v>
      </c>
      <c r="O198" s="75" t="s">
        <v>771</v>
      </c>
      <c r="P198" s="75" t="s">
        <v>850</v>
      </c>
      <c r="Q198" s="80" t="s">
        <v>748</v>
      </c>
      <c r="R198" s="75" t="s">
        <v>851</v>
      </c>
      <c r="S198" s="75" t="s">
        <v>773</v>
      </c>
      <c r="T198" s="75" t="s">
        <v>749</v>
      </c>
      <c r="U198" s="75" t="s">
        <v>624</v>
      </c>
      <c r="V198" s="75" t="s">
        <v>624</v>
      </c>
      <c r="W198" s="75" t="s">
        <v>774</v>
      </c>
      <c r="X198" s="75" t="s">
        <v>626</v>
      </c>
      <c r="Y198" s="75" t="s">
        <v>626</v>
      </c>
      <c r="AA198" s="75" t="s">
        <v>630</v>
      </c>
      <c r="AD198" s="75" t="s">
        <v>629</v>
      </c>
      <c r="AE198" s="75">
        <v>1</v>
      </c>
      <c r="AG198" s="75">
        <v>19</v>
      </c>
      <c r="AH198" s="75">
        <v>66</v>
      </c>
      <c r="AI198" s="75">
        <v>66</v>
      </c>
      <c r="AJ198" s="75">
        <v>66</v>
      </c>
      <c r="AK198" s="75">
        <v>10</v>
      </c>
      <c r="AL198" s="75">
        <v>1</v>
      </c>
      <c r="AM198" s="75">
        <v>1</v>
      </c>
    </row>
    <row r="199" spans="1:39">
      <c r="A199" s="98" t="s">
        <v>487</v>
      </c>
      <c r="B199" s="75" t="s">
        <v>615</v>
      </c>
      <c r="C199" s="75" t="s">
        <v>662</v>
      </c>
      <c r="D199" s="75" t="s">
        <v>617</v>
      </c>
      <c r="E199" s="80">
        <v>8</v>
      </c>
      <c r="F199" s="75">
        <v>2</v>
      </c>
      <c r="G199" s="75" t="s">
        <v>743</v>
      </c>
      <c r="H199" s="99">
        <v>3</v>
      </c>
      <c r="I199" s="273">
        <v>3</v>
      </c>
      <c r="J199" s="99">
        <v>4</v>
      </c>
      <c r="K199" s="99">
        <v>0</v>
      </c>
      <c r="L199" s="99">
        <v>1</v>
      </c>
      <c r="M199" s="99">
        <v>1</v>
      </c>
      <c r="N199" s="99">
        <v>0</v>
      </c>
      <c r="O199" s="75" t="s">
        <v>771</v>
      </c>
      <c r="P199" s="75" t="s">
        <v>852</v>
      </c>
      <c r="Q199" s="80" t="s">
        <v>748</v>
      </c>
      <c r="R199" s="75" t="s">
        <v>851</v>
      </c>
      <c r="S199" s="75" t="s">
        <v>773</v>
      </c>
      <c r="T199" s="75" t="s">
        <v>749</v>
      </c>
      <c r="U199" s="75" t="s">
        <v>624</v>
      </c>
      <c r="V199" s="75" t="s">
        <v>624</v>
      </c>
      <c r="W199" s="75" t="s">
        <v>774</v>
      </c>
      <c r="X199" s="75" t="s">
        <v>626</v>
      </c>
      <c r="Y199" s="75" t="s">
        <v>626</v>
      </c>
      <c r="AA199" s="75" t="s">
        <v>630</v>
      </c>
      <c r="AD199" s="75" t="s">
        <v>629</v>
      </c>
      <c r="AE199" s="75">
        <v>1</v>
      </c>
      <c r="AG199" s="75">
        <v>19</v>
      </c>
      <c r="AH199" s="75">
        <v>67</v>
      </c>
      <c r="AI199" s="75">
        <v>67</v>
      </c>
      <c r="AJ199" s="75">
        <v>67</v>
      </c>
      <c r="AK199" s="75">
        <v>14</v>
      </c>
      <c r="AL199" s="75">
        <v>1</v>
      </c>
      <c r="AM199" s="75">
        <v>1</v>
      </c>
    </row>
    <row r="200" spans="1:39">
      <c r="A200" s="98" t="s">
        <v>502</v>
      </c>
      <c r="B200" s="75" t="s">
        <v>661</v>
      </c>
      <c r="C200" s="75" t="s">
        <v>662</v>
      </c>
      <c r="D200" s="75" t="s">
        <v>653</v>
      </c>
      <c r="E200" s="80">
        <v>10</v>
      </c>
      <c r="F200" s="75">
        <v>2</v>
      </c>
      <c r="G200" s="75" t="s">
        <v>663</v>
      </c>
      <c r="H200" s="99">
        <v>3</v>
      </c>
      <c r="I200" s="273">
        <v>2</v>
      </c>
      <c r="J200" s="99">
        <v>4</v>
      </c>
      <c r="K200" s="99">
        <v>1</v>
      </c>
      <c r="L200" s="99">
        <v>1</v>
      </c>
      <c r="M200" s="99">
        <v>1</v>
      </c>
      <c r="N200" s="99">
        <v>0</v>
      </c>
      <c r="O200" s="75" t="s">
        <v>753</v>
      </c>
      <c r="P200" s="75" t="s">
        <v>848</v>
      </c>
      <c r="Q200" s="80" t="s">
        <v>624</v>
      </c>
      <c r="R200" s="75" t="s">
        <v>755</v>
      </c>
      <c r="S200" s="75" t="s">
        <v>756</v>
      </c>
      <c r="T200" s="75" t="s">
        <v>623</v>
      </c>
      <c r="U200" s="75" t="s">
        <v>624</v>
      </c>
      <c r="V200" s="75"/>
      <c r="W200" s="75" t="s">
        <v>757</v>
      </c>
      <c r="X200" s="75" t="s">
        <v>626</v>
      </c>
      <c r="Y200" s="75" t="s">
        <v>626</v>
      </c>
      <c r="AA200" s="75" t="s">
        <v>630</v>
      </c>
      <c r="AB200" s="75" t="s">
        <v>801</v>
      </c>
      <c r="AC200" s="75" t="s">
        <v>802</v>
      </c>
      <c r="AD200" s="75" t="s">
        <v>629</v>
      </c>
      <c r="AE200" s="75">
        <v>2</v>
      </c>
      <c r="AG200" s="75">
        <v>12</v>
      </c>
      <c r="AH200" s="75">
        <v>136</v>
      </c>
      <c r="AI200" s="75">
        <v>7</v>
      </c>
      <c r="AJ200" s="75">
        <v>136</v>
      </c>
      <c r="AK200" s="75">
        <v>12</v>
      </c>
      <c r="AL200" s="75">
        <v>1</v>
      </c>
      <c r="AM200" s="75">
        <v>1</v>
      </c>
    </row>
    <row r="201" spans="1:39">
      <c r="A201" s="98" t="s">
        <v>503</v>
      </c>
      <c r="B201" s="75" t="s">
        <v>661</v>
      </c>
      <c r="C201" s="75" t="s">
        <v>662</v>
      </c>
      <c r="D201" s="75" t="s">
        <v>653</v>
      </c>
      <c r="E201" s="80">
        <v>10</v>
      </c>
      <c r="F201" s="75">
        <v>2</v>
      </c>
      <c r="G201" s="75" t="s">
        <v>663</v>
      </c>
      <c r="H201" s="99">
        <v>3</v>
      </c>
      <c r="I201" s="273">
        <v>2</v>
      </c>
      <c r="J201" s="99">
        <v>4</v>
      </c>
      <c r="K201" s="99">
        <v>1</v>
      </c>
      <c r="L201" s="99">
        <v>1</v>
      </c>
      <c r="M201" s="99">
        <v>1</v>
      </c>
      <c r="N201" s="99">
        <v>0</v>
      </c>
      <c r="O201" s="75" t="s">
        <v>753</v>
      </c>
      <c r="P201" s="75" t="s">
        <v>674</v>
      </c>
      <c r="Q201" s="80" t="s">
        <v>624</v>
      </c>
      <c r="R201" s="75" t="s">
        <v>755</v>
      </c>
      <c r="S201" s="75" t="s">
        <v>756</v>
      </c>
      <c r="T201" s="75" t="s">
        <v>623</v>
      </c>
      <c r="U201" s="75" t="s">
        <v>624</v>
      </c>
      <c r="V201" s="75"/>
      <c r="W201" s="75" t="s">
        <v>757</v>
      </c>
      <c r="X201" s="75" t="s">
        <v>626</v>
      </c>
      <c r="Y201" s="75" t="s">
        <v>626</v>
      </c>
      <c r="AA201" s="75" t="s">
        <v>630</v>
      </c>
      <c r="AB201" s="75" t="s">
        <v>801</v>
      </c>
      <c r="AC201" s="75" t="s">
        <v>802</v>
      </c>
      <c r="AD201" s="75" t="s">
        <v>629</v>
      </c>
      <c r="AE201" s="75">
        <v>2</v>
      </c>
      <c r="AG201" s="75">
        <v>12</v>
      </c>
      <c r="AH201" s="75">
        <v>137</v>
      </c>
      <c r="AI201" s="75">
        <v>8</v>
      </c>
      <c r="AJ201" s="75">
        <v>137</v>
      </c>
      <c r="AK201" s="75">
        <v>12</v>
      </c>
      <c r="AL201" s="75">
        <v>1</v>
      </c>
      <c r="AM201" s="75">
        <v>1</v>
      </c>
    </row>
    <row r="202" spans="1:39">
      <c r="A202" s="98" t="s">
        <v>519</v>
      </c>
      <c r="B202" s="75" t="s">
        <v>661</v>
      </c>
      <c r="C202" s="75" t="s">
        <v>662</v>
      </c>
      <c r="D202" s="75" t="s">
        <v>653</v>
      </c>
      <c r="E202" s="80">
        <v>9</v>
      </c>
      <c r="F202" s="75">
        <v>2</v>
      </c>
      <c r="G202" s="75" t="s">
        <v>670</v>
      </c>
      <c r="H202" s="99">
        <v>3</v>
      </c>
      <c r="I202" s="273">
        <v>2</v>
      </c>
      <c r="J202" s="99">
        <v>4</v>
      </c>
      <c r="K202" s="99">
        <v>0</v>
      </c>
      <c r="L202" s="99">
        <v>1</v>
      </c>
      <c r="M202" s="99">
        <v>1</v>
      </c>
      <c r="N202" s="99">
        <v>0</v>
      </c>
      <c r="O202" s="75" t="s">
        <v>753</v>
      </c>
      <c r="P202" s="75" t="s">
        <v>848</v>
      </c>
      <c r="Q202" s="80" t="s">
        <v>624</v>
      </c>
      <c r="R202" s="75" t="s">
        <v>853</v>
      </c>
      <c r="S202" s="75" t="s">
        <v>756</v>
      </c>
      <c r="T202" s="75" t="s">
        <v>623</v>
      </c>
      <c r="U202" s="75" t="s">
        <v>624</v>
      </c>
      <c r="V202" s="75"/>
      <c r="W202" s="75" t="s">
        <v>757</v>
      </c>
      <c r="X202" s="75" t="s">
        <v>626</v>
      </c>
      <c r="Y202" s="75" t="s">
        <v>626</v>
      </c>
      <c r="AA202" s="75" t="s">
        <v>630</v>
      </c>
      <c r="AB202" s="75" t="s">
        <v>801</v>
      </c>
      <c r="AC202" s="75" t="s">
        <v>802</v>
      </c>
      <c r="AD202" s="75" t="s">
        <v>629</v>
      </c>
      <c r="AE202" s="75">
        <v>2</v>
      </c>
      <c r="AG202" s="75">
        <v>12</v>
      </c>
      <c r="AH202" s="75">
        <v>138</v>
      </c>
      <c r="AI202" s="75">
        <v>9</v>
      </c>
      <c r="AJ202" s="75">
        <v>138</v>
      </c>
      <c r="AK202" s="75">
        <v>11</v>
      </c>
      <c r="AL202" s="75">
        <v>1</v>
      </c>
      <c r="AM202" s="75">
        <v>0</v>
      </c>
    </row>
    <row r="203" spans="1:39">
      <c r="A203" s="98" t="s">
        <v>535</v>
      </c>
      <c r="B203" s="75" t="s">
        <v>615</v>
      </c>
      <c r="C203" s="75" t="s">
        <v>662</v>
      </c>
      <c r="D203" s="75" t="s">
        <v>653</v>
      </c>
      <c r="E203" s="80">
        <v>9</v>
      </c>
      <c r="F203" s="75">
        <v>2</v>
      </c>
      <c r="G203" s="75" t="s">
        <v>670</v>
      </c>
      <c r="H203" s="99">
        <v>3</v>
      </c>
      <c r="I203" s="273">
        <v>3</v>
      </c>
      <c r="J203" s="99">
        <v>4</v>
      </c>
      <c r="K203" s="99">
        <v>0</v>
      </c>
      <c r="L203" s="99">
        <v>1</v>
      </c>
      <c r="M203" s="99">
        <v>1</v>
      </c>
      <c r="N203" s="99">
        <v>0</v>
      </c>
      <c r="O203" s="75" t="s">
        <v>753</v>
      </c>
      <c r="P203" s="75" t="s">
        <v>850</v>
      </c>
      <c r="Q203" s="80" t="s">
        <v>748</v>
      </c>
      <c r="R203" s="75" t="s">
        <v>853</v>
      </c>
      <c r="S203" s="75" t="s">
        <v>756</v>
      </c>
      <c r="T203" s="75" t="s">
        <v>749</v>
      </c>
      <c r="U203" s="75" t="s">
        <v>624</v>
      </c>
      <c r="V203" s="75" t="s">
        <v>624</v>
      </c>
      <c r="W203" s="75" t="s">
        <v>757</v>
      </c>
      <c r="X203" s="75" t="s">
        <v>626</v>
      </c>
      <c r="Y203" s="75" t="s">
        <v>626</v>
      </c>
      <c r="AA203" s="75" t="s">
        <v>630</v>
      </c>
      <c r="AD203" s="75" t="s">
        <v>629</v>
      </c>
      <c r="AE203" s="75">
        <v>1</v>
      </c>
      <c r="AG203" s="75">
        <v>14</v>
      </c>
      <c r="AH203" s="75">
        <v>54</v>
      </c>
      <c r="AI203" s="75">
        <v>54</v>
      </c>
      <c r="AJ203" s="75">
        <v>54</v>
      </c>
      <c r="AK203" s="75">
        <v>10</v>
      </c>
      <c r="AL203" s="75">
        <v>1</v>
      </c>
      <c r="AM203" s="75">
        <v>1</v>
      </c>
    </row>
    <row r="204" spans="1:39">
      <c r="A204" s="98" t="s">
        <v>520</v>
      </c>
      <c r="B204" s="75" t="s">
        <v>661</v>
      </c>
      <c r="C204" s="75" t="s">
        <v>662</v>
      </c>
      <c r="D204" s="75" t="s">
        <v>653</v>
      </c>
      <c r="E204" s="80">
        <v>9</v>
      </c>
      <c r="F204" s="75">
        <v>2</v>
      </c>
      <c r="G204" s="75" t="s">
        <v>670</v>
      </c>
      <c r="H204" s="99">
        <v>3</v>
      </c>
      <c r="I204" s="273">
        <v>2</v>
      </c>
      <c r="J204" s="99">
        <v>4</v>
      </c>
      <c r="K204" s="99">
        <v>0</v>
      </c>
      <c r="L204" s="99">
        <v>1</v>
      </c>
      <c r="M204" s="99">
        <v>1</v>
      </c>
      <c r="N204" s="99">
        <v>0</v>
      </c>
      <c r="O204" s="75" t="s">
        <v>753</v>
      </c>
      <c r="P204" s="75" t="s">
        <v>674</v>
      </c>
      <c r="Q204" s="80" t="s">
        <v>624</v>
      </c>
      <c r="R204" s="75" t="s">
        <v>853</v>
      </c>
      <c r="S204" s="75" t="s">
        <v>756</v>
      </c>
      <c r="T204" s="75" t="s">
        <v>623</v>
      </c>
      <c r="U204" s="75" t="s">
        <v>624</v>
      </c>
      <c r="V204" s="75"/>
      <c r="W204" s="75" t="s">
        <v>757</v>
      </c>
      <c r="X204" s="75" t="s">
        <v>626</v>
      </c>
      <c r="Y204" s="75" t="s">
        <v>626</v>
      </c>
      <c r="AA204" s="75" t="s">
        <v>630</v>
      </c>
      <c r="AB204" s="75" t="s">
        <v>801</v>
      </c>
      <c r="AC204" s="75" t="s">
        <v>802</v>
      </c>
      <c r="AD204" s="75" t="s">
        <v>629</v>
      </c>
      <c r="AE204" s="75">
        <v>2</v>
      </c>
      <c r="AG204" s="75">
        <v>12</v>
      </c>
      <c r="AH204" s="75">
        <v>139</v>
      </c>
      <c r="AI204" s="75">
        <v>10</v>
      </c>
      <c r="AJ204" s="75">
        <v>139</v>
      </c>
      <c r="AK204" s="75">
        <v>11</v>
      </c>
      <c r="AL204" s="75">
        <v>1</v>
      </c>
      <c r="AM204" s="75">
        <v>0</v>
      </c>
    </row>
    <row r="205" spans="1:39">
      <c r="A205" s="98" t="s">
        <v>493</v>
      </c>
      <c r="B205" s="75" t="s">
        <v>615</v>
      </c>
      <c r="C205" s="75" t="s">
        <v>662</v>
      </c>
      <c r="D205" s="75" t="s">
        <v>617</v>
      </c>
      <c r="E205" s="80">
        <v>6</v>
      </c>
      <c r="F205" s="75">
        <v>2</v>
      </c>
      <c r="G205" s="75" t="s">
        <v>767</v>
      </c>
      <c r="H205" s="99">
        <v>3</v>
      </c>
      <c r="I205" s="273">
        <v>3</v>
      </c>
      <c r="J205" s="99">
        <v>1</v>
      </c>
      <c r="K205" s="99">
        <v>0</v>
      </c>
      <c r="L205" s="99">
        <v>1</v>
      </c>
      <c r="M205" s="99">
        <v>1</v>
      </c>
      <c r="N205" s="99">
        <v>0</v>
      </c>
      <c r="O205" s="75" t="s">
        <v>753</v>
      </c>
      <c r="P205" s="75" t="s">
        <v>854</v>
      </c>
      <c r="Q205" s="80" t="s">
        <v>761</v>
      </c>
      <c r="R205" s="75" t="s">
        <v>769</v>
      </c>
      <c r="S205" s="75" t="s">
        <v>756</v>
      </c>
      <c r="T205" s="75" t="s">
        <v>623</v>
      </c>
      <c r="U205" s="75" t="s">
        <v>624</v>
      </c>
      <c r="V205" s="75" t="s">
        <v>624</v>
      </c>
      <c r="W205" s="75" t="s">
        <v>757</v>
      </c>
      <c r="X205" s="75" t="s">
        <v>626</v>
      </c>
      <c r="Y205" s="75" t="s">
        <v>626</v>
      </c>
      <c r="AA205" s="75" t="s">
        <v>630</v>
      </c>
      <c r="AD205" s="75" t="s">
        <v>629</v>
      </c>
      <c r="AE205" s="75">
        <v>1</v>
      </c>
      <c r="AG205" s="75">
        <v>14</v>
      </c>
      <c r="AH205" s="75">
        <v>55</v>
      </c>
      <c r="AI205" s="75">
        <v>55</v>
      </c>
      <c r="AJ205" s="75">
        <v>55</v>
      </c>
      <c r="AK205" s="75">
        <v>13</v>
      </c>
      <c r="AL205" s="75">
        <v>1</v>
      </c>
      <c r="AM205" s="75">
        <v>1</v>
      </c>
    </row>
    <row r="206" spans="1:39">
      <c r="A206" s="98" t="s">
        <v>504</v>
      </c>
      <c r="B206" s="75" t="s">
        <v>661</v>
      </c>
      <c r="C206" s="75" t="s">
        <v>662</v>
      </c>
      <c r="D206" s="75" t="s">
        <v>653</v>
      </c>
      <c r="E206" s="80">
        <v>10</v>
      </c>
      <c r="F206" s="75">
        <v>2</v>
      </c>
      <c r="G206" s="75" t="s">
        <v>663</v>
      </c>
      <c r="H206" s="99">
        <v>3</v>
      </c>
      <c r="I206" s="273">
        <v>2</v>
      </c>
      <c r="J206" s="99">
        <v>4</v>
      </c>
      <c r="K206" s="99">
        <v>1</v>
      </c>
      <c r="L206" s="99">
        <v>1</v>
      </c>
      <c r="M206" s="99">
        <v>1</v>
      </c>
      <c r="N206" s="99">
        <v>0</v>
      </c>
      <c r="O206" s="75" t="s">
        <v>759</v>
      </c>
      <c r="P206" s="75" t="s">
        <v>855</v>
      </c>
      <c r="Q206" s="80" t="s">
        <v>624</v>
      </c>
      <c r="R206" s="75" t="s">
        <v>856</v>
      </c>
      <c r="S206" s="75" t="s">
        <v>857</v>
      </c>
      <c r="T206" s="75" t="s">
        <v>623</v>
      </c>
      <c r="U206" s="75" t="s">
        <v>624</v>
      </c>
      <c r="V206" s="75"/>
      <c r="W206" s="75" t="s">
        <v>858</v>
      </c>
      <c r="X206" s="75" t="s">
        <v>626</v>
      </c>
      <c r="Y206" s="75" t="s">
        <v>626</v>
      </c>
      <c r="AA206" s="75" t="s">
        <v>630</v>
      </c>
      <c r="AD206" s="75" t="s">
        <v>629</v>
      </c>
      <c r="AE206" s="75">
        <v>2</v>
      </c>
      <c r="AG206" s="75">
        <v>28</v>
      </c>
      <c r="AH206" s="75">
        <v>156</v>
      </c>
      <c r="AI206" s="75">
        <v>27</v>
      </c>
      <c r="AJ206" s="75">
        <v>156</v>
      </c>
      <c r="AK206" s="75">
        <v>12</v>
      </c>
      <c r="AL206" s="75">
        <v>1</v>
      </c>
      <c r="AM206" s="75">
        <v>1</v>
      </c>
    </row>
    <row r="207" spans="1:39">
      <c r="A207" s="98" t="s">
        <v>521</v>
      </c>
      <c r="B207" s="75" t="s">
        <v>661</v>
      </c>
      <c r="C207" s="75" t="s">
        <v>662</v>
      </c>
      <c r="D207" s="75" t="s">
        <v>653</v>
      </c>
      <c r="E207" s="80">
        <v>9</v>
      </c>
      <c r="F207" s="75">
        <v>2</v>
      </c>
      <c r="G207" s="75" t="s">
        <v>670</v>
      </c>
      <c r="H207" s="99">
        <v>3</v>
      </c>
      <c r="I207" s="273">
        <v>2</v>
      </c>
      <c r="J207" s="99">
        <v>4</v>
      </c>
      <c r="K207" s="99">
        <v>0</v>
      </c>
      <c r="L207" s="99">
        <v>1</v>
      </c>
      <c r="M207" s="99">
        <v>1</v>
      </c>
      <c r="N207" s="99">
        <v>0</v>
      </c>
      <c r="O207" s="75" t="s">
        <v>759</v>
      </c>
      <c r="P207" s="75" t="s">
        <v>859</v>
      </c>
      <c r="Q207" s="80" t="s">
        <v>624</v>
      </c>
      <c r="R207" s="75" t="s">
        <v>781</v>
      </c>
      <c r="S207" s="75" t="s">
        <v>857</v>
      </c>
      <c r="T207" s="75" t="s">
        <v>623</v>
      </c>
      <c r="U207" s="75" t="s">
        <v>624</v>
      </c>
      <c r="V207" s="75"/>
      <c r="W207" s="75" t="s">
        <v>858</v>
      </c>
      <c r="X207" s="75" t="s">
        <v>626</v>
      </c>
      <c r="Y207" s="75" t="s">
        <v>626</v>
      </c>
      <c r="AA207" s="75" t="s">
        <v>630</v>
      </c>
      <c r="AD207" s="75" t="s">
        <v>629</v>
      </c>
      <c r="AE207" s="75">
        <v>2</v>
      </c>
      <c r="AG207" s="75">
        <v>28</v>
      </c>
      <c r="AH207" s="75">
        <v>157</v>
      </c>
      <c r="AI207" s="75">
        <v>28</v>
      </c>
      <c r="AJ207" s="75">
        <v>157</v>
      </c>
      <c r="AK207" s="75">
        <v>11</v>
      </c>
      <c r="AL207" s="75">
        <v>1</v>
      </c>
      <c r="AM207" s="75">
        <v>0</v>
      </c>
    </row>
    <row r="208" spans="1:39">
      <c r="A208" s="98" t="s">
        <v>505</v>
      </c>
      <c r="B208" s="75" t="s">
        <v>661</v>
      </c>
      <c r="C208" s="75" t="s">
        <v>662</v>
      </c>
      <c r="D208" s="75" t="s">
        <v>653</v>
      </c>
      <c r="E208" s="80">
        <v>10</v>
      </c>
      <c r="F208" s="75">
        <v>2</v>
      </c>
      <c r="G208" s="75" t="s">
        <v>663</v>
      </c>
      <c r="H208" s="99">
        <v>3</v>
      </c>
      <c r="I208" s="273">
        <v>2</v>
      </c>
      <c r="J208" s="99">
        <v>4</v>
      </c>
      <c r="K208" s="99">
        <v>1</v>
      </c>
      <c r="L208" s="99">
        <v>1</v>
      </c>
      <c r="M208" s="99">
        <v>1</v>
      </c>
      <c r="N208" s="99">
        <v>0</v>
      </c>
      <c r="O208" s="75" t="s">
        <v>771</v>
      </c>
      <c r="P208" s="75" t="s">
        <v>848</v>
      </c>
      <c r="Q208" s="80" t="s">
        <v>624</v>
      </c>
      <c r="R208" s="75" t="s">
        <v>772</v>
      </c>
      <c r="S208" s="75" t="s">
        <v>773</v>
      </c>
      <c r="T208" s="75" t="s">
        <v>623</v>
      </c>
      <c r="U208" s="75" t="s">
        <v>624</v>
      </c>
      <c r="V208" s="75"/>
      <c r="W208" s="75" t="s">
        <v>774</v>
      </c>
      <c r="X208" s="75" t="s">
        <v>626</v>
      </c>
      <c r="Y208" s="75" t="s">
        <v>626</v>
      </c>
      <c r="AA208" s="75" t="s">
        <v>630</v>
      </c>
      <c r="AB208" s="75" t="s">
        <v>801</v>
      </c>
      <c r="AC208" s="75" t="s">
        <v>802</v>
      </c>
      <c r="AD208" s="75" t="s">
        <v>629</v>
      </c>
      <c r="AE208" s="75">
        <v>2</v>
      </c>
      <c r="AG208" s="75">
        <v>17</v>
      </c>
      <c r="AH208" s="75">
        <v>144</v>
      </c>
      <c r="AI208" s="75">
        <v>15</v>
      </c>
      <c r="AJ208" s="75">
        <v>144</v>
      </c>
      <c r="AK208" s="75">
        <v>12</v>
      </c>
      <c r="AL208" s="75">
        <v>1</v>
      </c>
      <c r="AM208" s="75">
        <v>1</v>
      </c>
    </row>
    <row r="209" spans="1:39">
      <c r="A209" s="98" t="s">
        <v>506</v>
      </c>
      <c r="B209" s="75" t="s">
        <v>661</v>
      </c>
      <c r="C209" s="75" t="s">
        <v>662</v>
      </c>
      <c r="D209" s="75" t="s">
        <v>653</v>
      </c>
      <c r="E209" s="80">
        <v>10</v>
      </c>
      <c r="F209" s="75">
        <v>2</v>
      </c>
      <c r="G209" s="75" t="s">
        <v>663</v>
      </c>
      <c r="H209" s="99">
        <v>3</v>
      </c>
      <c r="I209" s="273">
        <v>2</v>
      </c>
      <c r="J209" s="99">
        <v>4</v>
      </c>
      <c r="K209" s="99">
        <v>1</v>
      </c>
      <c r="L209" s="99">
        <v>1</v>
      </c>
      <c r="M209" s="99">
        <v>1</v>
      </c>
      <c r="N209" s="99">
        <v>0</v>
      </c>
      <c r="O209" s="75" t="s">
        <v>771</v>
      </c>
      <c r="P209" s="75" t="s">
        <v>674</v>
      </c>
      <c r="Q209" s="80" t="s">
        <v>624</v>
      </c>
      <c r="R209" s="75" t="s">
        <v>772</v>
      </c>
      <c r="S209" s="75" t="s">
        <v>773</v>
      </c>
      <c r="T209" s="75" t="s">
        <v>623</v>
      </c>
      <c r="U209" s="75" t="s">
        <v>624</v>
      </c>
      <c r="V209" s="75"/>
      <c r="W209" s="75" t="s">
        <v>774</v>
      </c>
      <c r="X209" s="75" t="s">
        <v>626</v>
      </c>
      <c r="Y209" s="75" t="s">
        <v>626</v>
      </c>
      <c r="AA209" s="75" t="s">
        <v>630</v>
      </c>
      <c r="AB209" s="75" t="s">
        <v>801</v>
      </c>
      <c r="AC209" s="75" t="s">
        <v>802</v>
      </c>
      <c r="AD209" s="75" t="s">
        <v>629</v>
      </c>
      <c r="AE209" s="75">
        <v>2</v>
      </c>
      <c r="AG209" s="75">
        <v>17</v>
      </c>
      <c r="AH209" s="75">
        <v>145</v>
      </c>
      <c r="AI209" s="75">
        <v>16</v>
      </c>
      <c r="AJ209" s="75">
        <v>145</v>
      </c>
      <c r="AK209" s="75">
        <v>12</v>
      </c>
      <c r="AL209" s="75">
        <v>1</v>
      </c>
      <c r="AM209" s="75">
        <v>1</v>
      </c>
    </row>
    <row r="210" spans="1:39">
      <c r="A210" s="98" t="s">
        <v>522</v>
      </c>
      <c r="B210" s="75" t="s">
        <v>661</v>
      </c>
      <c r="C210" s="75" t="s">
        <v>662</v>
      </c>
      <c r="D210" s="75" t="s">
        <v>653</v>
      </c>
      <c r="E210" s="80">
        <v>9</v>
      </c>
      <c r="F210" s="75">
        <v>2</v>
      </c>
      <c r="G210" s="75" t="s">
        <v>670</v>
      </c>
      <c r="H210" s="99">
        <v>3</v>
      </c>
      <c r="I210" s="273">
        <v>2</v>
      </c>
      <c r="J210" s="99">
        <v>4</v>
      </c>
      <c r="K210" s="99">
        <v>0</v>
      </c>
      <c r="L210" s="99">
        <v>1</v>
      </c>
      <c r="M210" s="99">
        <v>1</v>
      </c>
      <c r="N210" s="99">
        <v>0</v>
      </c>
      <c r="O210" s="75" t="s">
        <v>771</v>
      </c>
      <c r="P210" s="75" t="s">
        <v>848</v>
      </c>
      <c r="Q210" s="80" t="s">
        <v>624</v>
      </c>
      <c r="R210" s="75" t="s">
        <v>851</v>
      </c>
      <c r="S210" s="75" t="s">
        <v>773</v>
      </c>
      <c r="T210" s="75" t="s">
        <v>623</v>
      </c>
      <c r="U210" s="75" t="s">
        <v>624</v>
      </c>
      <c r="V210" s="75"/>
      <c r="W210" s="75" t="s">
        <v>774</v>
      </c>
      <c r="X210" s="75" t="s">
        <v>626</v>
      </c>
      <c r="Y210" s="75" t="s">
        <v>626</v>
      </c>
      <c r="AA210" s="75" t="s">
        <v>630</v>
      </c>
      <c r="AB210" s="75" t="s">
        <v>801</v>
      </c>
      <c r="AC210" s="75" t="s">
        <v>802</v>
      </c>
      <c r="AD210" s="75" t="s">
        <v>629</v>
      </c>
      <c r="AE210" s="75">
        <v>2</v>
      </c>
      <c r="AG210" s="75">
        <v>17</v>
      </c>
      <c r="AH210" s="75">
        <v>146</v>
      </c>
      <c r="AI210" s="75">
        <v>17</v>
      </c>
      <c r="AJ210" s="75">
        <v>146</v>
      </c>
      <c r="AK210" s="75">
        <v>11</v>
      </c>
      <c r="AL210" s="75">
        <v>1</v>
      </c>
      <c r="AM210" s="75">
        <v>0</v>
      </c>
    </row>
    <row r="211" spans="1:39">
      <c r="A211" s="98" t="s">
        <v>523</v>
      </c>
      <c r="B211" s="75" t="s">
        <v>661</v>
      </c>
      <c r="C211" s="75" t="s">
        <v>662</v>
      </c>
      <c r="D211" s="75" t="s">
        <v>653</v>
      </c>
      <c r="E211" s="80">
        <v>9</v>
      </c>
      <c r="F211" s="75">
        <v>2</v>
      </c>
      <c r="G211" s="75" t="s">
        <v>670</v>
      </c>
      <c r="H211" s="99">
        <v>3</v>
      </c>
      <c r="I211" s="273">
        <v>2</v>
      </c>
      <c r="J211" s="99">
        <v>4</v>
      </c>
      <c r="K211" s="99">
        <v>0</v>
      </c>
      <c r="L211" s="99">
        <v>1</v>
      </c>
      <c r="M211" s="99">
        <v>1</v>
      </c>
      <c r="N211" s="99">
        <v>0</v>
      </c>
      <c r="O211" s="75" t="s">
        <v>771</v>
      </c>
      <c r="P211" s="75" t="s">
        <v>674</v>
      </c>
      <c r="Q211" s="80" t="s">
        <v>624</v>
      </c>
      <c r="R211" s="75" t="s">
        <v>851</v>
      </c>
      <c r="S211" s="75" t="s">
        <v>773</v>
      </c>
      <c r="T211" s="75" t="s">
        <v>623</v>
      </c>
      <c r="U211" s="75" t="s">
        <v>624</v>
      </c>
      <c r="V211" s="75"/>
      <c r="W211" s="75" t="s">
        <v>774</v>
      </c>
      <c r="X211" s="75" t="s">
        <v>626</v>
      </c>
      <c r="Y211" s="75" t="s">
        <v>626</v>
      </c>
      <c r="AA211" s="75" t="s">
        <v>630</v>
      </c>
      <c r="AB211" s="75" t="s">
        <v>801</v>
      </c>
      <c r="AC211" s="75" t="s">
        <v>802</v>
      </c>
      <c r="AD211" s="75" t="s">
        <v>629</v>
      </c>
      <c r="AE211" s="75">
        <v>2</v>
      </c>
      <c r="AG211" s="75">
        <v>17</v>
      </c>
      <c r="AH211" s="75">
        <v>147</v>
      </c>
      <c r="AI211" s="75">
        <v>18</v>
      </c>
      <c r="AJ211" s="75">
        <v>147</v>
      </c>
      <c r="AK211" s="75">
        <v>11</v>
      </c>
      <c r="AL211" s="75">
        <v>1</v>
      </c>
      <c r="AM211" s="75">
        <v>0</v>
      </c>
    </row>
    <row r="212" spans="1:39">
      <c r="A212" s="98" t="s">
        <v>507</v>
      </c>
      <c r="B212" s="75" t="s">
        <v>661</v>
      </c>
      <c r="C212" s="75" t="s">
        <v>662</v>
      </c>
      <c r="D212" s="75" t="s">
        <v>653</v>
      </c>
      <c r="E212" s="80">
        <v>10</v>
      </c>
      <c r="F212" s="75">
        <v>2</v>
      </c>
      <c r="G212" s="75" t="s">
        <v>663</v>
      </c>
      <c r="H212" s="99">
        <v>3</v>
      </c>
      <c r="I212" s="273">
        <v>2</v>
      </c>
      <c r="J212" s="99">
        <v>4</v>
      </c>
      <c r="K212" s="99">
        <v>1</v>
      </c>
      <c r="L212" s="99">
        <v>1</v>
      </c>
      <c r="M212" s="99">
        <v>1</v>
      </c>
      <c r="N212" s="99">
        <v>0</v>
      </c>
      <c r="O212" s="75" t="s">
        <v>779</v>
      </c>
      <c r="P212" s="75" t="s">
        <v>848</v>
      </c>
      <c r="Q212" s="80" t="s">
        <v>624</v>
      </c>
      <c r="R212" s="75" t="s">
        <v>856</v>
      </c>
      <c r="S212" s="75" t="s">
        <v>782</v>
      </c>
      <c r="T212" s="75" t="s">
        <v>623</v>
      </c>
      <c r="U212" s="75" t="s">
        <v>624</v>
      </c>
      <c r="V212" s="75"/>
      <c r="W212" s="75" t="s">
        <v>783</v>
      </c>
      <c r="X212" s="75" t="s">
        <v>626</v>
      </c>
      <c r="Y212" s="75" t="s">
        <v>626</v>
      </c>
      <c r="AA212" s="75" t="s">
        <v>630</v>
      </c>
      <c r="AD212" s="75" t="s">
        <v>629</v>
      </c>
      <c r="AE212" s="75">
        <v>2</v>
      </c>
      <c r="AG212" s="75">
        <v>22</v>
      </c>
      <c r="AH212" s="75">
        <v>148</v>
      </c>
      <c r="AI212" s="75">
        <v>19</v>
      </c>
      <c r="AJ212" s="75">
        <v>148</v>
      </c>
      <c r="AK212" s="75">
        <v>12</v>
      </c>
      <c r="AL212" s="75">
        <v>1</v>
      </c>
      <c r="AM212" s="75">
        <v>1</v>
      </c>
    </row>
    <row r="213" spans="1:39">
      <c r="A213" s="98" t="s">
        <v>508</v>
      </c>
      <c r="B213" s="75" t="s">
        <v>661</v>
      </c>
      <c r="C213" s="75" t="s">
        <v>662</v>
      </c>
      <c r="D213" s="75" t="s">
        <v>653</v>
      </c>
      <c r="E213" s="80">
        <v>10</v>
      </c>
      <c r="F213" s="75">
        <v>2</v>
      </c>
      <c r="G213" s="75" t="s">
        <v>663</v>
      </c>
      <c r="H213" s="99">
        <v>3</v>
      </c>
      <c r="I213" s="273">
        <v>2</v>
      </c>
      <c r="J213" s="99">
        <v>4</v>
      </c>
      <c r="K213" s="99">
        <v>1</v>
      </c>
      <c r="L213" s="99">
        <v>1</v>
      </c>
      <c r="M213" s="99">
        <v>1</v>
      </c>
      <c r="N213" s="99">
        <v>0</v>
      </c>
      <c r="O213" s="75" t="s">
        <v>779</v>
      </c>
      <c r="P213" s="75" t="s">
        <v>674</v>
      </c>
      <c r="Q213" s="80" t="s">
        <v>624</v>
      </c>
      <c r="R213" s="75" t="s">
        <v>856</v>
      </c>
      <c r="S213" s="75" t="s">
        <v>782</v>
      </c>
      <c r="T213" s="75" t="s">
        <v>623</v>
      </c>
      <c r="U213" s="75" t="s">
        <v>624</v>
      </c>
      <c r="V213" s="75"/>
      <c r="W213" s="75" t="s">
        <v>783</v>
      </c>
      <c r="X213" s="75" t="s">
        <v>626</v>
      </c>
      <c r="Y213" s="75" t="s">
        <v>626</v>
      </c>
      <c r="AA213" s="75" t="s">
        <v>630</v>
      </c>
      <c r="AD213" s="75" t="s">
        <v>629</v>
      </c>
      <c r="AE213" s="75">
        <v>2</v>
      </c>
      <c r="AG213" s="75">
        <v>22</v>
      </c>
      <c r="AH213" s="75">
        <v>149</v>
      </c>
      <c r="AI213" s="75">
        <v>20</v>
      </c>
      <c r="AJ213" s="75">
        <v>149</v>
      </c>
      <c r="AK213" s="75">
        <v>12</v>
      </c>
      <c r="AL213" s="75">
        <v>1</v>
      </c>
      <c r="AM213" s="75">
        <v>1</v>
      </c>
    </row>
    <row r="214" spans="1:39">
      <c r="A214" s="98" t="s">
        <v>524</v>
      </c>
      <c r="B214" s="75" t="s">
        <v>661</v>
      </c>
      <c r="C214" s="75" t="s">
        <v>662</v>
      </c>
      <c r="D214" s="75" t="s">
        <v>653</v>
      </c>
      <c r="E214" s="80">
        <v>9</v>
      </c>
      <c r="F214" s="75">
        <v>2</v>
      </c>
      <c r="G214" s="75" t="s">
        <v>670</v>
      </c>
      <c r="H214" s="99">
        <v>3</v>
      </c>
      <c r="I214" s="273">
        <v>2</v>
      </c>
      <c r="J214" s="99">
        <v>4</v>
      </c>
      <c r="K214" s="99">
        <v>0</v>
      </c>
      <c r="L214" s="99">
        <v>1</v>
      </c>
      <c r="M214" s="99">
        <v>1</v>
      </c>
      <c r="N214" s="99">
        <v>0</v>
      </c>
      <c r="O214" s="75" t="s">
        <v>779</v>
      </c>
      <c r="P214" s="75" t="s">
        <v>848</v>
      </c>
      <c r="Q214" s="80" t="s">
        <v>624</v>
      </c>
      <c r="R214" s="75" t="s">
        <v>781</v>
      </c>
      <c r="S214" s="75" t="s">
        <v>782</v>
      </c>
      <c r="T214" s="75" t="s">
        <v>623</v>
      </c>
      <c r="U214" s="75" t="s">
        <v>624</v>
      </c>
      <c r="V214" s="75"/>
      <c r="W214" s="75" t="s">
        <v>783</v>
      </c>
      <c r="X214" s="75" t="s">
        <v>626</v>
      </c>
      <c r="Y214" s="75" t="s">
        <v>626</v>
      </c>
      <c r="AA214" s="75" t="s">
        <v>630</v>
      </c>
      <c r="AB214" s="75" t="s">
        <v>801</v>
      </c>
      <c r="AC214" s="75" t="s">
        <v>802</v>
      </c>
      <c r="AD214" s="75" t="s">
        <v>629</v>
      </c>
      <c r="AE214" s="75">
        <v>2</v>
      </c>
      <c r="AG214" s="75">
        <v>22</v>
      </c>
      <c r="AH214" s="75">
        <v>150</v>
      </c>
      <c r="AI214" s="75">
        <v>21</v>
      </c>
      <c r="AJ214" s="75">
        <v>150</v>
      </c>
      <c r="AK214" s="75">
        <v>11</v>
      </c>
      <c r="AL214" s="75">
        <v>1</v>
      </c>
      <c r="AM214" s="75">
        <v>0</v>
      </c>
    </row>
    <row r="215" spans="1:39">
      <c r="A215" s="98" t="s">
        <v>525</v>
      </c>
      <c r="B215" s="75" t="s">
        <v>661</v>
      </c>
      <c r="C215" s="75" t="s">
        <v>662</v>
      </c>
      <c r="D215" s="75" t="s">
        <v>653</v>
      </c>
      <c r="E215" s="80">
        <v>9</v>
      </c>
      <c r="F215" s="75">
        <v>2</v>
      </c>
      <c r="G215" s="75" t="s">
        <v>670</v>
      </c>
      <c r="H215" s="99">
        <v>3</v>
      </c>
      <c r="I215" s="273">
        <v>2</v>
      </c>
      <c r="J215" s="99">
        <v>4</v>
      </c>
      <c r="K215" s="99">
        <v>0</v>
      </c>
      <c r="L215" s="99">
        <v>1</v>
      </c>
      <c r="M215" s="99">
        <v>1</v>
      </c>
      <c r="N215" s="99">
        <v>0</v>
      </c>
      <c r="O215" s="75" t="s">
        <v>779</v>
      </c>
      <c r="P215" s="75" t="s">
        <v>674</v>
      </c>
      <c r="Q215" s="80" t="s">
        <v>624</v>
      </c>
      <c r="R215" s="75" t="s">
        <v>781</v>
      </c>
      <c r="S215" s="75" t="s">
        <v>782</v>
      </c>
      <c r="T215" s="75" t="s">
        <v>623</v>
      </c>
      <c r="U215" s="75" t="s">
        <v>624</v>
      </c>
      <c r="V215" s="75"/>
      <c r="W215" s="75" t="s">
        <v>783</v>
      </c>
      <c r="X215" s="75" t="s">
        <v>626</v>
      </c>
      <c r="Y215" s="75" t="s">
        <v>626</v>
      </c>
      <c r="AA215" s="75" t="s">
        <v>630</v>
      </c>
      <c r="AB215" s="75" t="s">
        <v>801</v>
      </c>
      <c r="AC215" s="75" t="s">
        <v>802</v>
      </c>
      <c r="AD215" s="75" t="s">
        <v>629</v>
      </c>
      <c r="AE215" s="75">
        <v>2</v>
      </c>
      <c r="AG215" s="75">
        <v>22</v>
      </c>
      <c r="AH215" s="75">
        <v>151</v>
      </c>
      <c r="AI215" s="75">
        <v>22</v>
      </c>
      <c r="AJ215" s="75">
        <v>151</v>
      </c>
      <c r="AK215" s="75">
        <v>11</v>
      </c>
      <c r="AL215" s="75">
        <v>1</v>
      </c>
      <c r="AM215" s="75">
        <v>0</v>
      </c>
    </row>
    <row r="216" spans="1:39">
      <c r="A216" s="98" t="s">
        <v>526</v>
      </c>
      <c r="B216" s="75" t="s">
        <v>661</v>
      </c>
      <c r="C216" s="75" t="s">
        <v>662</v>
      </c>
      <c r="D216" s="75" t="s">
        <v>653</v>
      </c>
      <c r="E216" s="80">
        <v>9</v>
      </c>
      <c r="F216" s="75">
        <v>2</v>
      </c>
      <c r="G216" s="75" t="s">
        <v>670</v>
      </c>
      <c r="H216" s="99">
        <v>3</v>
      </c>
      <c r="I216" s="273">
        <v>2</v>
      </c>
      <c r="J216" s="99">
        <v>4</v>
      </c>
      <c r="K216" s="99">
        <v>0</v>
      </c>
      <c r="L216" s="99">
        <v>1</v>
      </c>
      <c r="M216" s="99">
        <v>1</v>
      </c>
      <c r="N216" s="99">
        <v>0</v>
      </c>
      <c r="O216" s="75" t="s">
        <v>779</v>
      </c>
      <c r="P216" s="75" t="s">
        <v>848</v>
      </c>
      <c r="Q216" s="80" t="s">
        <v>624</v>
      </c>
      <c r="R216" s="75" t="s">
        <v>781</v>
      </c>
      <c r="S216" s="75" t="s">
        <v>782</v>
      </c>
      <c r="T216" s="75" t="s">
        <v>623</v>
      </c>
      <c r="U216" s="75" t="s">
        <v>624</v>
      </c>
      <c r="V216" s="75"/>
      <c r="W216" s="75" t="s">
        <v>783</v>
      </c>
      <c r="X216" s="75" t="s">
        <v>626</v>
      </c>
      <c r="Y216" s="75" t="s">
        <v>626</v>
      </c>
      <c r="AA216" s="75" t="s">
        <v>630</v>
      </c>
      <c r="AB216" s="75" t="s">
        <v>801</v>
      </c>
      <c r="AC216" s="75" t="s">
        <v>802</v>
      </c>
      <c r="AD216" s="75" t="s">
        <v>629</v>
      </c>
      <c r="AE216" s="75">
        <v>2</v>
      </c>
      <c r="AG216" s="75">
        <v>22</v>
      </c>
      <c r="AH216" s="75">
        <v>152</v>
      </c>
      <c r="AI216" s="75">
        <v>23</v>
      </c>
      <c r="AJ216" s="75">
        <v>152</v>
      </c>
      <c r="AK216" s="75">
        <v>11</v>
      </c>
      <c r="AL216" s="75">
        <v>1</v>
      </c>
      <c r="AM216" s="75">
        <v>0</v>
      </c>
    </row>
    <row r="217" spans="1:39">
      <c r="A217" s="98" t="s">
        <v>527</v>
      </c>
      <c r="B217" s="75" t="s">
        <v>661</v>
      </c>
      <c r="C217" s="75" t="s">
        <v>662</v>
      </c>
      <c r="D217" s="75" t="s">
        <v>653</v>
      </c>
      <c r="E217" s="80">
        <v>9</v>
      </c>
      <c r="F217" s="75">
        <v>2</v>
      </c>
      <c r="G217" s="75" t="s">
        <v>670</v>
      </c>
      <c r="H217" s="99">
        <v>3</v>
      </c>
      <c r="I217" s="273">
        <v>2</v>
      </c>
      <c r="J217" s="99">
        <v>4</v>
      </c>
      <c r="K217" s="99">
        <v>0</v>
      </c>
      <c r="L217" s="99">
        <v>1</v>
      </c>
      <c r="M217" s="99">
        <v>1</v>
      </c>
      <c r="N217" s="99">
        <v>0</v>
      </c>
      <c r="O217" s="75" t="s">
        <v>779</v>
      </c>
      <c r="P217" s="75" t="s">
        <v>674</v>
      </c>
      <c r="Q217" s="80" t="s">
        <v>624</v>
      </c>
      <c r="R217" s="75" t="s">
        <v>781</v>
      </c>
      <c r="S217" s="75" t="s">
        <v>782</v>
      </c>
      <c r="T217" s="75" t="s">
        <v>623</v>
      </c>
      <c r="U217" s="75" t="s">
        <v>624</v>
      </c>
      <c r="V217" s="75"/>
      <c r="W217" s="75" t="s">
        <v>783</v>
      </c>
      <c r="X217" s="75" t="s">
        <v>626</v>
      </c>
      <c r="Y217" s="75" t="s">
        <v>626</v>
      </c>
      <c r="AA217" s="75" t="s">
        <v>630</v>
      </c>
      <c r="AB217" s="75" t="s">
        <v>801</v>
      </c>
      <c r="AC217" s="75" t="s">
        <v>802</v>
      </c>
      <c r="AD217" s="75" t="s">
        <v>629</v>
      </c>
      <c r="AE217" s="75">
        <v>2</v>
      </c>
      <c r="AG217" s="75">
        <v>22</v>
      </c>
      <c r="AH217" s="75">
        <v>153</v>
      </c>
      <c r="AI217" s="75">
        <v>24</v>
      </c>
      <c r="AJ217" s="75">
        <v>153</v>
      </c>
      <c r="AK217" s="75">
        <v>11</v>
      </c>
      <c r="AL217" s="75">
        <v>1</v>
      </c>
      <c r="AM217" s="75">
        <v>0</v>
      </c>
    </row>
    <row r="218" spans="1:39">
      <c r="A218" s="98" t="s">
        <v>536</v>
      </c>
      <c r="B218" s="75" t="s">
        <v>615</v>
      </c>
      <c r="C218" s="75" t="s">
        <v>662</v>
      </c>
      <c r="D218" s="75" t="s">
        <v>653</v>
      </c>
      <c r="E218" s="80">
        <v>9</v>
      </c>
      <c r="F218" s="75">
        <v>2</v>
      </c>
      <c r="G218" s="75" t="s">
        <v>670</v>
      </c>
      <c r="H218" s="99">
        <v>3</v>
      </c>
      <c r="I218" s="273">
        <v>3</v>
      </c>
      <c r="J218" s="99">
        <v>4</v>
      </c>
      <c r="K218" s="99">
        <v>0</v>
      </c>
      <c r="L218" s="99">
        <v>1</v>
      </c>
      <c r="M218" s="99">
        <v>1</v>
      </c>
      <c r="N218" s="99">
        <v>0</v>
      </c>
      <c r="O218" s="75" t="s">
        <v>779</v>
      </c>
      <c r="P218" s="75" t="s">
        <v>850</v>
      </c>
      <c r="Q218" s="80" t="s">
        <v>748</v>
      </c>
      <c r="R218" s="75" t="s">
        <v>781</v>
      </c>
      <c r="S218" s="75" t="s">
        <v>782</v>
      </c>
      <c r="T218" s="75" t="s">
        <v>749</v>
      </c>
      <c r="U218" s="75" t="s">
        <v>624</v>
      </c>
      <c r="V218" s="75" t="s">
        <v>624</v>
      </c>
      <c r="W218" s="75" t="s">
        <v>783</v>
      </c>
      <c r="X218" s="75" t="s">
        <v>626</v>
      </c>
      <c r="Y218" s="75" t="s">
        <v>626</v>
      </c>
      <c r="AA218" s="75" t="s">
        <v>630</v>
      </c>
      <c r="AD218" s="75" t="s">
        <v>629</v>
      </c>
      <c r="AE218" s="75">
        <v>1</v>
      </c>
      <c r="AG218" s="75">
        <v>24</v>
      </c>
      <c r="AH218" s="75">
        <v>91</v>
      </c>
      <c r="AI218" s="75">
        <v>91</v>
      </c>
      <c r="AJ218" s="75">
        <v>91</v>
      </c>
      <c r="AK218" s="75">
        <v>10</v>
      </c>
      <c r="AL218" s="75">
        <v>1</v>
      </c>
      <c r="AM218" s="75">
        <v>1</v>
      </c>
    </row>
    <row r="219" spans="1:39">
      <c r="A219" s="98" t="s">
        <v>537</v>
      </c>
      <c r="B219" s="75" t="s">
        <v>615</v>
      </c>
      <c r="C219" s="75" t="s">
        <v>662</v>
      </c>
      <c r="D219" s="75" t="s">
        <v>653</v>
      </c>
      <c r="E219" s="80">
        <v>9</v>
      </c>
      <c r="F219" s="75">
        <v>2</v>
      </c>
      <c r="G219" s="75" t="s">
        <v>670</v>
      </c>
      <c r="H219" s="99">
        <v>3</v>
      </c>
      <c r="I219" s="273">
        <v>3</v>
      </c>
      <c r="J219" s="99">
        <v>4</v>
      </c>
      <c r="K219" s="99">
        <v>0</v>
      </c>
      <c r="L219" s="99">
        <v>1</v>
      </c>
      <c r="M219" s="99">
        <v>1</v>
      </c>
      <c r="N219" s="99">
        <v>0</v>
      </c>
      <c r="O219" s="75" t="s">
        <v>779</v>
      </c>
      <c r="P219" s="75" t="s">
        <v>852</v>
      </c>
      <c r="Q219" s="80" t="s">
        <v>748</v>
      </c>
      <c r="R219" s="75" t="s">
        <v>781</v>
      </c>
      <c r="S219" s="75" t="s">
        <v>782</v>
      </c>
      <c r="T219" s="75" t="s">
        <v>749</v>
      </c>
      <c r="U219" s="75" t="s">
        <v>624</v>
      </c>
      <c r="V219" s="75" t="s">
        <v>624</v>
      </c>
      <c r="W219" s="75" t="s">
        <v>783</v>
      </c>
      <c r="X219" s="75" t="s">
        <v>626</v>
      </c>
      <c r="Y219" s="75" t="s">
        <v>626</v>
      </c>
      <c r="AA219" s="75" t="s">
        <v>630</v>
      </c>
      <c r="AD219" s="75" t="s">
        <v>629</v>
      </c>
      <c r="AE219" s="75">
        <v>1</v>
      </c>
      <c r="AG219" s="75">
        <v>24</v>
      </c>
      <c r="AH219" s="75">
        <v>92</v>
      </c>
      <c r="AI219" s="75">
        <v>92</v>
      </c>
      <c r="AJ219" s="75">
        <v>92</v>
      </c>
      <c r="AK219" s="75">
        <v>10</v>
      </c>
      <c r="AL219" s="75">
        <v>1</v>
      </c>
      <c r="AM219" s="75">
        <v>1</v>
      </c>
    </row>
    <row r="220" spans="1:39">
      <c r="A220" s="98" t="s">
        <v>528</v>
      </c>
      <c r="B220" s="75" t="s">
        <v>661</v>
      </c>
      <c r="C220" s="75" t="s">
        <v>662</v>
      </c>
      <c r="D220" s="75" t="s">
        <v>653</v>
      </c>
      <c r="E220" s="80">
        <v>9</v>
      </c>
      <c r="F220" s="75">
        <v>2</v>
      </c>
      <c r="G220" s="75" t="s">
        <v>670</v>
      </c>
      <c r="H220" s="99">
        <v>3</v>
      </c>
      <c r="I220" s="273">
        <v>2</v>
      </c>
      <c r="J220" s="99">
        <v>4</v>
      </c>
      <c r="K220" s="99">
        <v>0</v>
      </c>
      <c r="L220" s="99">
        <v>1</v>
      </c>
      <c r="M220" s="99">
        <v>1</v>
      </c>
      <c r="N220" s="99">
        <v>0</v>
      </c>
      <c r="O220" s="75" t="s">
        <v>784</v>
      </c>
      <c r="P220" s="75" t="s">
        <v>674</v>
      </c>
      <c r="Q220" s="80" t="s">
        <v>624</v>
      </c>
      <c r="R220" s="75" t="s">
        <v>785</v>
      </c>
      <c r="S220" s="75" t="s">
        <v>786</v>
      </c>
      <c r="T220" s="75" t="s">
        <v>623</v>
      </c>
      <c r="U220" s="75" t="s">
        <v>624</v>
      </c>
      <c r="V220" s="75"/>
      <c r="W220" s="75" t="s">
        <v>787</v>
      </c>
      <c r="X220" s="75" t="s">
        <v>626</v>
      </c>
      <c r="Y220" s="75" t="s">
        <v>626</v>
      </c>
      <c r="AA220" s="75" t="s">
        <v>630</v>
      </c>
      <c r="AD220" s="75" t="s">
        <v>629</v>
      </c>
      <c r="AE220" s="75">
        <v>2</v>
      </c>
      <c r="AG220" s="75">
        <v>5</v>
      </c>
      <c r="AH220" s="75">
        <v>130</v>
      </c>
      <c r="AI220" s="75">
        <v>1</v>
      </c>
      <c r="AJ220" s="75">
        <v>130</v>
      </c>
      <c r="AK220" s="75">
        <v>11</v>
      </c>
      <c r="AL220" s="75">
        <v>1</v>
      </c>
      <c r="AM220" s="75">
        <v>0</v>
      </c>
    </row>
    <row r="221" spans="1:39">
      <c r="A221" s="98" t="s">
        <v>1013</v>
      </c>
      <c r="B221" s="75" t="s">
        <v>661</v>
      </c>
      <c r="C221" s="75" t="s">
        <v>662</v>
      </c>
      <c r="D221" s="75" t="s">
        <v>653</v>
      </c>
      <c r="E221" s="80">
        <v>10</v>
      </c>
      <c r="F221" s="75">
        <v>2</v>
      </c>
      <c r="G221" s="75" t="s">
        <v>663</v>
      </c>
      <c r="H221" s="99">
        <v>3</v>
      </c>
      <c r="I221" s="273">
        <v>2</v>
      </c>
      <c r="J221" s="99">
        <v>4</v>
      </c>
      <c r="K221" s="99">
        <v>1</v>
      </c>
      <c r="L221" s="99">
        <v>1</v>
      </c>
      <c r="M221" s="99">
        <v>1</v>
      </c>
      <c r="N221" s="99">
        <v>0</v>
      </c>
      <c r="O221" s="75" t="s">
        <v>1094</v>
      </c>
      <c r="P221" s="75" t="s">
        <v>1125</v>
      </c>
      <c r="Q221" s="80" t="s">
        <v>624</v>
      </c>
      <c r="R221" s="75" t="s">
        <v>1126</v>
      </c>
      <c r="S221" s="75" t="s">
        <v>1111</v>
      </c>
      <c r="T221" s="75" t="s">
        <v>623</v>
      </c>
      <c r="U221" s="75"/>
      <c r="V221" s="75"/>
      <c r="W221" s="75" t="s">
        <v>1112</v>
      </c>
      <c r="X221" s="75" t="s">
        <v>626</v>
      </c>
      <c r="AA221" s="75" t="s">
        <v>630</v>
      </c>
      <c r="AD221" s="75" t="s">
        <v>629</v>
      </c>
      <c r="AE221" s="75">
        <v>2</v>
      </c>
      <c r="AG221" s="75">
        <v>26</v>
      </c>
      <c r="AH221" s="75">
        <v>154</v>
      </c>
      <c r="AI221" s="75">
        <v>25</v>
      </c>
      <c r="AJ221" s="75">
        <v>154</v>
      </c>
      <c r="AK221" s="75">
        <v>12</v>
      </c>
      <c r="AL221" s="75">
        <v>1</v>
      </c>
      <c r="AM221" s="75">
        <v>1</v>
      </c>
    </row>
    <row r="222" spans="1:39">
      <c r="A222" s="98" t="s">
        <v>1016</v>
      </c>
      <c r="B222" s="75" t="s">
        <v>661</v>
      </c>
      <c r="C222" s="75" t="s">
        <v>662</v>
      </c>
      <c r="D222" s="75" t="s">
        <v>653</v>
      </c>
      <c r="E222" s="80">
        <v>9</v>
      </c>
      <c r="F222" s="75">
        <v>2</v>
      </c>
      <c r="G222" s="75" t="s">
        <v>670</v>
      </c>
      <c r="H222" s="99">
        <v>3</v>
      </c>
      <c r="I222" s="273">
        <v>2</v>
      </c>
      <c r="J222" s="99">
        <v>4</v>
      </c>
      <c r="K222" s="99">
        <v>0</v>
      </c>
      <c r="L222" s="99">
        <v>1</v>
      </c>
      <c r="M222" s="99">
        <v>1</v>
      </c>
      <c r="N222" s="99">
        <v>0</v>
      </c>
      <c r="O222" s="75" t="s">
        <v>1094</v>
      </c>
      <c r="P222" s="75" t="s">
        <v>1127</v>
      </c>
      <c r="Q222" s="80" t="s">
        <v>624</v>
      </c>
      <c r="R222" s="75" t="s">
        <v>1128</v>
      </c>
      <c r="S222" s="75" t="s">
        <v>1111</v>
      </c>
      <c r="T222" s="75" t="s">
        <v>623</v>
      </c>
      <c r="U222" s="75"/>
      <c r="V222" s="75"/>
      <c r="W222" s="75" t="s">
        <v>1112</v>
      </c>
      <c r="X222" s="75" t="s">
        <v>626</v>
      </c>
      <c r="AA222" s="75" t="s">
        <v>630</v>
      </c>
      <c r="AD222" s="75" t="s">
        <v>629</v>
      </c>
      <c r="AE222" s="75">
        <v>2</v>
      </c>
      <c r="AG222" s="75">
        <v>26</v>
      </c>
      <c r="AH222" s="75">
        <v>155</v>
      </c>
      <c r="AI222" s="75">
        <v>26</v>
      </c>
      <c r="AJ222" s="75">
        <v>155</v>
      </c>
      <c r="AK222" s="75">
        <v>11</v>
      </c>
      <c r="AL222" s="75">
        <v>1</v>
      </c>
      <c r="AM222" s="75">
        <v>0</v>
      </c>
    </row>
    <row r="223" spans="1:39">
      <c r="A223" s="98" t="s">
        <v>509</v>
      </c>
      <c r="B223" s="75" t="s">
        <v>661</v>
      </c>
      <c r="C223" s="75" t="s">
        <v>662</v>
      </c>
      <c r="D223" s="75" t="s">
        <v>653</v>
      </c>
      <c r="E223" s="80">
        <v>10</v>
      </c>
      <c r="F223" s="75">
        <v>2</v>
      </c>
      <c r="G223" s="75" t="s">
        <v>663</v>
      </c>
      <c r="H223" s="99">
        <v>3</v>
      </c>
      <c r="I223" s="273">
        <v>2</v>
      </c>
      <c r="J223" s="99">
        <v>4</v>
      </c>
      <c r="K223" s="99">
        <v>1</v>
      </c>
      <c r="L223" s="99">
        <v>1</v>
      </c>
      <c r="M223" s="99">
        <v>1</v>
      </c>
      <c r="N223" s="99">
        <v>0</v>
      </c>
      <c r="O223" s="75" t="s">
        <v>775</v>
      </c>
      <c r="P223" s="75" t="s">
        <v>848</v>
      </c>
      <c r="Q223" s="80" t="s">
        <v>624</v>
      </c>
      <c r="R223" s="75" t="s">
        <v>798</v>
      </c>
      <c r="S223" s="75" t="s">
        <v>799</v>
      </c>
      <c r="T223" s="75" t="s">
        <v>623</v>
      </c>
      <c r="U223" s="75" t="s">
        <v>624</v>
      </c>
      <c r="V223" s="75"/>
      <c r="W223" s="75" t="s">
        <v>800</v>
      </c>
      <c r="X223" s="75" t="s">
        <v>626</v>
      </c>
      <c r="Y223" s="75" t="s">
        <v>626</v>
      </c>
      <c r="AA223" s="75" t="s">
        <v>630</v>
      </c>
      <c r="AB223" s="75" t="s">
        <v>801</v>
      </c>
      <c r="AC223" s="75" t="s">
        <v>802</v>
      </c>
      <c r="AD223" s="75" t="s">
        <v>629</v>
      </c>
      <c r="AE223" s="75">
        <v>2</v>
      </c>
      <c r="AG223" s="75">
        <v>10</v>
      </c>
      <c r="AH223" s="75">
        <v>132</v>
      </c>
      <c r="AI223" s="75">
        <v>3</v>
      </c>
      <c r="AJ223" s="75">
        <v>132</v>
      </c>
      <c r="AK223" s="75">
        <v>12</v>
      </c>
      <c r="AL223" s="75">
        <v>1</v>
      </c>
      <c r="AM223" s="75">
        <v>1</v>
      </c>
    </row>
    <row r="224" spans="1:39">
      <c r="A224" s="98" t="s">
        <v>510</v>
      </c>
      <c r="B224" s="75" t="s">
        <v>661</v>
      </c>
      <c r="C224" s="75" t="s">
        <v>662</v>
      </c>
      <c r="D224" s="75" t="s">
        <v>653</v>
      </c>
      <c r="E224" s="80">
        <v>10</v>
      </c>
      <c r="F224" s="75">
        <v>2</v>
      </c>
      <c r="G224" s="75" t="s">
        <v>663</v>
      </c>
      <c r="H224" s="99">
        <v>3</v>
      </c>
      <c r="I224" s="273">
        <v>2</v>
      </c>
      <c r="J224" s="99">
        <v>4</v>
      </c>
      <c r="K224" s="99">
        <v>1</v>
      </c>
      <c r="L224" s="99">
        <v>1</v>
      </c>
      <c r="M224" s="99">
        <v>1</v>
      </c>
      <c r="N224" s="99">
        <v>0</v>
      </c>
      <c r="O224" s="75" t="s">
        <v>775</v>
      </c>
      <c r="P224" s="75" t="s">
        <v>674</v>
      </c>
      <c r="Q224" s="80" t="s">
        <v>624</v>
      </c>
      <c r="R224" s="75" t="s">
        <v>798</v>
      </c>
      <c r="S224" s="75" t="s">
        <v>799</v>
      </c>
      <c r="T224" s="75" t="s">
        <v>623</v>
      </c>
      <c r="U224" s="75" t="s">
        <v>624</v>
      </c>
      <c r="V224" s="75"/>
      <c r="W224" s="75" t="s">
        <v>800</v>
      </c>
      <c r="X224" s="75" t="s">
        <v>626</v>
      </c>
      <c r="Y224" s="75" t="s">
        <v>626</v>
      </c>
      <c r="AA224" s="75" t="s">
        <v>630</v>
      </c>
      <c r="AD224" s="75" t="s">
        <v>629</v>
      </c>
      <c r="AE224" s="75">
        <v>2</v>
      </c>
      <c r="AG224" s="75">
        <v>10</v>
      </c>
      <c r="AH224" s="75">
        <v>133</v>
      </c>
      <c r="AI224" s="75">
        <v>4</v>
      </c>
      <c r="AJ224" s="75">
        <v>133</v>
      </c>
      <c r="AK224" s="75">
        <v>12</v>
      </c>
      <c r="AL224" s="75">
        <v>1</v>
      </c>
      <c r="AM224" s="75">
        <v>1</v>
      </c>
    </row>
    <row r="225" spans="1:39">
      <c r="A225" s="98" t="s">
        <v>529</v>
      </c>
      <c r="B225" s="75" t="s">
        <v>661</v>
      </c>
      <c r="C225" s="75" t="s">
        <v>662</v>
      </c>
      <c r="D225" s="75" t="s">
        <v>653</v>
      </c>
      <c r="E225" s="80">
        <v>9</v>
      </c>
      <c r="F225" s="75">
        <v>2</v>
      </c>
      <c r="G225" s="75" t="s">
        <v>670</v>
      </c>
      <c r="H225" s="99">
        <v>3</v>
      </c>
      <c r="I225" s="273">
        <v>2</v>
      </c>
      <c r="J225" s="99">
        <v>4</v>
      </c>
      <c r="K225" s="99">
        <v>0</v>
      </c>
      <c r="L225" s="99">
        <v>1</v>
      </c>
      <c r="M225" s="99">
        <v>1</v>
      </c>
      <c r="N225" s="99">
        <v>0</v>
      </c>
      <c r="O225" s="75" t="s">
        <v>775</v>
      </c>
      <c r="P225" s="75" t="s">
        <v>848</v>
      </c>
      <c r="Q225" s="80" t="s">
        <v>624</v>
      </c>
      <c r="R225" s="75" t="s">
        <v>860</v>
      </c>
      <c r="S225" s="75" t="s">
        <v>799</v>
      </c>
      <c r="T225" s="75" t="s">
        <v>623</v>
      </c>
      <c r="U225" s="75" t="s">
        <v>624</v>
      </c>
      <c r="V225" s="75"/>
      <c r="W225" s="75" t="s">
        <v>800</v>
      </c>
      <c r="X225" s="75" t="s">
        <v>626</v>
      </c>
      <c r="Y225" s="75" t="s">
        <v>626</v>
      </c>
      <c r="AA225" s="75" t="s">
        <v>630</v>
      </c>
      <c r="AB225" s="75" t="s">
        <v>801</v>
      </c>
      <c r="AC225" s="75" t="s">
        <v>802</v>
      </c>
      <c r="AD225" s="75" t="s">
        <v>629</v>
      </c>
      <c r="AE225" s="75">
        <v>2</v>
      </c>
      <c r="AG225" s="75">
        <v>10</v>
      </c>
      <c r="AH225" s="75">
        <v>134</v>
      </c>
      <c r="AI225" s="75">
        <v>5</v>
      </c>
      <c r="AJ225" s="75">
        <v>134</v>
      </c>
      <c r="AK225" s="75">
        <v>11</v>
      </c>
      <c r="AL225" s="75">
        <v>1</v>
      </c>
      <c r="AM225" s="75">
        <v>0</v>
      </c>
    </row>
    <row r="226" spans="1:39">
      <c r="A226" s="98" t="s">
        <v>530</v>
      </c>
      <c r="B226" s="75" t="s">
        <v>661</v>
      </c>
      <c r="C226" s="75" t="s">
        <v>662</v>
      </c>
      <c r="D226" s="75" t="s">
        <v>653</v>
      </c>
      <c r="E226" s="80">
        <v>9</v>
      </c>
      <c r="F226" s="75">
        <v>2</v>
      </c>
      <c r="G226" s="75" t="s">
        <v>670</v>
      </c>
      <c r="H226" s="99">
        <v>3</v>
      </c>
      <c r="I226" s="273">
        <v>2</v>
      </c>
      <c r="J226" s="99">
        <v>4</v>
      </c>
      <c r="K226" s="99">
        <v>0</v>
      </c>
      <c r="L226" s="99">
        <v>1</v>
      </c>
      <c r="M226" s="99">
        <v>1</v>
      </c>
      <c r="N226" s="99">
        <v>0</v>
      </c>
      <c r="O226" s="75" t="s">
        <v>775</v>
      </c>
      <c r="P226" s="75" t="s">
        <v>674</v>
      </c>
      <c r="Q226" s="80" t="s">
        <v>624</v>
      </c>
      <c r="R226" s="75" t="s">
        <v>860</v>
      </c>
      <c r="S226" s="75" t="s">
        <v>799</v>
      </c>
      <c r="T226" s="75" t="s">
        <v>623</v>
      </c>
      <c r="U226" s="75" t="s">
        <v>624</v>
      </c>
      <c r="V226" s="75"/>
      <c r="W226" s="75" t="s">
        <v>800</v>
      </c>
      <c r="X226" s="75" t="s">
        <v>626</v>
      </c>
      <c r="Y226" s="75" t="s">
        <v>626</v>
      </c>
      <c r="AA226" s="75" t="s">
        <v>630</v>
      </c>
      <c r="AD226" s="75" t="s">
        <v>629</v>
      </c>
      <c r="AE226" s="75">
        <v>2</v>
      </c>
      <c r="AG226" s="75">
        <v>10</v>
      </c>
      <c r="AH226" s="75">
        <v>135</v>
      </c>
      <c r="AI226" s="75">
        <v>6</v>
      </c>
      <c r="AJ226" s="75">
        <v>135</v>
      </c>
      <c r="AK226" s="75">
        <v>11</v>
      </c>
      <c r="AL226" s="75">
        <v>1</v>
      </c>
      <c r="AM226" s="75">
        <v>0</v>
      </c>
    </row>
    <row r="227" spans="1:39">
      <c r="A227" s="98" t="s">
        <v>511</v>
      </c>
      <c r="B227" s="75" t="s">
        <v>661</v>
      </c>
      <c r="C227" s="75" t="s">
        <v>662</v>
      </c>
      <c r="D227" s="75" t="s">
        <v>653</v>
      </c>
      <c r="E227" s="80">
        <v>10</v>
      </c>
      <c r="F227" s="75">
        <v>2</v>
      </c>
      <c r="G227" s="75" t="s">
        <v>663</v>
      </c>
      <c r="H227" s="99">
        <v>3</v>
      </c>
      <c r="I227" s="273">
        <v>2</v>
      </c>
      <c r="J227" s="99">
        <v>4</v>
      </c>
      <c r="K227" s="99">
        <v>1</v>
      </c>
      <c r="L227" s="99">
        <v>1</v>
      </c>
      <c r="M227" s="99">
        <v>1</v>
      </c>
      <c r="N227" s="99">
        <v>0</v>
      </c>
      <c r="O227" s="75" t="s">
        <v>650</v>
      </c>
      <c r="P227" s="75" t="s">
        <v>848</v>
      </c>
      <c r="Q227" s="80" t="s">
        <v>624</v>
      </c>
      <c r="R227" s="75" t="s">
        <v>861</v>
      </c>
      <c r="S227" s="75" t="s">
        <v>862</v>
      </c>
      <c r="T227" s="75" t="s">
        <v>623</v>
      </c>
      <c r="U227" s="75"/>
      <c r="V227" s="75"/>
      <c r="W227" s="75" t="s">
        <v>863</v>
      </c>
      <c r="X227" s="75" t="s">
        <v>626</v>
      </c>
      <c r="AA227" s="75" t="s">
        <v>630</v>
      </c>
      <c r="AD227" s="75" t="s">
        <v>629</v>
      </c>
      <c r="AE227" s="75">
        <v>2</v>
      </c>
      <c r="AG227" s="75">
        <v>16</v>
      </c>
      <c r="AH227" s="75">
        <v>140</v>
      </c>
      <c r="AI227" s="75">
        <v>11</v>
      </c>
      <c r="AJ227" s="75">
        <v>140</v>
      </c>
      <c r="AK227" s="75">
        <v>12</v>
      </c>
      <c r="AL227" s="75">
        <v>1</v>
      </c>
      <c r="AM227" s="75">
        <v>1</v>
      </c>
    </row>
    <row r="228" spans="1:39">
      <c r="A228" s="98" t="s">
        <v>512</v>
      </c>
      <c r="B228" s="75" t="s">
        <v>661</v>
      </c>
      <c r="C228" s="75" t="s">
        <v>662</v>
      </c>
      <c r="D228" s="75" t="s">
        <v>653</v>
      </c>
      <c r="E228" s="80">
        <v>10</v>
      </c>
      <c r="F228" s="75">
        <v>2</v>
      </c>
      <c r="G228" s="75" t="s">
        <v>663</v>
      </c>
      <c r="H228" s="99">
        <v>3</v>
      </c>
      <c r="I228" s="273">
        <v>2</v>
      </c>
      <c r="J228" s="99">
        <v>4</v>
      </c>
      <c r="K228" s="99">
        <v>1</v>
      </c>
      <c r="L228" s="99">
        <v>1</v>
      </c>
      <c r="M228" s="99">
        <v>1</v>
      </c>
      <c r="N228" s="99">
        <v>0</v>
      </c>
      <c r="O228" s="75" t="s">
        <v>650</v>
      </c>
      <c r="P228" s="75" t="s">
        <v>674</v>
      </c>
      <c r="Q228" s="80" t="s">
        <v>624</v>
      </c>
      <c r="R228" s="75" t="s">
        <v>861</v>
      </c>
      <c r="S228" s="75" t="s">
        <v>862</v>
      </c>
      <c r="T228" s="75" t="s">
        <v>623</v>
      </c>
      <c r="U228" s="75"/>
      <c r="V228" s="75"/>
      <c r="W228" s="75" t="s">
        <v>863</v>
      </c>
      <c r="X228" s="75" t="s">
        <v>626</v>
      </c>
      <c r="AA228" s="75" t="s">
        <v>630</v>
      </c>
      <c r="AD228" s="75" t="s">
        <v>629</v>
      </c>
      <c r="AE228" s="75">
        <v>2</v>
      </c>
      <c r="AG228" s="75">
        <v>16</v>
      </c>
      <c r="AH228" s="75">
        <v>141</v>
      </c>
      <c r="AI228" s="75">
        <v>12</v>
      </c>
      <c r="AJ228" s="75">
        <v>141</v>
      </c>
      <c r="AK228" s="75">
        <v>12</v>
      </c>
      <c r="AL228" s="75">
        <v>1</v>
      </c>
      <c r="AM228" s="75">
        <v>1</v>
      </c>
    </row>
    <row r="229" spans="1:39">
      <c r="A229" s="98" t="s">
        <v>531</v>
      </c>
      <c r="B229" s="75" t="s">
        <v>661</v>
      </c>
      <c r="C229" s="75" t="s">
        <v>662</v>
      </c>
      <c r="D229" s="75" t="s">
        <v>653</v>
      </c>
      <c r="E229" s="80">
        <v>9</v>
      </c>
      <c r="F229" s="75">
        <v>2</v>
      </c>
      <c r="G229" s="75" t="s">
        <v>670</v>
      </c>
      <c r="H229" s="99">
        <v>3</v>
      </c>
      <c r="I229" s="273">
        <v>2</v>
      </c>
      <c r="J229" s="99">
        <v>4</v>
      </c>
      <c r="K229" s="99">
        <v>0</v>
      </c>
      <c r="L229" s="99">
        <v>1</v>
      </c>
      <c r="M229" s="99">
        <v>1</v>
      </c>
      <c r="N229" s="99">
        <v>0</v>
      </c>
      <c r="O229" s="75" t="s">
        <v>650</v>
      </c>
      <c r="P229" s="75" t="s">
        <v>848</v>
      </c>
      <c r="Q229" s="80" t="s">
        <v>624</v>
      </c>
      <c r="R229" s="75" t="s">
        <v>864</v>
      </c>
      <c r="S229" s="75" t="s">
        <v>862</v>
      </c>
      <c r="T229" s="75" t="s">
        <v>623</v>
      </c>
      <c r="U229" s="75"/>
      <c r="V229" s="75"/>
      <c r="W229" s="75" t="s">
        <v>863</v>
      </c>
      <c r="X229" s="75" t="s">
        <v>626</v>
      </c>
      <c r="AA229" s="75" t="s">
        <v>630</v>
      </c>
      <c r="AD229" s="75" t="s">
        <v>629</v>
      </c>
      <c r="AE229" s="75">
        <v>2</v>
      </c>
      <c r="AG229" s="75">
        <v>16</v>
      </c>
      <c r="AH229" s="75">
        <v>142</v>
      </c>
      <c r="AI229" s="75">
        <v>13</v>
      </c>
      <c r="AJ229" s="75">
        <v>142</v>
      </c>
      <c r="AK229" s="75">
        <v>11</v>
      </c>
      <c r="AL229" s="75">
        <v>1</v>
      </c>
      <c r="AM229" s="75">
        <v>0</v>
      </c>
    </row>
    <row r="230" spans="1:39">
      <c r="A230" s="98" t="s">
        <v>532</v>
      </c>
      <c r="B230" s="75" t="s">
        <v>661</v>
      </c>
      <c r="C230" s="75" t="s">
        <v>662</v>
      </c>
      <c r="D230" s="75" t="s">
        <v>653</v>
      </c>
      <c r="E230" s="80">
        <v>9</v>
      </c>
      <c r="F230" s="75">
        <v>2</v>
      </c>
      <c r="G230" s="75" t="s">
        <v>670</v>
      </c>
      <c r="H230" s="99">
        <v>3</v>
      </c>
      <c r="I230" s="273">
        <v>2</v>
      </c>
      <c r="J230" s="99">
        <v>4</v>
      </c>
      <c r="K230" s="99">
        <v>0</v>
      </c>
      <c r="L230" s="99">
        <v>1</v>
      </c>
      <c r="M230" s="99">
        <v>1</v>
      </c>
      <c r="N230" s="99">
        <v>0</v>
      </c>
      <c r="O230" s="75" t="s">
        <v>650</v>
      </c>
      <c r="P230" s="75" t="s">
        <v>674</v>
      </c>
      <c r="Q230" s="80" t="s">
        <v>624</v>
      </c>
      <c r="R230" s="75" t="s">
        <v>864</v>
      </c>
      <c r="S230" s="75" t="s">
        <v>862</v>
      </c>
      <c r="T230" s="75" t="s">
        <v>623</v>
      </c>
      <c r="U230" s="75"/>
      <c r="V230" s="75"/>
      <c r="W230" s="75" t="s">
        <v>863</v>
      </c>
      <c r="X230" s="75" t="s">
        <v>626</v>
      </c>
      <c r="AA230" s="75" t="s">
        <v>630</v>
      </c>
      <c r="AD230" s="75" t="s">
        <v>629</v>
      </c>
      <c r="AE230" s="75">
        <v>2</v>
      </c>
      <c r="AG230" s="75">
        <v>16</v>
      </c>
      <c r="AH230" s="75">
        <v>143</v>
      </c>
      <c r="AI230" s="75">
        <v>14</v>
      </c>
      <c r="AJ230" s="75">
        <v>143</v>
      </c>
      <c r="AK230" s="75">
        <v>11</v>
      </c>
      <c r="AL230" s="75">
        <v>1</v>
      </c>
      <c r="AM230" s="75">
        <v>0</v>
      </c>
    </row>
    <row r="231" spans="1:39">
      <c r="A231" s="98" t="s">
        <v>1083</v>
      </c>
      <c r="B231" s="75" t="s">
        <v>661</v>
      </c>
      <c r="C231" s="75" t="s">
        <v>662</v>
      </c>
      <c r="D231" s="75" t="s">
        <v>653</v>
      </c>
      <c r="E231" s="80">
        <v>9</v>
      </c>
      <c r="F231" s="75">
        <v>2</v>
      </c>
      <c r="G231" s="75" t="s">
        <v>670</v>
      </c>
      <c r="H231" s="99"/>
      <c r="I231" s="273">
        <v>2</v>
      </c>
      <c r="J231" s="99">
        <v>4</v>
      </c>
      <c r="K231" s="99">
        <v>0</v>
      </c>
      <c r="L231" s="99">
        <v>1</v>
      </c>
      <c r="M231" s="99">
        <v>1</v>
      </c>
      <c r="N231" s="99">
        <v>0</v>
      </c>
      <c r="O231" s="75" t="s">
        <v>1115</v>
      </c>
      <c r="P231" s="75" t="s">
        <v>848</v>
      </c>
      <c r="Q231" s="80" t="s">
        <v>624</v>
      </c>
      <c r="R231" s="75" t="s">
        <v>1129</v>
      </c>
      <c r="S231" s="75" t="s">
        <v>1130</v>
      </c>
      <c r="T231" s="75" t="s">
        <v>623</v>
      </c>
      <c r="U231" s="75"/>
      <c r="V231" s="75"/>
      <c r="W231" s="75" t="s">
        <v>1131</v>
      </c>
      <c r="X231" s="75" t="s">
        <v>626</v>
      </c>
      <c r="AA231" s="75" t="s">
        <v>630</v>
      </c>
      <c r="AD231" s="75" t="s">
        <v>629</v>
      </c>
      <c r="AE231" s="75">
        <v>2</v>
      </c>
      <c r="AG231" s="75">
        <v>35</v>
      </c>
      <c r="AH231" s="75">
        <v>164</v>
      </c>
      <c r="AI231" s="75">
        <v>35</v>
      </c>
      <c r="AJ231" s="75">
        <v>164</v>
      </c>
      <c r="AK231" s="75">
        <v>11</v>
      </c>
      <c r="AL231" s="75">
        <v>1</v>
      </c>
      <c r="AM231" s="75">
        <v>0</v>
      </c>
    </row>
    <row r="232" spans="1:39">
      <c r="A232" s="98" t="s">
        <v>1084</v>
      </c>
      <c r="B232" s="75" t="s">
        <v>661</v>
      </c>
      <c r="C232" s="75" t="s">
        <v>662</v>
      </c>
      <c r="D232" s="75" t="s">
        <v>653</v>
      </c>
      <c r="E232" s="80">
        <v>9</v>
      </c>
      <c r="F232" s="75">
        <v>2</v>
      </c>
      <c r="G232" s="75" t="s">
        <v>670</v>
      </c>
      <c r="H232" s="99"/>
      <c r="I232" s="273">
        <v>2</v>
      </c>
      <c r="J232" s="99">
        <v>4</v>
      </c>
      <c r="K232" s="99">
        <v>0</v>
      </c>
      <c r="L232" s="99">
        <v>1</v>
      </c>
      <c r="M232" s="99">
        <v>1</v>
      </c>
      <c r="N232" s="99">
        <v>0</v>
      </c>
      <c r="O232" s="75" t="s">
        <v>1115</v>
      </c>
      <c r="P232" s="75" t="s">
        <v>674</v>
      </c>
      <c r="Q232" s="80" t="s">
        <v>624</v>
      </c>
      <c r="R232" s="75" t="s">
        <v>1129</v>
      </c>
      <c r="S232" s="75" t="s">
        <v>1130</v>
      </c>
      <c r="T232" s="75" t="s">
        <v>623</v>
      </c>
      <c r="U232" s="75"/>
      <c r="V232" s="75"/>
      <c r="W232" s="75" t="s">
        <v>1131</v>
      </c>
      <c r="X232" s="75" t="s">
        <v>626</v>
      </c>
      <c r="AA232" s="75" t="s">
        <v>630</v>
      </c>
      <c r="AD232" s="75" t="s">
        <v>629</v>
      </c>
      <c r="AE232" s="75">
        <v>2</v>
      </c>
      <c r="AG232" s="75">
        <v>35</v>
      </c>
      <c r="AH232" s="75">
        <v>165</v>
      </c>
      <c r="AI232" s="75">
        <v>36</v>
      </c>
      <c r="AJ232" s="75">
        <v>165</v>
      </c>
      <c r="AK232" s="75">
        <v>11</v>
      </c>
      <c r="AL232" s="75">
        <v>1</v>
      </c>
      <c r="AM232" s="75">
        <v>0</v>
      </c>
    </row>
    <row r="233" spans="1:39">
      <c r="A233" s="98" t="s">
        <v>533</v>
      </c>
      <c r="B233" s="75" t="s">
        <v>661</v>
      </c>
      <c r="C233" s="75" t="s">
        <v>662</v>
      </c>
      <c r="D233" s="75" t="s">
        <v>865</v>
      </c>
      <c r="E233" s="80">
        <v>11</v>
      </c>
      <c r="F233" s="75">
        <v>2</v>
      </c>
      <c r="G233" s="75" t="s">
        <v>866</v>
      </c>
      <c r="H233" s="99">
        <v>5</v>
      </c>
      <c r="I233" s="273">
        <v>2</v>
      </c>
      <c r="J233" s="99">
        <v>4</v>
      </c>
      <c r="K233" s="99">
        <v>0</v>
      </c>
      <c r="L233" s="99">
        <v>1</v>
      </c>
      <c r="M233" s="99">
        <v>1</v>
      </c>
      <c r="N233" s="99">
        <v>0</v>
      </c>
      <c r="O233" s="75" t="s">
        <v>867</v>
      </c>
      <c r="P233" s="75" t="s">
        <v>868</v>
      </c>
      <c r="Q233" s="80" t="s">
        <v>624</v>
      </c>
      <c r="R233" s="75" t="s">
        <v>869</v>
      </c>
      <c r="S233" s="75" t="s">
        <v>870</v>
      </c>
      <c r="T233" s="75" t="s">
        <v>623</v>
      </c>
      <c r="U233" s="75" t="s">
        <v>624</v>
      </c>
      <c r="V233" s="75"/>
      <c r="W233" s="75" t="s">
        <v>871</v>
      </c>
      <c r="X233" s="75" t="s">
        <v>626</v>
      </c>
      <c r="Y233" s="75" t="s">
        <v>626</v>
      </c>
      <c r="AA233" s="75" t="s">
        <v>630</v>
      </c>
      <c r="AD233" s="75" t="s">
        <v>629</v>
      </c>
      <c r="AE233" s="75">
        <v>2</v>
      </c>
      <c r="AG233" s="75">
        <v>7</v>
      </c>
      <c r="AH233" s="75">
        <v>131</v>
      </c>
      <c r="AI233" s="75">
        <v>2</v>
      </c>
      <c r="AJ233" s="75">
        <v>131</v>
      </c>
      <c r="AK233" s="75">
        <v>11</v>
      </c>
      <c r="AL233" s="75">
        <v>1</v>
      </c>
      <c r="AM233" s="75">
        <v>0</v>
      </c>
    </row>
    <row r="234" spans="1:39">
      <c r="A234" s="98" t="s">
        <v>494</v>
      </c>
      <c r="B234" s="75" t="s">
        <v>615</v>
      </c>
      <c r="C234" s="75" t="s">
        <v>662</v>
      </c>
      <c r="D234" s="75" t="s">
        <v>617</v>
      </c>
      <c r="E234" s="80">
        <v>6</v>
      </c>
      <c r="F234" s="75">
        <v>2</v>
      </c>
      <c r="G234" s="75" t="s">
        <v>767</v>
      </c>
      <c r="H234" s="99">
        <v>1</v>
      </c>
      <c r="I234" s="273">
        <v>3</v>
      </c>
      <c r="J234" s="99">
        <v>1</v>
      </c>
      <c r="K234" s="99">
        <v>0</v>
      </c>
      <c r="L234" s="99">
        <v>1</v>
      </c>
      <c r="M234" s="99">
        <v>1</v>
      </c>
      <c r="N234" s="99">
        <v>0</v>
      </c>
      <c r="O234" s="75" t="s">
        <v>867</v>
      </c>
      <c r="Q234" s="80">
        <v>0.04</v>
      </c>
      <c r="R234" s="75" t="s">
        <v>872</v>
      </c>
      <c r="S234" s="75" t="s">
        <v>873</v>
      </c>
      <c r="T234" s="75" t="s">
        <v>623</v>
      </c>
      <c r="U234" s="75">
        <v>0.04</v>
      </c>
      <c r="V234" s="75">
        <v>0</v>
      </c>
      <c r="W234" s="75" t="s">
        <v>871</v>
      </c>
      <c r="X234" s="75" t="s">
        <v>626</v>
      </c>
      <c r="Y234" s="75" t="s">
        <v>626</v>
      </c>
      <c r="AA234" s="75" t="s">
        <v>630</v>
      </c>
      <c r="AD234" s="75" t="s">
        <v>629</v>
      </c>
      <c r="AE234" s="75">
        <v>1</v>
      </c>
      <c r="AG234" s="75">
        <v>8</v>
      </c>
      <c r="AH234" s="75">
        <v>43</v>
      </c>
      <c r="AI234" s="75">
        <v>43</v>
      </c>
      <c r="AJ234" s="75">
        <v>43</v>
      </c>
      <c r="AK234" s="75">
        <v>13</v>
      </c>
      <c r="AL234" s="75">
        <v>1</v>
      </c>
      <c r="AM234" s="75">
        <v>0</v>
      </c>
    </row>
    <row r="235" spans="1:39">
      <c r="A235" s="98" t="s">
        <v>1187</v>
      </c>
      <c r="B235" s="75" t="s">
        <v>615</v>
      </c>
      <c r="C235" s="75" t="s">
        <v>616</v>
      </c>
      <c r="D235" s="75" t="s">
        <v>653</v>
      </c>
      <c r="E235" s="80">
        <v>18</v>
      </c>
      <c r="F235" s="75">
        <v>3</v>
      </c>
      <c r="G235" s="75" t="s">
        <v>654</v>
      </c>
      <c r="H235" s="99"/>
      <c r="I235" s="273">
        <v>3</v>
      </c>
      <c r="J235" s="99">
        <v>2</v>
      </c>
      <c r="K235" s="99">
        <v>0</v>
      </c>
      <c r="L235" s="99">
        <v>2</v>
      </c>
      <c r="M235" s="99">
        <v>1</v>
      </c>
      <c r="N235" s="99">
        <v>1</v>
      </c>
      <c r="O235" s="75" t="s">
        <v>619</v>
      </c>
      <c r="P235" s="75" t="s">
        <v>1199</v>
      </c>
      <c r="Q235" s="80" t="s">
        <v>624</v>
      </c>
      <c r="R235" s="75" t="s">
        <v>676</v>
      </c>
      <c r="S235" s="75" t="s">
        <v>657</v>
      </c>
      <c r="T235" s="75" t="s">
        <v>623</v>
      </c>
      <c r="U235" s="75"/>
      <c r="V235" s="75"/>
      <c r="W235" s="75" t="s">
        <v>1200</v>
      </c>
      <c r="X235" s="75" t="s">
        <v>626</v>
      </c>
      <c r="AA235" s="75" t="s">
        <v>626</v>
      </c>
      <c r="AB235" s="75" t="s">
        <v>875</v>
      </c>
      <c r="AC235" s="75" t="s">
        <v>660</v>
      </c>
      <c r="AD235" s="75" t="s">
        <v>629</v>
      </c>
      <c r="AE235" s="75">
        <v>3</v>
      </c>
      <c r="AG235" s="75">
        <v>47</v>
      </c>
      <c r="AH235" s="75">
        <v>9</v>
      </c>
      <c r="AI235" s="75">
        <v>9</v>
      </c>
      <c r="AJ235" s="75">
        <v>174</v>
      </c>
      <c r="AK235" s="75">
        <v>27</v>
      </c>
      <c r="AL235" s="75">
        <v>1</v>
      </c>
      <c r="AM235" s="75">
        <v>1</v>
      </c>
    </row>
    <row r="236" spans="1:39">
      <c r="A236" s="98" t="s">
        <v>1189</v>
      </c>
      <c r="B236" s="75" t="s">
        <v>661</v>
      </c>
      <c r="C236" s="75" t="s">
        <v>616</v>
      </c>
      <c r="D236" s="75" t="s">
        <v>653</v>
      </c>
      <c r="E236" s="80">
        <v>16</v>
      </c>
      <c r="F236" s="75">
        <v>3</v>
      </c>
      <c r="G236" s="75" t="s">
        <v>675</v>
      </c>
      <c r="H236" s="99"/>
      <c r="I236" s="273">
        <v>2</v>
      </c>
      <c r="J236" s="99">
        <v>2</v>
      </c>
      <c r="K236" s="99">
        <v>0</v>
      </c>
      <c r="L236" s="99">
        <v>2</v>
      </c>
      <c r="M236" s="99">
        <v>1</v>
      </c>
      <c r="N236" s="99">
        <v>1</v>
      </c>
      <c r="O236" s="75" t="s">
        <v>619</v>
      </c>
      <c r="P236" s="75" t="s">
        <v>1201</v>
      </c>
      <c r="Q236" s="80" t="s">
        <v>624</v>
      </c>
      <c r="R236" s="75" t="s">
        <v>676</v>
      </c>
      <c r="S236" s="75" t="s">
        <v>657</v>
      </c>
      <c r="T236" s="75" t="s">
        <v>623</v>
      </c>
      <c r="U236" s="75"/>
      <c r="V236" s="75"/>
      <c r="W236" s="75" t="s">
        <v>1200</v>
      </c>
      <c r="X236" s="75" t="s">
        <v>626</v>
      </c>
      <c r="AA236" s="75" t="s">
        <v>626</v>
      </c>
      <c r="AB236" s="75" t="s">
        <v>875</v>
      </c>
      <c r="AC236" s="75" t="s">
        <v>660</v>
      </c>
      <c r="AD236" s="75" t="s">
        <v>629</v>
      </c>
      <c r="AE236" s="75">
        <v>4</v>
      </c>
      <c r="AG236" s="75">
        <v>46</v>
      </c>
      <c r="AH236" s="75">
        <v>16</v>
      </c>
      <c r="AI236" s="75">
        <v>5</v>
      </c>
      <c r="AJ236" s="75">
        <v>181</v>
      </c>
      <c r="AK236" s="75">
        <v>21</v>
      </c>
      <c r="AL236" s="75">
        <v>1</v>
      </c>
      <c r="AM236" s="75">
        <v>0</v>
      </c>
    </row>
    <row r="237" spans="1:39">
      <c r="A237" s="98" t="s">
        <v>1188</v>
      </c>
      <c r="B237" s="75" t="s">
        <v>615</v>
      </c>
      <c r="C237" s="75" t="s">
        <v>616</v>
      </c>
      <c r="D237" s="75" t="s">
        <v>653</v>
      </c>
      <c r="E237" s="80">
        <v>18</v>
      </c>
      <c r="F237" s="75">
        <v>3</v>
      </c>
      <c r="G237" s="75" t="s">
        <v>654</v>
      </c>
      <c r="H237" s="99"/>
      <c r="I237" s="273">
        <v>3</v>
      </c>
      <c r="J237" s="99">
        <v>2</v>
      </c>
      <c r="K237" s="99">
        <v>0</v>
      </c>
      <c r="L237" s="99">
        <v>2</v>
      </c>
      <c r="M237" s="99">
        <v>1</v>
      </c>
      <c r="N237" s="99">
        <v>1</v>
      </c>
      <c r="O237" s="75" t="s">
        <v>619</v>
      </c>
      <c r="P237" s="75" t="s">
        <v>1202</v>
      </c>
      <c r="Q237" s="80" t="s">
        <v>624</v>
      </c>
      <c r="R237" s="75" t="s">
        <v>676</v>
      </c>
      <c r="S237" s="75" t="s">
        <v>657</v>
      </c>
      <c r="T237" s="75" t="s">
        <v>623</v>
      </c>
      <c r="U237" s="75"/>
      <c r="V237" s="75"/>
      <c r="W237" s="75" t="s">
        <v>1200</v>
      </c>
      <c r="X237" s="75" t="s">
        <v>626</v>
      </c>
      <c r="AA237" s="75" t="s">
        <v>626</v>
      </c>
      <c r="AB237" s="75" t="s">
        <v>875</v>
      </c>
      <c r="AC237" s="75" t="s">
        <v>660</v>
      </c>
      <c r="AD237" s="75" t="s">
        <v>629</v>
      </c>
      <c r="AE237" s="75">
        <v>3</v>
      </c>
      <c r="AG237" s="75">
        <v>48</v>
      </c>
      <c r="AH237" s="75">
        <v>10</v>
      </c>
      <c r="AI237" s="75">
        <v>10</v>
      </c>
      <c r="AJ237" s="75">
        <v>175</v>
      </c>
      <c r="AK237" s="75">
        <v>27</v>
      </c>
      <c r="AL237" s="75">
        <v>1</v>
      </c>
      <c r="AM237" s="75">
        <v>1</v>
      </c>
    </row>
    <row r="238" spans="1:39">
      <c r="A238" s="98" t="s">
        <v>336</v>
      </c>
      <c r="B238" s="75" t="s">
        <v>615</v>
      </c>
      <c r="C238" s="75" t="s">
        <v>616</v>
      </c>
      <c r="D238" s="75" t="s">
        <v>653</v>
      </c>
      <c r="E238" s="80">
        <v>18</v>
      </c>
      <c r="F238" s="75">
        <v>3</v>
      </c>
      <c r="G238" s="75" t="s">
        <v>654</v>
      </c>
      <c r="H238" s="99">
        <v>4</v>
      </c>
      <c r="I238" s="273">
        <v>3</v>
      </c>
      <c r="J238" s="99">
        <v>2</v>
      </c>
      <c r="K238" s="99">
        <v>0</v>
      </c>
      <c r="L238" s="99">
        <v>2</v>
      </c>
      <c r="M238" s="99">
        <v>1</v>
      </c>
      <c r="N238" s="99">
        <v>1</v>
      </c>
      <c r="O238" s="75" t="s">
        <v>619</v>
      </c>
      <c r="P238" s="75" t="s">
        <v>632</v>
      </c>
      <c r="Q238" s="80" t="s">
        <v>624</v>
      </c>
      <c r="R238" s="75" t="s">
        <v>676</v>
      </c>
      <c r="S238" s="75" t="s">
        <v>657</v>
      </c>
      <c r="T238" s="75" t="s">
        <v>623</v>
      </c>
      <c r="U238" s="75" t="s">
        <v>624</v>
      </c>
      <c r="V238" s="75"/>
      <c r="W238" s="75" t="s">
        <v>874</v>
      </c>
      <c r="X238" s="75" t="s">
        <v>626</v>
      </c>
      <c r="Y238" s="75" t="s">
        <v>626</v>
      </c>
      <c r="AA238" s="75" t="s">
        <v>626</v>
      </c>
      <c r="AB238" s="75" t="s">
        <v>875</v>
      </c>
      <c r="AC238" s="75" t="s">
        <v>660</v>
      </c>
      <c r="AD238" s="75" t="s">
        <v>629</v>
      </c>
      <c r="AE238" s="75">
        <v>3</v>
      </c>
      <c r="AG238" s="75">
        <v>44</v>
      </c>
      <c r="AH238" s="75">
        <v>7</v>
      </c>
      <c r="AI238" s="75">
        <v>7</v>
      </c>
      <c r="AJ238" s="75">
        <v>172</v>
      </c>
      <c r="AK238" s="75">
        <v>27</v>
      </c>
      <c r="AL238" s="75">
        <v>1</v>
      </c>
      <c r="AM238" s="75">
        <v>1</v>
      </c>
    </row>
    <row r="239" spans="1:39">
      <c r="A239" s="98" t="s">
        <v>350</v>
      </c>
      <c r="B239" s="75" t="s">
        <v>661</v>
      </c>
      <c r="C239" s="75" t="s">
        <v>616</v>
      </c>
      <c r="D239" s="75" t="s">
        <v>653</v>
      </c>
      <c r="E239" s="80">
        <v>16</v>
      </c>
      <c r="F239" s="75">
        <v>3</v>
      </c>
      <c r="G239" s="75" t="s">
        <v>675</v>
      </c>
      <c r="H239" s="99">
        <v>4</v>
      </c>
      <c r="I239" s="273">
        <v>2</v>
      </c>
      <c r="J239" s="99">
        <v>2</v>
      </c>
      <c r="K239" s="99">
        <v>0</v>
      </c>
      <c r="L239" s="99">
        <v>2</v>
      </c>
      <c r="M239" s="99">
        <v>1</v>
      </c>
      <c r="N239" s="99">
        <v>1</v>
      </c>
      <c r="O239" s="75" t="s">
        <v>619</v>
      </c>
      <c r="P239" s="75" t="s">
        <v>674</v>
      </c>
      <c r="Q239" s="80" t="s">
        <v>624</v>
      </c>
      <c r="R239" s="75" t="s">
        <v>676</v>
      </c>
      <c r="S239" s="75" t="s">
        <v>657</v>
      </c>
      <c r="T239" s="75" t="s">
        <v>623</v>
      </c>
      <c r="U239" s="75" t="s">
        <v>624</v>
      </c>
      <c r="V239" s="75"/>
      <c r="W239" s="75" t="s">
        <v>874</v>
      </c>
      <c r="X239" s="75" t="s">
        <v>626</v>
      </c>
      <c r="Y239" s="75" t="s">
        <v>626</v>
      </c>
      <c r="AA239" s="75" t="s">
        <v>626</v>
      </c>
      <c r="AB239" s="75" t="s">
        <v>875</v>
      </c>
      <c r="AC239" s="75" t="s">
        <v>660</v>
      </c>
      <c r="AD239" s="75" t="s">
        <v>629</v>
      </c>
      <c r="AE239" s="75">
        <v>4</v>
      </c>
      <c r="AG239" s="75">
        <v>43</v>
      </c>
      <c r="AH239" s="75">
        <v>15</v>
      </c>
      <c r="AI239" s="75">
        <v>4</v>
      </c>
      <c r="AJ239" s="75">
        <v>180</v>
      </c>
      <c r="AK239" s="75">
        <v>21</v>
      </c>
      <c r="AL239" s="75">
        <v>1</v>
      </c>
      <c r="AM239" s="75">
        <v>0</v>
      </c>
    </row>
    <row r="240" spans="1:39">
      <c r="A240" s="98" t="s">
        <v>346</v>
      </c>
      <c r="B240" s="75" t="s">
        <v>615</v>
      </c>
      <c r="C240" s="75" t="s">
        <v>616</v>
      </c>
      <c r="D240" s="75" t="s">
        <v>653</v>
      </c>
      <c r="E240" s="80">
        <v>18</v>
      </c>
      <c r="F240" s="75">
        <v>3</v>
      </c>
      <c r="G240" s="75" t="s">
        <v>654</v>
      </c>
      <c r="H240" s="99">
        <v>4</v>
      </c>
      <c r="I240" s="273">
        <v>3</v>
      </c>
      <c r="J240" s="99">
        <v>2</v>
      </c>
      <c r="K240" s="99">
        <v>0</v>
      </c>
      <c r="L240" s="99">
        <v>2</v>
      </c>
      <c r="M240" s="99">
        <v>1</v>
      </c>
      <c r="N240" s="99">
        <v>1</v>
      </c>
      <c r="O240" s="75" t="s">
        <v>619</v>
      </c>
      <c r="P240" s="75" t="s">
        <v>780</v>
      </c>
      <c r="Q240" s="80" t="s">
        <v>624</v>
      </c>
      <c r="R240" s="75" t="s">
        <v>676</v>
      </c>
      <c r="S240" s="75" t="s">
        <v>657</v>
      </c>
      <c r="T240" s="75" t="s">
        <v>623</v>
      </c>
      <c r="U240" s="75" t="s">
        <v>624</v>
      </c>
      <c r="V240" s="75"/>
      <c r="W240" s="75" t="s">
        <v>874</v>
      </c>
      <c r="X240" s="75" t="s">
        <v>626</v>
      </c>
      <c r="Y240" s="75" t="s">
        <v>626</v>
      </c>
      <c r="AA240" s="75" t="s">
        <v>626</v>
      </c>
      <c r="AB240" s="75" t="s">
        <v>875</v>
      </c>
      <c r="AC240" s="75" t="s">
        <v>660</v>
      </c>
      <c r="AD240" s="75" t="s">
        <v>629</v>
      </c>
      <c r="AE240" s="75">
        <v>3</v>
      </c>
      <c r="AG240" s="75">
        <v>45</v>
      </c>
      <c r="AH240" s="75">
        <v>8</v>
      </c>
      <c r="AI240" s="75">
        <v>8</v>
      </c>
      <c r="AJ240" s="75">
        <v>173</v>
      </c>
      <c r="AK240" s="75">
        <v>27</v>
      </c>
      <c r="AL240" s="75">
        <v>1</v>
      </c>
      <c r="AM240" s="75">
        <v>1</v>
      </c>
    </row>
    <row r="241" spans="1:39">
      <c r="A241" s="98" t="s">
        <v>361</v>
      </c>
      <c r="B241" s="75" t="s">
        <v>615</v>
      </c>
      <c r="C241" s="75" t="s">
        <v>616</v>
      </c>
      <c r="D241" s="75" t="s">
        <v>617</v>
      </c>
      <c r="E241" s="80">
        <v>12</v>
      </c>
      <c r="F241" s="75">
        <v>3</v>
      </c>
      <c r="G241" s="75" t="s">
        <v>618</v>
      </c>
      <c r="H241" s="99">
        <v>2</v>
      </c>
      <c r="I241" s="273">
        <v>1</v>
      </c>
      <c r="J241" s="99">
        <v>2</v>
      </c>
      <c r="K241" s="99">
        <v>0</v>
      </c>
      <c r="L241" s="99">
        <v>2</v>
      </c>
      <c r="M241" s="99">
        <v>1</v>
      </c>
      <c r="N241" s="99">
        <v>1</v>
      </c>
      <c r="O241" s="75" t="s">
        <v>619</v>
      </c>
      <c r="P241" s="75" t="s">
        <v>876</v>
      </c>
      <c r="Q241" s="80" t="s">
        <v>634</v>
      </c>
      <c r="R241" s="75" t="s">
        <v>621</v>
      </c>
      <c r="S241" s="75" t="s">
        <v>644</v>
      </c>
      <c r="T241" s="75" t="s">
        <v>623</v>
      </c>
      <c r="U241" s="75" t="s">
        <v>624</v>
      </c>
      <c r="V241" s="75"/>
      <c r="W241" s="75" t="s">
        <v>645</v>
      </c>
      <c r="X241" s="75" t="s">
        <v>626</v>
      </c>
      <c r="Y241" s="75" t="s">
        <v>626</v>
      </c>
      <c r="AA241" s="75" t="s">
        <v>626</v>
      </c>
      <c r="AB241" s="75" t="s">
        <v>646</v>
      </c>
      <c r="AC241" s="75" t="s">
        <v>628</v>
      </c>
      <c r="AD241" s="75" t="s">
        <v>629</v>
      </c>
      <c r="AE241" s="75">
        <v>5</v>
      </c>
      <c r="AG241" s="75">
        <v>40</v>
      </c>
      <c r="AH241" s="75">
        <v>53</v>
      </c>
      <c r="AI241" s="75">
        <v>37</v>
      </c>
      <c r="AJ241" s="75">
        <v>218</v>
      </c>
      <c r="AK241" s="75">
        <v>19</v>
      </c>
      <c r="AL241" s="75">
        <v>1</v>
      </c>
      <c r="AM241" s="75">
        <v>0</v>
      </c>
    </row>
    <row r="242" spans="1:39">
      <c r="A242" s="98" t="s">
        <v>365</v>
      </c>
      <c r="B242" s="75" t="s">
        <v>615</v>
      </c>
      <c r="C242" s="75" t="s">
        <v>616</v>
      </c>
      <c r="D242" s="75" t="s">
        <v>617</v>
      </c>
      <c r="E242" s="80">
        <v>12</v>
      </c>
      <c r="F242" s="75">
        <v>3</v>
      </c>
      <c r="G242" s="75" t="s">
        <v>618</v>
      </c>
      <c r="H242" s="99">
        <v>2</v>
      </c>
      <c r="I242" s="273">
        <v>1</v>
      </c>
      <c r="J242" s="99">
        <v>2</v>
      </c>
      <c r="K242" s="99">
        <v>0</v>
      </c>
      <c r="L242" s="99">
        <v>2</v>
      </c>
      <c r="M242" s="99">
        <v>1</v>
      </c>
      <c r="N242" s="99">
        <v>1</v>
      </c>
      <c r="O242" s="75" t="s">
        <v>619</v>
      </c>
      <c r="P242" s="75" t="s">
        <v>878</v>
      </c>
      <c r="Q242" s="80" t="s">
        <v>879</v>
      </c>
      <c r="R242" s="75" t="s">
        <v>621</v>
      </c>
      <c r="S242" s="75" t="s">
        <v>644</v>
      </c>
      <c r="T242" s="75" t="s">
        <v>623</v>
      </c>
      <c r="U242" s="75" t="s">
        <v>624</v>
      </c>
      <c r="V242" s="75"/>
      <c r="W242" s="75" t="s">
        <v>645</v>
      </c>
      <c r="X242" s="75" t="s">
        <v>626</v>
      </c>
      <c r="Y242" s="75" t="s">
        <v>626</v>
      </c>
      <c r="AA242" s="75" t="s">
        <v>626</v>
      </c>
      <c r="AB242" s="75" t="s">
        <v>646</v>
      </c>
      <c r="AC242" s="75" t="s">
        <v>628</v>
      </c>
      <c r="AD242" s="75" t="s">
        <v>629</v>
      </c>
      <c r="AE242" s="75">
        <v>5</v>
      </c>
      <c r="AG242" s="75">
        <v>40</v>
      </c>
      <c r="AH242" s="75">
        <v>54</v>
      </c>
      <c r="AI242" s="75">
        <v>38</v>
      </c>
      <c r="AJ242" s="75">
        <v>219</v>
      </c>
      <c r="AK242" s="75">
        <v>19</v>
      </c>
      <c r="AL242" s="75">
        <v>1</v>
      </c>
      <c r="AM242" s="75">
        <v>0</v>
      </c>
    </row>
    <row r="243" spans="1:39">
      <c r="A243" s="98" t="s">
        <v>376</v>
      </c>
      <c r="B243" s="75" t="s">
        <v>615</v>
      </c>
      <c r="C243" s="75" t="s">
        <v>616</v>
      </c>
      <c r="D243" s="75" t="s">
        <v>617</v>
      </c>
      <c r="E243" s="80">
        <v>12</v>
      </c>
      <c r="F243" s="75">
        <v>3</v>
      </c>
      <c r="G243" s="75" t="s">
        <v>618</v>
      </c>
      <c r="H243" s="99">
        <v>2</v>
      </c>
      <c r="I243" s="273">
        <v>1</v>
      </c>
      <c r="J243" s="99">
        <v>2</v>
      </c>
      <c r="K243" s="99">
        <v>0</v>
      </c>
      <c r="L243" s="99">
        <v>2</v>
      </c>
      <c r="M243" s="99">
        <v>1</v>
      </c>
      <c r="N243" s="99">
        <v>1</v>
      </c>
      <c r="O243" s="75" t="s">
        <v>619</v>
      </c>
      <c r="P243" s="75" t="s">
        <v>881</v>
      </c>
      <c r="Q243" s="80" t="s">
        <v>634</v>
      </c>
      <c r="R243" s="75" t="s">
        <v>621</v>
      </c>
      <c r="S243" s="75" t="s">
        <v>644</v>
      </c>
      <c r="T243" s="75" t="s">
        <v>623</v>
      </c>
      <c r="U243" s="75" t="s">
        <v>624</v>
      </c>
      <c r="V243" s="75"/>
      <c r="W243" s="75" t="s">
        <v>645</v>
      </c>
      <c r="X243" s="75" t="s">
        <v>626</v>
      </c>
      <c r="Y243" s="75" t="s">
        <v>626</v>
      </c>
      <c r="AA243" s="75" t="s">
        <v>626</v>
      </c>
      <c r="AB243" s="75" t="s">
        <v>646</v>
      </c>
      <c r="AC243" s="75" t="s">
        <v>628</v>
      </c>
      <c r="AD243" s="75" t="s">
        <v>629</v>
      </c>
      <c r="AE243" s="75">
        <v>5</v>
      </c>
      <c r="AG243" s="75">
        <v>40</v>
      </c>
      <c r="AH243" s="75">
        <v>55</v>
      </c>
      <c r="AI243" s="75">
        <v>39</v>
      </c>
      <c r="AJ243" s="75">
        <v>220</v>
      </c>
      <c r="AK243" s="75">
        <v>19</v>
      </c>
      <c r="AL243" s="75">
        <v>1</v>
      </c>
      <c r="AM243" s="75">
        <v>0</v>
      </c>
    </row>
    <row r="244" spans="1:39">
      <c r="A244" s="98" t="s">
        <v>381</v>
      </c>
      <c r="B244" s="75" t="s">
        <v>615</v>
      </c>
      <c r="C244" s="75" t="s">
        <v>616</v>
      </c>
      <c r="D244" s="75" t="s">
        <v>617</v>
      </c>
      <c r="E244" s="80">
        <v>12</v>
      </c>
      <c r="F244" s="75">
        <v>3</v>
      </c>
      <c r="G244" s="75" t="s">
        <v>618</v>
      </c>
      <c r="H244" s="99">
        <v>2</v>
      </c>
      <c r="I244" s="273">
        <v>1</v>
      </c>
      <c r="J244" s="99">
        <v>2</v>
      </c>
      <c r="K244" s="99">
        <v>0</v>
      </c>
      <c r="L244" s="99">
        <v>2</v>
      </c>
      <c r="M244" s="99">
        <v>1</v>
      </c>
      <c r="N244" s="99">
        <v>1</v>
      </c>
      <c r="O244" s="75" t="s">
        <v>619</v>
      </c>
      <c r="P244" s="75" t="s">
        <v>883</v>
      </c>
      <c r="Q244" s="80" t="s">
        <v>634</v>
      </c>
      <c r="R244" s="75" t="s">
        <v>621</v>
      </c>
      <c r="S244" s="75" t="s">
        <v>644</v>
      </c>
      <c r="T244" s="75" t="s">
        <v>623</v>
      </c>
      <c r="U244" s="75" t="s">
        <v>624</v>
      </c>
      <c r="V244" s="75"/>
      <c r="W244" s="75" t="s">
        <v>645</v>
      </c>
      <c r="X244" s="75" t="s">
        <v>626</v>
      </c>
      <c r="Y244" s="75" t="s">
        <v>626</v>
      </c>
      <c r="AA244" s="75" t="s">
        <v>626</v>
      </c>
      <c r="AB244" s="75" t="s">
        <v>646</v>
      </c>
      <c r="AC244" s="75" t="s">
        <v>628</v>
      </c>
      <c r="AD244" s="75" t="s">
        <v>629</v>
      </c>
      <c r="AE244" s="75">
        <v>5</v>
      </c>
      <c r="AG244" s="75">
        <v>40</v>
      </c>
      <c r="AH244" s="75">
        <v>56</v>
      </c>
      <c r="AI244" s="75">
        <v>40</v>
      </c>
      <c r="AJ244" s="75">
        <v>221</v>
      </c>
      <c r="AK244" s="75">
        <v>19</v>
      </c>
      <c r="AL244" s="75">
        <v>1</v>
      </c>
      <c r="AM244" s="75">
        <v>0</v>
      </c>
    </row>
    <row r="245" spans="1:39">
      <c r="A245" s="98" t="s">
        <v>383</v>
      </c>
      <c r="B245" s="75" t="s">
        <v>615</v>
      </c>
      <c r="C245" s="75" t="s">
        <v>616</v>
      </c>
      <c r="D245" s="75" t="s">
        <v>617</v>
      </c>
      <c r="E245" s="80">
        <v>12</v>
      </c>
      <c r="F245" s="75">
        <v>3</v>
      </c>
      <c r="G245" s="75" t="s">
        <v>618</v>
      </c>
      <c r="H245" s="99">
        <v>2</v>
      </c>
      <c r="I245" s="273">
        <v>1</v>
      </c>
      <c r="J245" s="99">
        <v>2</v>
      </c>
      <c r="K245" s="99">
        <v>0</v>
      </c>
      <c r="L245" s="99">
        <v>2</v>
      </c>
      <c r="M245" s="99">
        <v>1</v>
      </c>
      <c r="N245" s="99">
        <v>1</v>
      </c>
      <c r="O245" s="75" t="s">
        <v>619</v>
      </c>
      <c r="P245" s="75" t="s">
        <v>884</v>
      </c>
      <c r="Q245" s="80" t="s">
        <v>882</v>
      </c>
      <c r="R245" s="75" t="s">
        <v>621</v>
      </c>
      <c r="S245" s="75" t="s">
        <v>644</v>
      </c>
      <c r="T245" s="75" t="s">
        <v>623</v>
      </c>
      <c r="U245" s="75" t="s">
        <v>624</v>
      </c>
      <c r="V245" s="75"/>
      <c r="W245" s="75" t="s">
        <v>645</v>
      </c>
      <c r="X245" s="75" t="s">
        <v>626</v>
      </c>
      <c r="Y245" s="75" t="s">
        <v>626</v>
      </c>
      <c r="AA245" s="75" t="s">
        <v>626</v>
      </c>
      <c r="AB245" s="75" t="s">
        <v>646</v>
      </c>
      <c r="AC245" s="75" t="s">
        <v>628</v>
      </c>
      <c r="AD245" s="75" t="s">
        <v>629</v>
      </c>
      <c r="AE245" s="75">
        <v>5</v>
      </c>
      <c r="AG245" s="75">
        <v>40</v>
      </c>
      <c r="AH245" s="75">
        <v>57</v>
      </c>
      <c r="AI245" s="75">
        <v>41</v>
      </c>
      <c r="AJ245" s="75">
        <v>222</v>
      </c>
      <c r="AK245" s="75">
        <v>19</v>
      </c>
      <c r="AL245" s="75">
        <v>1</v>
      </c>
      <c r="AM245" s="75">
        <v>0</v>
      </c>
    </row>
    <row r="246" spans="1:39">
      <c r="A246" s="98" t="s">
        <v>385</v>
      </c>
      <c r="B246" s="75" t="s">
        <v>615</v>
      </c>
      <c r="C246" s="75" t="s">
        <v>616</v>
      </c>
      <c r="D246" s="75" t="s">
        <v>617</v>
      </c>
      <c r="E246" s="80">
        <v>12</v>
      </c>
      <c r="F246" s="75">
        <v>3</v>
      </c>
      <c r="G246" s="75" t="s">
        <v>618</v>
      </c>
      <c r="H246" s="99">
        <v>2</v>
      </c>
      <c r="I246" s="273">
        <v>1</v>
      </c>
      <c r="J246" s="99">
        <v>2</v>
      </c>
      <c r="K246" s="99">
        <v>0</v>
      </c>
      <c r="L246" s="99">
        <v>2</v>
      </c>
      <c r="M246" s="99">
        <v>1</v>
      </c>
      <c r="N246" s="99">
        <v>1</v>
      </c>
      <c r="O246" s="75" t="s">
        <v>619</v>
      </c>
      <c r="P246" s="75" t="s">
        <v>885</v>
      </c>
      <c r="Q246" s="80" t="s">
        <v>634</v>
      </c>
      <c r="R246" s="75" t="s">
        <v>621</v>
      </c>
      <c r="S246" s="75" t="s">
        <v>644</v>
      </c>
      <c r="T246" s="75" t="s">
        <v>623</v>
      </c>
      <c r="U246" s="75" t="s">
        <v>624</v>
      </c>
      <c r="V246" s="75"/>
      <c r="W246" s="75" t="s">
        <v>645</v>
      </c>
      <c r="X246" s="75" t="s">
        <v>626</v>
      </c>
      <c r="Y246" s="75" t="s">
        <v>626</v>
      </c>
      <c r="AA246" s="75" t="s">
        <v>626</v>
      </c>
      <c r="AB246" s="75" t="s">
        <v>646</v>
      </c>
      <c r="AC246" s="75" t="s">
        <v>628</v>
      </c>
      <c r="AD246" s="75" t="s">
        <v>629</v>
      </c>
      <c r="AE246" s="75">
        <v>5</v>
      </c>
      <c r="AG246" s="75">
        <v>40</v>
      </c>
      <c r="AH246" s="75">
        <v>58</v>
      </c>
      <c r="AI246" s="75">
        <v>42</v>
      </c>
      <c r="AJ246" s="75">
        <v>223</v>
      </c>
      <c r="AK246" s="75">
        <v>19</v>
      </c>
      <c r="AL246" s="75">
        <v>1</v>
      </c>
      <c r="AM246" s="75">
        <v>0</v>
      </c>
    </row>
    <row r="247" spans="1:39">
      <c r="A247" s="98" t="s">
        <v>392</v>
      </c>
      <c r="B247" s="75" t="s">
        <v>615</v>
      </c>
      <c r="C247" s="75" t="s">
        <v>616</v>
      </c>
      <c r="D247" s="75" t="s">
        <v>617</v>
      </c>
      <c r="E247" s="80">
        <v>12</v>
      </c>
      <c r="F247" s="75">
        <v>3</v>
      </c>
      <c r="G247" s="75" t="s">
        <v>618</v>
      </c>
      <c r="H247" s="99">
        <v>2</v>
      </c>
      <c r="I247" s="273">
        <v>1</v>
      </c>
      <c r="J247" s="99">
        <v>2</v>
      </c>
      <c r="K247" s="99">
        <v>0</v>
      </c>
      <c r="L247" s="99">
        <v>2</v>
      </c>
      <c r="M247" s="99">
        <v>1</v>
      </c>
      <c r="N247" s="99">
        <v>1</v>
      </c>
      <c r="O247" s="75" t="s">
        <v>619</v>
      </c>
      <c r="P247" s="75" t="s">
        <v>886</v>
      </c>
      <c r="Q247" s="80" t="s">
        <v>651</v>
      </c>
      <c r="R247" s="75" t="s">
        <v>621</v>
      </c>
      <c r="S247" s="75" t="s">
        <v>644</v>
      </c>
      <c r="T247" s="75" t="s">
        <v>623</v>
      </c>
      <c r="U247" s="75" t="s">
        <v>624</v>
      </c>
      <c r="V247" s="75"/>
      <c r="W247" s="75" t="s">
        <v>645</v>
      </c>
      <c r="X247" s="75" t="s">
        <v>626</v>
      </c>
      <c r="Y247" s="75" t="s">
        <v>626</v>
      </c>
      <c r="AA247" s="75" t="s">
        <v>626</v>
      </c>
      <c r="AB247" s="75" t="s">
        <v>646</v>
      </c>
      <c r="AC247" s="75" t="s">
        <v>628</v>
      </c>
      <c r="AD247" s="75" t="s">
        <v>629</v>
      </c>
      <c r="AE247" s="75">
        <v>5</v>
      </c>
      <c r="AG247" s="75">
        <v>40</v>
      </c>
      <c r="AH247" s="75">
        <v>59</v>
      </c>
      <c r="AI247" s="75">
        <v>43</v>
      </c>
      <c r="AJ247" s="75">
        <v>224</v>
      </c>
      <c r="AK247" s="75">
        <v>19</v>
      </c>
      <c r="AL247" s="75">
        <v>1</v>
      </c>
      <c r="AM247" s="75">
        <v>0</v>
      </c>
    </row>
    <row r="248" spans="1:39">
      <c r="A248" s="98" t="s">
        <v>416</v>
      </c>
      <c r="B248" s="75" t="s">
        <v>615</v>
      </c>
      <c r="C248" s="75" t="s">
        <v>616</v>
      </c>
      <c r="D248" s="75" t="s">
        <v>617</v>
      </c>
      <c r="E248" s="80">
        <v>12</v>
      </c>
      <c r="F248" s="75">
        <v>3</v>
      </c>
      <c r="G248" s="75" t="s">
        <v>618</v>
      </c>
      <c r="H248" s="99">
        <v>2</v>
      </c>
      <c r="I248" s="273">
        <v>1</v>
      </c>
      <c r="J248" s="99">
        <v>2</v>
      </c>
      <c r="K248" s="99">
        <v>0</v>
      </c>
      <c r="L248" s="99">
        <v>2</v>
      </c>
      <c r="M248" s="99">
        <v>1</v>
      </c>
      <c r="N248" s="99">
        <v>1</v>
      </c>
      <c r="O248" s="75" t="s">
        <v>619</v>
      </c>
      <c r="P248" s="75" t="s">
        <v>887</v>
      </c>
      <c r="Q248" s="80" t="s">
        <v>634</v>
      </c>
      <c r="R248" s="75" t="s">
        <v>888</v>
      </c>
      <c r="S248" s="75" t="s">
        <v>638</v>
      </c>
      <c r="T248" s="75" t="s">
        <v>623</v>
      </c>
      <c r="U248" s="75" t="s">
        <v>624</v>
      </c>
      <c r="V248" s="75"/>
      <c r="W248" s="75" t="s">
        <v>640</v>
      </c>
      <c r="X248" s="75" t="s">
        <v>626</v>
      </c>
      <c r="Y248" s="75" t="s">
        <v>626</v>
      </c>
      <c r="AA248" s="75" t="s">
        <v>630</v>
      </c>
      <c r="AD248" s="75" t="s">
        <v>629</v>
      </c>
      <c r="AE248" s="75">
        <v>5</v>
      </c>
      <c r="AG248" s="75">
        <v>39</v>
      </c>
      <c r="AH248" s="75">
        <v>45</v>
      </c>
      <c r="AI248" s="75">
        <v>29</v>
      </c>
      <c r="AJ248" s="75">
        <v>210</v>
      </c>
      <c r="AK248" s="75">
        <v>18</v>
      </c>
      <c r="AL248" s="75">
        <v>1</v>
      </c>
      <c r="AM248" s="75">
        <v>0</v>
      </c>
    </row>
    <row r="249" spans="1:39">
      <c r="A249" s="98" t="s">
        <v>399</v>
      </c>
      <c r="B249" s="75" t="s">
        <v>615</v>
      </c>
      <c r="C249" s="75" t="s">
        <v>616</v>
      </c>
      <c r="D249" s="75" t="s">
        <v>617</v>
      </c>
      <c r="E249" s="80">
        <v>12</v>
      </c>
      <c r="F249" s="75">
        <v>3</v>
      </c>
      <c r="G249" s="75" t="s">
        <v>618</v>
      </c>
      <c r="H249" s="99">
        <v>2</v>
      </c>
      <c r="I249" s="273">
        <v>1</v>
      </c>
      <c r="J249" s="99">
        <v>2</v>
      </c>
      <c r="K249" s="99">
        <v>0</v>
      </c>
      <c r="L249" s="99">
        <v>2</v>
      </c>
      <c r="M249" s="99">
        <v>1</v>
      </c>
      <c r="N249" s="99">
        <v>1</v>
      </c>
      <c r="O249" s="75" t="s">
        <v>619</v>
      </c>
      <c r="P249" s="75" t="s">
        <v>890</v>
      </c>
      <c r="Q249" s="80">
        <v>0.04</v>
      </c>
      <c r="R249" s="75" t="s">
        <v>621</v>
      </c>
      <c r="S249" s="75" t="s">
        <v>644</v>
      </c>
      <c r="T249" s="75" t="s">
        <v>623</v>
      </c>
      <c r="U249" s="75" t="s">
        <v>624</v>
      </c>
      <c r="V249" s="75"/>
      <c r="W249" s="75" t="s">
        <v>645</v>
      </c>
      <c r="X249" s="75" t="s">
        <v>626</v>
      </c>
      <c r="Y249" s="75" t="s">
        <v>626</v>
      </c>
      <c r="AA249" s="75" t="s">
        <v>626</v>
      </c>
      <c r="AB249" s="75" t="s">
        <v>646</v>
      </c>
      <c r="AC249" s="75" t="s">
        <v>628</v>
      </c>
      <c r="AD249" s="75" t="s">
        <v>629</v>
      </c>
      <c r="AE249" s="75">
        <v>5</v>
      </c>
      <c r="AG249" s="75">
        <v>40</v>
      </c>
      <c r="AH249" s="75">
        <v>60</v>
      </c>
      <c r="AI249" s="75">
        <v>44</v>
      </c>
      <c r="AJ249" s="75">
        <v>225</v>
      </c>
      <c r="AK249" s="75">
        <v>19</v>
      </c>
      <c r="AL249" s="75">
        <v>1</v>
      </c>
      <c r="AM249" s="75">
        <v>0</v>
      </c>
    </row>
    <row r="250" spans="1:39">
      <c r="A250" s="98" t="s">
        <v>401</v>
      </c>
      <c r="B250" s="75" t="s">
        <v>615</v>
      </c>
      <c r="C250" s="75" t="s">
        <v>616</v>
      </c>
      <c r="D250" s="75" t="s">
        <v>617</v>
      </c>
      <c r="E250" s="80">
        <v>12</v>
      </c>
      <c r="F250" s="75">
        <v>3</v>
      </c>
      <c r="G250" s="75" t="s">
        <v>618</v>
      </c>
      <c r="H250" s="99">
        <v>2</v>
      </c>
      <c r="I250" s="273">
        <v>1</v>
      </c>
      <c r="J250" s="99">
        <v>2</v>
      </c>
      <c r="K250" s="99">
        <v>0</v>
      </c>
      <c r="L250" s="99">
        <v>2</v>
      </c>
      <c r="M250" s="99">
        <v>1</v>
      </c>
      <c r="N250" s="99">
        <v>1</v>
      </c>
      <c r="O250" s="75" t="s">
        <v>619</v>
      </c>
      <c r="P250" s="75" t="s">
        <v>891</v>
      </c>
      <c r="Q250" s="80" t="s">
        <v>877</v>
      </c>
      <c r="R250" s="75" t="s">
        <v>621</v>
      </c>
      <c r="S250" s="75" t="s">
        <v>644</v>
      </c>
      <c r="T250" s="75" t="s">
        <v>623</v>
      </c>
      <c r="U250" s="75" t="s">
        <v>624</v>
      </c>
      <c r="V250" s="75"/>
      <c r="W250" s="75" t="s">
        <v>645</v>
      </c>
      <c r="X250" s="75" t="s">
        <v>626</v>
      </c>
      <c r="Y250" s="75" t="s">
        <v>626</v>
      </c>
      <c r="AA250" s="75" t="s">
        <v>626</v>
      </c>
      <c r="AB250" s="75" t="s">
        <v>646</v>
      </c>
      <c r="AC250" s="75" t="s">
        <v>628</v>
      </c>
      <c r="AD250" s="75" t="s">
        <v>629</v>
      </c>
      <c r="AE250" s="75">
        <v>5</v>
      </c>
      <c r="AG250" s="75">
        <v>40</v>
      </c>
      <c r="AH250" s="75">
        <v>61</v>
      </c>
      <c r="AI250" s="75">
        <v>45</v>
      </c>
      <c r="AJ250" s="75">
        <v>226</v>
      </c>
      <c r="AK250" s="75">
        <v>19</v>
      </c>
      <c r="AL250" s="75">
        <v>1</v>
      </c>
      <c r="AM250" s="75">
        <v>0</v>
      </c>
    </row>
    <row r="251" spans="1:39">
      <c r="A251" s="98" t="s">
        <v>407</v>
      </c>
      <c r="B251" s="75" t="s">
        <v>615</v>
      </c>
      <c r="C251" s="75" t="s">
        <v>616</v>
      </c>
      <c r="D251" s="75" t="s">
        <v>617</v>
      </c>
      <c r="E251" s="80">
        <v>12</v>
      </c>
      <c r="F251" s="75">
        <v>3</v>
      </c>
      <c r="G251" s="75" t="s">
        <v>618</v>
      </c>
      <c r="H251" s="99">
        <v>2</v>
      </c>
      <c r="I251" s="273">
        <v>1</v>
      </c>
      <c r="J251" s="99">
        <v>2</v>
      </c>
      <c r="K251" s="99">
        <v>0</v>
      </c>
      <c r="L251" s="99">
        <v>2</v>
      </c>
      <c r="M251" s="99">
        <v>1</v>
      </c>
      <c r="N251" s="99">
        <v>1</v>
      </c>
      <c r="O251" s="75" t="s">
        <v>619</v>
      </c>
      <c r="P251" s="75" t="s">
        <v>892</v>
      </c>
      <c r="Q251" s="80" t="s">
        <v>634</v>
      </c>
      <c r="R251" s="75" t="s">
        <v>621</v>
      </c>
      <c r="S251" s="75" t="s">
        <v>644</v>
      </c>
      <c r="T251" s="75" t="s">
        <v>623</v>
      </c>
      <c r="U251" s="75" t="s">
        <v>624</v>
      </c>
      <c r="V251" s="75"/>
      <c r="W251" s="75" t="s">
        <v>645</v>
      </c>
      <c r="X251" s="75" t="s">
        <v>626</v>
      </c>
      <c r="Y251" s="75" t="s">
        <v>626</v>
      </c>
      <c r="AA251" s="75" t="s">
        <v>626</v>
      </c>
      <c r="AB251" s="75" t="s">
        <v>646</v>
      </c>
      <c r="AC251" s="75" t="s">
        <v>628</v>
      </c>
      <c r="AD251" s="75" t="s">
        <v>629</v>
      </c>
      <c r="AE251" s="75">
        <v>5</v>
      </c>
      <c r="AG251" s="75">
        <v>40</v>
      </c>
      <c r="AH251" s="75">
        <v>62</v>
      </c>
      <c r="AI251" s="75">
        <v>46</v>
      </c>
      <c r="AJ251" s="75">
        <v>227</v>
      </c>
      <c r="AK251" s="75">
        <v>19</v>
      </c>
      <c r="AL251" s="75">
        <v>1</v>
      </c>
      <c r="AM251" s="75">
        <v>0</v>
      </c>
    </row>
    <row r="252" spans="1:39">
      <c r="A252" s="98"/>
      <c r="H252" s="99"/>
      <c r="I252" s="273"/>
      <c r="J252" s="99"/>
      <c r="K252" s="99"/>
      <c r="L252" s="99"/>
      <c r="M252" s="99"/>
      <c r="N252" s="99"/>
      <c r="R252" s="75"/>
      <c r="S252" s="75"/>
      <c r="T252" s="75"/>
      <c r="U252" s="75"/>
      <c r="V252" s="75"/>
      <c r="W252" s="75"/>
    </row>
    <row r="253" spans="1:39">
      <c r="A253" s="98"/>
      <c r="H253" s="99"/>
      <c r="I253" s="273"/>
      <c r="J253" s="99"/>
      <c r="K253" s="99"/>
      <c r="L253" s="99"/>
      <c r="M253" s="99"/>
      <c r="N253" s="99"/>
      <c r="R253" s="75"/>
      <c r="S253" s="75"/>
      <c r="T253" s="75"/>
      <c r="U253" s="75"/>
      <c r="V253" s="75"/>
      <c r="W253" s="75"/>
    </row>
    <row r="254" spans="1:39">
      <c r="A254" s="98"/>
      <c r="H254" s="99"/>
      <c r="I254" s="273"/>
      <c r="J254" s="99"/>
      <c r="K254" s="99"/>
      <c r="L254" s="99"/>
      <c r="M254" s="99"/>
      <c r="N254" s="99"/>
      <c r="R254" s="75"/>
      <c r="S254" s="75"/>
      <c r="T254" s="75"/>
      <c r="U254" s="75"/>
      <c r="V254" s="75"/>
      <c r="W254" s="75"/>
    </row>
    <row r="255" spans="1:39">
      <c r="A255" s="98"/>
      <c r="H255" s="99"/>
      <c r="I255" s="273"/>
      <c r="J255" s="99"/>
      <c r="K255" s="99"/>
      <c r="L255" s="99"/>
      <c r="M255" s="99"/>
      <c r="N255" s="99"/>
      <c r="R255" s="75"/>
      <c r="S255" s="75"/>
      <c r="T255" s="75"/>
      <c r="U255" s="75"/>
      <c r="V255" s="75"/>
      <c r="W255" s="75"/>
    </row>
    <row r="256" spans="1:39">
      <c r="A256" s="98"/>
      <c r="H256" s="99"/>
      <c r="I256" s="273"/>
      <c r="J256" s="99"/>
      <c r="K256" s="99"/>
      <c r="L256" s="99"/>
      <c r="M256" s="99"/>
      <c r="N256" s="99"/>
      <c r="R256" s="75"/>
      <c r="S256" s="75"/>
      <c r="T256" s="75"/>
      <c r="U256" s="75"/>
      <c r="V256" s="75"/>
      <c r="W256" s="75"/>
    </row>
    <row r="257" spans="1:23">
      <c r="A257" s="98"/>
      <c r="H257" s="99"/>
      <c r="I257" s="273"/>
      <c r="J257" s="99"/>
      <c r="K257" s="99"/>
      <c r="L257" s="99"/>
      <c r="M257" s="99"/>
      <c r="N257" s="99"/>
      <c r="R257" s="75"/>
      <c r="S257" s="75"/>
      <c r="T257" s="75"/>
      <c r="U257" s="75"/>
      <c r="V257" s="75"/>
      <c r="W257" s="75"/>
    </row>
    <row r="258" spans="1:23">
      <c r="A258" s="98"/>
      <c r="H258" s="99"/>
      <c r="I258" s="273"/>
      <c r="J258" s="99"/>
      <c r="K258" s="99"/>
      <c r="L258" s="99"/>
      <c r="M258" s="99"/>
      <c r="N258" s="99"/>
      <c r="R258" s="75"/>
      <c r="S258" s="75"/>
      <c r="T258" s="75"/>
      <c r="U258" s="75"/>
      <c r="V258" s="75"/>
      <c r="W258" s="75"/>
    </row>
    <row r="259" spans="1:23">
      <c r="A259" s="98"/>
      <c r="H259" s="99"/>
      <c r="I259" s="273"/>
      <c r="J259" s="99"/>
      <c r="K259" s="99"/>
      <c r="L259" s="99"/>
      <c r="M259" s="99"/>
      <c r="N259" s="99"/>
      <c r="R259" s="75"/>
      <c r="S259" s="75"/>
      <c r="T259" s="75"/>
      <c r="U259" s="75"/>
      <c r="V259" s="75"/>
      <c r="W259" s="75"/>
    </row>
    <row r="260" spans="1:23">
      <c r="A260" s="98"/>
      <c r="H260" s="99"/>
      <c r="I260" s="273"/>
      <c r="J260" s="99"/>
      <c r="K260" s="99"/>
      <c r="L260" s="99"/>
      <c r="M260" s="99"/>
      <c r="N260" s="99"/>
      <c r="R260" s="75"/>
      <c r="S260" s="75"/>
      <c r="T260" s="75"/>
      <c r="U260" s="75"/>
      <c r="V260" s="75"/>
      <c r="W260" s="75"/>
    </row>
    <row r="261" spans="1:23">
      <c r="A261" s="98"/>
      <c r="H261" s="99"/>
      <c r="I261" s="273"/>
      <c r="J261" s="99"/>
      <c r="K261" s="99"/>
      <c r="L261" s="99"/>
      <c r="M261" s="99"/>
      <c r="N261" s="99"/>
      <c r="R261" s="75"/>
      <c r="S261" s="75"/>
      <c r="T261" s="75"/>
      <c r="U261" s="75"/>
      <c r="V261" s="75"/>
      <c r="W261" s="75"/>
    </row>
    <row r="262" spans="1:23">
      <c r="A262" s="98"/>
      <c r="H262" s="99"/>
      <c r="I262" s="273"/>
      <c r="J262" s="99"/>
      <c r="K262" s="99"/>
      <c r="L262" s="99"/>
      <c r="M262" s="99"/>
      <c r="N262" s="99"/>
      <c r="R262" s="75"/>
      <c r="S262" s="75"/>
      <c r="T262" s="75"/>
      <c r="U262" s="75"/>
      <c r="V262" s="75"/>
      <c r="W262" s="75"/>
    </row>
    <row r="263" spans="1:23">
      <c r="A263" s="98"/>
      <c r="H263" s="99"/>
      <c r="I263" s="273"/>
      <c r="J263" s="99"/>
      <c r="K263" s="99"/>
      <c r="L263" s="99"/>
      <c r="M263" s="99"/>
      <c r="N263" s="99"/>
      <c r="R263" s="75"/>
      <c r="S263" s="75"/>
      <c r="T263" s="75"/>
      <c r="U263" s="75"/>
      <c r="V263" s="75"/>
      <c r="W263" s="75"/>
    </row>
    <row r="264" spans="1:23">
      <c r="A264" s="98"/>
      <c r="H264" s="99"/>
      <c r="I264" s="273"/>
      <c r="J264" s="99"/>
      <c r="K264" s="99"/>
      <c r="L264" s="99"/>
      <c r="M264" s="99"/>
      <c r="N264" s="99"/>
      <c r="R264" s="75"/>
      <c r="S264" s="75"/>
      <c r="T264" s="75"/>
      <c r="U264" s="75"/>
      <c r="V264" s="75"/>
      <c r="W264" s="75"/>
    </row>
    <row r="265" spans="1:23">
      <c r="A265" s="98"/>
      <c r="H265" s="99"/>
      <c r="I265" s="273"/>
      <c r="J265" s="99"/>
      <c r="K265" s="99"/>
      <c r="L265" s="99"/>
      <c r="M265" s="99"/>
      <c r="N265" s="99"/>
      <c r="R265" s="75"/>
      <c r="S265" s="75"/>
      <c r="T265" s="75"/>
      <c r="U265" s="75"/>
      <c r="V265" s="75"/>
      <c r="W265" s="75"/>
    </row>
    <row r="266" spans="1:23">
      <c r="A266" s="98"/>
      <c r="H266" s="99"/>
      <c r="I266" s="273"/>
      <c r="J266" s="99"/>
      <c r="K266" s="99"/>
      <c r="L266" s="99"/>
      <c r="M266" s="99"/>
      <c r="N266" s="99"/>
      <c r="R266" s="75"/>
      <c r="S266" s="75"/>
      <c r="T266" s="75"/>
      <c r="U266" s="75"/>
      <c r="V266" s="75"/>
      <c r="W266" s="75"/>
    </row>
    <row r="267" spans="1:23">
      <c r="A267" s="98"/>
      <c r="H267" s="99"/>
      <c r="I267" s="273"/>
      <c r="J267" s="99"/>
      <c r="K267" s="99"/>
      <c r="L267" s="99"/>
      <c r="M267" s="99"/>
      <c r="N267" s="99"/>
      <c r="R267" s="75"/>
      <c r="S267" s="75"/>
      <c r="T267" s="75"/>
      <c r="U267" s="75"/>
      <c r="V267" s="75"/>
      <c r="W267" s="75"/>
    </row>
    <row r="268" spans="1:23">
      <c r="A268" s="98"/>
      <c r="H268" s="99"/>
      <c r="I268" s="273"/>
      <c r="J268" s="99"/>
      <c r="K268" s="99"/>
      <c r="L268" s="99"/>
      <c r="M268" s="99"/>
      <c r="N268" s="99"/>
      <c r="R268" s="75"/>
      <c r="S268" s="75"/>
      <c r="T268" s="75"/>
      <c r="U268" s="75"/>
      <c r="V268" s="75"/>
      <c r="W268" s="75"/>
    </row>
    <row r="269" spans="1:23">
      <c r="A269" s="98"/>
      <c r="H269" s="99"/>
      <c r="I269" s="273"/>
      <c r="J269" s="99"/>
      <c r="K269" s="99"/>
      <c r="L269" s="99"/>
      <c r="M269" s="99"/>
      <c r="N269" s="99"/>
      <c r="R269" s="75"/>
      <c r="S269" s="75"/>
      <c r="T269" s="75"/>
      <c r="U269" s="75"/>
      <c r="V269" s="75"/>
      <c r="W269" s="75"/>
    </row>
    <row r="270" spans="1:23">
      <c r="A270" s="98"/>
      <c r="H270" s="99"/>
      <c r="I270" s="273"/>
      <c r="J270" s="99"/>
      <c r="K270" s="99"/>
      <c r="L270" s="99"/>
      <c r="M270" s="99"/>
      <c r="N270" s="99"/>
      <c r="R270" s="75"/>
      <c r="S270" s="75"/>
      <c r="T270" s="75"/>
      <c r="U270" s="75"/>
      <c r="V270" s="75"/>
      <c r="W270" s="75"/>
    </row>
    <row r="271" spans="1:23">
      <c r="A271" s="98"/>
      <c r="H271" s="99"/>
      <c r="I271" s="273"/>
      <c r="J271" s="99"/>
      <c r="K271" s="99"/>
      <c r="L271" s="99"/>
      <c r="M271" s="99"/>
      <c r="N271" s="99"/>
      <c r="R271" s="75"/>
      <c r="S271" s="75"/>
      <c r="T271" s="75"/>
      <c r="U271" s="75"/>
      <c r="V271" s="75"/>
      <c r="W271" s="75"/>
    </row>
    <row r="272" spans="1:23">
      <c r="A272" s="98"/>
      <c r="H272" s="99"/>
      <c r="I272" s="273"/>
      <c r="J272" s="99"/>
      <c r="K272" s="99"/>
      <c r="L272" s="99"/>
      <c r="M272" s="99"/>
      <c r="N272" s="99"/>
      <c r="R272" s="75"/>
      <c r="S272" s="75"/>
      <c r="T272" s="75"/>
      <c r="U272" s="75"/>
      <c r="V272" s="75"/>
      <c r="W272" s="75"/>
    </row>
    <row r="273" spans="1:23">
      <c r="A273" s="98"/>
      <c r="H273" s="99"/>
      <c r="I273" s="273"/>
      <c r="J273" s="99"/>
      <c r="K273" s="99"/>
      <c r="L273" s="99"/>
      <c r="M273" s="99"/>
      <c r="N273" s="99"/>
      <c r="R273" s="75"/>
      <c r="S273" s="75"/>
      <c r="T273" s="75"/>
      <c r="U273" s="75"/>
      <c r="V273" s="75"/>
      <c r="W273" s="75"/>
    </row>
    <row r="274" spans="1:23">
      <c r="A274" s="98"/>
      <c r="H274" s="99"/>
      <c r="I274" s="273"/>
      <c r="J274" s="99"/>
      <c r="K274" s="99"/>
      <c r="L274" s="99"/>
      <c r="M274" s="99"/>
      <c r="N274" s="99"/>
      <c r="R274" s="75"/>
      <c r="S274" s="75"/>
      <c r="T274" s="75"/>
      <c r="U274" s="75"/>
      <c r="V274" s="75"/>
      <c r="W274" s="75"/>
    </row>
    <row r="275" spans="1:23">
      <c r="A275" s="98"/>
      <c r="H275" s="99"/>
      <c r="I275" s="273"/>
      <c r="J275" s="99"/>
      <c r="K275" s="99"/>
      <c r="L275" s="99"/>
      <c r="M275" s="99"/>
      <c r="N275" s="99"/>
      <c r="R275" s="75"/>
      <c r="S275" s="75"/>
      <c r="T275" s="75"/>
      <c r="U275" s="75"/>
      <c r="V275" s="75"/>
      <c r="W275" s="75"/>
    </row>
    <row r="276" spans="1:23">
      <c r="A276" s="98"/>
      <c r="H276" s="99"/>
      <c r="I276" s="273"/>
      <c r="J276" s="99"/>
      <c r="K276" s="99"/>
      <c r="L276" s="99"/>
      <c r="M276" s="99"/>
      <c r="N276" s="99"/>
      <c r="R276" s="75"/>
      <c r="S276" s="75"/>
      <c r="T276" s="75"/>
      <c r="U276" s="75"/>
      <c r="V276" s="75"/>
      <c r="W276" s="75"/>
    </row>
    <row r="277" spans="1:23">
      <c r="A277" s="98"/>
      <c r="H277" s="99"/>
      <c r="I277" s="273"/>
      <c r="J277" s="99"/>
      <c r="K277" s="99"/>
      <c r="L277" s="99"/>
      <c r="M277" s="99"/>
      <c r="N277" s="99"/>
      <c r="R277" s="75"/>
      <c r="S277" s="75"/>
      <c r="T277" s="75"/>
      <c r="U277" s="75"/>
      <c r="V277" s="75"/>
      <c r="W277" s="75"/>
    </row>
    <row r="278" spans="1:23">
      <c r="A278" s="98"/>
      <c r="H278" s="99"/>
      <c r="I278" s="273"/>
      <c r="J278" s="99"/>
      <c r="K278" s="99"/>
      <c r="L278" s="99"/>
      <c r="M278" s="99"/>
      <c r="N278" s="99"/>
      <c r="R278" s="75"/>
      <c r="S278" s="75"/>
      <c r="T278" s="75"/>
      <c r="U278" s="75"/>
      <c r="V278" s="75"/>
      <c r="W278" s="75"/>
    </row>
    <row r="279" spans="1:23">
      <c r="A279" s="98"/>
      <c r="H279" s="99"/>
      <c r="I279" s="273"/>
      <c r="J279" s="99"/>
      <c r="K279" s="99"/>
      <c r="L279" s="99"/>
      <c r="M279" s="99"/>
      <c r="N279" s="99"/>
      <c r="R279" s="75"/>
      <c r="S279" s="75"/>
      <c r="T279" s="75"/>
      <c r="U279" s="75"/>
      <c r="V279" s="75"/>
      <c r="W279" s="75"/>
    </row>
    <row r="280" spans="1:23">
      <c r="A280" s="98"/>
      <c r="H280" s="99"/>
      <c r="I280" s="273"/>
      <c r="J280" s="99"/>
      <c r="K280" s="99"/>
      <c r="L280" s="99"/>
      <c r="M280" s="99"/>
      <c r="N280" s="99"/>
      <c r="R280" s="75"/>
      <c r="S280" s="75"/>
      <c r="T280" s="75"/>
      <c r="U280" s="75"/>
      <c r="V280" s="75"/>
      <c r="W280" s="75"/>
    </row>
    <row r="281" spans="1:23">
      <c r="A281" s="98"/>
      <c r="H281" s="99"/>
      <c r="I281" s="273"/>
      <c r="J281" s="99"/>
      <c r="K281" s="99"/>
      <c r="L281" s="99"/>
      <c r="M281" s="99"/>
      <c r="N281" s="99"/>
      <c r="R281" s="75"/>
      <c r="S281" s="75"/>
      <c r="T281" s="75"/>
      <c r="U281" s="75"/>
      <c r="V281" s="75"/>
      <c r="W281" s="75"/>
    </row>
    <row r="282" spans="1:23">
      <c r="A282" s="98"/>
      <c r="H282" s="99"/>
      <c r="I282" s="273"/>
      <c r="J282" s="99"/>
      <c r="K282" s="99"/>
      <c r="L282" s="99"/>
      <c r="M282" s="99"/>
      <c r="N282" s="99"/>
      <c r="R282" s="75"/>
      <c r="S282" s="75"/>
      <c r="T282" s="75"/>
      <c r="U282" s="75"/>
      <c r="V282" s="75"/>
      <c r="W282" s="75"/>
    </row>
    <row r="283" spans="1:23">
      <c r="A283" s="98"/>
      <c r="H283" s="99"/>
      <c r="I283" s="273"/>
      <c r="J283" s="99"/>
      <c r="K283" s="99"/>
      <c r="L283" s="99"/>
      <c r="M283" s="99"/>
      <c r="N283" s="99"/>
      <c r="R283" s="75"/>
      <c r="S283" s="75"/>
      <c r="T283" s="75"/>
      <c r="U283" s="75"/>
      <c r="V283" s="75"/>
      <c r="W283" s="75"/>
    </row>
    <row r="284" spans="1:23">
      <c r="A284" s="98"/>
      <c r="H284" s="99"/>
      <c r="I284" s="273"/>
      <c r="J284" s="99"/>
      <c r="K284" s="99"/>
      <c r="L284" s="99"/>
      <c r="M284" s="99"/>
      <c r="N284" s="99"/>
      <c r="R284" s="75"/>
      <c r="S284" s="75"/>
      <c r="T284" s="75"/>
      <c r="U284" s="75"/>
      <c r="V284" s="75"/>
      <c r="W284" s="75"/>
    </row>
    <row r="285" spans="1:23">
      <c r="A285" s="98"/>
      <c r="H285" s="99"/>
      <c r="I285" s="273"/>
      <c r="J285" s="99"/>
      <c r="K285" s="99"/>
      <c r="L285" s="99"/>
      <c r="M285" s="99"/>
      <c r="N285" s="99"/>
      <c r="R285" s="75"/>
      <c r="S285" s="75"/>
      <c r="T285" s="75"/>
      <c r="U285" s="75"/>
      <c r="V285" s="75"/>
      <c r="W285" s="75"/>
    </row>
    <row r="286" spans="1:23">
      <c r="A286" s="98"/>
      <c r="H286" s="99"/>
      <c r="I286" s="273"/>
      <c r="J286" s="99"/>
      <c r="K286" s="99"/>
      <c r="L286" s="99"/>
      <c r="M286" s="99"/>
      <c r="N286" s="99"/>
      <c r="R286" s="75"/>
      <c r="S286" s="75"/>
      <c r="T286" s="75"/>
      <c r="U286" s="75"/>
      <c r="V286" s="75"/>
      <c r="W286" s="75"/>
    </row>
    <row r="287" spans="1:23">
      <c r="A287" s="98"/>
      <c r="H287" s="99"/>
      <c r="I287" s="273"/>
      <c r="J287" s="99"/>
      <c r="K287" s="99"/>
      <c r="L287" s="99"/>
      <c r="M287" s="99"/>
      <c r="N287" s="99"/>
      <c r="R287" s="75"/>
      <c r="S287" s="75"/>
      <c r="T287" s="75"/>
      <c r="U287" s="75"/>
      <c r="V287" s="75"/>
      <c r="W287" s="75"/>
    </row>
    <row r="288" spans="1:23">
      <c r="A288" s="98"/>
      <c r="H288" s="99"/>
      <c r="I288" s="273"/>
      <c r="J288" s="99"/>
      <c r="K288" s="99"/>
      <c r="L288" s="99"/>
      <c r="M288" s="99"/>
      <c r="N288" s="99"/>
      <c r="R288" s="75"/>
      <c r="S288" s="75"/>
      <c r="T288" s="75"/>
      <c r="U288" s="75"/>
      <c r="V288" s="75"/>
      <c r="W288" s="75"/>
    </row>
    <row r="289" spans="1:23">
      <c r="A289" s="98"/>
      <c r="H289" s="99"/>
      <c r="I289" s="273"/>
      <c r="J289" s="99"/>
      <c r="K289" s="99"/>
      <c r="L289" s="99"/>
      <c r="M289" s="99"/>
      <c r="N289" s="99"/>
      <c r="R289" s="75"/>
      <c r="S289" s="75"/>
      <c r="T289" s="75"/>
      <c r="U289" s="75"/>
      <c r="V289" s="75"/>
      <c r="W289" s="75"/>
    </row>
    <row r="290" spans="1:23">
      <c r="A290" s="98"/>
      <c r="H290" s="99"/>
      <c r="I290" s="273"/>
      <c r="J290" s="99"/>
      <c r="K290" s="99"/>
      <c r="L290" s="99"/>
      <c r="M290" s="99"/>
      <c r="N290" s="99"/>
      <c r="R290" s="75"/>
      <c r="S290" s="75"/>
      <c r="T290" s="75"/>
      <c r="U290" s="75"/>
      <c r="V290" s="75"/>
      <c r="W290" s="75"/>
    </row>
    <row r="291" spans="1:23">
      <c r="A291" s="98"/>
      <c r="H291" s="99"/>
      <c r="I291" s="273"/>
      <c r="J291" s="99"/>
      <c r="K291" s="99"/>
      <c r="L291" s="99"/>
      <c r="M291" s="99"/>
      <c r="N291" s="99"/>
      <c r="R291" s="75"/>
      <c r="S291" s="75"/>
      <c r="T291" s="75"/>
      <c r="U291" s="75"/>
      <c r="V291" s="75"/>
      <c r="W291" s="75"/>
    </row>
    <row r="292" spans="1:23">
      <c r="A292" s="98"/>
      <c r="H292" s="99"/>
      <c r="I292" s="273"/>
      <c r="J292" s="99"/>
      <c r="K292" s="99"/>
      <c r="L292" s="99"/>
      <c r="M292" s="99"/>
      <c r="N292" s="99"/>
      <c r="R292" s="75"/>
      <c r="S292" s="75"/>
      <c r="T292" s="75"/>
      <c r="U292" s="75"/>
      <c r="V292" s="75"/>
      <c r="W292" s="75"/>
    </row>
    <row r="293" spans="1:23">
      <c r="A293" s="98"/>
      <c r="H293" s="99"/>
      <c r="I293" s="273"/>
      <c r="J293" s="99"/>
      <c r="K293" s="99"/>
      <c r="L293" s="99"/>
      <c r="M293" s="99"/>
      <c r="N293" s="99"/>
      <c r="R293" s="75"/>
      <c r="S293" s="75"/>
      <c r="T293" s="75"/>
      <c r="U293" s="75"/>
      <c r="V293" s="75"/>
      <c r="W293" s="75"/>
    </row>
    <row r="294" spans="1:23">
      <c r="A294" s="98"/>
      <c r="H294" s="99"/>
      <c r="I294" s="273"/>
      <c r="J294" s="99"/>
      <c r="K294" s="99"/>
      <c r="L294" s="99"/>
      <c r="M294" s="99"/>
      <c r="N294" s="99"/>
      <c r="R294" s="75"/>
      <c r="S294" s="75"/>
      <c r="T294" s="75"/>
      <c r="U294" s="75"/>
      <c r="V294" s="75"/>
      <c r="W294" s="75"/>
    </row>
    <row r="295" spans="1:23">
      <c r="A295" s="98"/>
      <c r="H295" s="99"/>
      <c r="I295" s="273"/>
      <c r="J295" s="99"/>
      <c r="K295" s="99"/>
      <c r="L295" s="99"/>
      <c r="M295" s="99"/>
      <c r="N295" s="99"/>
      <c r="R295" s="75"/>
      <c r="S295" s="75"/>
      <c r="T295" s="75"/>
      <c r="U295" s="75"/>
      <c r="V295" s="75"/>
      <c r="W295" s="75"/>
    </row>
    <row r="296" spans="1:23">
      <c r="A296" s="98"/>
      <c r="H296" s="99"/>
      <c r="I296" s="273"/>
      <c r="J296" s="99"/>
      <c r="K296" s="99"/>
      <c r="L296" s="99"/>
      <c r="M296" s="99"/>
      <c r="N296" s="99"/>
      <c r="R296" s="75"/>
      <c r="S296" s="75"/>
      <c r="T296" s="75"/>
      <c r="U296" s="75"/>
      <c r="V296" s="75"/>
      <c r="W296" s="75"/>
    </row>
    <row r="297" spans="1:23">
      <c r="A297" s="98"/>
      <c r="H297" s="99"/>
      <c r="I297" s="273"/>
      <c r="J297" s="99"/>
      <c r="K297" s="99"/>
      <c r="L297" s="99"/>
      <c r="M297" s="99"/>
      <c r="N297" s="99"/>
      <c r="R297" s="75"/>
      <c r="S297" s="75"/>
      <c r="T297" s="75"/>
      <c r="U297" s="75"/>
      <c r="V297" s="75"/>
      <c r="W297" s="75"/>
    </row>
    <row r="298" spans="1:23">
      <c r="A298" s="98"/>
      <c r="H298" s="99"/>
      <c r="I298" s="273"/>
      <c r="J298" s="99"/>
      <c r="K298" s="99"/>
      <c r="L298" s="99"/>
      <c r="M298" s="99"/>
      <c r="N298" s="99"/>
      <c r="R298" s="75"/>
      <c r="S298" s="75"/>
      <c r="T298" s="75"/>
      <c r="U298" s="75"/>
      <c r="V298" s="75"/>
      <c r="W298" s="75"/>
    </row>
    <row r="299" spans="1:23">
      <c r="A299" s="98"/>
      <c r="H299" s="99"/>
      <c r="I299" s="273"/>
      <c r="J299" s="99"/>
      <c r="K299" s="99"/>
      <c r="L299" s="99"/>
      <c r="M299" s="99"/>
      <c r="N299" s="99"/>
      <c r="R299" s="75"/>
      <c r="S299" s="75"/>
      <c r="T299" s="75"/>
      <c r="U299" s="75"/>
      <c r="V299" s="75"/>
      <c r="W299" s="75"/>
    </row>
    <row r="300" spans="1:23">
      <c r="A300" s="98"/>
      <c r="H300" s="99"/>
      <c r="I300" s="273"/>
      <c r="J300" s="99"/>
      <c r="K300" s="99"/>
      <c r="L300" s="99"/>
      <c r="M300" s="99"/>
      <c r="N300" s="99"/>
      <c r="R300" s="75"/>
      <c r="S300" s="75"/>
      <c r="T300" s="75"/>
      <c r="U300" s="75"/>
      <c r="V300" s="75"/>
      <c r="W300" s="75"/>
    </row>
    <row r="301" spans="1:23">
      <c r="A301" s="98"/>
      <c r="H301" s="99"/>
      <c r="I301" s="273"/>
      <c r="J301" s="99"/>
      <c r="K301" s="99"/>
      <c r="L301" s="99"/>
      <c r="M301" s="99"/>
      <c r="N301" s="99"/>
      <c r="R301" s="75"/>
      <c r="S301" s="75"/>
      <c r="T301" s="75"/>
      <c r="U301" s="75"/>
      <c r="V301" s="75"/>
      <c r="W301" s="75"/>
    </row>
    <row r="302" spans="1:23">
      <c r="A302" s="98"/>
      <c r="H302" s="99"/>
      <c r="I302" s="273"/>
      <c r="J302" s="99"/>
      <c r="K302" s="99"/>
      <c r="L302" s="99"/>
      <c r="M302" s="99"/>
      <c r="N302" s="99"/>
      <c r="R302" s="75"/>
      <c r="S302" s="75"/>
      <c r="T302" s="75"/>
      <c r="U302" s="75"/>
      <c r="V302" s="75"/>
      <c r="W302" s="75"/>
    </row>
    <row r="303" spans="1:23">
      <c r="A303" s="98"/>
      <c r="H303" s="99"/>
      <c r="I303" s="273"/>
      <c r="J303" s="99"/>
      <c r="K303" s="99"/>
      <c r="L303" s="99"/>
      <c r="M303" s="99"/>
      <c r="N303" s="99"/>
      <c r="R303" s="75"/>
      <c r="S303" s="75"/>
      <c r="T303" s="75"/>
      <c r="U303" s="75"/>
      <c r="V303" s="75"/>
      <c r="W303" s="75"/>
    </row>
    <row r="304" spans="1:23">
      <c r="A304" s="98"/>
      <c r="H304" s="99"/>
      <c r="I304" s="273"/>
      <c r="J304" s="99"/>
      <c r="K304" s="99"/>
      <c r="L304" s="99"/>
      <c r="M304" s="99"/>
      <c r="N304" s="99"/>
      <c r="R304" s="75"/>
      <c r="S304" s="75"/>
      <c r="T304" s="75"/>
      <c r="U304" s="75"/>
      <c r="V304" s="75"/>
      <c r="W304" s="75"/>
    </row>
    <row r="305" spans="1:23">
      <c r="A305" s="98"/>
      <c r="H305" s="99"/>
      <c r="I305" s="273"/>
      <c r="J305" s="99"/>
      <c r="K305" s="99"/>
      <c r="L305" s="99"/>
      <c r="M305" s="99"/>
      <c r="N305" s="99"/>
      <c r="R305" s="75"/>
      <c r="S305" s="75"/>
      <c r="T305" s="75"/>
      <c r="U305" s="75"/>
      <c r="V305" s="75"/>
      <c r="W305" s="75"/>
    </row>
    <row r="306" spans="1:23">
      <c r="A306" s="98"/>
      <c r="H306" s="99"/>
      <c r="I306" s="273"/>
      <c r="J306" s="99"/>
      <c r="K306" s="99"/>
      <c r="L306" s="99"/>
      <c r="M306" s="99"/>
      <c r="N306" s="99"/>
      <c r="R306" s="75"/>
      <c r="S306" s="75"/>
      <c r="T306" s="75"/>
      <c r="U306" s="75"/>
      <c r="V306" s="75"/>
      <c r="W306" s="75"/>
    </row>
    <row r="307" spans="1:23">
      <c r="A307" s="98"/>
      <c r="H307" s="99"/>
      <c r="I307" s="273"/>
      <c r="J307" s="99"/>
      <c r="K307" s="99"/>
      <c r="L307" s="99"/>
      <c r="M307" s="99"/>
      <c r="N307" s="99"/>
      <c r="R307" s="75"/>
      <c r="S307" s="75"/>
      <c r="T307" s="75"/>
      <c r="U307" s="75"/>
      <c r="V307" s="75"/>
      <c r="W307" s="75"/>
    </row>
    <row r="308" spans="1:23">
      <c r="A308" s="98"/>
      <c r="H308" s="99"/>
      <c r="I308" s="273"/>
      <c r="J308" s="99"/>
      <c r="K308" s="99"/>
      <c r="L308" s="99"/>
      <c r="M308" s="99"/>
      <c r="N308" s="99"/>
      <c r="R308" s="75"/>
      <c r="S308" s="75"/>
      <c r="T308" s="75"/>
      <c r="U308" s="75"/>
      <c r="V308" s="75"/>
      <c r="W308" s="75"/>
    </row>
    <row r="309" spans="1:23">
      <c r="A309" s="98"/>
      <c r="H309" s="99"/>
      <c r="I309" s="273"/>
      <c r="J309" s="99"/>
      <c r="K309" s="99"/>
      <c r="L309" s="99"/>
      <c r="M309" s="99"/>
      <c r="N309" s="99"/>
      <c r="R309" s="75"/>
      <c r="S309" s="75"/>
      <c r="T309" s="75"/>
      <c r="U309" s="75"/>
      <c r="V309" s="75"/>
      <c r="W309" s="75"/>
    </row>
    <row r="310" spans="1:23">
      <c r="A310" s="98"/>
      <c r="H310" s="99"/>
      <c r="I310" s="273"/>
      <c r="J310" s="99"/>
      <c r="K310" s="99"/>
      <c r="L310" s="99"/>
      <c r="M310" s="99"/>
      <c r="N310" s="99"/>
      <c r="R310" s="75"/>
      <c r="S310" s="75"/>
      <c r="T310" s="75"/>
      <c r="U310" s="75"/>
      <c r="V310" s="75"/>
      <c r="W310" s="75"/>
    </row>
    <row r="311" spans="1:23">
      <c r="A311" s="98"/>
      <c r="H311" s="99"/>
      <c r="I311" s="273"/>
      <c r="J311" s="99"/>
      <c r="K311" s="99"/>
      <c r="L311" s="99"/>
      <c r="M311" s="99"/>
      <c r="N311" s="99"/>
      <c r="R311" s="75"/>
      <c r="S311" s="75"/>
      <c r="T311" s="75"/>
      <c r="U311" s="75"/>
      <c r="V311" s="75"/>
      <c r="W311" s="75"/>
    </row>
    <row r="312" spans="1:23">
      <c r="A312" s="98"/>
      <c r="H312" s="99"/>
      <c r="I312" s="273"/>
      <c r="J312" s="99"/>
      <c r="K312" s="99"/>
      <c r="L312" s="99"/>
      <c r="M312" s="99"/>
      <c r="N312" s="99"/>
      <c r="R312" s="75"/>
      <c r="S312" s="75"/>
      <c r="T312" s="75"/>
      <c r="U312" s="75"/>
      <c r="V312" s="75"/>
      <c r="W312" s="75"/>
    </row>
    <row r="313" spans="1:23">
      <c r="A313" s="98"/>
      <c r="H313" s="99"/>
      <c r="I313" s="273"/>
      <c r="J313" s="99"/>
      <c r="K313" s="99"/>
      <c r="L313" s="99"/>
      <c r="M313" s="99"/>
      <c r="N313" s="99"/>
      <c r="R313" s="75"/>
      <c r="S313" s="75"/>
      <c r="T313" s="75"/>
      <c r="U313" s="75"/>
      <c r="V313" s="75"/>
      <c r="W313" s="75"/>
    </row>
    <row r="314" spans="1:23">
      <c r="A314" s="98"/>
      <c r="H314" s="99"/>
      <c r="I314" s="273"/>
      <c r="J314" s="99"/>
      <c r="K314" s="99"/>
      <c r="L314" s="99"/>
      <c r="M314" s="99"/>
      <c r="N314" s="99"/>
      <c r="R314" s="75"/>
      <c r="S314" s="75"/>
      <c r="T314" s="75"/>
      <c r="U314" s="75"/>
      <c r="V314" s="75"/>
      <c r="W314" s="75"/>
    </row>
    <row r="315" spans="1:23">
      <c r="A315" s="98"/>
      <c r="H315" s="99"/>
      <c r="I315" s="273"/>
      <c r="J315" s="99"/>
      <c r="K315" s="99"/>
      <c r="L315" s="99"/>
      <c r="M315" s="99"/>
      <c r="N315" s="99"/>
      <c r="R315" s="75"/>
      <c r="S315" s="75"/>
      <c r="T315" s="75"/>
      <c r="U315" s="75"/>
      <c r="V315" s="75"/>
      <c r="W315" s="75"/>
    </row>
    <row r="316" spans="1:23">
      <c r="A316" s="98"/>
      <c r="H316" s="99"/>
      <c r="I316" s="273"/>
      <c r="J316" s="99"/>
      <c r="K316" s="99"/>
      <c r="L316" s="99"/>
      <c r="M316" s="99"/>
      <c r="N316" s="99"/>
      <c r="R316" s="75"/>
      <c r="S316" s="75"/>
      <c r="T316" s="75"/>
      <c r="U316" s="75"/>
      <c r="V316" s="75"/>
      <c r="W316" s="75"/>
    </row>
    <row r="317" spans="1:23">
      <c r="A317" s="98"/>
      <c r="H317" s="99"/>
      <c r="I317" s="273"/>
      <c r="J317" s="99"/>
      <c r="K317" s="99"/>
      <c r="L317" s="99"/>
      <c r="M317" s="99"/>
      <c r="N317" s="99"/>
      <c r="R317" s="75"/>
      <c r="S317" s="75"/>
      <c r="T317" s="75"/>
      <c r="U317" s="75"/>
      <c r="V317" s="75"/>
      <c r="W317" s="75"/>
    </row>
    <row r="318" spans="1:23">
      <c r="A318" s="98"/>
      <c r="H318" s="99"/>
      <c r="I318" s="273"/>
      <c r="J318" s="99"/>
      <c r="K318" s="99"/>
      <c r="L318" s="99"/>
      <c r="M318" s="99"/>
      <c r="N318" s="99"/>
      <c r="R318" s="75"/>
      <c r="S318" s="75"/>
      <c r="T318" s="75"/>
      <c r="U318" s="75"/>
      <c r="V318" s="75"/>
      <c r="W318" s="75"/>
    </row>
    <row r="319" spans="1:23">
      <c r="A319" s="98"/>
      <c r="H319" s="99"/>
      <c r="I319" s="273"/>
      <c r="J319" s="99"/>
      <c r="K319" s="99"/>
      <c r="L319" s="99"/>
      <c r="M319" s="99"/>
      <c r="N319" s="99"/>
      <c r="R319" s="75"/>
      <c r="S319" s="75"/>
      <c r="T319" s="75"/>
      <c r="U319" s="75"/>
      <c r="V319" s="75"/>
      <c r="W319" s="75"/>
    </row>
    <row r="320" spans="1:23">
      <c r="A320" s="98"/>
      <c r="H320" s="99"/>
      <c r="I320" s="273"/>
      <c r="J320" s="99"/>
      <c r="K320" s="99"/>
      <c r="L320" s="99"/>
      <c r="M320" s="99"/>
      <c r="N320" s="99"/>
      <c r="R320" s="75"/>
      <c r="S320" s="75"/>
      <c r="T320" s="75"/>
      <c r="U320" s="75"/>
      <c r="V320" s="75"/>
      <c r="W320" s="75"/>
    </row>
    <row r="321" spans="1:23">
      <c r="A321" s="98"/>
      <c r="H321" s="99"/>
      <c r="I321" s="273"/>
      <c r="J321" s="99"/>
      <c r="K321" s="99"/>
      <c r="L321" s="99"/>
      <c r="M321" s="99"/>
      <c r="N321" s="99"/>
      <c r="R321" s="75"/>
      <c r="S321" s="75"/>
      <c r="T321" s="75"/>
      <c r="U321" s="75"/>
      <c r="V321" s="75"/>
      <c r="W321" s="75"/>
    </row>
    <row r="322" spans="1:23">
      <c r="A322" s="98"/>
      <c r="H322" s="99"/>
      <c r="I322" s="273"/>
      <c r="J322" s="99"/>
      <c r="K322" s="99"/>
      <c r="L322" s="99"/>
      <c r="M322" s="99"/>
      <c r="N322" s="99"/>
      <c r="R322" s="75"/>
      <c r="S322" s="75"/>
      <c r="T322" s="75"/>
      <c r="U322" s="75"/>
      <c r="V322" s="75"/>
      <c r="W322" s="75"/>
    </row>
    <row r="323" spans="1:23">
      <c r="A323" s="98"/>
      <c r="H323" s="99"/>
      <c r="I323" s="273"/>
      <c r="J323" s="99"/>
      <c r="K323" s="99"/>
      <c r="L323" s="99"/>
      <c r="M323" s="99"/>
      <c r="N323" s="99"/>
      <c r="R323" s="75"/>
      <c r="S323" s="75"/>
      <c r="T323" s="75"/>
      <c r="U323" s="75"/>
      <c r="V323" s="75"/>
      <c r="W323" s="75"/>
    </row>
    <row r="324" spans="1:23">
      <c r="A324" s="98"/>
      <c r="H324" s="99"/>
      <c r="I324" s="273"/>
      <c r="J324" s="99"/>
      <c r="K324" s="99"/>
      <c r="L324" s="99"/>
      <c r="M324" s="99"/>
      <c r="N324" s="99"/>
      <c r="R324" s="75"/>
      <c r="S324" s="75"/>
      <c r="T324" s="75"/>
      <c r="U324" s="75"/>
      <c r="V324" s="75"/>
      <c r="W324" s="75"/>
    </row>
    <row r="325" spans="1:23">
      <c r="A325" s="98"/>
      <c r="H325" s="99"/>
      <c r="I325" s="273"/>
      <c r="J325" s="99"/>
      <c r="K325" s="99"/>
      <c r="L325" s="99"/>
      <c r="M325" s="99"/>
      <c r="N325" s="99"/>
      <c r="R325" s="75"/>
      <c r="S325" s="75"/>
      <c r="T325" s="75"/>
      <c r="U325" s="75"/>
      <c r="V325" s="75"/>
      <c r="W325" s="75"/>
    </row>
    <row r="326" spans="1:23">
      <c r="A326" s="98"/>
      <c r="H326" s="99"/>
      <c r="I326" s="273"/>
      <c r="J326" s="99"/>
      <c r="K326" s="99"/>
      <c r="L326" s="99"/>
      <c r="M326" s="99"/>
      <c r="N326" s="99"/>
      <c r="R326" s="75"/>
      <c r="S326" s="75"/>
      <c r="T326" s="75"/>
      <c r="U326" s="75"/>
      <c r="V326" s="75"/>
      <c r="W326" s="75"/>
    </row>
    <row r="327" spans="1:23">
      <c r="A327" s="98"/>
      <c r="H327" s="99"/>
      <c r="I327" s="273"/>
      <c r="J327" s="99"/>
      <c r="K327" s="99"/>
      <c r="L327" s="99"/>
      <c r="M327" s="99"/>
      <c r="N327" s="99"/>
      <c r="R327" s="75"/>
      <c r="S327" s="75"/>
      <c r="T327" s="75"/>
      <c r="U327" s="75"/>
      <c r="V327" s="75"/>
      <c r="W327" s="75"/>
    </row>
    <row r="328" spans="1:23">
      <c r="A328" s="98"/>
      <c r="H328" s="99"/>
      <c r="I328" s="273"/>
      <c r="J328" s="99"/>
      <c r="K328" s="99"/>
      <c r="L328" s="99"/>
      <c r="M328" s="99"/>
      <c r="N328" s="99"/>
      <c r="R328" s="75"/>
      <c r="S328" s="75"/>
      <c r="T328" s="75"/>
      <c r="U328" s="75"/>
      <c r="V328" s="75"/>
      <c r="W328" s="75"/>
    </row>
    <row r="329" spans="1:23">
      <c r="A329" s="98"/>
      <c r="H329" s="99"/>
      <c r="I329" s="273"/>
      <c r="J329" s="99"/>
      <c r="K329" s="99"/>
      <c r="L329" s="99"/>
      <c r="M329" s="99"/>
      <c r="N329" s="99"/>
      <c r="R329" s="75"/>
      <c r="S329" s="75"/>
      <c r="T329" s="75"/>
      <c r="U329" s="75"/>
      <c r="V329" s="75"/>
      <c r="W329" s="75"/>
    </row>
    <row r="330" spans="1:23">
      <c r="A330" s="98"/>
      <c r="H330" s="99"/>
      <c r="I330" s="273"/>
      <c r="J330" s="99"/>
      <c r="K330" s="99"/>
      <c r="L330" s="99"/>
      <c r="M330" s="99"/>
      <c r="N330" s="99"/>
      <c r="R330" s="75"/>
      <c r="S330" s="75"/>
      <c r="T330" s="75"/>
      <c r="U330" s="75"/>
      <c r="V330" s="75"/>
      <c r="W330" s="75"/>
    </row>
    <row r="331" spans="1:23">
      <c r="A331" s="98"/>
      <c r="H331" s="99"/>
      <c r="I331" s="273"/>
      <c r="J331" s="99"/>
      <c r="K331" s="99"/>
      <c r="L331" s="99"/>
      <c r="M331" s="99"/>
      <c r="N331" s="99"/>
      <c r="R331" s="75"/>
      <c r="S331" s="75"/>
      <c r="T331" s="75"/>
      <c r="U331" s="75"/>
      <c r="V331" s="75"/>
      <c r="W331" s="75"/>
    </row>
    <row r="332" spans="1:23">
      <c r="A332" s="98"/>
      <c r="H332" s="99"/>
      <c r="I332" s="273"/>
      <c r="J332" s="99"/>
      <c r="K332" s="99"/>
      <c r="L332" s="99"/>
      <c r="M332" s="99"/>
      <c r="N332" s="99"/>
      <c r="R332" s="75"/>
      <c r="S332" s="75"/>
      <c r="T332" s="75"/>
      <c r="U332" s="75"/>
      <c r="V332" s="75"/>
      <c r="W332" s="75"/>
    </row>
    <row r="333" spans="1:23">
      <c r="A333" s="98"/>
      <c r="H333" s="99"/>
      <c r="I333" s="273"/>
      <c r="J333" s="99"/>
      <c r="K333" s="99"/>
      <c r="L333" s="99"/>
      <c r="M333" s="99"/>
      <c r="N333" s="99"/>
      <c r="R333" s="75"/>
      <c r="S333" s="75"/>
      <c r="T333" s="75"/>
      <c r="U333" s="75"/>
      <c r="V333" s="75"/>
      <c r="W333" s="75"/>
    </row>
    <row r="334" spans="1:23">
      <c r="A334" s="98"/>
      <c r="H334" s="99"/>
      <c r="I334" s="273"/>
      <c r="J334" s="99"/>
      <c r="K334" s="99"/>
      <c r="L334" s="99"/>
      <c r="M334" s="99"/>
      <c r="N334" s="99"/>
      <c r="R334" s="75"/>
      <c r="S334" s="75"/>
      <c r="T334" s="75"/>
      <c r="U334" s="75"/>
      <c r="V334" s="75"/>
      <c r="W334" s="75"/>
    </row>
    <row r="335" spans="1:23">
      <c r="A335" s="98"/>
      <c r="H335" s="99"/>
      <c r="I335" s="273"/>
      <c r="J335" s="99"/>
      <c r="K335" s="99"/>
      <c r="L335" s="99"/>
      <c r="M335" s="99"/>
      <c r="N335" s="99"/>
      <c r="R335" s="75"/>
      <c r="S335" s="75"/>
      <c r="T335" s="75"/>
      <c r="U335" s="75"/>
      <c r="V335" s="75"/>
      <c r="W335" s="75"/>
    </row>
    <row r="336" spans="1:23">
      <c r="A336" s="98"/>
      <c r="H336" s="99"/>
      <c r="I336" s="273"/>
      <c r="J336" s="99"/>
      <c r="K336" s="99"/>
      <c r="L336" s="99"/>
      <c r="M336" s="99"/>
      <c r="N336" s="99"/>
      <c r="R336" s="75"/>
      <c r="S336" s="75"/>
      <c r="T336" s="75"/>
      <c r="U336" s="75"/>
      <c r="V336" s="75"/>
      <c r="W336" s="75"/>
    </row>
    <row r="337" spans="1:23">
      <c r="A337" s="98"/>
      <c r="H337" s="99"/>
      <c r="I337" s="273"/>
      <c r="J337" s="99"/>
      <c r="K337" s="99"/>
      <c r="L337" s="99"/>
      <c r="M337" s="99"/>
      <c r="N337" s="99"/>
      <c r="R337" s="75"/>
      <c r="S337" s="75"/>
      <c r="T337" s="75"/>
      <c r="U337" s="75"/>
      <c r="V337" s="75"/>
      <c r="W337" s="75"/>
    </row>
    <row r="338" spans="1:23">
      <c r="A338" s="98"/>
      <c r="H338" s="99"/>
      <c r="I338" s="273"/>
      <c r="J338" s="99"/>
      <c r="K338" s="99"/>
      <c r="L338" s="99"/>
      <c r="M338" s="99"/>
      <c r="N338" s="99"/>
      <c r="R338" s="75"/>
      <c r="S338" s="75"/>
      <c r="T338" s="75"/>
      <c r="U338" s="75"/>
      <c r="V338" s="75"/>
      <c r="W338" s="75"/>
    </row>
    <row r="339" spans="1:23">
      <c r="A339" s="98"/>
      <c r="H339" s="99"/>
      <c r="I339" s="273"/>
      <c r="J339" s="99"/>
      <c r="K339" s="99"/>
      <c r="L339" s="99"/>
      <c r="M339" s="99"/>
      <c r="N339" s="99"/>
      <c r="R339" s="75"/>
      <c r="S339" s="75"/>
      <c r="T339" s="75"/>
      <c r="U339" s="75"/>
      <c r="V339" s="75"/>
      <c r="W339" s="75"/>
    </row>
    <row r="340" spans="1:23">
      <c r="A340" s="98"/>
      <c r="H340" s="99"/>
      <c r="I340" s="273"/>
      <c r="J340" s="99"/>
      <c r="K340" s="99"/>
      <c r="L340" s="99"/>
      <c r="M340" s="99"/>
      <c r="N340" s="99"/>
      <c r="R340" s="75"/>
      <c r="S340" s="75"/>
      <c r="T340" s="75"/>
      <c r="U340" s="75"/>
      <c r="V340" s="75"/>
      <c r="W340" s="75"/>
    </row>
    <row r="341" spans="1:23">
      <c r="A341" s="98"/>
      <c r="H341" s="99"/>
      <c r="I341" s="273"/>
      <c r="J341" s="99"/>
      <c r="K341" s="99"/>
      <c r="L341" s="99"/>
      <c r="M341" s="99"/>
      <c r="N341" s="99"/>
      <c r="R341" s="75"/>
      <c r="S341" s="75"/>
      <c r="T341" s="75"/>
      <c r="U341" s="75"/>
      <c r="V341" s="75"/>
      <c r="W341" s="75"/>
    </row>
    <row r="342" spans="1:23">
      <c r="A342" s="98"/>
      <c r="H342" s="99"/>
      <c r="I342" s="273"/>
      <c r="J342" s="99"/>
      <c r="K342" s="99"/>
      <c r="L342" s="99"/>
      <c r="M342" s="99"/>
      <c r="N342" s="99"/>
      <c r="R342" s="75"/>
      <c r="S342" s="75"/>
      <c r="T342" s="75"/>
      <c r="U342" s="75"/>
      <c r="V342" s="75"/>
      <c r="W342" s="75"/>
    </row>
    <row r="343" spans="1:23">
      <c r="A343" s="98"/>
      <c r="H343" s="99"/>
      <c r="I343" s="273"/>
      <c r="J343" s="99"/>
      <c r="K343" s="99"/>
      <c r="L343" s="99"/>
      <c r="M343" s="99"/>
      <c r="N343" s="99"/>
      <c r="R343" s="75"/>
      <c r="S343" s="75"/>
      <c r="T343" s="75"/>
      <c r="U343" s="75"/>
      <c r="V343" s="75"/>
      <c r="W343" s="75"/>
    </row>
    <row r="344" spans="1:23">
      <c r="A344" s="98"/>
      <c r="H344" s="99"/>
      <c r="I344" s="273"/>
      <c r="J344" s="99"/>
      <c r="K344" s="99"/>
      <c r="L344" s="99"/>
      <c r="M344" s="99"/>
      <c r="N344" s="99"/>
      <c r="R344" s="75"/>
      <c r="S344" s="75"/>
      <c r="T344" s="75"/>
      <c r="U344" s="75"/>
      <c r="V344" s="75"/>
      <c r="W344" s="75"/>
    </row>
    <row r="345" spans="1:23">
      <c r="A345" s="98"/>
      <c r="H345" s="99"/>
      <c r="I345" s="273"/>
      <c r="J345" s="99"/>
      <c r="K345" s="99"/>
      <c r="L345" s="99"/>
      <c r="M345" s="99"/>
      <c r="N345" s="99"/>
      <c r="R345" s="75"/>
      <c r="S345" s="75"/>
      <c r="T345" s="75"/>
      <c r="U345" s="75"/>
      <c r="V345" s="75"/>
      <c r="W345" s="75"/>
    </row>
    <row r="346" spans="1:23">
      <c r="A346" s="98"/>
      <c r="H346" s="99"/>
      <c r="I346" s="273"/>
      <c r="J346" s="99"/>
      <c r="K346" s="99"/>
      <c r="L346" s="99"/>
      <c r="M346" s="99"/>
      <c r="N346" s="99"/>
      <c r="R346" s="75"/>
      <c r="S346" s="75"/>
      <c r="T346" s="75"/>
      <c r="U346" s="75"/>
      <c r="V346" s="75"/>
      <c r="W346" s="75"/>
    </row>
    <row r="347" spans="1:23">
      <c r="A347" s="98"/>
      <c r="H347" s="99"/>
      <c r="I347" s="273"/>
      <c r="J347" s="99"/>
      <c r="K347" s="99"/>
      <c r="L347" s="99"/>
      <c r="M347" s="99"/>
      <c r="N347" s="99"/>
      <c r="R347" s="75"/>
      <c r="S347" s="75"/>
      <c r="T347" s="75"/>
      <c r="U347" s="75"/>
      <c r="V347" s="75"/>
      <c r="W347" s="75"/>
    </row>
    <row r="348" spans="1:23">
      <c r="A348" s="98"/>
      <c r="H348" s="99"/>
      <c r="I348" s="273"/>
      <c r="J348" s="99"/>
      <c r="K348" s="99"/>
      <c r="L348" s="99"/>
      <c r="M348" s="99"/>
      <c r="N348" s="99"/>
      <c r="R348" s="75"/>
      <c r="S348" s="75"/>
      <c r="T348" s="75"/>
      <c r="U348" s="75"/>
      <c r="V348" s="75"/>
      <c r="W348" s="75"/>
    </row>
    <row r="349" spans="1:23">
      <c r="A349" s="98"/>
      <c r="H349" s="99"/>
      <c r="I349" s="273"/>
      <c r="J349" s="99"/>
      <c r="K349" s="99"/>
      <c r="L349" s="99"/>
      <c r="M349" s="99"/>
      <c r="N349" s="99"/>
      <c r="R349" s="75"/>
      <c r="S349" s="75"/>
      <c r="T349" s="75"/>
      <c r="U349" s="75"/>
      <c r="V349" s="75"/>
      <c r="W349" s="75"/>
    </row>
    <row r="350" spans="1:23">
      <c r="A350" s="98"/>
      <c r="H350" s="99"/>
      <c r="I350" s="273"/>
      <c r="J350" s="99"/>
      <c r="K350" s="99"/>
      <c r="L350" s="99"/>
      <c r="M350" s="99"/>
      <c r="N350" s="99"/>
      <c r="R350" s="75"/>
      <c r="S350" s="75"/>
      <c r="T350" s="75"/>
      <c r="U350" s="75"/>
      <c r="V350" s="75"/>
      <c r="W350" s="75"/>
    </row>
    <row r="351" spans="1:23">
      <c r="A351" s="98"/>
      <c r="H351" s="99"/>
      <c r="I351" s="273"/>
      <c r="J351" s="99"/>
      <c r="K351" s="99"/>
      <c r="L351" s="99"/>
      <c r="M351" s="99"/>
      <c r="N351" s="99"/>
      <c r="R351" s="75"/>
      <c r="S351" s="75"/>
      <c r="T351" s="75"/>
      <c r="U351" s="75"/>
      <c r="V351" s="75"/>
      <c r="W351" s="75"/>
    </row>
    <row r="352" spans="1:23">
      <c r="A352" s="98"/>
      <c r="H352" s="99"/>
      <c r="I352" s="273"/>
      <c r="J352" s="99"/>
      <c r="K352" s="99"/>
      <c r="L352" s="99"/>
      <c r="M352" s="99"/>
      <c r="N352" s="99"/>
      <c r="R352" s="75"/>
      <c r="S352" s="75"/>
      <c r="T352" s="75"/>
      <c r="U352" s="75"/>
      <c r="V352" s="75"/>
      <c r="W352" s="75"/>
    </row>
    <row r="353" spans="1:23">
      <c r="A353" s="98"/>
      <c r="H353" s="99"/>
      <c r="I353" s="273"/>
      <c r="J353" s="99"/>
      <c r="K353" s="99"/>
      <c r="L353" s="99"/>
      <c r="M353" s="99"/>
      <c r="N353" s="99"/>
      <c r="R353" s="75"/>
      <c r="S353" s="75"/>
      <c r="T353" s="75"/>
      <c r="U353" s="75"/>
      <c r="V353" s="75"/>
      <c r="W353" s="75"/>
    </row>
    <row r="354" spans="1:23">
      <c r="A354" s="98"/>
      <c r="H354" s="99"/>
      <c r="I354" s="273"/>
      <c r="J354" s="99"/>
      <c r="K354" s="99"/>
      <c r="L354" s="99"/>
      <c r="M354" s="99"/>
      <c r="N354" s="99"/>
      <c r="R354" s="75"/>
      <c r="S354" s="75"/>
      <c r="T354" s="75"/>
      <c r="U354" s="75"/>
      <c r="V354" s="75"/>
      <c r="W354" s="75"/>
    </row>
    <row r="355" spans="1:23">
      <c r="A355" s="98"/>
      <c r="H355" s="99"/>
      <c r="I355" s="273"/>
      <c r="J355" s="99"/>
      <c r="K355" s="99"/>
      <c r="L355" s="99"/>
      <c r="M355" s="99"/>
      <c r="N355" s="99"/>
      <c r="R355" s="75"/>
      <c r="S355" s="75"/>
      <c r="T355" s="75"/>
      <c r="U355" s="75"/>
      <c r="V355" s="75"/>
      <c r="W355" s="75"/>
    </row>
    <row r="356" spans="1:23">
      <c r="A356" s="98"/>
      <c r="H356" s="99"/>
      <c r="I356" s="273"/>
      <c r="J356" s="99"/>
      <c r="K356" s="99"/>
      <c r="L356" s="99"/>
      <c r="M356" s="99"/>
      <c r="N356" s="99"/>
      <c r="R356" s="75"/>
      <c r="S356" s="75"/>
      <c r="T356" s="75"/>
      <c r="U356" s="75"/>
      <c r="V356" s="75"/>
      <c r="W356" s="75"/>
    </row>
    <row r="357" spans="1:23">
      <c r="A357" s="98"/>
      <c r="H357" s="99"/>
      <c r="I357" s="273"/>
      <c r="J357" s="99"/>
      <c r="K357" s="99"/>
      <c r="L357" s="99"/>
      <c r="M357" s="99"/>
      <c r="N357" s="99"/>
      <c r="R357" s="75"/>
      <c r="S357" s="75"/>
      <c r="T357" s="75"/>
      <c r="U357" s="75"/>
      <c r="V357" s="75"/>
      <c r="W357" s="75"/>
    </row>
    <row r="358" spans="1:23">
      <c r="A358" s="98"/>
      <c r="H358" s="99"/>
      <c r="I358" s="273"/>
      <c r="J358" s="99"/>
      <c r="K358" s="99"/>
      <c r="L358" s="99"/>
      <c r="M358" s="99"/>
      <c r="N358" s="99"/>
      <c r="R358" s="75"/>
      <c r="S358" s="75"/>
      <c r="T358" s="75"/>
      <c r="U358" s="75"/>
      <c r="V358" s="75"/>
      <c r="W358" s="75"/>
    </row>
    <row r="359" spans="1:23">
      <c r="A359" s="98"/>
      <c r="H359" s="99"/>
      <c r="I359" s="273"/>
      <c r="J359" s="99"/>
      <c r="K359" s="99"/>
      <c r="L359" s="99"/>
      <c r="M359" s="99"/>
      <c r="N359" s="99"/>
      <c r="R359" s="75"/>
      <c r="S359" s="75"/>
      <c r="T359" s="75"/>
      <c r="U359" s="75"/>
      <c r="V359" s="75"/>
      <c r="W359" s="75"/>
    </row>
    <row r="360" spans="1:23">
      <c r="A360" s="98"/>
      <c r="H360" s="99"/>
      <c r="I360" s="273"/>
      <c r="J360" s="99"/>
      <c r="K360" s="99"/>
      <c r="L360" s="99"/>
      <c r="M360" s="99"/>
      <c r="N360" s="99"/>
      <c r="R360" s="75"/>
      <c r="S360" s="75"/>
      <c r="T360" s="75"/>
      <c r="U360" s="75"/>
      <c r="V360" s="75"/>
      <c r="W360" s="75"/>
    </row>
    <row r="361" spans="1:23">
      <c r="A361" s="98"/>
      <c r="H361" s="99"/>
      <c r="I361" s="273"/>
      <c r="J361" s="99"/>
      <c r="K361" s="99"/>
      <c r="L361" s="99"/>
      <c r="M361" s="99"/>
      <c r="N361" s="99"/>
      <c r="R361" s="75"/>
      <c r="S361" s="75"/>
      <c r="T361" s="75"/>
      <c r="U361" s="75"/>
      <c r="V361" s="75"/>
      <c r="W361" s="75"/>
    </row>
    <row r="362" spans="1:23">
      <c r="A362" s="98"/>
      <c r="H362" s="99"/>
      <c r="I362" s="273"/>
      <c r="J362" s="99"/>
      <c r="K362" s="99"/>
      <c r="L362" s="99"/>
      <c r="M362" s="99"/>
      <c r="N362" s="99"/>
      <c r="R362" s="75"/>
      <c r="S362" s="75"/>
      <c r="T362" s="75"/>
      <c r="U362" s="75"/>
      <c r="V362" s="75"/>
      <c r="W362" s="75"/>
    </row>
    <row r="363" spans="1:23">
      <c r="A363" s="98"/>
      <c r="H363" s="99"/>
      <c r="I363" s="273"/>
      <c r="J363" s="99"/>
      <c r="K363" s="99"/>
      <c r="L363" s="99"/>
      <c r="M363" s="99"/>
      <c r="N363" s="99"/>
      <c r="R363" s="75"/>
      <c r="S363" s="75"/>
      <c r="T363" s="75"/>
      <c r="U363" s="75"/>
      <c r="V363" s="75"/>
      <c r="W363" s="75"/>
    </row>
    <row r="364" spans="1:23">
      <c r="A364" s="98"/>
      <c r="H364" s="99"/>
      <c r="I364" s="273"/>
      <c r="J364" s="99"/>
      <c r="K364" s="99"/>
      <c r="L364" s="99"/>
      <c r="M364" s="99"/>
      <c r="N364" s="99"/>
      <c r="R364" s="75"/>
      <c r="S364" s="75"/>
      <c r="T364" s="75"/>
      <c r="U364" s="75"/>
      <c r="V364" s="75"/>
      <c r="W364" s="75"/>
    </row>
    <row r="365" spans="1:23">
      <c r="A365" s="98"/>
      <c r="H365" s="99"/>
      <c r="I365" s="273"/>
      <c r="J365" s="99"/>
      <c r="K365" s="99"/>
      <c r="L365" s="99"/>
      <c r="M365" s="99"/>
      <c r="N365" s="99"/>
      <c r="R365" s="75"/>
      <c r="S365" s="75"/>
      <c r="T365" s="75"/>
      <c r="U365" s="75"/>
      <c r="V365" s="75"/>
      <c r="W365" s="75"/>
    </row>
    <row r="366" spans="1:23">
      <c r="A366" s="98"/>
      <c r="H366" s="99"/>
      <c r="I366" s="273"/>
      <c r="J366" s="99"/>
      <c r="K366" s="99"/>
      <c r="L366" s="99"/>
      <c r="M366" s="99"/>
      <c r="N366" s="99"/>
      <c r="R366" s="75"/>
      <c r="S366" s="75"/>
      <c r="T366" s="75"/>
      <c r="U366" s="75"/>
      <c r="V366" s="75"/>
      <c r="W366" s="75"/>
    </row>
    <row r="367" spans="1:23">
      <c r="A367" s="98"/>
      <c r="H367" s="99"/>
      <c r="I367" s="273"/>
      <c r="J367" s="99"/>
      <c r="K367" s="99"/>
      <c r="L367" s="99"/>
      <c r="M367" s="99"/>
      <c r="N367" s="99"/>
      <c r="R367" s="75"/>
      <c r="S367" s="75"/>
      <c r="T367" s="75"/>
      <c r="U367" s="75"/>
      <c r="V367" s="75"/>
      <c r="W367" s="75"/>
    </row>
    <row r="368" spans="1:23">
      <c r="A368" s="98"/>
      <c r="H368" s="99"/>
      <c r="I368" s="273"/>
      <c r="J368" s="99"/>
      <c r="K368" s="99"/>
      <c r="L368" s="99"/>
      <c r="M368" s="99"/>
      <c r="N368" s="99"/>
      <c r="R368" s="75"/>
      <c r="S368" s="75"/>
      <c r="T368" s="75"/>
      <c r="U368" s="75"/>
      <c r="V368" s="75"/>
      <c r="W368" s="75"/>
    </row>
    <row r="369" spans="1:23">
      <c r="A369" s="98"/>
      <c r="H369" s="99"/>
      <c r="I369" s="273"/>
      <c r="J369" s="99"/>
      <c r="K369" s="99"/>
      <c r="L369" s="99"/>
      <c r="M369" s="99"/>
      <c r="N369" s="99"/>
      <c r="R369" s="75"/>
      <c r="S369" s="75"/>
      <c r="T369" s="75"/>
      <c r="U369" s="75"/>
      <c r="V369" s="75"/>
      <c r="W369" s="75"/>
    </row>
    <row r="370" spans="1:23">
      <c r="A370" s="98"/>
      <c r="H370" s="99"/>
      <c r="I370" s="273"/>
      <c r="J370" s="99"/>
      <c r="K370" s="99"/>
      <c r="L370" s="99"/>
      <c r="M370" s="99"/>
      <c r="N370" s="99"/>
      <c r="R370" s="75"/>
      <c r="S370" s="75"/>
      <c r="T370" s="75"/>
      <c r="U370" s="75"/>
      <c r="V370" s="75"/>
      <c r="W370" s="75"/>
    </row>
    <row r="371" spans="1:23">
      <c r="A371" s="98"/>
      <c r="H371" s="99"/>
      <c r="I371" s="273"/>
      <c r="J371" s="99"/>
      <c r="K371" s="99"/>
      <c r="L371" s="99"/>
      <c r="M371" s="99"/>
      <c r="N371" s="99"/>
      <c r="R371" s="75"/>
      <c r="S371" s="75"/>
      <c r="T371" s="75"/>
      <c r="U371" s="75"/>
      <c r="V371" s="75"/>
      <c r="W371" s="75"/>
    </row>
    <row r="372" spans="1:23">
      <c r="A372" s="98"/>
      <c r="H372" s="99"/>
      <c r="I372" s="273"/>
      <c r="J372" s="99"/>
      <c r="K372" s="99"/>
      <c r="L372" s="99"/>
      <c r="M372" s="99"/>
      <c r="N372" s="99"/>
      <c r="R372" s="75"/>
      <c r="S372" s="75"/>
      <c r="T372" s="75"/>
      <c r="U372" s="75"/>
      <c r="V372" s="75"/>
      <c r="W372" s="75"/>
    </row>
    <row r="373" spans="1:23">
      <c r="A373" s="98"/>
      <c r="H373" s="99"/>
      <c r="I373" s="273"/>
      <c r="J373" s="99"/>
      <c r="K373" s="99"/>
      <c r="L373" s="99"/>
      <c r="M373" s="99"/>
      <c r="N373" s="99"/>
      <c r="R373" s="75"/>
      <c r="S373" s="75"/>
      <c r="T373" s="75"/>
      <c r="U373" s="75"/>
      <c r="V373" s="75"/>
      <c r="W373" s="75"/>
    </row>
    <row r="374" spans="1:23" ht="13.5" customHeight="1">
      <c r="A374" s="98"/>
      <c r="H374" s="99"/>
      <c r="I374" s="273"/>
      <c r="J374" s="99"/>
      <c r="K374" s="99"/>
      <c r="L374" s="99"/>
      <c r="M374" s="99"/>
      <c r="N374" s="99"/>
      <c r="R374" s="75"/>
      <c r="S374" s="75"/>
      <c r="T374" s="75"/>
      <c r="U374" s="75"/>
      <c r="V374" s="75"/>
      <c r="W374" s="75"/>
    </row>
    <row r="375" spans="1:23">
      <c r="A375" s="98"/>
      <c r="H375" s="99"/>
      <c r="I375" s="273"/>
      <c r="J375" s="99"/>
      <c r="K375" s="99"/>
      <c r="L375" s="99"/>
      <c r="M375" s="99"/>
      <c r="N375" s="99"/>
      <c r="R375" s="75"/>
      <c r="S375" s="75"/>
      <c r="T375" s="75"/>
      <c r="U375" s="75"/>
      <c r="V375" s="75"/>
      <c r="W375" s="75"/>
    </row>
    <row r="376" spans="1:23">
      <c r="A376" s="98"/>
      <c r="H376" s="99"/>
      <c r="I376" s="273"/>
      <c r="J376" s="99"/>
      <c r="K376" s="99"/>
      <c r="L376" s="99"/>
      <c r="M376" s="99"/>
      <c r="N376" s="99"/>
      <c r="R376" s="75"/>
      <c r="S376" s="75"/>
      <c r="T376" s="75"/>
      <c r="U376" s="75"/>
      <c r="V376" s="75"/>
      <c r="W376" s="75"/>
    </row>
    <row r="377" spans="1:23">
      <c r="A377" s="98"/>
      <c r="H377" s="99"/>
      <c r="I377" s="273"/>
      <c r="J377" s="99"/>
      <c r="K377" s="99"/>
      <c r="L377" s="99"/>
      <c r="M377" s="99"/>
      <c r="N377" s="99"/>
      <c r="R377" s="75"/>
      <c r="S377" s="75"/>
      <c r="T377" s="75"/>
      <c r="U377" s="75"/>
      <c r="V377" s="75"/>
      <c r="W377" s="75"/>
    </row>
    <row r="378" spans="1:23">
      <c r="A378" s="98"/>
      <c r="H378" s="99"/>
      <c r="I378" s="273"/>
      <c r="J378" s="99"/>
      <c r="K378" s="99"/>
      <c r="L378" s="99"/>
      <c r="M378" s="99"/>
      <c r="N378" s="99"/>
      <c r="R378" s="75"/>
      <c r="S378" s="75"/>
      <c r="T378" s="75"/>
      <c r="U378" s="75"/>
      <c r="V378" s="75"/>
      <c r="W378" s="75"/>
    </row>
    <row r="379" spans="1:23">
      <c r="A379" s="98"/>
      <c r="H379" s="99"/>
      <c r="I379" s="273"/>
      <c r="J379" s="99"/>
      <c r="K379" s="99"/>
      <c r="L379" s="99"/>
      <c r="M379" s="99"/>
      <c r="N379" s="99"/>
      <c r="R379" s="75"/>
      <c r="S379" s="75"/>
      <c r="T379" s="75"/>
      <c r="U379" s="75"/>
      <c r="V379" s="75"/>
      <c r="W379" s="75"/>
    </row>
    <row r="380" spans="1:23">
      <c r="A380" s="98"/>
      <c r="H380" s="99"/>
      <c r="I380" s="273"/>
      <c r="J380" s="99"/>
      <c r="K380" s="99"/>
      <c r="L380" s="99"/>
      <c r="M380" s="99"/>
      <c r="N380" s="99"/>
      <c r="R380" s="75"/>
      <c r="S380" s="75"/>
      <c r="T380" s="75"/>
      <c r="U380" s="75"/>
      <c r="V380" s="75"/>
      <c r="W380" s="75"/>
    </row>
    <row r="381" spans="1:23">
      <c r="A381" s="98"/>
      <c r="H381" s="99"/>
      <c r="I381" s="273"/>
      <c r="J381" s="99"/>
      <c r="K381" s="99"/>
      <c r="L381" s="99"/>
      <c r="M381" s="99"/>
      <c r="N381" s="99"/>
      <c r="R381" s="75"/>
      <c r="S381" s="75"/>
      <c r="T381" s="75"/>
      <c r="U381" s="75"/>
      <c r="V381" s="75"/>
      <c r="W381" s="75"/>
    </row>
    <row r="382" spans="1:23">
      <c r="A382" s="98"/>
      <c r="H382" s="99"/>
      <c r="I382" s="273"/>
      <c r="J382" s="99"/>
      <c r="K382" s="99"/>
      <c r="L382" s="99"/>
      <c r="M382" s="99"/>
      <c r="N382" s="99"/>
      <c r="R382" s="75"/>
      <c r="S382" s="75"/>
      <c r="T382" s="75"/>
      <c r="U382" s="75"/>
      <c r="V382" s="75"/>
      <c r="W382" s="75"/>
    </row>
    <row r="383" spans="1:23">
      <c r="A383" s="98"/>
      <c r="H383" s="99"/>
      <c r="I383" s="273"/>
      <c r="J383" s="99"/>
      <c r="K383" s="99"/>
      <c r="L383" s="99"/>
      <c r="M383" s="99"/>
      <c r="N383" s="99"/>
      <c r="R383" s="75"/>
      <c r="S383" s="75"/>
      <c r="T383" s="75"/>
      <c r="U383" s="75"/>
      <c r="V383" s="75"/>
      <c r="W383" s="75"/>
    </row>
    <row r="384" spans="1:23">
      <c r="A384" s="98"/>
      <c r="H384" s="99"/>
      <c r="I384" s="273"/>
      <c r="J384" s="99"/>
      <c r="K384" s="99"/>
      <c r="L384" s="99"/>
      <c r="M384" s="99"/>
      <c r="N384" s="99"/>
      <c r="R384" s="75"/>
      <c r="S384" s="75"/>
      <c r="T384" s="75"/>
      <c r="U384" s="75"/>
      <c r="V384" s="75"/>
      <c r="W384" s="75"/>
    </row>
    <row r="385" spans="1:23">
      <c r="A385" s="98"/>
      <c r="H385" s="99"/>
      <c r="I385" s="273"/>
      <c r="J385" s="99"/>
      <c r="K385" s="99"/>
      <c r="L385" s="99"/>
      <c r="M385" s="99"/>
      <c r="N385" s="99"/>
      <c r="R385" s="75"/>
      <c r="S385" s="75"/>
      <c r="T385" s="75"/>
      <c r="U385" s="75"/>
      <c r="V385" s="75"/>
      <c r="W385" s="75"/>
    </row>
    <row r="386" spans="1:23">
      <c r="A386" s="98"/>
      <c r="H386" s="99"/>
      <c r="I386" s="273"/>
      <c r="J386" s="99"/>
      <c r="K386" s="99"/>
      <c r="L386" s="99"/>
      <c r="M386" s="99"/>
      <c r="N386" s="99"/>
      <c r="R386" s="75"/>
      <c r="S386" s="75"/>
      <c r="T386" s="75"/>
      <c r="U386" s="75"/>
      <c r="V386" s="75"/>
      <c r="W386" s="75"/>
    </row>
    <row r="387" spans="1:23">
      <c r="A387" s="98"/>
      <c r="H387" s="99"/>
      <c r="I387" s="273"/>
      <c r="J387" s="99"/>
      <c r="K387" s="99"/>
      <c r="L387" s="99"/>
      <c r="M387" s="99"/>
      <c r="N387" s="99"/>
      <c r="R387" s="75"/>
      <c r="S387" s="75"/>
      <c r="T387" s="75"/>
      <c r="U387" s="75"/>
      <c r="V387" s="75"/>
      <c r="W387" s="75"/>
    </row>
    <row r="388" spans="1:23">
      <c r="A388" s="98"/>
      <c r="H388" s="99"/>
      <c r="I388" s="273"/>
      <c r="J388" s="99"/>
      <c r="K388" s="99"/>
      <c r="L388" s="99"/>
      <c r="M388" s="99"/>
      <c r="N388" s="99"/>
      <c r="R388" s="75"/>
      <c r="S388" s="75"/>
      <c r="T388" s="75"/>
      <c r="U388" s="75"/>
      <c r="V388" s="75"/>
      <c r="W388" s="75"/>
    </row>
    <row r="389" spans="1:23">
      <c r="A389" s="98"/>
      <c r="H389" s="99"/>
      <c r="I389" s="273"/>
      <c r="J389" s="99"/>
      <c r="K389" s="99"/>
      <c r="L389" s="99"/>
      <c r="M389" s="99"/>
      <c r="N389" s="99"/>
      <c r="R389" s="75"/>
      <c r="S389" s="75"/>
      <c r="T389" s="75"/>
      <c r="U389" s="75"/>
      <c r="V389" s="75"/>
      <c r="W389" s="75"/>
    </row>
    <row r="390" spans="1:23">
      <c r="A390" s="98"/>
      <c r="H390" s="99"/>
      <c r="I390" s="273"/>
      <c r="J390" s="99"/>
      <c r="K390" s="99"/>
      <c r="L390" s="99"/>
      <c r="M390" s="99"/>
      <c r="N390" s="99"/>
      <c r="R390" s="75"/>
      <c r="S390" s="75"/>
      <c r="T390" s="75"/>
      <c r="U390" s="75"/>
      <c r="V390" s="75"/>
      <c r="W390" s="75"/>
    </row>
    <row r="391" spans="1:23">
      <c r="A391" s="98"/>
      <c r="H391" s="99"/>
      <c r="I391" s="273"/>
      <c r="J391" s="99"/>
      <c r="K391" s="99"/>
      <c r="L391" s="99"/>
      <c r="M391" s="99"/>
      <c r="N391" s="99"/>
      <c r="R391" s="75"/>
      <c r="S391" s="75"/>
      <c r="T391" s="75"/>
      <c r="U391" s="75"/>
      <c r="V391" s="75"/>
      <c r="W391" s="75"/>
    </row>
    <row r="392" spans="1:23">
      <c r="A392" s="98"/>
      <c r="H392" s="99"/>
      <c r="I392" s="273"/>
      <c r="J392" s="99"/>
      <c r="K392" s="99"/>
      <c r="L392" s="99"/>
      <c r="M392" s="99"/>
      <c r="N392" s="99"/>
      <c r="R392" s="75"/>
      <c r="S392" s="75"/>
      <c r="T392" s="75"/>
      <c r="U392" s="75"/>
      <c r="V392" s="75"/>
      <c r="W392" s="75"/>
    </row>
    <row r="393" spans="1:23">
      <c r="A393" s="98"/>
      <c r="H393" s="99"/>
      <c r="I393" s="273"/>
      <c r="J393" s="99"/>
      <c r="K393" s="99"/>
      <c r="L393" s="99"/>
      <c r="M393" s="99"/>
      <c r="N393" s="99"/>
      <c r="R393" s="75"/>
      <c r="S393" s="75"/>
      <c r="T393" s="75"/>
      <c r="U393" s="75"/>
      <c r="V393" s="75"/>
      <c r="W393" s="75"/>
    </row>
    <row r="394" spans="1:23">
      <c r="A394" s="98"/>
      <c r="H394" s="99"/>
      <c r="I394" s="273"/>
      <c r="J394" s="99"/>
      <c r="K394" s="99"/>
      <c r="L394" s="99"/>
      <c r="M394" s="99"/>
      <c r="N394" s="99"/>
      <c r="R394" s="75"/>
      <c r="S394" s="75"/>
      <c r="T394" s="75"/>
      <c r="U394" s="75"/>
      <c r="V394" s="75"/>
      <c r="W394" s="75"/>
    </row>
    <row r="395" spans="1:23">
      <c r="A395" s="98"/>
      <c r="H395" s="99"/>
      <c r="I395" s="273"/>
      <c r="J395" s="99"/>
      <c r="K395" s="99"/>
      <c r="L395" s="99"/>
      <c r="M395" s="99"/>
      <c r="N395" s="99"/>
      <c r="R395" s="75"/>
      <c r="S395" s="75"/>
      <c r="T395" s="75"/>
      <c r="U395" s="75"/>
      <c r="V395" s="75"/>
      <c r="W395" s="75"/>
    </row>
    <row r="396" spans="1:23">
      <c r="A396" s="98"/>
      <c r="H396" s="99"/>
      <c r="I396" s="273"/>
      <c r="J396" s="99"/>
      <c r="K396" s="99"/>
      <c r="L396" s="99"/>
      <c r="M396" s="99"/>
      <c r="N396" s="99"/>
      <c r="R396" s="75"/>
      <c r="S396" s="75"/>
      <c r="T396" s="75"/>
      <c r="U396" s="75"/>
      <c r="V396" s="75"/>
      <c r="W396" s="75"/>
    </row>
    <row r="397" spans="1:23">
      <c r="A397" s="98"/>
      <c r="H397" s="99"/>
      <c r="I397" s="273"/>
      <c r="J397" s="99"/>
      <c r="K397" s="99"/>
      <c r="L397" s="99"/>
      <c r="M397" s="99"/>
      <c r="N397" s="99"/>
      <c r="R397" s="75"/>
      <c r="S397" s="75"/>
      <c r="T397" s="75"/>
      <c r="U397" s="75"/>
      <c r="V397" s="75"/>
      <c r="W397" s="75"/>
    </row>
    <row r="398" spans="1:23">
      <c r="A398" s="98"/>
      <c r="H398" s="99"/>
      <c r="I398" s="273"/>
      <c r="J398" s="99"/>
      <c r="K398" s="99"/>
      <c r="L398" s="99"/>
      <c r="M398" s="99"/>
      <c r="N398" s="99"/>
      <c r="R398" s="75"/>
      <c r="S398" s="75"/>
      <c r="T398" s="75"/>
      <c r="U398" s="75"/>
      <c r="V398" s="75"/>
      <c r="W398" s="75"/>
    </row>
    <row r="399" spans="1:23">
      <c r="A399" s="98"/>
      <c r="H399" s="99"/>
      <c r="I399" s="273"/>
      <c r="J399" s="99"/>
      <c r="K399" s="99"/>
      <c r="L399" s="99"/>
      <c r="M399" s="99"/>
      <c r="N399" s="99"/>
      <c r="R399" s="75"/>
      <c r="S399" s="75"/>
      <c r="T399" s="75"/>
      <c r="U399" s="75"/>
      <c r="V399" s="75"/>
      <c r="W399" s="75"/>
    </row>
    <row r="400" spans="1:23">
      <c r="A400" s="98"/>
      <c r="H400" s="99"/>
      <c r="I400" s="273"/>
      <c r="J400" s="99"/>
      <c r="K400" s="99"/>
      <c r="L400" s="99"/>
      <c r="M400" s="99"/>
      <c r="N400" s="99"/>
      <c r="R400" s="75"/>
      <c r="S400" s="75"/>
      <c r="T400" s="75"/>
      <c r="U400" s="75"/>
      <c r="V400" s="75"/>
      <c r="W400" s="75"/>
    </row>
    <row r="401" spans="1:30">
      <c r="A401" s="98"/>
      <c r="H401" s="99"/>
      <c r="I401" s="273"/>
      <c r="J401" s="99"/>
      <c r="K401" s="99"/>
      <c r="L401" s="99"/>
      <c r="M401" s="99"/>
      <c r="N401" s="99"/>
      <c r="R401" s="75"/>
      <c r="S401" s="75"/>
      <c r="T401" s="75"/>
      <c r="U401" s="75"/>
      <c r="V401" s="75"/>
      <c r="W401" s="75"/>
    </row>
    <row r="402" spans="1:30">
      <c r="A402" s="98"/>
      <c r="H402" s="99"/>
      <c r="I402" s="273"/>
      <c r="J402" s="99"/>
      <c r="K402" s="99"/>
      <c r="L402" s="99"/>
      <c r="M402" s="99"/>
      <c r="N402" s="99"/>
      <c r="R402" s="75"/>
      <c r="S402" s="75"/>
      <c r="T402" s="75"/>
      <c r="U402" s="75"/>
      <c r="V402" s="75"/>
      <c r="W402" s="75"/>
    </row>
    <row r="403" spans="1:30">
      <c r="A403" s="98"/>
      <c r="H403" s="99"/>
      <c r="I403" s="273"/>
      <c r="J403" s="99"/>
      <c r="K403" s="99"/>
      <c r="L403" s="99"/>
      <c r="M403" s="99"/>
      <c r="N403" s="99"/>
      <c r="R403" s="75"/>
      <c r="S403" s="75"/>
      <c r="T403" s="75"/>
      <c r="U403" s="75"/>
      <c r="V403" s="75"/>
      <c r="W403" s="75"/>
    </row>
    <row r="404" spans="1:30">
      <c r="A404" s="98"/>
      <c r="H404" s="99"/>
      <c r="I404" s="273"/>
      <c r="J404" s="99"/>
      <c r="K404" s="99"/>
      <c r="L404" s="99"/>
      <c r="M404" s="99"/>
      <c r="N404" s="99"/>
      <c r="R404" s="75"/>
      <c r="S404" s="75"/>
      <c r="T404" s="75"/>
      <c r="U404" s="75"/>
      <c r="V404" s="75"/>
      <c r="W404" s="75"/>
    </row>
    <row r="405" spans="1:30">
      <c r="A405" s="98"/>
      <c r="H405" s="99"/>
      <c r="I405" s="273"/>
      <c r="J405" s="99"/>
      <c r="K405" s="99"/>
      <c r="L405" s="99"/>
      <c r="M405" s="99"/>
      <c r="N405" s="99"/>
      <c r="R405" s="75"/>
      <c r="S405" s="75"/>
      <c r="T405" s="75"/>
      <c r="U405" s="75"/>
      <c r="V405" s="75"/>
      <c r="W405" s="75"/>
    </row>
    <row r="406" spans="1:30">
      <c r="A406" s="98"/>
      <c r="H406" s="99"/>
      <c r="I406" s="273"/>
      <c r="J406" s="99"/>
      <c r="K406" s="99"/>
      <c r="L406" s="99"/>
      <c r="M406" s="99"/>
      <c r="N406" s="99"/>
      <c r="R406" s="75"/>
      <c r="S406" s="75"/>
      <c r="T406" s="75"/>
      <c r="U406" s="75"/>
      <c r="V406" s="75"/>
      <c r="W406" s="75"/>
    </row>
    <row r="407" spans="1:30">
      <c r="A407" s="98"/>
      <c r="H407" s="99"/>
      <c r="I407" s="273"/>
      <c r="J407" s="99"/>
      <c r="K407" s="99"/>
      <c r="L407" s="99"/>
      <c r="M407" s="99"/>
      <c r="N407" s="99"/>
      <c r="R407" s="75"/>
      <c r="S407" s="75"/>
      <c r="T407" s="75"/>
      <c r="U407" s="75"/>
      <c r="V407" s="75"/>
      <c r="W407" s="75"/>
    </row>
    <row r="408" spans="1:30">
      <c r="A408" s="98"/>
      <c r="H408" s="99"/>
      <c r="I408" s="273"/>
      <c r="J408" s="99"/>
      <c r="K408" s="99"/>
      <c r="L408" s="99"/>
      <c r="M408" s="99"/>
      <c r="N408" s="99"/>
      <c r="R408" s="75"/>
      <c r="S408" s="75"/>
      <c r="T408" s="75"/>
      <c r="U408" s="75"/>
      <c r="V408" s="75"/>
      <c r="W408" s="75"/>
    </row>
    <row r="409" spans="1:30" s="120" customFormat="1">
      <c r="A409" s="119"/>
      <c r="E409" s="121"/>
      <c r="H409" s="122"/>
      <c r="I409" s="274"/>
      <c r="J409" s="122"/>
      <c r="K409" s="122"/>
      <c r="L409" s="122"/>
      <c r="M409" s="122"/>
      <c r="N409" s="122"/>
      <c r="Q409" s="121"/>
    </row>
    <row r="410" spans="1:30" customFormat="1">
      <c r="A410" s="75"/>
      <c r="B410" s="75"/>
      <c r="C410" s="75"/>
      <c r="D410" s="75"/>
      <c r="E410" s="80"/>
      <c r="F410" s="75"/>
      <c r="G410" s="75"/>
      <c r="H410" s="112"/>
      <c r="I410" s="275"/>
      <c r="J410" s="112"/>
      <c r="K410" s="112"/>
      <c r="L410" s="112"/>
      <c r="M410" s="112"/>
      <c r="N410" s="112"/>
      <c r="O410" s="75"/>
      <c r="P410" s="75"/>
      <c r="Q410" s="75"/>
      <c r="R410" s="113"/>
      <c r="S410" s="113"/>
      <c r="T410" s="113"/>
      <c r="U410" s="113"/>
      <c r="V410" s="113"/>
      <c r="W410" s="113"/>
      <c r="X410" s="113"/>
      <c r="Y410" s="113"/>
      <c r="Z410" s="75"/>
      <c r="AA410" s="75"/>
      <c r="AB410" s="75"/>
      <c r="AC410" s="75"/>
      <c r="AD410" s="75"/>
    </row>
  </sheetData>
  <sheetProtection formatColumns="0" formatRows="0" autoFilter="0"/>
  <customSheetViews>
    <customSheetView guid="{6AE763D5-8F55-434E-96B2-971E17BAA2DB}" scale="85" showGridLines="0" fitToPage="1" topLeftCell="A181">
      <selection activeCell="A181" sqref="A181"/>
      <pageMargins left="0.24" right="0.19" top="1" bottom="1" header="0.5" footer="0.5"/>
      <pageSetup paperSize="9" scale="29" orientation="landscape" r:id="rId1"/>
      <headerFooter alignWithMargins="0">
        <oddHeader>&amp;LDefintieve cijfers&amp;CVersie 1.0</oddHeader>
        <oddFooter>&amp;L&amp;P van &amp;N&amp;Copgslagen op &amp;D&amp;T&amp;R&amp;Z
&amp;F.xls
&amp;A</oddFooter>
      </headerFooter>
    </customSheetView>
    <customSheetView guid="{EF4B4CDC-758A-4938-83F8-35AA65D8B641}" scale="85" showGridLines="0" fitToPage="1">
      <pageMargins left="0.24" right="0.19" top="1" bottom="1" header="0.5" footer="0.5"/>
      <pageSetup paperSize="9" scale="29" orientation="landscape" r:id="rId2"/>
      <headerFooter alignWithMargins="0">
        <oddHeader>&amp;LDefintieve cijfers&amp;CVersie 1.0</oddHeader>
        <oddFooter>&amp;L&amp;P van &amp;N&amp;Copgslagen op &amp;D&amp;T&amp;R&amp;Z
&amp;F.xls
&amp;A</oddFooter>
      </headerFooter>
    </customSheetView>
    <customSheetView guid="{A096F828-F848-45A2-860C-032F43C1DD7B}" scale="70" showGridLines="0" fitToPage="1" showRuler="0">
      <pageMargins left="0.24" right="0.19" top="1" bottom="1" header="0.5" footer="0.5"/>
      <pageSetup paperSize="9" scale="29" orientation="landscape" r:id="rId3"/>
      <headerFooter alignWithMargins="0">
        <oddHeader>&amp;LDefintieve cijfers&amp;CVersie 1.0</oddHeader>
        <oddFooter>&amp;L&amp;P van &amp;N&amp;Copgslagen op &amp;D&amp;T&amp;R&amp;Z
&amp;F.xls
&amp;A</oddFooter>
      </headerFooter>
    </customSheetView>
    <customSheetView guid="{6EC36B47-2B70-4722-AE23-A1EAC28F57E6}" scale="85" showGridLines="0" fitToPage="1">
      <pageMargins left="0.24" right="0.19" top="1" bottom="1" header="0.5" footer="0.5"/>
      <pageSetup paperSize="9" scale="29" orientation="landscape" r:id="rId4"/>
      <headerFooter alignWithMargins="0">
        <oddHeader>&amp;LDefintieve cijfers&amp;CVersie 1.0</oddHeader>
        <oddFooter>&amp;L&amp;P van &amp;N&amp;Copgslagen op &amp;D&amp;T&amp;R&amp;Z
&amp;F.xls
&amp;A</oddFooter>
      </headerFooter>
    </customSheetView>
    <customSheetView guid="{915D2422-C043-4D06-937E-1A96F53B569A}" scale="85" showGridLines="0" fitToPage="1" topLeftCell="A181">
      <selection activeCell="A181" sqref="A181"/>
      <pageMargins left="0.24" right="0.19" top="1" bottom="1" header="0.5" footer="0.5"/>
      <pageSetup paperSize="9" scale="29" orientation="landscape" r:id="rId5"/>
      <headerFooter alignWithMargins="0">
        <oddHeader>&amp;LDefintieve cijfers&amp;CVersie 1.0</oddHeader>
        <oddFooter>&amp;L&amp;P van &amp;N&amp;Copgslagen op &amp;D&amp;T&amp;R&amp;Z
&amp;F.xls
&amp;A</oddFooter>
      </headerFooter>
    </customSheetView>
  </customSheetViews>
  <phoneticPr fontId="11" type="noConversion"/>
  <conditionalFormatting sqref="Q410">
    <cfRule type="expression" dxfId="2" priority="1">
      <formula>Q410&lt;&gt;Q410</formula>
    </cfRule>
  </conditionalFormatting>
  <conditionalFormatting sqref="A410:P410 R410:AD410">
    <cfRule type="expression" dxfId="1" priority="2">
      <formula>A410&lt;&gt;A410</formula>
    </cfRule>
  </conditionalFormatting>
  <pageMargins left="0.24" right="0.19" top="1" bottom="1" header="0.5" footer="0.5"/>
  <pageSetup paperSize="9" scale="29" orientation="landscape" r:id="rId6"/>
  <headerFooter alignWithMargins="0">
    <oddHeader>&amp;LDefintieve cijfers&amp;CVersie 1.0</oddHeader>
    <oddFooter>&amp;L&amp;P van &amp;N&amp;Copgslagen op &amp;D&amp;T&amp;R&amp;Z
&amp;F.xls
&amp;A</oddFooter>
  </headerFooter>
  <legacyDrawing r:id="rId7"/>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E8B9D-31AC-4414-B5AD-7A53683FA4B0}">
  <sheetPr codeName="Blad37">
    <tabColor rgb="FF0066CC"/>
    <pageSetUpPr autoPageBreaks="0" fitToPage="1"/>
  </sheetPr>
  <dimension ref="A1:AO410"/>
  <sheetViews>
    <sheetView showGridLines="0" topLeftCell="S1" zoomScale="85" zoomScaleNormal="85" workbookViewId="0">
      <selection activeCell="AG9" sqref="AG9"/>
    </sheetView>
  </sheetViews>
  <sheetFormatPr defaultRowHeight="12.75"/>
  <cols>
    <col min="1" max="1" width="13" style="75" customWidth="1" collapsed="1"/>
    <col min="2" max="2" width="13.140625" style="75" bestFit="1" customWidth="1" collapsed="1"/>
    <col min="3" max="3" width="17.7109375" style="75" customWidth="1" collapsed="1"/>
    <col min="4" max="4" width="25.7109375" style="75" bestFit="1" customWidth="1" collapsed="1"/>
    <col min="5" max="5" width="8.5703125" style="80" customWidth="1" collapsed="1"/>
    <col min="6" max="6" width="6.5703125" style="75" customWidth="1" collapsed="1"/>
    <col min="7" max="7" width="34" style="75" customWidth="1" collapsed="1"/>
    <col min="8" max="8" width="12" style="114" customWidth="1" collapsed="1"/>
    <col min="9" max="10" width="17" style="114" customWidth="1" collapsed="1"/>
    <col min="11" max="13" width="11.85546875" style="114" customWidth="1" collapsed="1"/>
    <col min="14" max="14" width="20.5703125" style="114" customWidth="1" collapsed="1"/>
    <col min="15" max="15" width="22.85546875" style="75" bestFit="1" customWidth="1" collapsed="1"/>
    <col min="16" max="16" width="40" style="75" bestFit="1" customWidth="1" collapsed="1"/>
    <col min="17" max="17" width="13.7109375" style="80" bestFit="1" customWidth="1" collapsed="1"/>
    <col min="18" max="18" width="60" style="113" bestFit="1" customWidth="1" collapsed="1"/>
    <col min="19" max="19" width="16.42578125" style="113" customWidth="1" collapsed="1"/>
    <col min="20" max="20" width="22.85546875" style="113" bestFit="1" customWidth="1" collapsed="1"/>
    <col min="21" max="23" width="9.140625" style="113" collapsed="1"/>
    <col min="24" max="27" width="9.140625" style="75" collapsed="1"/>
    <col min="28" max="28" width="10.7109375" style="75" customWidth="1" collapsed="1"/>
    <col min="29" max="29" width="11" style="75" customWidth="1" collapsed="1"/>
    <col min="30" max="30" width="15.42578125" style="75" customWidth="1" collapsed="1"/>
    <col min="31" max="31" width="13.140625" bestFit="1" customWidth="1" collapsed="1"/>
    <col min="32" max="32" width="10.7109375" bestFit="1" customWidth="1" collapsed="1"/>
    <col min="39" max="39" width="12.7109375" customWidth="1" collapsed="1"/>
    <col min="40" max="40" width="13.140625" bestFit="1" customWidth="1" collapsed="1"/>
    <col min="41" max="41" width="10.7109375" bestFit="1" customWidth="1" collapsed="1"/>
  </cols>
  <sheetData>
    <row r="1" spans="1:41">
      <c r="E1" s="75"/>
      <c r="H1" s="75"/>
      <c r="I1" s="75"/>
      <c r="J1" s="75"/>
      <c r="K1" s="75"/>
      <c r="L1" s="75"/>
      <c r="M1" s="75"/>
      <c r="N1" s="75"/>
      <c r="Q1" s="75"/>
      <c r="R1" s="75"/>
      <c r="S1" s="75"/>
      <c r="T1" s="75"/>
      <c r="U1" s="75"/>
      <c r="V1" s="75"/>
      <c r="W1" s="75"/>
      <c r="AN1" t="s">
        <v>68</v>
      </c>
      <c r="AO1" t="b">
        <f t="array" ref="AO1">AND(AO2:AO1048576)</f>
        <v>1</v>
      </c>
    </row>
    <row r="2" spans="1:41">
      <c r="E2" s="75"/>
      <c r="H2" s="75"/>
      <c r="I2" s="75"/>
      <c r="J2" s="75"/>
      <c r="K2" s="75"/>
      <c r="L2" s="75"/>
      <c r="M2" s="75"/>
      <c r="N2" s="75"/>
      <c r="Q2" s="75"/>
      <c r="R2" s="75"/>
      <c r="S2" s="75"/>
      <c r="T2" s="75"/>
      <c r="U2" s="75"/>
      <c r="V2" s="75"/>
      <c r="W2" s="75"/>
    </row>
    <row r="3" spans="1:41">
      <c r="A3" s="76" t="s">
        <v>128</v>
      </c>
      <c r="E3" s="75"/>
      <c r="H3" s="75"/>
      <c r="I3" s="75"/>
      <c r="J3" s="75"/>
      <c r="K3" s="75"/>
      <c r="L3" s="75"/>
      <c r="M3" s="75"/>
      <c r="N3" s="75"/>
      <c r="Q3" s="75"/>
      <c r="R3" s="75"/>
      <c r="S3" s="75"/>
      <c r="T3" s="75"/>
      <c r="U3" s="75"/>
      <c r="V3" s="75"/>
      <c r="W3" s="75"/>
    </row>
    <row r="4" spans="1:41">
      <c r="E4" s="75"/>
      <c r="H4" s="75"/>
      <c r="I4" s="75"/>
      <c r="J4" s="75"/>
      <c r="K4" s="75"/>
      <c r="L4" s="75"/>
      <c r="M4" s="75"/>
      <c r="N4" s="75"/>
      <c r="Q4" s="75"/>
      <c r="R4" s="75"/>
      <c r="S4" s="75"/>
      <c r="T4" s="75"/>
      <c r="U4" s="75"/>
      <c r="V4" s="75"/>
      <c r="W4" s="75"/>
    </row>
    <row r="5" spans="1:41">
      <c r="A5" s="77" t="s">
        <v>129</v>
      </c>
      <c r="B5" s="78"/>
      <c r="C5" s="79" t="s">
        <v>168</v>
      </c>
      <c r="H5" s="75"/>
      <c r="I5" s="75"/>
      <c r="J5" s="75"/>
      <c r="K5" s="75"/>
      <c r="L5" s="75"/>
      <c r="M5" s="75"/>
      <c r="N5" s="75"/>
      <c r="P5" s="79"/>
      <c r="Q5" s="81"/>
      <c r="R5" s="81"/>
      <c r="S5" s="81"/>
      <c r="T5" s="81"/>
      <c r="U5" s="81"/>
      <c r="V5" s="81"/>
      <c r="W5" s="75"/>
      <c r="AE5" s="75" t="s">
        <v>130</v>
      </c>
      <c r="AF5" s="75" t="s">
        <v>130</v>
      </c>
      <c r="AG5" s="75" t="s">
        <v>130</v>
      </c>
      <c r="AH5" s="75" t="s">
        <v>130</v>
      </c>
      <c r="AI5" s="75" t="s">
        <v>130</v>
      </c>
      <c r="AJ5" s="75" t="s">
        <v>130</v>
      </c>
      <c r="AK5" s="75"/>
      <c r="AL5" s="75"/>
      <c r="AM5" s="75"/>
      <c r="AO5" t="b">
        <f t="array" ref="AO5">AND(A5:A6='Overview MP Life'!A5:A6)</f>
        <v>1</v>
      </c>
    </row>
    <row r="6" spans="1:41">
      <c r="A6" s="77" t="s">
        <v>131</v>
      </c>
      <c r="B6" s="78"/>
      <c r="C6" s="82"/>
      <c r="D6" s="82"/>
      <c r="E6" s="83"/>
      <c r="F6" s="82"/>
      <c r="G6" s="82"/>
      <c r="H6" s="82"/>
      <c r="I6" s="82"/>
      <c r="J6" s="82"/>
      <c r="K6" s="82"/>
      <c r="L6" s="82"/>
      <c r="M6" s="82"/>
      <c r="N6" s="83"/>
      <c r="O6" s="82"/>
      <c r="P6" s="82"/>
      <c r="Q6" s="83"/>
      <c r="R6" s="83"/>
      <c r="S6" s="83"/>
      <c r="T6" s="83"/>
      <c r="U6" s="83"/>
      <c r="V6" s="83"/>
      <c r="W6" s="83"/>
      <c r="X6" s="83"/>
      <c r="Y6" s="83"/>
      <c r="Z6" s="82"/>
      <c r="AA6" s="82"/>
      <c r="AB6" s="82"/>
      <c r="AC6" s="82"/>
      <c r="AD6" s="82"/>
      <c r="AE6" s="82"/>
      <c r="AF6" s="82"/>
      <c r="AG6" s="82"/>
      <c r="AH6" s="82"/>
      <c r="AI6" s="82"/>
      <c r="AJ6" s="82"/>
      <c r="AK6" s="82"/>
      <c r="AL6" s="82"/>
      <c r="AM6" s="82"/>
      <c r="AO6" t="b">
        <f t="array" ref="AO6">AND(C6:AM6='Overview MP Life'!C6:AM6)</f>
        <v>1</v>
      </c>
    </row>
    <row r="7" spans="1:41">
      <c r="A7" s="84"/>
      <c r="B7" s="85"/>
      <c r="C7" s="85"/>
      <c r="D7" s="85"/>
      <c r="E7" s="86"/>
      <c r="F7" s="85"/>
      <c r="G7" s="85"/>
      <c r="H7" s="85"/>
      <c r="I7" s="87"/>
      <c r="J7" s="87"/>
      <c r="K7" s="87"/>
      <c r="L7" s="87"/>
      <c r="M7" s="87"/>
      <c r="N7" s="86"/>
      <c r="O7" s="85"/>
      <c r="P7" s="85"/>
      <c r="Q7" s="86"/>
      <c r="R7" s="86"/>
      <c r="S7" s="86"/>
      <c r="T7" s="86"/>
      <c r="U7" s="86"/>
      <c r="V7" s="86"/>
      <c r="W7" s="86"/>
      <c r="X7" s="86"/>
      <c r="Y7" s="86"/>
      <c r="Z7" s="85"/>
      <c r="AA7" s="85"/>
      <c r="AB7" s="85"/>
      <c r="AC7" s="85"/>
      <c r="AD7" s="85"/>
      <c r="AE7" s="85"/>
      <c r="AF7" s="85"/>
      <c r="AG7" s="85"/>
      <c r="AH7" s="85"/>
      <c r="AI7" s="85"/>
      <c r="AJ7" s="85"/>
      <c r="AK7" s="85"/>
      <c r="AL7" s="85"/>
      <c r="AM7" s="85"/>
      <c r="AO7" t="b">
        <f t="array" ref="AO7">AND(A7:AM7='Overview MP Life'!A7:AM7)</f>
        <v>1</v>
      </c>
    </row>
    <row r="8" spans="1:41">
      <c r="A8" s="84"/>
      <c r="B8" s="85"/>
      <c r="C8" s="85"/>
      <c r="D8" s="85"/>
      <c r="E8" s="86"/>
      <c r="F8" s="85"/>
      <c r="G8" s="85"/>
      <c r="H8" s="87"/>
      <c r="I8" s="85"/>
      <c r="J8" s="85"/>
      <c r="K8" s="87"/>
      <c r="L8" s="87"/>
      <c r="M8" s="87"/>
      <c r="N8" s="86"/>
      <c r="O8" s="85"/>
      <c r="P8" s="85"/>
      <c r="Q8" s="86"/>
      <c r="R8" s="86"/>
      <c r="S8" s="86"/>
      <c r="T8" s="86"/>
      <c r="U8" s="86"/>
      <c r="V8" s="86"/>
      <c r="W8" s="86"/>
      <c r="X8" s="86"/>
      <c r="Y8" s="86"/>
      <c r="Z8" s="85"/>
      <c r="AA8" s="85"/>
      <c r="AB8" s="85"/>
      <c r="AC8" s="85"/>
      <c r="AD8" s="85"/>
      <c r="AE8" s="85"/>
      <c r="AF8" s="85"/>
      <c r="AG8" s="85"/>
      <c r="AH8" s="85" t="s">
        <v>132</v>
      </c>
      <c r="AI8" s="85"/>
      <c r="AJ8" s="85"/>
      <c r="AK8" s="85"/>
      <c r="AL8" s="85"/>
      <c r="AM8" s="85"/>
      <c r="AO8" t="b">
        <f t="array" ref="AO8">AND(A8:AM8='Overview MP Life'!A8:AM8)</f>
        <v>1</v>
      </c>
    </row>
    <row r="9" spans="1:41" ht="153">
      <c r="A9" s="116" t="s">
        <v>37</v>
      </c>
      <c r="B9" s="89" t="s">
        <v>133</v>
      </c>
      <c r="C9" s="89" t="s">
        <v>134</v>
      </c>
      <c r="D9" s="89" t="s">
        <v>135</v>
      </c>
      <c r="E9" s="88" t="s">
        <v>136</v>
      </c>
      <c r="F9" s="89" t="s">
        <v>137</v>
      </c>
      <c r="G9" s="89" t="s">
        <v>138</v>
      </c>
      <c r="H9" s="117" t="s">
        <v>139</v>
      </c>
      <c r="I9" s="117" t="s">
        <v>140</v>
      </c>
      <c r="J9" s="117" t="s">
        <v>141</v>
      </c>
      <c r="K9" s="89" t="s">
        <v>142</v>
      </c>
      <c r="L9" s="89" t="s">
        <v>143</v>
      </c>
      <c r="M9" s="89" t="s">
        <v>144</v>
      </c>
      <c r="N9" s="88" t="s">
        <v>145</v>
      </c>
      <c r="O9" s="89" t="s">
        <v>146</v>
      </c>
      <c r="P9" s="85" t="s">
        <v>147</v>
      </c>
      <c r="Q9" s="86" t="s">
        <v>148</v>
      </c>
      <c r="R9" s="88" t="s">
        <v>149</v>
      </c>
      <c r="S9" s="86" t="s">
        <v>150</v>
      </c>
      <c r="T9" s="88" t="s">
        <v>151</v>
      </c>
      <c r="U9" s="88" t="s">
        <v>152</v>
      </c>
      <c r="V9" s="88" t="s">
        <v>153</v>
      </c>
      <c r="W9" s="88" t="s">
        <v>154</v>
      </c>
      <c r="X9" s="88" t="s">
        <v>155</v>
      </c>
      <c r="Y9" s="88" t="s">
        <v>156</v>
      </c>
      <c r="Z9" s="85"/>
      <c r="AA9" s="89" t="s">
        <v>157</v>
      </c>
      <c r="AB9" s="89" t="s">
        <v>158</v>
      </c>
      <c r="AC9" s="89" t="s">
        <v>158</v>
      </c>
      <c r="AD9" s="89" t="s">
        <v>159</v>
      </c>
      <c r="AE9" s="89" t="s">
        <v>160</v>
      </c>
      <c r="AF9" s="89" t="s">
        <v>161</v>
      </c>
      <c r="AG9" s="89" t="s">
        <v>162</v>
      </c>
      <c r="AH9" s="89" t="s">
        <v>163</v>
      </c>
      <c r="AI9" s="89" t="s">
        <v>164</v>
      </c>
      <c r="AJ9" s="89" t="s">
        <v>165</v>
      </c>
      <c r="AK9" s="89" t="s">
        <v>166</v>
      </c>
      <c r="AL9" s="89" t="s">
        <v>167</v>
      </c>
      <c r="AM9" s="89" t="s">
        <v>963</v>
      </c>
      <c r="AO9" t="b">
        <f t="array" ref="AO9">AND(A9:AM9='Overview MP Life'!A9:AM9)</f>
        <v>1</v>
      </c>
    </row>
    <row r="10" spans="1:41">
      <c r="A10" s="90"/>
      <c r="B10" s="91"/>
      <c r="C10" s="91"/>
      <c r="D10" s="91"/>
      <c r="E10" s="92"/>
      <c r="F10" s="92"/>
      <c r="G10" s="91"/>
      <c r="H10" s="93"/>
      <c r="I10" s="93"/>
      <c r="J10" s="93"/>
      <c r="K10" s="93"/>
      <c r="L10" s="93"/>
      <c r="M10" s="94"/>
      <c r="N10" s="95"/>
      <c r="O10" s="91"/>
      <c r="P10" s="91"/>
      <c r="Q10" s="96"/>
      <c r="R10" s="97"/>
      <c r="S10" s="91"/>
      <c r="T10" s="91"/>
      <c r="U10" s="91"/>
      <c r="V10" s="91"/>
      <c r="W10" s="91"/>
      <c r="X10" s="91"/>
      <c r="Y10" s="91"/>
      <c r="Z10" s="91"/>
      <c r="AA10" s="91"/>
      <c r="AB10" s="91"/>
      <c r="AC10" s="91"/>
      <c r="AD10" s="91"/>
    </row>
    <row r="11" spans="1:41">
      <c r="A11" s="98"/>
      <c r="F11" s="80"/>
      <c r="H11" s="99"/>
      <c r="I11" s="99"/>
      <c r="J11" s="99"/>
      <c r="K11" s="99"/>
      <c r="L11" s="99"/>
      <c r="M11" s="100"/>
      <c r="N11" s="101"/>
      <c r="Q11" s="102"/>
      <c r="R11" s="103"/>
      <c r="S11" s="104"/>
      <c r="T11" s="75"/>
      <c r="U11" s="75"/>
      <c r="V11" s="75"/>
      <c r="W11" s="75"/>
    </row>
    <row r="12" spans="1:41">
      <c r="A12" s="98"/>
      <c r="F12" s="80"/>
      <c r="H12" s="99"/>
      <c r="I12" s="99"/>
      <c r="J12" s="99"/>
      <c r="K12" s="99"/>
      <c r="L12" s="99"/>
      <c r="M12" s="100"/>
      <c r="N12" s="101"/>
      <c r="Q12" s="102"/>
      <c r="R12" s="103"/>
      <c r="S12" s="104"/>
      <c r="T12" s="75"/>
      <c r="U12" s="75"/>
      <c r="V12" s="75"/>
      <c r="W12" s="75"/>
    </row>
    <row r="13" spans="1:41">
      <c r="A13" s="98"/>
      <c r="F13" s="80"/>
      <c r="H13" s="99"/>
      <c r="I13" s="99"/>
      <c r="J13" s="99"/>
      <c r="K13" s="99"/>
      <c r="L13" s="99"/>
      <c r="M13" s="100"/>
      <c r="N13" s="101"/>
      <c r="Q13" s="102"/>
      <c r="R13" s="103"/>
      <c r="S13" s="104"/>
      <c r="T13" s="75"/>
      <c r="U13" s="75"/>
      <c r="V13" s="75"/>
      <c r="W13" s="75"/>
    </row>
    <row r="14" spans="1:41">
      <c r="A14" s="98"/>
      <c r="F14" s="80"/>
      <c r="H14" s="99"/>
      <c r="I14" s="99"/>
      <c r="J14" s="99"/>
      <c r="K14" s="99"/>
      <c r="L14" s="99"/>
      <c r="M14" s="100"/>
      <c r="N14" s="101"/>
      <c r="Q14" s="102"/>
      <c r="R14" s="103"/>
      <c r="S14" s="75"/>
      <c r="T14" s="75"/>
      <c r="U14" s="75"/>
      <c r="V14" s="75"/>
      <c r="W14" s="75"/>
    </row>
    <row r="15" spans="1:41">
      <c r="A15" s="98"/>
      <c r="F15" s="80"/>
      <c r="H15" s="99"/>
      <c r="I15" s="99"/>
      <c r="J15" s="99"/>
      <c r="K15" s="99"/>
      <c r="L15" s="99"/>
      <c r="M15" s="100"/>
      <c r="N15" s="101"/>
      <c r="Q15" s="102"/>
      <c r="R15" s="103"/>
      <c r="S15" s="104"/>
      <c r="T15" s="75"/>
      <c r="U15" s="75"/>
      <c r="V15" s="75"/>
      <c r="W15" s="75"/>
    </row>
    <row r="16" spans="1:41">
      <c r="A16" s="98"/>
      <c r="F16" s="80"/>
      <c r="H16" s="99"/>
      <c r="I16" s="99"/>
      <c r="J16" s="99"/>
      <c r="K16" s="99"/>
      <c r="L16" s="99"/>
      <c r="M16" s="100"/>
      <c r="N16" s="101"/>
      <c r="Q16" s="102"/>
      <c r="R16" s="103"/>
      <c r="S16" s="104"/>
      <c r="T16" s="75"/>
      <c r="U16" s="75"/>
      <c r="V16" s="75"/>
      <c r="W16" s="75"/>
    </row>
    <row r="17" spans="1:23">
      <c r="A17" s="98"/>
      <c r="F17" s="80"/>
      <c r="H17" s="99"/>
      <c r="I17" s="99"/>
      <c r="J17" s="99"/>
      <c r="K17" s="99"/>
      <c r="L17" s="99"/>
      <c r="M17" s="100"/>
      <c r="N17" s="101"/>
      <c r="Q17" s="102"/>
      <c r="R17" s="103"/>
      <c r="S17" s="104"/>
      <c r="T17" s="75"/>
      <c r="U17" s="75"/>
      <c r="V17" s="75"/>
      <c r="W17" s="75"/>
    </row>
    <row r="18" spans="1:23">
      <c r="A18" s="98"/>
      <c r="F18" s="80"/>
      <c r="H18" s="99"/>
      <c r="I18" s="99"/>
      <c r="J18" s="99"/>
      <c r="K18" s="99"/>
      <c r="L18" s="99"/>
      <c r="M18" s="100"/>
      <c r="N18" s="101"/>
      <c r="Q18" s="102"/>
      <c r="R18" s="103"/>
      <c r="S18" s="104"/>
      <c r="T18" s="75"/>
      <c r="U18" s="75"/>
      <c r="V18" s="75"/>
      <c r="W18" s="75"/>
    </row>
    <row r="19" spans="1:23">
      <c r="A19" s="98"/>
      <c r="F19" s="80"/>
      <c r="H19" s="99"/>
      <c r="I19" s="99"/>
      <c r="J19" s="99"/>
      <c r="K19" s="99"/>
      <c r="L19" s="99"/>
      <c r="M19" s="100"/>
      <c r="N19" s="101"/>
      <c r="Q19" s="102"/>
      <c r="R19" s="103"/>
      <c r="S19" s="104"/>
      <c r="T19" s="75"/>
      <c r="U19" s="75"/>
      <c r="V19" s="75"/>
      <c r="W19" s="75"/>
    </row>
    <row r="20" spans="1:23">
      <c r="A20" s="98"/>
      <c r="F20" s="80"/>
      <c r="H20" s="99"/>
      <c r="I20" s="99"/>
      <c r="J20" s="99"/>
      <c r="K20" s="99"/>
      <c r="L20" s="99"/>
      <c r="M20" s="100"/>
      <c r="N20" s="101"/>
      <c r="Q20" s="102"/>
      <c r="R20" s="103"/>
      <c r="S20" s="104"/>
      <c r="T20" s="75"/>
      <c r="U20" s="75"/>
      <c r="V20" s="75"/>
      <c r="W20" s="75"/>
    </row>
    <row r="21" spans="1:23">
      <c r="A21" s="98"/>
      <c r="F21" s="80"/>
      <c r="H21" s="99"/>
      <c r="I21" s="99"/>
      <c r="J21" s="99"/>
      <c r="K21" s="99"/>
      <c r="L21" s="99"/>
      <c r="M21" s="100"/>
      <c r="N21" s="101"/>
      <c r="Q21" s="102"/>
      <c r="R21" s="103"/>
      <c r="S21" s="104"/>
      <c r="T21" s="75"/>
      <c r="U21" s="75"/>
      <c r="V21" s="75"/>
      <c r="W21" s="75"/>
    </row>
    <row r="22" spans="1:23">
      <c r="A22" s="98"/>
      <c r="F22" s="80"/>
      <c r="H22" s="99"/>
      <c r="I22" s="99"/>
      <c r="J22" s="99"/>
      <c r="K22" s="99"/>
      <c r="L22" s="99"/>
      <c r="M22" s="100"/>
      <c r="N22" s="101"/>
      <c r="R22" s="103"/>
      <c r="S22" s="104"/>
      <c r="T22" s="75"/>
      <c r="U22" s="75"/>
      <c r="V22" s="75"/>
      <c r="W22" s="75"/>
    </row>
    <row r="23" spans="1:23">
      <c r="A23" s="98"/>
      <c r="F23" s="80"/>
      <c r="H23" s="99"/>
      <c r="I23" s="99"/>
      <c r="J23" s="99"/>
      <c r="K23" s="99"/>
      <c r="L23" s="99"/>
      <c r="M23" s="100"/>
      <c r="N23" s="101"/>
      <c r="R23" s="103"/>
      <c r="S23" s="104"/>
      <c r="T23" s="75"/>
      <c r="U23" s="75"/>
      <c r="V23" s="75"/>
      <c r="W23" s="75"/>
    </row>
    <row r="24" spans="1:23">
      <c r="A24" s="98"/>
      <c r="F24" s="80"/>
      <c r="H24" s="99"/>
      <c r="I24" s="99"/>
      <c r="J24" s="99"/>
      <c r="K24" s="99"/>
      <c r="L24" s="99"/>
      <c r="M24" s="100"/>
      <c r="N24" s="101"/>
      <c r="R24" s="103"/>
      <c r="S24" s="104"/>
      <c r="T24" s="75"/>
      <c r="U24" s="75"/>
      <c r="V24" s="75"/>
      <c r="W24" s="75"/>
    </row>
    <row r="25" spans="1:23">
      <c r="A25" s="98"/>
      <c r="F25" s="80"/>
      <c r="H25" s="99"/>
      <c r="I25" s="99"/>
      <c r="J25" s="99"/>
      <c r="K25" s="99"/>
      <c r="L25" s="99"/>
      <c r="M25" s="100"/>
      <c r="N25" s="101"/>
      <c r="Q25" s="102"/>
      <c r="R25" s="103"/>
      <c r="S25" s="104"/>
      <c r="T25" s="75"/>
      <c r="U25" s="75"/>
      <c r="V25" s="75"/>
      <c r="W25" s="75"/>
    </row>
    <row r="26" spans="1:23">
      <c r="A26" s="98"/>
      <c r="F26" s="80"/>
      <c r="H26" s="99"/>
      <c r="I26" s="99"/>
      <c r="J26" s="99"/>
      <c r="K26" s="99"/>
      <c r="L26" s="99"/>
      <c r="M26" s="100"/>
      <c r="N26" s="101"/>
      <c r="R26" s="103"/>
      <c r="S26" s="104"/>
      <c r="T26" s="75"/>
      <c r="U26" s="75"/>
      <c r="V26" s="75"/>
      <c r="W26" s="75"/>
    </row>
    <row r="27" spans="1:23">
      <c r="A27" s="98"/>
      <c r="F27" s="80"/>
      <c r="H27" s="99"/>
      <c r="I27" s="99"/>
      <c r="J27" s="99"/>
      <c r="K27" s="99"/>
      <c r="L27" s="99"/>
      <c r="M27" s="100"/>
      <c r="N27" s="101"/>
      <c r="R27" s="103"/>
      <c r="S27" s="104"/>
      <c r="T27" s="75"/>
      <c r="U27" s="75"/>
      <c r="V27" s="75"/>
      <c r="W27" s="75"/>
    </row>
    <row r="28" spans="1:23">
      <c r="A28" s="98"/>
      <c r="F28" s="80"/>
      <c r="H28" s="99"/>
      <c r="I28" s="99"/>
      <c r="J28" s="99"/>
      <c r="K28" s="99"/>
      <c r="L28" s="99"/>
      <c r="M28" s="100"/>
      <c r="N28" s="101"/>
      <c r="Q28" s="102"/>
      <c r="R28" s="103"/>
      <c r="S28" s="104"/>
      <c r="T28" s="75"/>
      <c r="U28" s="75"/>
      <c r="V28" s="75"/>
      <c r="W28" s="75"/>
    </row>
    <row r="29" spans="1:23">
      <c r="A29" s="98"/>
      <c r="F29" s="80"/>
      <c r="H29" s="99"/>
      <c r="I29" s="99"/>
      <c r="J29" s="99"/>
      <c r="K29" s="99"/>
      <c r="L29" s="99"/>
      <c r="M29" s="100"/>
      <c r="N29" s="101"/>
      <c r="Q29" s="102"/>
      <c r="R29" s="103"/>
      <c r="S29" s="104"/>
      <c r="T29" s="75"/>
      <c r="U29" s="75"/>
      <c r="V29" s="75"/>
      <c r="W29" s="75"/>
    </row>
    <row r="30" spans="1:23">
      <c r="A30" s="98"/>
      <c r="F30" s="80"/>
      <c r="H30" s="99"/>
      <c r="I30" s="99"/>
      <c r="J30" s="99"/>
      <c r="K30" s="99"/>
      <c r="L30" s="99"/>
      <c r="M30" s="100"/>
      <c r="N30" s="101"/>
      <c r="R30" s="103"/>
      <c r="S30" s="104"/>
      <c r="T30" s="75"/>
      <c r="U30" s="75"/>
      <c r="V30" s="75"/>
      <c r="W30" s="75"/>
    </row>
    <row r="31" spans="1:23">
      <c r="A31" s="98"/>
      <c r="F31" s="80"/>
      <c r="H31" s="99"/>
      <c r="I31" s="99"/>
      <c r="J31" s="99"/>
      <c r="K31" s="99"/>
      <c r="L31" s="99"/>
      <c r="M31" s="100"/>
      <c r="N31" s="101"/>
      <c r="Q31" s="102"/>
      <c r="R31" s="103"/>
      <c r="S31" s="104"/>
      <c r="T31" s="75"/>
      <c r="U31" s="75"/>
      <c r="V31" s="75"/>
      <c r="W31" s="75"/>
    </row>
    <row r="32" spans="1:23">
      <c r="A32" s="98"/>
      <c r="F32" s="80"/>
      <c r="H32" s="99"/>
      <c r="I32" s="99"/>
      <c r="J32" s="99"/>
      <c r="K32" s="99"/>
      <c r="L32" s="99"/>
      <c r="M32" s="100"/>
      <c r="N32" s="101"/>
      <c r="Q32" s="102"/>
      <c r="R32" s="103"/>
      <c r="S32" s="104"/>
      <c r="T32" s="75"/>
      <c r="U32" s="75"/>
      <c r="V32" s="75"/>
      <c r="W32" s="75"/>
    </row>
    <row r="33" spans="1:23">
      <c r="A33" s="98"/>
      <c r="F33" s="80"/>
      <c r="H33" s="99"/>
      <c r="I33" s="99"/>
      <c r="J33" s="99"/>
      <c r="K33" s="99"/>
      <c r="L33" s="99"/>
      <c r="M33" s="100"/>
      <c r="N33" s="101"/>
      <c r="Q33" s="102"/>
      <c r="R33" s="103"/>
      <c r="S33" s="104"/>
      <c r="T33" s="75"/>
      <c r="U33" s="75"/>
      <c r="V33" s="75"/>
      <c r="W33" s="75"/>
    </row>
    <row r="34" spans="1:23">
      <c r="A34" s="98"/>
      <c r="F34" s="80"/>
      <c r="H34" s="99"/>
      <c r="I34" s="99"/>
      <c r="J34" s="99"/>
      <c r="K34" s="99"/>
      <c r="L34" s="99"/>
      <c r="M34" s="100"/>
      <c r="N34" s="101"/>
      <c r="Q34" s="105"/>
      <c r="R34" s="103"/>
      <c r="S34" s="104"/>
      <c r="T34" s="75"/>
      <c r="U34" s="75"/>
      <c r="V34" s="75"/>
      <c r="W34" s="75"/>
    </row>
    <row r="35" spans="1:23">
      <c r="A35" s="98"/>
      <c r="F35" s="80"/>
      <c r="H35" s="99"/>
      <c r="I35" s="99"/>
      <c r="J35" s="99"/>
      <c r="K35" s="99"/>
      <c r="L35" s="99"/>
      <c r="M35" s="100"/>
      <c r="N35" s="101"/>
      <c r="R35" s="103"/>
      <c r="S35" s="104"/>
      <c r="T35" s="75"/>
      <c r="U35" s="75"/>
      <c r="V35" s="75"/>
      <c r="W35" s="75"/>
    </row>
    <row r="36" spans="1:23">
      <c r="A36" s="98"/>
      <c r="F36" s="80"/>
      <c r="H36" s="99"/>
      <c r="I36" s="99"/>
      <c r="J36" s="99"/>
      <c r="K36" s="99"/>
      <c r="L36" s="99"/>
      <c r="M36" s="100"/>
      <c r="N36" s="101"/>
      <c r="Q36" s="102"/>
      <c r="R36" s="103"/>
      <c r="S36" s="104"/>
      <c r="T36" s="75"/>
      <c r="U36" s="75"/>
      <c r="V36" s="75"/>
      <c r="W36" s="75"/>
    </row>
    <row r="37" spans="1:23">
      <c r="A37" s="98"/>
      <c r="F37" s="80"/>
      <c r="H37" s="99"/>
      <c r="I37" s="99"/>
      <c r="J37" s="99"/>
      <c r="K37" s="99"/>
      <c r="L37" s="99"/>
      <c r="M37" s="100"/>
      <c r="N37" s="101"/>
      <c r="Q37" s="102"/>
      <c r="R37" s="103"/>
      <c r="S37" s="104"/>
      <c r="T37" s="75"/>
      <c r="U37" s="75"/>
      <c r="V37" s="75"/>
      <c r="W37" s="75"/>
    </row>
    <row r="38" spans="1:23">
      <c r="A38" s="98"/>
      <c r="F38" s="80"/>
      <c r="H38" s="99"/>
      <c r="I38" s="99"/>
      <c r="J38" s="99"/>
      <c r="K38" s="99"/>
      <c r="L38" s="99"/>
      <c r="M38" s="100"/>
      <c r="N38" s="101"/>
      <c r="Q38" s="102"/>
      <c r="R38" s="104"/>
      <c r="S38" s="104"/>
      <c r="T38" s="75"/>
      <c r="U38" s="75"/>
      <c r="V38" s="75"/>
      <c r="W38" s="75"/>
    </row>
    <row r="39" spans="1:23">
      <c r="A39" s="98"/>
      <c r="F39" s="80"/>
      <c r="H39" s="99"/>
      <c r="I39" s="99"/>
      <c r="J39" s="99"/>
      <c r="K39" s="99"/>
      <c r="L39" s="99"/>
      <c r="M39" s="100"/>
      <c r="N39" s="101"/>
      <c r="Q39" s="102"/>
      <c r="R39" s="104"/>
      <c r="S39" s="104"/>
      <c r="T39" s="75"/>
      <c r="U39" s="75"/>
      <c r="V39" s="75"/>
      <c r="W39" s="75"/>
    </row>
    <row r="40" spans="1:23">
      <c r="A40" s="98"/>
      <c r="F40" s="80"/>
      <c r="H40" s="99"/>
      <c r="I40" s="99"/>
      <c r="J40" s="99"/>
      <c r="K40" s="99"/>
      <c r="L40" s="99"/>
      <c r="M40" s="100"/>
      <c r="N40" s="101"/>
      <c r="Q40" s="102"/>
      <c r="R40" s="104"/>
      <c r="S40" s="104"/>
      <c r="T40" s="75"/>
      <c r="U40" s="75"/>
      <c r="V40" s="75"/>
      <c r="W40" s="75"/>
    </row>
    <row r="41" spans="1:23">
      <c r="A41" s="98"/>
      <c r="F41" s="80"/>
      <c r="H41" s="99"/>
      <c r="I41" s="99"/>
      <c r="J41" s="99"/>
      <c r="K41" s="99"/>
      <c r="L41" s="99"/>
      <c r="M41" s="100"/>
      <c r="N41" s="101"/>
      <c r="Q41" s="102"/>
      <c r="R41" s="104"/>
      <c r="S41" s="104"/>
      <c r="T41" s="75"/>
      <c r="U41" s="75"/>
      <c r="V41" s="75"/>
      <c r="W41" s="75"/>
    </row>
    <row r="42" spans="1:23">
      <c r="A42" s="98"/>
      <c r="F42" s="80"/>
      <c r="H42" s="99"/>
      <c r="I42" s="99"/>
      <c r="J42" s="99"/>
      <c r="K42" s="99"/>
      <c r="L42" s="99"/>
      <c r="M42" s="100"/>
      <c r="N42" s="101"/>
      <c r="Q42" s="102"/>
      <c r="R42" s="104"/>
      <c r="S42" s="104"/>
      <c r="T42" s="75"/>
      <c r="U42" s="75"/>
      <c r="V42" s="75"/>
      <c r="W42" s="75"/>
    </row>
    <row r="43" spans="1:23">
      <c r="A43" s="98"/>
      <c r="F43" s="80"/>
      <c r="H43" s="99"/>
      <c r="I43" s="99"/>
      <c r="J43" s="99"/>
      <c r="K43" s="99"/>
      <c r="L43" s="99"/>
      <c r="M43" s="100"/>
      <c r="N43" s="101"/>
      <c r="Q43" s="102"/>
      <c r="R43" s="104"/>
      <c r="S43" s="104"/>
      <c r="T43" s="75"/>
      <c r="U43" s="75"/>
      <c r="V43" s="75"/>
      <c r="W43" s="75"/>
    </row>
    <row r="44" spans="1:23">
      <c r="A44" s="98"/>
      <c r="F44" s="80"/>
      <c r="H44" s="99"/>
      <c r="I44" s="99"/>
      <c r="J44" s="99"/>
      <c r="K44" s="99"/>
      <c r="L44" s="99"/>
      <c r="M44" s="100"/>
      <c r="N44" s="101"/>
      <c r="Q44" s="102"/>
      <c r="R44" s="104"/>
      <c r="S44" s="104"/>
      <c r="T44" s="75"/>
      <c r="U44" s="75"/>
      <c r="V44" s="75"/>
      <c r="W44" s="75"/>
    </row>
    <row r="45" spans="1:23">
      <c r="A45" s="98"/>
      <c r="F45" s="80"/>
      <c r="H45" s="99"/>
      <c r="I45" s="99"/>
      <c r="J45" s="99"/>
      <c r="K45" s="99"/>
      <c r="L45" s="99"/>
      <c r="M45" s="100"/>
      <c r="N45" s="101"/>
      <c r="Q45" s="102"/>
      <c r="R45" s="104"/>
      <c r="S45" s="104"/>
      <c r="T45" s="75"/>
      <c r="U45" s="75"/>
      <c r="V45" s="75"/>
      <c r="W45" s="75"/>
    </row>
    <row r="46" spans="1:23">
      <c r="A46" s="98"/>
      <c r="F46" s="80"/>
      <c r="H46" s="99"/>
      <c r="I46" s="99"/>
      <c r="J46" s="99"/>
      <c r="K46" s="99"/>
      <c r="L46" s="99"/>
      <c r="M46" s="100"/>
      <c r="N46" s="101"/>
      <c r="Q46" s="102"/>
      <c r="R46" s="104"/>
      <c r="S46" s="104"/>
      <c r="T46" s="75"/>
      <c r="U46" s="75"/>
      <c r="V46" s="75"/>
      <c r="W46" s="75"/>
    </row>
    <row r="47" spans="1:23">
      <c r="A47" s="98"/>
      <c r="F47" s="80"/>
      <c r="H47" s="99"/>
      <c r="I47" s="99"/>
      <c r="J47" s="99"/>
      <c r="K47" s="99"/>
      <c r="L47" s="99"/>
      <c r="M47" s="100"/>
      <c r="N47" s="101"/>
      <c r="Q47" s="102"/>
      <c r="R47" s="104"/>
      <c r="S47" s="104"/>
      <c r="T47" s="75"/>
      <c r="U47" s="75"/>
      <c r="V47" s="75"/>
      <c r="W47" s="75"/>
    </row>
    <row r="48" spans="1:23">
      <c r="A48" s="98"/>
      <c r="F48" s="80"/>
      <c r="H48" s="99"/>
      <c r="I48" s="99"/>
      <c r="J48" s="99"/>
      <c r="K48" s="99"/>
      <c r="L48" s="99"/>
      <c r="M48" s="100"/>
      <c r="N48" s="101"/>
      <c r="Q48" s="102"/>
      <c r="R48" s="104"/>
      <c r="S48" s="104"/>
      <c r="T48" s="75"/>
      <c r="U48" s="75"/>
      <c r="V48" s="75"/>
      <c r="W48" s="75"/>
    </row>
    <row r="49" spans="1:23">
      <c r="A49" s="98"/>
      <c r="F49" s="80"/>
      <c r="H49" s="99"/>
      <c r="I49" s="99"/>
      <c r="J49" s="99"/>
      <c r="K49" s="99"/>
      <c r="L49" s="99"/>
      <c r="M49" s="100"/>
      <c r="N49" s="101"/>
      <c r="Q49" s="102"/>
      <c r="R49" s="104"/>
      <c r="S49" s="104"/>
      <c r="T49" s="75"/>
      <c r="U49" s="75"/>
      <c r="V49" s="75"/>
      <c r="W49" s="75"/>
    </row>
    <row r="50" spans="1:23">
      <c r="A50" s="98"/>
      <c r="F50" s="80"/>
      <c r="H50" s="99"/>
      <c r="I50" s="99"/>
      <c r="J50" s="99"/>
      <c r="K50" s="99"/>
      <c r="L50" s="99"/>
      <c r="M50" s="100"/>
      <c r="N50" s="101"/>
      <c r="Q50" s="102"/>
      <c r="R50" s="104"/>
      <c r="S50" s="75"/>
      <c r="T50" s="75"/>
      <c r="U50" s="75"/>
      <c r="V50" s="75"/>
      <c r="W50" s="75"/>
    </row>
    <row r="51" spans="1:23">
      <c r="A51" s="98"/>
      <c r="F51" s="80"/>
      <c r="H51" s="99"/>
      <c r="I51" s="99"/>
      <c r="J51" s="99"/>
      <c r="K51" s="99"/>
      <c r="L51" s="99"/>
      <c r="M51" s="100"/>
      <c r="N51" s="101"/>
      <c r="Q51" s="102"/>
      <c r="R51" s="103"/>
      <c r="S51" s="75"/>
      <c r="T51" s="75"/>
      <c r="U51" s="75"/>
      <c r="V51" s="75"/>
      <c r="W51" s="75"/>
    </row>
    <row r="52" spans="1:23">
      <c r="A52" s="98"/>
      <c r="F52" s="80"/>
      <c r="H52" s="99"/>
      <c r="I52" s="99"/>
      <c r="J52" s="99"/>
      <c r="K52" s="99"/>
      <c r="L52" s="99"/>
      <c r="M52" s="100"/>
      <c r="N52" s="101"/>
      <c r="Q52" s="102"/>
      <c r="R52" s="103"/>
      <c r="S52" s="75"/>
      <c r="T52" s="75"/>
      <c r="U52" s="75"/>
      <c r="V52" s="75"/>
      <c r="W52" s="75"/>
    </row>
    <row r="53" spans="1:23">
      <c r="A53" s="98"/>
      <c r="F53" s="80"/>
      <c r="H53" s="99"/>
      <c r="I53" s="99"/>
      <c r="J53" s="99"/>
      <c r="K53" s="99"/>
      <c r="L53" s="99"/>
      <c r="M53" s="100"/>
      <c r="N53" s="101"/>
      <c r="R53" s="103"/>
      <c r="S53" s="75"/>
      <c r="T53" s="75"/>
      <c r="U53" s="75"/>
      <c r="V53" s="75"/>
      <c r="W53" s="75"/>
    </row>
    <row r="54" spans="1:23">
      <c r="A54" s="98"/>
      <c r="F54" s="80"/>
      <c r="H54" s="99"/>
      <c r="I54" s="99"/>
      <c r="J54" s="99"/>
      <c r="K54" s="99"/>
      <c r="L54" s="99"/>
      <c r="M54" s="100"/>
      <c r="N54" s="101"/>
      <c r="R54" s="103"/>
      <c r="S54" s="75"/>
      <c r="T54" s="75"/>
      <c r="U54" s="75"/>
      <c r="V54" s="75"/>
      <c r="W54" s="75"/>
    </row>
    <row r="55" spans="1:23">
      <c r="A55" s="98"/>
      <c r="F55" s="80"/>
      <c r="H55" s="99"/>
      <c r="I55" s="99"/>
      <c r="J55" s="99"/>
      <c r="K55" s="99"/>
      <c r="L55" s="99"/>
      <c r="M55" s="100"/>
      <c r="N55" s="101"/>
      <c r="R55" s="103"/>
      <c r="S55" s="75"/>
      <c r="T55" s="75"/>
      <c r="U55" s="75"/>
      <c r="V55" s="75"/>
      <c r="W55" s="75"/>
    </row>
    <row r="56" spans="1:23">
      <c r="A56" s="98"/>
      <c r="F56" s="80"/>
      <c r="H56" s="99"/>
      <c r="I56" s="99"/>
      <c r="J56" s="99"/>
      <c r="K56" s="99"/>
      <c r="L56" s="99"/>
      <c r="M56" s="100"/>
      <c r="N56" s="101"/>
      <c r="R56" s="103"/>
      <c r="S56" s="75"/>
      <c r="T56" s="75"/>
      <c r="U56" s="75"/>
      <c r="V56" s="75"/>
      <c r="W56" s="75"/>
    </row>
    <row r="57" spans="1:23">
      <c r="A57" s="98"/>
      <c r="F57" s="80"/>
      <c r="H57" s="99"/>
      <c r="I57" s="99"/>
      <c r="J57" s="99"/>
      <c r="K57" s="99"/>
      <c r="L57" s="99"/>
      <c r="M57" s="100"/>
      <c r="N57" s="101"/>
      <c r="Q57" s="102"/>
      <c r="R57" s="103"/>
      <c r="S57" s="75"/>
      <c r="T57" s="75"/>
      <c r="U57" s="75"/>
      <c r="V57" s="75"/>
      <c r="W57" s="75"/>
    </row>
    <row r="58" spans="1:23">
      <c r="A58" s="98"/>
      <c r="F58" s="80"/>
      <c r="H58" s="99"/>
      <c r="I58" s="99"/>
      <c r="J58" s="99"/>
      <c r="K58" s="99"/>
      <c r="L58" s="99"/>
      <c r="M58" s="100"/>
      <c r="N58" s="101"/>
      <c r="Q58" s="102"/>
      <c r="R58" s="103"/>
      <c r="S58" s="75"/>
      <c r="T58" s="75"/>
      <c r="U58" s="75"/>
      <c r="V58" s="75"/>
      <c r="W58" s="75"/>
    </row>
    <row r="59" spans="1:23">
      <c r="A59" s="98"/>
      <c r="F59" s="80"/>
      <c r="H59" s="99"/>
      <c r="I59" s="99"/>
      <c r="J59" s="99"/>
      <c r="K59" s="99"/>
      <c r="L59" s="99"/>
      <c r="M59" s="100"/>
      <c r="N59" s="101"/>
      <c r="R59" s="103"/>
      <c r="S59" s="75"/>
      <c r="T59" s="75"/>
      <c r="U59" s="106"/>
      <c r="V59" s="75"/>
      <c r="W59" s="75"/>
    </row>
    <row r="60" spans="1:23">
      <c r="A60" s="98"/>
      <c r="F60" s="80"/>
      <c r="H60" s="99"/>
      <c r="I60" s="99"/>
      <c r="J60" s="99"/>
      <c r="K60" s="99"/>
      <c r="L60" s="99"/>
      <c r="M60" s="100"/>
      <c r="N60" s="101"/>
      <c r="R60" s="103"/>
      <c r="S60" s="75"/>
      <c r="T60" s="75"/>
      <c r="U60" s="75"/>
      <c r="V60" s="75"/>
      <c r="W60" s="75"/>
    </row>
    <row r="61" spans="1:23">
      <c r="A61" s="98"/>
      <c r="F61" s="80"/>
      <c r="H61" s="99"/>
      <c r="I61" s="99"/>
      <c r="J61" s="99"/>
      <c r="K61" s="99"/>
      <c r="L61" s="99"/>
      <c r="M61" s="100"/>
      <c r="N61" s="101"/>
      <c r="Q61" s="102"/>
      <c r="R61" s="103"/>
      <c r="S61" s="75"/>
      <c r="T61" s="75"/>
      <c r="U61" s="75"/>
      <c r="V61" s="75"/>
      <c r="W61" s="75"/>
    </row>
    <row r="62" spans="1:23">
      <c r="A62" s="98"/>
      <c r="F62" s="80"/>
      <c r="H62" s="99"/>
      <c r="I62" s="99"/>
      <c r="J62" s="99"/>
      <c r="K62" s="99"/>
      <c r="L62" s="99"/>
      <c r="M62" s="100"/>
      <c r="N62" s="101"/>
      <c r="Q62" s="102"/>
      <c r="R62" s="103"/>
      <c r="S62" s="75"/>
      <c r="T62" s="75"/>
      <c r="U62" s="75"/>
      <c r="V62" s="75"/>
      <c r="W62" s="75"/>
    </row>
    <row r="63" spans="1:23">
      <c r="A63" s="98"/>
      <c r="F63" s="80"/>
      <c r="H63" s="99"/>
      <c r="I63" s="99"/>
      <c r="J63" s="99"/>
      <c r="K63" s="99"/>
      <c r="L63" s="99"/>
      <c r="M63" s="100"/>
      <c r="N63" s="101"/>
      <c r="R63" s="104"/>
      <c r="S63" s="75"/>
      <c r="T63" s="75"/>
      <c r="U63" s="75"/>
      <c r="V63" s="75"/>
      <c r="W63" s="75"/>
    </row>
    <row r="64" spans="1:23">
      <c r="A64" s="98"/>
      <c r="F64" s="80"/>
      <c r="H64" s="99"/>
      <c r="I64" s="99"/>
      <c r="J64" s="99"/>
      <c r="K64" s="99"/>
      <c r="L64" s="99"/>
      <c r="M64" s="100"/>
      <c r="N64" s="101"/>
      <c r="R64" s="104"/>
      <c r="S64" s="75"/>
      <c r="T64" s="75"/>
      <c r="U64" s="75"/>
      <c r="V64" s="75"/>
      <c r="W64" s="75"/>
    </row>
    <row r="65" spans="1:23">
      <c r="A65" s="98"/>
      <c r="F65" s="80"/>
      <c r="H65" s="99"/>
      <c r="I65" s="99"/>
      <c r="J65" s="99"/>
      <c r="K65" s="99"/>
      <c r="L65" s="99"/>
      <c r="M65" s="100"/>
      <c r="N65" s="101"/>
      <c r="Q65" s="102"/>
      <c r="R65" s="104"/>
      <c r="S65" s="75"/>
      <c r="T65" s="75"/>
      <c r="U65" s="106"/>
      <c r="V65" s="75"/>
      <c r="W65" s="75"/>
    </row>
    <row r="66" spans="1:23">
      <c r="A66" s="98"/>
      <c r="F66" s="80"/>
      <c r="H66" s="99"/>
      <c r="I66" s="99"/>
      <c r="J66" s="99"/>
      <c r="K66" s="99"/>
      <c r="L66" s="99"/>
      <c r="M66" s="100"/>
      <c r="N66" s="101"/>
      <c r="R66" s="104"/>
      <c r="S66" s="75"/>
      <c r="T66" s="75"/>
      <c r="U66" s="75"/>
      <c r="V66" s="75"/>
      <c r="W66" s="75"/>
    </row>
    <row r="67" spans="1:23">
      <c r="A67" s="98"/>
      <c r="F67" s="80"/>
      <c r="H67" s="99"/>
      <c r="I67" s="99"/>
      <c r="J67" s="99"/>
      <c r="K67" s="99"/>
      <c r="L67" s="99"/>
      <c r="M67" s="100"/>
      <c r="N67" s="101"/>
      <c r="R67" s="104"/>
      <c r="S67" s="75"/>
      <c r="T67" s="75"/>
      <c r="U67" s="75"/>
      <c r="V67" s="75"/>
      <c r="W67" s="75"/>
    </row>
    <row r="68" spans="1:23">
      <c r="A68" s="98"/>
      <c r="F68" s="80"/>
      <c r="H68" s="99"/>
      <c r="I68" s="99"/>
      <c r="J68" s="99"/>
      <c r="K68" s="99"/>
      <c r="L68" s="99"/>
      <c r="M68" s="100"/>
      <c r="N68" s="101"/>
      <c r="R68" s="104"/>
      <c r="S68" s="75"/>
      <c r="T68" s="75"/>
      <c r="U68" s="75"/>
      <c r="V68" s="75"/>
      <c r="W68" s="75"/>
    </row>
    <row r="69" spans="1:23">
      <c r="A69" s="98"/>
      <c r="F69" s="80"/>
      <c r="H69" s="99"/>
      <c r="I69" s="99"/>
      <c r="J69" s="99"/>
      <c r="K69" s="99"/>
      <c r="L69" s="99"/>
      <c r="M69" s="100"/>
      <c r="N69" s="101"/>
      <c r="R69" s="104"/>
      <c r="S69" s="75"/>
      <c r="T69" s="75"/>
      <c r="U69" s="75"/>
      <c r="V69" s="75"/>
      <c r="W69" s="75"/>
    </row>
    <row r="70" spans="1:23">
      <c r="A70" s="98"/>
      <c r="F70" s="80"/>
      <c r="H70" s="99"/>
      <c r="I70" s="99"/>
      <c r="J70" s="99"/>
      <c r="K70" s="99"/>
      <c r="L70" s="99"/>
      <c r="M70" s="100"/>
      <c r="N70" s="101"/>
      <c r="Q70" s="102"/>
      <c r="R70" s="104"/>
      <c r="S70" s="75"/>
      <c r="T70" s="75"/>
      <c r="U70" s="75"/>
      <c r="V70" s="75"/>
      <c r="W70" s="75"/>
    </row>
    <row r="71" spans="1:23">
      <c r="A71" s="98"/>
      <c r="F71" s="80"/>
      <c r="H71" s="99"/>
      <c r="I71" s="99"/>
      <c r="J71" s="99"/>
      <c r="K71" s="99"/>
      <c r="L71" s="99"/>
      <c r="M71" s="100"/>
      <c r="N71" s="101"/>
      <c r="R71" s="104"/>
      <c r="S71" s="75"/>
      <c r="T71" s="75"/>
      <c r="U71" s="75"/>
      <c r="V71" s="75"/>
      <c r="W71" s="75"/>
    </row>
    <row r="72" spans="1:23">
      <c r="A72" s="98"/>
      <c r="F72" s="80"/>
      <c r="H72" s="99"/>
      <c r="I72" s="99"/>
      <c r="J72" s="99"/>
      <c r="K72" s="99"/>
      <c r="L72" s="99"/>
      <c r="M72" s="100"/>
      <c r="N72" s="101"/>
      <c r="Q72" s="102"/>
      <c r="R72" s="104"/>
      <c r="S72" s="75"/>
      <c r="T72" s="75"/>
      <c r="U72" s="75"/>
      <c r="V72" s="75"/>
      <c r="W72" s="75"/>
    </row>
    <row r="73" spans="1:23">
      <c r="A73" s="98"/>
      <c r="F73" s="80"/>
      <c r="H73" s="99"/>
      <c r="I73" s="99"/>
      <c r="J73" s="99"/>
      <c r="K73" s="99"/>
      <c r="L73" s="99"/>
      <c r="M73" s="100"/>
      <c r="N73" s="101"/>
      <c r="R73" s="103"/>
      <c r="S73" s="75"/>
      <c r="T73" s="75"/>
      <c r="U73" s="75"/>
      <c r="V73" s="75"/>
      <c r="W73" s="75"/>
    </row>
    <row r="74" spans="1:23">
      <c r="A74" s="98"/>
      <c r="F74" s="80"/>
      <c r="H74" s="99"/>
      <c r="I74" s="99"/>
      <c r="J74" s="99"/>
      <c r="K74" s="99"/>
      <c r="L74" s="99"/>
      <c r="M74" s="100"/>
      <c r="N74" s="101"/>
      <c r="R74" s="103"/>
      <c r="S74" s="75"/>
      <c r="T74" s="75"/>
      <c r="U74" s="75"/>
      <c r="V74" s="75"/>
      <c r="W74" s="75"/>
    </row>
    <row r="75" spans="1:23">
      <c r="A75" s="98"/>
      <c r="F75" s="80"/>
      <c r="H75" s="99"/>
      <c r="I75" s="99"/>
      <c r="J75" s="99"/>
      <c r="K75" s="99"/>
      <c r="L75" s="99"/>
      <c r="M75" s="100"/>
      <c r="N75" s="101"/>
      <c r="R75" s="103"/>
      <c r="S75" s="75"/>
      <c r="T75" s="75"/>
      <c r="U75" s="75"/>
      <c r="V75" s="75"/>
      <c r="W75" s="75"/>
    </row>
    <row r="76" spans="1:23">
      <c r="A76" s="98"/>
      <c r="F76" s="80"/>
      <c r="H76" s="99"/>
      <c r="I76" s="99"/>
      <c r="J76" s="99"/>
      <c r="K76" s="99"/>
      <c r="L76" s="99"/>
      <c r="M76" s="100"/>
      <c r="N76" s="101"/>
      <c r="R76" s="103"/>
      <c r="S76" s="75"/>
      <c r="T76" s="75"/>
      <c r="U76" s="75"/>
      <c r="V76" s="75"/>
      <c r="W76" s="75"/>
    </row>
    <row r="77" spans="1:23">
      <c r="A77" s="98"/>
      <c r="F77" s="80"/>
      <c r="H77" s="99"/>
      <c r="I77" s="99"/>
      <c r="J77" s="99"/>
      <c r="K77" s="99"/>
      <c r="L77" s="99"/>
      <c r="M77" s="100"/>
      <c r="N77" s="101"/>
      <c r="R77" s="103"/>
      <c r="S77" s="75"/>
      <c r="T77" s="75"/>
      <c r="U77" s="75"/>
      <c r="V77" s="75"/>
      <c r="W77" s="75"/>
    </row>
    <row r="78" spans="1:23">
      <c r="A78" s="98"/>
      <c r="F78" s="80"/>
      <c r="H78" s="99"/>
      <c r="I78" s="99"/>
      <c r="J78" s="99"/>
      <c r="K78" s="99"/>
      <c r="L78" s="99"/>
      <c r="M78" s="100"/>
      <c r="N78" s="101"/>
      <c r="R78" s="103"/>
      <c r="S78" s="75"/>
      <c r="T78" s="75"/>
      <c r="U78" s="75"/>
      <c r="V78" s="75"/>
      <c r="W78" s="75"/>
    </row>
    <row r="79" spans="1:23">
      <c r="A79" s="98"/>
      <c r="F79" s="80"/>
      <c r="H79" s="99"/>
      <c r="I79" s="99"/>
      <c r="J79" s="99"/>
      <c r="K79" s="99"/>
      <c r="L79" s="99"/>
      <c r="M79" s="100"/>
      <c r="N79" s="101"/>
      <c r="R79" s="103"/>
      <c r="S79" s="75"/>
      <c r="T79" s="75"/>
      <c r="U79" s="75"/>
      <c r="V79" s="75"/>
      <c r="W79" s="75"/>
    </row>
    <row r="80" spans="1:23">
      <c r="A80" s="98"/>
      <c r="F80" s="80"/>
      <c r="H80" s="99"/>
      <c r="I80" s="99"/>
      <c r="J80" s="99"/>
      <c r="K80" s="99"/>
      <c r="L80" s="99"/>
      <c r="M80" s="100"/>
      <c r="N80" s="101"/>
      <c r="R80" s="103"/>
      <c r="S80" s="75"/>
      <c r="T80" s="75"/>
      <c r="U80" s="75"/>
      <c r="V80" s="75"/>
      <c r="W80" s="75"/>
    </row>
    <row r="81" spans="1:23">
      <c r="A81" s="98"/>
      <c r="F81" s="80"/>
      <c r="H81" s="99"/>
      <c r="I81" s="99"/>
      <c r="J81" s="99"/>
      <c r="K81" s="99"/>
      <c r="L81" s="99"/>
      <c r="M81" s="100"/>
      <c r="N81" s="101"/>
      <c r="R81" s="103"/>
      <c r="S81" s="75"/>
      <c r="T81" s="75"/>
      <c r="U81" s="75"/>
      <c r="V81" s="75"/>
      <c r="W81" s="75"/>
    </row>
    <row r="82" spans="1:23">
      <c r="A82" s="98"/>
      <c r="F82" s="80"/>
      <c r="H82" s="99"/>
      <c r="I82" s="99"/>
      <c r="J82" s="99"/>
      <c r="K82" s="99"/>
      <c r="L82" s="99"/>
      <c r="M82" s="100"/>
      <c r="N82" s="101"/>
      <c r="R82" s="103"/>
      <c r="S82" s="75"/>
      <c r="T82" s="75"/>
      <c r="U82" s="75"/>
      <c r="V82" s="75"/>
      <c r="W82" s="75"/>
    </row>
    <row r="83" spans="1:23">
      <c r="A83" s="98"/>
      <c r="F83" s="80"/>
      <c r="H83" s="99"/>
      <c r="I83" s="99"/>
      <c r="J83" s="99"/>
      <c r="K83" s="99"/>
      <c r="L83" s="99"/>
      <c r="M83" s="100"/>
      <c r="N83" s="101"/>
      <c r="R83" s="103"/>
      <c r="S83" s="75"/>
      <c r="T83" s="75"/>
      <c r="U83" s="75"/>
      <c r="V83" s="75"/>
      <c r="W83" s="75"/>
    </row>
    <row r="84" spans="1:23">
      <c r="A84" s="98"/>
      <c r="F84" s="80"/>
      <c r="H84" s="99"/>
      <c r="I84" s="99"/>
      <c r="J84" s="99"/>
      <c r="K84" s="99"/>
      <c r="L84" s="99"/>
      <c r="M84" s="100"/>
      <c r="N84" s="101"/>
      <c r="R84" s="103"/>
      <c r="S84" s="75"/>
      <c r="T84" s="75"/>
      <c r="U84" s="75"/>
      <c r="V84" s="75"/>
      <c r="W84" s="75"/>
    </row>
    <row r="85" spans="1:23">
      <c r="A85" s="98"/>
      <c r="F85" s="80"/>
      <c r="H85" s="99"/>
      <c r="I85" s="99"/>
      <c r="J85" s="99"/>
      <c r="K85" s="99"/>
      <c r="L85" s="99"/>
      <c r="M85" s="100"/>
      <c r="N85" s="101"/>
      <c r="R85" s="103"/>
      <c r="S85" s="75"/>
      <c r="T85" s="75"/>
      <c r="U85" s="75"/>
      <c r="V85" s="75"/>
      <c r="W85" s="75"/>
    </row>
    <row r="86" spans="1:23">
      <c r="A86" s="98"/>
      <c r="F86" s="80"/>
      <c r="H86" s="99"/>
      <c r="I86" s="99"/>
      <c r="J86" s="99"/>
      <c r="K86" s="99"/>
      <c r="L86" s="99"/>
      <c r="M86" s="100"/>
      <c r="N86" s="101"/>
      <c r="R86" s="103"/>
      <c r="S86" s="75"/>
      <c r="T86" s="75"/>
      <c r="U86" s="75"/>
      <c r="V86" s="75"/>
      <c r="W86" s="75"/>
    </row>
    <row r="87" spans="1:23">
      <c r="A87" s="98"/>
      <c r="F87" s="80"/>
      <c r="H87" s="99"/>
      <c r="I87" s="99"/>
      <c r="J87" s="99"/>
      <c r="K87" s="99"/>
      <c r="L87" s="99"/>
      <c r="M87" s="100"/>
      <c r="N87" s="101"/>
      <c r="R87" s="103"/>
      <c r="S87" s="75"/>
      <c r="T87" s="75"/>
      <c r="U87" s="75"/>
      <c r="V87" s="75"/>
      <c r="W87" s="75"/>
    </row>
    <row r="88" spans="1:23">
      <c r="A88" s="98"/>
      <c r="F88" s="80"/>
      <c r="H88" s="99"/>
      <c r="I88" s="99"/>
      <c r="J88" s="99"/>
      <c r="K88" s="99"/>
      <c r="L88" s="99"/>
      <c r="M88" s="100"/>
      <c r="N88" s="101"/>
      <c r="R88" s="103"/>
      <c r="S88" s="75"/>
      <c r="T88" s="75"/>
      <c r="U88" s="75"/>
      <c r="V88" s="75"/>
      <c r="W88" s="75"/>
    </row>
    <row r="89" spans="1:23">
      <c r="A89" s="98"/>
      <c r="F89" s="80"/>
      <c r="H89" s="99"/>
      <c r="I89" s="99"/>
      <c r="J89" s="99"/>
      <c r="K89" s="99"/>
      <c r="L89" s="99"/>
      <c r="M89" s="100"/>
      <c r="N89" s="101"/>
      <c r="R89" s="103"/>
      <c r="S89" s="75"/>
      <c r="T89" s="75"/>
      <c r="U89" s="75"/>
      <c r="V89" s="75"/>
      <c r="W89" s="75"/>
    </row>
    <row r="90" spans="1:23">
      <c r="A90" s="98"/>
      <c r="F90" s="80"/>
      <c r="H90" s="99"/>
      <c r="I90" s="99"/>
      <c r="J90" s="99"/>
      <c r="K90" s="99"/>
      <c r="L90" s="99"/>
      <c r="M90" s="100"/>
      <c r="N90" s="101"/>
      <c r="R90" s="103"/>
      <c r="S90" s="75"/>
      <c r="T90" s="75"/>
      <c r="U90" s="75"/>
      <c r="V90" s="75"/>
      <c r="W90" s="75"/>
    </row>
    <row r="91" spans="1:23">
      <c r="A91" s="98"/>
      <c r="F91" s="80"/>
      <c r="H91" s="99"/>
      <c r="I91" s="99"/>
      <c r="J91" s="99"/>
      <c r="K91" s="99"/>
      <c r="L91" s="99"/>
      <c r="M91" s="100"/>
      <c r="N91" s="101"/>
      <c r="R91" s="103"/>
      <c r="S91" s="75"/>
      <c r="T91" s="75"/>
      <c r="U91" s="75"/>
      <c r="V91" s="75"/>
      <c r="W91" s="75"/>
    </row>
    <row r="92" spans="1:23">
      <c r="A92" s="98"/>
      <c r="F92" s="80"/>
      <c r="H92" s="99"/>
      <c r="I92" s="99"/>
      <c r="J92" s="99"/>
      <c r="K92" s="99"/>
      <c r="L92" s="99"/>
      <c r="M92" s="100"/>
      <c r="N92" s="101"/>
      <c r="R92" s="103"/>
      <c r="S92" s="75"/>
      <c r="T92" s="75"/>
      <c r="U92" s="75"/>
      <c r="V92" s="75"/>
      <c r="W92" s="75"/>
    </row>
    <row r="93" spans="1:23">
      <c r="A93" s="98"/>
      <c r="F93" s="80"/>
      <c r="H93" s="99"/>
      <c r="I93" s="99"/>
      <c r="J93" s="99"/>
      <c r="K93" s="99"/>
      <c r="L93" s="99"/>
      <c r="M93" s="100"/>
      <c r="N93" s="101"/>
      <c r="R93" s="103"/>
      <c r="S93" s="75"/>
      <c r="T93" s="75"/>
      <c r="U93" s="75"/>
      <c r="V93" s="75"/>
      <c r="W93" s="75"/>
    </row>
    <row r="94" spans="1:23">
      <c r="A94" s="98"/>
      <c r="F94" s="80"/>
      <c r="H94" s="99"/>
      <c r="I94" s="99"/>
      <c r="J94" s="99"/>
      <c r="K94" s="99"/>
      <c r="L94" s="99"/>
      <c r="M94" s="100"/>
      <c r="N94" s="101"/>
      <c r="R94" s="103"/>
      <c r="S94" s="75"/>
      <c r="T94" s="75"/>
      <c r="U94" s="75"/>
      <c r="V94" s="75"/>
      <c r="W94" s="75"/>
    </row>
    <row r="95" spans="1:23">
      <c r="A95" s="98"/>
      <c r="F95" s="80"/>
      <c r="H95" s="99"/>
      <c r="I95" s="99"/>
      <c r="J95" s="99"/>
      <c r="K95" s="99"/>
      <c r="L95" s="99"/>
      <c r="M95" s="100"/>
      <c r="N95" s="101"/>
      <c r="R95" s="103"/>
      <c r="S95" s="75"/>
      <c r="T95" s="75"/>
      <c r="U95" s="75"/>
      <c r="V95" s="75"/>
      <c r="W95" s="75"/>
    </row>
    <row r="96" spans="1:23">
      <c r="A96" s="98"/>
      <c r="F96" s="80"/>
      <c r="H96" s="99"/>
      <c r="I96" s="99"/>
      <c r="J96" s="99"/>
      <c r="K96" s="99"/>
      <c r="L96" s="99"/>
      <c r="M96" s="100"/>
      <c r="N96" s="101"/>
      <c r="R96" s="103"/>
      <c r="S96" s="75"/>
      <c r="T96" s="75"/>
      <c r="U96" s="75"/>
      <c r="V96" s="75"/>
      <c r="W96" s="75"/>
    </row>
    <row r="97" spans="1:23">
      <c r="A97" s="98"/>
      <c r="F97" s="80"/>
      <c r="H97" s="99"/>
      <c r="I97" s="99"/>
      <c r="J97" s="99"/>
      <c r="K97" s="99"/>
      <c r="L97" s="99"/>
      <c r="M97" s="100"/>
      <c r="N97" s="101"/>
      <c r="R97" s="103"/>
      <c r="S97" s="75"/>
      <c r="T97" s="75"/>
      <c r="U97" s="75"/>
      <c r="V97" s="75"/>
      <c r="W97" s="75"/>
    </row>
    <row r="98" spans="1:23">
      <c r="A98" s="98"/>
      <c r="F98" s="80"/>
      <c r="H98" s="99"/>
      <c r="I98" s="99"/>
      <c r="J98" s="99"/>
      <c r="K98" s="99"/>
      <c r="L98" s="99"/>
      <c r="M98" s="100"/>
      <c r="N98" s="101"/>
      <c r="R98" s="103"/>
      <c r="S98" s="75"/>
      <c r="T98" s="75"/>
      <c r="U98" s="75"/>
      <c r="V98" s="75"/>
      <c r="W98" s="75"/>
    </row>
    <row r="99" spans="1:23">
      <c r="A99" s="98"/>
      <c r="F99" s="80"/>
      <c r="H99" s="99"/>
      <c r="I99" s="99"/>
      <c r="J99" s="99"/>
      <c r="K99" s="99"/>
      <c r="L99" s="99"/>
      <c r="M99" s="100"/>
      <c r="N99" s="101"/>
      <c r="R99" s="103"/>
      <c r="S99" s="75"/>
      <c r="T99" s="75"/>
      <c r="U99" s="75"/>
      <c r="V99" s="75"/>
      <c r="W99" s="75"/>
    </row>
    <row r="100" spans="1:23">
      <c r="A100" s="98"/>
      <c r="F100" s="80"/>
      <c r="H100" s="99"/>
      <c r="I100" s="99"/>
      <c r="J100" s="99"/>
      <c r="K100" s="99"/>
      <c r="L100" s="99"/>
      <c r="M100" s="100"/>
      <c r="N100" s="101"/>
      <c r="R100" s="103"/>
      <c r="S100" s="75"/>
      <c r="T100" s="75"/>
      <c r="U100" s="75"/>
      <c r="V100" s="75"/>
      <c r="W100" s="75"/>
    </row>
    <row r="101" spans="1:23">
      <c r="A101" s="98"/>
      <c r="F101" s="80"/>
      <c r="H101" s="99"/>
      <c r="I101" s="99"/>
      <c r="J101" s="99"/>
      <c r="K101" s="99"/>
      <c r="L101" s="99"/>
      <c r="M101" s="100"/>
      <c r="N101" s="101"/>
      <c r="R101" s="103"/>
      <c r="S101" s="75"/>
      <c r="T101" s="75"/>
      <c r="U101" s="75"/>
      <c r="V101" s="75"/>
      <c r="W101" s="75"/>
    </row>
    <row r="102" spans="1:23">
      <c r="A102" s="98"/>
      <c r="F102" s="80"/>
      <c r="H102" s="99"/>
      <c r="I102" s="99"/>
      <c r="J102" s="99"/>
      <c r="K102" s="99"/>
      <c r="L102" s="99"/>
      <c r="M102" s="100"/>
      <c r="N102" s="101"/>
      <c r="R102" s="103"/>
      <c r="S102" s="75"/>
      <c r="T102" s="75"/>
      <c r="U102" s="75"/>
      <c r="V102" s="75"/>
      <c r="W102" s="75"/>
    </row>
    <row r="103" spans="1:23">
      <c r="A103" s="98"/>
      <c r="F103" s="80"/>
      <c r="H103" s="99"/>
      <c r="I103" s="99"/>
      <c r="J103" s="99"/>
      <c r="K103" s="99"/>
      <c r="L103" s="99"/>
      <c r="M103" s="100"/>
      <c r="N103" s="101"/>
      <c r="R103" s="103"/>
      <c r="S103" s="75"/>
      <c r="T103" s="75"/>
      <c r="U103" s="75"/>
      <c r="V103" s="75"/>
      <c r="W103" s="75"/>
    </row>
    <row r="104" spans="1:23">
      <c r="A104" s="98"/>
      <c r="F104" s="80"/>
      <c r="H104" s="99"/>
      <c r="I104" s="99"/>
      <c r="J104" s="99"/>
      <c r="K104" s="99"/>
      <c r="L104" s="99"/>
      <c r="M104" s="100"/>
      <c r="N104" s="101"/>
      <c r="R104" s="103"/>
      <c r="S104" s="75"/>
      <c r="T104" s="75"/>
      <c r="U104" s="75"/>
      <c r="V104" s="75"/>
      <c r="W104" s="75"/>
    </row>
    <row r="105" spans="1:23">
      <c r="A105" s="98"/>
      <c r="F105" s="80"/>
      <c r="H105" s="99"/>
      <c r="I105" s="99"/>
      <c r="J105" s="99"/>
      <c r="K105" s="99"/>
      <c r="L105" s="99"/>
      <c r="M105" s="100"/>
      <c r="N105" s="101"/>
      <c r="R105" s="103"/>
      <c r="S105" s="75"/>
      <c r="T105" s="75"/>
      <c r="U105" s="75"/>
      <c r="V105" s="75"/>
      <c r="W105" s="75"/>
    </row>
    <row r="106" spans="1:23">
      <c r="A106" s="98"/>
      <c r="F106" s="80"/>
      <c r="H106" s="99"/>
      <c r="I106" s="99"/>
      <c r="J106" s="99"/>
      <c r="K106" s="99"/>
      <c r="L106" s="99"/>
      <c r="M106" s="100"/>
      <c r="N106" s="101"/>
      <c r="R106" s="103"/>
      <c r="S106" s="75"/>
      <c r="T106" s="75"/>
      <c r="U106" s="75"/>
      <c r="V106" s="75"/>
      <c r="W106" s="75"/>
    </row>
    <row r="107" spans="1:23">
      <c r="A107" s="98"/>
      <c r="F107" s="80"/>
      <c r="H107" s="99"/>
      <c r="I107" s="99"/>
      <c r="J107" s="99"/>
      <c r="K107" s="99"/>
      <c r="L107" s="99"/>
      <c r="M107" s="100"/>
      <c r="N107" s="101"/>
      <c r="R107" s="103"/>
      <c r="S107" s="75"/>
      <c r="T107" s="75"/>
      <c r="U107" s="75"/>
      <c r="V107" s="75"/>
      <c r="W107" s="75"/>
    </row>
    <row r="108" spans="1:23">
      <c r="A108" s="98"/>
      <c r="F108" s="80"/>
      <c r="H108" s="99"/>
      <c r="I108" s="99"/>
      <c r="J108" s="99"/>
      <c r="K108" s="99"/>
      <c r="L108" s="99"/>
      <c r="M108" s="100"/>
      <c r="N108" s="101"/>
      <c r="Q108" s="105"/>
      <c r="R108" s="103"/>
      <c r="S108" s="75"/>
      <c r="T108" s="75"/>
      <c r="U108" s="75"/>
      <c r="V108" s="75"/>
      <c r="W108" s="75"/>
    </row>
    <row r="109" spans="1:23">
      <c r="A109" s="98"/>
      <c r="F109" s="80"/>
      <c r="H109" s="99"/>
      <c r="I109" s="99"/>
      <c r="J109" s="99"/>
      <c r="K109" s="99"/>
      <c r="L109" s="99"/>
      <c r="M109" s="100"/>
      <c r="N109" s="101"/>
      <c r="Q109" s="102"/>
      <c r="R109" s="103"/>
      <c r="S109" s="75"/>
      <c r="T109" s="75"/>
      <c r="U109" s="75"/>
      <c r="V109" s="75"/>
      <c r="W109" s="75"/>
    </row>
    <row r="110" spans="1:23">
      <c r="A110" s="98"/>
      <c r="F110" s="80"/>
      <c r="H110" s="99"/>
      <c r="I110" s="99"/>
      <c r="J110" s="99"/>
      <c r="K110" s="99"/>
      <c r="L110" s="99"/>
      <c r="M110" s="100"/>
      <c r="N110" s="101"/>
      <c r="Q110" s="102"/>
      <c r="R110" s="103"/>
      <c r="S110" s="75"/>
      <c r="T110" s="75"/>
      <c r="U110" s="75"/>
      <c r="V110" s="75"/>
      <c r="W110" s="75"/>
    </row>
    <row r="111" spans="1:23">
      <c r="A111" s="98"/>
      <c r="F111" s="80"/>
      <c r="H111" s="99"/>
      <c r="I111" s="99"/>
      <c r="J111" s="99"/>
      <c r="K111" s="99"/>
      <c r="L111" s="99"/>
      <c r="M111" s="100"/>
      <c r="N111" s="101"/>
      <c r="R111" s="103"/>
      <c r="S111" s="75"/>
      <c r="T111" s="75"/>
      <c r="U111" s="75"/>
      <c r="V111" s="75"/>
      <c r="W111" s="75"/>
    </row>
    <row r="112" spans="1:23">
      <c r="A112" s="98"/>
      <c r="F112" s="80"/>
      <c r="H112" s="99"/>
      <c r="I112" s="99"/>
      <c r="J112" s="99"/>
      <c r="K112" s="99"/>
      <c r="L112" s="99"/>
      <c r="M112" s="100"/>
      <c r="N112" s="101"/>
      <c r="Q112" s="105"/>
      <c r="R112" s="103"/>
      <c r="S112" s="75"/>
      <c r="T112" s="75"/>
      <c r="U112" s="75"/>
      <c r="V112" s="75"/>
      <c r="W112" s="75"/>
    </row>
    <row r="113" spans="1:23">
      <c r="A113" s="98"/>
      <c r="F113" s="80"/>
      <c r="H113" s="99"/>
      <c r="I113" s="99"/>
      <c r="J113" s="99"/>
      <c r="K113" s="99"/>
      <c r="L113" s="99"/>
      <c r="M113" s="100"/>
      <c r="N113" s="101"/>
      <c r="Q113" s="102"/>
      <c r="R113" s="103"/>
      <c r="S113" s="75"/>
      <c r="T113" s="75"/>
      <c r="U113" s="75"/>
      <c r="V113" s="75"/>
      <c r="W113" s="75"/>
    </row>
    <row r="114" spans="1:23">
      <c r="A114" s="98"/>
      <c r="F114" s="80"/>
      <c r="H114" s="99"/>
      <c r="I114" s="99"/>
      <c r="J114" s="99"/>
      <c r="K114" s="99"/>
      <c r="L114" s="99"/>
      <c r="M114" s="100"/>
      <c r="N114" s="101"/>
      <c r="Q114" s="102"/>
      <c r="R114" s="103"/>
      <c r="S114" s="75"/>
      <c r="T114" s="75"/>
      <c r="U114" s="75"/>
      <c r="V114" s="75"/>
      <c r="W114" s="75"/>
    </row>
    <row r="115" spans="1:23">
      <c r="A115" s="98"/>
      <c r="F115" s="80"/>
      <c r="H115" s="99"/>
      <c r="I115" s="99"/>
      <c r="J115" s="99"/>
      <c r="K115" s="99"/>
      <c r="L115" s="99"/>
      <c r="M115" s="100"/>
      <c r="N115" s="101"/>
      <c r="R115" s="103"/>
      <c r="S115" s="75"/>
      <c r="T115" s="75"/>
      <c r="U115" s="75"/>
      <c r="V115" s="75"/>
      <c r="W115" s="75"/>
    </row>
    <row r="116" spans="1:23">
      <c r="A116" s="98"/>
      <c r="F116" s="80"/>
      <c r="H116" s="99"/>
      <c r="I116" s="99"/>
      <c r="J116" s="99"/>
      <c r="K116" s="99"/>
      <c r="L116" s="99"/>
      <c r="M116" s="100"/>
      <c r="N116" s="101"/>
      <c r="Q116" s="105"/>
      <c r="R116" s="103"/>
      <c r="S116" s="75"/>
      <c r="T116" s="75"/>
      <c r="U116" s="75"/>
      <c r="V116" s="75"/>
      <c r="W116" s="75"/>
    </row>
    <row r="117" spans="1:23">
      <c r="A117" s="98"/>
      <c r="F117" s="80"/>
      <c r="H117" s="99"/>
      <c r="I117" s="99"/>
      <c r="J117" s="99"/>
      <c r="K117" s="99"/>
      <c r="L117" s="99"/>
      <c r="M117" s="100"/>
      <c r="N117" s="101"/>
      <c r="Q117" s="102"/>
      <c r="R117" s="103"/>
      <c r="S117" s="75"/>
      <c r="T117" s="75"/>
      <c r="U117" s="75"/>
      <c r="V117" s="75"/>
      <c r="W117" s="75"/>
    </row>
    <row r="118" spans="1:23">
      <c r="A118" s="98"/>
      <c r="F118" s="80"/>
      <c r="H118" s="99"/>
      <c r="I118" s="99"/>
      <c r="J118" s="99"/>
      <c r="K118" s="99"/>
      <c r="L118" s="99"/>
      <c r="M118" s="100"/>
      <c r="N118" s="101"/>
      <c r="Q118" s="102"/>
      <c r="R118" s="103"/>
      <c r="S118" s="75"/>
      <c r="T118" s="75"/>
      <c r="U118" s="75"/>
      <c r="V118" s="75"/>
      <c r="W118" s="75"/>
    </row>
    <row r="119" spans="1:23">
      <c r="A119" s="98"/>
      <c r="F119" s="80"/>
      <c r="H119" s="99"/>
      <c r="I119" s="99"/>
      <c r="J119" s="99"/>
      <c r="K119" s="99"/>
      <c r="L119" s="99"/>
      <c r="M119" s="100"/>
      <c r="N119" s="101"/>
      <c r="R119" s="103"/>
      <c r="S119" s="75"/>
      <c r="T119" s="75"/>
      <c r="U119" s="75"/>
      <c r="V119" s="75"/>
      <c r="W119" s="75"/>
    </row>
    <row r="120" spans="1:23">
      <c r="A120" s="98"/>
      <c r="F120" s="80"/>
      <c r="H120" s="99"/>
      <c r="I120" s="99"/>
      <c r="J120" s="99"/>
      <c r="K120" s="99"/>
      <c r="L120" s="99"/>
      <c r="M120" s="100"/>
      <c r="N120" s="101"/>
      <c r="R120" s="103"/>
      <c r="S120" s="75"/>
      <c r="T120" s="75"/>
      <c r="U120" s="75"/>
      <c r="V120" s="75"/>
      <c r="W120" s="75"/>
    </row>
    <row r="121" spans="1:23">
      <c r="A121" s="98"/>
      <c r="F121" s="80"/>
      <c r="H121" s="99"/>
      <c r="I121" s="99"/>
      <c r="J121" s="99"/>
      <c r="K121" s="99"/>
      <c r="L121" s="99"/>
      <c r="M121" s="100"/>
      <c r="N121" s="101"/>
      <c r="Q121" s="102"/>
      <c r="R121" s="103"/>
      <c r="S121" s="75"/>
      <c r="T121" s="75"/>
      <c r="U121" s="75"/>
      <c r="V121" s="75"/>
      <c r="W121" s="75"/>
    </row>
    <row r="122" spans="1:23">
      <c r="A122" s="98"/>
      <c r="F122" s="80"/>
      <c r="H122" s="99"/>
      <c r="I122" s="99"/>
      <c r="J122" s="99"/>
      <c r="K122" s="99"/>
      <c r="L122" s="99"/>
      <c r="M122" s="100"/>
      <c r="N122" s="101"/>
      <c r="Q122" s="102"/>
      <c r="R122" s="103"/>
      <c r="S122" s="75"/>
      <c r="T122" s="75"/>
      <c r="U122" s="75"/>
      <c r="V122" s="75"/>
      <c r="W122" s="75"/>
    </row>
    <row r="123" spans="1:23">
      <c r="A123" s="98"/>
      <c r="F123" s="80"/>
      <c r="H123" s="99"/>
      <c r="I123" s="99"/>
      <c r="J123" s="99"/>
      <c r="K123" s="99"/>
      <c r="L123" s="99"/>
      <c r="M123" s="100"/>
      <c r="N123" s="101"/>
      <c r="Q123" s="102"/>
      <c r="R123" s="103"/>
      <c r="S123" s="75"/>
      <c r="T123" s="75"/>
      <c r="U123" s="75"/>
      <c r="V123" s="75"/>
      <c r="W123" s="75"/>
    </row>
    <row r="124" spans="1:23">
      <c r="A124" s="98"/>
      <c r="F124" s="80"/>
      <c r="H124" s="99"/>
      <c r="I124" s="99"/>
      <c r="J124" s="99"/>
      <c r="K124" s="99"/>
      <c r="L124" s="99"/>
      <c r="M124" s="100"/>
      <c r="N124" s="101"/>
      <c r="Q124" s="105"/>
      <c r="R124" s="103"/>
      <c r="S124" s="75"/>
      <c r="T124" s="75"/>
      <c r="U124" s="75"/>
      <c r="V124" s="75"/>
      <c r="W124" s="75"/>
    </row>
    <row r="125" spans="1:23">
      <c r="A125" s="98"/>
      <c r="F125" s="80"/>
      <c r="H125" s="99"/>
      <c r="I125" s="99"/>
      <c r="J125" s="99"/>
      <c r="K125" s="99"/>
      <c r="L125" s="99"/>
      <c r="M125" s="100"/>
      <c r="N125" s="101"/>
      <c r="R125" s="103"/>
      <c r="S125" s="75"/>
      <c r="T125" s="75"/>
      <c r="U125" s="75"/>
      <c r="V125" s="75"/>
      <c r="W125" s="75"/>
    </row>
    <row r="126" spans="1:23">
      <c r="A126" s="98"/>
      <c r="F126" s="80"/>
      <c r="H126" s="99"/>
      <c r="I126" s="99"/>
      <c r="J126" s="99"/>
      <c r="K126" s="99"/>
      <c r="L126" s="99"/>
      <c r="M126" s="100"/>
      <c r="N126" s="101"/>
      <c r="Q126" s="102"/>
      <c r="R126" s="103"/>
      <c r="S126" s="75"/>
      <c r="T126" s="75"/>
      <c r="U126" s="75"/>
      <c r="V126" s="75"/>
      <c r="W126" s="75"/>
    </row>
    <row r="127" spans="1:23">
      <c r="A127" s="98"/>
      <c r="F127" s="80"/>
      <c r="H127" s="99"/>
      <c r="I127" s="99"/>
      <c r="J127" s="99"/>
      <c r="K127" s="99"/>
      <c r="L127" s="99"/>
      <c r="M127" s="100"/>
      <c r="N127" s="101"/>
      <c r="Q127" s="102"/>
      <c r="R127" s="103"/>
      <c r="S127" s="75"/>
      <c r="T127" s="75"/>
      <c r="U127" s="75"/>
      <c r="V127" s="75"/>
      <c r="W127" s="75"/>
    </row>
    <row r="128" spans="1:23">
      <c r="A128" s="98"/>
      <c r="F128" s="80"/>
      <c r="H128" s="99"/>
      <c r="I128" s="99"/>
      <c r="J128" s="99"/>
      <c r="K128" s="99"/>
      <c r="L128" s="99"/>
      <c r="M128" s="100"/>
      <c r="N128" s="101"/>
      <c r="Q128" s="102"/>
      <c r="R128" s="103"/>
      <c r="S128" s="75"/>
      <c r="T128" s="75"/>
      <c r="U128" s="75"/>
      <c r="V128" s="75"/>
      <c r="W128" s="75"/>
    </row>
    <row r="129" spans="1:23">
      <c r="A129" s="98"/>
      <c r="F129" s="80"/>
      <c r="H129" s="99"/>
      <c r="I129" s="99"/>
      <c r="J129" s="99"/>
      <c r="K129" s="99"/>
      <c r="L129" s="99"/>
      <c r="M129" s="100"/>
      <c r="N129" s="101"/>
      <c r="Q129" s="102"/>
      <c r="R129" s="103"/>
      <c r="S129" s="75"/>
      <c r="T129" s="75"/>
      <c r="U129" s="75"/>
      <c r="V129" s="75"/>
      <c r="W129" s="75"/>
    </row>
    <row r="130" spans="1:23">
      <c r="A130" s="98"/>
      <c r="F130" s="80"/>
      <c r="H130" s="99"/>
      <c r="I130" s="99"/>
      <c r="J130" s="99"/>
      <c r="K130" s="99"/>
      <c r="L130" s="99"/>
      <c r="M130" s="100"/>
      <c r="N130" s="101"/>
      <c r="Q130" s="102"/>
      <c r="R130" s="103"/>
      <c r="S130" s="75"/>
      <c r="T130" s="75"/>
      <c r="U130" s="75"/>
      <c r="V130" s="75"/>
      <c r="W130" s="75"/>
    </row>
    <row r="131" spans="1:23">
      <c r="A131" s="98"/>
      <c r="F131" s="80"/>
      <c r="H131" s="99"/>
      <c r="I131" s="99"/>
      <c r="J131" s="99"/>
      <c r="K131" s="99"/>
      <c r="L131" s="99"/>
      <c r="M131" s="100"/>
      <c r="N131" s="101"/>
      <c r="R131" s="103"/>
      <c r="S131" s="75"/>
      <c r="T131" s="75"/>
      <c r="U131" s="75"/>
      <c r="V131" s="75"/>
      <c r="W131" s="75"/>
    </row>
    <row r="132" spans="1:23">
      <c r="A132" s="98"/>
      <c r="F132" s="80"/>
      <c r="H132" s="99"/>
      <c r="I132" s="99"/>
      <c r="J132" s="99"/>
      <c r="K132" s="99"/>
      <c r="L132" s="99"/>
      <c r="M132" s="100"/>
      <c r="N132" s="101"/>
      <c r="R132" s="103"/>
      <c r="S132" s="75"/>
      <c r="T132" s="75"/>
      <c r="U132" s="75"/>
      <c r="V132" s="75"/>
      <c r="W132" s="75"/>
    </row>
    <row r="133" spans="1:23">
      <c r="A133" s="98"/>
      <c r="F133" s="80"/>
      <c r="H133" s="99"/>
      <c r="I133" s="99"/>
      <c r="J133" s="99"/>
      <c r="K133" s="99"/>
      <c r="L133" s="99"/>
      <c r="M133" s="100"/>
      <c r="N133" s="101"/>
      <c r="R133" s="103"/>
      <c r="S133" s="75"/>
      <c r="T133" s="75"/>
      <c r="U133" s="75"/>
      <c r="V133" s="75"/>
      <c r="W133" s="75"/>
    </row>
    <row r="134" spans="1:23">
      <c r="A134" s="98"/>
      <c r="F134" s="80"/>
      <c r="H134" s="99"/>
      <c r="I134" s="99"/>
      <c r="J134" s="99"/>
      <c r="K134" s="99"/>
      <c r="L134" s="99"/>
      <c r="M134" s="100"/>
      <c r="N134" s="101"/>
      <c r="R134" s="103"/>
      <c r="S134" s="75"/>
      <c r="T134" s="75"/>
      <c r="U134" s="75"/>
      <c r="V134" s="75"/>
      <c r="W134" s="75"/>
    </row>
    <row r="135" spans="1:23">
      <c r="A135" s="98"/>
      <c r="F135" s="80"/>
      <c r="H135" s="99"/>
      <c r="I135" s="99"/>
      <c r="J135" s="99"/>
      <c r="K135" s="99"/>
      <c r="L135" s="99"/>
      <c r="M135" s="100"/>
      <c r="N135" s="101"/>
      <c r="R135" s="103"/>
      <c r="S135" s="75"/>
      <c r="T135" s="75"/>
      <c r="U135" s="75"/>
      <c r="V135" s="75"/>
      <c r="W135" s="75"/>
    </row>
    <row r="136" spans="1:23">
      <c r="A136" s="98"/>
      <c r="F136" s="80"/>
      <c r="H136" s="99"/>
      <c r="I136" s="99"/>
      <c r="J136" s="99"/>
      <c r="K136" s="99"/>
      <c r="L136" s="99"/>
      <c r="M136" s="100"/>
      <c r="N136" s="101"/>
      <c r="Q136" s="102"/>
      <c r="R136" s="103"/>
      <c r="S136" s="75"/>
      <c r="T136" s="75"/>
      <c r="U136" s="75"/>
      <c r="V136" s="75"/>
      <c r="W136" s="75"/>
    </row>
    <row r="137" spans="1:23">
      <c r="A137" s="98"/>
      <c r="F137" s="80"/>
      <c r="H137" s="99"/>
      <c r="I137" s="99"/>
      <c r="J137" s="99"/>
      <c r="K137" s="99"/>
      <c r="L137" s="99"/>
      <c r="M137" s="100"/>
      <c r="N137" s="101"/>
      <c r="Q137" s="102"/>
      <c r="R137" s="103"/>
      <c r="S137" s="75"/>
      <c r="T137" s="75"/>
      <c r="U137" s="75"/>
      <c r="V137" s="75"/>
      <c r="W137" s="75"/>
    </row>
    <row r="138" spans="1:23">
      <c r="A138" s="98"/>
      <c r="F138" s="80"/>
      <c r="H138" s="99"/>
      <c r="I138" s="99"/>
      <c r="J138" s="99"/>
      <c r="K138" s="99"/>
      <c r="L138" s="99"/>
      <c r="M138" s="100"/>
      <c r="N138" s="101"/>
      <c r="R138" s="103"/>
      <c r="S138" s="75"/>
      <c r="T138" s="75"/>
      <c r="U138" s="75"/>
      <c r="V138" s="75"/>
      <c r="W138" s="75"/>
    </row>
    <row r="139" spans="1:23">
      <c r="A139" s="98"/>
      <c r="F139" s="80"/>
      <c r="H139" s="99"/>
      <c r="I139" s="99"/>
      <c r="J139" s="99"/>
      <c r="K139" s="99"/>
      <c r="L139" s="99"/>
      <c r="M139" s="100"/>
      <c r="N139" s="101"/>
      <c r="R139" s="103"/>
      <c r="S139" s="75"/>
      <c r="T139" s="75"/>
      <c r="U139" s="75"/>
      <c r="V139" s="75"/>
      <c r="W139" s="75"/>
    </row>
    <row r="140" spans="1:23">
      <c r="A140" s="98"/>
      <c r="F140" s="80"/>
      <c r="H140" s="99"/>
      <c r="I140" s="99"/>
      <c r="J140" s="99"/>
      <c r="K140" s="99"/>
      <c r="L140" s="99"/>
      <c r="M140" s="100"/>
      <c r="N140" s="101"/>
      <c r="R140" s="103"/>
      <c r="S140" s="75"/>
      <c r="T140" s="75"/>
      <c r="U140" s="75"/>
      <c r="V140" s="75"/>
      <c r="W140" s="75"/>
    </row>
    <row r="141" spans="1:23">
      <c r="A141" s="98"/>
      <c r="F141" s="80"/>
      <c r="H141" s="99"/>
      <c r="I141" s="99"/>
      <c r="J141" s="99"/>
      <c r="K141" s="99"/>
      <c r="L141" s="99"/>
      <c r="M141" s="100"/>
      <c r="N141" s="101"/>
      <c r="R141" s="103"/>
      <c r="S141" s="75"/>
      <c r="T141" s="75"/>
      <c r="U141" s="75"/>
      <c r="V141" s="75"/>
      <c r="W141" s="75"/>
    </row>
    <row r="142" spans="1:23">
      <c r="A142" s="98"/>
      <c r="F142" s="80"/>
      <c r="H142" s="99"/>
      <c r="I142" s="99"/>
      <c r="J142" s="99"/>
      <c r="K142" s="99"/>
      <c r="L142" s="99"/>
      <c r="M142" s="100"/>
      <c r="N142" s="101"/>
      <c r="R142" s="103"/>
      <c r="S142" s="75"/>
      <c r="T142" s="75"/>
      <c r="U142" s="75"/>
      <c r="V142" s="75"/>
      <c r="W142" s="75"/>
    </row>
    <row r="143" spans="1:23">
      <c r="A143" s="98"/>
      <c r="F143" s="80"/>
      <c r="H143" s="99"/>
      <c r="I143" s="99"/>
      <c r="J143" s="99"/>
      <c r="K143" s="99"/>
      <c r="L143" s="99"/>
      <c r="M143" s="100"/>
      <c r="N143" s="101"/>
      <c r="R143" s="103"/>
      <c r="S143" s="75"/>
      <c r="T143" s="75"/>
      <c r="U143" s="75"/>
      <c r="V143" s="75"/>
      <c r="W143" s="75"/>
    </row>
    <row r="144" spans="1:23">
      <c r="A144" s="98"/>
      <c r="F144" s="80"/>
      <c r="H144" s="99"/>
      <c r="I144" s="99"/>
      <c r="J144" s="99"/>
      <c r="K144" s="99"/>
      <c r="L144" s="99"/>
      <c r="M144" s="100"/>
      <c r="N144" s="101"/>
      <c r="R144" s="103"/>
      <c r="S144" s="75"/>
      <c r="T144" s="75"/>
      <c r="U144" s="75"/>
      <c r="V144" s="75"/>
      <c r="W144" s="75"/>
    </row>
    <row r="145" spans="1:23">
      <c r="A145" s="98"/>
      <c r="F145" s="80"/>
      <c r="H145" s="99"/>
      <c r="I145" s="99"/>
      <c r="J145" s="99"/>
      <c r="K145" s="99"/>
      <c r="L145" s="99"/>
      <c r="M145" s="100"/>
      <c r="N145" s="101"/>
      <c r="R145" s="103"/>
      <c r="S145" s="75"/>
      <c r="T145" s="75"/>
      <c r="U145" s="75"/>
      <c r="V145" s="75"/>
      <c r="W145" s="75"/>
    </row>
    <row r="146" spans="1:23">
      <c r="A146" s="98"/>
      <c r="F146" s="80"/>
      <c r="H146" s="99"/>
      <c r="I146" s="99"/>
      <c r="J146" s="99"/>
      <c r="K146" s="99"/>
      <c r="L146" s="99"/>
      <c r="M146" s="100"/>
      <c r="N146" s="101"/>
      <c r="R146" s="103"/>
      <c r="S146" s="75"/>
      <c r="T146" s="75"/>
      <c r="U146" s="75"/>
      <c r="V146" s="75"/>
      <c r="W146" s="75"/>
    </row>
    <row r="147" spans="1:23">
      <c r="A147" s="98"/>
      <c r="F147" s="80"/>
      <c r="H147" s="99"/>
      <c r="I147" s="99"/>
      <c r="J147" s="99"/>
      <c r="K147" s="99"/>
      <c r="L147" s="99"/>
      <c r="M147" s="100"/>
      <c r="N147" s="101"/>
      <c r="R147" s="103"/>
      <c r="S147" s="75"/>
      <c r="T147" s="75"/>
      <c r="U147" s="75"/>
      <c r="V147" s="75"/>
      <c r="W147" s="75"/>
    </row>
    <row r="148" spans="1:23">
      <c r="A148" s="98"/>
      <c r="F148" s="80"/>
      <c r="H148" s="99"/>
      <c r="I148" s="99"/>
      <c r="J148" s="99"/>
      <c r="K148" s="99"/>
      <c r="L148" s="99"/>
      <c r="M148" s="100"/>
      <c r="N148" s="101"/>
      <c r="R148" s="103"/>
      <c r="S148" s="75"/>
      <c r="T148" s="75"/>
      <c r="U148" s="75"/>
      <c r="V148" s="75"/>
      <c r="W148" s="75"/>
    </row>
    <row r="149" spans="1:23">
      <c r="A149" s="98"/>
      <c r="F149" s="80"/>
      <c r="H149" s="99"/>
      <c r="I149" s="99"/>
      <c r="J149" s="99"/>
      <c r="K149" s="99"/>
      <c r="L149" s="99"/>
      <c r="M149" s="100"/>
      <c r="N149" s="101"/>
      <c r="R149" s="103"/>
      <c r="S149" s="75"/>
      <c r="T149" s="75"/>
      <c r="U149" s="75"/>
      <c r="V149" s="75"/>
      <c r="W149" s="75"/>
    </row>
    <row r="150" spans="1:23">
      <c r="A150" s="98"/>
      <c r="F150" s="80"/>
      <c r="H150" s="99"/>
      <c r="I150" s="99"/>
      <c r="J150" s="99"/>
      <c r="K150" s="99"/>
      <c r="L150" s="99"/>
      <c r="M150" s="100"/>
      <c r="N150" s="101"/>
      <c r="R150" s="103"/>
      <c r="S150" s="75"/>
      <c r="T150" s="75"/>
      <c r="U150" s="75"/>
      <c r="V150" s="75"/>
      <c r="W150" s="75"/>
    </row>
    <row r="151" spans="1:23">
      <c r="A151" s="98"/>
      <c r="F151" s="80"/>
      <c r="H151" s="99"/>
      <c r="I151" s="99"/>
      <c r="J151" s="99"/>
      <c r="K151" s="99"/>
      <c r="L151" s="99"/>
      <c r="M151" s="100"/>
      <c r="N151" s="101"/>
      <c r="R151" s="103"/>
      <c r="S151" s="75"/>
      <c r="T151" s="75"/>
      <c r="U151" s="75"/>
      <c r="V151" s="75"/>
      <c r="W151" s="75"/>
    </row>
    <row r="152" spans="1:23">
      <c r="A152" s="98"/>
      <c r="F152" s="80"/>
      <c r="H152" s="99"/>
      <c r="I152" s="99"/>
      <c r="J152" s="99"/>
      <c r="K152" s="99"/>
      <c r="L152" s="99"/>
      <c r="M152" s="100"/>
      <c r="N152" s="101"/>
      <c r="R152" s="103"/>
      <c r="S152" s="75"/>
      <c r="T152" s="75"/>
      <c r="U152" s="75"/>
      <c r="V152" s="75"/>
      <c r="W152" s="75"/>
    </row>
    <row r="153" spans="1:23">
      <c r="A153" s="98"/>
      <c r="F153" s="80"/>
      <c r="H153" s="99"/>
      <c r="I153" s="99"/>
      <c r="J153" s="99"/>
      <c r="K153" s="99"/>
      <c r="L153" s="99"/>
      <c r="M153" s="100"/>
      <c r="N153" s="101"/>
      <c r="R153" s="103"/>
      <c r="S153" s="75"/>
      <c r="T153" s="75"/>
      <c r="U153" s="75"/>
      <c r="V153" s="75"/>
      <c r="W153" s="75"/>
    </row>
    <row r="154" spans="1:23">
      <c r="A154" s="98"/>
      <c r="F154" s="80"/>
      <c r="H154" s="99"/>
      <c r="I154" s="99"/>
      <c r="J154" s="99"/>
      <c r="K154" s="99"/>
      <c r="L154" s="99"/>
      <c r="M154" s="100"/>
      <c r="N154" s="101"/>
      <c r="R154" s="103"/>
      <c r="S154" s="75"/>
      <c r="T154" s="75"/>
      <c r="U154" s="75"/>
      <c r="V154" s="75"/>
      <c r="W154" s="75"/>
    </row>
    <row r="155" spans="1:23">
      <c r="A155" s="98"/>
      <c r="F155" s="80"/>
      <c r="H155" s="99"/>
      <c r="I155" s="99"/>
      <c r="J155" s="99"/>
      <c r="K155" s="99"/>
      <c r="L155" s="99"/>
      <c r="M155" s="100"/>
      <c r="N155" s="101"/>
      <c r="R155" s="103"/>
      <c r="S155" s="75"/>
      <c r="T155" s="75"/>
      <c r="U155" s="75"/>
      <c r="V155" s="75"/>
      <c r="W155" s="75"/>
    </row>
    <row r="156" spans="1:23">
      <c r="A156" s="98"/>
      <c r="F156" s="80"/>
      <c r="H156" s="99"/>
      <c r="I156" s="99"/>
      <c r="J156" s="99"/>
      <c r="K156" s="99"/>
      <c r="L156" s="99"/>
      <c r="M156" s="100"/>
      <c r="N156" s="101"/>
      <c r="R156" s="103"/>
      <c r="S156" s="75"/>
      <c r="T156" s="75"/>
      <c r="U156" s="75"/>
      <c r="V156" s="75"/>
      <c r="W156" s="75"/>
    </row>
    <row r="157" spans="1:23">
      <c r="A157" s="98"/>
      <c r="H157" s="99"/>
      <c r="I157" s="99"/>
      <c r="J157" s="99"/>
      <c r="K157" s="99"/>
      <c r="L157" s="99"/>
      <c r="M157" s="99"/>
      <c r="N157" s="99"/>
      <c r="R157" s="75"/>
      <c r="S157" s="75"/>
      <c r="T157" s="75"/>
      <c r="U157" s="75"/>
      <c r="V157" s="75"/>
      <c r="W157" s="75"/>
    </row>
    <row r="158" spans="1:23">
      <c r="A158" s="98"/>
      <c r="C158" s="107"/>
      <c r="H158" s="99"/>
      <c r="I158" s="99"/>
      <c r="J158" s="99"/>
      <c r="K158" s="99"/>
      <c r="L158" s="99"/>
      <c r="M158" s="99"/>
      <c r="N158" s="99"/>
      <c r="R158" s="75"/>
      <c r="S158" s="75"/>
      <c r="T158" s="75"/>
      <c r="U158" s="75"/>
      <c r="V158" s="75"/>
      <c r="W158" s="75"/>
    </row>
    <row r="159" spans="1:23">
      <c r="A159" s="98"/>
      <c r="H159" s="99"/>
      <c r="I159" s="99"/>
      <c r="J159" s="99"/>
      <c r="K159" s="99"/>
      <c r="L159" s="99"/>
      <c r="M159" s="99"/>
      <c r="N159" s="99"/>
      <c r="R159" s="75"/>
      <c r="S159" s="75"/>
      <c r="T159" s="75"/>
      <c r="U159" s="75"/>
      <c r="V159" s="75"/>
      <c r="W159" s="75"/>
    </row>
    <row r="160" spans="1:23">
      <c r="A160" s="98"/>
      <c r="H160" s="99"/>
      <c r="I160" s="99"/>
      <c r="J160" s="99"/>
      <c r="K160" s="99"/>
      <c r="L160" s="99"/>
      <c r="M160" s="99"/>
      <c r="N160" s="99"/>
      <c r="R160" s="75"/>
      <c r="S160" s="75"/>
      <c r="T160" s="75"/>
      <c r="U160" s="75"/>
      <c r="V160" s="75"/>
      <c r="W160" s="75"/>
    </row>
    <row r="161" spans="1:23">
      <c r="A161" s="98"/>
      <c r="H161" s="99"/>
      <c r="I161" s="99"/>
      <c r="J161" s="99"/>
      <c r="K161" s="99"/>
      <c r="L161" s="99"/>
      <c r="M161" s="99"/>
      <c r="N161" s="99"/>
      <c r="R161" s="75"/>
      <c r="S161" s="75"/>
      <c r="T161" s="75"/>
      <c r="U161" s="75"/>
      <c r="V161" s="75"/>
      <c r="W161" s="75"/>
    </row>
    <row r="162" spans="1:23">
      <c r="A162" s="98"/>
      <c r="H162" s="99"/>
      <c r="I162" s="99"/>
      <c r="J162" s="99"/>
      <c r="K162" s="99"/>
      <c r="L162" s="99"/>
      <c r="M162" s="99"/>
      <c r="N162" s="99"/>
      <c r="R162" s="75"/>
      <c r="S162" s="75"/>
      <c r="T162" s="75"/>
      <c r="U162" s="75"/>
      <c r="V162" s="75"/>
      <c r="W162" s="75"/>
    </row>
    <row r="163" spans="1:23">
      <c r="A163" s="98"/>
      <c r="H163" s="99"/>
      <c r="I163" s="99"/>
      <c r="J163" s="99"/>
      <c r="K163" s="99"/>
      <c r="L163" s="99"/>
      <c r="M163" s="99"/>
      <c r="N163" s="99"/>
      <c r="R163" s="75"/>
      <c r="S163" s="75"/>
      <c r="T163" s="75"/>
      <c r="U163" s="75"/>
      <c r="V163" s="75"/>
      <c r="W163" s="75"/>
    </row>
    <row r="164" spans="1:23">
      <c r="A164" s="98"/>
      <c r="H164" s="99"/>
      <c r="I164" s="99"/>
      <c r="J164" s="99"/>
      <c r="K164" s="99"/>
      <c r="L164" s="99"/>
      <c r="M164" s="99"/>
      <c r="N164" s="99"/>
      <c r="R164" s="75"/>
      <c r="S164" s="75"/>
      <c r="T164" s="75"/>
      <c r="U164" s="75"/>
      <c r="V164" s="75"/>
      <c r="W164" s="75"/>
    </row>
    <row r="165" spans="1:23">
      <c r="A165" s="98"/>
      <c r="H165" s="99"/>
      <c r="I165" s="99"/>
      <c r="J165" s="99"/>
      <c r="K165" s="99"/>
      <c r="L165" s="99"/>
      <c r="M165" s="99"/>
      <c r="N165" s="99"/>
      <c r="R165" s="75"/>
      <c r="S165" s="75"/>
      <c r="T165" s="75"/>
      <c r="U165" s="75"/>
      <c r="V165" s="75"/>
      <c r="W165" s="75"/>
    </row>
    <row r="166" spans="1:23">
      <c r="A166" s="98"/>
      <c r="H166" s="99"/>
      <c r="I166" s="99"/>
      <c r="J166" s="99"/>
      <c r="K166" s="99"/>
      <c r="L166" s="99"/>
      <c r="M166" s="99"/>
      <c r="N166" s="99"/>
      <c r="R166" s="75"/>
      <c r="S166" s="75"/>
      <c r="T166" s="75"/>
      <c r="U166" s="75"/>
      <c r="V166" s="75"/>
      <c r="W166" s="75"/>
    </row>
    <row r="167" spans="1:23">
      <c r="A167" s="98"/>
      <c r="H167" s="99"/>
      <c r="I167" s="99"/>
      <c r="J167" s="99"/>
      <c r="K167" s="99"/>
      <c r="L167" s="99"/>
      <c r="M167" s="99"/>
      <c r="N167" s="99"/>
      <c r="R167" s="75"/>
      <c r="S167" s="75"/>
      <c r="T167" s="75"/>
      <c r="U167" s="75"/>
      <c r="V167" s="75"/>
      <c r="W167" s="75"/>
    </row>
    <row r="168" spans="1:23">
      <c r="A168" s="98"/>
      <c r="H168" s="99"/>
      <c r="I168" s="99"/>
      <c r="J168" s="99"/>
      <c r="K168" s="99"/>
      <c r="L168" s="99"/>
      <c r="M168" s="99"/>
      <c r="N168" s="99"/>
      <c r="R168" s="75"/>
      <c r="S168" s="75"/>
      <c r="T168" s="75"/>
      <c r="U168" s="75"/>
      <c r="V168" s="75"/>
      <c r="W168" s="75"/>
    </row>
    <row r="169" spans="1:23">
      <c r="A169" s="98"/>
      <c r="H169" s="99"/>
      <c r="I169" s="99"/>
      <c r="J169" s="99"/>
      <c r="K169" s="99"/>
      <c r="L169" s="99"/>
      <c r="M169" s="99"/>
      <c r="N169" s="99"/>
      <c r="R169" s="75"/>
      <c r="S169" s="75"/>
      <c r="T169" s="75"/>
      <c r="U169" s="75"/>
      <c r="V169" s="75"/>
      <c r="W169" s="75"/>
    </row>
    <row r="170" spans="1:23">
      <c r="A170" s="98"/>
      <c r="H170" s="99"/>
      <c r="I170" s="99"/>
      <c r="J170" s="99"/>
      <c r="K170" s="99"/>
      <c r="L170" s="99"/>
      <c r="M170" s="99"/>
      <c r="N170" s="99"/>
      <c r="R170" s="75"/>
      <c r="S170" s="75"/>
      <c r="T170" s="75"/>
      <c r="U170" s="75"/>
      <c r="V170" s="75"/>
      <c r="W170" s="75"/>
    </row>
    <row r="171" spans="1:23">
      <c r="A171" s="98"/>
      <c r="H171" s="99"/>
      <c r="I171" s="99"/>
      <c r="J171" s="99"/>
      <c r="K171" s="99"/>
      <c r="L171" s="99"/>
      <c r="M171" s="99"/>
      <c r="N171" s="99"/>
      <c r="R171" s="75"/>
      <c r="S171" s="75"/>
      <c r="T171" s="75"/>
      <c r="U171" s="75"/>
      <c r="V171" s="75"/>
      <c r="W171" s="75"/>
    </row>
    <row r="172" spans="1:23">
      <c r="A172" s="98"/>
      <c r="H172" s="99"/>
      <c r="I172" s="99"/>
      <c r="J172" s="99"/>
      <c r="K172" s="99"/>
      <c r="L172" s="99"/>
      <c r="M172" s="99"/>
      <c r="N172" s="99"/>
      <c r="R172" s="75"/>
      <c r="S172" s="75"/>
      <c r="T172" s="75"/>
      <c r="U172" s="75"/>
      <c r="V172" s="75"/>
      <c r="W172" s="75"/>
    </row>
    <row r="173" spans="1:23">
      <c r="A173" s="98"/>
      <c r="H173" s="99"/>
      <c r="I173" s="99"/>
      <c r="J173" s="99"/>
      <c r="K173" s="99"/>
      <c r="L173" s="99"/>
      <c r="M173" s="99"/>
      <c r="N173" s="99"/>
      <c r="R173" s="75"/>
      <c r="S173" s="75"/>
      <c r="T173" s="75"/>
      <c r="U173" s="75"/>
      <c r="V173" s="75"/>
      <c r="W173" s="75"/>
    </row>
    <row r="174" spans="1:23">
      <c r="A174" s="98"/>
      <c r="H174" s="99"/>
      <c r="I174" s="99"/>
      <c r="J174" s="99"/>
      <c r="K174" s="99"/>
      <c r="L174" s="99"/>
      <c r="M174" s="99"/>
      <c r="N174" s="99"/>
      <c r="R174" s="75"/>
      <c r="S174" s="75"/>
      <c r="T174" s="75"/>
      <c r="U174" s="75"/>
      <c r="V174" s="75"/>
      <c r="W174" s="75"/>
    </row>
    <row r="175" spans="1:23">
      <c r="A175" s="98"/>
      <c r="H175" s="99"/>
      <c r="I175" s="99"/>
      <c r="J175" s="99"/>
      <c r="K175" s="99"/>
      <c r="L175" s="99"/>
      <c r="M175" s="99"/>
      <c r="N175" s="99"/>
      <c r="R175" s="75"/>
      <c r="S175" s="75"/>
      <c r="T175" s="75"/>
      <c r="U175" s="75"/>
      <c r="V175" s="75"/>
      <c r="W175" s="75"/>
    </row>
    <row r="176" spans="1:23">
      <c r="A176" s="98"/>
      <c r="H176" s="99"/>
      <c r="I176" s="99"/>
      <c r="J176" s="99"/>
      <c r="K176" s="99"/>
      <c r="L176" s="99"/>
      <c r="M176" s="99"/>
      <c r="N176" s="99"/>
      <c r="R176" s="75"/>
      <c r="S176" s="75"/>
      <c r="T176" s="75"/>
      <c r="U176" s="75"/>
      <c r="V176" s="75"/>
      <c r="W176" s="75"/>
    </row>
    <row r="177" spans="1:23">
      <c r="A177" s="98"/>
      <c r="H177" s="99"/>
      <c r="I177" s="99"/>
      <c r="J177" s="99"/>
      <c r="K177" s="99"/>
      <c r="L177" s="99"/>
      <c r="M177" s="99"/>
      <c r="N177" s="99"/>
      <c r="R177" s="75"/>
      <c r="S177" s="75"/>
      <c r="T177" s="75"/>
      <c r="U177" s="75"/>
      <c r="V177" s="75"/>
      <c r="W177" s="75"/>
    </row>
    <row r="178" spans="1:23">
      <c r="A178" s="98"/>
      <c r="H178" s="99"/>
      <c r="I178" s="99"/>
      <c r="J178" s="99"/>
      <c r="K178" s="99"/>
      <c r="L178" s="99"/>
      <c r="M178" s="99"/>
      <c r="N178" s="99"/>
      <c r="R178" s="75"/>
      <c r="S178" s="75"/>
      <c r="T178" s="75"/>
      <c r="U178" s="75"/>
      <c r="V178" s="75"/>
      <c r="W178" s="75"/>
    </row>
    <row r="179" spans="1:23">
      <c r="A179" s="98"/>
      <c r="H179" s="99"/>
      <c r="I179" s="99"/>
      <c r="J179" s="99"/>
      <c r="K179" s="99"/>
      <c r="L179" s="99"/>
      <c r="M179" s="99"/>
      <c r="N179" s="99"/>
      <c r="R179" s="75"/>
      <c r="S179" s="75"/>
      <c r="T179" s="75"/>
      <c r="U179" s="75"/>
      <c r="V179" s="75"/>
      <c r="W179" s="75"/>
    </row>
    <row r="180" spans="1:23">
      <c r="A180" s="98"/>
      <c r="H180" s="99"/>
      <c r="I180" s="99"/>
      <c r="J180" s="99"/>
      <c r="K180" s="99"/>
      <c r="L180" s="99"/>
      <c r="M180" s="99"/>
      <c r="N180" s="99"/>
      <c r="R180" s="75"/>
      <c r="S180" s="75"/>
      <c r="T180" s="75"/>
      <c r="U180" s="75"/>
      <c r="V180" s="75"/>
      <c r="W180" s="75"/>
    </row>
    <row r="181" spans="1:23">
      <c r="A181" s="98"/>
      <c r="H181" s="99"/>
      <c r="I181" s="99"/>
      <c r="J181" s="99"/>
      <c r="K181" s="99"/>
      <c r="L181" s="99"/>
      <c r="M181" s="99"/>
      <c r="N181" s="99"/>
      <c r="R181" s="75"/>
      <c r="S181" s="75"/>
      <c r="T181" s="75"/>
      <c r="U181" s="75"/>
      <c r="V181" s="75"/>
      <c r="W181" s="75"/>
    </row>
    <row r="182" spans="1:23">
      <c r="A182" s="98"/>
      <c r="H182" s="99"/>
      <c r="I182" s="99"/>
      <c r="J182" s="99"/>
      <c r="K182" s="99"/>
      <c r="L182" s="99"/>
      <c r="M182" s="99"/>
      <c r="N182" s="99"/>
      <c r="R182" s="75"/>
      <c r="S182" s="75"/>
      <c r="T182" s="75"/>
      <c r="U182" s="75"/>
      <c r="V182" s="75"/>
      <c r="W182" s="75"/>
    </row>
    <row r="183" spans="1:23">
      <c r="A183" s="98"/>
      <c r="H183" s="99"/>
      <c r="I183" s="99"/>
      <c r="J183" s="99"/>
      <c r="K183" s="99"/>
      <c r="L183" s="99"/>
      <c r="M183" s="99"/>
      <c r="N183" s="99"/>
      <c r="R183" s="75"/>
      <c r="S183" s="75"/>
      <c r="T183" s="75"/>
      <c r="U183" s="75"/>
      <c r="V183" s="75"/>
      <c r="W183" s="75"/>
    </row>
    <row r="184" spans="1:23">
      <c r="A184" s="98"/>
      <c r="H184" s="99"/>
      <c r="I184" s="99"/>
      <c r="J184" s="99"/>
      <c r="K184" s="99"/>
      <c r="L184" s="99"/>
      <c r="M184" s="99"/>
      <c r="N184" s="99"/>
      <c r="R184" s="75"/>
      <c r="S184" s="75"/>
      <c r="T184" s="75"/>
      <c r="U184" s="75"/>
      <c r="V184" s="75"/>
      <c r="W184" s="75"/>
    </row>
    <row r="185" spans="1:23">
      <c r="A185" s="98"/>
      <c r="H185" s="99"/>
      <c r="I185" s="99"/>
      <c r="J185" s="99"/>
      <c r="K185" s="99"/>
      <c r="L185" s="99"/>
      <c r="M185" s="99"/>
      <c r="N185" s="99"/>
      <c r="R185" s="75"/>
      <c r="S185" s="75"/>
      <c r="T185" s="75"/>
      <c r="U185" s="75"/>
      <c r="V185" s="75"/>
      <c r="W185" s="75"/>
    </row>
    <row r="186" spans="1:23">
      <c r="A186" s="98"/>
      <c r="H186" s="99"/>
      <c r="I186" s="99"/>
      <c r="J186" s="99"/>
      <c r="K186" s="99"/>
      <c r="L186" s="99"/>
      <c r="M186" s="99"/>
      <c r="N186" s="99"/>
      <c r="R186" s="75"/>
      <c r="S186" s="75"/>
      <c r="T186" s="75"/>
      <c r="U186" s="75"/>
      <c r="V186" s="75"/>
      <c r="W186" s="75"/>
    </row>
    <row r="187" spans="1:23">
      <c r="A187" s="98"/>
      <c r="H187" s="99"/>
      <c r="I187" s="99"/>
      <c r="J187" s="99"/>
      <c r="K187" s="99"/>
      <c r="L187" s="99"/>
      <c r="M187" s="99"/>
      <c r="N187" s="99"/>
      <c r="R187" s="75"/>
      <c r="S187" s="75"/>
      <c r="T187" s="75"/>
      <c r="U187" s="75"/>
      <c r="V187" s="75"/>
      <c r="W187" s="75"/>
    </row>
    <row r="188" spans="1:23">
      <c r="A188" s="98"/>
      <c r="H188" s="99"/>
      <c r="I188" s="99"/>
      <c r="J188" s="99"/>
      <c r="K188" s="99"/>
      <c r="L188" s="99"/>
      <c r="M188" s="99"/>
      <c r="N188" s="99"/>
      <c r="R188" s="75"/>
      <c r="S188" s="75"/>
      <c r="T188" s="75"/>
      <c r="U188" s="75"/>
      <c r="V188" s="75"/>
      <c r="W188" s="75"/>
    </row>
    <row r="189" spans="1:23">
      <c r="A189" s="98"/>
      <c r="H189" s="99"/>
      <c r="I189" s="99"/>
      <c r="J189" s="99"/>
      <c r="K189" s="99"/>
      <c r="L189" s="99"/>
      <c r="M189" s="99"/>
      <c r="N189" s="99"/>
      <c r="R189" s="75"/>
      <c r="S189" s="75"/>
      <c r="T189" s="75"/>
      <c r="U189" s="75"/>
      <c r="V189" s="75"/>
      <c r="W189" s="75"/>
    </row>
    <row r="190" spans="1:23">
      <c r="A190" s="98"/>
      <c r="H190" s="99"/>
      <c r="I190" s="99"/>
      <c r="J190" s="99"/>
      <c r="K190" s="99"/>
      <c r="L190" s="99"/>
      <c r="M190" s="99"/>
      <c r="N190" s="99"/>
      <c r="R190" s="75"/>
      <c r="S190" s="75"/>
      <c r="T190" s="75"/>
      <c r="U190" s="75"/>
      <c r="V190" s="75"/>
      <c r="W190" s="75"/>
    </row>
    <row r="191" spans="1:23">
      <c r="A191" s="98"/>
      <c r="H191" s="99"/>
      <c r="I191" s="99"/>
      <c r="J191" s="99"/>
      <c r="K191" s="99"/>
      <c r="L191" s="99"/>
      <c r="M191" s="99"/>
      <c r="N191" s="99"/>
      <c r="R191" s="75"/>
      <c r="S191" s="75"/>
      <c r="T191" s="75"/>
      <c r="U191" s="75"/>
      <c r="V191" s="75"/>
      <c r="W191" s="75"/>
    </row>
    <row r="192" spans="1:23">
      <c r="A192" s="98"/>
      <c r="H192" s="99"/>
      <c r="I192" s="99"/>
      <c r="J192" s="99"/>
      <c r="K192" s="99"/>
      <c r="L192" s="99"/>
      <c r="M192" s="99"/>
      <c r="N192" s="99"/>
      <c r="R192" s="75"/>
      <c r="S192" s="75"/>
      <c r="T192" s="75"/>
      <c r="U192" s="75"/>
      <c r="V192" s="75"/>
      <c r="W192" s="75"/>
    </row>
    <row r="193" spans="1:23">
      <c r="A193" s="98"/>
      <c r="H193" s="99"/>
      <c r="I193" s="99"/>
      <c r="J193" s="99"/>
      <c r="K193" s="99"/>
      <c r="L193" s="99"/>
      <c r="M193" s="99"/>
      <c r="N193" s="99"/>
      <c r="R193" s="75"/>
      <c r="S193" s="75"/>
      <c r="T193" s="75"/>
      <c r="U193" s="75"/>
      <c r="V193" s="75"/>
      <c r="W193" s="75"/>
    </row>
    <row r="194" spans="1:23">
      <c r="A194" s="98"/>
      <c r="H194" s="99"/>
      <c r="I194" s="99"/>
      <c r="J194" s="99"/>
      <c r="K194" s="99"/>
      <c r="L194" s="99"/>
      <c r="M194" s="99"/>
      <c r="N194" s="99"/>
      <c r="R194" s="75"/>
      <c r="S194" s="75"/>
      <c r="T194" s="75"/>
      <c r="U194" s="75"/>
      <c r="V194" s="75"/>
      <c r="W194" s="75"/>
    </row>
    <row r="195" spans="1:23">
      <c r="A195" s="98"/>
      <c r="H195" s="99"/>
      <c r="I195" s="99"/>
      <c r="J195" s="99"/>
      <c r="K195" s="99"/>
      <c r="L195" s="99"/>
      <c r="M195" s="99"/>
      <c r="N195" s="99"/>
      <c r="R195" s="75"/>
      <c r="S195" s="75"/>
      <c r="T195" s="75"/>
      <c r="U195" s="75"/>
      <c r="V195" s="75"/>
      <c r="W195" s="75"/>
    </row>
    <row r="196" spans="1:23">
      <c r="A196" s="98"/>
      <c r="H196" s="99"/>
      <c r="I196" s="99"/>
      <c r="J196" s="99"/>
      <c r="K196" s="99"/>
      <c r="L196" s="99"/>
      <c r="M196" s="99"/>
      <c r="N196" s="99"/>
      <c r="R196" s="75"/>
      <c r="S196" s="75"/>
      <c r="T196" s="75"/>
      <c r="U196" s="75"/>
      <c r="V196" s="75"/>
      <c r="W196" s="75"/>
    </row>
    <row r="197" spans="1:23">
      <c r="A197" s="98"/>
      <c r="H197" s="99"/>
      <c r="I197" s="99"/>
      <c r="J197" s="99"/>
      <c r="K197" s="99"/>
      <c r="L197" s="99"/>
      <c r="M197" s="99"/>
      <c r="N197" s="99"/>
      <c r="R197" s="75"/>
      <c r="S197" s="75"/>
      <c r="T197" s="75"/>
      <c r="U197" s="75"/>
      <c r="V197" s="75"/>
      <c r="W197" s="75"/>
    </row>
    <row r="198" spans="1:23">
      <c r="A198" s="98"/>
      <c r="H198" s="99"/>
      <c r="I198" s="99"/>
      <c r="J198" s="99"/>
      <c r="K198" s="99"/>
      <c r="L198" s="99"/>
      <c r="M198" s="99"/>
      <c r="N198" s="99"/>
      <c r="R198" s="75"/>
      <c r="S198" s="75"/>
      <c r="T198" s="75"/>
      <c r="U198" s="75"/>
      <c r="V198" s="75"/>
      <c r="W198" s="75"/>
    </row>
    <row r="199" spans="1:23">
      <c r="A199" s="98"/>
      <c r="H199" s="99"/>
      <c r="I199" s="99"/>
      <c r="J199" s="99"/>
      <c r="K199" s="99"/>
      <c r="L199" s="99"/>
      <c r="M199" s="99"/>
      <c r="N199" s="99"/>
      <c r="R199" s="75"/>
      <c r="S199" s="75"/>
      <c r="T199" s="75"/>
      <c r="U199" s="75"/>
      <c r="V199" s="75"/>
      <c r="W199" s="75"/>
    </row>
    <row r="200" spans="1:23">
      <c r="A200" s="98"/>
      <c r="H200" s="99"/>
      <c r="I200" s="99"/>
      <c r="J200" s="99"/>
      <c r="K200" s="99"/>
      <c r="L200" s="99"/>
      <c r="M200" s="99"/>
      <c r="N200" s="99"/>
      <c r="R200" s="75"/>
      <c r="S200" s="75"/>
      <c r="T200" s="75"/>
      <c r="U200" s="75"/>
      <c r="V200" s="75"/>
      <c r="W200" s="75"/>
    </row>
    <row r="201" spans="1:23">
      <c r="A201" s="98"/>
      <c r="H201" s="99"/>
      <c r="I201" s="99"/>
      <c r="J201" s="99"/>
      <c r="K201" s="99"/>
      <c r="L201" s="99"/>
      <c r="M201" s="99"/>
      <c r="N201" s="99"/>
      <c r="R201" s="75"/>
      <c r="S201" s="75"/>
      <c r="T201" s="75"/>
      <c r="U201" s="75"/>
      <c r="V201" s="75"/>
      <c r="W201" s="75"/>
    </row>
    <row r="202" spans="1:23">
      <c r="A202" s="98"/>
      <c r="H202" s="99"/>
      <c r="I202" s="99"/>
      <c r="J202" s="99"/>
      <c r="K202" s="99"/>
      <c r="L202" s="99"/>
      <c r="M202" s="99"/>
      <c r="N202" s="99"/>
      <c r="R202" s="75"/>
      <c r="S202" s="75"/>
      <c r="T202" s="75"/>
      <c r="U202" s="75"/>
      <c r="V202" s="75"/>
      <c r="W202" s="75"/>
    </row>
    <row r="203" spans="1:23">
      <c r="A203" s="98"/>
      <c r="H203" s="99"/>
      <c r="I203" s="99"/>
      <c r="J203" s="99"/>
      <c r="K203" s="99"/>
      <c r="L203" s="99"/>
      <c r="M203" s="99"/>
      <c r="N203" s="99"/>
      <c r="R203" s="75"/>
      <c r="S203" s="75"/>
      <c r="T203" s="75"/>
      <c r="U203" s="75"/>
      <c r="V203" s="75"/>
      <c r="W203" s="75"/>
    </row>
    <row r="204" spans="1:23">
      <c r="A204" s="98"/>
      <c r="H204" s="99"/>
      <c r="I204" s="99"/>
      <c r="J204" s="99"/>
      <c r="K204" s="99"/>
      <c r="L204" s="99"/>
      <c r="M204" s="99"/>
      <c r="N204" s="99"/>
      <c r="R204" s="75"/>
      <c r="S204" s="75"/>
      <c r="T204" s="75"/>
      <c r="U204" s="75"/>
      <c r="V204" s="75"/>
      <c r="W204" s="75"/>
    </row>
    <row r="205" spans="1:23">
      <c r="A205" s="98"/>
      <c r="H205" s="99"/>
      <c r="I205" s="99"/>
      <c r="J205" s="99"/>
      <c r="K205" s="99"/>
      <c r="L205" s="99"/>
      <c r="M205" s="99"/>
      <c r="N205" s="99"/>
      <c r="R205" s="75"/>
      <c r="S205" s="75"/>
      <c r="T205" s="75"/>
      <c r="U205" s="75"/>
      <c r="V205" s="75"/>
      <c r="W205" s="75"/>
    </row>
    <row r="206" spans="1:23">
      <c r="A206" s="98"/>
      <c r="H206" s="99"/>
      <c r="I206" s="99"/>
      <c r="J206" s="99"/>
      <c r="K206" s="99"/>
      <c r="L206" s="99"/>
      <c r="M206" s="99"/>
      <c r="N206" s="99"/>
      <c r="R206" s="75"/>
      <c r="S206" s="75"/>
      <c r="T206" s="75"/>
      <c r="U206" s="75"/>
      <c r="V206" s="75"/>
      <c r="W206" s="75"/>
    </row>
    <row r="207" spans="1:23">
      <c r="A207" s="98"/>
      <c r="H207" s="99"/>
      <c r="I207" s="99"/>
      <c r="J207" s="99"/>
      <c r="K207" s="99"/>
      <c r="L207" s="99"/>
      <c r="M207" s="99"/>
      <c r="N207" s="99"/>
      <c r="R207" s="75"/>
      <c r="S207" s="75"/>
      <c r="T207" s="75"/>
      <c r="U207" s="75"/>
      <c r="V207" s="75"/>
      <c r="W207" s="75"/>
    </row>
    <row r="208" spans="1:23">
      <c r="A208" s="98"/>
      <c r="H208" s="99"/>
      <c r="I208" s="99"/>
      <c r="J208" s="99"/>
      <c r="K208" s="99"/>
      <c r="L208" s="99"/>
      <c r="M208" s="99"/>
      <c r="N208" s="99"/>
      <c r="R208" s="75"/>
      <c r="S208" s="75"/>
      <c r="T208" s="75"/>
      <c r="U208" s="75"/>
      <c r="V208" s="75"/>
      <c r="W208" s="75"/>
    </row>
    <row r="209" spans="1:23">
      <c r="A209" s="98"/>
      <c r="H209" s="99"/>
      <c r="I209" s="99"/>
      <c r="J209" s="99"/>
      <c r="K209" s="99"/>
      <c r="L209" s="99"/>
      <c r="M209" s="99"/>
      <c r="N209" s="99"/>
      <c r="R209" s="75"/>
      <c r="S209" s="75"/>
      <c r="T209" s="75"/>
      <c r="U209" s="75"/>
      <c r="V209" s="75"/>
      <c r="W209" s="75"/>
    </row>
    <row r="210" spans="1:23">
      <c r="A210" s="98"/>
      <c r="H210" s="99"/>
      <c r="I210" s="99"/>
      <c r="J210" s="99"/>
      <c r="K210" s="99"/>
      <c r="L210" s="99"/>
      <c r="M210" s="99"/>
      <c r="N210" s="99"/>
      <c r="R210" s="75"/>
      <c r="S210" s="75"/>
      <c r="T210" s="75"/>
      <c r="U210" s="75"/>
      <c r="V210" s="75"/>
      <c r="W210" s="75"/>
    </row>
    <row r="211" spans="1:23">
      <c r="A211" s="98"/>
      <c r="H211" s="99"/>
      <c r="I211" s="99"/>
      <c r="J211" s="99"/>
      <c r="K211" s="99"/>
      <c r="L211" s="99"/>
      <c r="M211" s="99"/>
      <c r="N211" s="99"/>
      <c r="R211" s="75"/>
      <c r="S211" s="75"/>
      <c r="T211" s="75"/>
      <c r="U211" s="75"/>
      <c r="V211" s="75"/>
      <c r="W211" s="75"/>
    </row>
    <row r="212" spans="1:23">
      <c r="A212" s="98"/>
      <c r="H212" s="99"/>
      <c r="I212" s="99"/>
      <c r="J212" s="99"/>
      <c r="K212" s="99"/>
      <c r="L212" s="99"/>
      <c r="M212" s="99"/>
      <c r="N212" s="99"/>
      <c r="R212" s="75"/>
      <c r="S212" s="75"/>
      <c r="T212" s="75"/>
      <c r="U212" s="75"/>
      <c r="V212" s="75"/>
      <c r="W212" s="75"/>
    </row>
    <row r="213" spans="1:23">
      <c r="A213" s="98"/>
      <c r="H213" s="99"/>
      <c r="I213" s="99"/>
      <c r="J213" s="99"/>
      <c r="K213" s="99"/>
      <c r="L213" s="99"/>
      <c r="M213" s="99"/>
      <c r="N213" s="99"/>
      <c r="R213" s="75"/>
      <c r="S213" s="75"/>
      <c r="T213" s="75"/>
      <c r="U213" s="75"/>
      <c r="V213" s="75"/>
      <c r="W213" s="75"/>
    </row>
    <row r="214" spans="1:23">
      <c r="A214" s="98"/>
      <c r="H214" s="99"/>
      <c r="I214" s="99"/>
      <c r="J214" s="99"/>
      <c r="K214" s="99"/>
      <c r="L214" s="99"/>
      <c r="M214" s="99"/>
      <c r="N214" s="99"/>
      <c r="R214" s="75"/>
      <c r="S214" s="75"/>
      <c r="T214" s="75"/>
      <c r="U214" s="75"/>
      <c r="V214" s="75"/>
      <c r="W214" s="75"/>
    </row>
    <row r="215" spans="1:23">
      <c r="A215" s="98"/>
      <c r="H215" s="99"/>
      <c r="I215" s="99"/>
      <c r="J215" s="99"/>
      <c r="K215" s="99"/>
      <c r="L215" s="99"/>
      <c r="M215" s="99"/>
      <c r="N215" s="99"/>
      <c r="R215" s="75"/>
      <c r="S215" s="75"/>
      <c r="T215" s="75"/>
      <c r="U215" s="75"/>
      <c r="V215" s="75"/>
      <c r="W215" s="75"/>
    </row>
    <row r="216" spans="1:23">
      <c r="A216" s="98"/>
      <c r="H216" s="99"/>
      <c r="I216" s="99"/>
      <c r="J216" s="99"/>
      <c r="K216" s="99"/>
      <c r="L216" s="99"/>
      <c r="M216" s="99"/>
      <c r="N216" s="99"/>
      <c r="R216" s="75"/>
      <c r="S216" s="75"/>
      <c r="T216" s="75"/>
      <c r="U216" s="75"/>
      <c r="V216" s="75"/>
      <c r="W216" s="75"/>
    </row>
    <row r="217" spans="1:23">
      <c r="A217" s="98"/>
      <c r="H217" s="99"/>
      <c r="I217" s="99"/>
      <c r="J217" s="99"/>
      <c r="K217" s="99"/>
      <c r="L217" s="99"/>
      <c r="M217" s="99"/>
      <c r="N217" s="99"/>
      <c r="R217" s="75"/>
      <c r="S217" s="75"/>
      <c r="T217" s="75"/>
      <c r="U217" s="75"/>
      <c r="V217" s="75"/>
      <c r="W217" s="75"/>
    </row>
    <row r="218" spans="1:23">
      <c r="A218" s="98"/>
      <c r="H218" s="99"/>
      <c r="I218" s="99"/>
      <c r="J218" s="99"/>
      <c r="K218" s="99"/>
      <c r="L218" s="99"/>
      <c r="M218" s="99"/>
      <c r="N218" s="99"/>
      <c r="R218" s="75"/>
      <c r="S218" s="75"/>
      <c r="T218" s="75"/>
      <c r="U218" s="75"/>
      <c r="V218" s="75"/>
      <c r="W218" s="75"/>
    </row>
    <row r="219" spans="1:23">
      <c r="A219" s="98"/>
      <c r="H219" s="99"/>
      <c r="I219" s="99"/>
      <c r="J219" s="99"/>
      <c r="K219" s="99"/>
      <c r="L219" s="99"/>
      <c r="M219" s="99"/>
      <c r="N219" s="99"/>
      <c r="R219" s="75"/>
      <c r="S219" s="75"/>
      <c r="T219" s="75"/>
      <c r="U219" s="75"/>
      <c r="V219" s="75"/>
      <c r="W219" s="75"/>
    </row>
    <row r="220" spans="1:23">
      <c r="A220" s="98"/>
      <c r="H220" s="99"/>
      <c r="I220" s="99"/>
      <c r="J220" s="99"/>
      <c r="K220" s="99"/>
      <c r="L220" s="99"/>
      <c r="M220" s="99"/>
      <c r="N220" s="99"/>
      <c r="R220" s="75"/>
      <c r="S220" s="75"/>
      <c r="T220" s="75"/>
      <c r="U220" s="75"/>
      <c r="V220" s="75"/>
      <c r="W220" s="75"/>
    </row>
    <row r="221" spans="1:23">
      <c r="A221" s="98"/>
      <c r="H221" s="99"/>
      <c r="I221" s="99"/>
      <c r="J221" s="99"/>
      <c r="K221" s="99"/>
      <c r="L221" s="99"/>
      <c r="M221" s="99"/>
      <c r="N221" s="99"/>
      <c r="R221" s="75"/>
      <c r="S221" s="75"/>
      <c r="T221" s="75"/>
      <c r="U221" s="75"/>
      <c r="V221" s="75"/>
      <c r="W221" s="75"/>
    </row>
    <row r="222" spans="1:23">
      <c r="A222" s="98"/>
      <c r="H222" s="99"/>
      <c r="I222" s="99"/>
      <c r="J222" s="99"/>
      <c r="K222" s="99"/>
      <c r="L222" s="99"/>
      <c r="M222" s="99"/>
      <c r="N222" s="99"/>
      <c r="R222" s="75"/>
      <c r="S222" s="75"/>
      <c r="T222" s="75"/>
      <c r="U222" s="75"/>
      <c r="V222" s="75"/>
      <c r="W222" s="75"/>
    </row>
    <row r="223" spans="1:23">
      <c r="A223" s="98"/>
      <c r="H223" s="99"/>
      <c r="I223" s="99"/>
      <c r="J223" s="99"/>
      <c r="K223" s="99"/>
      <c r="L223" s="99"/>
      <c r="M223" s="99"/>
      <c r="N223" s="99"/>
      <c r="R223" s="75"/>
      <c r="S223" s="75"/>
      <c r="T223" s="75"/>
      <c r="U223" s="75"/>
      <c r="V223" s="75"/>
      <c r="W223" s="75"/>
    </row>
    <row r="224" spans="1:23">
      <c r="A224" s="98"/>
      <c r="H224" s="99"/>
      <c r="I224" s="99"/>
      <c r="J224" s="99"/>
      <c r="K224" s="99"/>
      <c r="L224" s="99"/>
      <c r="M224" s="99"/>
      <c r="N224" s="99"/>
      <c r="R224" s="75"/>
      <c r="S224" s="75"/>
      <c r="T224" s="75"/>
      <c r="U224" s="75"/>
      <c r="V224" s="75"/>
      <c r="W224" s="75"/>
    </row>
    <row r="225" spans="1:23">
      <c r="A225" s="98"/>
      <c r="H225" s="99"/>
      <c r="I225" s="99"/>
      <c r="J225" s="99"/>
      <c r="K225" s="99"/>
      <c r="L225" s="99"/>
      <c r="M225" s="99"/>
      <c r="N225" s="99"/>
      <c r="R225" s="75"/>
      <c r="S225" s="75"/>
      <c r="T225" s="75"/>
      <c r="U225" s="75"/>
      <c r="V225" s="75"/>
      <c r="W225" s="75"/>
    </row>
    <row r="226" spans="1:23">
      <c r="A226" s="98"/>
      <c r="H226" s="99"/>
      <c r="I226" s="99"/>
      <c r="J226" s="99"/>
      <c r="K226" s="99"/>
      <c r="L226" s="99"/>
      <c r="M226" s="99"/>
      <c r="N226" s="99"/>
      <c r="R226" s="75"/>
      <c r="S226" s="75"/>
      <c r="T226" s="75"/>
      <c r="U226" s="75"/>
      <c r="V226" s="75"/>
      <c r="W226" s="75"/>
    </row>
    <row r="227" spans="1:23">
      <c r="A227" s="98"/>
      <c r="H227" s="99"/>
      <c r="I227" s="99"/>
      <c r="J227" s="99"/>
      <c r="K227" s="99"/>
      <c r="L227" s="99"/>
      <c r="M227" s="99"/>
      <c r="N227" s="99"/>
      <c r="R227" s="75"/>
      <c r="S227" s="75"/>
      <c r="T227" s="75"/>
      <c r="U227" s="75"/>
      <c r="V227" s="75"/>
      <c r="W227" s="75"/>
    </row>
    <row r="228" spans="1:23">
      <c r="A228" s="98"/>
      <c r="H228" s="99"/>
      <c r="I228" s="99"/>
      <c r="J228" s="99"/>
      <c r="K228" s="99"/>
      <c r="L228" s="99"/>
      <c r="M228" s="99"/>
      <c r="N228" s="99"/>
      <c r="R228" s="75"/>
      <c r="S228" s="75"/>
      <c r="T228" s="75"/>
      <c r="U228" s="75"/>
      <c r="V228" s="75"/>
      <c r="W228" s="75"/>
    </row>
    <row r="229" spans="1:23">
      <c r="A229" s="98"/>
      <c r="H229" s="99"/>
      <c r="I229" s="99"/>
      <c r="J229" s="99"/>
      <c r="K229" s="99"/>
      <c r="L229" s="99"/>
      <c r="M229" s="99"/>
      <c r="N229" s="99"/>
      <c r="R229" s="75"/>
      <c r="S229" s="75"/>
      <c r="T229" s="75"/>
      <c r="U229" s="75"/>
      <c r="V229" s="75"/>
      <c r="W229" s="75"/>
    </row>
    <row r="230" spans="1:23">
      <c r="A230" s="98"/>
      <c r="H230" s="99"/>
      <c r="I230" s="99"/>
      <c r="J230" s="99"/>
      <c r="K230" s="99"/>
      <c r="L230" s="99"/>
      <c r="M230" s="99"/>
      <c r="N230" s="99"/>
      <c r="R230" s="75"/>
      <c r="S230" s="75"/>
      <c r="T230" s="75"/>
      <c r="U230" s="75"/>
      <c r="V230" s="75"/>
      <c r="W230" s="75"/>
    </row>
    <row r="231" spans="1:23">
      <c r="A231" s="98"/>
      <c r="H231" s="99"/>
      <c r="I231" s="99"/>
      <c r="J231" s="99"/>
      <c r="K231" s="99"/>
      <c r="L231" s="99"/>
      <c r="M231" s="99"/>
      <c r="N231" s="99"/>
      <c r="R231" s="75"/>
      <c r="S231" s="75"/>
      <c r="T231" s="75"/>
      <c r="U231" s="75"/>
      <c r="V231" s="75"/>
      <c r="W231" s="75"/>
    </row>
    <row r="232" spans="1:23">
      <c r="A232" s="98"/>
      <c r="H232" s="99"/>
      <c r="I232" s="99"/>
      <c r="J232" s="99"/>
      <c r="K232" s="99"/>
      <c r="L232" s="99"/>
      <c r="M232" s="99"/>
      <c r="N232" s="99"/>
      <c r="R232" s="75"/>
      <c r="S232" s="75"/>
      <c r="T232" s="75"/>
      <c r="U232" s="75"/>
      <c r="V232" s="75"/>
      <c r="W232" s="75"/>
    </row>
    <row r="233" spans="1:23">
      <c r="A233" s="98"/>
      <c r="H233" s="99"/>
      <c r="I233" s="99"/>
      <c r="J233" s="99"/>
      <c r="K233" s="99"/>
      <c r="L233" s="99"/>
      <c r="M233" s="99"/>
      <c r="N233" s="99"/>
      <c r="R233" s="75"/>
      <c r="S233" s="75"/>
      <c r="T233" s="75"/>
      <c r="U233" s="75"/>
      <c r="V233" s="75"/>
      <c r="W233" s="75"/>
    </row>
    <row r="234" spans="1:23">
      <c r="A234" s="98"/>
      <c r="H234" s="99"/>
      <c r="I234" s="99"/>
      <c r="J234" s="99"/>
      <c r="K234" s="99"/>
      <c r="L234" s="99"/>
      <c r="M234" s="99"/>
      <c r="N234" s="99"/>
      <c r="R234" s="75"/>
      <c r="S234" s="75"/>
      <c r="T234" s="75"/>
      <c r="U234" s="75"/>
      <c r="V234" s="75"/>
      <c r="W234" s="75"/>
    </row>
    <row r="235" spans="1:23">
      <c r="A235" s="98"/>
      <c r="H235" s="99"/>
      <c r="I235" s="99"/>
      <c r="J235" s="99"/>
      <c r="K235" s="99"/>
      <c r="L235" s="99"/>
      <c r="M235" s="99"/>
      <c r="N235" s="99"/>
      <c r="R235" s="75"/>
      <c r="S235" s="75"/>
      <c r="T235" s="75"/>
      <c r="U235" s="75"/>
      <c r="V235" s="75"/>
      <c r="W235" s="75"/>
    </row>
    <row r="236" spans="1:23">
      <c r="A236" s="98"/>
      <c r="H236" s="99"/>
      <c r="I236" s="99"/>
      <c r="J236" s="99"/>
      <c r="K236" s="99"/>
      <c r="L236" s="99"/>
      <c r="M236" s="99"/>
      <c r="N236" s="99"/>
      <c r="R236" s="75"/>
      <c r="S236" s="75"/>
      <c r="T236" s="75"/>
      <c r="U236" s="75"/>
      <c r="V236" s="75"/>
      <c r="W236" s="75"/>
    </row>
    <row r="237" spans="1:23">
      <c r="A237" s="98"/>
      <c r="H237" s="99"/>
      <c r="I237" s="99"/>
      <c r="J237" s="99"/>
      <c r="K237" s="99"/>
      <c r="L237" s="99"/>
      <c r="M237" s="99"/>
      <c r="N237" s="99"/>
      <c r="R237" s="75"/>
      <c r="S237" s="75"/>
      <c r="T237" s="75"/>
      <c r="U237" s="75"/>
      <c r="V237" s="75"/>
      <c r="W237" s="75"/>
    </row>
    <row r="238" spans="1:23">
      <c r="A238" s="98"/>
      <c r="H238" s="99"/>
      <c r="I238" s="99"/>
      <c r="J238" s="99"/>
      <c r="K238" s="99"/>
      <c r="L238" s="99"/>
      <c r="M238" s="99"/>
      <c r="N238" s="99"/>
      <c r="R238" s="75"/>
      <c r="S238" s="75"/>
      <c r="T238" s="75"/>
      <c r="U238" s="75"/>
      <c r="V238" s="75"/>
      <c r="W238" s="75"/>
    </row>
    <row r="239" spans="1:23">
      <c r="A239" s="98"/>
      <c r="H239" s="99"/>
      <c r="I239" s="99"/>
      <c r="J239" s="99"/>
      <c r="K239" s="99"/>
      <c r="L239" s="99"/>
      <c r="M239" s="99"/>
      <c r="N239" s="99"/>
      <c r="R239" s="75"/>
      <c r="S239" s="75"/>
      <c r="T239" s="75"/>
      <c r="U239" s="75"/>
      <c r="V239" s="75"/>
      <c r="W239" s="75"/>
    </row>
    <row r="240" spans="1:23">
      <c r="A240" s="98"/>
      <c r="H240" s="99"/>
      <c r="I240" s="99"/>
      <c r="J240" s="99"/>
      <c r="K240" s="99"/>
      <c r="L240" s="99"/>
      <c r="M240" s="99"/>
      <c r="N240" s="99"/>
      <c r="R240" s="75"/>
      <c r="S240" s="75"/>
      <c r="T240" s="75"/>
      <c r="U240" s="75"/>
      <c r="V240" s="75"/>
      <c r="W240" s="75"/>
    </row>
    <row r="241" spans="1:23">
      <c r="A241" s="98"/>
      <c r="H241" s="99"/>
      <c r="I241" s="99"/>
      <c r="J241" s="99"/>
      <c r="K241" s="99"/>
      <c r="L241" s="99"/>
      <c r="M241" s="99"/>
      <c r="N241" s="99"/>
      <c r="R241" s="75"/>
      <c r="S241" s="75"/>
      <c r="T241" s="75"/>
      <c r="U241" s="75"/>
      <c r="V241" s="75"/>
      <c r="W241" s="75"/>
    </row>
    <row r="242" spans="1:23">
      <c r="A242" s="98"/>
      <c r="H242" s="99"/>
      <c r="I242" s="99"/>
      <c r="J242" s="99"/>
      <c r="K242" s="99"/>
      <c r="L242" s="99"/>
      <c r="M242" s="99"/>
      <c r="N242" s="99"/>
      <c r="R242" s="75"/>
      <c r="S242" s="75"/>
      <c r="T242" s="75"/>
      <c r="U242" s="75"/>
      <c r="V242" s="75"/>
      <c r="W242" s="75"/>
    </row>
    <row r="243" spans="1:23">
      <c r="A243" s="98"/>
      <c r="H243" s="99"/>
      <c r="I243" s="99"/>
      <c r="J243" s="99"/>
      <c r="K243" s="99"/>
      <c r="L243" s="99"/>
      <c r="M243" s="99"/>
      <c r="N243" s="99"/>
      <c r="R243" s="75"/>
      <c r="S243" s="75"/>
      <c r="T243" s="75"/>
      <c r="U243" s="75"/>
      <c r="V243" s="75"/>
      <c r="W243" s="75"/>
    </row>
    <row r="244" spans="1:23">
      <c r="A244" s="98"/>
      <c r="H244" s="99"/>
      <c r="I244" s="99"/>
      <c r="J244" s="99"/>
      <c r="K244" s="99"/>
      <c r="L244" s="99"/>
      <c r="M244" s="99"/>
      <c r="N244" s="99"/>
      <c r="R244" s="75"/>
      <c r="S244" s="75"/>
      <c r="T244" s="75"/>
      <c r="U244" s="75"/>
      <c r="V244" s="75"/>
      <c r="W244" s="75"/>
    </row>
    <row r="245" spans="1:23">
      <c r="A245" s="98"/>
      <c r="H245" s="99"/>
      <c r="I245" s="99"/>
      <c r="J245" s="99"/>
      <c r="K245" s="99"/>
      <c r="L245" s="99"/>
      <c r="M245" s="99"/>
      <c r="N245" s="99"/>
      <c r="R245" s="75"/>
      <c r="S245" s="75"/>
      <c r="T245" s="75"/>
      <c r="U245" s="75"/>
      <c r="V245" s="75"/>
      <c r="W245" s="75"/>
    </row>
    <row r="246" spans="1:23">
      <c r="A246" s="98"/>
      <c r="H246" s="99"/>
      <c r="I246" s="99"/>
      <c r="J246" s="99"/>
      <c r="K246" s="99"/>
      <c r="L246" s="99"/>
      <c r="M246" s="99"/>
      <c r="N246" s="99"/>
      <c r="R246" s="75"/>
      <c r="S246" s="75"/>
      <c r="T246" s="75"/>
      <c r="U246" s="75"/>
      <c r="V246" s="75"/>
      <c r="W246" s="75"/>
    </row>
    <row r="247" spans="1:23">
      <c r="A247" s="98"/>
      <c r="H247" s="99"/>
      <c r="I247" s="99"/>
      <c r="J247" s="99"/>
      <c r="K247" s="99"/>
      <c r="L247" s="99"/>
      <c r="M247" s="99"/>
      <c r="N247" s="99"/>
      <c r="R247" s="75"/>
      <c r="S247" s="75"/>
      <c r="T247" s="75"/>
      <c r="U247" s="75"/>
      <c r="V247" s="75"/>
      <c r="W247" s="75"/>
    </row>
    <row r="248" spans="1:23">
      <c r="A248" s="98"/>
      <c r="H248" s="99"/>
      <c r="I248" s="99"/>
      <c r="J248" s="99"/>
      <c r="K248" s="99"/>
      <c r="L248" s="99"/>
      <c r="M248" s="99"/>
      <c r="N248" s="99"/>
      <c r="R248" s="75"/>
      <c r="S248" s="75"/>
      <c r="T248" s="75"/>
      <c r="U248" s="75"/>
      <c r="V248" s="75"/>
      <c r="W248" s="75"/>
    </row>
    <row r="249" spans="1:23">
      <c r="A249" s="98"/>
      <c r="H249" s="99"/>
      <c r="I249" s="99"/>
      <c r="J249" s="99"/>
      <c r="K249" s="99"/>
      <c r="L249" s="99"/>
      <c r="M249" s="99"/>
      <c r="N249" s="99"/>
      <c r="R249" s="75"/>
      <c r="S249" s="75"/>
      <c r="T249" s="75"/>
      <c r="U249" s="75"/>
      <c r="V249" s="75"/>
      <c r="W249" s="75"/>
    </row>
    <row r="250" spans="1:23">
      <c r="A250" s="98"/>
      <c r="H250" s="99"/>
      <c r="I250" s="99"/>
      <c r="J250" s="99"/>
      <c r="K250" s="99"/>
      <c r="L250" s="99"/>
      <c r="M250" s="99"/>
      <c r="N250" s="99"/>
      <c r="R250" s="75"/>
      <c r="S250" s="75"/>
      <c r="T250" s="75"/>
      <c r="U250" s="75"/>
      <c r="V250" s="75"/>
      <c r="W250" s="75"/>
    </row>
    <row r="251" spans="1:23">
      <c r="A251" s="98"/>
      <c r="H251" s="99"/>
      <c r="I251" s="99"/>
      <c r="J251" s="99"/>
      <c r="K251" s="99"/>
      <c r="L251" s="99"/>
      <c r="M251" s="99"/>
      <c r="N251" s="99"/>
      <c r="R251" s="75"/>
      <c r="S251" s="75"/>
      <c r="T251" s="75"/>
      <c r="U251" s="75"/>
      <c r="V251" s="75"/>
      <c r="W251" s="75"/>
    </row>
    <row r="252" spans="1:23">
      <c r="A252" s="98"/>
      <c r="H252" s="99"/>
      <c r="I252" s="99"/>
      <c r="J252" s="99"/>
      <c r="K252" s="99"/>
      <c r="L252" s="99"/>
      <c r="M252" s="99"/>
      <c r="N252" s="99"/>
      <c r="R252" s="75"/>
      <c r="S252" s="75"/>
      <c r="T252" s="75"/>
      <c r="U252" s="75"/>
      <c r="V252" s="75"/>
      <c r="W252" s="75"/>
    </row>
    <row r="253" spans="1:23">
      <c r="A253" s="98"/>
      <c r="H253" s="99"/>
      <c r="I253" s="99"/>
      <c r="J253" s="99"/>
      <c r="K253" s="99"/>
      <c r="L253" s="99"/>
      <c r="M253" s="99"/>
      <c r="N253" s="99"/>
      <c r="R253" s="75"/>
      <c r="S253" s="75"/>
      <c r="T253" s="75"/>
      <c r="U253" s="75"/>
      <c r="V253" s="75"/>
      <c r="W253" s="75"/>
    </row>
    <row r="254" spans="1:23">
      <c r="A254" s="98"/>
      <c r="H254" s="99"/>
      <c r="I254" s="99"/>
      <c r="J254" s="99"/>
      <c r="K254" s="99"/>
      <c r="L254" s="99"/>
      <c r="M254" s="99"/>
      <c r="N254" s="99"/>
      <c r="R254" s="75"/>
      <c r="S254" s="75"/>
      <c r="T254" s="75"/>
      <c r="U254" s="75"/>
      <c r="V254" s="75"/>
      <c r="W254" s="75"/>
    </row>
    <row r="255" spans="1:23">
      <c r="A255" s="98"/>
      <c r="H255" s="99"/>
      <c r="I255" s="99"/>
      <c r="J255" s="99"/>
      <c r="K255" s="99"/>
      <c r="L255" s="99"/>
      <c r="M255" s="99"/>
      <c r="N255" s="99"/>
      <c r="R255" s="75"/>
      <c r="S255" s="75"/>
      <c r="T255" s="75"/>
      <c r="U255" s="75"/>
      <c r="V255" s="75"/>
      <c r="W255" s="75"/>
    </row>
    <row r="256" spans="1:23">
      <c r="A256" s="98"/>
      <c r="H256" s="99"/>
      <c r="I256" s="99"/>
      <c r="J256" s="99"/>
      <c r="K256" s="99"/>
      <c r="L256" s="99"/>
      <c r="M256" s="99"/>
      <c r="N256" s="99"/>
      <c r="R256" s="75"/>
      <c r="S256" s="75"/>
      <c r="T256" s="75"/>
      <c r="U256" s="75"/>
      <c r="V256" s="75"/>
      <c r="W256" s="75"/>
    </row>
    <row r="257" spans="1:23">
      <c r="A257" s="98"/>
      <c r="H257" s="99"/>
      <c r="I257" s="99"/>
      <c r="J257" s="99"/>
      <c r="K257" s="99"/>
      <c r="L257" s="99"/>
      <c r="M257" s="99"/>
      <c r="N257" s="99"/>
      <c r="R257" s="75"/>
      <c r="S257" s="75"/>
      <c r="T257" s="75"/>
      <c r="U257" s="75"/>
      <c r="V257" s="75"/>
      <c r="W257" s="75"/>
    </row>
    <row r="258" spans="1:23">
      <c r="A258" s="98"/>
      <c r="H258" s="99"/>
      <c r="I258" s="99"/>
      <c r="J258" s="99"/>
      <c r="K258" s="99"/>
      <c r="L258" s="99"/>
      <c r="M258" s="99"/>
      <c r="N258" s="99"/>
      <c r="R258" s="75"/>
      <c r="S258" s="75"/>
      <c r="T258" s="75"/>
      <c r="U258" s="75"/>
      <c r="V258" s="75"/>
      <c r="W258" s="75"/>
    </row>
    <row r="259" spans="1:23">
      <c r="A259" s="98"/>
      <c r="H259" s="99"/>
      <c r="I259" s="99"/>
      <c r="J259" s="99"/>
      <c r="K259" s="99"/>
      <c r="L259" s="99"/>
      <c r="M259" s="99"/>
      <c r="N259" s="99"/>
      <c r="R259" s="75"/>
      <c r="S259" s="75"/>
      <c r="T259" s="75"/>
      <c r="U259" s="75"/>
      <c r="V259" s="75"/>
      <c r="W259" s="75"/>
    </row>
    <row r="260" spans="1:23">
      <c r="A260" s="98"/>
      <c r="H260" s="99"/>
      <c r="I260" s="99"/>
      <c r="J260" s="99"/>
      <c r="K260" s="99"/>
      <c r="L260" s="99"/>
      <c r="M260" s="99"/>
      <c r="N260" s="99"/>
      <c r="R260" s="75"/>
      <c r="S260" s="75"/>
      <c r="T260" s="75"/>
      <c r="U260" s="75"/>
      <c r="V260" s="75"/>
      <c r="W260" s="75"/>
    </row>
    <row r="261" spans="1:23">
      <c r="A261" s="98"/>
      <c r="H261" s="99"/>
      <c r="I261" s="99"/>
      <c r="J261" s="99"/>
      <c r="K261" s="99"/>
      <c r="L261" s="99"/>
      <c r="M261" s="99"/>
      <c r="N261" s="99"/>
      <c r="R261" s="75"/>
      <c r="S261" s="75"/>
      <c r="T261" s="75"/>
      <c r="U261" s="75"/>
      <c r="V261" s="75"/>
      <c r="W261" s="75"/>
    </row>
    <row r="262" spans="1:23">
      <c r="A262" s="98"/>
      <c r="H262" s="99"/>
      <c r="I262" s="99"/>
      <c r="J262" s="99"/>
      <c r="K262" s="99"/>
      <c r="L262" s="99"/>
      <c r="M262" s="99"/>
      <c r="N262" s="99"/>
      <c r="R262" s="75"/>
      <c r="S262" s="75"/>
      <c r="T262" s="75"/>
      <c r="U262" s="75"/>
      <c r="V262" s="75"/>
      <c r="W262" s="75"/>
    </row>
    <row r="263" spans="1:23">
      <c r="A263" s="98"/>
      <c r="H263" s="99"/>
      <c r="I263" s="99"/>
      <c r="J263" s="99"/>
      <c r="K263" s="99"/>
      <c r="L263" s="99"/>
      <c r="M263" s="99"/>
      <c r="N263" s="99"/>
      <c r="R263" s="75"/>
      <c r="S263" s="75"/>
      <c r="T263" s="75"/>
      <c r="U263" s="75"/>
      <c r="V263" s="75"/>
      <c r="W263" s="75"/>
    </row>
    <row r="264" spans="1:23">
      <c r="A264" s="98"/>
      <c r="H264" s="99"/>
      <c r="I264" s="99"/>
      <c r="J264" s="99"/>
      <c r="K264" s="99"/>
      <c r="L264" s="99"/>
      <c r="M264" s="99"/>
      <c r="N264" s="99"/>
      <c r="R264" s="75"/>
      <c r="S264" s="75"/>
      <c r="T264" s="75"/>
      <c r="U264" s="75"/>
      <c r="V264" s="75"/>
      <c r="W264" s="75"/>
    </row>
    <row r="265" spans="1:23">
      <c r="A265" s="98"/>
      <c r="H265" s="99"/>
      <c r="I265" s="99"/>
      <c r="J265" s="99"/>
      <c r="K265" s="99"/>
      <c r="L265" s="99"/>
      <c r="M265" s="99"/>
      <c r="N265" s="99"/>
      <c r="R265" s="75"/>
      <c r="S265" s="75"/>
      <c r="T265" s="75"/>
      <c r="U265" s="75"/>
      <c r="V265" s="75"/>
      <c r="W265" s="75"/>
    </row>
    <row r="266" spans="1:23">
      <c r="A266" s="98"/>
      <c r="H266" s="99"/>
      <c r="I266" s="99"/>
      <c r="J266" s="99"/>
      <c r="K266" s="99"/>
      <c r="L266" s="99"/>
      <c r="M266" s="99"/>
      <c r="N266" s="99"/>
      <c r="R266" s="75"/>
      <c r="S266" s="75"/>
      <c r="T266" s="75"/>
      <c r="U266" s="75"/>
      <c r="V266" s="75"/>
      <c r="W266" s="75"/>
    </row>
    <row r="267" spans="1:23">
      <c r="A267" s="98"/>
      <c r="H267" s="99"/>
      <c r="I267" s="99"/>
      <c r="J267" s="99"/>
      <c r="K267" s="99"/>
      <c r="L267" s="99"/>
      <c r="M267" s="99"/>
      <c r="N267" s="99"/>
      <c r="R267" s="75"/>
      <c r="S267" s="75"/>
      <c r="T267" s="75"/>
      <c r="U267" s="75"/>
      <c r="V267" s="75"/>
      <c r="W267" s="75"/>
    </row>
    <row r="268" spans="1:23">
      <c r="A268" s="98"/>
      <c r="H268" s="99"/>
      <c r="I268" s="99"/>
      <c r="J268" s="99"/>
      <c r="K268" s="99"/>
      <c r="L268" s="99"/>
      <c r="M268" s="99"/>
      <c r="N268" s="99"/>
      <c r="R268" s="75"/>
      <c r="S268" s="75"/>
      <c r="T268" s="75"/>
      <c r="U268" s="75"/>
      <c r="V268" s="75"/>
      <c r="W268" s="75"/>
    </row>
    <row r="269" spans="1:23">
      <c r="A269" s="98"/>
      <c r="H269" s="99"/>
      <c r="I269" s="99"/>
      <c r="J269" s="99"/>
      <c r="K269" s="99"/>
      <c r="L269" s="99"/>
      <c r="M269" s="99"/>
      <c r="N269" s="99"/>
      <c r="R269" s="75"/>
      <c r="S269" s="75"/>
      <c r="T269" s="75"/>
      <c r="U269" s="75"/>
      <c r="V269" s="75"/>
      <c r="W269" s="75"/>
    </row>
    <row r="270" spans="1:23">
      <c r="A270" s="98"/>
      <c r="H270" s="99"/>
      <c r="I270" s="99"/>
      <c r="J270" s="99"/>
      <c r="K270" s="99"/>
      <c r="L270" s="99"/>
      <c r="M270" s="99"/>
      <c r="N270" s="99"/>
      <c r="R270" s="75"/>
      <c r="S270" s="75"/>
      <c r="T270" s="75"/>
      <c r="U270" s="75"/>
      <c r="V270" s="75"/>
      <c r="W270" s="75"/>
    </row>
    <row r="271" spans="1:23">
      <c r="A271" s="98"/>
      <c r="H271" s="99"/>
      <c r="I271" s="99"/>
      <c r="J271" s="99"/>
      <c r="K271" s="99"/>
      <c r="L271" s="99"/>
      <c r="M271" s="99"/>
      <c r="N271" s="99"/>
      <c r="R271" s="75"/>
      <c r="S271" s="75"/>
      <c r="T271" s="75"/>
      <c r="U271" s="75"/>
      <c r="V271" s="75"/>
      <c r="W271" s="75"/>
    </row>
    <row r="272" spans="1:23">
      <c r="A272" s="98"/>
      <c r="H272" s="99"/>
      <c r="I272" s="99"/>
      <c r="J272" s="99"/>
      <c r="K272" s="99"/>
      <c r="L272" s="99"/>
      <c r="M272" s="99"/>
      <c r="N272" s="99"/>
      <c r="R272" s="75"/>
      <c r="S272" s="75"/>
      <c r="T272" s="75"/>
      <c r="U272" s="75"/>
      <c r="V272" s="75"/>
      <c r="W272" s="75"/>
    </row>
    <row r="273" spans="1:23">
      <c r="A273" s="98"/>
      <c r="H273" s="99"/>
      <c r="I273" s="99"/>
      <c r="J273" s="99"/>
      <c r="K273" s="99"/>
      <c r="L273" s="99"/>
      <c r="M273" s="99"/>
      <c r="N273" s="99"/>
      <c r="R273" s="75"/>
      <c r="S273" s="75"/>
      <c r="T273" s="75"/>
      <c r="U273" s="75"/>
      <c r="V273" s="75"/>
      <c r="W273" s="75"/>
    </row>
    <row r="274" spans="1:23">
      <c r="A274" s="98"/>
      <c r="H274" s="99"/>
      <c r="I274" s="99"/>
      <c r="J274" s="99"/>
      <c r="K274" s="99"/>
      <c r="L274" s="99"/>
      <c r="M274" s="99"/>
      <c r="N274" s="99"/>
      <c r="R274" s="75"/>
      <c r="S274" s="75"/>
      <c r="T274" s="75"/>
      <c r="U274" s="75"/>
      <c r="V274" s="75"/>
      <c r="W274" s="75"/>
    </row>
    <row r="275" spans="1:23">
      <c r="A275" s="98"/>
      <c r="H275" s="99"/>
      <c r="I275" s="99"/>
      <c r="J275" s="99"/>
      <c r="K275" s="99"/>
      <c r="L275" s="99"/>
      <c r="M275" s="99"/>
      <c r="N275" s="99"/>
      <c r="R275" s="75"/>
      <c r="S275" s="75"/>
      <c r="T275" s="75"/>
      <c r="U275" s="75"/>
      <c r="V275" s="75"/>
      <c r="W275" s="75"/>
    </row>
    <row r="276" spans="1:23">
      <c r="A276" s="98"/>
      <c r="H276" s="99"/>
      <c r="I276" s="99"/>
      <c r="J276" s="99"/>
      <c r="K276" s="99"/>
      <c r="L276" s="99"/>
      <c r="M276" s="99"/>
      <c r="N276" s="99"/>
      <c r="R276" s="75"/>
      <c r="S276" s="75"/>
      <c r="T276" s="75"/>
      <c r="U276" s="75"/>
      <c r="V276" s="75"/>
      <c r="W276" s="75"/>
    </row>
    <row r="277" spans="1:23">
      <c r="A277" s="98"/>
      <c r="H277" s="99"/>
      <c r="I277" s="99"/>
      <c r="J277" s="99"/>
      <c r="K277" s="99"/>
      <c r="L277" s="99"/>
      <c r="M277" s="99"/>
      <c r="N277" s="99"/>
      <c r="R277" s="75"/>
      <c r="S277" s="75"/>
      <c r="T277" s="75"/>
      <c r="U277" s="75"/>
      <c r="V277" s="75"/>
      <c r="W277" s="75"/>
    </row>
    <row r="278" spans="1:23">
      <c r="A278" s="98"/>
      <c r="H278" s="99"/>
      <c r="I278" s="99"/>
      <c r="J278" s="99"/>
      <c r="K278" s="99"/>
      <c r="L278" s="99"/>
      <c r="M278" s="99"/>
      <c r="N278" s="99"/>
      <c r="R278" s="75"/>
      <c r="S278" s="75"/>
      <c r="T278" s="75"/>
      <c r="U278" s="75"/>
      <c r="V278" s="75"/>
      <c r="W278" s="75"/>
    </row>
    <row r="279" spans="1:23">
      <c r="A279" s="98"/>
      <c r="H279" s="99"/>
      <c r="I279" s="99"/>
      <c r="J279" s="99"/>
      <c r="K279" s="99"/>
      <c r="L279" s="99"/>
      <c r="M279" s="99"/>
      <c r="N279" s="99"/>
      <c r="R279" s="75"/>
      <c r="S279" s="75"/>
      <c r="T279" s="75"/>
      <c r="U279" s="75"/>
      <c r="V279" s="75"/>
      <c r="W279" s="75"/>
    </row>
    <row r="280" spans="1:23">
      <c r="A280" s="98"/>
      <c r="H280" s="99"/>
      <c r="I280" s="99"/>
      <c r="J280" s="99"/>
      <c r="K280" s="99"/>
      <c r="L280" s="99"/>
      <c r="M280" s="99"/>
      <c r="N280" s="99"/>
      <c r="R280" s="75"/>
      <c r="S280" s="75"/>
      <c r="T280" s="75"/>
      <c r="U280" s="75"/>
      <c r="V280" s="75"/>
      <c r="W280" s="75"/>
    </row>
    <row r="281" spans="1:23">
      <c r="A281" s="98"/>
      <c r="H281" s="99"/>
      <c r="I281" s="99"/>
      <c r="J281" s="99"/>
      <c r="K281" s="99"/>
      <c r="L281" s="99"/>
      <c r="M281" s="99"/>
      <c r="N281" s="99"/>
      <c r="R281" s="75"/>
      <c r="S281" s="75"/>
      <c r="T281" s="75"/>
      <c r="U281" s="75"/>
      <c r="V281" s="75"/>
      <c r="W281" s="75"/>
    </row>
    <row r="282" spans="1:23">
      <c r="A282" s="98"/>
      <c r="H282" s="99"/>
      <c r="I282" s="99"/>
      <c r="J282" s="99"/>
      <c r="K282" s="99"/>
      <c r="L282" s="99"/>
      <c r="M282" s="99"/>
      <c r="N282" s="99"/>
      <c r="R282" s="75"/>
      <c r="S282" s="75"/>
      <c r="T282" s="75"/>
      <c r="U282" s="75"/>
      <c r="V282" s="75"/>
      <c r="W282" s="75"/>
    </row>
    <row r="283" spans="1:23">
      <c r="A283" s="98"/>
      <c r="H283" s="99"/>
      <c r="I283" s="99"/>
      <c r="J283" s="99"/>
      <c r="K283" s="99"/>
      <c r="L283" s="99"/>
      <c r="M283" s="99"/>
      <c r="N283" s="99"/>
      <c r="R283" s="75"/>
      <c r="S283" s="75"/>
      <c r="T283" s="75"/>
      <c r="U283" s="75"/>
      <c r="V283" s="75"/>
      <c r="W283" s="75"/>
    </row>
    <row r="284" spans="1:23">
      <c r="A284" s="98"/>
      <c r="H284" s="99"/>
      <c r="I284" s="99"/>
      <c r="J284" s="99"/>
      <c r="K284" s="99"/>
      <c r="L284" s="99"/>
      <c r="M284" s="99"/>
      <c r="N284" s="99"/>
      <c r="R284" s="75"/>
      <c r="S284" s="75"/>
      <c r="T284" s="75"/>
      <c r="U284" s="75"/>
      <c r="V284" s="75"/>
      <c r="W284" s="75"/>
    </row>
    <row r="285" spans="1:23">
      <c r="A285" s="98"/>
      <c r="H285" s="99"/>
      <c r="I285" s="99"/>
      <c r="J285" s="99"/>
      <c r="K285" s="99"/>
      <c r="L285" s="99"/>
      <c r="M285" s="99"/>
      <c r="N285" s="99"/>
      <c r="R285" s="75"/>
      <c r="S285" s="75"/>
      <c r="T285" s="75"/>
      <c r="U285" s="75"/>
      <c r="V285" s="75"/>
      <c r="W285" s="75"/>
    </row>
    <row r="286" spans="1:23">
      <c r="A286" s="98"/>
      <c r="H286" s="99"/>
      <c r="I286" s="99"/>
      <c r="J286" s="99"/>
      <c r="K286" s="99"/>
      <c r="L286" s="99"/>
      <c r="M286" s="99"/>
      <c r="N286" s="99"/>
      <c r="R286" s="75"/>
      <c r="S286" s="75"/>
      <c r="T286" s="75"/>
      <c r="U286" s="75"/>
      <c r="V286" s="75"/>
      <c r="W286" s="75"/>
    </row>
    <row r="287" spans="1:23">
      <c r="A287" s="98"/>
      <c r="H287" s="99"/>
      <c r="I287" s="99"/>
      <c r="J287" s="99"/>
      <c r="K287" s="99"/>
      <c r="L287" s="99"/>
      <c r="M287" s="99"/>
      <c r="N287" s="99"/>
      <c r="R287" s="75"/>
      <c r="S287" s="75"/>
      <c r="T287" s="75"/>
      <c r="U287" s="75"/>
      <c r="V287" s="75"/>
      <c r="W287" s="75"/>
    </row>
    <row r="288" spans="1:23">
      <c r="A288" s="98"/>
      <c r="H288" s="99"/>
      <c r="I288" s="99"/>
      <c r="J288" s="99"/>
      <c r="K288" s="99"/>
      <c r="L288" s="99"/>
      <c r="M288" s="99"/>
      <c r="N288" s="99"/>
      <c r="R288" s="75"/>
      <c r="S288" s="75"/>
      <c r="T288" s="75"/>
      <c r="U288" s="75"/>
      <c r="V288" s="75"/>
      <c r="W288" s="75"/>
    </row>
    <row r="289" spans="1:23">
      <c r="A289" s="98"/>
      <c r="H289" s="99"/>
      <c r="I289" s="99"/>
      <c r="J289" s="99"/>
      <c r="K289" s="99"/>
      <c r="L289" s="99"/>
      <c r="M289" s="99"/>
      <c r="N289" s="99"/>
      <c r="R289" s="75"/>
      <c r="S289" s="75"/>
      <c r="T289" s="75"/>
      <c r="U289" s="75"/>
      <c r="V289" s="75"/>
      <c r="W289" s="75"/>
    </row>
    <row r="290" spans="1:23">
      <c r="A290" s="98"/>
      <c r="H290" s="99"/>
      <c r="I290" s="99"/>
      <c r="J290" s="99"/>
      <c r="K290" s="99"/>
      <c r="L290" s="99"/>
      <c r="M290" s="99"/>
      <c r="N290" s="99"/>
      <c r="R290" s="75"/>
      <c r="S290" s="75"/>
      <c r="T290" s="75"/>
      <c r="U290" s="75"/>
      <c r="V290" s="75"/>
      <c r="W290" s="75"/>
    </row>
    <row r="291" spans="1:23">
      <c r="A291" s="98"/>
      <c r="H291" s="99"/>
      <c r="I291" s="99"/>
      <c r="J291" s="99"/>
      <c r="K291" s="99"/>
      <c r="L291" s="99"/>
      <c r="M291" s="99"/>
      <c r="N291" s="99"/>
      <c r="R291" s="75"/>
      <c r="S291" s="75"/>
      <c r="T291" s="75"/>
      <c r="U291" s="75"/>
      <c r="V291" s="75"/>
      <c r="W291" s="75"/>
    </row>
    <row r="292" spans="1:23">
      <c r="A292" s="98"/>
      <c r="H292" s="99"/>
      <c r="I292" s="99"/>
      <c r="J292" s="99"/>
      <c r="K292" s="99"/>
      <c r="L292" s="99"/>
      <c r="M292" s="99"/>
      <c r="N292" s="99"/>
      <c r="R292" s="75"/>
      <c r="S292" s="75"/>
      <c r="T292" s="75"/>
      <c r="U292" s="75"/>
      <c r="V292" s="75"/>
      <c r="W292" s="75"/>
    </row>
    <row r="293" spans="1:23">
      <c r="A293" s="98"/>
      <c r="H293" s="99"/>
      <c r="I293" s="99"/>
      <c r="J293" s="99"/>
      <c r="K293" s="99"/>
      <c r="L293" s="99"/>
      <c r="M293" s="99"/>
      <c r="N293" s="99"/>
      <c r="R293" s="75"/>
      <c r="S293" s="75"/>
      <c r="T293" s="75"/>
      <c r="U293" s="75"/>
      <c r="V293" s="75"/>
      <c r="W293" s="75"/>
    </row>
    <row r="294" spans="1:23">
      <c r="A294" s="98"/>
      <c r="H294" s="99"/>
      <c r="I294" s="99"/>
      <c r="J294" s="99"/>
      <c r="K294" s="99"/>
      <c r="L294" s="99"/>
      <c r="M294" s="99"/>
      <c r="N294" s="99"/>
      <c r="R294" s="75"/>
      <c r="S294" s="75"/>
      <c r="T294" s="75"/>
      <c r="U294" s="75"/>
      <c r="V294" s="75"/>
      <c r="W294" s="75"/>
    </row>
    <row r="295" spans="1:23">
      <c r="A295" s="98"/>
      <c r="H295" s="99"/>
      <c r="I295" s="99"/>
      <c r="J295" s="99"/>
      <c r="K295" s="99"/>
      <c r="L295" s="99"/>
      <c r="M295" s="99"/>
      <c r="N295" s="99"/>
      <c r="R295" s="75"/>
      <c r="S295" s="75"/>
      <c r="T295" s="75"/>
      <c r="U295" s="75"/>
      <c r="V295" s="75"/>
      <c r="W295" s="75"/>
    </row>
    <row r="296" spans="1:23">
      <c r="A296" s="98"/>
      <c r="H296" s="99"/>
      <c r="I296" s="99"/>
      <c r="J296" s="99"/>
      <c r="K296" s="99"/>
      <c r="L296" s="99"/>
      <c r="M296" s="99"/>
      <c r="N296" s="99"/>
      <c r="R296" s="75"/>
      <c r="S296" s="75"/>
      <c r="T296" s="75"/>
      <c r="U296" s="75"/>
      <c r="V296" s="75"/>
      <c r="W296" s="75"/>
    </row>
    <row r="297" spans="1:23">
      <c r="A297" s="98"/>
      <c r="H297" s="99"/>
      <c r="I297" s="99"/>
      <c r="J297" s="99"/>
      <c r="K297" s="99"/>
      <c r="L297" s="99"/>
      <c r="M297" s="99"/>
      <c r="N297" s="99"/>
      <c r="R297" s="75"/>
      <c r="S297" s="75"/>
      <c r="T297" s="75"/>
      <c r="U297" s="75"/>
      <c r="V297" s="75"/>
      <c r="W297" s="75"/>
    </row>
    <row r="298" spans="1:23">
      <c r="A298" s="98"/>
      <c r="H298" s="99"/>
      <c r="I298" s="99"/>
      <c r="J298" s="99"/>
      <c r="K298" s="99"/>
      <c r="L298" s="99"/>
      <c r="M298" s="99"/>
      <c r="N298" s="99"/>
      <c r="R298" s="75"/>
      <c r="S298" s="75"/>
      <c r="T298" s="75"/>
      <c r="U298" s="75"/>
      <c r="V298" s="75"/>
      <c r="W298" s="75"/>
    </row>
    <row r="299" spans="1:23">
      <c r="A299" s="98"/>
      <c r="H299" s="99"/>
      <c r="I299" s="99"/>
      <c r="J299" s="99"/>
      <c r="K299" s="99"/>
      <c r="L299" s="99"/>
      <c r="M299" s="99"/>
      <c r="N299" s="99"/>
      <c r="R299" s="75"/>
      <c r="S299" s="75"/>
      <c r="T299" s="75"/>
      <c r="U299" s="75"/>
      <c r="V299" s="75"/>
      <c r="W299" s="75"/>
    </row>
    <row r="300" spans="1:23">
      <c r="A300" s="98"/>
      <c r="H300" s="99"/>
      <c r="I300" s="99"/>
      <c r="J300" s="99"/>
      <c r="K300" s="99"/>
      <c r="L300" s="99"/>
      <c r="M300" s="99"/>
      <c r="N300" s="99"/>
      <c r="R300" s="75"/>
      <c r="S300" s="75"/>
      <c r="T300" s="75"/>
      <c r="U300" s="75"/>
      <c r="V300" s="75"/>
      <c r="W300" s="75"/>
    </row>
    <row r="301" spans="1:23">
      <c r="A301" s="98"/>
      <c r="H301" s="99"/>
      <c r="I301" s="99"/>
      <c r="J301" s="99"/>
      <c r="K301" s="99"/>
      <c r="L301" s="99"/>
      <c r="M301" s="99"/>
      <c r="N301" s="99"/>
      <c r="R301" s="75"/>
      <c r="S301" s="75"/>
      <c r="T301" s="75"/>
      <c r="U301" s="75"/>
      <c r="V301" s="75"/>
      <c r="W301" s="75"/>
    </row>
    <row r="302" spans="1:23">
      <c r="A302" s="98"/>
      <c r="H302" s="99"/>
      <c r="I302" s="99"/>
      <c r="J302" s="99"/>
      <c r="K302" s="99"/>
      <c r="L302" s="99"/>
      <c r="M302" s="99"/>
      <c r="N302" s="99"/>
      <c r="R302" s="75"/>
      <c r="S302" s="75"/>
      <c r="T302" s="75"/>
      <c r="U302" s="75"/>
      <c r="V302" s="75"/>
      <c r="W302" s="75"/>
    </row>
    <row r="303" spans="1:23">
      <c r="A303" s="98"/>
      <c r="H303" s="99"/>
      <c r="I303" s="99"/>
      <c r="J303" s="99"/>
      <c r="K303" s="99"/>
      <c r="L303" s="99"/>
      <c r="M303" s="99"/>
      <c r="N303" s="99"/>
      <c r="R303" s="75"/>
      <c r="S303" s="75"/>
      <c r="T303" s="75"/>
      <c r="U303" s="75"/>
      <c r="V303" s="75"/>
      <c r="W303" s="75"/>
    </row>
    <row r="304" spans="1:23">
      <c r="A304" s="98"/>
      <c r="H304" s="99"/>
      <c r="I304" s="99"/>
      <c r="J304" s="99"/>
      <c r="K304" s="99"/>
      <c r="L304" s="99"/>
      <c r="M304" s="99"/>
      <c r="N304" s="99"/>
      <c r="R304" s="75"/>
      <c r="S304" s="75"/>
      <c r="T304" s="75"/>
      <c r="U304" s="75"/>
      <c r="V304" s="75"/>
      <c r="W304" s="75"/>
    </row>
    <row r="305" spans="1:23">
      <c r="A305" s="98"/>
      <c r="H305" s="99"/>
      <c r="I305" s="99"/>
      <c r="J305" s="99"/>
      <c r="K305" s="99"/>
      <c r="L305" s="99"/>
      <c r="M305" s="99"/>
      <c r="N305" s="99"/>
      <c r="R305" s="75"/>
      <c r="S305" s="75"/>
      <c r="T305" s="75"/>
      <c r="U305" s="75"/>
      <c r="V305" s="75"/>
      <c r="W305" s="75"/>
    </row>
    <row r="306" spans="1:23">
      <c r="A306" s="98"/>
      <c r="H306" s="99"/>
      <c r="I306" s="99"/>
      <c r="J306" s="99"/>
      <c r="K306" s="99"/>
      <c r="L306" s="99"/>
      <c r="M306" s="99"/>
      <c r="N306" s="99"/>
      <c r="R306" s="75"/>
      <c r="S306" s="75"/>
      <c r="T306" s="75"/>
      <c r="U306" s="75"/>
      <c r="V306" s="75"/>
      <c r="W306" s="75"/>
    </row>
    <row r="307" spans="1:23">
      <c r="A307" s="98"/>
      <c r="H307" s="99"/>
      <c r="I307" s="99"/>
      <c r="J307" s="99"/>
      <c r="K307" s="99"/>
      <c r="L307" s="99"/>
      <c r="M307" s="99"/>
      <c r="N307" s="99"/>
      <c r="R307" s="75"/>
      <c r="S307" s="75"/>
      <c r="T307" s="75"/>
      <c r="U307" s="75"/>
      <c r="V307" s="75"/>
      <c r="W307" s="75"/>
    </row>
    <row r="308" spans="1:23">
      <c r="A308" s="98"/>
      <c r="H308" s="99"/>
      <c r="I308" s="99"/>
      <c r="J308" s="99"/>
      <c r="K308" s="99"/>
      <c r="L308" s="99"/>
      <c r="M308" s="99"/>
      <c r="N308" s="99"/>
      <c r="R308" s="75"/>
      <c r="S308" s="75"/>
      <c r="T308" s="75"/>
      <c r="U308" s="75"/>
      <c r="V308" s="75"/>
      <c r="W308" s="75"/>
    </row>
    <row r="309" spans="1:23">
      <c r="A309" s="98"/>
      <c r="H309" s="99"/>
      <c r="I309" s="99"/>
      <c r="J309" s="99"/>
      <c r="K309" s="99"/>
      <c r="L309" s="99"/>
      <c r="M309" s="99"/>
      <c r="N309" s="99"/>
      <c r="R309" s="75"/>
      <c r="S309" s="75"/>
      <c r="T309" s="75"/>
      <c r="U309" s="75"/>
      <c r="V309" s="75"/>
      <c r="W309" s="75"/>
    </row>
    <row r="310" spans="1:23">
      <c r="A310" s="98"/>
      <c r="H310" s="99"/>
      <c r="I310" s="99"/>
      <c r="J310" s="99"/>
      <c r="K310" s="99"/>
      <c r="L310" s="99"/>
      <c r="M310" s="99"/>
      <c r="N310" s="99"/>
      <c r="R310" s="75"/>
      <c r="S310" s="75"/>
      <c r="T310" s="75"/>
      <c r="U310" s="75"/>
      <c r="V310" s="75"/>
      <c r="W310" s="75"/>
    </row>
    <row r="311" spans="1:23">
      <c r="A311" s="98"/>
      <c r="H311" s="99"/>
      <c r="I311" s="99"/>
      <c r="J311" s="99"/>
      <c r="K311" s="99"/>
      <c r="L311" s="99"/>
      <c r="M311" s="99"/>
      <c r="N311" s="99"/>
      <c r="R311" s="75"/>
      <c r="S311" s="75"/>
      <c r="T311" s="75"/>
      <c r="U311" s="75"/>
      <c r="V311" s="75"/>
      <c r="W311" s="75"/>
    </row>
    <row r="312" spans="1:23">
      <c r="A312" s="98"/>
      <c r="H312" s="99"/>
      <c r="I312" s="99"/>
      <c r="J312" s="99"/>
      <c r="K312" s="99"/>
      <c r="L312" s="99"/>
      <c r="M312" s="99"/>
      <c r="N312" s="99"/>
      <c r="R312" s="75"/>
      <c r="S312" s="75"/>
      <c r="T312" s="75"/>
      <c r="U312" s="75"/>
      <c r="V312" s="75"/>
      <c r="W312" s="75"/>
    </row>
    <row r="313" spans="1:23">
      <c r="A313" s="98"/>
      <c r="H313" s="99"/>
      <c r="I313" s="99"/>
      <c r="J313" s="99"/>
      <c r="K313" s="99"/>
      <c r="L313" s="99"/>
      <c r="M313" s="99"/>
      <c r="N313" s="99"/>
      <c r="R313" s="75"/>
      <c r="S313" s="75"/>
      <c r="T313" s="75"/>
      <c r="U313" s="75"/>
      <c r="V313" s="75"/>
      <c r="W313" s="75"/>
    </row>
    <row r="314" spans="1:23">
      <c r="A314" s="98"/>
      <c r="H314" s="99"/>
      <c r="I314" s="99"/>
      <c r="J314" s="99"/>
      <c r="K314" s="99"/>
      <c r="L314" s="99"/>
      <c r="M314" s="99"/>
      <c r="N314" s="99"/>
      <c r="R314" s="75"/>
      <c r="S314" s="75"/>
      <c r="T314" s="75"/>
      <c r="U314" s="75"/>
      <c r="V314" s="75"/>
      <c r="W314" s="75"/>
    </row>
    <row r="315" spans="1:23">
      <c r="A315" s="98"/>
      <c r="H315" s="99"/>
      <c r="I315" s="99"/>
      <c r="J315" s="99"/>
      <c r="K315" s="99"/>
      <c r="L315" s="99"/>
      <c r="M315" s="99"/>
      <c r="N315" s="99"/>
      <c r="R315" s="75"/>
      <c r="S315" s="75"/>
      <c r="T315" s="75"/>
      <c r="U315" s="75"/>
      <c r="V315" s="75"/>
      <c r="W315" s="75"/>
    </row>
    <row r="316" spans="1:23">
      <c r="A316" s="98"/>
      <c r="H316" s="99"/>
      <c r="I316" s="99"/>
      <c r="J316" s="99"/>
      <c r="K316" s="99"/>
      <c r="L316" s="99"/>
      <c r="M316" s="99"/>
      <c r="N316" s="99"/>
      <c r="R316" s="75"/>
      <c r="S316" s="75"/>
      <c r="T316" s="75"/>
      <c r="U316" s="75"/>
      <c r="V316" s="75"/>
      <c r="W316" s="75"/>
    </row>
    <row r="317" spans="1:23">
      <c r="A317" s="98"/>
      <c r="H317" s="99"/>
      <c r="I317" s="99"/>
      <c r="J317" s="99"/>
      <c r="K317" s="99"/>
      <c r="L317" s="99"/>
      <c r="M317" s="99"/>
      <c r="N317" s="99"/>
      <c r="R317" s="75"/>
      <c r="S317" s="75"/>
      <c r="T317" s="75"/>
      <c r="U317" s="75"/>
      <c r="V317" s="75"/>
      <c r="W317" s="75"/>
    </row>
    <row r="318" spans="1:23">
      <c r="A318" s="98"/>
      <c r="H318" s="99"/>
      <c r="I318" s="99"/>
      <c r="J318" s="99"/>
      <c r="K318" s="99"/>
      <c r="L318" s="99"/>
      <c r="M318" s="99"/>
      <c r="N318" s="99"/>
      <c r="R318" s="75"/>
      <c r="S318" s="75"/>
      <c r="T318" s="75"/>
      <c r="U318" s="75"/>
      <c r="V318" s="75"/>
      <c r="W318" s="75"/>
    </row>
    <row r="319" spans="1:23">
      <c r="A319" s="98"/>
      <c r="H319" s="99"/>
      <c r="I319" s="99"/>
      <c r="J319" s="99"/>
      <c r="K319" s="99"/>
      <c r="L319" s="99"/>
      <c r="M319" s="99"/>
      <c r="N319" s="99"/>
      <c r="R319" s="75"/>
      <c r="S319" s="75"/>
      <c r="T319" s="75"/>
      <c r="U319" s="75"/>
      <c r="V319" s="75"/>
      <c r="W319" s="75"/>
    </row>
    <row r="320" spans="1:23">
      <c r="A320" s="98"/>
      <c r="H320" s="99"/>
      <c r="I320" s="99"/>
      <c r="J320" s="99"/>
      <c r="K320" s="99"/>
      <c r="L320" s="99"/>
      <c r="M320" s="99"/>
      <c r="N320" s="99"/>
      <c r="R320" s="75"/>
      <c r="S320" s="75"/>
      <c r="T320" s="75"/>
      <c r="U320" s="75"/>
      <c r="V320" s="75"/>
      <c r="W320" s="75"/>
    </row>
    <row r="321" spans="1:23">
      <c r="A321" s="98"/>
      <c r="H321" s="99"/>
      <c r="I321" s="99"/>
      <c r="J321" s="99"/>
      <c r="K321" s="99"/>
      <c r="L321" s="99"/>
      <c r="M321" s="99"/>
      <c r="N321" s="99"/>
      <c r="R321" s="75"/>
      <c r="S321" s="75"/>
      <c r="T321" s="75"/>
      <c r="U321" s="75"/>
      <c r="V321" s="75"/>
      <c r="W321" s="75"/>
    </row>
    <row r="322" spans="1:23">
      <c r="A322" s="98"/>
      <c r="H322" s="99"/>
      <c r="I322" s="99"/>
      <c r="J322" s="99"/>
      <c r="K322" s="99"/>
      <c r="L322" s="99"/>
      <c r="M322" s="99"/>
      <c r="N322" s="99"/>
      <c r="R322" s="75"/>
      <c r="S322" s="75"/>
      <c r="T322" s="75"/>
      <c r="U322" s="75"/>
      <c r="V322" s="75"/>
      <c r="W322" s="75"/>
    </row>
    <row r="323" spans="1:23">
      <c r="A323" s="98"/>
      <c r="H323" s="99"/>
      <c r="I323" s="99"/>
      <c r="J323" s="99"/>
      <c r="K323" s="99"/>
      <c r="L323" s="99"/>
      <c r="M323" s="99"/>
      <c r="N323" s="99"/>
      <c r="R323" s="75"/>
      <c r="S323" s="75"/>
      <c r="T323" s="75"/>
      <c r="U323" s="75"/>
      <c r="V323" s="75"/>
      <c r="W323" s="75"/>
    </row>
    <row r="324" spans="1:23">
      <c r="A324" s="98"/>
      <c r="H324" s="99"/>
      <c r="I324" s="99"/>
      <c r="J324" s="99"/>
      <c r="K324" s="99"/>
      <c r="L324" s="99"/>
      <c r="M324" s="99"/>
      <c r="N324" s="99"/>
      <c r="R324" s="75"/>
      <c r="S324" s="75"/>
      <c r="T324" s="75"/>
      <c r="U324" s="75"/>
      <c r="V324" s="75"/>
      <c r="W324" s="75"/>
    </row>
    <row r="325" spans="1:23">
      <c r="A325" s="98"/>
      <c r="H325" s="99"/>
      <c r="I325" s="99"/>
      <c r="J325" s="99"/>
      <c r="K325" s="99"/>
      <c r="L325" s="99"/>
      <c r="M325" s="99"/>
      <c r="N325" s="99"/>
      <c r="R325" s="75"/>
      <c r="S325" s="75"/>
      <c r="T325" s="75"/>
      <c r="U325" s="75"/>
      <c r="V325" s="75"/>
      <c r="W325" s="75"/>
    </row>
    <row r="326" spans="1:23">
      <c r="A326" s="98"/>
      <c r="H326" s="99"/>
      <c r="I326" s="99"/>
      <c r="J326" s="99"/>
      <c r="K326" s="99"/>
      <c r="L326" s="99"/>
      <c r="M326" s="99"/>
      <c r="N326" s="99"/>
      <c r="R326" s="75"/>
      <c r="S326" s="75"/>
      <c r="T326" s="75"/>
      <c r="U326" s="75"/>
      <c r="V326" s="75"/>
      <c r="W326" s="75"/>
    </row>
    <row r="327" spans="1:23">
      <c r="A327" s="98"/>
      <c r="H327" s="99"/>
      <c r="I327" s="99"/>
      <c r="J327" s="99"/>
      <c r="K327" s="99"/>
      <c r="L327" s="99"/>
      <c r="M327" s="99"/>
      <c r="N327" s="99"/>
      <c r="R327" s="75"/>
      <c r="S327" s="75"/>
      <c r="T327" s="75"/>
      <c r="U327" s="75"/>
      <c r="V327" s="75"/>
      <c r="W327" s="75"/>
    </row>
    <row r="328" spans="1:23">
      <c r="A328" s="98"/>
      <c r="H328" s="99"/>
      <c r="I328" s="99"/>
      <c r="J328" s="99"/>
      <c r="K328" s="99"/>
      <c r="L328" s="99"/>
      <c r="M328" s="99"/>
      <c r="N328" s="99"/>
      <c r="R328" s="75"/>
      <c r="S328" s="75"/>
      <c r="T328" s="75"/>
      <c r="U328" s="75"/>
      <c r="V328" s="75"/>
      <c r="W328" s="75"/>
    </row>
    <row r="329" spans="1:23">
      <c r="A329" s="98"/>
      <c r="H329" s="99"/>
      <c r="I329" s="99"/>
      <c r="J329" s="99"/>
      <c r="K329" s="99"/>
      <c r="L329" s="99"/>
      <c r="M329" s="99"/>
      <c r="N329" s="99"/>
      <c r="R329" s="75"/>
      <c r="S329" s="75"/>
      <c r="T329" s="75"/>
      <c r="U329" s="75"/>
      <c r="V329" s="75"/>
      <c r="W329" s="75"/>
    </row>
    <row r="330" spans="1:23">
      <c r="A330" s="98"/>
      <c r="H330" s="99"/>
      <c r="I330" s="99"/>
      <c r="J330" s="99"/>
      <c r="K330" s="99"/>
      <c r="L330" s="99"/>
      <c r="M330" s="99"/>
      <c r="N330" s="99"/>
      <c r="R330" s="75"/>
      <c r="S330" s="75"/>
      <c r="T330" s="75"/>
      <c r="U330" s="75"/>
      <c r="V330" s="75"/>
      <c r="W330" s="75"/>
    </row>
    <row r="331" spans="1:23">
      <c r="A331" s="98"/>
      <c r="H331" s="99"/>
      <c r="I331" s="99"/>
      <c r="J331" s="99"/>
      <c r="K331" s="99"/>
      <c r="L331" s="99"/>
      <c r="M331" s="99"/>
      <c r="N331" s="99"/>
      <c r="R331" s="75"/>
      <c r="S331" s="75"/>
      <c r="T331" s="75"/>
      <c r="U331" s="75"/>
      <c r="V331" s="75"/>
      <c r="W331" s="75"/>
    </row>
    <row r="332" spans="1:23">
      <c r="A332" s="98"/>
      <c r="H332" s="99"/>
      <c r="I332" s="99"/>
      <c r="J332" s="99"/>
      <c r="K332" s="99"/>
      <c r="L332" s="99"/>
      <c r="M332" s="99"/>
      <c r="N332" s="99"/>
      <c r="R332" s="75"/>
      <c r="S332" s="75"/>
      <c r="T332" s="75"/>
      <c r="U332" s="75"/>
      <c r="V332" s="75"/>
      <c r="W332" s="75"/>
    </row>
    <row r="333" spans="1:23">
      <c r="A333" s="98"/>
      <c r="H333" s="99"/>
      <c r="I333" s="99"/>
      <c r="J333" s="99"/>
      <c r="K333" s="99"/>
      <c r="L333" s="99"/>
      <c r="M333" s="99"/>
      <c r="N333" s="99"/>
      <c r="R333" s="75"/>
      <c r="S333" s="75"/>
      <c r="T333" s="75"/>
      <c r="U333" s="75"/>
      <c r="V333" s="75"/>
      <c r="W333" s="75"/>
    </row>
    <row r="334" spans="1:23">
      <c r="A334" s="98"/>
      <c r="H334" s="99"/>
      <c r="I334" s="99"/>
      <c r="J334" s="99"/>
      <c r="K334" s="99"/>
      <c r="L334" s="99"/>
      <c r="M334" s="99"/>
      <c r="N334" s="99"/>
      <c r="R334" s="75"/>
      <c r="S334" s="75"/>
      <c r="T334" s="75"/>
      <c r="U334" s="75"/>
      <c r="V334" s="75"/>
      <c r="W334" s="75"/>
    </row>
    <row r="335" spans="1:23">
      <c r="A335" s="98"/>
      <c r="H335" s="99"/>
      <c r="I335" s="99"/>
      <c r="J335" s="99"/>
      <c r="K335" s="99"/>
      <c r="L335" s="99"/>
      <c r="M335" s="99"/>
      <c r="N335" s="99"/>
      <c r="R335" s="75"/>
      <c r="S335" s="75"/>
      <c r="T335" s="75"/>
      <c r="U335" s="75"/>
      <c r="V335" s="75"/>
      <c r="W335" s="75"/>
    </row>
    <row r="336" spans="1:23">
      <c r="A336" s="98"/>
      <c r="H336" s="99"/>
      <c r="I336" s="99"/>
      <c r="J336" s="99"/>
      <c r="K336" s="99"/>
      <c r="L336" s="99"/>
      <c r="M336" s="99"/>
      <c r="N336" s="99"/>
      <c r="R336" s="75"/>
      <c r="S336" s="75"/>
      <c r="T336" s="75"/>
      <c r="U336" s="75"/>
      <c r="V336" s="75"/>
      <c r="W336" s="75"/>
    </row>
    <row r="337" spans="1:23">
      <c r="A337" s="98"/>
      <c r="H337" s="99"/>
      <c r="I337" s="99"/>
      <c r="J337" s="99"/>
      <c r="K337" s="99"/>
      <c r="L337" s="99"/>
      <c r="M337" s="99"/>
      <c r="N337" s="99"/>
      <c r="R337" s="75"/>
      <c r="S337" s="75"/>
      <c r="T337" s="75"/>
      <c r="U337" s="75"/>
      <c r="V337" s="75"/>
      <c r="W337" s="75"/>
    </row>
    <row r="338" spans="1:23">
      <c r="A338" s="98"/>
      <c r="H338" s="99"/>
      <c r="I338" s="99"/>
      <c r="J338" s="99"/>
      <c r="K338" s="99"/>
      <c r="L338" s="99"/>
      <c r="M338" s="99"/>
      <c r="N338" s="99"/>
      <c r="R338" s="75"/>
      <c r="S338" s="75"/>
      <c r="T338" s="75"/>
      <c r="U338" s="75"/>
      <c r="V338" s="75"/>
      <c r="W338" s="75"/>
    </row>
    <row r="339" spans="1:23">
      <c r="A339" s="98"/>
      <c r="H339" s="99"/>
      <c r="I339" s="99"/>
      <c r="J339" s="99"/>
      <c r="K339" s="99"/>
      <c r="L339" s="99"/>
      <c r="M339" s="99"/>
      <c r="N339" s="99"/>
      <c r="R339" s="75"/>
      <c r="S339" s="75"/>
      <c r="T339" s="75"/>
      <c r="U339" s="75"/>
      <c r="V339" s="75"/>
      <c r="W339" s="75"/>
    </row>
    <row r="340" spans="1:23">
      <c r="A340" s="98"/>
      <c r="H340" s="99"/>
      <c r="I340" s="99"/>
      <c r="J340" s="99"/>
      <c r="K340" s="99"/>
      <c r="L340" s="99"/>
      <c r="M340" s="99"/>
      <c r="N340" s="99"/>
      <c r="R340" s="75"/>
      <c r="S340" s="75"/>
      <c r="T340" s="75"/>
      <c r="U340" s="75"/>
      <c r="V340" s="75"/>
      <c r="W340" s="75"/>
    </row>
    <row r="341" spans="1:23">
      <c r="A341" s="98"/>
      <c r="H341" s="99"/>
      <c r="I341" s="99"/>
      <c r="J341" s="99"/>
      <c r="K341" s="99"/>
      <c r="L341" s="99"/>
      <c r="M341" s="99"/>
      <c r="N341" s="99"/>
      <c r="R341" s="75"/>
      <c r="S341" s="75"/>
      <c r="T341" s="75"/>
      <c r="U341" s="75"/>
      <c r="V341" s="75"/>
      <c r="W341" s="75"/>
    </row>
    <row r="342" spans="1:23">
      <c r="A342" s="98"/>
      <c r="H342" s="99"/>
      <c r="I342" s="99"/>
      <c r="J342" s="99"/>
      <c r="K342" s="99"/>
      <c r="L342" s="99"/>
      <c r="M342" s="99"/>
      <c r="N342" s="99"/>
      <c r="R342" s="75"/>
      <c r="S342" s="75"/>
      <c r="T342" s="75"/>
      <c r="U342" s="75"/>
      <c r="V342" s="75"/>
      <c r="W342" s="75"/>
    </row>
    <row r="343" spans="1:23">
      <c r="A343" s="98"/>
      <c r="H343" s="99"/>
      <c r="I343" s="99"/>
      <c r="J343" s="99"/>
      <c r="K343" s="99"/>
      <c r="L343" s="99"/>
      <c r="M343" s="99"/>
      <c r="N343" s="99"/>
      <c r="R343" s="75"/>
      <c r="S343" s="75"/>
      <c r="T343" s="75"/>
      <c r="U343" s="75"/>
      <c r="V343" s="75"/>
      <c r="W343" s="75"/>
    </row>
    <row r="344" spans="1:23">
      <c r="A344" s="98"/>
      <c r="H344" s="99"/>
      <c r="I344" s="99"/>
      <c r="J344" s="99"/>
      <c r="K344" s="99"/>
      <c r="L344" s="99"/>
      <c r="M344" s="99"/>
      <c r="N344" s="99"/>
      <c r="R344" s="75"/>
      <c r="S344" s="75"/>
      <c r="T344" s="75"/>
      <c r="U344" s="75"/>
      <c r="V344" s="75"/>
      <c r="W344" s="75"/>
    </row>
    <row r="345" spans="1:23">
      <c r="A345" s="98"/>
      <c r="H345" s="99"/>
      <c r="I345" s="99"/>
      <c r="J345" s="99"/>
      <c r="K345" s="99"/>
      <c r="L345" s="99"/>
      <c r="M345" s="99"/>
      <c r="N345" s="99"/>
      <c r="R345" s="75"/>
      <c r="S345" s="75"/>
      <c r="T345" s="75"/>
      <c r="U345" s="75"/>
      <c r="V345" s="75"/>
      <c r="W345" s="75"/>
    </row>
    <row r="346" spans="1:23">
      <c r="A346" s="98"/>
      <c r="H346" s="99"/>
      <c r="I346" s="99"/>
      <c r="J346" s="99"/>
      <c r="K346" s="99"/>
      <c r="L346" s="99"/>
      <c r="M346" s="99"/>
      <c r="N346" s="99"/>
      <c r="R346" s="75"/>
      <c r="S346" s="75"/>
      <c r="T346" s="75"/>
      <c r="U346" s="75"/>
      <c r="V346" s="75"/>
      <c r="W346" s="75"/>
    </row>
    <row r="347" spans="1:23">
      <c r="A347" s="98"/>
      <c r="H347" s="99"/>
      <c r="I347" s="99"/>
      <c r="J347" s="99"/>
      <c r="K347" s="99"/>
      <c r="L347" s="99"/>
      <c r="M347" s="99"/>
      <c r="N347" s="99"/>
      <c r="R347" s="75"/>
      <c r="S347" s="75"/>
      <c r="T347" s="75"/>
      <c r="U347" s="75"/>
      <c r="V347" s="75"/>
      <c r="W347" s="75"/>
    </row>
    <row r="348" spans="1:23">
      <c r="A348" s="98"/>
      <c r="H348" s="99"/>
      <c r="I348" s="99"/>
      <c r="J348" s="99"/>
      <c r="K348" s="99"/>
      <c r="L348" s="99"/>
      <c r="M348" s="99"/>
      <c r="N348" s="99"/>
      <c r="R348" s="75"/>
      <c r="S348" s="75"/>
      <c r="T348" s="75"/>
      <c r="U348" s="75"/>
      <c r="V348" s="75"/>
      <c r="W348" s="75"/>
    </row>
    <row r="349" spans="1:23">
      <c r="A349" s="98"/>
      <c r="H349" s="99"/>
      <c r="I349" s="99"/>
      <c r="J349" s="99"/>
      <c r="K349" s="99"/>
      <c r="L349" s="99"/>
      <c r="M349" s="99"/>
      <c r="N349" s="99"/>
      <c r="R349" s="75"/>
      <c r="S349" s="75"/>
      <c r="T349" s="75"/>
      <c r="U349" s="75"/>
      <c r="V349" s="75"/>
      <c r="W349" s="75"/>
    </row>
    <row r="350" spans="1:23">
      <c r="A350" s="98"/>
      <c r="H350" s="99"/>
      <c r="I350" s="99"/>
      <c r="J350" s="99"/>
      <c r="K350" s="99"/>
      <c r="L350" s="99"/>
      <c r="M350" s="99"/>
      <c r="N350" s="99"/>
      <c r="R350" s="75"/>
      <c r="S350" s="75"/>
      <c r="T350" s="75"/>
      <c r="U350" s="75"/>
      <c r="V350" s="75"/>
      <c r="W350" s="75"/>
    </row>
    <row r="351" spans="1:23">
      <c r="A351" s="98"/>
      <c r="H351" s="99"/>
      <c r="I351" s="99"/>
      <c r="J351" s="99"/>
      <c r="K351" s="99"/>
      <c r="L351" s="99"/>
      <c r="M351" s="99"/>
      <c r="N351" s="99"/>
      <c r="R351" s="75"/>
      <c r="S351" s="75"/>
      <c r="T351" s="75"/>
      <c r="U351" s="75"/>
      <c r="V351" s="75"/>
      <c r="W351" s="75"/>
    </row>
    <row r="352" spans="1:23">
      <c r="A352" s="98"/>
      <c r="H352" s="99"/>
      <c r="I352" s="99"/>
      <c r="J352" s="99"/>
      <c r="K352" s="99"/>
      <c r="L352" s="99"/>
      <c r="M352" s="99"/>
      <c r="N352" s="99"/>
      <c r="R352" s="75"/>
      <c r="S352" s="75"/>
      <c r="T352" s="75"/>
      <c r="U352" s="75"/>
      <c r="V352" s="75"/>
      <c r="W352" s="75"/>
    </row>
    <row r="353" spans="1:23">
      <c r="A353" s="98"/>
      <c r="H353" s="99"/>
      <c r="I353" s="99"/>
      <c r="J353" s="99"/>
      <c r="K353" s="99"/>
      <c r="L353" s="99"/>
      <c r="M353" s="99"/>
      <c r="N353" s="99"/>
      <c r="R353" s="75"/>
      <c r="S353" s="75"/>
      <c r="T353" s="75"/>
      <c r="U353" s="75"/>
      <c r="V353" s="75"/>
      <c r="W353" s="75"/>
    </row>
    <row r="354" spans="1:23">
      <c r="A354" s="98"/>
      <c r="H354" s="99"/>
      <c r="I354" s="99"/>
      <c r="J354" s="99"/>
      <c r="K354" s="99"/>
      <c r="L354" s="99"/>
      <c r="M354" s="99"/>
      <c r="N354" s="99"/>
      <c r="R354" s="75"/>
      <c r="S354" s="75"/>
      <c r="T354" s="75"/>
      <c r="U354" s="75"/>
      <c r="V354" s="75"/>
      <c r="W354" s="75"/>
    </row>
    <row r="355" spans="1:23">
      <c r="A355" s="98"/>
      <c r="H355" s="99"/>
      <c r="I355" s="99"/>
      <c r="J355" s="99"/>
      <c r="K355" s="99"/>
      <c r="L355" s="99"/>
      <c r="M355" s="99"/>
      <c r="N355" s="99"/>
      <c r="R355" s="75"/>
      <c r="S355" s="75"/>
      <c r="T355" s="75"/>
      <c r="U355" s="75"/>
      <c r="V355" s="75"/>
      <c r="W355" s="75"/>
    </row>
    <row r="356" spans="1:23">
      <c r="A356" s="98"/>
      <c r="H356" s="99"/>
      <c r="I356" s="99"/>
      <c r="J356" s="99"/>
      <c r="K356" s="99"/>
      <c r="L356" s="99"/>
      <c r="M356" s="99"/>
      <c r="N356" s="99"/>
      <c r="R356" s="75"/>
      <c r="S356" s="75"/>
      <c r="T356" s="75"/>
      <c r="U356" s="75"/>
      <c r="V356" s="75"/>
      <c r="W356" s="75"/>
    </row>
    <row r="357" spans="1:23">
      <c r="A357" s="98"/>
      <c r="H357" s="99"/>
      <c r="I357" s="99"/>
      <c r="J357" s="99"/>
      <c r="K357" s="99"/>
      <c r="L357" s="99"/>
      <c r="M357" s="99"/>
      <c r="N357" s="99"/>
      <c r="R357" s="75"/>
      <c r="S357" s="75"/>
      <c r="T357" s="75"/>
      <c r="U357" s="75"/>
      <c r="V357" s="75"/>
      <c r="W357" s="75"/>
    </row>
    <row r="358" spans="1:23">
      <c r="A358" s="98"/>
      <c r="H358" s="99"/>
      <c r="I358" s="99"/>
      <c r="J358" s="99"/>
      <c r="K358" s="99"/>
      <c r="L358" s="99"/>
      <c r="M358" s="99"/>
      <c r="N358" s="99"/>
      <c r="R358" s="75"/>
      <c r="S358" s="75"/>
      <c r="T358" s="75"/>
      <c r="U358" s="75"/>
      <c r="V358" s="75"/>
      <c r="W358" s="75"/>
    </row>
    <row r="359" spans="1:23">
      <c r="A359" s="98"/>
      <c r="H359" s="99"/>
      <c r="I359" s="99"/>
      <c r="J359" s="99"/>
      <c r="K359" s="99"/>
      <c r="L359" s="99"/>
      <c r="M359" s="99"/>
      <c r="N359" s="99"/>
      <c r="R359" s="75"/>
      <c r="S359" s="75"/>
      <c r="T359" s="75"/>
      <c r="U359" s="75"/>
      <c r="V359" s="75"/>
      <c r="W359" s="75"/>
    </row>
    <row r="360" spans="1:23">
      <c r="A360" s="98"/>
      <c r="H360" s="99"/>
      <c r="I360" s="99"/>
      <c r="J360" s="99"/>
      <c r="K360" s="99"/>
      <c r="L360" s="99"/>
      <c r="M360" s="99"/>
      <c r="N360" s="99"/>
      <c r="R360" s="75"/>
      <c r="S360" s="75"/>
      <c r="T360" s="75"/>
      <c r="U360" s="75"/>
      <c r="V360" s="75"/>
      <c r="W360" s="75"/>
    </row>
    <row r="361" spans="1:23">
      <c r="A361" s="98"/>
      <c r="H361" s="99"/>
      <c r="I361" s="99"/>
      <c r="J361" s="99"/>
      <c r="K361" s="99"/>
      <c r="L361" s="99"/>
      <c r="M361" s="99"/>
      <c r="N361" s="99"/>
      <c r="R361" s="75"/>
      <c r="S361" s="75"/>
      <c r="T361" s="75"/>
      <c r="U361" s="75"/>
      <c r="V361" s="75"/>
      <c r="W361" s="75"/>
    </row>
    <row r="362" spans="1:23">
      <c r="A362" s="98"/>
      <c r="H362" s="99"/>
      <c r="I362" s="99"/>
      <c r="J362" s="99"/>
      <c r="K362" s="99"/>
      <c r="L362" s="99"/>
      <c r="M362" s="99"/>
      <c r="N362" s="99"/>
      <c r="R362" s="75"/>
      <c r="S362" s="75"/>
      <c r="T362" s="75"/>
      <c r="U362" s="75"/>
      <c r="V362" s="75"/>
      <c r="W362" s="75"/>
    </row>
    <row r="363" spans="1:23">
      <c r="A363" s="98"/>
      <c r="H363" s="99"/>
      <c r="I363" s="99"/>
      <c r="J363" s="99"/>
      <c r="K363" s="99"/>
      <c r="L363" s="99"/>
      <c r="M363" s="99"/>
      <c r="N363" s="99"/>
      <c r="R363" s="75"/>
      <c r="S363" s="75"/>
      <c r="T363" s="75"/>
      <c r="U363" s="75"/>
      <c r="V363" s="75"/>
      <c r="W363" s="75"/>
    </row>
    <row r="364" spans="1:23">
      <c r="A364" s="98"/>
      <c r="H364" s="99"/>
      <c r="I364" s="99"/>
      <c r="J364" s="99"/>
      <c r="K364" s="99"/>
      <c r="L364" s="99"/>
      <c r="M364" s="99"/>
      <c r="N364" s="99"/>
      <c r="R364" s="75"/>
      <c r="S364" s="75"/>
      <c r="T364" s="75"/>
      <c r="U364" s="75"/>
      <c r="V364" s="75"/>
      <c r="W364" s="75"/>
    </row>
    <row r="365" spans="1:23">
      <c r="A365" s="98"/>
      <c r="H365" s="99"/>
      <c r="I365" s="99"/>
      <c r="J365" s="99"/>
      <c r="K365" s="99"/>
      <c r="L365" s="99"/>
      <c r="M365" s="99"/>
      <c r="N365" s="99"/>
      <c r="R365" s="75"/>
      <c r="S365" s="75"/>
      <c r="T365" s="75"/>
      <c r="U365" s="75"/>
      <c r="V365" s="75"/>
      <c r="W365" s="75"/>
    </row>
    <row r="366" spans="1:23">
      <c r="A366" s="98"/>
      <c r="H366" s="99"/>
      <c r="I366" s="99"/>
      <c r="J366" s="99"/>
      <c r="K366" s="99"/>
      <c r="L366" s="99"/>
      <c r="M366" s="99"/>
      <c r="N366" s="99"/>
      <c r="R366" s="75"/>
      <c r="S366" s="75"/>
      <c r="T366" s="75"/>
      <c r="U366" s="75"/>
      <c r="V366" s="75"/>
      <c r="W366" s="75"/>
    </row>
    <row r="367" spans="1:23">
      <c r="A367" s="98"/>
      <c r="H367" s="99"/>
      <c r="I367" s="99"/>
      <c r="J367" s="99"/>
      <c r="K367" s="99"/>
      <c r="L367" s="99"/>
      <c r="M367" s="99"/>
      <c r="N367" s="99"/>
      <c r="R367" s="75"/>
      <c r="S367" s="75"/>
      <c r="T367" s="75"/>
      <c r="U367" s="75"/>
      <c r="V367" s="75"/>
      <c r="W367" s="75"/>
    </row>
    <row r="368" spans="1:23">
      <c r="A368" s="98"/>
      <c r="H368" s="99"/>
      <c r="I368" s="99"/>
      <c r="J368" s="99"/>
      <c r="K368" s="99"/>
      <c r="L368" s="99"/>
      <c r="M368" s="99"/>
      <c r="N368" s="99"/>
      <c r="R368" s="75"/>
      <c r="S368" s="75"/>
      <c r="T368" s="75"/>
      <c r="U368" s="75"/>
      <c r="V368" s="75"/>
      <c r="W368" s="75"/>
    </row>
    <row r="369" spans="1:23">
      <c r="A369" s="98"/>
      <c r="H369" s="99"/>
      <c r="I369" s="99"/>
      <c r="J369" s="99"/>
      <c r="K369" s="99"/>
      <c r="L369" s="99"/>
      <c r="M369" s="99"/>
      <c r="N369" s="99"/>
      <c r="R369" s="75"/>
      <c r="S369" s="75"/>
      <c r="T369" s="75"/>
      <c r="U369" s="75"/>
      <c r="V369" s="75"/>
      <c r="W369" s="75"/>
    </row>
    <row r="370" spans="1:23">
      <c r="A370" s="98"/>
      <c r="H370" s="99"/>
      <c r="I370" s="99"/>
      <c r="J370" s="99"/>
      <c r="K370" s="99"/>
      <c r="L370" s="99"/>
      <c r="M370" s="99"/>
      <c r="N370" s="99"/>
      <c r="R370" s="75"/>
      <c r="S370" s="75"/>
      <c r="T370" s="75"/>
      <c r="U370" s="75"/>
      <c r="V370" s="75"/>
      <c r="W370" s="75"/>
    </row>
    <row r="371" spans="1:23">
      <c r="A371" s="98"/>
      <c r="H371" s="99"/>
      <c r="I371" s="99"/>
      <c r="J371" s="99"/>
      <c r="K371" s="99"/>
      <c r="L371" s="99"/>
      <c r="M371" s="99"/>
      <c r="N371" s="99"/>
      <c r="R371" s="75"/>
      <c r="S371" s="75"/>
      <c r="T371" s="75"/>
      <c r="U371" s="75"/>
      <c r="V371" s="75"/>
      <c r="W371" s="75"/>
    </row>
    <row r="372" spans="1:23">
      <c r="A372" s="98"/>
      <c r="H372" s="99"/>
      <c r="I372" s="99"/>
      <c r="J372" s="99"/>
      <c r="K372" s="99"/>
      <c r="L372" s="99"/>
      <c r="M372" s="99"/>
      <c r="N372" s="99"/>
      <c r="R372" s="75"/>
      <c r="S372" s="75"/>
      <c r="T372" s="75"/>
      <c r="U372" s="75"/>
      <c r="V372" s="75"/>
      <c r="W372" s="75"/>
    </row>
    <row r="373" spans="1:23">
      <c r="A373" s="98"/>
      <c r="H373" s="99"/>
      <c r="I373" s="99"/>
      <c r="J373" s="99"/>
      <c r="K373" s="99"/>
      <c r="L373" s="99"/>
      <c r="M373" s="99"/>
      <c r="N373" s="99"/>
      <c r="R373" s="75"/>
      <c r="S373" s="75"/>
      <c r="T373" s="75"/>
      <c r="U373" s="75"/>
      <c r="V373" s="75"/>
      <c r="W373" s="75"/>
    </row>
    <row r="374" spans="1:23">
      <c r="A374" s="98"/>
      <c r="H374" s="99"/>
      <c r="I374" s="99"/>
      <c r="J374" s="99"/>
      <c r="K374" s="99"/>
      <c r="L374" s="99"/>
      <c r="M374" s="99"/>
      <c r="N374" s="99"/>
      <c r="R374" s="75"/>
      <c r="S374" s="75"/>
      <c r="T374" s="75"/>
      <c r="U374" s="75"/>
      <c r="V374" s="75"/>
      <c r="W374" s="75"/>
    </row>
    <row r="375" spans="1:23">
      <c r="A375" s="98"/>
      <c r="H375" s="99"/>
      <c r="I375" s="99"/>
      <c r="J375" s="99"/>
      <c r="K375" s="99"/>
      <c r="L375" s="99"/>
      <c r="M375" s="99"/>
      <c r="N375" s="99"/>
      <c r="R375" s="75"/>
      <c r="S375" s="75"/>
      <c r="T375" s="75"/>
      <c r="U375" s="75"/>
      <c r="V375" s="75"/>
      <c r="W375" s="75"/>
    </row>
    <row r="376" spans="1:23">
      <c r="A376" s="98"/>
      <c r="H376" s="99"/>
      <c r="I376" s="99"/>
      <c r="J376" s="99"/>
      <c r="K376" s="99"/>
      <c r="L376" s="99"/>
      <c r="M376" s="99"/>
      <c r="N376" s="99"/>
      <c r="R376" s="75"/>
      <c r="S376" s="75"/>
      <c r="T376" s="75"/>
      <c r="U376" s="75"/>
      <c r="V376" s="75"/>
      <c r="W376" s="75"/>
    </row>
    <row r="377" spans="1:23">
      <c r="A377" s="98"/>
      <c r="H377" s="99"/>
      <c r="I377" s="99"/>
      <c r="J377" s="99"/>
      <c r="K377" s="99"/>
      <c r="L377" s="99"/>
      <c r="M377" s="99"/>
      <c r="N377" s="99"/>
      <c r="R377" s="75"/>
      <c r="S377" s="75"/>
      <c r="T377" s="75"/>
      <c r="U377" s="75"/>
      <c r="V377" s="75"/>
      <c r="W377" s="75"/>
    </row>
    <row r="378" spans="1:23">
      <c r="A378" s="98"/>
      <c r="H378" s="99"/>
      <c r="I378" s="99"/>
      <c r="J378" s="99"/>
      <c r="K378" s="99"/>
      <c r="L378" s="99"/>
      <c r="M378" s="99"/>
      <c r="N378" s="99"/>
      <c r="R378" s="75"/>
      <c r="S378" s="75"/>
      <c r="T378" s="75"/>
      <c r="U378" s="75"/>
      <c r="V378" s="75"/>
      <c r="W378" s="75"/>
    </row>
    <row r="379" spans="1:23">
      <c r="A379" s="98"/>
      <c r="H379" s="99"/>
      <c r="I379" s="99"/>
      <c r="J379" s="99"/>
      <c r="K379" s="99"/>
      <c r="L379" s="99"/>
      <c r="M379" s="99"/>
      <c r="N379" s="99"/>
      <c r="R379" s="75"/>
      <c r="S379" s="75"/>
      <c r="T379" s="75"/>
      <c r="U379" s="75"/>
      <c r="V379" s="75"/>
      <c r="W379" s="75"/>
    </row>
    <row r="380" spans="1:23">
      <c r="A380" s="98"/>
      <c r="H380" s="99"/>
      <c r="I380" s="99"/>
      <c r="J380" s="99"/>
      <c r="K380" s="99"/>
      <c r="L380" s="99"/>
      <c r="M380" s="99"/>
      <c r="N380" s="99"/>
      <c r="R380" s="75"/>
      <c r="S380" s="75"/>
      <c r="T380" s="75"/>
      <c r="U380" s="75"/>
      <c r="V380" s="75"/>
      <c r="W380" s="75"/>
    </row>
    <row r="381" spans="1:23">
      <c r="A381" s="98"/>
      <c r="H381" s="99"/>
      <c r="I381" s="99"/>
      <c r="J381" s="99"/>
      <c r="K381" s="99"/>
      <c r="L381" s="99"/>
      <c r="M381" s="99"/>
      <c r="N381" s="99"/>
      <c r="R381" s="75"/>
      <c r="S381" s="75"/>
      <c r="T381" s="75"/>
      <c r="U381" s="75"/>
      <c r="V381" s="75"/>
      <c r="W381" s="75"/>
    </row>
    <row r="382" spans="1:23">
      <c r="A382" s="98"/>
      <c r="H382" s="99"/>
      <c r="I382" s="99"/>
      <c r="J382" s="99"/>
      <c r="K382" s="99"/>
      <c r="L382" s="99"/>
      <c r="M382" s="99"/>
      <c r="N382" s="99"/>
      <c r="R382" s="75"/>
      <c r="S382" s="75"/>
      <c r="T382" s="75"/>
      <c r="U382" s="75"/>
      <c r="V382" s="75"/>
      <c r="W382" s="75"/>
    </row>
    <row r="383" spans="1:23">
      <c r="A383" s="98"/>
      <c r="H383" s="99"/>
      <c r="I383" s="99"/>
      <c r="J383" s="99"/>
      <c r="K383" s="99"/>
      <c r="L383" s="99"/>
      <c r="M383" s="99"/>
      <c r="N383" s="99"/>
      <c r="R383" s="75"/>
      <c r="S383" s="75"/>
      <c r="T383" s="75"/>
      <c r="U383" s="75"/>
      <c r="V383" s="75"/>
      <c r="W383" s="75"/>
    </row>
    <row r="384" spans="1:23">
      <c r="A384" s="98"/>
      <c r="H384" s="99"/>
      <c r="I384" s="99"/>
      <c r="J384" s="99"/>
      <c r="K384" s="99"/>
      <c r="L384" s="99"/>
      <c r="M384" s="99"/>
      <c r="N384" s="99"/>
      <c r="R384" s="75"/>
      <c r="S384" s="75"/>
      <c r="T384" s="75"/>
      <c r="U384" s="75"/>
      <c r="V384" s="75"/>
      <c r="W384" s="75"/>
    </row>
    <row r="385" spans="1:23">
      <c r="A385" s="98"/>
      <c r="H385" s="99"/>
      <c r="I385" s="99"/>
      <c r="J385" s="99"/>
      <c r="K385" s="99"/>
      <c r="L385" s="99"/>
      <c r="M385" s="99"/>
      <c r="N385" s="99"/>
      <c r="R385" s="75"/>
      <c r="S385" s="75"/>
      <c r="T385" s="75"/>
      <c r="U385" s="75"/>
      <c r="V385" s="75"/>
      <c r="W385" s="75"/>
    </row>
    <row r="386" spans="1:23">
      <c r="A386" s="98"/>
      <c r="H386" s="99"/>
      <c r="I386" s="99"/>
      <c r="J386" s="99"/>
      <c r="K386" s="99"/>
      <c r="L386" s="99"/>
      <c r="M386" s="99"/>
      <c r="N386" s="99"/>
      <c r="R386" s="75"/>
      <c r="S386" s="75"/>
      <c r="T386" s="75"/>
      <c r="U386" s="75"/>
      <c r="V386" s="75"/>
      <c r="W386" s="75"/>
    </row>
    <row r="387" spans="1:23">
      <c r="A387" s="98"/>
      <c r="H387" s="99"/>
      <c r="I387" s="99"/>
      <c r="J387" s="99"/>
      <c r="K387" s="99"/>
      <c r="L387" s="99"/>
      <c r="M387" s="99"/>
      <c r="N387" s="99"/>
      <c r="R387" s="75"/>
      <c r="S387" s="75"/>
      <c r="T387" s="75"/>
      <c r="U387" s="75"/>
      <c r="V387" s="75"/>
      <c r="W387" s="75"/>
    </row>
    <row r="388" spans="1:23">
      <c r="A388" s="98"/>
      <c r="H388" s="99"/>
      <c r="I388" s="99"/>
      <c r="J388" s="99"/>
      <c r="K388" s="99"/>
      <c r="L388" s="99"/>
      <c r="M388" s="99"/>
      <c r="N388" s="99"/>
      <c r="R388" s="75"/>
      <c r="S388" s="75"/>
      <c r="T388" s="75"/>
      <c r="U388" s="75"/>
      <c r="V388" s="75"/>
      <c r="W388" s="75"/>
    </row>
    <row r="389" spans="1:23">
      <c r="A389" s="98"/>
      <c r="H389" s="99"/>
      <c r="I389" s="99"/>
      <c r="J389" s="99"/>
      <c r="K389" s="99"/>
      <c r="L389" s="99"/>
      <c r="M389" s="99"/>
      <c r="N389" s="99"/>
      <c r="R389" s="75"/>
      <c r="S389" s="75"/>
      <c r="T389" s="75"/>
      <c r="U389" s="75"/>
      <c r="V389" s="75"/>
      <c r="W389" s="75"/>
    </row>
    <row r="390" spans="1:23">
      <c r="A390" s="98"/>
      <c r="H390" s="99"/>
      <c r="I390" s="99"/>
      <c r="J390" s="99"/>
      <c r="K390" s="99"/>
      <c r="L390" s="99"/>
      <c r="M390" s="99"/>
      <c r="N390" s="99"/>
      <c r="R390" s="75"/>
      <c r="S390" s="75"/>
      <c r="T390" s="75"/>
      <c r="U390" s="75"/>
      <c r="V390" s="75"/>
      <c r="W390" s="75"/>
    </row>
    <row r="391" spans="1:23">
      <c r="A391" s="98"/>
      <c r="H391" s="99"/>
      <c r="I391" s="99"/>
      <c r="J391" s="99"/>
      <c r="K391" s="99"/>
      <c r="L391" s="99"/>
      <c r="M391" s="99"/>
      <c r="N391" s="99"/>
      <c r="R391" s="75"/>
      <c r="S391" s="75"/>
      <c r="T391" s="75"/>
      <c r="U391" s="75"/>
      <c r="V391" s="75"/>
      <c r="W391" s="75"/>
    </row>
    <row r="392" spans="1:23">
      <c r="A392" s="98"/>
      <c r="H392" s="99"/>
      <c r="I392" s="99"/>
      <c r="J392" s="99"/>
      <c r="K392" s="99"/>
      <c r="L392" s="99"/>
      <c r="M392" s="99"/>
      <c r="N392" s="99"/>
      <c r="R392" s="75"/>
      <c r="S392" s="75"/>
      <c r="T392" s="75"/>
      <c r="U392" s="75"/>
      <c r="V392" s="75"/>
      <c r="W392" s="75"/>
    </row>
    <row r="393" spans="1:23">
      <c r="A393" s="98"/>
      <c r="H393" s="99"/>
      <c r="I393" s="99"/>
      <c r="J393" s="99"/>
      <c r="K393" s="99"/>
      <c r="L393" s="99"/>
      <c r="M393" s="99"/>
      <c r="N393" s="99"/>
      <c r="R393" s="75"/>
      <c r="S393" s="75"/>
      <c r="T393" s="75"/>
      <c r="U393" s="75"/>
      <c r="V393" s="75"/>
      <c r="W393" s="75"/>
    </row>
    <row r="394" spans="1:23">
      <c r="A394" s="98"/>
      <c r="H394" s="99"/>
      <c r="I394" s="99"/>
      <c r="J394" s="99"/>
      <c r="K394" s="99"/>
      <c r="L394" s="99"/>
      <c r="M394" s="99"/>
      <c r="N394" s="99"/>
      <c r="R394" s="75"/>
      <c r="S394" s="75"/>
      <c r="T394" s="75"/>
      <c r="U394" s="75"/>
      <c r="V394" s="75"/>
      <c r="W394" s="75"/>
    </row>
    <row r="395" spans="1:23">
      <c r="A395" s="98"/>
      <c r="H395" s="99"/>
      <c r="I395" s="99"/>
      <c r="J395" s="99"/>
      <c r="K395" s="99"/>
      <c r="L395" s="99"/>
      <c r="M395" s="99"/>
      <c r="N395" s="99"/>
      <c r="R395" s="75"/>
      <c r="S395" s="75"/>
      <c r="T395" s="75"/>
      <c r="U395" s="75"/>
      <c r="V395" s="75"/>
      <c r="W395" s="75"/>
    </row>
    <row r="396" spans="1:23">
      <c r="A396" s="98"/>
      <c r="H396" s="99"/>
      <c r="I396" s="99"/>
      <c r="J396" s="99"/>
      <c r="K396" s="99"/>
      <c r="L396" s="99"/>
      <c r="M396" s="99"/>
      <c r="N396" s="99"/>
      <c r="R396" s="75"/>
      <c r="S396" s="75"/>
      <c r="T396" s="75"/>
      <c r="U396" s="75"/>
      <c r="V396" s="75"/>
      <c r="W396" s="75"/>
    </row>
    <row r="397" spans="1:23">
      <c r="A397" s="98"/>
      <c r="H397" s="99"/>
      <c r="I397" s="99"/>
      <c r="J397" s="99"/>
      <c r="K397" s="99"/>
      <c r="L397" s="99"/>
      <c r="M397" s="99"/>
      <c r="N397" s="99"/>
      <c r="R397" s="75"/>
      <c r="S397" s="75"/>
      <c r="T397" s="75"/>
      <c r="U397" s="75"/>
      <c r="V397" s="75"/>
      <c r="W397" s="75"/>
    </row>
    <row r="398" spans="1:23">
      <c r="A398" s="98"/>
      <c r="H398" s="99"/>
      <c r="I398" s="99"/>
      <c r="J398" s="99"/>
      <c r="K398" s="99"/>
      <c r="L398" s="99"/>
      <c r="M398" s="99"/>
      <c r="N398" s="99"/>
      <c r="R398" s="75"/>
      <c r="S398" s="75"/>
      <c r="T398" s="75"/>
      <c r="U398" s="75"/>
      <c r="V398" s="75"/>
      <c r="W398" s="75"/>
    </row>
    <row r="399" spans="1:23">
      <c r="A399" s="98"/>
      <c r="H399" s="99"/>
      <c r="I399" s="99"/>
      <c r="J399" s="99"/>
      <c r="K399" s="99"/>
      <c r="L399" s="99"/>
      <c r="M399" s="99"/>
      <c r="N399" s="99"/>
      <c r="R399" s="75"/>
      <c r="S399" s="75"/>
      <c r="T399" s="75"/>
      <c r="U399" s="75"/>
      <c r="V399" s="75"/>
      <c r="W399" s="75"/>
    </row>
    <row r="400" spans="1:23">
      <c r="A400" s="98"/>
      <c r="H400" s="99"/>
      <c r="I400" s="99"/>
      <c r="J400" s="99"/>
      <c r="K400" s="99"/>
      <c r="L400" s="99"/>
      <c r="M400" s="99"/>
      <c r="N400" s="99"/>
      <c r="R400" s="75"/>
      <c r="S400" s="75"/>
      <c r="T400" s="75"/>
      <c r="U400" s="75"/>
      <c r="V400" s="75"/>
      <c r="W400" s="75"/>
    </row>
    <row r="401" spans="1:32">
      <c r="A401" s="98"/>
      <c r="H401" s="99"/>
      <c r="I401" s="99"/>
      <c r="J401" s="99"/>
      <c r="K401" s="99"/>
      <c r="L401" s="99"/>
      <c r="M401" s="99"/>
      <c r="N401" s="99"/>
      <c r="R401" s="75"/>
      <c r="S401" s="75"/>
      <c r="T401" s="75"/>
      <c r="U401" s="75"/>
      <c r="V401" s="75"/>
      <c r="W401" s="75"/>
    </row>
    <row r="402" spans="1:32">
      <c r="A402" s="98"/>
      <c r="H402" s="99"/>
      <c r="I402" s="99"/>
      <c r="J402" s="99"/>
      <c r="K402" s="99"/>
      <c r="L402" s="99"/>
      <c r="M402" s="99"/>
      <c r="N402" s="99"/>
      <c r="R402" s="75"/>
      <c r="S402" s="75"/>
      <c r="T402" s="75"/>
      <c r="U402" s="75"/>
      <c r="V402" s="75"/>
      <c r="W402" s="75"/>
    </row>
    <row r="403" spans="1:32">
      <c r="A403" s="98"/>
      <c r="H403" s="99"/>
      <c r="I403" s="99"/>
      <c r="J403" s="99"/>
      <c r="K403" s="99"/>
      <c r="L403" s="99"/>
      <c r="M403" s="99"/>
      <c r="N403" s="99"/>
      <c r="R403" s="75"/>
      <c r="S403" s="75"/>
      <c r="T403" s="75"/>
      <c r="U403" s="75"/>
      <c r="V403" s="75"/>
      <c r="W403" s="75"/>
    </row>
    <row r="404" spans="1:32">
      <c r="A404" s="98"/>
      <c r="H404" s="99"/>
      <c r="I404" s="99"/>
      <c r="J404" s="99"/>
      <c r="K404" s="99"/>
      <c r="L404" s="99"/>
      <c r="M404" s="99"/>
      <c r="N404" s="99"/>
      <c r="R404" s="75"/>
      <c r="S404" s="75"/>
      <c r="T404" s="75"/>
      <c r="U404" s="75"/>
      <c r="V404" s="75"/>
      <c r="W404" s="75"/>
    </row>
    <row r="405" spans="1:32">
      <c r="A405" s="98"/>
      <c r="H405" s="99"/>
      <c r="I405" s="99"/>
      <c r="J405" s="99"/>
      <c r="K405" s="99"/>
      <c r="L405" s="99"/>
      <c r="M405" s="99"/>
      <c r="N405" s="99"/>
      <c r="R405" s="75"/>
      <c r="S405" s="75"/>
      <c r="T405" s="75"/>
      <c r="U405" s="75"/>
      <c r="V405" s="75"/>
      <c r="W405" s="75"/>
    </row>
    <row r="406" spans="1:32">
      <c r="A406" s="98"/>
      <c r="H406" s="99"/>
      <c r="I406" s="99"/>
      <c r="J406" s="99"/>
      <c r="K406" s="99"/>
      <c r="L406" s="99"/>
      <c r="M406" s="99"/>
      <c r="N406" s="99"/>
      <c r="R406" s="75"/>
      <c r="S406" s="75"/>
      <c r="T406" s="75"/>
      <c r="U406" s="75"/>
      <c r="V406" s="75"/>
      <c r="W406" s="75"/>
    </row>
    <row r="407" spans="1:32">
      <c r="A407" s="98"/>
      <c r="H407" s="99"/>
      <c r="I407" s="99"/>
      <c r="J407" s="99"/>
      <c r="K407" s="99"/>
      <c r="L407" s="99"/>
      <c r="M407" s="99"/>
      <c r="N407" s="99"/>
      <c r="R407" s="75"/>
      <c r="S407" s="75"/>
      <c r="T407" s="75"/>
      <c r="U407" s="75"/>
      <c r="V407" s="75"/>
      <c r="W407" s="75"/>
    </row>
    <row r="408" spans="1:32">
      <c r="A408" s="98"/>
      <c r="H408" s="99"/>
      <c r="I408" s="99"/>
      <c r="J408" s="99"/>
      <c r="K408" s="99"/>
      <c r="L408" s="99"/>
      <c r="M408" s="99"/>
      <c r="N408" s="99"/>
      <c r="R408" s="75"/>
      <c r="S408" s="75"/>
      <c r="T408" s="75"/>
      <c r="U408" s="75"/>
      <c r="V408" s="75"/>
      <c r="W408" s="75"/>
    </row>
    <row r="409" spans="1:32">
      <c r="A409" s="108"/>
      <c r="B409" s="109"/>
      <c r="C409" s="109"/>
      <c r="D409" s="109"/>
      <c r="E409" s="110"/>
      <c r="F409" s="109"/>
      <c r="G409" s="109"/>
      <c r="H409" s="111"/>
      <c r="I409" s="111"/>
      <c r="J409" s="111"/>
      <c r="K409" s="111"/>
      <c r="L409" s="111"/>
      <c r="M409" s="111"/>
      <c r="N409" s="111"/>
      <c r="O409" s="109"/>
      <c r="P409" s="109"/>
      <c r="Q409" s="110"/>
      <c r="R409" s="109"/>
      <c r="S409" s="109"/>
      <c r="T409" s="109"/>
      <c r="U409" s="109"/>
      <c r="V409" s="109"/>
      <c r="W409" s="109"/>
      <c r="X409" s="109"/>
      <c r="Y409" s="109"/>
      <c r="Z409" s="109"/>
      <c r="AA409" s="109"/>
      <c r="AB409" s="109"/>
      <c r="AC409" s="109"/>
      <c r="AD409" s="109"/>
    </row>
    <row r="410" spans="1:32">
      <c r="A410" s="75" t="s">
        <v>16</v>
      </c>
      <c r="H410" s="112"/>
      <c r="I410" s="112"/>
      <c r="J410" s="112"/>
      <c r="K410" s="112"/>
      <c r="L410" s="112"/>
      <c r="M410" s="112"/>
      <c r="N410" s="112"/>
      <c r="X410" s="113"/>
      <c r="Y410" s="113"/>
      <c r="AF410" t="b">
        <f t="array" ref="AF410">AND(A410:AD410='[1]Overview MP Life'!A410:AD410)</f>
        <v>1</v>
      </c>
    </row>
  </sheetData>
  <sheetProtection algorithmName="SHA-512" hashValue="AnEAfiSJTDI7UW/ayGUoS+yZRWWhXdfH283di/oTFvIMlK2BpaHlvrYbg6A+G4jYrEs1L8/JsyiP3bmob3fp8A==" saltValue="qh9dVDS7W2Zu7QKF3KzsHA==" spinCount="100000" sheet="1" formatColumns="0" formatRows="0" autoFilter="0"/>
  <pageMargins left="0.24" right="0.19" top="1" bottom="1" header="0.5" footer="0.5"/>
  <pageSetup paperSize="9" scale="26" orientation="landscape" r:id="rId1"/>
  <headerFooter alignWithMargins="0">
    <oddHeader>&amp;LDefintieve cijfers&amp;CVersie 1.0</oddHeader>
    <oddFooter>&amp;L&amp;P van &amp;N&amp;Copgslagen op &amp;D&amp;T&amp;R&amp;Z
&amp;F.xls
&amp;A</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id="{809E1E72-E3C1-45AC-BB33-DE741AE607EA}">
            <xm:f>A5&lt;&gt;'C:\Actuariaat\SSC Marktwaarde Verslaglegging\2018\2018Q4\06. ECAP_SCR_QRT\8 - Lifesheet\[SCR_ECAP_Life_T26D_2018Q4_20 - kopie.xlsb]Overview MP Life'!#REF!</xm:f>
            <x14:dxf>
              <font>
                <color rgb="FFFFFF00"/>
              </font>
              <fill>
                <patternFill>
                  <bgColor rgb="FFFF0000"/>
                </patternFill>
              </fill>
            </x14:dxf>
          </x14:cfRule>
          <xm:sqref>A410:AD410 A7:AD8 C6:AD6 A5:A6</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FE29-71D7-40D8-AE18-B7417F70E029}">
  <sheetPr codeName="Blad4"/>
  <dimension ref="A1"/>
  <sheetViews>
    <sheetView workbookViewId="0"/>
  </sheetViews>
  <sheetFormatPr defaultRowHeight="12.7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xml version="1.0" encoding="utf-8"?>
<venadatastore xmlns="http://venasolutions.com/VenaSPMAddin/ExcelCustomMultiDynamicCollectionStore_V1">[{"Section":"InputHandinvoer1","Block":"B1","ID":"220e5ec2","DataModelID":717815505662246912,"Ranges":{"12539cf8":{"Section":"InputHandinvoer1","Block":"B1","CollectionID":"220e5ec2","ID":"12539cf8","DataModelID":717815505662246912,"Dimension":3,"DynamicExpression":"H4sIAAAAAAAAAM2PT0vDMBiHv8p4Tw4q5E3Wdsut6MEd7IYOL+Iha3/TQNuNmIJj9LubYMUddhIP\r\nHgLv37zPc6In0/QgTeVqcxVfUXmL3eSut7V9xWQNZ/c1plNKqAvBO+nnE92j3cIta9LXnNAtvLEN\r\n6ZzzOaepSLNMylm2YBl6to1jKqHCe2e3vcf32uoAZ/zekWYhftLCWX8cazdomgfs4NBVKE0bQQPI\r\n1/mYP8K46m1zPIROmC8DYfx+DNcmLPplV+MjnhyS/0/OF8jFn4DnMs1nSgiVsVpIlnNxLnKuNXrE\r\n0m811AUNHl6GT7dgqnJwAgAA\r\n","EnableZoom":false,"HierarchyIndenting":false,"ParentsOnBottom":false,"SortingOption":1,"Sorting":"ASC","Order":0,"ZoomInParentMemberIds":[],"ZoomInBottomLevelParentMemberIds":[]}},"SuppressBlankRows":false,"SuppressZeroes":true,"EnableDataInput":false}]</venadatastore>
</file>

<file path=customXml/item2.xml><?xml version="1.0" encoding="utf-8"?>
<solutionPackageMetadata xmlns="http://venasolutions.com/VenaTemplate/SolutionPackageMetadata/V1">
  <lastSaved>2021-06-23T17:26:25.2883154+02:00</lastSaved>
</solutionPackageMetadata>
</file>

<file path=customXml/item3.xml><?xml version="1.0" encoding="utf-8"?>
<venadatastore xmlns="http://venasolutions.com/VenaSPMAddin/ServerSideBlobV1">{"Version":1,"Mappings":{"_vena_ControleIndelingEPR_B1_C_FV_18833718d1654aadbc8e26067c178bd5":{"SourceGlobalVariableId":-1,"SourceFormVariableId":"18833718-d165-4aad-bc8e-26067c178bd5","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B1","VenaRangeType":2,"DimensionIdStr":"FV","MemberIdStr":"18833718d1654aadbc8e26067c178bd5","DimensionId":-1,"MemberId":-1,"Inc":""},"_vena_ControleIndelingEPR_B1_C_FV_a29e5bcf45ca496da8833af34d35696d":{"SourceGlobalVariableId":-1,"SourceFormVariableId":"a29e5bcf-45ca-496d-a883-3af34d35696d","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B1","VenaRangeType":2,"DimensionIdStr":"FV","MemberIdStr":"a29e5bcf45ca496da8833af34d35696d","DimensionId":-1,"MemberId":-1,"Inc":""},"_vena_ControleIndelingEPR_B1_R_3_718947653497389058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B1","VenaRangeType":1,"DimensionIdStr":"3","MemberIdStr":"718947653497389058","DimensionId":3,"MemberId":718947653497389058,"Inc":""},"_vena_ControleIndelingEPR_B1_R_3_718947653505777666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B1","VenaRangeType":1,"DimensionIdStr":"3","MemberIdStr":"718947653505777666","DimensionId":3,"MemberId":718947653505777666,"Inc":""},"_vena_ControleIndelingEPR_B1_R_3_718947653509971971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B1","VenaRangeType":1,"DimensionIdStr":"3","MemberIdStr":"718947653509971971","DimensionId":3,"MemberId":718947653509971971,"Inc":""},"_vena_ControleIndelingEPR_B1_R_3_738101868229296142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B1","VenaRangeType":1,"DimensionIdStr":"3","MemberIdStr":"738101868229296142","DimensionId":3,"MemberId":738101868229296142,"Inc":""},"_vena_ControleIndelingEPR_B1_R_3_741036978375884803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B1","VenaRangeType":1,"DimensionIdStr":"3","MemberIdStr":"741036978375884803","DimensionId":3,"MemberId":741036978375884803,"Inc":""},"_vena_ControleIndelingEPR_B1_R_3_848292094858231812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B1","VenaRangeType":1,"DimensionIdStr":"3","MemberIdStr":"848292094858231812","DimensionId":3,"MemberId":848292094858231812,"Inc":""},"_vena_ControleIndelingEPR_P_4_718931129058590721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VenaRangeType":0,"DimensionIdStr":"4","MemberIdStr":"718931129058590721","DimensionId":4,"MemberId":718931129058590721,"Inc":""},"_vena_ControleIndelingEPR_P_5_718931142656917509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VenaRangeType":0,"DimensionIdStr":"5","MemberIdStr":"718931142656917509","DimensionId":5,"MemberId":718931142656917509,"Inc":""},"_vena_ControleIndelingEPR_P_6_730565783391305729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VenaRangeType":0,"DimensionIdStr":"6","MemberIdStr":"730565783391305729","DimensionId":6,"MemberId":730565783391305729,"Inc":""},"_vena_ControleIndelingEPR_P_7_720673044374355968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EPR","BlockName":"","VenaRangeType":0,"DimensionIdStr":"7","MemberIdStr":"720673044374355968","DimensionId":7,"MemberId":720673044374355968,"Inc":""},"_vena_ControleIndelingHRG_B1_C_FV_18833718d1654aadbc8e26067c178bd5":{"SourceGlobalVariableId":-1,"SourceFormVariableId":"18833718-d165-4aad-bc8e-26067c178bd5","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2,"DimensionIdStr":"FV","MemberIdStr":"18833718d1654aadbc8e26067c178bd5","DimensionId":-1,"MemberId":-1,"Inc":""},"_vena_ControleIndelingHRG_B1_C_FV_a29e5bcf45ca496da8833af34d35696d":{"SourceGlobalVariableId":-1,"SourceFormVariableId":"a29e5bcf-45ca-496d-a883-3af34d35696d","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2,"DimensionIdStr":"FV","MemberIdStr":"a29e5bcf45ca496da8833af34d35696d","DimensionId":-1,"MemberId":-1,"Inc":""},"_vena_ControleIndelingHRG_B1_R_3_1015700822930489354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1015700822930489354","DimensionId":3,"MemberId":1015700822930489354,"Inc":""},"_vena_ControleIndelingHRG_B1_R_3_1015700822968238094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1015700822968238094","DimensionId":3,"MemberId":1015700822968238094,"Inc":""},"_vena_ControleIndelingHRG_B1_R_3_718947653497389058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718947653497389058","DimensionId":3,"MemberId":718947653497389058,"Inc":""},"_vena_ControleIndelingHRG_B1_R_3_718947653505777666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718947653505777666","DimensionId":3,"MemberId":718947653505777666,"Inc":""},"_vena_ControleIndelingHRG_B1_R_3_718947653509971971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718947653509971971","DimensionId":3,"MemberId":718947653509971971,"Inc":""},"_vena_ControleIndelingHRG_B1_R_3_718949073356980224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718949073356980224","DimensionId":3,"MemberId":718949073356980224,"Inc":""},"_vena_ControleIndelingHRG_B1_R_3_718949073365368832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718949073365368832","DimensionId":3,"MemberId":718949073365368832,"Inc":""},"_vena_ControleIndelingHRG_B1_R_3_718949073369563137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718949073369563137","DimensionId":3,"MemberId":718949073369563137,"Inc":""},"_vena_ControleIndelingHRG_B1_R_3_718949073373757441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718949073373757441","DimensionId":3,"MemberId":718949073373757441,"Inc":""},"_vena_ControleIndelingHRG_B1_R_3_718949073373757443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718949073373757443","DimensionId":3,"MemberId":718949073373757443,"Inc":""},"_vena_ControleIndelingHRG_B1_R_3_718949073377951745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718949073377951745","DimensionId":3,"MemberId":718949073377951745,"Inc":""},"_vena_ControleIndelingHRG_B1_R_3_718949073382146049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718949073382146049","DimensionId":3,"MemberId":718949073382146049,"Inc":""},"_vena_ControleIndelingHRG_B1_R_3_718949073382146051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718949073382146051","DimensionId":3,"MemberId":718949073382146051,"Inc":""},"_vena_ControleIndelingHRG_B1_R_3_718949073386340353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718949073386340353","DimensionId":3,"MemberId":718949073386340353,"Inc":""},"_vena_ControleIndelingHRG_B1_R_3_718949073390534657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718949073390534657","DimensionId":3,"MemberId":718949073390534657,"Inc":""},"_vena_ControleIndelingHRG_B1_R_3_718949073394728961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718949073394728961","DimensionId":3,"MemberId":718949073394728961,"Inc":""},"_vena_ControleIndelingHRG_B1_R_3_718949073394728963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718949073394728963","DimensionId":3,"MemberId":718949073394728963,"Inc":""},"_vena_ControleIndelingHRG_B1_R_3_718949073398923265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718949073398923265","DimensionId":3,"MemberId":718949073398923265,"Inc":""},"_vena_ControleIndelingHRG_B1_R_3_718949073403117569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718949073403117569","DimensionId":3,"MemberId":718949073403117569,"Inc":""},"_vena_ControleIndelingHRG_B1_R_3_718949073407311872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718949073407311872","DimensionId":3,"MemberId":718949073407311872,"Inc":""},"_vena_ControleIndelingHRG_B1_R_3_718949073411506177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718949073411506177","DimensionId":3,"MemberId":718949073411506177,"Inc":""},"_vena_ControleIndelingHRG_B1_R_3_718949073415700481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718949073415700481","DimensionId":3,"MemberId":718949073415700481,"Inc":""},"_vena_ControleIndelingHRG_B1_R_3_718949073415700483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718949073415700483","DimensionId":3,"MemberId":718949073415700483,"Inc":""},"_vena_ControleIndelingHRG_B1_R_3_718949073419894785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718949073419894785","DimensionId":3,"MemberId":718949073419894785,"Inc":""},"_vena_ControleIndelingHRG_B1_R_3_718949073424089089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718949073424089089","DimensionId":3,"MemberId":718949073424089089,"Inc":""},"_vena_ControleIndelingHRG_B1_R_3_718949073424089091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718949073424089091","DimensionId":3,"MemberId":718949073424089091,"Inc":""},"_vena_ControleIndelingHRG_B1_R_3_718949073428283393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718949073428283393","DimensionId":3,"MemberId":718949073428283393,"Inc":""},"_vena_ControleIndelingHRG_B1_R_3_718949073432477697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718949073432477697","DimensionId":3,"MemberId":718949073432477697,"Inc":""},"_vena_ControleIndelingHRG_B1_R_3_718949073432477699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718949073432477699","DimensionId":3,"MemberId":718949073432477699,"Inc":""},"_vena_ControleIndelingHRG_B1_R_3_718949073436672001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718949073436672001","DimensionId":3,"MemberId":718949073436672001,"Inc":""},"_vena_ControleIndelingHRG_B1_R_3_718949073440866305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718949073440866305","DimensionId":3,"MemberId":718949073440866305,"Inc":""},"_vena_ControleIndelingHRG_B1_R_3_718949073440866307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718949073440866307","DimensionId":3,"MemberId":718949073440866307,"Inc":""},"_vena_ControleIndelingHRG_B1_R_3_718949073445060609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718949073445060609","DimensionId":3,"MemberId":718949073445060609,"Inc":""},"_vena_ControleIndelingHRG_B1_R_3_718949073449254913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718949073449254913","DimensionId":3,"MemberId":718949073449254913,"Inc":""},"_vena_ControleIndelingHRG_B1_R_3_718949073453449218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718949073453449218","DimensionId":3,"MemberId":718949073453449218,"Inc":""},"_vena_ControleIndelingHRG_B1_R_3_718949073457643521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718949073457643521","DimensionId":3,"MemberId":718949073457643521,"Inc":""},"_vena_ControleIndelingHRG_B1_R_3_718949073457643523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718949073457643523","DimensionId":3,"MemberId":718949073457643523,"Inc":""},"_vena_ControleIndelingHRG_B1_R_3_718949073461837825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718949073461837825","DimensionId":3,"MemberId":718949073461837825,"Inc":""},"_vena_ControleIndelingHRG_B1_R_3_718949073466032129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718949073466032129","DimensionId":3,"MemberId":718949073466032129,"Inc":""},"_vena_ControleIndelingHRG_B1_R_3_718949073466032131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718949073466032131","DimensionId":3,"MemberId":718949073466032131,"Inc":""},"_vena_ControleIndelingHRG_B1_R_3_718949073470226433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718949073470226433","DimensionId":3,"MemberId":718949073470226433,"Inc":""},"_vena_ControleIndelingHRG_B1_R_3_718949073474420737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718949073474420737","DimensionId":3,"MemberId":718949073474420737,"Inc":""},"_vena_ControleIndelingHRG_B1_R_3_718949073478615041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718949073478615041","DimensionId":3,"MemberId":718949073478615041,"Inc":""},"_vena_ControleIndelingHRG_B1_R_3_718949073478615043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718949073478615043","DimensionId":3,"MemberId":718949073478615043,"Inc":""},"_vena_ControleIndelingHRG_B1_R_3_718949073482809345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718949073482809345","DimensionId":3,"MemberId":718949073482809345,"Inc":""},"_vena_ControleIndelingHRG_B1_R_3_718949073487003649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718949073487003649","DimensionId":3,"MemberId":718949073487003649,"Inc":""},"_vena_ControleIndelingHRG_B1_R_3_718949073487003651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718949073487003651","DimensionId":3,"MemberId":718949073487003651,"Inc":""},"_vena_ControleIndelingHRG_B1_R_3_718949073491197953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718949073491197953","DimensionId":3,"MemberId":718949073491197953,"Inc":""},"_vena_ControleIndelingHRG_B1_R_3_718949073499586560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718949073499586560","DimensionId":3,"MemberId":718949073499586560,"Inc":""},"_vena_ControleIndelingHRG_B1_R_3_718949073499586562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718949073499586562","DimensionId":3,"MemberId":718949073499586562,"Inc":""},"_vena_ControleIndelingHRG_B1_R_3_718949073503780865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718949073503780865","DimensionId":3,"MemberId":718949073503780865,"Inc":""},"_vena_ControleIndelingHRG_B1_R_3_718949073507975169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718949073507975169","DimensionId":3,"MemberId":718949073507975169,"Inc":""},"_vena_ControleIndelingHRG_B1_R_3_718949073507975171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718949073507975171","DimensionId":3,"MemberId":718949073507975171,"Inc":""},"_vena_ControleIndelingHRG_B1_R_3_718949073512169473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718949073512169473","DimensionId":3,"MemberId":718949073512169473,"Inc":""},"_vena_ControleIndelingHRG_B1_R_3_718949073516363777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718949073516363777","DimensionId":3,"MemberId":718949073516363777,"Inc":""},"_vena_ControleIndelingHRG_B1_R_3_718949073520558081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718949073520558081","DimensionId":3,"MemberId":718949073520558081,"Inc":""},"_vena_ControleIndelingHRG_B1_R_3_718949073520558083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718949073520558083","DimensionId":3,"MemberId":718949073520558083,"Inc":""},"_vena_ControleIndelingHRG_B1_R_3_718949073524752385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718949073524752385","DimensionId":3,"MemberId":718949073524752385,"Inc":""},"_vena_ControleIndelingHRG_B1_R_3_718949073528946689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718949073528946689","DimensionId":3,"MemberId":718949073528946689,"Inc":""},"_vena_ControleIndelingHRG_B1_R_3_718949073528946691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718949073528946691","DimensionId":3,"MemberId":718949073528946691,"Inc":""},"_vena_ControleIndelingHRG_B1_R_3_718949073533140993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718949073533140993","DimensionId":3,"MemberId":718949073533140993,"Inc":""},"_vena_ControleIndelingHRG_B1_R_3_718949073537335297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718949073537335297","DimensionId":3,"MemberId":718949073537335297,"Inc":""},"_vena_ControleIndelingHRG_B1_R_3_718949073537335299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718949073537335299","DimensionId":3,"MemberId":718949073537335299,"Inc":""},"_vena_ControleIndelingHRG_B1_R_3_718949073541529601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718949073541529601","DimensionId":3,"MemberId":718949073541529601,"Inc":""},"_vena_ControleIndelingHRG_B1_R_3_718949073545723905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718949073545723905","DimensionId":3,"MemberId":718949073545723905,"Inc":""},"_vena_ControleIndelingHRG_B1_R_3_718949073549918209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718949073549918209","DimensionId":3,"MemberId":718949073549918209,"Inc":""},"_vena_ControleIndelingHRG_B1_R_3_718949073558306816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718949073558306816","DimensionId":3,"MemberId":718949073558306816,"Inc":""},"_vena_ControleIndelingHRG_B1_R_3_718949073558306818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718949073558306818","DimensionId":3,"MemberId":718949073558306818,"Inc":""},"_vena_ControleIndelingHRG_B1_R_3_718949073566695424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718949073566695424","DimensionId":3,"MemberId":718949073566695424,"Inc":""},"_vena_ControleIndelingHRG_B1_R_3_718949073566695426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718949073566695426","DimensionId":3,"MemberId":718949073566695426,"Inc":""},"_vena_ControleIndelingHRG_B1_R_3_718949073575084032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718949073575084032","DimensionId":3,"MemberId":718949073575084032,"Inc":""},"_vena_ControleIndelingHRG_B1_R_3_718949073575084034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718949073575084034","DimensionId":3,"MemberId":718949073575084034,"Inc":""},"_vena_ControleIndelingHRG_B1_R_3_718949073579278337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718949073579278337","DimensionId":3,"MemberId":718949073579278337,"Inc":""},"_vena_ControleIndelingHRG_B1_R_3_718949073583472641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718949073583472641","DimensionId":3,"MemberId":718949073583472641,"Inc":""},"_vena_ControleIndelingHRG_B1_R_3_718949073583472643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718949073583472643","DimensionId":3,"MemberId":718949073583472643,"Inc":""},"_vena_ControleIndelingHRG_B1_R_3_718949073591861248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718949073591861248","DimensionId":3,"MemberId":718949073591861248,"Inc":""},"_vena_ControleIndelingHRG_B1_R_3_718949073596055552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718949073596055552","DimensionId":3,"MemberId":718949073596055552,"Inc":""},"_vena_ControleIndelingHRG_B1_R_3_718949073600249857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718949073600249857","DimensionId":3,"MemberId":718949073600249857,"Inc":""},"_vena_ControleIndelingHRG_B1_R_3_718949073608638464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718949073608638464","DimensionId":3,"MemberId":718949073608638464,"Inc":""},"_vena_ControleIndelingHRG_B1_R_3_718949073608638466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718949073608638466","DimensionId":3,"MemberId":718949073608638466,"Inc":""},"_vena_ControleIndelingHRG_B1_R_3_718949073612832769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718949073612832769","DimensionId":3,"MemberId":718949073612832769,"Inc":""},"_vena_ControleIndelingHRG_B1_R_3_718949073617027073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718949073617027073","DimensionId":3,"MemberId":718949073617027073,"Inc":""},"_vena_ControleIndelingHRG_B1_R_3_718949073621221376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718949073621221376","DimensionId":3,"MemberId":718949073621221376,"Inc":""},"_vena_ControleIndelingHRG_B1_R_3_718949073625415681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718949073625415681","DimensionId":3,"MemberId":718949073625415681,"Inc":""},"_vena_ControleIndelingHRG_B1_R_3_718949073629609985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718949073629609985","DimensionId":3,"MemberId":718949073629609985,"Inc":""},"_vena_ControleIndelingHRG_B1_R_3_718949073633804289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718949073633804289","DimensionId":3,"MemberId":718949073633804289,"Inc":""},"_vena_ControleIndelingHRG_B1_R_3_718949073637998593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718949073637998593","DimensionId":3,"MemberId":718949073637998593,"Inc":""},"_vena_ControleIndelingHRG_B1_R_3_718949073637998595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718949073637998595","DimensionId":3,"MemberId":718949073637998595,"Inc":""},"_vena_ControleIndelingHRG_B1_R_3_718949073642192897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718949073642192897","DimensionId":3,"MemberId":718949073642192897,"Inc":""},"_vena_ControleIndelingHRG_B1_R_3_718949073646387201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718949073646387201","DimensionId":3,"MemberId":718949073646387201,"Inc":""},"_vena_ControleIndelingHRG_B1_R_3_718949073650581505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718949073650581505","DimensionId":3,"MemberId":718949073650581505,"Inc":""},"_vena_ControleIndelingHRG_B1_R_3_718949073654775809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718949073654775809","DimensionId":3,"MemberId":718949073654775809,"Inc":""},"_vena_ControleIndelingHRG_B1_R_3_718949073654775811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718949073654775811","DimensionId":3,"MemberId":718949073654775811,"Inc":""},"_vena_ControleIndelingHRG_B1_R_3_718949073658970113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718949073658970113","DimensionId":3,"MemberId":718949073658970113,"Inc":""},"_vena_ControleIndelingHRG_B1_R_3_718949073663164417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718949073663164417","DimensionId":3,"MemberId":718949073663164417,"Inc":""},"_vena_ControleIndelingHRG_B1_R_3_718949073667358721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718949073667358721","DimensionId":3,"MemberId":718949073667358721,"Inc":""},"_vena_ControleIndelingHRG_B1_R_3_718949073667358723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718949073667358723","DimensionId":3,"MemberId":718949073667358723,"Inc":""},"_vena_ControleIndelingHRG_B1_R_3_718949073671553025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718949073671553025","DimensionId":3,"MemberId":718949073671553025,"Inc":""},"_vena_ControleIndelingHRG_B1_R_3_718949073675747329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718949073675747329","DimensionId":3,"MemberId":718949073675747329,"Inc":""},"_vena_ControleIndelingHRG_B1_R_3_718949073679941633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718949073679941633","DimensionId":3,"MemberId":718949073679941633,"Inc":""},"_vena_ControleIndelingHRG_B1_R_3_718949073684135937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718949073684135937","DimensionId":3,"MemberId":718949073684135937,"Inc":""},"_vena_ControleIndelingHRG_B1_R_3_718949073684135939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718949073684135939","DimensionId":3,"MemberId":718949073684135939,"Inc":""},"_vena_ControleIndelingHRG_B1_R_3_718949073688330241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718949073688330241","DimensionId":3,"MemberId":718949073688330241,"Inc":""},"_vena_ControleIndelingHRG_B1_R_3_718949073692524545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718949073692524545","DimensionId":3,"MemberId":718949073692524545,"Inc":""},"_vena_ControleIndelingHRG_B1_R_3_718949073696718849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718949073696718849","DimensionId":3,"MemberId":718949073696718849,"Inc":""},"_vena_ControleIndelingHRG_B1_R_3_718949073696718851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718949073696718851","DimensionId":3,"MemberId":718949073696718851,"Inc":""},"_vena_ControleIndelingHRG_B1_R_3_718949073700913153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718949073700913153","DimensionId":3,"MemberId":718949073700913153,"Inc":""},"_vena_ControleIndelingHRG_B1_R_3_718949073705107457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718949073705107457","DimensionId":3,"MemberId":718949073705107457,"Inc":""},"_vena_ControleIndelingHRG_B1_R_3_718949073705107459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718949073705107459","DimensionId":3,"MemberId":718949073705107459,"Inc":""},"_vena_ControleIndelingHRG_B1_R_3_718949073709301761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718949073709301761","DimensionId":3,"MemberId":718949073709301761,"Inc":""},"_vena_ControleIndelingHRG_B1_R_3_718949073713496065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718949073713496065","DimensionId":3,"MemberId":718949073713496065,"Inc":""},"_vena_ControleIndelingHRG_B1_R_3_718949073713496067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718949073713496067","DimensionId":3,"MemberId":718949073713496067,"Inc":""},"_vena_ControleIndelingHRG_B1_R_3_718949073717690369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718949073717690369","DimensionId":3,"MemberId":718949073717690369,"Inc":""},"_vena_ControleIndelingHRG_B1_R_3_718949073721884673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718949073721884673","DimensionId":3,"MemberId":718949073721884673,"Inc":""},"_vena_ControleIndelingHRG_B1_R_3_718949073726078977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718949073726078977","DimensionId":3,"MemberId":718949073726078977,"Inc":""},"_vena_ControleIndelingHRG_B1_R_3_718949073726078979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718949073726078979","DimensionId":3,"MemberId":718949073726078979,"Inc":""},"_vena_ControleIndelingHRG_B1_R_3_718949073730273281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718949073730273281","DimensionId":3,"MemberId":718949073730273281,"Inc":""},"_vena_ControleIndelingHRG_B1_R_3_718949073734467585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718949073734467585","DimensionId":3,"MemberId":718949073734467585,"Inc":""},"_vena_ControleIndelingHRG_B1_R_3_718949073734467587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718949073734467587","DimensionId":3,"MemberId":718949073734467587,"Inc":""},"_vena_ControleIndelingHRG_B1_R_3_718949073738661889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718949073738661889","DimensionId":3,"MemberId":718949073738661889,"Inc":""},"_vena_ControleIndelingHRG_B1_R_3_718949073742856193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718949073742856193","DimensionId":3,"MemberId":718949073742856193,"Inc":""},"_vena_ControleIndelingHRG_B1_R_3_718949073747050497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718949073747050497","DimensionId":3,"MemberId":718949073747050497,"Inc":""},"_vena_ControleIndelingHRG_B1_R_3_718949073751244801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718949073751244801","DimensionId":3,"MemberId":718949073751244801,"Inc":""},"_vena_ControleIndelingHRG_B1_R_3_718949073759633408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718949073759633408","DimensionId":3,"MemberId":718949073759633408,"Inc":""},"_vena_ControleIndelingHRG_B1_R_3_718949073763827713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718949073763827713","DimensionId":3,"MemberId":718949073763827713,"Inc":""},"_vena_ControleIndelingHRG_B1_R_3_718949073768022016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718949073768022016","DimensionId":3,"MemberId":718949073768022016,"Inc":""},"_vena_ControleIndelingHRG_B1_R_3_718949073772216321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718949073772216321","DimensionId":3,"MemberId":718949073772216321,"Inc":""},"_vena_ControleIndelingHRG_B1_R_3_718949073776410624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718949073776410624","DimensionId":3,"MemberId":718949073776410624,"Inc":""},"_vena_ControleIndelingHRG_B1_R_3_718949073780604928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718949073780604928","DimensionId":3,"MemberId":718949073780604928,"Inc":""},"_vena_ControleIndelingHRG_B1_R_3_718949073784799233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718949073784799233","DimensionId":3,"MemberId":718949073784799233,"Inc":""},"_vena_ControleIndelingHRG_B1_R_3_718949073788993536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718949073788993536","DimensionId":3,"MemberId":718949073788993536,"Inc":""},"_vena_ControleIndelingHRG_B1_R_3_718949073788993538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718949073788993538","DimensionId":3,"MemberId":718949073788993538,"Inc":""},"_vena_ControleIndelingHRG_B1_R_3_718949073793187841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718949073793187841","DimensionId":3,"MemberId":718949073793187841,"Inc":""},"_vena_ControleIndelingHRG_B1_R_3_718949073797382145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718949073797382145","DimensionId":3,"MemberId":718949073797382145,"Inc":""},"_vena_ControleIndelingHRG_B1_R_3_718949073801576449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718949073801576449","DimensionId":3,"MemberId":718949073801576449,"Inc":""},"_vena_ControleIndelingHRG_B1_R_3_718949073805770753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718949073805770753","DimensionId":3,"MemberId":718949073805770753,"Inc":""},"_vena_ControleIndelingHRG_B1_R_3_718949073809965057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718949073809965057","DimensionId":3,"MemberId":718949073809965057,"Inc":""},"_vena_ControleIndelingHRG_B1_R_3_718949073809965059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718949073809965059","DimensionId":3,"MemberId":718949073809965059,"Inc":""},"_vena_ControleIndelingHRG_B1_R_3_718949073818353664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718949073818353664","DimensionId":3,"MemberId":718949073818353664,"Inc":""},"_vena_ControleIndelingHRG_B1_R_3_718949073822547969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718949073822547969","DimensionId":3,"MemberId":718949073822547969,"Inc":""},"_vena_ControleIndelingHRG_B1_R_3_718949073826742273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718949073826742273","DimensionId":3,"MemberId":718949073826742273,"Inc":""},"_vena_ControleIndelingHRG_B1_R_3_718949073830936577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718949073830936577","DimensionId":3,"MemberId":718949073830936577,"Inc":""},"_vena_ControleIndelingHRG_B1_R_3_718949073835130881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718949073835130881","DimensionId":3,"MemberId":718949073835130881,"Inc":""},"_vena_ControleIndelingHRG_B1_R_3_718949073839325185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718949073839325185","DimensionId":3,"MemberId":718949073839325185,"Inc":""},"_vena_ControleIndelingHRG_B1_R_3_718949073839325187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718949073839325187","DimensionId":3,"MemberId":718949073839325187,"Inc":""},"_vena_ControleIndelingHRG_B1_R_3_718949073843519489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718949073843519489","DimensionId":3,"MemberId":718949073843519489,"Inc":""},"_vena_ControleIndelingHRG_B1_R_3_718949073847713793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718949073847713793","DimensionId":3,"MemberId":718949073847713793,"Inc":""},"_vena_ControleIndelingHRG_B1_R_3_718949073851908096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718949073851908096","DimensionId":3,"MemberId":718949073851908096,"Inc":""},"_vena_ControleIndelingHRG_B1_R_3_718949073856102401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718949073856102401","DimensionId":3,"MemberId":718949073856102401,"Inc":""},"_vena_ControleIndelingHRG_B1_R_3_718949073860296705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718949073860296705","DimensionId":3,"MemberId":718949073860296705,"Inc":""},"_vena_ControleIndelingHRG_B1_R_3_718949073860296707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718949073860296707","DimensionId":3,"MemberId":718949073860296707,"Inc":""},"_vena_ControleIndelingHRG_B1_R_3_718949073864491009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718949073864491009","DimensionId":3,"MemberId":718949073864491009,"Inc":""},"_vena_ControleIndelingHRG_B1_R_3_718949073868685313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718949073868685313","DimensionId":3,"MemberId":718949073868685313,"Inc":""},"_vena_ControleIndelingHRG_B1_R_3_718949073868685315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718949073868685315","DimensionId":3,"MemberId":718949073868685315,"Inc":""},"_vena_ControleIndelingHRG_B1_R_3_718949073872879617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718949073872879617","DimensionId":3,"MemberId":718949073872879617,"Inc":""},"_vena_ControleIndelingHRG_B1_R_3_718949073877073921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718949073877073921","DimensionId":3,"MemberId":718949073877073921,"Inc":""},"_vena_ControleIndelingHRG_B1_R_3_718949073881268225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718949073881268225","DimensionId":3,"MemberId":718949073881268225,"Inc":""},"_vena_ControleIndelingHRG_B1_R_3_718949073881268227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718949073881268227","DimensionId":3,"MemberId":718949073881268227,"Inc":""},"_vena_ControleIndelingHRG_B1_R_3_718949073885462529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718949073885462529","DimensionId":3,"MemberId":718949073885462529,"Inc":""},"_vena_ControleIndelingHRG_B1_R_3_718949073889656833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718949073889656833","DimensionId":3,"MemberId":718949073889656833,"Inc":""},"_vena_ControleIndelingHRG_B1_R_3_718949073893851137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718949073893851137","DimensionId":3,"MemberId":718949073893851137,"Inc":""},"_vena_ControleIndelingHRG_B1_R_3_718949073893851139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718949073893851139","DimensionId":3,"MemberId":718949073893851139,"Inc":""},"_vena_ControleIndelingHRG_B1_R_3_718949073898045441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718949073898045441","DimensionId":3,"MemberId":718949073898045441,"Inc":""},"_vena_ControleIndelingHRG_B1_R_3_718949073902239745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718949073902239745","DimensionId":3,"MemberId":718949073902239745,"Inc":""},"_vena_ControleIndelingHRG_B1_R_3_718949073902239747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718949073902239747","DimensionId":3,"MemberId":718949073902239747,"Inc":""},"_vena_ControleIndelingHRG_B1_R_3_718949073906434049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718949073906434049","DimensionId":3,"MemberId":718949073906434049,"Inc":""},"_vena_ControleIndelingHRG_B1_R_3_718949073910628353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718949073910628353","DimensionId":3,"MemberId":718949073910628353,"Inc":""},"_vena_ControleIndelingHRG_B1_R_3_718949073914822657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718949073914822657","DimensionId":3,"MemberId":718949073914822657,"Inc":""},"_vena_ControleIndelingHRG_B1_R_3_718949073914822659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718949073914822659","DimensionId":3,"MemberId":718949073914822659,"Inc":""},"_vena_ControleIndelingHRG_B1_R_3_718949073919016961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718949073919016961","DimensionId":3,"MemberId":718949073919016961,"Inc":""},"_vena_ControleIndelingHRG_B1_R_3_718949073923211265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718949073923211265","DimensionId":3,"MemberId":718949073923211265,"Inc":""},"_vena_ControleIndelingHRG_B1_R_3_718949073923211267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718949073923211267","DimensionId":3,"MemberId":718949073923211267,"Inc":""},"_vena_ControleIndelingHRG_B1_R_3_718949073927405569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718949073927405569","DimensionId":3,"MemberId":718949073927405569,"Inc":""},"_vena_ControleIndelingHRG_B1_R_3_718949073931599873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718949073931599873","DimensionId":3,"MemberId":718949073931599873,"Inc":""},"_vena_ControleIndelingHRG_B1_R_3_718949073935794176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718949073935794176","DimensionId":3,"MemberId":718949073935794176,"Inc":""},"_vena_ControleIndelingHRG_B1_R_3_718949073935794178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718949073935794178","DimensionId":3,"MemberId":718949073935794178,"Inc":""},"_vena_ControleIndelingHRG_B1_R_3_718949073939988481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718949073939988481","DimensionId":3,"MemberId":718949073939988481,"Inc":""},"_vena_ControleIndelingHRG_B1_R_3_718949073944182785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718949073944182785","DimensionId":3,"MemberId":718949073944182785,"Inc":""},"_vena_ControleIndelingHRG_B1_R_3_718949073944182787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718949073944182787","DimensionId":3,"MemberId":718949073944182787,"Inc":""},"_vena_ControleIndelingHRG_B1_R_3_718949073948377089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718949073948377089","DimensionId":3,"MemberId":718949073948377089,"Inc":""},"_vena_ControleIndelingHRG_B1_R_3_718949073952571393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718949073952571393","DimensionId":3,"MemberId":718949073952571393,"Inc":""},"_vena_ControleIndelingHRG_B1_R_3_718949073952571395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718949073952571395","DimensionId":3,"MemberId":718949073952571395,"Inc":""},"_vena_ControleIndelingHRG_B1_R_3_718949073956765697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718949073956765697","DimensionId":3,"MemberId":718949073956765697,"Inc":""},"_vena_ControleIndelingHRG_B1_R_3_718949073960960001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718949073960960001","DimensionId":3,"MemberId":718949073960960001,"Inc":""},"_vena_ControleIndelingHRG_B1_R_3_718949073965154304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718949073965154304","DimensionId":3,"MemberId":718949073965154304,"Inc":""},"_vena_ControleIndelingHRG_B1_R_3_718949073965154306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718949073965154306","DimensionId":3,"MemberId":718949073965154306,"Inc":""},"_vena_ControleIndelingHRG_B1_R_3_718949073969348609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718949073969348609","DimensionId":3,"MemberId":718949073969348609,"Inc":""},"_vena_ControleIndelingHRG_B1_R_3_718949073973542913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718949073973542913","DimensionId":3,"MemberId":718949073973542913,"Inc":""},"_vena_ControleIndelingHRG_B1_R_3_718949073973542915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718949073973542915","DimensionId":3,"MemberId":718949073973542915,"Inc":""},"_vena_ControleIndelingHRG_B1_R_3_718949073977737217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718949073977737217","DimensionId":3,"MemberId":718949073977737217,"Inc":""},"_vena_ControleIndelingHRG_B1_R_3_718949073981931521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718949073981931521","DimensionId":3,"MemberId":718949073981931521,"Inc":""},"_vena_ControleIndelingHRG_B1_R_3_718949073986125824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718949073986125824","DimensionId":3,"MemberId":718949073986125824,"Inc":""},"_vena_ControleIndelingHRG_B1_R_3_718949073990320129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718949073990320129","DimensionId":3,"MemberId":718949073990320129,"Inc":""},"_vena_ControleIndelingHRG_B1_R_3_718949073994514432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718949073994514432","DimensionId":3,"MemberId":718949073994514432,"Inc":""},"_vena_ControleIndelingHRG_B1_R_3_718949073998708737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718949073998708737","DimensionId":3,"MemberId":718949073998708737,"Inc":""},"_vena_ControleIndelingHRG_B1_R_3_718949073998708739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718949073998708739","DimensionId":3,"MemberId":718949073998708739,"Inc":""},"_vena_ControleIndelingHRG_B1_R_3_718949074002903041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718949074002903041","DimensionId":3,"MemberId":718949074002903041,"Inc":""},"_vena_ControleIndelingHRG_B1_R_3_718949074007097345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718949074007097345","DimensionId":3,"MemberId":718949074007097345,"Inc":""},"_vena_ControleIndelingHRG_B1_R_3_718949074011291649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718949074011291649","DimensionId":3,"MemberId":718949074011291649,"Inc":""},"_vena_ControleIndelingHRG_B1_R_3_718949074011291651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718949074011291651","DimensionId":3,"MemberId":718949074011291651,"Inc":""},"_vena_ControleIndelingHRG_B1_R_3_718949074015485953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718949074015485953","DimensionId":3,"MemberId":718949074015485953,"Inc":""},"_vena_ControleIndelingHRG_B1_R_3_718949074019680257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718949074019680257","DimensionId":3,"MemberId":718949074019680257,"Inc":""},"_vena_ControleIndelingHRG_B1_R_3_718949074019680259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718949074019680259","DimensionId":3,"MemberId":718949074019680259,"Inc":""},"_vena_ControleIndelingHRG_B1_R_3_718949074023874561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718949074023874561","DimensionId":3,"MemberId":718949074023874561,"Inc":""},"_vena_ControleIndelingHRG_B1_R_3_718949074028068865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718949074028068865","DimensionId":3,"MemberId":718949074028068865,"Inc":""},"_vena_ControleIndelingHRG_B1_R_3_718949074028068867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718949074028068867","DimensionId":3,"MemberId":718949074028068867,"Inc":""},"_vena_ControleIndelingHRG_B1_R_3_718949074032263169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718949074032263169","DimensionId":3,"MemberId":718949074032263169,"Inc":""},"_vena_ControleIndelingHRG_B1_R_3_718949074036457473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718949074036457473","DimensionId":3,"MemberId":718949074036457473,"Inc":""},"_vena_ControleIndelingHRG_B1_R_3_718949074036457475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718949074036457475","DimensionId":3,"MemberId":718949074036457475,"Inc":""},"_vena_ControleIndelingHRG_B1_R_3_718949074040651777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718949074040651777","DimensionId":3,"MemberId":718949074040651777,"Inc":""},"_vena_ControleIndelingHRG_B1_R_3_718949074044846081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718949074044846081","DimensionId":3,"MemberId":718949074044846081,"Inc":""},"_vena_ControleIndelingHRG_B1_R_3_718949074049040385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718949074049040385","DimensionId":3,"MemberId":718949074049040385,"Inc":""},"_vena_ControleIndelingHRG_B1_R_3_718949074049040387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718949074049040387","DimensionId":3,"MemberId":718949074049040387,"Inc":""},"_vena_ControleIndelingHRG_B1_R_3_718949074053234689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718949074053234689","DimensionId":3,"MemberId":718949074053234689,"Inc":""},"_vena_ControleIndelingHRG_B1_R_3_718949074057428993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718949074057428993","DimensionId":3,"MemberId":718949074057428993,"Inc":""},"_vena_ControleIndelingHRG_B1_R_3_718949074057428995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718949074057428995","DimensionId":3,"MemberId":718949074057428995,"Inc":""},"_vena_ControleIndelingHRG_B1_R_3_718949074061623297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718949074061623297","DimensionId":3,"MemberId":718949074061623297,"Inc":""},"_vena_ControleIndelingHRG_B1_R_3_718949074065817601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718949074065817601","DimensionId":3,"MemberId":718949074065817601,"Inc":""},"_vena_ControleIndelingHRG_B1_R_3_718949074065817603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718949074065817603","DimensionId":3,"MemberId":718949074065817603,"Inc":""},"_vena_ControleIndelingHRG_B1_R_3_718949074070011905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718949074070011905","DimensionId":3,"MemberId":718949074070011905,"Inc":""},"_vena_ControleIndelingHRG_B1_R_3_718949074074206209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718949074074206209","DimensionId":3,"MemberId":718949074074206209,"Inc":""},"_vena_ControleIndelingHRG_B1_R_3_718949074078400513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718949074078400513","DimensionId":3,"MemberId":718949074078400513,"Inc":""},"_vena_ControleIndelingHRG_B1_R_3_718949074078400515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718949074078400515","DimensionId":3,"MemberId":718949074078400515,"Inc":""},"_vena_ControleIndelingHRG_B1_R_3_718949074082594817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718949074082594817","DimensionId":3,"MemberId":718949074082594817,"Inc":""},"_vena_ControleIndelingHRG_B1_R_3_718949074086789121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718949074086789121","DimensionId":3,"MemberId":718949074086789121,"Inc":""},"_vena_ControleIndelingHRG_B1_R_3_718949074086789123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718949074086789123","DimensionId":3,"MemberId":718949074086789123,"Inc":""},"_vena_ControleIndelingHRG_B1_R_3_718949074090983425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718949074090983425","DimensionId":3,"MemberId":718949074090983425,"Inc":""},"_vena_ControleIndelingHRG_B1_R_3_718949074095177729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718949074095177729","DimensionId":3,"MemberId":718949074095177729,"Inc":""},"_vena_ControleIndelingHRG_B1_R_3_718949074095177731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718949074095177731","DimensionId":3,"MemberId":718949074095177731,"Inc":""},"_vena_ControleIndelingHRG_B1_R_3_718949074099372033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718949074099372033","DimensionId":3,"MemberId":718949074099372033,"Inc":""},"_vena_ControleIndelingHRG_B1_R_3_718949074103566337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718949074103566337","DimensionId":3,"MemberId":718949074103566337,"Inc":""},"_vena_ControleIndelingHRG_B1_R_3_718949074103566339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718949074103566339","DimensionId":3,"MemberId":718949074103566339,"Inc":""},"_vena_ControleIndelingHRG_B1_R_3_718949074111954944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718949074111954944","DimensionId":3,"MemberId":718949074111954944,"Inc":""},"_vena_ControleIndelingHRG_B1_R_3_718949074111954946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718949074111954946","DimensionId":3,"MemberId":718949074111954946,"Inc":""},"_vena_ControleIndelingHRG_B1_R_3_718949074116149249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718949074116149249","DimensionId":3,"MemberId":718949074116149249,"Inc":""},"_vena_ControleIndelingHRG_B1_R_3_718949074120343553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718949074120343553","DimensionId":3,"MemberId":718949074120343553,"Inc":""},"_vena_ControleIndelingHRG_B1_R_3_718949074124537857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718949074124537857","DimensionId":3,"MemberId":718949074124537857,"Inc":""},"_vena_ControleIndelingHRG_B1_R_3_718949074124537859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718949074124537859","DimensionId":3,"MemberId":718949074124537859,"Inc":""},"_vena_ControleIndelingHRG_B1_R_3_718949074128732161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718949074128732161","DimensionId":3,"MemberId":718949074128732161,"Inc":""},"_vena_ControleIndelingHRG_B1_R_3_718949074132926465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718949074132926465","DimensionId":3,"MemberId":718949074132926465,"Inc":""},"_vena_ControleIndelingHRG_B1_R_3_718949074132926467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718949074132926467","DimensionId":3,"MemberId":718949074132926467,"Inc":""},"_vena_ControleIndelingHRG_B1_R_3_718949074137120769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718949074137120769","DimensionId":3,"MemberId":718949074137120769,"Inc":""},"_vena_ControleIndelingHRG_B1_R_3_718949074141315073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718949074141315073","DimensionId":3,"MemberId":718949074141315073,"Inc":""},"_vena_ControleIndelingHRG_B1_R_3_718949074141315075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718949074141315075","DimensionId":3,"MemberId":718949074141315075,"Inc":""},"_vena_ControleIndelingHRG_B1_R_3_718949074145509377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718949074145509377","DimensionId":3,"MemberId":718949074145509377,"Inc":""},"_vena_ControleIndelingHRG_B1_R_3_718949074149703681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718949074149703681","DimensionId":3,"MemberId":718949074149703681,"Inc":""},"_vena_ControleIndelingHRG_B1_R_3_718949074153897985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718949074153897985","DimensionId":3,"MemberId":718949074153897985,"Inc":""},"_vena_ControleIndelingHRG_B1_R_3_718949074153897987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718949074153897987","DimensionId":3,"MemberId":718949074153897987,"Inc":""},"_vena_ControleIndelingHRG_B1_R_3_718949074158092289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718949074158092289","DimensionId":3,"MemberId":718949074158092289,"Inc":""},"_vena_ControleIndelingHRG_B1_R_3_718949074162286593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718949074162286593","DimensionId":3,"MemberId":718949074162286593,"Inc":""},"_vena_ControleIndelingHRG_B1_R_3_718949074162286595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718949074162286595","DimensionId":3,"MemberId":718949074162286595,"Inc":""},"_vena_ControleIndelingHRG_B1_R_3_718949074166480897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718949074166480897","DimensionId":3,"MemberId":718949074166480897,"Inc":""},"_vena_ControleIndelingHRG_B1_R_3_718949074170675201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718949074170675201","DimensionId":3,"MemberId":718949074170675201,"Inc":""},"_vena_ControleIndelingHRG_B1_R_3_718949074170675203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718949074170675203","DimensionId":3,"MemberId":718949074170675203,"Inc":""},"_vena_ControleIndelingHRG_B1_R_3_718949074174869505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718949074174869505","DimensionId":3,"MemberId":718949074174869505,"Inc":""},"_vena_ControleIndelingHRG_B1_R_3_718949074179063809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718949074179063809","DimensionId":3,"MemberId":718949074179063809,"Inc":""},"_vena_ControleIndelingHRG_B1_R_3_718949074179063811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718949074179063811","DimensionId":3,"MemberId":718949074179063811,"Inc":""},"_vena_ControleIndelingHRG_B1_R_3_718949074183258113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718949074183258113","DimensionId":3,"MemberId":718949074183258113,"Inc":""},"_vena_ControleIndelingHRG_B1_R_3_718949074187452417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718949074187452417","DimensionId":3,"MemberId":718949074187452417,"Inc":""},"_vena_ControleIndelingHRG_B1_R_3_718949074191646721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718949074191646721","DimensionId":3,"MemberId":718949074191646721,"Inc":""},"_vena_ControleIndelingHRG_B1_R_3_718949074191646723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718949074191646723","DimensionId":3,"MemberId":718949074191646723,"Inc":""},"_vena_ControleIndelingHRG_B1_R_3_718949074195841025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718949074195841025","DimensionId":3,"MemberId":718949074195841025,"Inc":""},"_vena_ControleIndelingHRG_B1_R_3_718949074200035329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718949074200035329","DimensionId":3,"MemberId":718949074200035329,"Inc":""},"_vena_ControleIndelingHRG_B1_R_3_718949074200035331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718949074200035331","DimensionId":3,"MemberId":718949074200035331,"Inc":""},"_vena_ControleIndelingHRG_B1_R_3_718949074204229633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718949074204229633","DimensionId":3,"MemberId":718949074204229633,"Inc":""},"_vena_ControleIndelingHRG_B1_R_3_718949074208423937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718949074208423937","DimensionId":3,"MemberId":718949074208423937,"Inc":""},"_vena_ControleIndelingHRG_B1_R_3_718949074212618241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718949074212618241","DimensionId":3,"MemberId":718949074212618241,"Inc":""},"_vena_ControleIndelingHRG_B1_R_3_718949074212618243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718949074212618243","DimensionId":3,"MemberId":718949074212618243,"Inc":""},"_vena_ControleIndelingHRG_B1_R_3_718949074221006848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718949074221006848","DimensionId":3,"MemberId":718949074221006848,"Inc":""},"_vena_ControleIndelingHRG_B1_R_3_718949074221006851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718949074221006851","DimensionId":3,"MemberId":718949074221006851,"Inc":""},"_vena_ControleIndelingHRG_B1_R_3_718949074225201153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718949074225201153","DimensionId":3,"MemberId":718949074225201153,"Inc":""},"_vena_ControleIndelingHRG_B1_R_3_718949074229395457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718949074229395457","DimensionId":3,"MemberId":718949074229395457,"Inc":""},"_vena_ControleIndelingHRG_B1_R_3_718949074229395459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718949074229395459","DimensionId":3,"MemberId":718949074229395459,"Inc":""},"_vena_ControleIndelingHRG_B1_R_3_718949074233589761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718949074233589761","DimensionId":3,"MemberId":718949074233589761,"Inc":""},"_vena_ControleIndelingHRG_B1_R_3_718949074237784065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718949074237784065","DimensionId":3,"MemberId":718949074237784065,"Inc":""},"_vena_ControleIndelingHRG_B1_R_3_718949074237784067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718949074237784067","DimensionId":3,"MemberId":718949074237784067,"Inc":""},"_vena_ControleIndelingHRG_B1_R_3_718949074241978369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718949074241978369","DimensionId":3,"MemberId":718949074241978369,"Inc":""},"_vena_ControleIndelingHRG_B1_R_3_718949074246172673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718949074246172673","DimensionId":3,"MemberId":718949074246172673,"Inc":""},"_vena_ControleIndelingHRG_B1_R_3_718949074246172675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718949074246172675","DimensionId":3,"MemberId":718949074246172675,"Inc":""},"_vena_ControleIndelingHRG_B1_R_3_718949074250366977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718949074250366977","DimensionId":3,"MemberId":718949074250366977,"Inc":""},"_vena_ControleIndelingHRG_B1_R_3_718949074254561281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718949074254561281","DimensionId":3,"MemberId":718949074254561281,"Inc":""},"_vena_ControleIndelingHRG_B1_R_3_718949074258755585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718949074258755585","DimensionId":3,"MemberId":718949074258755585,"Inc":""},"_vena_ControleIndelingHRG_B1_R_3_718949074258755587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718949074258755587","DimensionId":3,"MemberId":718949074258755587,"Inc":""},"_vena_ControleIndelingHRG_B1_R_3_718949074262949889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718949074262949889","DimensionId":3,"MemberId":718949074262949889,"Inc":""},"_vena_ControleIndelingHRG_B1_R_3_718949074267144193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718949074267144193","DimensionId":3,"MemberId":718949074267144193,"Inc":""},"_vena_ControleIndelingHRG_B1_R_3_718949074267144195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718949074267144195","DimensionId":3,"MemberId":718949074267144195,"Inc":""},"_vena_ControleIndelingHRG_B1_R_3_718949074271338497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718949074271338497","DimensionId":3,"MemberId":718949074271338497,"Inc":""},"_vena_ControleIndelingHRG_B1_R_3_741036978346524672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741036978346524672","DimensionId":3,"MemberId":741036978346524672,"Inc":""},"_vena_ControleIndelingHRG_B1_R_3_741036978350718977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741036978350718977","DimensionId":3,"MemberId":741036978350718977,"Inc":""},"_vena_ControleIndelingHRG_B1_R_3_741036978350718979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741036978350718979","DimensionId":3,"MemberId":741036978350718979,"Inc":""},"_vena_ControleIndelingHRG_B1_R_3_741036978354913281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741036978354913281","DimensionId":3,"MemberId":741036978354913281,"Inc":""},"_vena_ControleIndelingHRG_B1_R_3_741036978354913283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741036978354913283","DimensionId":3,"MemberId":741036978354913283,"Inc":""},"_vena_ControleIndelingHRG_B1_R_3_741036978354913285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741036978354913285","DimensionId":3,"MemberId":741036978354913285,"Inc":""},"_vena_ControleIndelingHRG_B1_R_3_741036978359107585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741036978359107585","DimensionId":3,"MemberId":741036978359107585,"Inc":""},"_vena_ControleIndelingHRG_B1_R_3_741036978359107587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741036978359107587","DimensionId":3,"MemberId":741036978359107587,"Inc":""},"_vena_ControleIndelingHRG_B1_R_3_741036978359107589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741036978359107589","DimensionId":3,"MemberId":741036978359107589,"Inc":""},"_vena_ControleIndelingHRG_B1_R_3_741036978363301889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741036978363301889","DimensionId":3,"MemberId":741036978363301889,"Inc":""},"_vena_ControleIndelingHRG_B1_R_3_741036978363301891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741036978363301891","DimensionId":3,"MemberId":741036978363301891,"Inc":""},"_vena_ControleIndelingHRG_B1_R_3_741036978367496193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741036978367496193","DimensionId":3,"MemberId":741036978367496193,"Inc":""},"_vena_ControleIndelingHRG_B1_R_3_741036978367496195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741036978367496195","DimensionId":3,"MemberId":741036978367496195,"Inc":""},"_vena_ControleIndelingHRG_B1_R_3_741036978367496197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741036978367496197","DimensionId":3,"MemberId":741036978367496197,"Inc":""},"_vena_ControleIndelingHRG_B1_R_3_741036978371690497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741036978371690497","DimensionId":3,"MemberId":741036978371690497,"Inc":""},"_vena_ControleIndelingHRG_B1_R_3_741036978371690499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741036978371690499","DimensionId":3,"MemberId":741036978371690499,"Inc":""},"_vena_ControleIndelingHRG_B1_R_3_741036978375884801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741036978375884801","DimensionId":3,"MemberId":741036978375884801,"Inc":""},"_vena_ControleIndelingHRG_B1_R_3_741036978375884803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741036978375884803","DimensionId":3,"MemberId":741036978375884803,"Inc":""},"_vena_ControleIndelingHRG_B1_R_3_741036978375884805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741036978375884805","DimensionId":3,"MemberId":741036978375884805,"Inc":""},"_vena_ControleIndelingHRG_B1_R_3_741036978380079105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741036978380079105","DimensionId":3,"MemberId":741036978380079105,"Inc":""},"_vena_ControleIndelingHRG_B1_R_3_741036978380079107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741036978380079107","DimensionId":3,"MemberId":741036978380079107,"Inc":""},"_vena_ControleIndelingHRG_B1_R_3_741036978380079109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741036978380079109","DimensionId":3,"MemberId":741036978380079109,"Inc":""},"_vena_ControleIndelingHRG_B1_R_3_741036978384273409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741036978384273409","DimensionId":3,"MemberId":741036978384273409,"Inc":""},"_vena_ControleIndelingHRG_B1_R_3_741036978384273411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741036978384273411","DimensionId":3,"MemberId":741036978384273411,"Inc":""},"_vena_ControleIndelingHRG_B1_R_3_741036978384273413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741036978384273413","DimensionId":3,"MemberId":741036978384273413,"Inc":""},"_vena_ControleIndelingHRG_B1_R_3_741036978388467713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741036978388467713","DimensionId":3,"MemberId":741036978388467713,"Inc":""},"_vena_ControleIndelingHRG_B1_R_3_741036978388467715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741036978388467715","DimensionId":3,"MemberId":741036978388467715,"Inc":""},"_vena_ControleIndelingHRG_B1_R_3_741036978392662016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741036978392662016","DimensionId":3,"MemberId":741036978392662016,"Inc":""},"_vena_ControleIndelingHRG_B1_R_3_745374605280018432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745374605280018432","DimensionId":3,"MemberId":745374605280018432,"Inc":""},"_vena_ControleIndelingHRG_B1_R_3_745375016732721152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745375016732721152","DimensionId":3,"MemberId":745375016732721152,"Inc":""},"_vena_ControleIndelingHRG_B1_R_3_745375106469593088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745375106469593088","DimensionId":3,"MemberId":745375106469593088,"Inc":""},"_vena_ControleIndelingHRG_B1_R_3_787067506366873601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787067506366873601","DimensionId":3,"MemberId":787067506366873601,"Inc":""},"_vena_ControleIndelingHRG_B1_R_3_787067506375262209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787067506375262209","DimensionId":3,"MemberId":787067506375262209,"Inc":""},"_vena_ControleIndelingHRG_B1_R_3_787067506396233730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787067506396233730","DimensionId":3,"MemberId":787067506396233730,"Inc":""},"_vena_ControleIndelingHRG_B1_R_3_787067506400428033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787067506400428033","DimensionId":3,"MemberId":787067506400428033,"Inc":""},"_vena_ControleIndelingHRG_B1_R_3_787067506425593862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787067506425593862","DimensionId":3,"MemberId":787067506425593862,"Inc":""},"_vena_ControleIndelingHRG_B1_R_3_787067506429788172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787067506429788172","DimensionId":3,"MemberId":787067506429788172,"Inc":""},"_vena_ControleIndelingHRG_B1_R_3_787067506442371085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787067506442371085","DimensionId":3,"MemberId":787067506442371085,"Inc":""},"_vena_ControleIndelingHRG_B1_R_3_787067506459148326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787067506459148326","DimensionId":3,"MemberId":787067506459148326,"Inc":""},"_vena_ControleIndelingHRG_B1_R_3_787067506467536902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787067506467536902","DimensionId":3,"MemberId":787067506467536902,"Inc":""},"_vena_ControleIndelingHRG_B1_R_3_787067506484314126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787067506484314126","DimensionId":3,"MemberId":787067506484314126,"Inc":""},"_vena_ControleIndelingHRG_B1_R_3_787067506509479942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787067506509479942","DimensionId":3,"MemberId":787067506509479942,"Inc":""},"_vena_ControleIndelingHRG_B1_R_3_787067506526257152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787067506526257152","DimensionId":3,"MemberId":787067506526257152,"Inc":""},"_vena_ControleIndelingHRG_B1_R_3_848292094858231812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848292094858231812","DimensionId":3,"MemberId":848292094858231812,"Inc":""},"_vena_ControleIndelingHRG_B1_R_3_947147459226107910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947147459226107910","DimensionId":3,"MemberId":947147459226107910,"Inc":""},"_vena_ControleIndelingHRG_B1_R_3_947147459238690817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947147459238690817","DimensionId":3,"MemberId":947147459238690817,"Inc":""},"_vena_ControleIndelingHRG_B1_R_3_947147459259662336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947147459259662336","DimensionId":3,"MemberId":947147459259662336,"Inc":""},"_vena_ControleIndelingHRG_B1_R_3_947147459272245252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947147459272245252","DimensionId":3,"MemberId":947147459272245252,"Inc":""},"_vena_ControleIndelingHRG_B1_R_3_947147459276439554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947147459276439554","DimensionId":3,"MemberId":947147459276439554,"Inc":""},"_vena_ControleIndelingHRG_B1_R_3_947147459284828166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947147459284828166","DimensionId":3,"MemberId":947147459284828166,"Inc":""},"_vena_ControleIndelingHRG_B1_R_3_947147459297411075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947147459297411075","DimensionId":3,"MemberId":947147459297411075,"Inc":""},"_vena_ControleIndelingHRG_B1_R_3_947147459318382595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947147459318382595","DimensionId":3,"MemberId":947147459318382595,"Inc":""},"_vena_ControleIndelingHRG_B1_R_3_947147459322576897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947147459322576897","DimensionId":3,"MemberId":947147459322576897,"Inc":""},"_vena_ControleIndelingHRG_B1_R_3_947147459377102859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947147459377102859","DimensionId":3,"MemberId":947147459377102859,"Inc":""},"_vena_ControleIndelingHRG_B1_R_3_947147459385491457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947147459385491457","DimensionId":3,"MemberId":947147459385491457,"Inc":""},"_vena_ControleIndelingHRG_B1_R_3_982737416803450901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982737416803450901","DimensionId":3,"MemberId":982737416803450901,"Inc":""},"_vena_ControleIndelingHRG_B1_R_3_982737416811839488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982737416811839488","DimensionId":3,"MemberId":982737416811839488,"Inc":""},"_vena_ControleIndelingHRG_B1_R_3_982737416862171137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B1","VenaRangeType":1,"DimensionIdStr":"3","MemberIdStr":"982737416862171137","DimensionId":3,"MemberId":982737416862171137,"Inc":""},"_vena_ControleIndelingHRG_P_4_718931129058590721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VenaRangeType":0,"DimensionIdStr":"4","MemberIdStr":"718931129058590721","DimensionId":4,"MemberId":718931129058590721,"Inc":""},"_vena_ControleIndelingHRG_P_5_718931142656917509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VenaRangeType":0,"DimensionIdStr":"5","MemberIdStr":"718931142656917509","DimensionId":5,"MemberId":718931142656917509,"Inc":""},"_vena_ControleIndelingHRG_P_6_730565783391305729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VenaRangeType":0,"DimensionIdStr":"6","MemberIdStr":"730565783391305729","DimensionId":6,"MemberId":730565783391305729,"Inc":""},"_vena_ControleIndelingHRG_P_7_720673044374355968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HRG","BlockName":"","VenaRangeType":0,"DimensionIdStr":"7","MemberIdStr":"720673044374355968","DimensionId":7,"MemberId":720673044374355968,"Inc":""},"_vena_ControleIndelingPL_B1_C_FV_18833718d1654aadbc8e26067c178bd5":{"SourceGlobalVariableId":-1,"SourceFormVariableId":"18833718-d165-4aad-bc8e-26067c178bd5","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2,"DimensionIdStr":"FV","MemberIdStr":"18833718d1654aadbc8e26067c178bd5","DimensionId":-1,"MemberId":-1,"Inc":""},"_vena_ControleIndelingPL_B1_C_FV_a29e5bcf45ca496da8833af34d35696d":{"SourceGlobalVariableId":-1,"SourceFormVariableId":"a29e5bcf-45ca-496d-a883-3af34d35696d","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2,"DimensionIdStr":"FV","MemberIdStr":"a29e5bcf45ca496da8833af34d35696d","DimensionId":-1,"MemberId":-1,"Inc":""},"_vena_ControleIndelingPL_B1_R_3_1015700822930489354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1015700822930489354","DimensionId":3,"MemberId":1015700822930489354,"Inc":""},"_vena_ControleIndelingPL_B1_R_3_1015700822968238094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1015700822968238094","DimensionId":3,"MemberId":1015700822968238094,"Inc":""},"_vena_ControleIndelingPL_B1_R_3_718947653497389058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718947653497389058","DimensionId":3,"MemberId":718947653497389058,"Inc":""},"_vena_ControleIndelingPL_B1_R_3_718947653505777666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718947653505777666","DimensionId":3,"MemberId":718947653505777666,"Inc":""},"_vena_ControleIndelingPL_B1_R_3_718947653509971971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718947653509971971","DimensionId":3,"MemberId":718947653509971971,"Inc":""},"_vena_ControleIndelingPL_B1_R_3_718949073356980224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718949073356980224","DimensionId":3,"MemberId":718949073356980224,"Inc":""},"_vena_ControleIndelingPL_B1_R_3_718949073365368832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718949073365368832","DimensionId":3,"MemberId":718949073365368832,"Inc":""},"_vena_ControleIndelingPL_B1_R_3_718949073369563137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718949073369563137","DimensionId":3,"MemberId":718949073369563137,"Inc":""},"_vena_ControleIndelingPL_B1_R_3_718949073373757441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718949073373757441","DimensionId":3,"MemberId":718949073373757441,"Inc":""},"_vena_ControleIndelingPL_B1_R_3_718949073373757443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718949073373757443","DimensionId":3,"MemberId":718949073373757443,"Inc":""},"_vena_ControleIndelingPL_B1_R_3_718949073377951745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718949073377951745","DimensionId":3,"MemberId":718949073377951745,"Inc":""},"_vena_ControleIndelingPL_B1_R_3_718949073382146049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718949073382146049","DimensionId":3,"MemberId":718949073382146049,"Inc":""},"_vena_ControleIndelingPL_B1_R_3_718949073382146051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718949073382146051","DimensionId":3,"MemberId":718949073382146051,"Inc":""},"_vena_ControleIndelingPL_B1_R_3_718949073386340353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718949073386340353","DimensionId":3,"MemberId":718949073386340353,"Inc":""},"_vena_ControleIndelingPL_B1_R_3_718949073390534657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718949073390534657","DimensionId":3,"MemberId":718949073390534657,"Inc":""},"_vena_ControleIndelingPL_B1_R_3_718949073394728961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718949073394728961","DimensionId":3,"MemberId":718949073394728961,"Inc":""},"_vena_ControleIndelingPL_B1_R_3_718949073394728963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718949073394728963","DimensionId":3,"MemberId":718949073394728963,"Inc":""},"_vena_ControleIndelingPL_B1_R_3_718949073398923265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718949073398923265","DimensionId":3,"MemberId":718949073398923265,"Inc":""},"_vena_ControleIndelingPL_B1_R_3_718949073403117569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718949073403117569","DimensionId":3,"MemberId":718949073403117569,"Inc":""},"_vena_ControleIndelingPL_B1_R_3_718949073407311872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718949073407311872","DimensionId":3,"MemberId":718949073407311872,"Inc":""},"_vena_ControleIndelingPL_B1_R_3_718949073411506177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718949073411506177","DimensionId":3,"MemberId":718949073411506177,"Inc":""},"_vena_ControleIndelingPL_B1_R_3_718949073415700481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718949073415700481","DimensionId":3,"MemberId":718949073415700481,"Inc":""},"_vena_ControleIndelingPL_B1_R_3_718949073415700483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718949073415700483","DimensionId":3,"MemberId":718949073415700483,"Inc":""},"_vena_ControleIndelingPL_B1_R_3_718949073419894785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718949073419894785","DimensionId":3,"MemberId":718949073419894785,"Inc":""},"_vena_ControleIndelingPL_B1_R_3_718949073424089089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718949073424089089","DimensionId":3,"MemberId":718949073424089089,"Inc":""},"_vena_ControleIndelingPL_B1_R_3_718949073424089091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718949073424089091","DimensionId":3,"MemberId":718949073424089091,"Inc":""},"_vena_ControleIndelingPL_B1_R_3_718949073428283393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718949073428283393","DimensionId":3,"MemberId":718949073428283393,"Inc":""},"_vena_ControleIndelingPL_B1_R_3_718949073432477697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718949073432477697","DimensionId":3,"MemberId":718949073432477697,"Inc":""},"_vena_ControleIndelingPL_B1_R_3_718949073432477699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718949073432477699","DimensionId":3,"MemberId":718949073432477699,"Inc":""},"_vena_ControleIndelingPL_B1_R_3_718949073436672001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718949073436672001","DimensionId":3,"MemberId":718949073436672001,"Inc":""},"_vena_ControleIndelingPL_B1_R_3_718949073440866305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718949073440866305","DimensionId":3,"MemberId":718949073440866305,"Inc":""},"_vena_ControleIndelingPL_B1_R_3_718949073440866307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718949073440866307","DimensionId":3,"MemberId":718949073440866307,"Inc":""},"_vena_ControleIndelingPL_B1_R_3_718949073445060609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718949073445060609","DimensionId":3,"MemberId":718949073445060609,"Inc":""},"_vena_ControleIndelingPL_B1_R_3_718949073449254913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718949073449254913","DimensionId":3,"MemberId":718949073449254913,"Inc":""},"_vena_ControleIndelingPL_B1_R_3_718949073453449218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718949073453449218","DimensionId":3,"MemberId":718949073453449218,"Inc":""},"_vena_ControleIndelingPL_B1_R_3_718949073457643521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718949073457643521","DimensionId":3,"MemberId":718949073457643521,"Inc":""},"_vena_ControleIndelingPL_B1_R_3_718949073457643523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718949073457643523","DimensionId":3,"MemberId":718949073457643523,"Inc":""},"_vena_ControleIndelingPL_B1_R_3_718949073461837825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718949073461837825","DimensionId":3,"MemberId":718949073461837825,"Inc":""},"_vena_ControleIndelingPL_B1_R_3_718949073466032129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718949073466032129","DimensionId":3,"MemberId":718949073466032129,"Inc":""},"_vena_ControleIndelingPL_B1_R_3_718949073466032131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718949073466032131","DimensionId":3,"MemberId":718949073466032131,"Inc":""},"_vena_ControleIndelingPL_B1_R_3_718949073470226433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718949073470226433","DimensionId":3,"MemberId":718949073470226433,"Inc":""},"_vena_ControleIndelingPL_B1_R_3_718949073474420737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718949073474420737","DimensionId":3,"MemberId":718949073474420737,"Inc":""},"_vena_ControleIndelingPL_B1_R_3_718949073478615041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718949073478615041","DimensionId":3,"MemberId":718949073478615041,"Inc":""},"_vena_ControleIndelingPL_B1_R_3_718949073478615043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718949073478615043","DimensionId":3,"MemberId":718949073478615043,"Inc":""},"_vena_ControleIndelingPL_B1_R_3_718949073482809345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718949073482809345","DimensionId":3,"MemberId":718949073482809345,"Inc":""},"_vena_ControleIndelingPL_B1_R_3_718949073487003649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718949073487003649","DimensionId":3,"MemberId":718949073487003649,"Inc":""},"_vena_ControleIndelingPL_B1_R_3_718949073487003651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718949073487003651","DimensionId":3,"MemberId":718949073487003651,"Inc":""},"_vena_ControleIndelingPL_B1_R_3_718949073491197953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718949073491197953","DimensionId":3,"MemberId":718949073491197953,"Inc":""},"_vena_ControleIndelingPL_B1_R_3_718949073499586560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718949073499586560","DimensionId":3,"MemberId":718949073499586560,"Inc":""},"_vena_ControleIndelingPL_B1_R_3_718949073499586562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718949073499586562","DimensionId":3,"MemberId":718949073499586562,"Inc":""},"_vena_ControleIndelingPL_B1_R_3_718949073503780865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718949073503780865","DimensionId":3,"MemberId":718949073503780865,"Inc":""},"_vena_ControleIndelingPL_B1_R_3_718949073507975169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718949073507975169","DimensionId":3,"MemberId":718949073507975169,"Inc":""},"_vena_ControleIndelingPL_B1_R_3_718949073507975171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718949073507975171","DimensionId":3,"MemberId":718949073507975171,"Inc":""},"_vena_ControleIndelingPL_B1_R_3_718949073512169473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718949073512169473","DimensionId":3,"MemberId":718949073512169473,"Inc":""},"_vena_ControleIndelingPL_B1_R_3_718949073516363777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718949073516363777","DimensionId":3,"MemberId":718949073516363777,"Inc":""},"_vena_ControleIndelingPL_B1_R_3_718949073520558081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718949073520558081","DimensionId":3,"MemberId":718949073520558081,"Inc":""},"_vena_ControleIndelingPL_B1_R_3_718949073520558083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718949073520558083","DimensionId":3,"MemberId":718949073520558083,"Inc":""},"_vena_ControleIndelingPL_B1_R_3_718949073524752385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718949073524752385","DimensionId":3,"MemberId":718949073524752385,"Inc":""},"_vena_ControleIndelingPL_B1_R_3_718949073528946689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718949073528946689","DimensionId":3,"MemberId":718949073528946689,"Inc":""},"_vena_ControleIndelingPL_B1_R_3_718949073528946691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718949073528946691","DimensionId":3,"MemberId":718949073528946691,"Inc":""},"_vena_ControleIndelingPL_B1_R_3_718949073533140993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718949073533140993","DimensionId":3,"MemberId":718949073533140993,"Inc":""},"_vena_ControleIndelingPL_B1_R_3_718949073537335297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718949073537335297","DimensionId":3,"MemberId":718949073537335297,"Inc":""},"_vena_ControleIndelingPL_B1_R_3_718949073537335299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718949073537335299","DimensionId":3,"MemberId":718949073537335299,"Inc":""},"_vena_ControleIndelingPL_B1_R_3_718949073541529601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718949073541529601","DimensionId":3,"MemberId":718949073541529601,"Inc":""},"_vena_ControleIndelingPL_B1_R_3_718949073545723905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718949073545723905","DimensionId":3,"MemberId":718949073545723905,"Inc":""},"_vena_ControleIndelingPL_B1_R_3_718949073549918209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718949073549918209","DimensionId":3,"MemberId":718949073549918209,"Inc":""},"_vena_ControleIndelingPL_B1_R_3_718949073558306816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718949073558306816","DimensionId":3,"MemberId":718949073558306816,"Inc":""},"_vena_ControleIndelingPL_B1_R_3_718949073558306818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718949073558306818","DimensionId":3,"MemberId":718949073558306818,"Inc":""},"_vena_ControleIndelingPL_B1_R_3_718949073566695424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718949073566695424","DimensionId":3,"MemberId":718949073566695424,"Inc":""},"_vena_ControleIndelingPL_B1_R_3_718949073566695426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718949073566695426","DimensionId":3,"MemberId":718949073566695426,"Inc":""},"_vena_ControleIndelingPL_B1_R_3_718949073575084032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718949073575084032","DimensionId":3,"MemberId":718949073575084032,"Inc":""},"_vena_ControleIndelingPL_B1_R_3_718949073575084034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718949073575084034","DimensionId":3,"MemberId":718949073575084034,"Inc":""},"_vena_ControleIndelingPL_B1_R_3_718949073579278337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718949073579278337","DimensionId":3,"MemberId":718949073579278337,"Inc":""},"_vena_ControleIndelingPL_B1_R_3_718949073583472641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718949073583472641","DimensionId":3,"MemberId":718949073583472641,"Inc":""},"_vena_ControleIndelingPL_B1_R_3_718949073583472643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718949073583472643","DimensionId":3,"MemberId":718949073583472643,"Inc":""},"_vena_ControleIndelingPL_B1_R_3_718949073591861248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718949073591861248","DimensionId":3,"MemberId":718949073591861248,"Inc":""},"_vena_ControleIndelingPL_B1_R_3_718949073596055552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718949073596055552","DimensionId":3,"MemberId":718949073596055552,"Inc":""},"_vena_ControleIndelingPL_B1_R_3_718949073600249857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718949073600249857","DimensionId":3,"MemberId":718949073600249857,"Inc":""},"_vena_ControleIndelingPL_B1_R_3_718949073608638464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718949073608638464","DimensionId":3,"MemberId":718949073608638464,"Inc":""},"_vena_ControleIndelingPL_B1_R_3_718949073608638466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718949073608638466","DimensionId":3,"MemberId":718949073608638466,"Inc":""},"_vena_ControleIndelingPL_B1_R_3_718949073612832769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718949073612832769","DimensionId":3,"MemberId":718949073612832769,"Inc":""},"_vena_ControleIndelingPL_B1_R_3_718949073617027073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718949073617027073","DimensionId":3,"MemberId":718949073617027073,"Inc":""},"_vena_ControleIndelingPL_B1_R_3_718949073621221376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718949073621221376","DimensionId":3,"MemberId":718949073621221376,"Inc":""},"_vena_ControleIndelingPL_B1_R_3_718949073625415681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718949073625415681","DimensionId":3,"MemberId":718949073625415681,"Inc":""},"_vena_ControleIndelingPL_B1_R_3_718949073629609985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718949073629609985","DimensionId":3,"MemberId":718949073629609985,"Inc":""},"_vena_ControleIndelingPL_B1_R_3_718949073633804289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718949073633804289","DimensionId":3,"MemberId":718949073633804289,"Inc":""},"_vena_ControleIndelingPL_B1_R_3_718949073637998593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718949073637998593","DimensionId":3,"MemberId":718949073637998593,"Inc":""},"_vena_ControleIndelingPL_B1_R_3_718949073637998595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718949073637998595","DimensionId":3,"MemberId":718949073637998595,"Inc":""},"_vena_ControleIndelingPL_B1_R_3_718949073642192897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718949073642192897","DimensionId":3,"MemberId":718949073642192897,"Inc":""},"_vena_ControleIndelingPL_B1_R_3_718949073646387201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718949073646387201","DimensionId":3,"MemberId":718949073646387201,"Inc":""},"_vena_ControleIndelingPL_B1_R_3_718949073650581505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718949073650581505","DimensionId":3,"MemberId":718949073650581505,"Inc":""},"_vena_ControleIndelingPL_B1_R_3_718949073654775809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718949073654775809","DimensionId":3,"MemberId":718949073654775809,"Inc":""},"_vena_ControleIndelingPL_B1_R_3_718949073654775811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718949073654775811","DimensionId":3,"MemberId":718949073654775811,"Inc":""},"_vena_ControleIndelingPL_B1_R_3_718949073658970113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718949073658970113","DimensionId":3,"MemberId":718949073658970113,"Inc":""},"_vena_ControleIndelingPL_B1_R_3_718949073663164417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718949073663164417","DimensionId":3,"MemberId":718949073663164417,"Inc":""},"_vena_ControleIndelingPL_B1_R_3_718949073667358721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718949073667358721","DimensionId":3,"MemberId":718949073667358721,"Inc":""},"_vena_ControleIndelingPL_B1_R_3_718949073667358723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718949073667358723","DimensionId":3,"MemberId":718949073667358723,"Inc":""},"_vena_ControleIndelingPL_B1_R_3_718949073671553025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718949073671553025","DimensionId":3,"MemberId":718949073671553025,"Inc":""},"_vena_ControleIndelingPL_B1_R_3_718949073675747329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718949073675747329","DimensionId":3,"MemberId":718949073675747329,"Inc":""},"_vena_ControleIndelingPL_B1_R_3_718949073679941633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718949073679941633","DimensionId":3,"MemberId":718949073679941633,"Inc":""},"_vena_ControleIndelingPL_B1_R_3_718949073684135937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718949073684135937","DimensionId":3,"MemberId":718949073684135937,"Inc":""},"_vena_ControleIndelingPL_B1_R_3_718949073684135939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718949073684135939","DimensionId":3,"MemberId":718949073684135939,"Inc":""},"_vena_ControleIndelingPL_B1_R_3_718949073688330241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718949073688330241","DimensionId":3,"MemberId":718949073688330241,"Inc":""},"_vena_ControleIndelingPL_B1_R_3_718949073692524545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718949073692524545","DimensionId":3,"MemberId":718949073692524545,"Inc":""},"_vena_ControleIndelingPL_B1_R_3_718949073696718849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718949073696718849","DimensionId":3,"MemberId":718949073696718849,"Inc":""},"_vena_ControleIndelingPL_B1_R_3_718949073696718851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718949073696718851","DimensionId":3,"MemberId":718949073696718851,"Inc":""},"_vena_ControleIndelingPL_B1_R_3_718949073700913153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718949073700913153","DimensionId":3,"MemberId":718949073700913153,"Inc":""},"_vena_ControleIndelingPL_B1_R_3_718949073705107457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718949073705107457","DimensionId":3,"MemberId":718949073705107457,"Inc":""},"_vena_ControleIndelingPL_B1_R_3_718949073705107459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718949073705107459","DimensionId":3,"MemberId":718949073705107459,"Inc":""},"_vena_ControleIndelingPL_B1_R_3_718949073709301761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718949073709301761","DimensionId":3,"MemberId":718949073709301761,"Inc":""},"_vena_ControleIndelingPL_B1_R_3_718949073713496065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718949073713496065","DimensionId":3,"MemberId":718949073713496065,"Inc":""},"_vena_ControleIndelingPL_B1_R_3_718949073713496067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718949073713496067","DimensionId":3,"MemberId":718949073713496067,"Inc":""},"_vena_ControleIndelingPL_B1_R_3_718949073717690369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718949073717690369","DimensionId":3,"MemberId":718949073717690369,"Inc":""},"_vena_ControleIndelingPL_B1_R_3_718949073721884673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718949073721884673","DimensionId":3,"MemberId":718949073721884673,"Inc":""},"_vena_ControleIndelingPL_B1_R_3_718949073726078977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718949073726078977","DimensionId":3,"MemberId":718949073726078977,"Inc":""},"_vena_ControleIndelingPL_B1_R_3_718949073726078979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718949073726078979","DimensionId":3,"MemberId":718949073726078979,"Inc":""},"_vena_ControleIndelingPL_B1_R_3_718949073730273281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718949073730273281","DimensionId":3,"MemberId":718949073730273281,"Inc":""},"_vena_ControleIndelingPL_B1_R_3_718949073734467585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718949073734467585","DimensionId":3,"MemberId":718949073734467585,"Inc":""},"_vena_ControleIndelingPL_B1_R_3_718949073734467587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718949073734467587","DimensionId":3,"MemberId":718949073734467587,"Inc":""},"_vena_ControleIndelingPL_B1_R_3_718949073738661889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718949073738661889","DimensionId":3,"MemberId":718949073738661889,"Inc":""},"_vena_ControleIndelingPL_B1_R_3_718949073742856193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718949073742856193","DimensionId":3,"MemberId":718949073742856193,"Inc":""},"_vena_ControleIndelingPL_B1_R_3_718949073747050497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718949073747050497","DimensionId":3,"MemberId":718949073747050497,"Inc":""},"_vena_ControleIndelingPL_B1_R_3_718949073751244801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718949073751244801","DimensionId":3,"MemberId":718949073751244801,"Inc":""},"_vena_ControleIndelingPL_B1_R_3_718949073759633408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718949073759633408","DimensionId":3,"MemberId":718949073759633408,"Inc":""},"_vena_ControleIndelingPL_B1_R_3_718949073763827713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718949073763827713","DimensionId":3,"MemberId":718949073763827713,"Inc":""},"_vena_ControleIndelingPL_B1_R_3_718949073768022016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718949073768022016","DimensionId":3,"MemberId":718949073768022016,"Inc":""},"_vena_ControleIndelingPL_B1_R_3_718949073772216321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718949073772216321","DimensionId":3,"MemberId":718949073772216321,"Inc":""},"_vena_ControleIndelingPL_B1_R_3_718949073776410624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718949073776410624","DimensionId":3,"MemberId":718949073776410624,"Inc":""},"_vena_ControleIndelingPL_B1_R_3_718949073780604928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718949073780604928","DimensionId":3,"MemberId":718949073780604928,"Inc":""},"_vena_ControleIndelingPL_B1_R_3_718949073784799233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718949073784799233","DimensionId":3,"MemberId":718949073784799233,"Inc":""},"_vena_ControleIndelingPL_B1_R_3_718949073788993536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718949073788993536","DimensionId":3,"MemberId":718949073788993536,"Inc":""},"_vena_ControleIndelingPL_B1_R_3_718949073788993538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718949073788993538","DimensionId":3,"MemberId":718949073788993538,"Inc":""},"_vena_ControleIndelingPL_B1_R_3_718949073793187841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718949073793187841","DimensionId":3,"MemberId":718949073793187841,"Inc":""},"_vena_ControleIndelingPL_B1_R_3_718949073797382145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718949073797382145","DimensionId":3,"MemberId":718949073797382145,"Inc":""},"_vena_ControleIndelingPL_B1_R_3_718949073801576449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718949073801576449","DimensionId":3,"MemberId":718949073801576449,"Inc":""},"_vena_ControleIndelingPL_B1_R_3_718949073805770753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718949073805770753","DimensionId":3,"MemberId":718949073805770753,"Inc":""},"_vena_ControleIndelingPL_B1_R_3_718949073809965057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718949073809965057","DimensionId":3,"MemberId":718949073809965057,"Inc":""},"_vena_ControleIndelingPL_B1_R_3_718949073809965059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718949073809965059","DimensionId":3,"MemberId":718949073809965059,"Inc":""},"_vena_ControleIndelingPL_B1_R_3_718949073818353664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718949073818353664","DimensionId":3,"MemberId":718949073818353664,"Inc":""},"_vena_ControleIndelingPL_B1_R_3_718949073822547969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718949073822547969","DimensionId":3,"MemberId":718949073822547969,"Inc":""},"_vena_ControleIndelingPL_B1_R_3_718949073826742273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718949073826742273","DimensionId":3,"MemberId":718949073826742273,"Inc":""},"_vena_ControleIndelingPL_B1_R_3_718949073830936577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718949073830936577","DimensionId":3,"MemberId":718949073830936577,"Inc":""},"_vena_ControleIndelingPL_B1_R_3_718949073835130881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718949073835130881","DimensionId":3,"MemberId":718949073835130881,"Inc":""},"_vena_ControleIndelingPL_B1_R_3_718949073839325185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718949073839325185","DimensionId":3,"MemberId":718949073839325185,"Inc":""},"_vena_ControleIndelingPL_B1_R_3_718949073839325187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718949073839325187","DimensionId":3,"MemberId":718949073839325187,"Inc":""},"_vena_ControleIndelingPL_B1_R_3_718949073843519489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718949073843519489","DimensionId":3,"MemberId":718949073843519489,"Inc":""},"_vena_ControleIndelingPL_B1_R_3_718949073847713793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718949073847713793","DimensionId":3,"MemberId":718949073847713793,"Inc":""},"_vena_ControleIndelingPL_B1_R_3_718949073851908096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718949073851908096","DimensionId":3,"MemberId":718949073851908096,"Inc":""},"_vena_ControleIndelingPL_B1_R_3_718949073856102401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718949073856102401","DimensionId":3,"MemberId":718949073856102401,"Inc":""},"_vena_ControleIndelingPL_B1_R_3_718949073860296705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718949073860296705","DimensionId":3,"MemberId":718949073860296705,"Inc":""},"_vena_ControleIndelingPL_B1_R_3_718949073860296707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718949073860296707","DimensionId":3,"MemberId":718949073860296707,"Inc":""},"_vena_ControleIndelingPL_B1_R_3_718949073864491009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718949073864491009","DimensionId":3,"MemberId":718949073864491009,"Inc":""},"_vena_ControleIndelingPL_B1_R_3_718949073868685313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718949073868685313","DimensionId":3,"MemberId":718949073868685313,"Inc":""},"_vena_ControleIndelingPL_B1_R_3_718949073868685315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718949073868685315","DimensionId":3,"MemberId":718949073868685315,"Inc":""},"_vena_ControleIndelingPL_B1_R_3_718949073872879617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718949073872879617","DimensionId":3,"MemberId":718949073872879617,"Inc":""},"_vena_ControleIndelingPL_B1_R_3_718949073877073921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718949073877073921","DimensionId":3,"MemberId":718949073877073921,"Inc":""},"_vena_ControleIndelingPL_B1_R_3_718949073881268225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718949073881268225","DimensionId":3,"MemberId":718949073881268225,"Inc":""},"_vena_ControleIndelingPL_B1_R_3_718949073881268227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718949073881268227","DimensionId":3,"MemberId":718949073881268227,"Inc":""},"_vena_ControleIndelingPL_B1_R_3_718949073885462529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718949073885462529","DimensionId":3,"MemberId":718949073885462529,"Inc":""},"_vena_ControleIndelingPL_B1_R_3_718949073889656833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718949073889656833","DimensionId":3,"MemberId":718949073889656833,"Inc":""},"_vena_ControleIndelingPL_B1_R_3_718949073893851137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718949073893851137","DimensionId":3,"MemberId":718949073893851137,"Inc":""},"_vena_ControleIndelingPL_B1_R_3_718949073893851139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718949073893851139","DimensionId":3,"MemberId":718949073893851139,"Inc":""},"_vena_ControleIndelingPL_B1_R_3_718949073898045441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718949073898045441","DimensionId":3,"MemberId":718949073898045441,"Inc":""},"_vena_ControleIndelingPL_B1_R_3_718949073902239745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718949073902239745","DimensionId":3,"MemberId":718949073902239745,"Inc":""},"_vena_ControleIndelingPL_B1_R_3_718949073902239747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718949073902239747","DimensionId":3,"MemberId":718949073902239747,"Inc":""},"_vena_ControleIndelingPL_B1_R_3_718949073906434049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718949073906434049","DimensionId":3,"MemberId":718949073906434049,"Inc":""},"_vena_ControleIndelingPL_B1_R_3_718949073910628353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718949073910628353","DimensionId":3,"MemberId":718949073910628353,"Inc":""},"_vena_ControleIndelingPL_B1_R_3_718949073914822657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718949073914822657","DimensionId":3,"MemberId":718949073914822657,"Inc":""},"_vena_ControleIndelingPL_B1_R_3_718949073914822659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718949073914822659","DimensionId":3,"MemberId":718949073914822659,"Inc":""},"_vena_ControleIndelingPL_B1_R_3_718949073919016961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718949073919016961","DimensionId":3,"MemberId":718949073919016961,"Inc":""},"_vena_ControleIndelingPL_B1_R_3_718949073923211265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718949073923211265","DimensionId":3,"MemberId":718949073923211265,"Inc":""},"_vena_ControleIndelingPL_B1_R_3_718949073923211267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718949073923211267","DimensionId":3,"MemberId":718949073923211267,"Inc":""},"_vena_ControleIndelingPL_B1_R_3_718949073927405569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718949073927405569","DimensionId":3,"MemberId":718949073927405569,"Inc":""},"_vena_ControleIndelingPL_B1_R_3_718949073931599873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718949073931599873","DimensionId":3,"MemberId":718949073931599873,"Inc":""},"_vena_ControleIndelingPL_B1_R_3_718949073935794176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718949073935794176","DimensionId":3,"MemberId":718949073935794176,"Inc":""},"_vena_ControleIndelingPL_B1_R_3_718949073935794178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718949073935794178","DimensionId":3,"MemberId":718949073935794178,"Inc":""},"_vena_ControleIndelingPL_B1_R_3_718949073939988481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718949073939988481","DimensionId":3,"MemberId":718949073939988481,"Inc":""},"_vena_ControleIndelingPL_B1_R_3_718949073944182785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718949073944182785","DimensionId":3,"MemberId":718949073944182785,"Inc":""},"_vena_ControleIndelingPL_B1_R_3_718949073944182787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718949073944182787","DimensionId":3,"MemberId":718949073944182787,"Inc":""},"_vena_ControleIndelingPL_B1_R_3_718949073948377089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718949073948377089","DimensionId":3,"MemberId":718949073948377089,"Inc":""},"_vena_ControleIndelingPL_B1_R_3_718949073952571393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718949073952571393","DimensionId":3,"MemberId":718949073952571393,"Inc":""},"_vena_ControleIndelingPL_B1_R_3_718949073952571395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718949073952571395","DimensionId":3,"MemberId":718949073952571395,"Inc":""},"_vena_ControleIndelingPL_B1_R_3_718949073956765697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718949073956765697","DimensionId":3,"MemberId":718949073956765697,"Inc":""},"_vena_ControleIndelingPL_B1_R_3_718949073960960001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718949073960960001","DimensionId":3,"MemberId":718949073960960001,"Inc":""},"_vena_ControleIndelingPL_B1_R_3_718949073965154304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718949073965154304","DimensionId":3,"MemberId":718949073965154304,"Inc":""},"_vena_ControleIndelingPL_B1_R_3_718949073965154306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718949073965154306","DimensionId":3,"MemberId":718949073965154306,"Inc":""},"_vena_ControleIndelingPL_B1_R_3_718949073969348609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718949073969348609","DimensionId":3,"MemberId":718949073969348609,"Inc":""},"_vena_ControleIndelingPL_B1_R_3_718949073973542913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718949073973542913","DimensionId":3,"MemberId":718949073973542913,"Inc":""},"_vena_ControleIndelingPL_B1_R_3_718949073973542915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718949073973542915","DimensionId":3,"MemberId":718949073973542915,"Inc":""},"_vena_ControleIndelingPL_B1_R_3_718949073977737217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718949073977737217","DimensionId":3,"MemberId":718949073977737217,"Inc":""},"_vena_ControleIndelingPL_B1_R_3_718949073981931521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718949073981931521","DimensionId":3,"MemberId":718949073981931521,"Inc":""},"_vena_ControleIndelingPL_B1_R_3_718949073986125824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718949073986125824","DimensionId":3,"MemberId":718949073986125824,"Inc":""},"_vena_ControleIndelingPL_B1_R_3_718949073990320129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718949073990320129","DimensionId":3,"MemberId":718949073990320129,"Inc":""},"_vena_ControleIndelingPL_B1_R_3_718949073994514432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718949073994514432","DimensionId":3,"MemberId":718949073994514432,"Inc":""},"_vena_ControleIndelingPL_B1_R_3_718949073998708737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718949073998708737","DimensionId":3,"MemberId":718949073998708737,"Inc":""},"_vena_ControleIndelingPL_B1_R_3_718949073998708739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718949073998708739","DimensionId":3,"MemberId":718949073998708739,"Inc":""},"_vena_ControleIndelingPL_B1_R_3_718949074002903041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718949074002903041","DimensionId":3,"MemberId":718949074002903041,"Inc":""},"_vena_ControleIndelingPL_B1_R_3_718949074007097345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718949074007097345","DimensionId":3,"MemberId":718949074007097345,"Inc":""},"_vena_ControleIndelingPL_B1_R_3_718949074011291649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718949074011291649","DimensionId":3,"MemberId":718949074011291649,"Inc":""},"_vena_ControleIndelingPL_B1_R_3_718949074011291651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718949074011291651","DimensionId":3,"MemberId":718949074011291651,"Inc":""},"_vena_ControleIndelingPL_B1_R_3_718949074015485953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718949074015485953","DimensionId":3,"MemberId":718949074015485953,"Inc":""},"_vena_ControleIndelingPL_B1_R_3_718949074019680257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718949074019680257","DimensionId":3,"MemberId":718949074019680257,"Inc":""},"_vena_ControleIndelingPL_B1_R_3_718949074019680259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718949074019680259","DimensionId":3,"MemberId":718949074019680259,"Inc":""},"_vena_ControleIndelingPL_B1_R_3_718949074023874561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718949074023874561","DimensionId":3,"MemberId":718949074023874561,"Inc":""},"_vena_ControleIndelingPL_B1_R_3_718949074028068865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718949074028068865","DimensionId":3,"MemberId":718949074028068865,"Inc":""},"_vena_ControleIndelingPL_B1_R_3_718949074028068867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718949074028068867","DimensionId":3,"MemberId":718949074028068867,"Inc":""},"_vena_ControleIndelingPL_B1_R_3_718949074032263169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718949074032263169","DimensionId":3,"MemberId":718949074032263169,"Inc":""},"_vena_ControleIndelingPL_B1_R_3_718949074036457473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718949074036457473","DimensionId":3,"MemberId":718949074036457473,"Inc":""},"_vena_ControleIndelingPL_B1_R_3_718949074036457475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718949074036457475","DimensionId":3,"MemberId":718949074036457475,"Inc":""},"_vena_ControleIndelingPL_B1_R_3_718949074040651777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718949074040651777","DimensionId":3,"MemberId":718949074040651777,"Inc":""},"_vena_ControleIndelingPL_B1_R_3_718949074044846081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718949074044846081","DimensionId":3,"MemberId":718949074044846081,"Inc":""},"_vena_ControleIndelingPL_B1_R_3_718949074049040385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718949074049040385","DimensionId":3,"MemberId":718949074049040385,"Inc":""},"_vena_ControleIndelingPL_B1_R_3_718949074049040387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718949074049040387","DimensionId":3,"MemberId":718949074049040387,"Inc":""},"_vena_ControleIndelingPL_B1_R_3_718949074053234689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718949074053234689","DimensionId":3,"MemberId":718949074053234689,"Inc":""},"_vena_ControleIndelingPL_B1_R_3_718949074057428993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718949074057428993","DimensionId":3,"MemberId":718949074057428993,"Inc":""},"_vena_ControleIndelingPL_B1_R_3_718949074057428995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718949074057428995","DimensionId":3,"MemberId":718949074057428995,"Inc":""},"_vena_ControleIndelingPL_B1_R_3_718949074061623297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718949074061623297","DimensionId":3,"MemberId":718949074061623297,"Inc":""},"_vena_ControleIndelingPL_B1_R_3_718949074065817601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718949074065817601","DimensionId":3,"MemberId":718949074065817601,"Inc":""},"_vena_ControleIndelingPL_B1_R_3_718949074065817603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718949074065817603","DimensionId":3,"MemberId":718949074065817603,"Inc":""},"_vena_ControleIndelingPL_B1_R_3_718949074070011905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718949074070011905","DimensionId":3,"MemberId":718949074070011905,"Inc":""},"_vena_ControleIndelingPL_B1_R_3_718949074074206209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718949074074206209","DimensionId":3,"MemberId":718949074074206209,"Inc":""},"_vena_ControleIndelingPL_B1_R_3_718949074078400513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718949074078400513","DimensionId":3,"MemberId":718949074078400513,"Inc":""},"_vena_ControleIndelingPL_B1_R_3_718949074078400515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718949074078400515","DimensionId":3,"MemberId":718949074078400515,"Inc":""},"_vena_ControleIndelingPL_B1_R_3_718949074082594817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718949074082594817","DimensionId":3,"MemberId":718949074082594817,"Inc":""},"_vena_ControleIndelingPL_B1_R_3_718949074086789121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718949074086789121","DimensionId":3,"MemberId":718949074086789121,"Inc":""},"_vena_ControleIndelingPL_B1_R_3_718949074086789123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718949074086789123","DimensionId":3,"MemberId":718949074086789123,"Inc":""},"_vena_ControleIndelingPL_B1_R_3_718949074090983425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718949074090983425","DimensionId":3,"MemberId":718949074090983425,"Inc":""},"_vena_ControleIndelingPL_B1_R_3_718949074095177729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718949074095177729","DimensionId":3,"MemberId":718949074095177729,"Inc":""},"_vena_ControleIndelingPL_B1_R_3_718949074095177731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718949074095177731","DimensionId":3,"MemberId":718949074095177731,"Inc":""},"_vena_ControleIndelingPL_B1_R_3_718949074099372033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718949074099372033","DimensionId":3,"MemberId":718949074099372033,"Inc":""},"_vena_ControleIndelingPL_B1_R_3_718949074103566337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718949074103566337","DimensionId":3,"MemberId":718949074103566337,"Inc":""},"_vena_ControleIndelingPL_B1_R_3_718949074103566339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718949074103566339","DimensionId":3,"MemberId":718949074103566339,"Inc":""},"_vena_ControleIndelingPL_B1_R_3_718949074111954944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718949074111954944","DimensionId":3,"MemberId":718949074111954944,"Inc":""},"_vena_ControleIndelingPL_B1_R_3_718949074111954946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718949074111954946","DimensionId":3,"MemberId":718949074111954946,"Inc":""},"_vena_ControleIndelingPL_B1_R_3_718949074116149249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718949074116149249","DimensionId":3,"MemberId":718949074116149249,"Inc":""},"_vena_ControleIndelingPL_B1_R_3_718949074120343553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718949074120343553","DimensionId":3,"MemberId":718949074120343553,"Inc":""},"_vena_ControleIndelingPL_B1_R_3_718949074124537857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718949074124537857","DimensionId":3,"MemberId":718949074124537857,"Inc":""},"_vena_ControleIndelingPL_B1_R_3_718949074124537859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718949074124537859","DimensionId":3,"MemberId":718949074124537859,"Inc":""},"_vena_ControleIndelingPL_B1_R_3_718949074128732161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718949074128732161","DimensionId":3,"MemberId":718949074128732161,"Inc":""},"_vena_ControleIndelingPL_B1_R_3_718949074132926465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718949074132926465","DimensionId":3,"MemberId":718949074132926465,"Inc":""},"_vena_ControleIndelingPL_B1_R_3_718949074132926467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718949074132926467","DimensionId":3,"MemberId":718949074132926467,"Inc":""},"_vena_ControleIndelingPL_B1_R_3_718949074137120769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718949074137120769","DimensionId":3,"MemberId":718949074137120769,"Inc":""},"_vena_ControleIndelingPL_B1_R_3_718949074141315073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718949074141315073","DimensionId":3,"MemberId":718949074141315073,"Inc":""},"_vena_ControleIndelingPL_B1_R_3_718949074141315075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718949074141315075","DimensionId":3,"MemberId":718949074141315075,"Inc":""},"_vena_ControleIndelingPL_B1_R_3_718949074145509377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718949074145509377","DimensionId":3,"MemberId":718949074145509377,"Inc":""},"_vena_ControleIndelingPL_B1_R_3_718949074149703681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718949074149703681","DimensionId":3,"MemberId":718949074149703681,"Inc":""},"_vena_ControleIndelingPL_B1_R_3_718949074153897985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718949074153897985","DimensionId":3,"MemberId":718949074153897985,"Inc":""},"_vena_ControleIndelingPL_B1_R_3_718949074153897987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718949074153897987","DimensionId":3,"MemberId":718949074153897987,"Inc":""},"_vena_ControleIndelingPL_B1_R_3_718949074158092289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718949074158092289","DimensionId":3,"MemberId":718949074158092289,"Inc":""},"_vena_ControleIndelingPL_B1_R_3_718949074162286593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718949074162286593","DimensionId":3,"MemberId":718949074162286593,"Inc":""},"_vena_ControleIndelingPL_B1_R_3_718949074162286595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718949074162286595","DimensionId":3,"MemberId":718949074162286595,"Inc":""},"_vena_ControleIndelingPL_B1_R_3_718949074166480897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718949074166480897","DimensionId":3,"MemberId":718949074166480897,"Inc":""},"_vena_ControleIndelingPL_B1_R_3_718949074170675201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718949074170675201","DimensionId":3,"MemberId":718949074170675201,"Inc":""},"_vena_ControleIndelingPL_B1_R_3_718949074170675203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718949074170675203","DimensionId":3,"MemberId":718949074170675203,"Inc":""},"_vena_ControleIndelingPL_B1_R_3_718949074174869505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718949074174869505","DimensionId":3,"MemberId":718949074174869505,"Inc":""},"_vena_ControleIndelingPL_B1_R_3_718949074179063809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718949074179063809","DimensionId":3,"MemberId":718949074179063809,"Inc":""},"_vena_ControleIndelingPL_B1_R_3_718949074179063811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718949074179063811","DimensionId":3,"MemberId":718949074179063811,"Inc":""},"_vena_ControleIndelingPL_B1_R_3_718949074183258113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718949074183258113","DimensionId":3,"MemberId":718949074183258113,"Inc":""},"_vena_ControleIndelingPL_B1_R_3_718949074187452417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718949074187452417","DimensionId":3,"MemberId":718949074187452417,"Inc":""},"_vena_ControleIndelingPL_B1_R_3_718949074191646721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718949074191646721","DimensionId":3,"MemberId":718949074191646721,"Inc":""},"_vena_ControleIndelingPL_B1_R_3_718949074191646723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718949074191646723","DimensionId":3,"MemberId":718949074191646723,"Inc":""},"_vena_ControleIndelingPL_B1_R_3_718949074195841025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718949074195841025","DimensionId":3,"MemberId":718949074195841025,"Inc":""},"_vena_ControleIndelingPL_B1_R_3_718949074200035329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718949074200035329","DimensionId":3,"MemberId":718949074200035329,"Inc":""},"_vena_ControleIndelingPL_B1_R_3_718949074200035331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718949074200035331","DimensionId":3,"MemberId":718949074200035331,"Inc":""},"_vena_ControleIndelingPL_B1_R_3_718949074204229633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718949074204229633","DimensionId":3,"MemberId":718949074204229633,"Inc":""},"_vena_ControleIndelingPL_B1_R_3_718949074208423937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718949074208423937","DimensionId":3,"MemberId":718949074208423937,"Inc":""},"_vena_ControleIndelingPL_B1_R_3_718949074212618241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718949074212618241","DimensionId":3,"MemberId":718949074212618241,"Inc":""},"_vena_ControleIndelingPL_B1_R_3_718949074212618243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718949074212618243","DimensionId":3,"MemberId":718949074212618243,"Inc":""},"_vena_ControleIndelingPL_B1_R_3_718949074221006848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718949074221006848","DimensionId":3,"MemberId":718949074221006848,"Inc":""},"_vena_ControleIndelingPL_B1_R_3_718949074221006851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718949074221006851","DimensionId":3,"MemberId":718949074221006851,"Inc":""},"_vena_ControleIndelingPL_B1_R_3_718949074225201153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718949074225201153","DimensionId":3,"MemberId":718949074225201153,"Inc":""},"_vena_ControleIndelingPL_B1_R_3_718949074229395457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718949074229395457","DimensionId":3,"MemberId":718949074229395457,"Inc":""},"_vena_ControleIndelingPL_B1_R_3_718949074229395459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718949074229395459","DimensionId":3,"MemberId":718949074229395459,"Inc":""},"_vena_ControleIndelingPL_B1_R_3_718949074233589761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718949074233589761","DimensionId":3,"MemberId":718949074233589761,"Inc":""},"_vena_ControleIndelingPL_B1_R_3_718949074237784065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718949074237784065","DimensionId":3,"MemberId":718949074237784065,"Inc":""},"_vena_ControleIndelingPL_B1_R_3_718949074237784067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718949074237784067","DimensionId":3,"MemberId":718949074237784067,"Inc":""},"_vena_ControleIndelingPL_B1_R_3_718949074241978369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718949074241978369","DimensionId":3,"MemberId":718949074241978369,"Inc":""},"_vena_ControleIndelingPL_B1_R_3_718949074246172673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718949074246172673","DimensionId":3,"MemberId":718949074246172673,"Inc":""},"_vena_ControleIndelingPL_B1_R_3_718949074246172675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718949074246172675","DimensionId":3,"MemberId":718949074246172675,"Inc":""},"_vena_ControleIndelingPL_B1_R_3_718949074250366977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718949074250366977","DimensionId":3,"MemberId":718949074250366977,"Inc":""},"_vena_ControleIndelingPL_B1_R_3_718949074254561281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718949074254561281","DimensionId":3,"MemberId":718949074254561281,"Inc":""},"_vena_ControleIndelingPL_B1_R_3_718949074258755585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718949074258755585","DimensionId":3,"MemberId":718949074258755585,"Inc":""},"_vena_ControleIndelingPL_B1_R_3_718949074258755587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718949074258755587","DimensionId":3,"MemberId":718949074258755587,"Inc":""},"_vena_ControleIndelingPL_B1_R_3_718949074262949889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718949074262949889","DimensionId":3,"MemberId":718949074262949889,"Inc":""},"_vena_ControleIndelingPL_B1_R_3_718949074267144193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718949074267144193","DimensionId":3,"MemberId":718949074267144193,"Inc":""},"_vena_ControleIndelingPL_B1_R_3_718949074267144195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718949074267144195","DimensionId":3,"MemberId":718949074267144195,"Inc":""},"_vena_ControleIndelingPL_B1_R_3_718949074271338497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718949074271338497","DimensionId":3,"MemberId":718949074271338497,"Inc":""},"_vena_ControleIndelingPL_B1_R_3_738101605178277888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738101605178277888","DimensionId":3,"MemberId":738101605178277888,"Inc":""},"_vena_ControleIndelingPL_B1_R_3_738101643779637251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738101643779637251","DimensionId":3,"MemberId":738101643779637251,"Inc":""},"_vena_ControleIndelingPL_B1_R_3_738101800095187049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738101800095187049","DimensionId":3,"MemberId":738101800095187049,"Inc":""},"_vena_ControleIndelingPL_B1_R_3_741036978346524672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741036978346524672","DimensionId":3,"MemberId":741036978346524672,"Inc":""},"_vena_ControleIndelingPL_B1_R_3_741036978350718977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741036978350718977","DimensionId":3,"MemberId":741036978350718977,"Inc":""},"_vena_ControleIndelingPL_B1_R_3_741036978350718979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741036978350718979","DimensionId":3,"MemberId":741036978350718979,"Inc":""},"_vena_ControleIndelingPL_B1_R_3_741036978354913281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741036978354913281","DimensionId":3,"MemberId":741036978354913281,"Inc":""},"_vena_ControleIndelingPL_B1_R_3_741036978354913283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741036978354913283","DimensionId":3,"MemberId":741036978354913283,"Inc":""},"_vena_ControleIndelingPL_B1_R_3_741036978354913285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741036978354913285","DimensionId":3,"MemberId":741036978354913285,"Inc":""},"_vena_ControleIndelingPL_B1_R_3_741036978359107585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741036978359107585","DimensionId":3,"MemberId":741036978359107585,"Inc":""},"_vena_ControleIndelingPL_B1_R_3_741036978359107587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741036978359107587","DimensionId":3,"MemberId":741036978359107587,"Inc":""},"_vena_ControleIndelingPL_B1_R_3_741036978359107589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741036978359107589","DimensionId":3,"MemberId":741036978359107589,"Inc":""},"_vena_ControleIndelingPL_B1_R_3_741036978363301889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741036978363301889","DimensionId":3,"MemberId":741036978363301889,"Inc":""},"_vena_ControleIndelingPL_B1_R_3_741036978363301891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741036978363301891","DimensionId":3,"MemberId":741036978363301891,"Inc":""},"_vena_ControleIndelingPL_B1_R_3_741036978367496193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741036978367496193","DimensionId":3,"MemberId":741036978367496193,"Inc":""},"_vena_ControleIndelingPL_B1_R_3_741036978367496195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741036978367496195","DimensionId":3,"MemberId":741036978367496195,"Inc":""},"_vena_ControleIndelingPL_B1_R_3_741036978367496197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741036978367496197","DimensionId":3,"MemberId":741036978367496197,"Inc":""},"_vena_ControleIndelingPL_B1_R_3_741036978371690497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741036978371690497","DimensionId":3,"MemberId":741036978371690497,"Inc":""},"_vena_ControleIndelingPL_B1_R_3_741036978371690499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741036978371690499","DimensionId":3,"MemberId":741036978371690499,"Inc":""},"_vena_ControleIndelingPL_B1_R_3_741036978375884801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741036978375884801","DimensionId":3,"MemberId":741036978375884801,"Inc":""},"_vena_ControleIndelingPL_B1_R_3_741036978375884803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741036978375884803","DimensionId":3,"MemberId":741036978375884803,"Inc":""},"_vena_ControleIndelingPL_B1_R_3_741036978375884805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741036978375884805","DimensionId":3,"MemberId":741036978375884805,"Inc":""},"_vena_ControleIndelingPL_B1_R_3_741036978380079105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741036978380079105","DimensionId":3,"MemberId":741036978380079105,"Inc":""},"_vena_ControleIndelingPL_B1_R_3_741036978380079107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741036978380079107","DimensionId":3,"MemberId":741036978380079107,"Inc":""},"_vena_ControleIndelingPL_B1_R_3_741036978380079109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741036978380079109","DimensionId":3,"MemberId":741036978380079109,"Inc":""},"_vena_ControleIndelingPL_B1_R_3_741036978384273409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741036978384273409","DimensionId":3,"MemberId":741036978384273409,"Inc":""},"_vena_ControleIndelingPL_B1_R_3_741036978384273411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741036978384273411","DimensionId":3,"MemberId":741036978384273411,"Inc":""},"_vena_ControleIndelingPL_B1_R_3_741036978384273413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741036978384273413","DimensionId":3,"MemberId":741036978384273413,"Inc":""},"_vena_ControleIndelingPL_B1_R_3_741036978388467713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741036978388467713","DimensionId":3,"MemberId":741036978388467713,"Inc":""},"_vena_ControleIndelingPL_B1_R_3_741036978388467715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741036978388467715","DimensionId":3,"MemberId":741036978388467715,"Inc":""},"_vena_ControleIndelingPL_B1_R_3_741036978392662016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741036978392662016","DimensionId":3,"MemberId":741036978392662016,"Inc":""},"_vena_ControleIndelingPL_B1_R_3_745374605280018432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745374605280018432","DimensionId":3,"MemberId":745374605280018432,"Inc":""},"_vena_ControleIndelingPL_B1_R_3_745375016732721152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745375016732721152","DimensionId":3,"MemberId":745375016732721152,"Inc":""},"_vena_ControleIndelingPL_B1_R_3_745375106469593088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745375106469593088","DimensionId":3,"MemberId":745375106469593088,"Inc":""},"_vena_ControleIndelingPL_B1_R_3_787067506366873601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787067506366873601","DimensionId":3,"MemberId":787067506366873601,"Inc":""},"_vena_ControleIndelingPL_B1_R_3_787067506375262209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787067506375262209","DimensionId":3,"MemberId":787067506375262209,"Inc":""},"_vena_ControleIndelingPL_B1_R_3_787067506396233730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787067506396233730","DimensionId":3,"MemberId":787067506396233730,"Inc":""},"_vena_ControleIndelingPL_B1_R_3_787067506400428033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787067506400428033","DimensionId":3,"MemberId":787067506400428033,"Inc":""},"_vena_ControleIndelingPL_B1_R_3_787067506425593862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787067506425593862","DimensionId":3,"MemberId":787067506425593862,"Inc":""},"_vena_ControleIndelingPL_B1_R_3_787067506429788172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787067506429788172","DimensionId":3,"MemberId":787067506429788172,"Inc":""},"_vena_ControleIndelingPL_B1_R_3_787067506442371085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787067506442371085","DimensionId":3,"MemberId":787067506442371085,"Inc":""},"_vena_ControleIndelingPL_B1_R_3_787067506459148326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787067506459148326","DimensionId":3,"MemberId":787067506459148326,"Inc":""},"_vena_ControleIndelingPL_B1_R_3_787067506467536902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787067506467536902","DimensionId":3,"MemberId":787067506467536902,"Inc":""},"_vena_ControleIndelingPL_B1_R_3_787067506484314126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787067506484314126","DimensionId":3,"MemberId":787067506484314126,"Inc":""},"_vena_ControleIndelingPL_B1_R_3_787067506509479942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787067506509479942","DimensionId":3,"MemberId":787067506509479942,"Inc":""},"_vena_ControleIndelingPL_B1_R_3_787067506526257152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787067506526257152","DimensionId":3,"MemberId":787067506526257152,"Inc":""},"_vena_ControleIndelingPL_B1_R_3_848292094858231812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848292094858231812","DimensionId":3,"MemberId":848292094858231812,"Inc":""},"_vena_ControleIndelingPL_B1_R_3_947147459226107910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947147459226107910","DimensionId":3,"MemberId":947147459226107910,"Inc":""},"_vena_ControleIndelingPL_B1_R_3_947147459238690817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947147459238690817","DimensionId":3,"MemberId":947147459238690817,"Inc":""},"_vena_ControleIndelingPL_B1_R_3_947147459259662336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947147459259662336","DimensionId":3,"MemberId":947147459259662336,"Inc":""},"_vena_ControleIndelingPL_B1_R_3_947147459272245252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947147459272245252","DimensionId":3,"MemberId":947147459272245252,"Inc":""},"_vena_ControleIndelingPL_B1_R_3_947147459276439554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947147459276439554","DimensionId":3,"MemberId":947147459276439554,"Inc":""},"_vena_ControleIndelingPL_B1_R_3_947147459284828166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947147459284828166","DimensionId":3,"MemberId":947147459284828166,"Inc":""},"_vena_ControleIndelingPL_B1_R_3_947147459297411075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947147459297411075","DimensionId":3,"MemberId":947147459297411075,"Inc":""},"_vena_ControleIndelingPL_B1_R_3_947147459318382595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947147459318382595","DimensionId":3,"MemberId":947147459318382595,"Inc":""},"_vena_ControleIndelingPL_B1_R_3_947147459322576897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947147459322576897","DimensionId":3,"MemberId":947147459322576897,"Inc":""},"_vena_ControleIndelingPL_B1_R_3_947147459377102859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947147459377102859","DimensionId":3,"MemberId":947147459377102859,"Inc":""},"_vena_ControleIndelingPL_B1_R_3_947147459385491457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947147459385491457","DimensionId":3,"MemberId":947147459385491457,"Inc":""},"_vena_ControleIndelingPL_B1_R_3_982737416803450901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982737416803450901","DimensionId":3,"MemberId":982737416803450901,"Inc":""},"_vena_ControleIndelingPL_B1_R_3_982737416811839488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982737416811839488","DimensionId":3,"MemberId":982737416811839488,"Inc":""},"_vena_ControleIndelingPL_B1_R_3_982737416862171137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B1","VenaRangeType":1,"DimensionIdStr":"3","MemberIdStr":"982737416862171137","DimensionId":3,"MemberId":982737416862171137,"Inc":""},"_vena_ControleIndelingPL_P_4_718931129058590721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VenaRangeType":0,"DimensionIdStr":"4","MemberIdStr":"718931129058590721","DimensionId":4,"MemberId":718931129058590721,"Inc":""},"_vena_ControleIndelingPL_P_5_718931142656917509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VenaRangeType":0,"DimensionIdStr":"5","MemberIdStr":"718931142656917509","DimensionId":5,"MemberId":718931142656917509,"Inc":""},"_vena_ControleIndelingPL_P_6_730565783391305729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VenaRangeType":0,"DimensionIdStr":"6","MemberIdStr":"730565783391305729","DimensionId":6,"MemberId":730565783391305729,"Inc":""},"_vena_ControleIndelingPL_P_7_720673044374355968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BlockName":"","VenaRangeType":0,"DimensionIdStr":"7","MemberIdStr":"720673044374355968","DimensionId":7,"MemberId":720673044374355968,"Inc":""},"_vena_ControleIndelingPLNomUL_B1_C_FV_18833718d1654aadbc8e26067c178bd5":{"SourceGlobalVariableId":-1,"SourceFormVariableId":"18833718-d165-4aad-bc8e-26067c178bd5","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2,"DimensionIdStr":"FV","MemberIdStr":"18833718d1654aadbc8e26067c178bd5","DimensionId":-1,"MemberId":-1,"Inc":""},"_vena_ControleIndelingPLNomUL_B1_C_FV_a29e5bcf45ca496da8833af34d35696d":{"SourceGlobalVariableId":-1,"SourceFormVariableId":"a29e5bcf-45ca-496d-a883-3af34d35696d","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2,"DimensionIdStr":"FV","MemberIdStr":"a29e5bcf45ca496da8833af34d35696d","DimensionId":-1,"MemberId":-1,"Inc":""},"_vena_ControleIndelingPLNomUL_B1_R_3_1015700822930489354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1015700822930489354","DimensionId":3,"MemberId":1015700822930489354,"Inc":""},"_vena_ControleIndelingPLNomUL_B1_R_3_1015700822968238094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1015700822968238094","DimensionId":3,"MemberId":1015700822968238094,"Inc":""},"_vena_ControleIndelingPLNomUL_B1_R_3_718947653497389058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718947653497389058","DimensionId":3,"MemberId":718947653497389058,"Inc":""},"_vena_ControleIndelingPLNomUL_B1_R_3_718947653505777666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718947653505777666","DimensionId":3,"MemberId":718947653505777666,"Inc":""},"_vena_ControleIndelingPLNomUL_B1_R_3_718947653509971971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718947653509971971","DimensionId":3,"MemberId":718947653509971971,"Inc":""},"_vena_ControleIndelingPLNomUL_B1_R_3_718949073356980224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718949073356980224","DimensionId":3,"MemberId":718949073356980224,"Inc":""},"_vena_ControleIndelingPLNomUL_B1_R_3_718949073365368832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718949073365368832","DimensionId":3,"MemberId":718949073365368832,"Inc":""},"_vena_ControleIndelingPLNomUL_B1_R_3_718949073369563137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718949073369563137","DimensionId":3,"MemberId":718949073369563137,"Inc":""},"_vena_ControleIndelingPLNomUL_B1_R_3_718949073373757441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718949073373757441","DimensionId":3,"MemberId":718949073373757441,"Inc":""},"_vena_ControleIndelingPLNomUL_B1_R_3_718949073373757443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718949073373757443","DimensionId":3,"MemberId":718949073373757443,"Inc":""},"_vena_ControleIndelingPLNomUL_B1_R_3_718949073377951745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718949073377951745","DimensionId":3,"MemberId":718949073377951745,"Inc":""},"_vena_ControleIndelingPLNomUL_B1_R_3_718949073382146049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718949073382146049","DimensionId":3,"MemberId":718949073382146049,"Inc":""},"_vena_ControleIndelingPLNomUL_B1_R_3_718949073382146051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718949073382146051","DimensionId":3,"MemberId":718949073382146051,"Inc":""},"_vena_ControleIndelingPLNomUL_B1_R_3_718949073386340353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718949073386340353","DimensionId":3,"MemberId":718949073386340353,"Inc":""},"_vena_ControleIndelingPLNomUL_B1_R_3_718949073390534657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718949073390534657","DimensionId":3,"MemberId":718949073390534657,"Inc":""},"_vena_ControleIndelingPLNomUL_B1_R_3_718949073394728961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718949073394728961","DimensionId":3,"MemberId":718949073394728961,"Inc":""},"_vena_ControleIndelingPLNomUL_B1_R_3_718949073394728963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718949073394728963","DimensionId":3,"MemberId":718949073394728963,"Inc":""},"_vena_ControleIndelingPLNomUL_B1_R_3_718949073398923265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718949073398923265","DimensionId":3,"MemberId":718949073398923265,"Inc":""},"_vena_ControleIndelingPLNomUL_B1_R_3_718949073403117569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718949073403117569","DimensionId":3,"MemberId":718949073403117569,"Inc":""},"_vena_ControleIndelingPLNomUL_B1_R_3_718949073407311872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718949073407311872","DimensionId":3,"MemberId":718949073407311872,"Inc":""},"_vena_ControleIndelingPLNomUL_B1_R_3_718949073411506177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718949073411506177","DimensionId":3,"MemberId":718949073411506177,"Inc":""},"_vena_ControleIndelingPLNomUL_B1_R_3_718949073415700481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718949073415700481","DimensionId":3,"MemberId":718949073415700481,"Inc":""},"_vena_ControleIndelingPLNomUL_B1_R_3_718949073415700483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718949073415700483","DimensionId":3,"MemberId":718949073415700483,"Inc":""},"_vena_ControleIndelingPLNomUL_B1_R_3_718949073419894785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718949073419894785","DimensionId":3,"MemberId":718949073419894785,"Inc":""},"_vena_ControleIndelingPLNomUL_B1_R_3_718949073424089089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718949073424089089","DimensionId":3,"MemberId":718949073424089089,"Inc":""},"_vena_ControleIndelingPLNomUL_B1_R_3_718949073424089091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718949073424089091","DimensionId":3,"MemberId":718949073424089091,"Inc":""},"_vena_ControleIndelingPLNomUL_B1_R_3_718949073428283393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718949073428283393","DimensionId":3,"MemberId":718949073428283393,"Inc":""},"_vena_ControleIndelingPLNomUL_B1_R_3_718949073432477697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718949073432477697","DimensionId":3,"MemberId":718949073432477697,"Inc":""},"_vena_ControleIndelingPLNomUL_B1_R_3_718949073432477699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718949073432477699","DimensionId":3,"MemberId":718949073432477699,"Inc":""},"_vena_ControleIndelingPLNomUL_B1_R_3_718949073436672001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718949073436672001","DimensionId":3,"MemberId":718949073436672001,"Inc":""},"_vena_ControleIndelingPLNomUL_B1_R_3_718949073440866305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718949073440866305","DimensionId":3,"MemberId":718949073440866305,"Inc":""},"_vena_ControleIndelingPLNomUL_B1_R_3_718949073440866307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718949073440866307","DimensionId":3,"MemberId":718949073440866307,"Inc":""},"_vena_ControleIndelingPLNomUL_B1_R_3_718949073445060609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718949073445060609","DimensionId":3,"MemberId":718949073445060609,"Inc":""},"_vena_ControleIndelingPLNomUL_B1_R_3_718949073449254913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718949073449254913","DimensionId":3,"MemberId":718949073449254913,"Inc":""},"_vena_ControleIndelingPLNomUL_B1_R_3_718949073453449218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718949073453449218","DimensionId":3,"MemberId":718949073453449218,"Inc":""},"_vena_ControleIndelingPLNomUL_B1_R_3_718949073457643521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718949073457643521","DimensionId":3,"MemberId":718949073457643521,"Inc":""},"_vena_ControleIndelingPLNomUL_B1_R_3_718949073457643523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718949073457643523","DimensionId":3,"MemberId":718949073457643523,"Inc":""},"_vena_ControleIndelingPLNomUL_B1_R_3_718949073461837825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718949073461837825","DimensionId":3,"MemberId":718949073461837825,"Inc":""},"_vena_ControleIndelingPLNomUL_B1_R_3_718949073466032129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718949073466032129","DimensionId":3,"MemberId":718949073466032129,"Inc":""},"_vena_ControleIndelingPLNomUL_B1_R_3_718949073466032131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718949073466032131","DimensionId":3,"MemberId":718949073466032131,"Inc":""},"_vena_ControleIndelingPLNomUL_B1_R_3_718949073470226433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718949073470226433","DimensionId":3,"MemberId":718949073470226433,"Inc":""},"_vena_ControleIndelingPLNomUL_B1_R_3_718949073474420737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718949073474420737","DimensionId":3,"MemberId":718949073474420737,"Inc":""},"_vena_ControleIndelingPLNomUL_B1_R_3_718949073478615041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718949073478615041","DimensionId":3,"MemberId":718949073478615041,"Inc":""},"_vena_ControleIndelingPLNomUL_B1_R_3_718949073478615043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718949073478615043","DimensionId":3,"MemberId":718949073478615043,"Inc":""},"_vena_ControleIndelingPLNomUL_B1_R_3_718949073482809345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718949073482809345","DimensionId":3,"MemberId":718949073482809345,"Inc":""},"_vena_ControleIndelingPLNomUL_B1_R_3_718949073487003649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718949073487003649","DimensionId":3,"MemberId":718949073487003649,"Inc":""},"_vena_ControleIndelingPLNomUL_B1_R_3_718949073487003651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718949073487003651","DimensionId":3,"MemberId":718949073487003651,"Inc":""},"_vena_ControleIndelingPLNomUL_B1_R_3_718949073491197953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718949073491197953","DimensionId":3,"MemberId":718949073491197953,"Inc":""},"_vena_ControleIndelingPLNomUL_B1_R_3_718949073499586560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718949073499586560","DimensionId":3,"MemberId":718949073499586560,"Inc":""},"_vena_ControleIndelingPLNomUL_B1_R_3_718949073499586562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718949073499586562","DimensionId":3,"MemberId":718949073499586562,"Inc":""},"_vena_ControleIndelingPLNomUL_B1_R_3_718949073503780865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718949073503780865","DimensionId":3,"MemberId":718949073503780865,"Inc":""},"_vena_ControleIndelingPLNomUL_B1_R_3_718949073507975169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718949073507975169","DimensionId":3,"MemberId":718949073507975169,"Inc":""},"_vena_ControleIndelingPLNomUL_B1_R_3_718949073507975171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718949073507975171","DimensionId":3,"MemberId":718949073507975171,"Inc":""},"_vena_ControleIndelingPLNomUL_B1_R_3_718949073512169473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718949073512169473","DimensionId":3,"MemberId":718949073512169473,"Inc":""},"_vena_ControleIndelingPLNomUL_B1_R_3_718949073516363777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718949073516363777","DimensionId":3,"MemberId":718949073516363777,"Inc":""},"_vena_ControleIndelingPLNomUL_B1_R_3_718949073520558081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718949073520558081","DimensionId":3,"MemberId":718949073520558081,"Inc":""},"_vena_ControleIndelingPLNomUL_B1_R_3_718949073520558083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718949073520558083","DimensionId":3,"MemberId":718949073520558083,"Inc":""},"_vena_ControleIndelingPLNomUL_B1_R_3_718949073524752385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718949073524752385","DimensionId":3,"MemberId":718949073524752385,"Inc":""},"_vena_ControleIndelingPLNomUL_B1_R_3_718949073528946689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718949073528946689","DimensionId":3,"MemberId":718949073528946689,"Inc":""},"_vena_ControleIndelingPLNomUL_B1_R_3_718949073528946691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718949073528946691","DimensionId":3,"MemberId":718949073528946691,"Inc":""},"_vena_ControleIndelingPLNomUL_B1_R_3_718949073533140993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718949073533140993","DimensionId":3,"MemberId":718949073533140993,"Inc":""},"_vena_ControleIndelingPLNomUL_B1_R_3_718949073537335297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718949073537335297","DimensionId":3,"MemberId":718949073537335297,"Inc":""},"_vena_ControleIndelingPLNomUL_B1_R_3_718949073537335299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718949073537335299","DimensionId":3,"MemberId":718949073537335299,"Inc":""},"_vena_ControleIndelingPLNomUL_B1_R_3_718949073541529601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718949073541529601","DimensionId":3,"MemberId":718949073541529601,"Inc":""},"_vena_ControleIndelingPLNomUL_B1_R_3_718949073545723905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718949073545723905","DimensionId":3,"MemberId":718949073545723905,"Inc":""},"_vena_ControleIndelingPLNomUL_B1_R_3_718949073549918209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718949073549918209","DimensionId":3,"MemberId":718949073549918209,"Inc":""},"_vena_ControleIndelingPLNomUL_B1_R_3_718949073558306816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718949073558306816","DimensionId":3,"MemberId":718949073558306816,"Inc":""},"_vena_ControleIndelingPLNomUL_B1_R_3_718949073558306818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718949073558306818","DimensionId":3,"MemberId":718949073558306818,"Inc":""},"_vena_ControleIndelingPLNomUL_B1_R_3_718949073566695424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718949073566695424","DimensionId":3,"MemberId":718949073566695424,"Inc":""},"_vena_ControleIndelingPLNomUL_B1_R_3_718949073566695426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718949073566695426","DimensionId":3,"MemberId":718949073566695426,"Inc":""},"_vena_ControleIndelingPLNomUL_B1_R_3_718949073575084032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718949073575084032","DimensionId":3,"MemberId":718949073575084032,"Inc":""},"_vena_ControleIndelingPLNomUL_B1_R_3_718949073575084034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718949073575084034","DimensionId":3,"MemberId":718949073575084034,"Inc":""},"_vena_ControleIndelingPLNomUL_B1_R_3_718949073579278337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718949073579278337","DimensionId":3,"MemberId":718949073579278337,"Inc":""},"_vena_ControleIndelingPLNomUL_B1_R_3_718949073583472641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718949073583472641","DimensionId":3,"MemberId":718949073583472641,"Inc":""},"_vena_ControleIndelingPLNomUL_B1_R_3_718949073583472643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718949073583472643","DimensionId":3,"MemberId":718949073583472643,"Inc":""},"_vena_ControleIndelingPLNomUL_B1_R_3_718949073591861248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718949073591861248","DimensionId":3,"MemberId":718949073591861248,"Inc":""},"_vena_ControleIndelingPLNomUL_B1_R_3_718949073596055552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718949073596055552","DimensionId":3,"MemberId":718949073596055552,"Inc":""},"_vena_ControleIndelingPLNomUL_B1_R_3_718949073600249857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718949073600249857","DimensionId":3,"MemberId":718949073600249857,"Inc":""},"_vena_ControleIndelingPLNomUL_B1_R_3_718949073608638464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718949073608638464","DimensionId":3,"MemberId":718949073608638464,"Inc":""},"_vena_ControleIndelingPLNomUL_B1_R_3_718949073608638466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718949073608638466","DimensionId":3,"MemberId":718949073608638466,"Inc":""},"_vena_ControleIndelingPLNomUL_B1_R_3_718949073612832769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718949073612832769","DimensionId":3,"MemberId":718949073612832769,"Inc":""},"_vena_ControleIndelingPLNomUL_B1_R_3_718949073617027073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718949073617027073","DimensionId":3,"MemberId":718949073617027073,"Inc":""},"_vena_ControleIndelingPLNomUL_B1_R_3_718949073621221376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718949073621221376","DimensionId":3,"MemberId":718949073621221376,"Inc":""},"_vena_ControleIndelingPLNomUL_B1_R_3_718949073625415681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718949073625415681","DimensionId":3,"MemberId":718949073625415681,"Inc":""},"_vena_ControleIndelingPLNomUL_B1_R_3_718949073629609985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718949073629609985","DimensionId":3,"MemberId":718949073629609985,"Inc":""},"_vena_ControleIndelingPLNomUL_B1_R_3_718949073633804289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718949073633804289","DimensionId":3,"MemberId":718949073633804289,"Inc":""},"_vena_ControleIndelingPLNomUL_B1_R_3_718949073637998593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718949073637998593","DimensionId":3,"MemberId":718949073637998593,"Inc":""},"_vena_ControleIndelingPLNomUL_B1_R_3_718949073637998595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718949073637998595","DimensionId":3,"MemberId":718949073637998595,"Inc":""},"_vena_ControleIndelingPLNomUL_B1_R_3_718949073642192897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718949073642192897","DimensionId":3,"MemberId":718949073642192897,"Inc":""},"_vena_ControleIndelingPLNomUL_B1_R_3_718949073646387201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718949073646387201","DimensionId":3,"MemberId":718949073646387201,"Inc":""},"_vena_ControleIndelingPLNomUL_B1_R_3_718949073650581505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718949073650581505","DimensionId":3,"MemberId":718949073650581505,"Inc":""},"_vena_ControleIndelingPLNomUL_B1_R_3_718949073654775809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718949073654775809","DimensionId":3,"MemberId":718949073654775809,"Inc":""},"_vena_ControleIndelingPLNomUL_B1_R_3_718949073654775811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718949073654775811","DimensionId":3,"MemberId":718949073654775811,"Inc":""},"_vena_ControleIndelingPLNomUL_B1_R_3_718949073658970113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718949073658970113","DimensionId":3,"MemberId":718949073658970113,"Inc":""},"_vena_ControleIndelingPLNomUL_B1_R_3_718949073663164417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718949073663164417","DimensionId":3,"MemberId":718949073663164417,"Inc":""},"_vena_ControleIndelingPLNomUL_B1_R_3_718949073667358721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718949073667358721","DimensionId":3,"MemberId":718949073667358721,"Inc":""},"_vena_ControleIndelingPLNomUL_B1_R_3_718949073667358723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718949073667358723","DimensionId":3,"MemberId":718949073667358723,"Inc":""},"_vena_ControleIndelingPLNomUL_B1_R_3_718949073671553025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718949073671553025","DimensionId":3,"MemberId":718949073671553025,"Inc":""},"_vena_ControleIndelingPLNomUL_B1_R_3_718949073675747329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718949073675747329","DimensionId":3,"MemberId":718949073675747329,"Inc":""},"_vena_ControleIndelingPLNomUL_B1_R_3_718949073679941633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718949073679941633","DimensionId":3,"MemberId":718949073679941633,"Inc":""},"_vena_ControleIndelingPLNomUL_B1_R_3_718949073684135937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718949073684135937","DimensionId":3,"MemberId":718949073684135937,"Inc":""},"_vena_ControleIndelingPLNomUL_B1_R_3_718949073684135939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718949073684135939","DimensionId":3,"MemberId":718949073684135939,"Inc":""},"_vena_ControleIndelingPLNomUL_B1_R_3_718949073688330241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718949073688330241","DimensionId":3,"MemberId":718949073688330241,"Inc":""},"_vena_ControleIndelingPLNomUL_B1_R_3_718949073692524545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718949073692524545","DimensionId":3,"MemberId":718949073692524545,"Inc":""},"_vena_ControleIndelingPLNomUL_B1_R_3_718949073696718849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718949073696718849","DimensionId":3,"MemberId":718949073696718849,"Inc":""},"_vena_ControleIndelingPLNomUL_B1_R_3_718949073696718851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718949073696718851","DimensionId":3,"MemberId":718949073696718851,"Inc":""},"_vena_ControleIndelingPLNomUL_B1_R_3_718949073700913153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718949073700913153","DimensionId":3,"MemberId":718949073700913153,"Inc":""},"_vena_ControleIndelingPLNomUL_B1_R_3_718949073705107457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718949073705107457","DimensionId":3,"MemberId":718949073705107457,"Inc":""},"_vena_ControleIndelingPLNomUL_B1_R_3_718949073705107459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718949073705107459","DimensionId":3,"MemberId":718949073705107459,"Inc":""},"_vena_ControleIndelingPLNomUL_B1_R_3_718949073709301761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718949073709301761","DimensionId":3,"MemberId":718949073709301761,"Inc":""},"_vena_ControleIndelingPLNomUL_B1_R_3_718949073713496065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718949073713496065","DimensionId":3,"MemberId":718949073713496065,"Inc":""},"_vena_ControleIndelingPLNomUL_B1_R_3_718949073713496067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718949073713496067","DimensionId":3,"MemberId":718949073713496067,"Inc":""},"_vena_ControleIndelingPLNomUL_B1_R_3_718949073717690369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718949073717690369","DimensionId":3,"MemberId":718949073717690369,"Inc":""},"_vena_ControleIndelingPLNomUL_B1_R_3_718949073721884673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718949073721884673","DimensionId":3,"MemberId":718949073721884673,"Inc":""},"_vena_ControleIndelingPLNomUL_B1_R_3_718949073726078977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718949073726078977","DimensionId":3,"MemberId":718949073726078977,"Inc":""},"_vena_ControleIndelingPLNomUL_B1_R_3_718949073726078979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718949073726078979","DimensionId":3,"MemberId":718949073726078979,"Inc":""},"_vena_ControleIndelingPLNomUL_B1_R_3_718949073730273281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718949073730273281","DimensionId":3,"MemberId":718949073730273281,"Inc":""},"_vena_ControleIndelingPLNomUL_B1_R_3_718949073734467585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718949073734467585","DimensionId":3,"MemberId":718949073734467585,"Inc":""},"_vena_ControleIndelingPLNomUL_B1_R_3_718949073734467587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718949073734467587","DimensionId":3,"MemberId":718949073734467587,"Inc":""},"_vena_ControleIndelingPLNomUL_B1_R_3_718949073738661889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718949073738661889","DimensionId":3,"MemberId":718949073738661889,"Inc":""},"_vena_ControleIndelingPLNomUL_B1_R_3_718949073742856193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718949073742856193","DimensionId":3,"MemberId":718949073742856193,"Inc":""},"_vena_ControleIndelingPLNomUL_B1_R_3_718949073747050497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718949073747050497","DimensionId":3,"MemberId":718949073747050497,"Inc":""},"_vena_ControleIndelingPLNomUL_B1_R_3_718949073751244801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718949073751244801","DimensionId":3,"MemberId":718949073751244801,"Inc":""},"_vena_ControleIndelingPLNomUL_B1_R_3_718949073759633408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718949073759633408","DimensionId":3,"MemberId":718949073759633408,"Inc":""},"_vena_ControleIndelingPLNomUL_B1_R_3_718949073763827713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718949073763827713","DimensionId":3,"MemberId":718949073763827713,"Inc":""},"_vena_ControleIndelingPLNomUL_B1_R_3_718949073768022016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718949073768022016","DimensionId":3,"MemberId":718949073768022016,"Inc":""},"_vena_ControleIndelingPLNomUL_B1_R_3_718949073772216321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718949073772216321","DimensionId":3,"MemberId":718949073772216321,"Inc":""},"_vena_ControleIndelingPLNomUL_B1_R_3_718949073776410624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718949073776410624","DimensionId":3,"MemberId":718949073776410624,"Inc":""},"_vena_ControleIndelingPLNomUL_B1_R_3_718949073780604928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718949073780604928","DimensionId":3,"MemberId":718949073780604928,"Inc":""},"_vena_ControleIndelingPLNomUL_B1_R_3_718949073784799233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718949073784799233","DimensionId":3,"MemberId":718949073784799233,"Inc":""},"_vena_ControleIndelingPLNomUL_B1_R_3_718949073788993536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718949073788993536","DimensionId":3,"MemberId":718949073788993536,"Inc":""},"_vena_ControleIndelingPLNomUL_B1_R_3_718949073788993538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718949073788993538","DimensionId":3,"MemberId":718949073788993538,"Inc":""},"_vena_ControleIndelingPLNomUL_B1_R_3_718949073793187841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718949073793187841","DimensionId":3,"MemberId":718949073793187841,"Inc":""},"_vena_ControleIndelingPLNomUL_B1_R_3_718949073797382145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718949073797382145","DimensionId":3,"MemberId":718949073797382145,"Inc":""},"_vena_ControleIndelingPLNomUL_B1_R_3_718949073801576449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718949073801576449","DimensionId":3,"MemberId":718949073801576449,"Inc":""},"_vena_ControleIndelingPLNomUL_B1_R_3_718949073805770753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718949073805770753","DimensionId":3,"MemberId":718949073805770753,"Inc":""},"_vena_ControleIndelingPLNomUL_B1_R_3_718949073809965057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718949073809965057","DimensionId":3,"MemberId":718949073809965057,"Inc":""},"_vena_ControleIndelingPLNomUL_B1_R_3_718949073809965059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718949073809965059","DimensionId":3,"MemberId":718949073809965059,"Inc":""},"_vena_ControleIndelingPLNomUL_B1_R_3_718949073818353664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718949073818353664","DimensionId":3,"MemberId":718949073818353664,"Inc":""},"_vena_ControleIndelingPLNomUL_B1_R_3_718949073822547969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718949073822547969","DimensionId":3,"MemberId":718949073822547969,"Inc":""},"_vena_ControleIndelingPLNomUL_B1_R_3_718949073826742273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718949073826742273","DimensionId":3,"MemberId":718949073826742273,"Inc":""},"_vena_ControleIndelingPLNomUL_B1_R_3_718949073830936577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718949073830936577","DimensionId":3,"MemberId":718949073830936577,"Inc":""},"_vena_ControleIndelingPLNomUL_B1_R_3_718949073835130881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718949073835130881","DimensionId":3,"MemberId":718949073835130881,"Inc":""},"_vena_ControleIndelingPLNomUL_B1_R_3_718949073839325185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718949073839325185","DimensionId":3,"MemberId":718949073839325185,"Inc":""},"_vena_ControleIndelingPLNomUL_B1_R_3_718949073839325187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718949073839325187","DimensionId":3,"MemberId":718949073839325187,"Inc":""},"_vena_ControleIndelingPLNomUL_B1_R_3_718949073843519489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718949073843519489","DimensionId":3,"MemberId":718949073843519489,"Inc":""},"_vena_ControleIndelingPLNomUL_B1_R_3_718949073847713793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718949073847713793","DimensionId":3,"MemberId":718949073847713793,"Inc":""},"_vena_ControleIndelingPLNomUL_B1_R_3_718949073851908096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718949073851908096","DimensionId":3,"MemberId":718949073851908096,"Inc":""},"_vena_ControleIndelingPLNomUL_B1_R_3_718949073856102401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718949073856102401","DimensionId":3,"MemberId":718949073856102401,"Inc":""},"_vena_ControleIndelingPLNomUL_B1_R_3_718949073860296705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718949073860296705","DimensionId":3,"MemberId":718949073860296705,"Inc":""},"_vena_ControleIndelingPLNomUL_B1_R_3_718949073860296707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718949073860296707","DimensionId":3,"MemberId":718949073860296707,"Inc":""},"_vena_ControleIndelingPLNomUL_B1_R_3_718949073864491009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718949073864491009","DimensionId":3,"MemberId":718949073864491009,"Inc":""},"_vena_ControleIndelingPLNomUL_B1_R_3_718949073868685313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718949073868685313","DimensionId":3,"MemberId":718949073868685313,"Inc":""},"_vena_ControleIndelingPLNomUL_B1_R_3_718949073868685315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718949073868685315","DimensionId":3,"MemberId":718949073868685315,"Inc":""},"_vena_ControleIndelingPLNomUL_B1_R_3_718949073872879617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718949073872879617","DimensionId":3,"MemberId":718949073872879617,"Inc":""},"_vena_ControleIndelingPLNomUL_B1_R_3_718949073877073921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718949073877073921","DimensionId":3,"MemberId":718949073877073921,"Inc":""},"_vena_ControleIndelingPLNomUL_B1_R_3_718949073881268225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718949073881268225","DimensionId":3,"MemberId":718949073881268225,"Inc":""},"_vena_ControleIndelingPLNomUL_B1_R_3_718949073881268227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718949073881268227","DimensionId":3,"MemberId":718949073881268227,"Inc":""},"_vena_ControleIndelingPLNomUL_B1_R_3_718949073885462529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718949073885462529","DimensionId":3,"MemberId":718949073885462529,"Inc":""},"_vena_ControleIndelingPLNomUL_B1_R_3_718949073889656833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718949073889656833","DimensionId":3,"MemberId":718949073889656833,"Inc":""},"_vena_ControleIndelingPLNomUL_B1_R_3_718949073893851137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718949073893851137","DimensionId":3,"MemberId":718949073893851137,"Inc":""},"_vena_ControleIndelingPLNomUL_B1_R_3_718949073893851139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718949073893851139","DimensionId":3,"MemberId":718949073893851139,"Inc":""},"_vena_ControleIndelingPLNomUL_B1_R_3_718949073898045441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718949073898045441","DimensionId":3,"MemberId":718949073898045441,"Inc":""},"_vena_ControleIndelingPLNomUL_B1_R_3_718949073902239745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718949073902239745","DimensionId":3,"MemberId":718949073902239745,"Inc":""},"_vena_ControleIndelingPLNomUL_B1_R_3_718949073902239747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718949073902239747","DimensionId":3,"MemberId":718949073902239747,"Inc":""},"_vena_ControleIndelingPLNomUL_B1_R_3_718949073906434049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718949073906434049","DimensionId":3,"MemberId":718949073906434049,"Inc":""},"_vena_ControleIndelingPLNomUL_B1_R_3_718949073910628353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718949073910628353","DimensionId":3,"MemberId":718949073910628353,"Inc":""},"_vena_ControleIndelingPLNomUL_B1_R_3_718949073914822657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718949073914822657","DimensionId":3,"MemberId":718949073914822657,"Inc":""},"_vena_ControleIndelingPLNomUL_B1_R_3_718949073914822659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718949073914822659","DimensionId":3,"MemberId":718949073914822659,"Inc":""},"_vena_ControleIndelingPLNomUL_B1_R_3_718949073919016961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718949073919016961","DimensionId":3,"MemberId":718949073919016961,"Inc":""},"_vena_ControleIndelingPLNomUL_B1_R_3_718949073923211265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718949073923211265","DimensionId":3,"MemberId":718949073923211265,"Inc":""},"_vena_ControleIndelingPLNomUL_B1_R_3_718949073923211267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718949073923211267","DimensionId":3,"MemberId":718949073923211267,"Inc":""},"_vena_ControleIndelingPLNomUL_B1_R_3_718949073927405569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718949073927405569","DimensionId":3,"MemberId":718949073927405569,"Inc":""},"_vena_ControleIndelingPLNomUL_B1_R_3_718949073931599873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718949073931599873","DimensionId":3,"MemberId":718949073931599873,"Inc":""},"_vena_ControleIndelingPLNomUL_B1_R_3_718949073935794176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718949073935794176","DimensionId":3,"MemberId":718949073935794176,"Inc":""},"_vena_ControleIndelingPLNomUL_B1_R_3_718949073935794178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718949073935794178","DimensionId":3,"MemberId":718949073935794178,"Inc":""},"_vena_ControleIndelingPLNomUL_B1_R_3_718949073939988481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718949073939988481","DimensionId":3,"MemberId":718949073939988481,"Inc":""},"_vena_ControleIndelingPLNomUL_B1_R_3_718949073944182785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718949073944182785","DimensionId":3,"MemberId":718949073944182785,"Inc":""},"_vena_ControleIndelingPLNomUL_B1_R_3_718949073944182787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718949073944182787","DimensionId":3,"MemberId":718949073944182787,"Inc":""},"_vena_ControleIndelingPLNomUL_B1_R_3_718949073948377089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718949073948377089","DimensionId":3,"MemberId":718949073948377089,"Inc":""},"_vena_ControleIndelingPLNomUL_B1_R_3_718949073952571393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718949073952571393","DimensionId":3,"MemberId":718949073952571393,"Inc":""},"_vena_ControleIndelingPLNomUL_B1_R_3_718949073952571395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718949073952571395","DimensionId":3,"MemberId":718949073952571395,"Inc":""},"_vena_ControleIndelingPLNomUL_B1_R_3_718949073956765697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718949073956765697","DimensionId":3,"MemberId":718949073956765697,"Inc":""},"_vena_ControleIndelingPLNomUL_B1_R_3_718949073960960001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718949073960960001","DimensionId":3,"MemberId":718949073960960001,"Inc":""},"_vena_ControleIndelingPLNomUL_B1_R_3_718949073965154304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718949073965154304","DimensionId":3,"MemberId":718949073965154304,"Inc":""},"_vena_ControleIndelingPLNomUL_B1_R_3_718949073965154306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718949073965154306","DimensionId":3,"MemberId":718949073965154306,"Inc":""},"_vena_ControleIndelingPLNomUL_B1_R_3_718949073969348609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718949073969348609","DimensionId":3,"MemberId":718949073969348609,"Inc":""},"_vena_ControleIndelingPLNomUL_B1_R_3_718949073973542913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718949073973542913","DimensionId":3,"MemberId":718949073973542913,"Inc":""},"_vena_ControleIndelingPLNomUL_B1_R_3_718949073973542915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718949073973542915","DimensionId":3,"MemberId":718949073973542915,"Inc":""},"_vena_ControleIndelingPLNomUL_B1_R_3_718949073977737217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718949073977737217","DimensionId":3,"MemberId":718949073977737217,"Inc":""},"_vena_ControleIndelingPLNomUL_B1_R_3_718949073981931521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718949073981931521","DimensionId":3,"MemberId":718949073981931521,"Inc":""},"_vena_ControleIndelingPLNomUL_B1_R_3_718949073986125824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718949073986125824","DimensionId":3,"MemberId":718949073986125824,"Inc":""},"_vena_ControleIndelingPLNomUL_B1_R_3_718949073990320129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718949073990320129","DimensionId":3,"MemberId":718949073990320129,"Inc":""},"_vena_ControleIndelingPLNomUL_B1_R_3_718949073994514432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718949073994514432","DimensionId":3,"MemberId":718949073994514432,"Inc":""},"_vena_ControleIndelingPLNomUL_B1_R_3_718949073998708737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718949073998708737","DimensionId":3,"MemberId":718949073998708737,"Inc":""},"_vena_ControleIndelingPLNomUL_B1_R_3_718949073998708739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718949073998708739","DimensionId":3,"MemberId":718949073998708739,"Inc":""},"_vena_ControleIndelingPLNomUL_B1_R_3_718949074002903041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718949074002903041","DimensionId":3,"MemberId":718949074002903041,"Inc":""},"_vena_ControleIndelingPLNomUL_B1_R_3_718949074007097345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718949074007097345","DimensionId":3,"MemberId":718949074007097345,"Inc":""},"_vena_ControleIndelingPLNomUL_B1_R_3_718949074011291649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718949074011291649","DimensionId":3,"MemberId":718949074011291649,"Inc":""},"_vena_ControleIndelingPLNomUL_B1_R_3_718949074011291651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718949074011291651","DimensionId":3,"MemberId":718949074011291651,"Inc":""},"_vena_ControleIndelingPLNomUL_B1_R_3_718949074015485953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718949074015485953","DimensionId":3,"MemberId":718949074015485953,"Inc":""},"_vena_ControleIndelingPLNomUL_B1_R_3_718949074019680257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718949074019680257","DimensionId":3,"MemberId":718949074019680257,"Inc":""},"_vena_ControleIndelingPLNomUL_B1_R_3_718949074019680259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718949074019680259","DimensionId":3,"MemberId":718949074019680259,"Inc":""},"_vena_ControleIndelingPLNomUL_B1_R_3_718949074023874561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718949074023874561","DimensionId":3,"MemberId":718949074023874561,"Inc":""},"_vena_ControleIndelingPLNomUL_B1_R_3_718949074028068865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718949074028068865","DimensionId":3,"MemberId":718949074028068865,"Inc":""},"_vena_ControleIndelingPLNomUL_B1_R_3_718949074028068867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718949074028068867","DimensionId":3,"MemberId":718949074028068867,"Inc":""},"_vena_ControleIndelingPLNomUL_B1_R_3_718949074032263169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718949074032263169","DimensionId":3,"MemberId":718949074032263169,"Inc":""},"_vena_ControleIndelingPLNomUL_B1_R_3_718949074036457473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718949074036457473","DimensionId":3,"MemberId":718949074036457473,"Inc":""},"_vena_ControleIndelingPLNomUL_B1_R_3_718949074036457475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718949074036457475","DimensionId":3,"MemberId":718949074036457475,"Inc":""},"_vena_ControleIndelingPLNomUL_B1_R_3_718949074040651777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718949074040651777","DimensionId":3,"MemberId":718949074040651777,"Inc":""},"_vena_ControleIndelingPLNomUL_B1_R_3_718949074044846081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718949074044846081","DimensionId":3,"MemberId":718949074044846081,"Inc":""},"_vena_ControleIndelingPLNomUL_B1_R_3_718949074049040385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718949074049040385","DimensionId":3,"MemberId":718949074049040385,"Inc":""},"_vena_ControleIndelingPLNomUL_B1_R_3_718949074049040387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718949074049040387","DimensionId":3,"MemberId":718949074049040387,"Inc":""},"_vena_ControleIndelingPLNomUL_B1_R_3_718949074053234689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718949074053234689","DimensionId":3,"MemberId":718949074053234689,"Inc":""},"_vena_ControleIndelingPLNomUL_B1_R_3_718949074057428993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718949074057428993","DimensionId":3,"MemberId":718949074057428993,"Inc":""},"_vena_ControleIndelingPLNomUL_B1_R_3_718949074057428995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718949074057428995","DimensionId":3,"MemberId":718949074057428995,"Inc":""},"_vena_ControleIndelingPLNomUL_B1_R_3_718949074061623297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718949074061623297","DimensionId":3,"MemberId":718949074061623297,"Inc":""},"_vena_ControleIndelingPLNomUL_B1_R_3_718949074065817601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718949074065817601","DimensionId":3,"MemberId":718949074065817601,"Inc":""},"_vena_ControleIndelingPLNomUL_B1_R_3_718949074065817603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718949074065817603","DimensionId":3,"MemberId":718949074065817603,"Inc":""},"_vena_ControleIndelingPLNomUL_B1_R_3_718949074070011905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718949074070011905","DimensionId":3,"MemberId":718949074070011905,"Inc":""},"_vena_ControleIndelingPLNomUL_B1_R_3_718949074074206209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718949074074206209","DimensionId":3,"MemberId":718949074074206209,"Inc":""},"_vena_ControleIndelingPLNomUL_B1_R_3_718949074078400513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718949074078400513","DimensionId":3,"MemberId":718949074078400513,"Inc":""},"_vena_ControleIndelingPLNomUL_B1_R_3_718949074078400515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718949074078400515","DimensionId":3,"MemberId":718949074078400515,"Inc":""},"_vena_ControleIndelingPLNomUL_B1_R_3_718949074082594817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718949074082594817","DimensionId":3,"MemberId":718949074082594817,"Inc":""},"_vena_ControleIndelingPLNomUL_B1_R_3_718949074086789121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718949074086789121","DimensionId":3,"MemberId":718949074086789121,"Inc":""},"_vena_ControleIndelingPLNomUL_B1_R_3_718949074086789123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718949074086789123","DimensionId":3,"MemberId":718949074086789123,"Inc":""},"_vena_ControleIndelingPLNomUL_B1_R_3_718949074090983425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718949074090983425","DimensionId":3,"MemberId":718949074090983425,"Inc":""},"_vena_ControleIndelingPLNomUL_B1_R_3_718949074095177729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718949074095177729","DimensionId":3,"MemberId":718949074095177729,"Inc":""},"_vena_ControleIndelingPLNomUL_B1_R_3_718949074095177731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718949074095177731","DimensionId":3,"MemberId":718949074095177731,"Inc":""},"_vena_ControleIndelingPLNomUL_B1_R_3_718949074099372033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718949074099372033","DimensionId":3,"MemberId":718949074099372033,"Inc":""},"_vena_ControleIndelingPLNomUL_B1_R_3_718949074103566337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718949074103566337","DimensionId":3,"MemberId":718949074103566337,"Inc":""},"_vena_ControleIndelingPLNomUL_B1_R_3_718949074103566339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718949074103566339","DimensionId":3,"MemberId":718949074103566339,"Inc":""},"_vena_ControleIndelingPLNomUL_B1_R_3_718949074111954944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718949074111954944","DimensionId":3,"MemberId":718949074111954944,"Inc":""},"_vena_ControleIndelingPLNomUL_B1_R_3_718949074111954946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718949074111954946","DimensionId":3,"MemberId":718949074111954946,"Inc":""},"_vena_ControleIndelingPLNomUL_B1_R_3_718949074116149249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718949074116149249","DimensionId":3,"MemberId":718949074116149249,"Inc":""},"_vena_ControleIndelingPLNomUL_B1_R_3_718949074120343553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718949074120343553","DimensionId":3,"MemberId":718949074120343553,"Inc":""},"_vena_ControleIndelingPLNomUL_B1_R_3_718949074124537857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718949074124537857","DimensionId":3,"MemberId":718949074124537857,"Inc":""},"_vena_ControleIndelingPLNomUL_B1_R_3_718949074124537859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718949074124537859","DimensionId":3,"MemberId":718949074124537859,"Inc":""},"_vena_ControleIndelingPLNomUL_B1_R_3_718949074128732161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718949074128732161","DimensionId":3,"MemberId":718949074128732161,"Inc":""},"_vena_ControleIndelingPLNomUL_B1_R_3_718949074132926465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718949074132926465","DimensionId":3,"MemberId":718949074132926465,"Inc":""},"_vena_ControleIndelingPLNomUL_B1_R_3_718949074132926467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718949074132926467","DimensionId":3,"MemberId":718949074132926467,"Inc":""},"_vena_ControleIndelingPLNomUL_B1_R_3_718949074137120769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718949074137120769","DimensionId":3,"MemberId":718949074137120769,"Inc":""},"_vena_ControleIndelingPLNomUL_B1_R_3_718949074141315073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718949074141315073","DimensionId":3,"MemberId":718949074141315073,"Inc":""},"_vena_ControleIndelingPLNomUL_B1_R_3_718949074141315075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718949074141315075","DimensionId":3,"MemberId":718949074141315075,"Inc":""},"_vena_ControleIndelingPLNomUL_B1_R_3_718949074145509377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718949074145509377","DimensionId":3,"MemberId":718949074145509377,"Inc":""},"_vena_ControleIndelingPLNomUL_B1_R_3_718949074149703681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718949074149703681","DimensionId":3,"MemberId":718949074149703681,"Inc":""},"_vena_ControleIndelingPLNomUL_B1_R_3_718949074153897985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718949074153897985","DimensionId":3,"MemberId":718949074153897985,"Inc":""},"_vena_ControleIndelingPLNomUL_B1_R_3_718949074153897987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718949074153897987","DimensionId":3,"MemberId":718949074153897987,"Inc":""},"_vena_ControleIndelingPLNomUL_B1_R_3_718949074158092289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718949074158092289","DimensionId":3,"MemberId":718949074158092289,"Inc":""},"_vena_ControleIndelingPLNomUL_B1_R_3_718949074162286593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718949074162286593","DimensionId":3,"MemberId":718949074162286593,"Inc":""},"_vena_ControleIndelingPLNomUL_B1_R_3_718949074162286595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718949074162286595","DimensionId":3,"MemberId":718949074162286595,"Inc":""},"_vena_ControleIndelingPLNomUL_B1_R_3_718949074166480897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718949074166480897","DimensionId":3,"MemberId":718949074166480897,"Inc":""},"_vena_ControleIndelingPLNomUL_B1_R_3_718949074170675201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718949074170675201","DimensionId":3,"MemberId":718949074170675201,"Inc":""},"_vena_ControleIndelingPLNomUL_B1_R_3_718949074170675203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718949074170675203","DimensionId":3,"MemberId":718949074170675203,"Inc":""},"_vena_ControleIndelingPLNomUL_B1_R_3_718949074174869505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718949074174869505","DimensionId":3,"MemberId":718949074174869505,"Inc":""},"_vena_ControleIndelingPLNomUL_B1_R_3_718949074179063809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718949074179063809","DimensionId":3,"MemberId":718949074179063809,"Inc":""},"_vena_ControleIndelingPLNomUL_B1_R_3_718949074179063811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718949074179063811","DimensionId":3,"MemberId":718949074179063811,"Inc":""},"_vena_ControleIndelingPLNomUL_B1_R_3_718949074183258113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718949074183258113","DimensionId":3,"MemberId":718949074183258113,"Inc":""},"_vena_ControleIndelingPLNomUL_B1_R_3_718949074187452417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718949074187452417","DimensionId":3,"MemberId":718949074187452417,"Inc":""},"_vena_ControleIndelingPLNomUL_B1_R_3_718949074191646721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718949074191646721","DimensionId":3,"MemberId":718949074191646721,"Inc":""},"_vena_ControleIndelingPLNomUL_B1_R_3_718949074191646723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718949074191646723","DimensionId":3,"MemberId":718949074191646723,"Inc":""},"_vena_ControleIndelingPLNomUL_B1_R_3_718949074195841025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718949074195841025","DimensionId":3,"MemberId":718949074195841025,"Inc":""},"_vena_ControleIndelingPLNomUL_B1_R_3_718949074200035329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718949074200035329","DimensionId":3,"MemberId":718949074200035329,"Inc":""},"_vena_ControleIndelingPLNomUL_B1_R_3_718949074200035331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718949074200035331","DimensionId":3,"MemberId":718949074200035331,"Inc":""},"_vena_ControleIndelingPLNomUL_B1_R_3_718949074204229633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718949074204229633","DimensionId":3,"MemberId":718949074204229633,"Inc":""},"_vena_ControleIndelingPLNomUL_B1_R_3_718949074208423937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718949074208423937","DimensionId":3,"MemberId":718949074208423937,"Inc":""},"_vena_ControleIndelingPLNomUL_B1_R_3_718949074212618241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718949074212618241","DimensionId":3,"MemberId":718949074212618241,"Inc":""},"_vena_ControleIndelingPLNomUL_B1_R_3_718949074212618243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718949074212618243","DimensionId":3,"MemberId":718949074212618243,"Inc":""},"_vena_ControleIndelingPLNomUL_B1_R_3_718949074221006848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718949074221006848","DimensionId":3,"MemberId":718949074221006848,"Inc":""},"_vena_ControleIndelingPLNomUL_B1_R_3_718949074221006851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718949074221006851","DimensionId":3,"MemberId":718949074221006851,"Inc":""},"_vena_ControleIndelingPLNomUL_B1_R_3_718949074225201153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718949074225201153","DimensionId":3,"MemberId":718949074225201153,"Inc":""},"_vena_ControleIndelingPLNomUL_B1_R_3_718949074229395457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718949074229395457","DimensionId":3,"MemberId":718949074229395457,"Inc":""},"_vena_ControleIndelingPLNomUL_B1_R_3_718949074229395459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718949074229395459","DimensionId":3,"MemberId":718949074229395459,"Inc":""},"_vena_ControleIndelingPLNomUL_B1_R_3_718949074233589761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718949074233589761","DimensionId":3,"MemberId":718949074233589761,"Inc":""},"_vena_ControleIndelingPLNomUL_B1_R_3_718949074237784065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718949074237784065","DimensionId":3,"MemberId":718949074237784065,"Inc":""},"_vena_ControleIndelingPLNomUL_B1_R_3_718949074237784067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718949074237784067","DimensionId":3,"MemberId":718949074237784067,"Inc":""},"_vena_ControleIndelingPLNomUL_B1_R_3_718949074241978369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718949074241978369","DimensionId":3,"MemberId":718949074241978369,"Inc":""},"_vena_ControleIndelingPLNomUL_B1_R_3_718949074246172673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718949074246172673","DimensionId":3,"MemberId":718949074246172673,"Inc":""},"_vena_ControleIndelingPLNomUL_B1_R_3_718949074246172675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718949074246172675","DimensionId":3,"MemberId":718949074246172675,"Inc":""},"_vena_ControleIndelingPLNomUL_B1_R_3_718949074250366977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718949074250366977","DimensionId":3,"MemberId":718949074250366977,"Inc":""},"_vena_ControleIndelingPLNomUL_B1_R_3_718949074254561281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718949074254561281","DimensionId":3,"MemberId":718949074254561281,"Inc":""},"_vena_ControleIndelingPLNomUL_B1_R_3_718949074258755585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718949074258755585","DimensionId":3,"MemberId":718949074258755585,"Inc":""},"_vena_ControleIndelingPLNomUL_B1_R_3_718949074258755587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718949074258755587","DimensionId":3,"MemberId":718949074258755587,"Inc":""},"_vena_ControleIndelingPLNomUL_B1_R_3_718949074262949889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718949074262949889","DimensionId":3,"MemberId":718949074262949889,"Inc":""},"_vena_ControleIndelingPLNomUL_B1_R_3_718949074267144193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718949074267144193","DimensionId":3,"MemberId":718949074267144193,"Inc":""},"_vena_ControleIndelingPLNomUL_B1_R_3_718949074267144195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718949074267144195","DimensionId":3,"MemberId":718949074267144195,"Inc":""},"_vena_ControleIndelingPLNomUL_B1_R_3_718949074271338497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718949074271338497","DimensionId":3,"MemberId":718949074271338497,"Inc":""},"_vena_ControleIndelingPLNomUL_B1_R_3_741036978346524672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741036978346524672","DimensionId":3,"MemberId":741036978346524672,"Inc":""},"_vena_ControleIndelingPLNomUL_B1_R_3_741036978350718977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741036978350718977","DimensionId":3,"MemberId":741036978350718977,"Inc":""},"_vena_ControleIndelingPLNomUL_B1_R_3_741036978350718979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741036978350718979","DimensionId":3,"MemberId":741036978350718979,"Inc":""},"_vena_ControleIndelingPLNomUL_B1_R_3_741036978354913281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741036978354913281","DimensionId":3,"MemberId":741036978354913281,"Inc":""},"_vena_ControleIndelingPLNomUL_B1_R_3_741036978354913283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741036978354913283","DimensionId":3,"MemberId":741036978354913283,"Inc":""},"_vena_ControleIndelingPLNomUL_B1_R_3_741036978354913285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741036978354913285","DimensionId":3,"MemberId":741036978354913285,"Inc":""},"_vena_ControleIndelingPLNomUL_B1_R_3_741036978359107585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741036978359107585","DimensionId":3,"MemberId":741036978359107585,"Inc":""},"_vena_ControleIndelingPLNomUL_B1_R_3_741036978359107587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741036978359107587","DimensionId":3,"MemberId":741036978359107587,"Inc":""},"_vena_ControleIndelingPLNomUL_B1_R_3_741036978359107589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741036978359107589","DimensionId":3,"MemberId":741036978359107589,"Inc":""},"_vena_ControleIndelingPLNomUL_B1_R_3_741036978363301889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741036978363301889","DimensionId":3,"MemberId":741036978363301889,"Inc":""},"_vena_ControleIndelingPLNomUL_B1_R_3_741036978363301891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741036978363301891","DimensionId":3,"MemberId":741036978363301891,"Inc":""},"_vena_ControleIndelingPLNomUL_B1_R_3_741036978367496193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741036978367496193","DimensionId":3,"MemberId":741036978367496193,"Inc":""},"_vena_ControleIndelingPLNomUL_B1_R_3_741036978367496195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741036978367496195","DimensionId":3,"MemberId":741036978367496195,"Inc":""},"_vena_ControleIndelingPLNomUL_B1_R_3_741036978367496197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741036978367496197","DimensionId":3,"MemberId":741036978367496197,"Inc":""},"_vena_ControleIndelingPLNomUL_B1_R_3_741036978371690497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741036978371690497","DimensionId":3,"MemberId":741036978371690497,"Inc":""},"_vena_ControleIndelingPLNomUL_B1_R_3_741036978371690499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741036978371690499","DimensionId":3,"MemberId":741036978371690499,"Inc":""},"_vena_ControleIndelingPLNomUL_B1_R_3_741036978375884801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741036978375884801","DimensionId":3,"MemberId":741036978375884801,"Inc":""},"_vena_ControleIndelingPLNomUL_B1_R_3_741036978375884803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741036978375884803","DimensionId":3,"MemberId":741036978375884803,"Inc":""},"_vena_ControleIndelingPLNomUL_B1_R_3_741036978375884805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741036978375884805","DimensionId":3,"MemberId":741036978375884805,"Inc":""},"_vena_ControleIndelingPLNomUL_B1_R_3_741036978380079105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741036978380079105","DimensionId":3,"MemberId":741036978380079105,"Inc":""},"_vena_ControleIndelingPLNomUL_B1_R_3_741036978380079107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741036978380079107","DimensionId":3,"MemberId":741036978380079107,"Inc":""},"_vena_ControleIndelingPLNomUL_B1_R_3_741036978380079109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741036978380079109","DimensionId":3,"MemberId":741036978380079109,"Inc":""},"_vena_ControleIndelingPLNomUL_B1_R_3_741036978384273409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741036978384273409","DimensionId":3,"MemberId":741036978384273409,"Inc":""},"_vena_ControleIndelingPLNomUL_B1_R_3_741036978384273411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741036978384273411","DimensionId":3,"MemberId":741036978384273411,"Inc":""},"_vena_ControleIndelingPLNomUL_B1_R_3_741036978384273413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741036978384273413","DimensionId":3,"MemberId":741036978384273413,"Inc":""},"_vena_ControleIndelingPLNomUL_B1_R_3_741036978388467713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741036978388467713","DimensionId":3,"MemberId":741036978388467713,"Inc":""},"_vena_ControleIndelingPLNomUL_B1_R_3_741036978388467715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741036978388467715","DimensionId":3,"MemberId":741036978388467715,"Inc":""},"_vena_ControleIndelingPLNomUL_B1_R_3_741036978392662016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741036978392662016","DimensionId":3,"MemberId":741036978392662016,"Inc":""},"_vena_ControleIndelingPLNomUL_B1_R_3_745374605280018432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745374605280018432","DimensionId":3,"MemberId":745374605280018432,"Inc":""},"_vena_ControleIndelingPLNomUL_B1_R_3_745375016732721152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745375016732721152","DimensionId":3,"MemberId":745375016732721152,"Inc":""},"_vena_ControleIndelingPLNomUL_B1_R_3_745375106469593088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745375106469593088","DimensionId":3,"MemberId":745375106469593088,"Inc":""},"_vena_ControleIndelingPLNomUL_B1_R_3_787067506366873601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787067506366873601","DimensionId":3,"MemberId":787067506366873601,"Inc":""},"_vena_ControleIndelingPLNomUL_B1_R_3_787067506375262209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787067506375262209","DimensionId":3,"MemberId":787067506375262209,"Inc":""},"_vena_ControleIndelingPLNomUL_B1_R_3_787067506396233730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787067506396233730","DimensionId":3,"MemberId":787067506396233730,"Inc":""},"_vena_ControleIndelingPLNomUL_B1_R_3_787067506400428033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787067506400428033","DimensionId":3,"MemberId":787067506400428033,"Inc":""},"_vena_ControleIndelingPLNomUL_B1_R_3_787067506425593862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787067506425593862","DimensionId":3,"MemberId":787067506425593862,"Inc":""},"_vena_ControleIndelingPLNomUL_B1_R_3_787067506429788172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787067506429788172","DimensionId":3,"MemberId":787067506429788172,"Inc":""},"_vena_ControleIndelingPLNomUL_B1_R_3_787067506442371085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787067506442371085","DimensionId":3,"MemberId":787067506442371085,"Inc":""},"_vena_ControleIndelingPLNomUL_B1_R_3_787067506459148326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787067506459148326","DimensionId":3,"MemberId":787067506459148326,"Inc":""},"_vena_ControleIndelingPLNomUL_B1_R_3_787067506467536902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787067506467536902","DimensionId":3,"MemberId":787067506467536902,"Inc":""},"_vena_ControleIndelingPLNomUL_B1_R_3_787067506484314126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787067506484314126","DimensionId":3,"MemberId":787067506484314126,"Inc":""},"_vena_ControleIndelingPLNomUL_B1_R_3_787067506509479942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787067506509479942","DimensionId":3,"MemberId":787067506509479942,"Inc":""},"_vena_ControleIndelingPLNomUL_B1_R_3_787067506526257152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787067506526257152","DimensionId":3,"MemberId":787067506526257152,"Inc":""},"_vena_ControleIndelingPLNomUL_B1_R_3_848292094858231812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848292094858231812","DimensionId":3,"MemberId":848292094858231812,"Inc":""},"_vena_ControleIndelingPLNomUL_B1_R_3_947147459226107910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947147459226107910","DimensionId":3,"MemberId":947147459226107910,"Inc":""},"_vena_ControleIndelingPLNomUL_B1_R_3_947147459238690817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947147459238690817","DimensionId":3,"MemberId":947147459238690817,"Inc":""},"_vena_ControleIndelingPLNomUL_B1_R_3_947147459259662336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947147459259662336","DimensionId":3,"MemberId":947147459259662336,"Inc":""},"_vena_ControleIndelingPLNomUL_B1_R_3_947147459272245252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947147459272245252","DimensionId":3,"MemberId":947147459272245252,"Inc":""},"_vena_ControleIndelingPLNomUL_B1_R_3_947147459276439554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947147459276439554","DimensionId":3,"MemberId":947147459276439554,"Inc":""},"_vena_ControleIndelingPLNomUL_B1_R_3_947147459284828166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947147459284828166","DimensionId":3,"MemberId":947147459284828166,"Inc":""},"_vena_ControleIndelingPLNomUL_B1_R_3_947147459297411075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947147459297411075","DimensionId":3,"MemberId":947147459297411075,"Inc":""},"_vena_ControleIndelingPLNomUL_B1_R_3_947147459318382595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947147459318382595","DimensionId":3,"MemberId":947147459318382595,"Inc":""},"_vena_ControleIndelingPLNomUL_B1_R_3_947147459322576897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947147459322576897","DimensionId":3,"MemberId":947147459322576897,"Inc":""},"_vena_ControleIndelingPLNomUL_B1_R_3_947147459377102859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947147459377102859","DimensionId":3,"MemberId":947147459377102859,"Inc":""},"_vena_ControleIndelingPLNomUL_B1_R_3_947147459385491457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947147459385491457","DimensionId":3,"MemberId":947147459385491457,"Inc":""},"_vena_ControleIndelingPLNomUL_B1_R_3_982737416803450901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982737416803450901","DimensionId":3,"MemberId":982737416803450901,"Inc":""},"_vena_ControleIndelingPLNomUL_B1_R_3_982737416811839488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982737416811839488","DimensionId":3,"MemberId":982737416811839488,"Inc":""},"_vena_ControleIndelingPLNomUL_B1_R_3_982737416862171137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B1","VenaRangeType":1,"DimensionIdStr":"3","MemberIdStr":"982737416862171137","DimensionId":3,"MemberId":982737416862171137,"Inc":""},"_vena_ControleIndelingPLNomUL_P_4_718931129058590721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VenaRangeType":0,"DimensionIdStr":"4","MemberIdStr":"718931129058590721","DimensionId":4,"MemberId":718931129058590721,"Inc":""},"_vena_ControleIndelingPLNomUL_P_5_718931142656917509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VenaRangeType":0,"DimensionIdStr":"5","MemberIdStr":"718931142656917509","DimensionId":5,"MemberId":718931142656917509,"Inc":""},"_vena_ControleIndelingPLNomUL_P_6_730565783391305729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VenaRangeType":0,"DimensionIdStr":"6","MemberIdStr":"730565783391305729","DimensionId":6,"MemberId":730565783391305729,"Inc":""},"_vena_ControleIndelingPLNomUL_P_7_720673044374355968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PLNomUL","BlockName":"","VenaRangeType":0,"DimensionIdStr":"7","MemberIdStr":"720673044374355968","DimensionId":7,"MemberId":720673044374355968,"Inc":""},"_vena_ControleIndelingQRT_B1_C_FV_18833718d1654aadbc8e26067c178bd5":{"SourceGlobalVariableId":-1,"SourceFormVariableId":"18833718-d165-4aad-bc8e-26067c178bd5","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2,"DimensionIdStr":"FV","MemberIdStr":"18833718d1654aadbc8e26067c178bd5","DimensionId":-1,"MemberId":-1,"Inc":""},"_vena_ControleIndelingQRT_B1_C_FV_a29e5bcf45ca496da8833af34d35696d":{"SourceGlobalVariableId":-1,"SourceFormVariableId":"a29e5bcf-45ca-496d-a883-3af34d35696d","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2,"DimensionIdStr":"FV","MemberIdStr":"a29e5bcf45ca496da8833af34d35696d","DimensionId":-1,"MemberId":-1,"Inc":""},"_vena_ControleIndelingQRT_B1_R_3_1015700822930489354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1015700822930489354","DimensionId":3,"MemberId":1015700822930489354,"Inc":""},"_vena_ControleIndelingQRT_B1_R_3_1015700822968238094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1015700822968238094","DimensionId":3,"MemberId":1015700822968238094,"Inc":""},"_vena_ControleIndelingQRT_B1_R_3_1015700823039541261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1015700823039541261","DimensionId":3,"MemberId":1015700823039541261,"Inc":""},"_vena_ControleIndelingQRT_B1_R_3_1015700823043735555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1015700823043735555","DimensionId":3,"MemberId":1015700823043735555,"Inc":""},"_vena_ControleIndelingQRT_B1_R_3_1015700823056318487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1015700823056318487","DimensionId":3,"MemberId":1015700823056318487,"Inc":""},"_vena_ControleIndelingQRT_B1_R_3_1015700823068901376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1015700823068901376","DimensionId":3,"MemberId":1015700823068901376,"Inc":""},"_vena_ControleIndelingQRT_B1_R_3_1015700823081484316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1015700823081484316","DimensionId":3,"MemberId":1015700823081484316,"Inc":""},"_vena_ControleIndelingQRT_B1_R_3_718947653497389058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718947653497389058","DimensionId":3,"MemberId":718947653497389058,"Inc":""},"_vena_ControleIndelingQRT_B1_R_3_718947653505777666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718947653505777666","DimensionId":3,"MemberId":718947653505777666,"Inc":""},"_vena_ControleIndelingQRT_B1_R_3_718947653509971971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718947653509971971","DimensionId":3,"MemberId":718947653509971971,"Inc":""},"_vena_ControleIndelingQRT_B1_R_3_718949073356980224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718949073356980224","DimensionId":3,"MemberId":718949073356980224,"Inc":""},"_vena_ControleIndelingQRT_B1_R_3_718949073365368832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718949073365368832","DimensionId":3,"MemberId":718949073365368832,"Inc":""},"_vena_ControleIndelingQRT_B1_R_3_718949073369563137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718949073369563137","DimensionId":3,"MemberId":718949073369563137,"Inc":""},"_vena_ControleIndelingQRT_B1_R_3_718949073373757441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718949073373757441","DimensionId":3,"MemberId":718949073373757441,"Inc":""},"_vena_ControleIndelingQRT_B1_R_3_718949073373757443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718949073373757443","DimensionId":3,"MemberId":718949073373757443,"Inc":""},"_vena_ControleIndelingQRT_B1_R_3_718949073377951745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718949073377951745","DimensionId":3,"MemberId":718949073377951745,"Inc":""},"_vena_ControleIndelingQRT_B1_R_3_718949073382146049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718949073382146049","DimensionId":3,"MemberId":718949073382146049,"Inc":""},"_vena_ControleIndelingQRT_B1_R_3_718949073382146051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718949073382146051","DimensionId":3,"MemberId":718949073382146051,"Inc":""},"_vena_ControleIndelingQRT_B1_R_3_718949073386340353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718949073386340353","DimensionId":3,"MemberId":718949073386340353,"Inc":""},"_vena_ControleIndelingQRT_B1_R_3_718949073390534657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718949073390534657","DimensionId":3,"MemberId":718949073390534657,"Inc":""},"_vena_ControleIndelingQRT_B1_R_3_718949073394728961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718949073394728961","DimensionId":3,"MemberId":718949073394728961,"Inc":""},"_vena_ControleIndelingQRT_B1_R_3_718949073394728963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718949073394728963","DimensionId":3,"MemberId":718949073394728963,"Inc":""},"_vena_ControleIndelingQRT_B1_R_3_718949073398923265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718949073398923265","DimensionId":3,"MemberId":718949073398923265,"Inc":""},"_vena_ControleIndelingQRT_B1_R_3_718949073403117569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718949073403117569","DimensionId":3,"MemberId":718949073403117569,"Inc":""},"_vena_ControleIndelingQRT_B1_R_3_718949073407311872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718949073407311872","DimensionId":3,"MemberId":718949073407311872,"Inc":""},"_vena_ControleIndelingQRT_B1_R_3_718949073411506177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718949073411506177","DimensionId":3,"MemberId":718949073411506177,"Inc":""},"_vena_ControleIndelingQRT_B1_R_3_718949073415700481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718949073415700481","DimensionId":3,"MemberId":718949073415700481,"Inc":""},"_vena_ControleIndelingQRT_B1_R_3_718949073415700483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718949073415700483","DimensionId":3,"MemberId":718949073415700483,"Inc":""},"_vena_ControleIndelingQRT_B1_R_3_718949073419894785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718949073419894785","DimensionId":3,"MemberId":718949073419894785,"Inc":""},"_vena_ControleIndelingQRT_B1_R_3_718949073424089089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718949073424089089","DimensionId":3,"MemberId":718949073424089089,"Inc":""},"_vena_ControleIndelingQRT_B1_R_3_718949073424089091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718949073424089091","DimensionId":3,"MemberId":718949073424089091,"Inc":""},"_vena_ControleIndelingQRT_B1_R_3_718949073428283393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718949073428283393","DimensionId":3,"MemberId":718949073428283393,"Inc":""},"_vena_ControleIndelingQRT_B1_R_3_718949073432477697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718949073432477697","DimensionId":3,"MemberId":718949073432477697,"Inc":""},"_vena_ControleIndelingQRT_B1_R_3_718949073432477699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718949073432477699","DimensionId":3,"MemberId":718949073432477699,"Inc":""},"_vena_ControleIndelingQRT_B1_R_3_718949073436672001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718949073436672001","DimensionId":3,"MemberId":718949073436672001,"Inc":""},"_vena_ControleIndelingQRT_B1_R_3_718949073440866305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718949073440866305","DimensionId":3,"MemberId":718949073440866305,"Inc":""},"_vena_ControleIndelingQRT_B1_R_3_718949073440866307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718949073440866307","DimensionId":3,"MemberId":718949073440866307,"Inc":""},"_vena_ControleIndelingQRT_B1_R_3_718949073445060609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718949073445060609","DimensionId":3,"MemberId":718949073445060609,"Inc":""},"_vena_ControleIndelingQRT_B1_R_3_718949073449254913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718949073449254913","DimensionId":3,"MemberId":718949073449254913,"Inc":""},"_vena_ControleIndelingQRT_B1_R_3_718949073453449218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718949073453449218","DimensionId":3,"MemberId":718949073453449218,"Inc":""},"_vena_ControleIndelingQRT_B1_R_3_718949073457643521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718949073457643521","DimensionId":3,"MemberId":718949073457643521,"Inc":""},"_vena_ControleIndelingQRT_B1_R_3_718949073457643523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718949073457643523","DimensionId":3,"MemberId":718949073457643523,"Inc":""},"_vena_ControleIndelingQRT_B1_R_3_718949073461837825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718949073461837825","DimensionId":3,"MemberId":718949073461837825,"Inc":""},"_vena_ControleIndelingQRT_B1_R_3_718949073466032129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718949073466032129","DimensionId":3,"MemberId":718949073466032129,"Inc":""},"_vena_ControleIndelingQRT_B1_R_3_718949073466032131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718949073466032131","DimensionId":3,"MemberId":718949073466032131,"Inc":""},"_vena_ControleIndelingQRT_B1_R_3_718949073470226433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718949073470226433","DimensionId":3,"MemberId":718949073470226433,"Inc":""},"_vena_ControleIndelingQRT_B1_R_3_718949073474420737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718949073474420737","DimensionId":3,"MemberId":718949073474420737,"Inc":""},"_vena_ControleIndelingQRT_B1_R_3_718949073478615041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718949073478615041","DimensionId":3,"MemberId":718949073478615041,"Inc":""},"_vena_ControleIndelingQRT_B1_R_3_718949073478615043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718949073478615043","DimensionId":3,"MemberId":718949073478615043,"Inc":""},"_vena_ControleIndelingQRT_B1_R_3_718949073482809345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718949073482809345","DimensionId":3,"MemberId":718949073482809345,"Inc":""},"_vena_ControleIndelingQRT_B1_R_3_718949073487003649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718949073487003649","DimensionId":3,"MemberId":718949073487003649,"Inc":""},"_vena_ControleIndelingQRT_B1_R_3_718949073487003651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718949073487003651","DimensionId":3,"MemberId":718949073487003651,"Inc":""},"_vena_ControleIndelingQRT_B1_R_3_718949073491197953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718949073491197953","DimensionId":3,"MemberId":718949073491197953,"Inc":""},"_vena_ControleIndelingQRT_B1_R_3_718949073499586560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718949073499586560","DimensionId":3,"MemberId":718949073499586560,"Inc":""},"_vena_ControleIndelingQRT_B1_R_3_718949073499586562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718949073499586562","DimensionId":3,"MemberId":718949073499586562,"Inc":""},"_vena_ControleIndelingQRT_B1_R_3_718949073503780865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718949073503780865","DimensionId":3,"MemberId":718949073503780865,"Inc":""},"_vena_ControleIndelingQRT_B1_R_3_718949073507975169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718949073507975169","DimensionId":3,"MemberId":718949073507975169,"Inc":""},"_vena_ControleIndelingQRT_B1_R_3_718949073507975171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718949073507975171","DimensionId":3,"MemberId":718949073507975171,"Inc":""},"_vena_ControleIndelingQRT_B1_R_3_718949073512169473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718949073512169473","DimensionId":3,"MemberId":718949073512169473,"Inc":""},"_vena_ControleIndelingQRT_B1_R_3_718949073516363777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718949073516363777","DimensionId":3,"MemberId":718949073516363777,"Inc":""},"_vena_ControleIndelingQRT_B1_R_3_718949073520558081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718949073520558081","DimensionId":3,"MemberId":718949073520558081,"Inc":""},"_vena_ControleIndelingQRT_B1_R_3_718949073520558083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718949073520558083","DimensionId":3,"MemberId":718949073520558083,"Inc":""},"_vena_ControleIndelingQRT_B1_R_3_718949073524752385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718949073524752385","DimensionId":3,"MemberId":718949073524752385,"Inc":""},"_vena_ControleIndelingQRT_B1_R_3_718949073528946689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718949073528946689","DimensionId":3,"MemberId":718949073528946689,"Inc":""},"_vena_ControleIndelingQRT_B1_R_3_718949073528946691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718949073528946691","DimensionId":3,"MemberId":718949073528946691,"Inc":""},"_vena_ControleIndelingQRT_B1_R_3_718949073533140993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718949073533140993","DimensionId":3,"MemberId":718949073533140993,"Inc":""},"_vena_ControleIndelingQRT_B1_R_3_718949073537335297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718949073537335297","DimensionId":3,"MemberId":718949073537335297,"Inc":""},"_vena_ControleIndelingQRT_B1_R_3_718949073537335299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718949073537335299","DimensionId":3,"MemberId":718949073537335299,"Inc":""},"_vena_ControleIndelingQRT_B1_R_3_718949073541529601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718949073541529601","DimensionId":3,"MemberId":718949073541529601,"Inc":""},"_vena_ControleIndelingQRT_B1_R_3_718949073545723905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718949073545723905","DimensionId":3,"MemberId":718949073545723905,"Inc":""},"_vena_ControleIndelingQRT_B1_R_3_718949073549918209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718949073549918209","DimensionId":3,"MemberId":718949073549918209,"Inc":""},"_vena_ControleIndelingQRT_B1_R_3_718949073558306816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718949073558306816","DimensionId":3,"MemberId":718949073558306816,"Inc":""},"_vena_ControleIndelingQRT_B1_R_3_718949073558306818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718949073558306818","DimensionId":3,"MemberId":718949073558306818,"Inc":""},"_vena_ControleIndelingQRT_B1_R_3_718949073566695424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718949073566695424","DimensionId":3,"MemberId":718949073566695424,"Inc":""},"_vena_ControleIndelingQRT_B1_R_3_718949073566695426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718949073566695426","DimensionId":3,"MemberId":718949073566695426,"Inc":""},"_vena_ControleIndelingQRT_B1_R_3_718949073575084032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718949073575084032","DimensionId":3,"MemberId":718949073575084032,"Inc":""},"_vena_ControleIndelingQRT_B1_R_3_718949073575084034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718949073575084034","DimensionId":3,"MemberId":718949073575084034,"Inc":""},"_vena_ControleIndelingQRT_B1_R_3_718949073579278337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718949073579278337","DimensionId":3,"MemberId":718949073579278337,"Inc":""},"_vena_ControleIndelingQRT_B1_R_3_718949073583472641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718949073583472641","DimensionId":3,"MemberId":718949073583472641,"Inc":""},"_vena_ControleIndelingQRT_B1_R_3_718949073583472643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718949073583472643","DimensionId":3,"MemberId":718949073583472643,"Inc":""},"_vena_ControleIndelingQRT_B1_R_3_718949073591861248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718949073591861248","DimensionId":3,"MemberId":718949073591861248,"Inc":""},"_vena_ControleIndelingQRT_B1_R_3_718949073596055552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718949073596055552","DimensionId":3,"MemberId":718949073596055552,"Inc":""},"_vena_ControleIndelingQRT_B1_R_3_718949073600249857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718949073600249857","DimensionId":3,"MemberId":718949073600249857,"Inc":""},"_vena_ControleIndelingQRT_B1_R_3_718949073608638464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718949073608638464","DimensionId":3,"MemberId":718949073608638464,"Inc":""},"_vena_ControleIndelingQRT_B1_R_3_718949073608638466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718949073608638466","DimensionId":3,"MemberId":718949073608638466,"Inc":""},"_vena_ControleIndelingQRT_B1_R_3_718949073612832769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718949073612832769","DimensionId":3,"MemberId":718949073612832769,"Inc":""},"_vena_ControleIndelingQRT_B1_R_3_718949073617027073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718949073617027073","DimensionId":3,"MemberId":718949073617027073,"Inc":""},"_vena_ControleIndelingQRT_B1_R_3_718949073621221376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718949073621221376","DimensionId":3,"MemberId":718949073621221376,"Inc":""},"_vena_ControleIndelingQRT_B1_R_3_718949073625415681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718949073625415681","DimensionId":3,"MemberId":718949073625415681,"Inc":""},"_vena_ControleIndelingQRT_B1_R_3_718949073629609985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718949073629609985","DimensionId":3,"MemberId":718949073629609985,"Inc":""},"_vena_ControleIndelingQRT_B1_R_3_718949073633804289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718949073633804289","DimensionId":3,"MemberId":718949073633804289,"Inc":""},"_vena_ControleIndelingQRT_B1_R_3_718949073637998593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718949073637998593","DimensionId":3,"MemberId":718949073637998593,"Inc":""},"_vena_ControleIndelingQRT_B1_R_3_718949073637998595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718949073637998595","DimensionId":3,"MemberId":718949073637998595,"Inc":""},"_vena_ControleIndelingQRT_B1_R_3_718949073642192897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718949073642192897","DimensionId":3,"MemberId":718949073642192897,"Inc":""},"_vena_ControleIndelingQRT_B1_R_3_718949073646387201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718949073646387201","DimensionId":3,"MemberId":718949073646387201,"Inc":""},"_vena_ControleIndelingQRT_B1_R_3_718949073650581505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718949073650581505","DimensionId":3,"MemberId":718949073650581505,"Inc":""},"_vena_ControleIndelingQRT_B1_R_3_718949073654775809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718949073654775809","DimensionId":3,"MemberId":718949073654775809,"Inc":""},"_vena_ControleIndelingQRT_B1_R_3_718949073654775811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718949073654775811","DimensionId":3,"MemberId":718949073654775811,"Inc":""},"_vena_ControleIndelingQRT_B1_R_3_718949073658970113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718949073658970113","DimensionId":3,"MemberId":718949073658970113,"Inc":""},"_vena_ControleIndelingQRT_B1_R_3_718949073663164417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718949073663164417","DimensionId":3,"MemberId":718949073663164417,"Inc":""},"_vena_ControleIndelingQRT_B1_R_3_718949073667358721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718949073667358721","DimensionId":3,"MemberId":718949073667358721,"Inc":""},"_vena_ControleIndelingQRT_B1_R_3_718949073667358723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718949073667358723","DimensionId":3,"MemberId":718949073667358723,"Inc":""},"_vena_ControleIndelingQRT_B1_R_3_718949073671553025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718949073671553025","DimensionId":3,"MemberId":718949073671553025,"Inc":""},"_vena_ControleIndelingQRT_B1_R_3_718949073675747329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718949073675747329","DimensionId":3,"MemberId":718949073675747329,"Inc":""},"_vena_ControleIndelingQRT_B1_R_3_718949073679941633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718949073679941633","DimensionId":3,"MemberId":718949073679941633,"Inc":""},"_vena_ControleIndelingQRT_B1_R_3_718949073684135937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718949073684135937","DimensionId":3,"MemberId":718949073684135937,"Inc":""},"_vena_ControleIndelingQRT_B1_R_3_718949073684135939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718949073684135939","DimensionId":3,"MemberId":718949073684135939,"Inc":""},"_vena_ControleIndelingQRT_B1_R_3_718949073688330241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718949073688330241","DimensionId":3,"MemberId":718949073688330241,"Inc":""},"_vena_ControleIndelingQRT_B1_R_3_718949073692524545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718949073692524545","DimensionId":3,"MemberId":718949073692524545,"Inc":""},"_vena_ControleIndelingQRT_B1_R_3_718949073696718849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718949073696718849","DimensionId":3,"MemberId":718949073696718849,"Inc":""},"_vena_ControleIndelingQRT_B1_R_3_718949073696718851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718949073696718851","DimensionId":3,"MemberId":718949073696718851,"Inc":""},"_vena_ControleIndelingQRT_B1_R_3_718949073700913153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718949073700913153","DimensionId":3,"MemberId":718949073700913153,"Inc":""},"_vena_ControleIndelingQRT_B1_R_3_718949073705107457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718949073705107457","DimensionId":3,"MemberId":718949073705107457,"Inc":""},"_vena_ControleIndelingQRT_B1_R_3_718949073705107459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718949073705107459","DimensionId":3,"MemberId":718949073705107459,"Inc":""},"_vena_ControleIndelingQRT_B1_R_3_718949073709301761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718949073709301761","DimensionId":3,"MemberId":718949073709301761,"Inc":""},"_vena_ControleIndelingQRT_B1_R_3_718949073713496065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718949073713496065","DimensionId":3,"MemberId":718949073713496065,"Inc":""},"_vena_ControleIndelingQRT_B1_R_3_718949073713496067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718949073713496067","DimensionId":3,"MemberId":718949073713496067,"Inc":""},"_vena_ControleIndelingQRT_B1_R_3_718949073717690369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718949073717690369","DimensionId":3,"MemberId":718949073717690369,"Inc":""},"_vena_ControleIndelingQRT_B1_R_3_718949073721884673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718949073721884673","DimensionId":3,"MemberId":718949073721884673,"Inc":""},"_vena_ControleIndelingQRT_B1_R_3_718949073726078977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718949073726078977","DimensionId":3,"MemberId":718949073726078977,"Inc":""},"_vena_ControleIndelingQRT_B1_R_3_718949073726078979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718949073726078979","DimensionId":3,"MemberId":718949073726078979,"Inc":""},"_vena_ControleIndelingQRT_B1_R_3_718949073730273281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718949073730273281","DimensionId":3,"MemberId":718949073730273281,"Inc":""},"_vena_ControleIndelingQRT_B1_R_3_718949073734467585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718949073734467585","DimensionId":3,"MemberId":718949073734467585,"Inc":""},"_vena_ControleIndelingQRT_B1_R_3_718949073734467587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718949073734467587","DimensionId":3,"MemberId":718949073734467587,"Inc":""},"_vena_ControleIndelingQRT_B1_R_3_718949073738661889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718949073738661889","DimensionId":3,"MemberId":718949073738661889,"Inc":""},"_vena_ControleIndelingQRT_B1_R_3_718949073742856193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718949073742856193","DimensionId":3,"MemberId":718949073742856193,"Inc":""},"_vena_ControleIndelingQRT_B1_R_3_718949073747050497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718949073747050497","DimensionId":3,"MemberId":718949073747050497,"Inc":""},"_vena_ControleIndelingQRT_B1_R_3_718949073751244801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718949073751244801","DimensionId":3,"MemberId":718949073751244801,"Inc":""},"_vena_ControleIndelingQRT_B1_R_3_718949073759633408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718949073759633408","DimensionId":3,"MemberId":718949073759633408,"Inc":""},"_vena_ControleIndelingQRT_B1_R_3_718949073763827713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718949073763827713","DimensionId":3,"MemberId":718949073763827713,"Inc":""},"_vena_ControleIndelingQRT_B1_R_3_718949073768022016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718949073768022016","DimensionId":3,"MemberId":718949073768022016,"Inc":""},"_vena_ControleIndelingQRT_B1_R_3_718949073772216321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718949073772216321","DimensionId":3,"MemberId":718949073772216321,"Inc":""},"_vena_ControleIndelingQRT_B1_R_3_718949073776410624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718949073776410624","DimensionId":3,"MemberId":718949073776410624,"Inc":""},"_vena_ControleIndelingQRT_B1_R_3_718949073780604928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718949073780604928","DimensionId":3,"MemberId":718949073780604928,"Inc":""},"_vena_ControleIndelingQRT_B1_R_3_718949073784799233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718949073784799233","DimensionId":3,"MemberId":718949073784799233,"Inc":""},"_vena_ControleIndelingQRT_B1_R_3_718949073788993536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718949073788993536","DimensionId":3,"MemberId":718949073788993536,"Inc":""},"_vena_ControleIndelingQRT_B1_R_3_718949073788993538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718949073788993538","DimensionId":3,"MemberId":718949073788993538,"Inc":""},"_vena_ControleIndelingQRT_B1_R_3_718949073793187841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718949073793187841","DimensionId":3,"MemberId":718949073793187841,"Inc":""},"_vena_ControleIndelingQRT_B1_R_3_718949073797382145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718949073797382145","DimensionId":3,"MemberId":718949073797382145,"Inc":""},"_vena_ControleIndelingQRT_B1_R_3_718949073801576449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718949073801576449","DimensionId":3,"MemberId":718949073801576449,"Inc":""},"_vena_ControleIndelingQRT_B1_R_3_718949073805770753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718949073805770753","DimensionId":3,"MemberId":718949073805770753,"Inc":""},"_vena_ControleIndelingQRT_B1_R_3_718949073809965057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718949073809965057","DimensionId":3,"MemberId":718949073809965057,"Inc":""},"_vena_ControleIndelingQRT_B1_R_3_718949073809965059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718949073809965059","DimensionId":3,"MemberId":718949073809965059,"Inc":""},"_vena_ControleIndelingQRT_B1_R_3_718949073818353664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718949073818353664","DimensionId":3,"MemberId":718949073818353664,"Inc":""},"_vena_ControleIndelingQRT_B1_R_3_718949073822547969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718949073822547969","DimensionId":3,"MemberId":718949073822547969,"Inc":""},"_vena_ControleIndelingQRT_B1_R_3_718949073826742273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718949073826742273","DimensionId":3,"MemberId":718949073826742273,"Inc":""},"_vena_ControleIndelingQRT_B1_R_3_718949073830936577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718949073830936577","DimensionId":3,"MemberId":718949073830936577,"Inc":""},"_vena_ControleIndelingQRT_B1_R_3_718949073835130881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718949073835130881","DimensionId":3,"MemberId":718949073835130881,"Inc":""},"_vena_ControleIndelingQRT_B1_R_3_718949073839325185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718949073839325185","DimensionId":3,"MemberId":718949073839325185,"Inc":""},"_vena_ControleIndelingQRT_B1_R_3_718949073839325187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718949073839325187","DimensionId":3,"MemberId":718949073839325187,"Inc":""},"_vena_ControleIndelingQRT_B1_R_3_718949073843519489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718949073843519489","DimensionId":3,"MemberId":718949073843519489,"Inc":""},"_vena_ControleIndelingQRT_B1_R_3_718949073847713793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718949073847713793","DimensionId":3,"MemberId":718949073847713793,"Inc":""},"_vena_ControleIndelingQRT_B1_R_3_718949073851908096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718949073851908096","DimensionId":3,"MemberId":718949073851908096,"Inc":""},"_vena_ControleIndelingQRT_B1_R_3_718949073856102401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718949073856102401","DimensionId":3,"MemberId":718949073856102401,"Inc":""},"_vena_ControleIndelingQRT_B1_R_3_718949073860296705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718949073860296705","DimensionId":3,"MemberId":718949073860296705,"Inc":""},"_vena_ControleIndelingQRT_B1_R_3_718949073860296707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718949073860296707","DimensionId":3,"MemberId":718949073860296707,"Inc":""},"_vena_ControleIndelingQRT_B1_R_3_718949073864491009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718949073864491009","DimensionId":3,"MemberId":718949073864491009,"Inc":""},"_vena_ControleIndelingQRT_B1_R_3_718949073868685313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718949073868685313","DimensionId":3,"MemberId":718949073868685313,"Inc":""},"_vena_ControleIndelingQRT_B1_R_3_718949073868685315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718949073868685315","DimensionId":3,"MemberId":718949073868685315,"Inc":""},"_vena_ControleIndelingQRT_B1_R_3_718949073872879617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718949073872879617","DimensionId":3,"MemberId":718949073872879617,"Inc":""},"_vena_ControleIndelingQRT_B1_R_3_718949073877073921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718949073877073921","DimensionId":3,"MemberId":718949073877073921,"Inc":""},"_vena_ControleIndelingQRT_B1_R_3_718949073881268225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718949073881268225","DimensionId":3,"MemberId":718949073881268225,"Inc":""},"_vena_ControleIndelingQRT_B1_R_3_718949073881268227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718949073881268227","DimensionId":3,"MemberId":718949073881268227,"Inc":""},"_vena_ControleIndelingQRT_B1_R_3_718949073885462529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718949073885462529","DimensionId":3,"MemberId":718949073885462529,"Inc":""},"_vena_ControleIndelingQRT_B1_R_3_718949073889656833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718949073889656833","DimensionId":3,"MemberId":718949073889656833,"Inc":""},"_vena_ControleIndelingQRT_B1_R_3_718949073893851137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718949073893851137","DimensionId":3,"MemberId":718949073893851137,"Inc":""},"_vena_ControleIndelingQRT_B1_R_3_718949073893851139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718949073893851139","DimensionId":3,"MemberId":718949073893851139,"Inc":""},"_vena_ControleIndelingQRT_B1_R_3_718949073898045441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718949073898045441","DimensionId":3,"MemberId":718949073898045441,"Inc":""},"_vena_ControleIndelingQRT_B1_R_3_718949073902239745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718949073902239745","DimensionId":3,"MemberId":718949073902239745,"Inc":""},"_vena_ControleIndelingQRT_B1_R_3_718949073902239747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718949073902239747","DimensionId":3,"MemberId":718949073902239747,"Inc":""},"_vena_ControleIndelingQRT_B1_R_3_718949073906434049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718949073906434049","DimensionId":3,"MemberId":718949073906434049,"Inc":""},"_vena_ControleIndelingQRT_B1_R_3_718949073910628353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718949073910628353","DimensionId":3,"MemberId":718949073910628353,"Inc":""},"_vena_ControleIndelingQRT_B1_R_3_718949073914822657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718949073914822657","DimensionId":3,"MemberId":718949073914822657,"Inc":""},"_vena_ControleIndelingQRT_B1_R_3_718949073914822659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718949073914822659","DimensionId":3,"MemberId":718949073914822659,"Inc":""},"_vena_ControleIndelingQRT_B1_R_3_718949073919016961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718949073919016961","DimensionId":3,"MemberId":718949073919016961,"Inc":""},"_vena_ControleIndelingQRT_B1_R_3_718949073923211265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718949073923211265","DimensionId":3,"MemberId":718949073923211265,"Inc":""},"_vena_ControleIndelingQRT_B1_R_3_718949073923211267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718949073923211267","DimensionId":3,"MemberId":718949073923211267,"Inc":""},"_vena_ControleIndelingQRT_B1_R_3_718949073927405569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718949073927405569","DimensionId":3,"MemberId":718949073927405569,"Inc":""},"_vena_ControleIndelingQRT_B1_R_3_718949073931599873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718949073931599873","DimensionId":3,"MemberId":718949073931599873,"Inc":""},"_vena_ControleIndelingQRT_B1_R_3_718949073935794176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718949073935794176","DimensionId":3,"MemberId":718949073935794176,"Inc":""},"_vena_ControleIndelingQRT_B1_R_3_718949073935794178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718949073935794178","DimensionId":3,"MemberId":718949073935794178,"Inc":""},"_vena_ControleIndelingQRT_B1_R_3_718949073939988481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718949073939988481","DimensionId":3,"MemberId":718949073939988481,"Inc":""},"_vena_ControleIndelingQRT_B1_R_3_718949073944182785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718949073944182785","DimensionId":3,"MemberId":718949073944182785,"Inc":""},"_vena_ControleIndelingQRT_B1_R_3_718949073944182787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718949073944182787","DimensionId":3,"MemberId":718949073944182787,"Inc":""},"_vena_ControleIndelingQRT_B1_R_3_718949073948377089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718949073948377089","DimensionId":3,"MemberId":718949073948377089,"Inc":""},"_vena_ControleIndelingQRT_B1_R_3_718949073952571393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718949073952571393","DimensionId":3,"MemberId":718949073952571393,"Inc":""},"_vena_ControleIndelingQRT_B1_R_3_718949073952571395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718949073952571395","DimensionId":3,"MemberId":718949073952571395,"Inc":""},"_vena_ControleIndelingQRT_B1_R_3_718949073956765697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718949073956765697","DimensionId":3,"MemberId":718949073956765697,"Inc":""},"_vena_ControleIndelingQRT_B1_R_3_718949073960960001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718949073960960001","DimensionId":3,"MemberId":718949073960960001,"Inc":""},"_vena_ControleIndelingQRT_B1_R_3_718949073965154304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718949073965154304","DimensionId":3,"MemberId":718949073965154304,"Inc":""},"_vena_ControleIndelingQRT_B1_R_3_718949073965154306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718949073965154306","DimensionId":3,"MemberId":718949073965154306,"Inc":""},"_vena_ControleIndelingQRT_B1_R_3_718949073969348609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718949073969348609","DimensionId":3,"MemberId":718949073969348609,"Inc":""},"_vena_ControleIndelingQRT_B1_R_3_718949073973542913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718949073973542913","DimensionId":3,"MemberId":718949073973542913,"Inc":""},"_vena_ControleIndelingQRT_B1_R_3_718949073973542915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718949073973542915","DimensionId":3,"MemberId":718949073973542915,"Inc":""},"_vena_ControleIndelingQRT_B1_R_3_718949073977737217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718949073977737217","DimensionId":3,"MemberId":718949073977737217,"Inc":""},"_vena_ControleIndelingQRT_B1_R_3_718949073981931521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718949073981931521","DimensionId":3,"MemberId":718949073981931521,"Inc":""},"_vena_ControleIndelingQRT_B1_R_3_718949073986125824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718949073986125824","DimensionId":3,"MemberId":718949073986125824,"Inc":""},"_vena_ControleIndelingQRT_B1_R_3_718949073990320129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718949073990320129","DimensionId":3,"MemberId":718949073990320129,"Inc":""},"_vena_ControleIndelingQRT_B1_R_3_718949073994514432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718949073994514432","DimensionId":3,"MemberId":718949073994514432,"Inc":""},"_vena_ControleIndelingQRT_B1_R_3_718949073998708737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718949073998708737","DimensionId":3,"MemberId":718949073998708737,"Inc":""},"_vena_ControleIndelingQRT_B1_R_3_718949073998708739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718949073998708739","DimensionId":3,"MemberId":718949073998708739,"Inc":""},"_vena_ControleIndelingQRT_B1_R_3_718949074002903041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718949074002903041","DimensionId":3,"MemberId":718949074002903041,"Inc":""},"_vena_ControleIndelingQRT_B1_R_3_718949074007097345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718949074007097345","DimensionId":3,"MemberId":718949074007097345,"Inc":""},"_vena_ControleIndelingQRT_B1_R_3_718949074011291649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718949074011291649","DimensionId":3,"MemberId":718949074011291649,"Inc":""},"_vena_ControleIndelingQRT_B1_R_3_718949074011291651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718949074011291651","DimensionId":3,"MemberId":718949074011291651,"Inc":""},"_vena_ControleIndelingQRT_B1_R_3_718949074015485953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718949074015485953","DimensionId":3,"MemberId":718949074015485953,"Inc":""},"_vena_ControleIndelingQRT_B1_R_3_718949074019680257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718949074019680257","DimensionId":3,"MemberId":718949074019680257,"Inc":""},"_vena_ControleIndelingQRT_B1_R_3_718949074019680259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718949074019680259","DimensionId":3,"MemberId":718949074019680259,"Inc":""},"_vena_ControleIndelingQRT_B1_R_3_718949074023874561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718949074023874561","DimensionId":3,"MemberId":718949074023874561,"Inc":""},"_vena_ControleIndelingQRT_B1_R_3_718949074028068865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718949074028068865","DimensionId":3,"MemberId":718949074028068865,"Inc":""},"_vena_ControleIndelingQRT_B1_R_3_718949074028068867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718949074028068867","DimensionId":3,"MemberId":718949074028068867,"Inc":""},"_vena_ControleIndelingQRT_B1_R_3_718949074032263169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718949074032263169","DimensionId":3,"MemberId":718949074032263169,"Inc":""},"_vena_ControleIndelingQRT_B1_R_3_718949074036457473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718949074036457473","DimensionId":3,"MemberId":718949074036457473,"Inc":""},"_vena_ControleIndelingQRT_B1_R_3_718949074036457475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718949074036457475","DimensionId":3,"MemberId":718949074036457475,"Inc":""},"_vena_ControleIndelingQRT_B1_R_3_718949074040651777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718949074040651777","DimensionId":3,"MemberId":718949074040651777,"Inc":""},"_vena_ControleIndelingQRT_B1_R_3_718949074044846081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718949074044846081","DimensionId":3,"MemberId":718949074044846081,"Inc":""},"_vena_ControleIndelingQRT_B1_R_3_718949074049040385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718949074049040385","DimensionId":3,"MemberId":718949074049040385,"Inc":""},"_vena_ControleIndelingQRT_B1_R_3_718949074049040387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718949074049040387","DimensionId":3,"MemberId":718949074049040387,"Inc":""},"_vena_ControleIndelingQRT_B1_R_3_718949074053234689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718949074053234689","DimensionId":3,"MemberId":718949074053234689,"Inc":""},"_vena_ControleIndelingQRT_B1_R_3_718949074057428993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718949074057428993","DimensionId":3,"MemberId":718949074057428993,"Inc":""},"_vena_ControleIndelingQRT_B1_R_3_718949074057428995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718949074057428995","DimensionId":3,"MemberId":718949074057428995,"Inc":""},"_vena_ControleIndelingQRT_B1_R_3_718949074061623297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718949074061623297","DimensionId":3,"MemberId":718949074061623297,"Inc":""},"_vena_ControleIndelingQRT_B1_R_3_718949074065817601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718949074065817601","DimensionId":3,"MemberId":718949074065817601,"Inc":""},"_vena_ControleIndelingQRT_B1_R_3_718949074065817603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718949074065817603","DimensionId":3,"MemberId":718949074065817603,"Inc":""},"_vena_ControleIndelingQRT_B1_R_3_718949074070011905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718949074070011905","DimensionId":3,"MemberId":718949074070011905,"Inc":""},"_vena_ControleIndelingQRT_B1_R_3_718949074074206209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718949074074206209","DimensionId":3,"MemberId":718949074074206209,"Inc":""},"_vena_ControleIndelingQRT_B1_R_3_718949074078400513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718949074078400513","DimensionId":3,"MemberId":718949074078400513,"Inc":""},"_vena_ControleIndelingQRT_B1_R_3_718949074078400515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718949074078400515","DimensionId":3,"MemberId":718949074078400515,"Inc":""},"_vena_ControleIndelingQRT_B1_R_3_718949074082594817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718949074082594817","DimensionId":3,"MemberId":718949074082594817,"Inc":""},"_vena_ControleIndelingQRT_B1_R_3_718949074086789121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718949074086789121","DimensionId":3,"MemberId":718949074086789121,"Inc":""},"_vena_ControleIndelingQRT_B1_R_3_718949074086789123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718949074086789123","DimensionId":3,"MemberId":718949074086789123,"Inc":""},"_vena_ControleIndelingQRT_B1_R_3_718949074090983425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718949074090983425","DimensionId":3,"MemberId":718949074090983425,"Inc":""},"_vena_ControleIndelingQRT_B1_R_3_718949074095177729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718949074095177729","DimensionId":3,"MemberId":718949074095177729,"Inc":""},"_vena_ControleIndelingQRT_B1_R_3_718949074095177731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718949074095177731","DimensionId":3,"MemberId":718949074095177731,"Inc":""},"_vena_ControleIndelingQRT_B1_R_3_718949074099372033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718949074099372033","DimensionId":3,"MemberId":718949074099372033,"Inc":""},"_vena_ControleIndelingQRT_B1_R_3_718949074103566337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718949074103566337","DimensionId":3,"MemberId":718949074103566337,"Inc":""},"_vena_ControleIndelingQRT_B1_R_3_718949074103566339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718949074103566339","DimensionId":3,"MemberId":718949074103566339,"Inc":""},"_vena_ControleIndelingQRT_B1_R_3_718949074111954944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718949074111954944","DimensionId":3,"MemberId":718949074111954944,"Inc":""},"_vena_ControleIndelingQRT_B1_R_3_718949074111954946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718949074111954946","DimensionId":3,"MemberId":718949074111954946,"Inc":""},"_vena_ControleIndelingQRT_B1_R_3_718949074116149249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718949074116149249","DimensionId":3,"MemberId":718949074116149249,"Inc":""},"_vena_ControleIndelingQRT_B1_R_3_718949074120343553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718949074120343553","DimensionId":3,"MemberId":718949074120343553,"Inc":""},"_vena_ControleIndelingQRT_B1_R_3_718949074124537857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718949074124537857","DimensionId":3,"MemberId":718949074124537857,"Inc":""},"_vena_ControleIndelingQRT_B1_R_3_718949074124537859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718949074124537859","DimensionId":3,"MemberId":718949074124537859,"Inc":""},"_vena_ControleIndelingQRT_B1_R_3_718949074128732161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718949074128732161","DimensionId":3,"MemberId":718949074128732161,"Inc":""},"_vena_ControleIndelingQRT_B1_R_3_718949074132926465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718949074132926465","DimensionId":3,"MemberId":718949074132926465,"Inc":""},"_vena_ControleIndelingQRT_B1_R_3_718949074132926467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718949074132926467","DimensionId":3,"MemberId":718949074132926467,"Inc":""},"_vena_ControleIndelingQRT_B1_R_3_718949074137120769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718949074137120769","DimensionId":3,"MemberId":718949074137120769,"Inc":""},"_vena_ControleIndelingQRT_B1_R_3_718949074141315073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718949074141315073","DimensionId":3,"MemberId":718949074141315073,"Inc":""},"_vena_ControleIndelingQRT_B1_R_3_718949074141315075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718949074141315075","DimensionId":3,"MemberId":718949074141315075,"Inc":""},"_vena_ControleIndelingQRT_B1_R_3_718949074145509377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718949074145509377","DimensionId":3,"MemberId":718949074145509377,"Inc":""},"_vena_ControleIndelingQRT_B1_R_3_718949074149703681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718949074149703681","DimensionId":3,"MemberId":718949074149703681,"Inc":""},"_vena_ControleIndelingQRT_B1_R_3_718949074153897985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718949074153897985","DimensionId":3,"MemberId":718949074153897985,"Inc":""},"_vena_ControleIndelingQRT_B1_R_3_718949074153897987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718949074153897987","DimensionId":3,"MemberId":718949074153897987,"Inc":""},"_vena_ControleIndelingQRT_B1_R_3_718949074158092289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718949074158092289","DimensionId":3,"MemberId":718949074158092289,"Inc":""},"_vena_ControleIndelingQRT_B1_R_3_718949074162286593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718949074162286593","DimensionId":3,"MemberId":718949074162286593,"Inc":""},"_vena_ControleIndelingQRT_B1_R_3_718949074162286595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718949074162286595","DimensionId":3,"MemberId":718949074162286595,"Inc":""},"_vena_ControleIndelingQRT_B1_R_3_718949074166480897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718949074166480897","DimensionId":3,"MemberId":718949074166480897,"Inc":""},"_vena_ControleIndelingQRT_B1_R_3_718949074170675201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718949074170675201","DimensionId":3,"MemberId":718949074170675201,"Inc":""},"_vena_ControleIndelingQRT_B1_R_3_718949074170675203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718949074170675203","DimensionId":3,"MemberId":718949074170675203,"Inc":""},"_vena_ControleIndelingQRT_B1_R_3_718949074174869505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718949074174869505","DimensionId":3,"MemberId":718949074174869505,"Inc":""},"_vena_ControleIndelingQRT_B1_R_3_718949074179063809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718949074179063809","DimensionId":3,"MemberId":718949074179063809,"Inc":""},"_vena_ControleIndelingQRT_B1_R_3_718949074179063811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718949074179063811","DimensionId":3,"MemberId":718949074179063811,"Inc":""},"_vena_ControleIndelingQRT_B1_R_3_718949074183258113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718949074183258113","DimensionId":3,"MemberId":718949074183258113,"Inc":""},"_vena_ControleIndelingQRT_B1_R_3_718949074187452417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718949074187452417","DimensionId":3,"MemberId":718949074187452417,"Inc":""},"_vena_ControleIndelingQRT_B1_R_3_718949074191646721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718949074191646721","DimensionId":3,"MemberId":718949074191646721,"Inc":""},"_vena_ControleIndelingQRT_B1_R_3_718949074191646723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718949074191646723","DimensionId":3,"MemberId":718949074191646723,"Inc":""},"_vena_ControleIndelingQRT_B1_R_3_718949074195841025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718949074195841025","DimensionId":3,"MemberId":718949074195841025,"Inc":""},"_vena_ControleIndelingQRT_B1_R_3_718949074200035329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718949074200035329","DimensionId":3,"MemberId":718949074200035329,"Inc":""},"_vena_ControleIndelingQRT_B1_R_3_718949074200035331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718949074200035331","DimensionId":3,"MemberId":718949074200035331,"Inc":""},"_vena_ControleIndelingQRT_B1_R_3_718949074204229633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718949074204229633","DimensionId":3,"MemberId":718949074204229633,"Inc":""},"_vena_ControleIndelingQRT_B1_R_3_718949074208423937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718949074208423937","DimensionId":3,"MemberId":718949074208423937,"Inc":""},"_vena_ControleIndelingQRT_B1_R_3_718949074212618241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718949074212618241","DimensionId":3,"MemberId":718949074212618241,"Inc":""},"_vena_ControleIndelingQRT_B1_R_3_718949074212618243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718949074212618243","DimensionId":3,"MemberId":718949074212618243,"Inc":""},"_vena_ControleIndelingQRT_B1_R_3_718949074221006848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718949074221006848","DimensionId":3,"MemberId":718949074221006848,"Inc":""},"_vena_ControleIndelingQRT_B1_R_3_718949074221006851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718949074221006851","DimensionId":3,"MemberId":718949074221006851,"Inc":""},"_vena_ControleIndelingQRT_B1_R_3_718949074225201153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718949074225201153","DimensionId":3,"MemberId":718949074225201153,"Inc":""},"_vena_ControleIndelingQRT_B1_R_3_718949074229395457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718949074229395457","DimensionId":3,"MemberId":718949074229395457,"Inc":""},"_vena_ControleIndelingQRT_B1_R_3_718949074229395459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718949074229395459","DimensionId":3,"MemberId":718949074229395459,"Inc":""},"_vena_ControleIndelingQRT_B1_R_3_718949074233589761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718949074233589761","DimensionId":3,"MemberId":718949074233589761,"Inc":""},"_vena_ControleIndelingQRT_B1_R_3_718949074237784065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718949074237784065","DimensionId":3,"MemberId":718949074237784065,"Inc":""},"_vena_ControleIndelingQRT_B1_R_3_718949074237784067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718949074237784067","DimensionId":3,"MemberId":718949074237784067,"Inc":""},"_vena_ControleIndelingQRT_B1_R_3_718949074241978369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718949074241978369","DimensionId":3,"MemberId":718949074241978369,"Inc":""},"_vena_ControleIndelingQRT_B1_R_3_718949074246172673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718949074246172673","DimensionId":3,"MemberId":718949074246172673,"Inc":""},"_vena_ControleIndelingQRT_B1_R_3_718949074246172675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718949074246172675","DimensionId":3,"MemberId":718949074246172675,"Inc":""},"_vena_ControleIndelingQRT_B1_R_3_718949074250366977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718949074250366977","DimensionId":3,"MemberId":718949074250366977,"Inc":""},"_vena_ControleIndelingQRT_B1_R_3_718949074254561281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718949074254561281","DimensionId":3,"MemberId":718949074254561281,"Inc":""},"_vena_ControleIndelingQRT_B1_R_3_718949074258755585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718949074258755585","DimensionId":3,"MemberId":718949074258755585,"Inc":""},"_vena_ControleIndelingQRT_B1_R_3_718949074258755587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718949074258755587","DimensionId":3,"MemberId":718949074258755587,"Inc":""},"_vena_ControleIndelingQRT_B1_R_3_718949074262949889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718949074262949889","DimensionId":3,"MemberId":718949074262949889,"Inc":""},"_vena_ControleIndelingQRT_B1_R_3_718949074267144193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718949074267144193","DimensionId":3,"MemberId":718949074267144193,"Inc":""},"_vena_ControleIndelingQRT_B1_R_3_718949074267144195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718949074267144195","DimensionId":3,"MemberId":718949074267144195,"Inc":""},"_vena_ControleIndelingQRT_B1_R_3_718949074271338497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718949074271338497","DimensionId":3,"MemberId":718949074271338497,"Inc":""},"_vena_ControleIndelingQRT_B1_R_3_725369226873012224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725369226873012224","DimensionId":3,"MemberId":725369226873012224,"Inc":""},"_vena_ControleIndelingQRT_B1_R_3_741036978346524672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741036978346524672","DimensionId":3,"MemberId":741036978346524672,"Inc":""},"_vena_ControleIndelingQRT_B1_R_3_741036978350718977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741036978350718977","DimensionId":3,"MemberId":741036978350718977,"Inc":""},"_vena_ControleIndelingQRT_B1_R_3_741036978350718979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741036978350718979","DimensionId":3,"MemberId":741036978350718979,"Inc":""},"_vena_ControleIndelingQRT_B1_R_3_741036978354913281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741036978354913281","DimensionId":3,"MemberId":741036978354913281,"Inc":""},"_vena_ControleIndelingQRT_B1_R_3_741036978354913283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741036978354913283","DimensionId":3,"MemberId":741036978354913283,"Inc":""},"_vena_ControleIndelingQRT_B1_R_3_741036978354913285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741036978354913285","DimensionId":3,"MemberId":741036978354913285,"Inc":""},"_vena_ControleIndelingQRT_B1_R_3_741036978359107585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741036978359107585","DimensionId":3,"MemberId":741036978359107585,"Inc":""},"_vena_ControleIndelingQRT_B1_R_3_741036978359107587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741036978359107587","DimensionId":3,"MemberId":741036978359107587,"Inc":""},"_vena_ControleIndelingQRT_B1_R_3_741036978359107589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741036978359107589","DimensionId":3,"MemberId":741036978359107589,"Inc":""},"_vena_ControleIndelingQRT_B1_R_3_741036978363301889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741036978363301889","DimensionId":3,"MemberId":741036978363301889,"Inc":""},"_vena_ControleIndelingQRT_B1_R_3_741036978363301891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741036978363301891","DimensionId":3,"MemberId":741036978363301891,"Inc":""},"_vena_ControleIndelingQRT_B1_R_3_741036978367496193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741036978367496193","DimensionId":3,"MemberId":741036978367496193,"Inc":""},"_vena_ControleIndelingQRT_B1_R_3_741036978367496195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741036978367496195","DimensionId":3,"MemberId":741036978367496195,"Inc":""},"_vena_ControleIndelingQRT_B1_R_3_741036978367496197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741036978367496197","DimensionId":3,"MemberId":741036978367496197,"Inc":""},"_vena_ControleIndelingQRT_B1_R_3_741036978371690497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741036978371690497","DimensionId":3,"MemberId":741036978371690497,"Inc":""},"_vena_ControleIndelingQRT_B1_R_3_741036978371690499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741036978371690499","DimensionId":3,"MemberId":741036978371690499,"Inc":""},"_vena_ControleIndelingQRT_B1_R_3_741036978375884801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741036978375884801","DimensionId":3,"MemberId":741036978375884801,"Inc":""},"_vena_ControleIndelingQRT_B1_R_3_741036978375884803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741036978375884803","DimensionId":3,"MemberId":741036978375884803,"Inc":""},"_vena_ControleIndelingQRT_B1_R_3_741036978375884805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741036978375884805","DimensionId":3,"MemberId":741036978375884805,"Inc":""},"_vena_ControleIndelingQRT_B1_R_3_741036978380079105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741036978380079105","DimensionId":3,"MemberId":741036978380079105,"Inc":""},"_vena_ControleIndelingQRT_B1_R_3_741036978380079107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741036978380079107","DimensionId":3,"MemberId":741036978380079107,"Inc":""},"_vena_ControleIndelingQRT_B1_R_3_741036978380079109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741036978380079109","DimensionId":3,"MemberId":741036978380079109,"Inc":""},"_vena_ControleIndelingQRT_B1_R_3_741036978384273409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741036978384273409","DimensionId":3,"MemberId":741036978384273409,"Inc":""},"_vena_ControleIndelingQRT_B1_R_3_741036978384273411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741036978384273411","DimensionId":3,"MemberId":741036978384273411,"Inc":""},"_vena_ControleIndelingQRT_B1_R_3_741036978384273413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741036978384273413","DimensionId":3,"MemberId":741036978384273413,"Inc":""},"_vena_ControleIndelingQRT_B1_R_3_741036978388467713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741036978388467713","DimensionId":3,"MemberId":741036978388467713,"Inc":""},"_vena_ControleIndelingQRT_B1_R_3_741036978388467715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741036978388467715","DimensionId":3,"MemberId":741036978388467715,"Inc":""},"_vena_ControleIndelingQRT_B1_R_3_741036978392662016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741036978392662016","DimensionId":3,"MemberId":741036978392662016,"Inc":""},"_vena_ControleIndelingQRT_B1_R_3_745374605280018432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745374605280018432","DimensionId":3,"MemberId":745374605280018432,"Inc":""},"_vena_ControleIndelingQRT_B1_R_3_745375016732721152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745375016732721152","DimensionId":3,"MemberId":745375016732721152,"Inc":""},"_vena_ControleIndelingQRT_B1_R_3_745375106469593088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745375106469593088","DimensionId":3,"MemberId":745375106469593088,"Inc":""},"_vena_ControleIndelingQRT_B1_R_3_787067506366873601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787067506366873601","DimensionId":3,"MemberId":787067506366873601,"Inc":""},"_vena_ControleIndelingQRT_B1_R_3_787067506375262209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787067506375262209","DimensionId":3,"MemberId":787067506375262209,"Inc":""},"_vena_ControleIndelingQRT_B1_R_3_787067506396233730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787067506396233730","DimensionId":3,"MemberId":787067506396233730,"Inc":""},"_vena_ControleIndelingQRT_B1_R_3_787067506400428033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787067506400428033","DimensionId":3,"MemberId":787067506400428033,"Inc":""},"_vena_ControleIndelingQRT_B1_R_3_787067506425593862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787067506425593862","DimensionId":3,"MemberId":787067506425593862,"Inc":""},"_vena_ControleIndelingQRT_B1_R_3_787067506429788172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787067506429788172","DimensionId":3,"MemberId":787067506429788172,"Inc":""},"_vena_ControleIndelingQRT_B1_R_3_787067506442371085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787067506442371085","DimensionId":3,"MemberId":787067506442371085,"Inc":""},"_vena_ControleIndelingQRT_B1_R_3_787067506459148326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787067506459148326","DimensionId":3,"MemberId":787067506459148326,"Inc":""},"_vena_ControleIndelingQRT_B1_R_3_787067506467536902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787067506467536902","DimensionId":3,"MemberId":787067506467536902,"Inc":""},"_vena_ControleIndelingQRT_B1_R_3_787067506484314126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787067506484314126","DimensionId":3,"MemberId":787067506484314126,"Inc":""},"_vena_ControleIndelingQRT_B1_R_3_787067506509479942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787067506509479942","DimensionId":3,"MemberId":787067506509479942,"Inc":""},"_vena_ControleIndelingQRT_B1_R_3_787067506526257152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787067506526257152","DimensionId":3,"MemberId":787067506526257152,"Inc":""},"_vena_ControleIndelingQRT_B1_R_3_848292094858231812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848292094858231812","DimensionId":3,"MemberId":848292094858231812,"Inc":""},"_vena_ControleIndelingQRT_B1_R_3_947147459226107910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947147459226107910","DimensionId":3,"MemberId":947147459226107910,"Inc":""},"_vena_ControleIndelingQRT_B1_R_3_947147459238690817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947147459238690817","DimensionId":3,"MemberId":947147459238690817,"Inc":""},"_vena_ControleIndelingQRT_B1_R_3_947147459259662336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947147459259662336","DimensionId":3,"MemberId":947147459259662336,"Inc":""},"_vena_ControleIndelingQRT_B1_R_3_947147459272245252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947147459272245252","DimensionId":3,"MemberId":947147459272245252,"Inc":""},"_vena_ControleIndelingQRT_B1_R_3_947147459276439554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947147459276439554","DimensionId":3,"MemberId":947147459276439554,"Inc":""},"_vena_ControleIndelingQRT_B1_R_3_947147459284828166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947147459284828166","DimensionId":3,"MemberId":947147459284828166,"Inc":""},"_vena_ControleIndelingQRT_B1_R_3_947147459297411075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947147459297411075","DimensionId":3,"MemberId":947147459297411075,"Inc":""},"_vena_ControleIndelingQRT_B1_R_3_947147459318382595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947147459318382595","DimensionId":3,"MemberId":947147459318382595,"Inc":""},"_vena_ControleIndelingQRT_B1_R_3_947147459322576897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947147459322576897","DimensionId":3,"MemberId":947147459322576897,"Inc":""},"_vena_ControleIndelingQRT_B1_R_3_947147459377102859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947147459377102859","DimensionId":3,"MemberId":947147459377102859,"Inc":""},"_vena_ControleIndelingQRT_B1_R_3_947147459385491457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947147459385491457","DimensionId":3,"MemberId":947147459385491457,"Inc":""},"_vena_ControleIndelingQRT_B1_R_3_982737416803450901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982737416803450901","DimensionId":3,"MemberId":982737416803450901,"Inc":""},"_vena_ControleIndelingQRT_B1_R_3_982737416811839488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982737416811839488","DimensionId":3,"MemberId":982737416811839488,"Inc":""},"_vena_ControleIndelingQRT_B1_R_3_982737416862171137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B1","VenaRangeType":1,"DimensionIdStr":"3","MemberIdStr":"982737416862171137","DimensionId":3,"MemberId":982737416862171137,"Inc":""},"_vena_ControleIndelingQRT_P_4_718931129058590721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VenaRangeType":0,"DimensionIdStr":"4","MemberIdStr":"718931129058590721","DimensionId":4,"MemberId":718931129058590721,"Inc":""},"_vena_ControleIndelingQRT_P_5_718931142656917509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VenaRangeType":0,"DimensionIdStr":"5","MemberIdStr":"718931142656917509","DimensionId":5,"MemberId":718931142656917509,"Inc":""},"_vena_ControleIndelingQRT_P_6_730565783391305729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VenaRangeType":0,"DimensionIdStr":"6","MemberIdStr":"730565783391305729","DimensionId":6,"MemberId":730565783391305729,"Inc":""},"_vena_ControleIndelingQRT_P_7_720673044374355968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BlockName":"","VenaRangeType":0,"DimensionIdStr":"7","MemberIdStr":"720673044374355968","DimensionId":7,"MemberId":720673044374355968,"Inc":""},"_vena_ControleIndelingQRTSub_B1_C_FV_18833718d1654aadbc8e26067c178bd5":{"SourceGlobalVariableId":-1,"SourceFormVariableId":"18833718-d165-4aad-bc8e-26067c178bd5","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2,"DimensionIdStr":"FV","MemberIdStr":"18833718d1654aadbc8e26067c178bd5","DimensionId":-1,"MemberId":-1,"Inc":""},"_vena_ControleIndelingQRTSub_B1_C_FV_a29e5bcf45ca496da8833af34d35696d":{"SourceGlobalVariableId":-1,"SourceFormVariableId":"a29e5bcf-45ca-496d-a883-3af34d35696d","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2,"DimensionIdStr":"FV","MemberIdStr":"a29e5bcf45ca496da8833af34d35696d","DimensionId":-1,"MemberId":-1,"Inc":""},"_vena_ControleIndelingQRTSub_B1_R_3_1015700822930489354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1015700822930489354","DimensionId":3,"MemberId":1015700822930489354,"Inc":""},"_vena_ControleIndelingQRTSub_B1_R_3_1015700822968238094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1015700822968238094","DimensionId":3,"MemberId":1015700822968238094,"Inc":""},"_vena_ControleIndelingQRTSub_B1_R_3_1015700823039541261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1015700823039541261","DimensionId":3,"MemberId":1015700823039541261,"Inc":""},"_vena_ControleIndelingQRTSub_B1_R_3_1015700823043735555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1015700823043735555","DimensionId":3,"MemberId":1015700823043735555,"Inc":""},"_vena_ControleIndelingQRTSub_B1_R_3_1015700823056318487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1015700823056318487","DimensionId":3,"MemberId":1015700823056318487,"Inc":""},"_vena_ControleIndelingQRTSub_B1_R_3_1015700823068901376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1015700823068901376","DimensionId":3,"MemberId":1015700823068901376,"Inc":""},"_vena_ControleIndelingQRTSub_B1_R_3_1015700823081484316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1015700823081484316","DimensionId":3,"MemberId":1015700823081484316,"Inc":""},"_vena_ControleIndelingQRTSub_B1_R_3_718947653497389058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718947653497389058","DimensionId":3,"MemberId":718947653497389058,"Inc":""},"_vena_ControleIndelingQRTSub_B1_R_3_718947653505777666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718947653505777666","DimensionId":3,"MemberId":718947653505777666,"Inc":""},"_vena_ControleIndelingQRTSub_B1_R_3_718947653509971971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718947653509971971","DimensionId":3,"MemberId":718947653509971971,"Inc":""},"_vena_ControleIndelingQRTSub_B1_R_3_718949073356980224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718949073356980224","DimensionId":3,"MemberId":718949073356980224,"Inc":""},"_vena_ControleIndelingQRTSub_B1_R_3_718949073365368832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718949073365368832","DimensionId":3,"MemberId":718949073365368832,"Inc":""},"_vena_ControleIndelingQRTSub_B1_R_3_718949073369563137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718949073369563137","DimensionId":3,"MemberId":718949073369563137,"Inc":""},"_vena_ControleIndelingQRTSub_B1_R_3_718949073373757441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718949073373757441","DimensionId":3,"MemberId":718949073373757441,"Inc":""},"_vena_ControleIndelingQRTSub_B1_R_3_718949073373757443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718949073373757443","DimensionId":3,"MemberId":718949073373757443,"Inc":""},"_vena_ControleIndelingQRTSub_B1_R_3_718949073377951745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718949073377951745","DimensionId":3,"MemberId":718949073377951745,"Inc":""},"_vena_ControleIndelingQRTSub_B1_R_3_718949073382146049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718949073382146049","DimensionId":3,"MemberId":718949073382146049,"Inc":""},"_vena_ControleIndelingQRTSub_B1_R_3_718949073382146051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718949073382146051","DimensionId":3,"MemberId":718949073382146051,"Inc":""},"_vena_ControleIndelingQRTSub_B1_R_3_718949073386340353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718949073386340353","DimensionId":3,"MemberId":718949073386340353,"Inc":""},"_vena_ControleIndelingQRTSub_B1_R_3_718949073390534657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718949073390534657","DimensionId":3,"MemberId":718949073390534657,"Inc":""},"_vena_ControleIndelingQRTSub_B1_R_3_718949073394728961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718949073394728961","DimensionId":3,"MemberId":718949073394728961,"Inc":""},"_vena_ControleIndelingQRTSub_B1_R_3_718949073394728963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718949073394728963","DimensionId":3,"MemberId":718949073394728963,"Inc":""},"_vena_ControleIndelingQRTSub_B1_R_3_718949073398923265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718949073398923265","DimensionId":3,"MemberId":718949073398923265,"Inc":""},"_vena_ControleIndelingQRTSub_B1_R_3_718949073403117569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718949073403117569","DimensionId":3,"MemberId":718949073403117569,"Inc":""},"_vena_ControleIndelingQRTSub_B1_R_3_718949073407311872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718949073407311872","DimensionId":3,"MemberId":718949073407311872,"Inc":""},"_vena_ControleIndelingQRTSub_B1_R_3_718949073411506177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718949073411506177","DimensionId":3,"MemberId":718949073411506177,"Inc":""},"_vena_ControleIndelingQRTSub_B1_R_3_718949073415700481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718949073415700481","DimensionId":3,"MemberId":718949073415700481,"Inc":""},"_vena_ControleIndelingQRTSub_B1_R_3_718949073415700483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718949073415700483","DimensionId":3,"MemberId":718949073415700483,"Inc":""},"_vena_ControleIndelingQRTSub_B1_R_3_718949073419894785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718949073419894785","DimensionId":3,"MemberId":718949073419894785,"Inc":""},"_vena_ControleIndelingQRTSub_B1_R_3_718949073424089089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718949073424089089","DimensionId":3,"MemberId":718949073424089089,"Inc":""},"_vena_ControleIndelingQRTSub_B1_R_3_718949073424089091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718949073424089091","DimensionId":3,"MemberId":718949073424089091,"Inc":""},"_vena_ControleIndelingQRTSub_B1_R_3_718949073428283393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718949073428283393","DimensionId":3,"MemberId":718949073428283393,"Inc":""},"_vena_ControleIndelingQRTSub_B1_R_3_718949073432477697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718949073432477697","DimensionId":3,"MemberId":718949073432477697,"Inc":""},"_vena_ControleIndelingQRTSub_B1_R_3_718949073432477699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718949073432477699","DimensionId":3,"MemberId":718949073432477699,"Inc":""},"_vena_ControleIndelingQRTSub_B1_R_3_718949073436672001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718949073436672001","DimensionId":3,"MemberId":718949073436672001,"Inc":""},"_vena_ControleIndelingQRTSub_B1_R_3_718949073440866305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718949073440866305","DimensionId":3,"MemberId":718949073440866305,"Inc":""},"_vena_ControleIndelingQRTSub_B1_R_3_718949073440866307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718949073440866307","DimensionId":3,"MemberId":718949073440866307,"Inc":""},"_vena_ControleIndelingQRTSub_B1_R_3_718949073445060609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718949073445060609","DimensionId":3,"MemberId":718949073445060609,"Inc":""},"_vena_ControleIndelingQRTSub_B1_R_3_718949073449254913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718949073449254913","DimensionId":3,"MemberId":718949073449254913,"Inc":""},"_vena_ControleIndelingQRTSub_B1_R_3_718949073453449218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718949073453449218","DimensionId":3,"MemberId":718949073453449218,"Inc":""},"_vena_ControleIndelingQRTSub_B1_R_3_718949073457643521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718949073457643521","DimensionId":3,"MemberId":718949073457643521,"Inc":""},"_vena_ControleIndelingQRTSub_B1_R_3_718949073457643523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718949073457643523","DimensionId":3,"MemberId":718949073457643523,"Inc":""},"_vena_ControleIndelingQRTSub_B1_R_3_718949073461837825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718949073461837825","DimensionId":3,"MemberId":718949073461837825,"Inc":""},"_vena_ControleIndelingQRTSub_B1_R_3_718949073466032129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718949073466032129","DimensionId":3,"MemberId":718949073466032129,"Inc":""},"_vena_ControleIndelingQRTSub_B1_R_3_718949073466032131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718949073466032131","DimensionId":3,"MemberId":718949073466032131,"Inc":""},"_vena_ControleIndelingQRTSub_B1_R_3_718949073470226433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718949073470226433","DimensionId":3,"MemberId":718949073470226433,"Inc":""},"_vena_ControleIndelingQRTSub_B1_R_3_718949073474420737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718949073474420737","DimensionId":3,"MemberId":718949073474420737,"Inc":""},"_vena_ControleIndelingQRTSub_B1_R_3_718949073478615041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718949073478615041","DimensionId":3,"MemberId":718949073478615041,"Inc":""},"_vena_ControleIndelingQRTSub_B1_R_3_718949073478615043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718949073478615043","DimensionId":3,"MemberId":718949073478615043,"Inc":""},"_vena_ControleIndelingQRTSub_B1_R_3_718949073482809345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718949073482809345","DimensionId":3,"MemberId":718949073482809345,"Inc":""},"_vena_ControleIndelingQRTSub_B1_R_3_718949073487003649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718949073487003649","DimensionId":3,"MemberId":718949073487003649,"Inc":""},"_vena_ControleIndelingQRTSub_B1_R_3_718949073487003651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718949073487003651","DimensionId":3,"MemberId":718949073487003651,"Inc":""},"_vena_ControleIndelingQRTSub_B1_R_3_718949073491197953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718949073491197953","DimensionId":3,"MemberId":718949073491197953,"Inc":""},"_vena_ControleIndelingQRTSub_B1_R_3_718949073499586560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718949073499586560","DimensionId":3,"MemberId":718949073499586560,"Inc":""},"_vena_ControleIndelingQRTSub_B1_R_3_718949073499586562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718949073499586562","DimensionId":3,"MemberId":718949073499586562,"Inc":""},"_vena_ControleIndelingQRTSub_B1_R_3_718949073503780865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718949073503780865","DimensionId":3,"MemberId":718949073503780865,"Inc":""},"_vena_ControleIndelingQRTSub_B1_R_3_718949073507975169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718949073507975169","DimensionId":3,"MemberId":718949073507975169,"Inc":""},"_vena_ControleIndelingQRTSub_B1_R_3_718949073507975171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718949073507975171","DimensionId":3,"MemberId":718949073507975171,"Inc":""},"_vena_ControleIndelingQRTSub_B1_R_3_718949073512169473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718949073512169473","DimensionId":3,"MemberId":718949073512169473,"Inc":""},"_vena_ControleIndelingQRTSub_B1_R_3_718949073516363777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718949073516363777","DimensionId":3,"MemberId":718949073516363777,"Inc":""},"_vena_ControleIndelingQRTSub_B1_R_3_718949073520558081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718949073520558081","DimensionId":3,"MemberId":718949073520558081,"Inc":""},"_vena_ControleIndelingQRTSub_B1_R_3_718949073520558083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718949073520558083","DimensionId":3,"MemberId":718949073520558083,"Inc":""},"_vena_ControleIndelingQRTSub_B1_R_3_718949073524752385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718949073524752385","DimensionId":3,"MemberId":718949073524752385,"Inc":""},"_vena_ControleIndelingQRTSub_B1_R_3_718949073528946689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718949073528946689","DimensionId":3,"MemberId":718949073528946689,"Inc":""},"_vena_ControleIndelingQRTSub_B1_R_3_718949073528946691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718949073528946691","DimensionId":3,"MemberId":718949073528946691,"Inc":""},"_vena_ControleIndelingQRTSub_B1_R_3_718949073533140993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718949073533140993","DimensionId":3,"MemberId":718949073533140993,"Inc":""},"_vena_ControleIndelingQRTSub_B1_R_3_718949073537335297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718949073537335297","DimensionId":3,"MemberId":718949073537335297,"Inc":""},"_vena_ControleIndelingQRTSub_B1_R_3_718949073537335299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718949073537335299","DimensionId":3,"MemberId":718949073537335299,"Inc":""},"_vena_ControleIndelingQRTSub_B1_R_3_718949073541529601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718949073541529601","DimensionId":3,"MemberId":718949073541529601,"Inc":""},"_vena_ControleIndelingQRTSub_B1_R_3_718949073545723905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718949073545723905","DimensionId":3,"MemberId":718949073545723905,"Inc":""},"_vena_ControleIndelingQRTSub_B1_R_3_718949073549918209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718949073549918209","DimensionId":3,"MemberId":718949073549918209,"Inc":""},"_vena_ControleIndelingQRTSub_B1_R_3_718949073558306816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718949073558306816","DimensionId":3,"MemberId":718949073558306816,"Inc":""},"_vena_ControleIndelingQRTSub_B1_R_3_718949073558306818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718949073558306818","DimensionId":3,"MemberId":718949073558306818,"Inc":""},"_vena_ControleIndelingQRTSub_B1_R_3_718949073566695424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718949073566695424","DimensionId":3,"MemberId":718949073566695424,"Inc":""},"_vena_ControleIndelingQRTSub_B1_R_3_718949073566695426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718949073566695426","DimensionId":3,"MemberId":718949073566695426,"Inc":""},"_vena_ControleIndelingQRTSub_B1_R_3_718949073575084032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718949073575084032","DimensionId":3,"MemberId":718949073575084032,"Inc":""},"_vena_ControleIndelingQRTSub_B1_R_3_718949073575084034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718949073575084034","DimensionId":3,"MemberId":718949073575084034,"Inc":""},"_vena_ControleIndelingQRTSub_B1_R_3_718949073579278337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718949073579278337","DimensionId":3,"MemberId":718949073579278337,"Inc":""},"_vena_ControleIndelingQRTSub_B1_R_3_718949073583472641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718949073583472641","DimensionId":3,"MemberId":718949073583472641,"Inc":""},"_vena_ControleIndelingQRTSub_B1_R_3_718949073583472643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718949073583472643","DimensionId":3,"MemberId":718949073583472643,"Inc":""},"_vena_ControleIndelingQRTSub_B1_R_3_718949073591861248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718949073591861248","DimensionId":3,"MemberId":718949073591861248,"Inc":""},"_vena_ControleIndelingQRTSub_B1_R_3_718949073596055552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718949073596055552","DimensionId":3,"MemberId":718949073596055552,"Inc":""},"_vena_ControleIndelingQRTSub_B1_R_3_718949073600249857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718949073600249857","DimensionId":3,"MemberId":718949073600249857,"Inc":""},"_vena_ControleIndelingQRTSub_B1_R_3_718949073608638464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718949073608638464","DimensionId":3,"MemberId":718949073608638464,"Inc":""},"_vena_ControleIndelingQRTSub_B1_R_3_718949073608638466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718949073608638466","DimensionId":3,"MemberId":718949073608638466,"Inc":""},"_vena_ControleIndelingQRTSub_B1_R_3_718949073612832769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718949073612832769","DimensionId":3,"MemberId":718949073612832769,"Inc":""},"_vena_ControleIndelingQRTSub_B1_R_3_718949073617027073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718949073617027073","DimensionId":3,"MemberId":718949073617027073,"Inc":""},"_vena_ControleIndelingQRTSub_B1_R_3_718949073621221376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718949073621221376","DimensionId":3,"MemberId":718949073621221376,"Inc":""},"_vena_ControleIndelingQRTSub_B1_R_3_718949073625415681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718949073625415681","DimensionId":3,"MemberId":718949073625415681,"Inc":""},"_vena_ControleIndelingQRTSub_B1_R_3_718949073629609985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718949073629609985","DimensionId":3,"MemberId":718949073629609985,"Inc":""},"_vena_ControleIndelingQRTSub_B1_R_3_718949073633804289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718949073633804289","DimensionId":3,"MemberId":718949073633804289,"Inc":""},"_vena_ControleIndelingQRTSub_B1_R_3_718949073637998593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718949073637998593","DimensionId":3,"MemberId":718949073637998593,"Inc":""},"_vena_ControleIndelingQRTSub_B1_R_3_718949073637998595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718949073637998595","DimensionId":3,"MemberId":718949073637998595,"Inc":""},"_vena_ControleIndelingQRTSub_B1_R_3_718949073642192897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718949073642192897","DimensionId":3,"MemberId":718949073642192897,"Inc":""},"_vena_ControleIndelingQRTSub_B1_R_3_718949073646387201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718949073646387201","DimensionId":3,"MemberId":718949073646387201,"Inc":""},"_vena_ControleIndelingQRTSub_B1_R_3_718949073650581505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718949073650581505","DimensionId":3,"MemberId":718949073650581505,"Inc":""},"_vena_ControleIndelingQRTSub_B1_R_3_718949073654775809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718949073654775809","DimensionId":3,"MemberId":718949073654775809,"Inc":""},"_vena_ControleIndelingQRTSub_B1_R_3_718949073654775811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718949073654775811","DimensionId":3,"MemberId":718949073654775811,"Inc":""},"_vena_ControleIndelingQRTSub_B1_R_3_718949073658970113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718949073658970113","DimensionId":3,"MemberId":718949073658970113,"Inc":""},"_vena_ControleIndelingQRTSub_B1_R_3_718949073663164417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718949073663164417","DimensionId":3,"MemberId":718949073663164417,"Inc":""},"_vena_ControleIndelingQRTSub_B1_R_3_718949073667358721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718949073667358721","DimensionId":3,"MemberId":718949073667358721,"Inc":""},"_vena_ControleIndelingQRTSub_B1_R_3_718949073667358723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718949073667358723","DimensionId":3,"MemberId":718949073667358723,"Inc":""},"_vena_ControleIndelingQRTSub_B1_R_3_718949073671553025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718949073671553025","DimensionId":3,"MemberId":718949073671553025,"Inc":""},"_vena_ControleIndelingQRTSub_B1_R_3_718949073675747329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718949073675747329","DimensionId":3,"MemberId":718949073675747329,"Inc":""},"_vena_ControleIndelingQRTSub_B1_R_3_718949073679941633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718949073679941633","DimensionId":3,"MemberId":718949073679941633,"Inc":""},"_vena_ControleIndelingQRTSub_B1_R_3_718949073684135937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718949073684135937","DimensionId":3,"MemberId":718949073684135937,"Inc":""},"_vena_ControleIndelingQRTSub_B1_R_3_718949073684135939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718949073684135939","DimensionId":3,"MemberId":718949073684135939,"Inc":""},"_vena_ControleIndelingQRTSub_B1_R_3_718949073688330241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718949073688330241","DimensionId":3,"MemberId":718949073688330241,"Inc":""},"_vena_ControleIndelingQRTSub_B1_R_3_718949073692524545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718949073692524545","DimensionId":3,"MemberId":718949073692524545,"Inc":""},"_vena_ControleIndelingQRTSub_B1_R_3_718949073696718849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718949073696718849","DimensionId":3,"MemberId":718949073696718849,"Inc":""},"_vena_ControleIndelingQRTSub_B1_R_3_718949073696718851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718949073696718851","DimensionId":3,"MemberId":718949073696718851,"Inc":""},"_vena_ControleIndelingQRTSub_B1_R_3_718949073700913153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718949073700913153","DimensionId":3,"MemberId":718949073700913153,"Inc":""},"_vena_ControleIndelingQRTSub_B1_R_3_718949073705107457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718949073705107457","DimensionId":3,"MemberId":718949073705107457,"Inc":""},"_vena_ControleIndelingQRTSub_B1_R_3_718949073705107459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718949073705107459","DimensionId":3,"MemberId":718949073705107459,"Inc":""},"_vena_ControleIndelingQRTSub_B1_R_3_718949073709301761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718949073709301761","DimensionId":3,"MemberId":718949073709301761,"Inc":""},"_vena_ControleIndelingQRTSub_B1_R_3_718949073713496065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718949073713496065","DimensionId":3,"MemberId":718949073713496065,"Inc":""},"_vena_ControleIndelingQRTSub_B1_R_3_718949073713496067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718949073713496067","DimensionId":3,"MemberId":718949073713496067,"Inc":""},"_vena_ControleIndelingQRTSub_B1_R_3_718949073717690369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718949073717690369","DimensionId":3,"MemberId":718949073717690369,"Inc":""},"_vena_ControleIndelingQRTSub_B1_R_3_718949073721884673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718949073721884673","DimensionId":3,"MemberId":718949073721884673,"Inc":""},"_vena_ControleIndelingQRTSub_B1_R_3_718949073726078977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718949073726078977","DimensionId":3,"MemberId":718949073726078977,"Inc":""},"_vena_ControleIndelingQRTSub_B1_R_3_718949073726078979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718949073726078979","DimensionId":3,"MemberId":718949073726078979,"Inc":""},"_vena_ControleIndelingQRTSub_B1_R_3_718949073730273281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718949073730273281","DimensionId":3,"MemberId":718949073730273281,"Inc":""},"_vena_ControleIndelingQRTSub_B1_R_3_718949073734467585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718949073734467585","DimensionId":3,"MemberId":718949073734467585,"Inc":""},"_vena_ControleIndelingQRTSub_B1_R_3_718949073734467587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718949073734467587","DimensionId":3,"MemberId":718949073734467587,"Inc":""},"_vena_ControleIndelingQRTSub_B1_R_3_718949073738661889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718949073738661889","DimensionId":3,"MemberId":718949073738661889,"Inc":""},"_vena_ControleIndelingQRTSub_B1_R_3_718949073742856193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718949073742856193","DimensionId":3,"MemberId":718949073742856193,"Inc":""},"_vena_ControleIndelingQRTSub_B1_R_3_718949073747050497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718949073747050497","DimensionId":3,"MemberId":718949073747050497,"Inc":""},"_vena_ControleIndelingQRTSub_B1_R_3_718949073751244801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718949073751244801","DimensionId":3,"MemberId":718949073751244801,"Inc":""},"_vena_ControleIndelingQRTSub_B1_R_3_718949073759633408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718949073759633408","DimensionId":3,"MemberId":718949073759633408,"Inc":""},"_vena_ControleIndelingQRTSub_B1_R_3_718949073763827713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718949073763827713","DimensionId":3,"MemberId":718949073763827713,"Inc":""},"_vena_ControleIndelingQRTSub_B1_R_3_718949073768022016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718949073768022016","DimensionId":3,"MemberId":718949073768022016,"Inc":""},"_vena_ControleIndelingQRTSub_B1_R_3_718949073772216321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718949073772216321","DimensionId":3,"MemberId":718949073772216321,"Inc":""},"_vena_ControleIndelingQRTSub_B1_R_3_718949073776410624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718949073776410624","DimensionId":3,"MemberId":718949073776410624,"Inc":""},"_vena_ControleIndelingQRTSub_B1_R_3_718949073780604928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718949073780604928","DimensionId":3,"MemberId":718949073780604928,"Inc":""},"_vena_ControleIndelingQRTSub_B1_R_3_718949073784799233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718949073784799233","DimensionId":3,"MemberId":718949073784799233,"Inc":""},"_vena_ControleIndelingQRTSub_B1_R_3_718949073788993536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718949073788993536","DimensionId":3,"MemberId":718949073788993536,"Inc":""},"_vena_ControleIndelingQRTSub_B1_R_3_718949073788993538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718949073788993538","DimensionId":3,"MemberId":718949073788993538,"Inc":""},"_vena_ControleIndelingQRTSub_B1_R_3_718949073793187841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718949073793187841","DimensionId":3,"MemberId":718949073793187841,"Inc":""},"_vena_ControleIndelingQRTSub_B1_R_3_718949073797382145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718949073797382145","DimensionId":3,"MemberId":718949073797382145,"Inc":""},"_vena_ControleIndelingQRTSub_B1_R_3_718949073801576449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718949073801576449","DimensionId":3,"MemberId":718949073801576449,"Inc":""},"_vena_ControleIndelingQRTSub_B1_R_3_718949073805770753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718949073805770753","DimensionId":3,"MemberId":718949073805770753,"Inc":""},"_vena_ControleIndelingQRTSub_B1_R_3_718949073809965057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718949073809965057","DimensionId":3,"MemberId":718949073809965057,"Inc":""},"_vena_ControleIndelingQRTSub_B1_R_3_718949073809965059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718949073809965059","DimensionId":3,"MemberId":718949073809965059,"Inc":""},"_vena_ControleIndelingQRTSub_B1_R_3_718949073818353664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718949073818353664","DimensionId":3,"MemberId":718949073818353664,"Inc":""},"_vena_ControleIndelingQRTSub_B1_R_3_718949073822547969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718949073822547969","DimensionId":3,"MemberId":718949073822547969,"Inc":""},"_vena_ControleIndelingQRTSub_B1_R_3_718949073826742273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718949073826742273","DimensionId":3,"MemberId":718949073826742273,"Inc":""},"_vena_ControleIndelingQRTSub_B1_R_3_718949073830936577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718949073830936577","DimensionId":3,"MemberId":718949073830936577,"Inc":""},"_vena_ControleIndelingQRTSub_B1_R_3_718949073835130881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718949073835130881","DimensionId":3,"MemberId":718949073835130881,"Inc":""},"_vena_ControleIndelingQRTSub_B1_R_3_718949073839325185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718949073839325185","DimensionId":3,"MemberId":718949073839325185,"Inc":""},"_vena_ControleIndelingQRTSub_B1_R_3_718949073839325187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718949073839325187","DimensionId":3,"MemberId":718949073839325187,"Inc":""},"_vena_ControleIndelingQRTSub_B1_R_3_718949073843519489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718949073843519489","DimensionId":3,"MemberId":718949073843519489,"Inc":""},"_vena_ControleIndelingQRTSub_B1_R_3_718949073847713793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718949073847713793","DimensionId":3,"MemberId":718949073847713793,"Inc":""},"_vena_ControleIndelingQRTSub_B1_R_3_718949073851908096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718949073851908096","DimensionId":3,"MemberId":718949073851908096,"Inc":""},"_vena_ControleIndelingQRTSub_B1_R_3_718949073856102401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718949073856102401","DimensionId":3,"MemberId":718949073856102401,"Inc":""},"_vena_ControleIndelingQRTSub_B1_R_3_718949073860296705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718949073860296705","DimensionId":3,"MemberId":718949073860296705,"Inc":""},"_vena_ControleIndelingQRTSub_B1_R_3_718949073860296707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718949073860296707","DimensionId":3,"MemberId":718949073860296707,"Inc":""},"_vena_ControleIndelingQRTSub_B1_R_3_718949073864491009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718949073864491009","DimensionId":3,"MemberId":718949073864491009,"Inc":""},"_vena_ControleIndelingQRTSub_B1_R_3_718949073868685313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718949073868685313","DimensionId":3,"MemberId":718949073868685313,"Inc":""},"_vena_ControleIndelingQRTSub_B1_R_3_718949073868685315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718949073868685315","DimensionId":3,"MemberId":718949073868685315,"Inc":""},"_vena_ControleIndelingQRTSub_B1_R_3_718949073872879617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718949073872879617","DimensionId":3,"MemberId":718949073872879617,"Inc":""},"_vena_ControleIndelingQRTSub_B1_R_3_718949073877073921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718949073877073921","DimensionId":3,"MemberId":718949073877073921,"Inc":""},"_vena_ControleIndelingQRTSub_B1_R_3_718949073881268225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718949073881268225","DimensionId":3,"MemberId":718949073881268225,"Inc":""},"_vena_ControleIndelingQRTSub_B1_R_3_718949073881268227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718949073881268227","DimensionId":3,"MemberId":718949073881268227,"Inc":""},"_vena_ControleIndelingQRTSub_B1_R_3_718949073885462529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718949073885462529","DimensionId":3,"MemberId":718949073885462529,"Inc":""},"_vena_ControleIndelingQRTSub_B1_R_3_718949073889656833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718949073889656833","DimensionId":3,"MemberId":718949073889656833,"Inc":""},"_vena_ControleIndelingQRTSub_B1_R_3_718949073893851137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718949073893851137","DimensionId":3,"MemberId":718949073893851137,"Inc":""},"_vena_ControleIndelingQRTSub_B1_R_3_718949073893851139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718949073893851139","DimensionId":3,"MemberId":718949073893851139,"Inc":""},"_vena_ControleIndelingQRTSub_B1_R_3_718949073898045441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718949073898045441","DimensionId":3,"MemberId":718949073898045441,"Inc":""},"_vena_ControleIndelingQRTSub_B1_R_3_718949073902239745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718949073902239745","DimensionId":3,"MemberId":718949073902239745,"Inc":""},"_vena_ControleIndelingQRTSub_B1_R_3_718949073902239747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718949073902239747","DimensionId":3,"MemberId":718949073902239747,"Inc":""},"_vena_ControleIndelingQRTSub_B1_R_3_718949073906434049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718949073906434049","DimensionId":3,"MemberId":718949073906434049,"Inc":""},"_vena_ControleIndelingQRTSub_B1_R_3_718949073910628353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718949073910628353","DimensionId":3,"MemberId":718949073910628353,"Inc":""},"_vena_ControleIndelingQRTSub_B1_R_3_718949073914822657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718949073914822657","DimensionId":3,"MemberId":718949073914822657,"Inc":""},"_vena_ControleIndelingQRTSub_B1_R_3_718949073914822659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718949073914822659","DimensionId":3,"MemberId":718949073914822659,"Inc":""},"_vena_ControleIndelingQRTSub_B1_R_3_718949073919016961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718949073919016961","DimensionId":3,"MemberId":718949073919016961,"Inc":""},"_vena_ControleIndelingQRTSub_B1_R_3_718949073923211265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718949073923211265","DimensionId":3,"MemberId":718949073923211265,"Inc":""},"_vena_ControleIndelingQRTSub_B1_R_3_718949073923211267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718949073923211267","DimensionId":3,"MemberId":718949073923211267,"Inc":""},"_vena_ControleIndelingQRTSub_B1_R_3_718949073927405569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718949073927405569","DimensionId":3,"MemberId":718949073927405569,"Inc":""},"_vena_ControleIndelingQRTSub_B1_R_3_718949073931599873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718949073931599873","DimensionId":3,"MemberId":718949073931599873,"Inc":""},"_vena_ControleIndelingQRTSub_B1_R_3_718949073935794176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718949073935794176","DimensionId":3,"MemberId":718949073935794176,"Inc":""},"_vena_ControleIndelingQRTSub_B1_R_3_718949073935794178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718949073935794178","DimensionId":3,"MemberId":718949073935794178,"Inc":""},"_vena_ControleIndelingQRTSub_B1_R_3_718949073939988481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718949073939988481","DimensionId":3,"MemberId":718949073939988481,"Inc":""},"_vena_ControleIndelingQRTSub_B1_R_3_718949073944182785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718949073944182785","DimensionId":3,"MemberId":718949073944182785,"Inc":""},"_vena_ControleIndelingQRTSub_B1_R_3_718949073944182787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718949073944182787","DimensionId":3,"MemberId":718949073944182787,"Inc":""},"_vena_ControleIndelingQRTSub_B1_R_3_718949073948377089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718949073948377089","DimensionId":3,"MemberId":718949073948377089,"Inc":""},"_vena_ControleIndelingQRTSub_B1_R_3_718949073952571393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718949073952571393","DimensionId":3,"MemberId":718949073952571393,"Inc":""},"_vena_ControleIndelingQRTSub_B1_R_3_718949073952571395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718949073952571395","DimensionId":3,"MemberId":718949073952571395,"Inc":""},"_vena_ControleIndelingQRTSub_B1_R_3_718949073956765697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718949073956765697","DimensionId":3,"MemberId":718949073956765697,"Inc":""},"_vena_ControleIndelingQRTSub_B1_R_3_718949073960960001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718949073960960001","DimensionId":3,"MemberId":718949073960960001,"Inc":""},"_vena_ControleIndelingQRTSub_B1_R_3_718949073965154304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718949073965154304","DimensionId":3,"MemberId":718949073965154304,"Inc":""},"_vena_ControleIndelingQRTSub_B1_R_3_718949073965154306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718949073965154306","DimensionId":3,"MemberId":718949073965154306,"Inc":""},"_vena_ControleIndelingQRTSub_B1_R_3_718949073969348609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718949073969348609","DimensionId":3,"MemberId":718949073969348609,"Inc":""},"_vena_ControleIndelingQRTSub_B1_R_3_718949073973542913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718949073973542913","DimensionId":3,"MemberId":718949073973542913,"Inc":""},"_vena_ControleIndelingQRTSub_B1_R_3_718949073973542915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718949073973542915","DimensionId":3,"MemberId":718949073973542915,"Inc":""},"_vena_ControleIndelingQRTSub_B1_R_3_718949073977737217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718949073977737217","DimensionId":3,"MemberId":718949073977737217,"Inc":""},"_vena_ControleIndelingQRTSub_B1_R_3_718949073981931521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718949073981931521","DimensionId":3,"MemberId":718949073981931521,"Inc":""},"_vena_ControleIndelingQRTSub_B1_R_3_718949073986125824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718949073986125824","DimensionId":3,"MemberId":718949073986125824,"Inc":""},"_vena_ControleIndelingQRTSub_B1_R_3_718949073990320129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718949073990320129","DimensionId":3,"MemberId":718949073990320129,"Inc":""},"_vena_ControleIndelingQRTSub_B1_R_3_718949073994514432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718949073994514432","DimensionId":3,"MemberId":718949073994514432,"Inc":""},"_vena_ControleIndelingQRTSub_B1_R_3_718949073998708737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718949073998708737","DimensionId":3,"MemberId":718949073998708737,"Inc":""},"_vena_ControleIndelingQRTSub_B1_R_3_718949073998708739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718949073998708739","DimensionId":3,"MemberId":718949073998708739,"Inc":""},"_vena_ControleIndelingQRTSub_B1_R_3_718949074002903041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718949074002903041","DimensionId":3,"MemberId":718949074002903041,"Inc":""},"_vena_ControleIndelingQRTSub_B1_R_3_718949074007097345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718949074007097345","DimensionId":3,"MemberId":718949074007097345,"Inc":""},"_vena_ControleIndelingQRTSub_B1_R_3_718949074011291649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718949074011291649","DimensionId":3,"MemberId":718949074011291649,"Inc":""},"_vena_ControleIndelingQRTSub_B1_R_3_718949074011291651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718949074011291651","DimensionId":3,"MemberId":718949074011291651,"Inc":""},"_vena_ControleIndelingQRTSub_B1_R_3_718949074015485953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718949074015485953","DimensionId":3,"MemberId":718949074015485953,"Inc":""},"_vena_ControleIndelingQRTSub_B1_R_3_718949074019680257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718949074019680257","DimensionId":3,"MemberId":718949074019680257,"Inc":""},"_vena_ControleIndelingQRTSub_B1_R_3_718949074019680259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718949074019680259","DimensionId":3,"MemberId":718949074019680259,"Inc":""},"_vena_ControleIndelingQRTSub_B1_R_3_718949074023874561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718949074023874561","DimensionId":3,"MemberId":718949074023874561,"Inc":""},"_vena_ControleIndelingQRTSub_B1_R_3_718949074028068865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718949074028068865","DimensionId":3,"MemberId":718949074028068865,"Inc":""},"_vena_ControleIndelingQRTSub_B1_R_3_718949074028068867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718949074028068867","DimensionId":3,"MemberId":718949074028068867,"Inc":""},"_vena_ControleIndelingQRTSub_B1_R_3_718949074032263169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718949074032263169","DimensionId":3,"MemberId":718949074032263169,"Inc":""},"_vena_ControleIndelingQRTSub_B1_R_3_718949074036457473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718949074036457473","DimensionId":3,"MemberId":718949074036457473,"Inc":""},"_vena_ControleIndelingQRTSub_B1_R_3_718949074036457475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718949074036457475","DimensionId":3,"MemberId":718949074036457475,"Inc":""},"_vena_ControleIndelingQRTSub_B1_R_3_718949074040651777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718949074040651777","DimensionId":3,"MemberId":718949074040651777,"Inc":""},"_vena_ControleIndelingQRTSub_B1_R_3_718949074044846081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718949074044846081","DimensionId":3,"MemberId":718949074044846081,"Inc":""},"_vena_ControleIndelingQRTSub_B1_R_3_718949074049040385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718949074049040385","DimensionId":3,"MemberId":718949074049040385,"Inc":""},"_vena_ControleIndelingQRTSub_B1_R_3_718949074049040387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718949074049040387","DimensionId":3,"MemberId":718949074049040387,"Inc":""},"_vena_ControleIndelingQRTSub_B1_R_3_718949074053234689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718949074053234689","DimensionId":3,"MemberId":718949074053234689,"Inc":""},"_vena_ControleIndelingQRTSub_B1_R_3_718949074057428993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718949074057428993","DimensionId":3,"MemberId":718949074057428993,"Inc":""},"_vena_ControleIndelingQRTSub_B1_R_3_718949074057428995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718949074057428995","DimensionId":3,"MemberId":718949074057428995,"Inc":""},"_vena_ControleIndelingQRTSub_B1_R_3_718949074061623297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718949074061623297","DimensionId":3,"MemberId":718949074061623297,"Inc":""},"_vena_ControleIndelingQRTSub_B1_R_3_718949074065817601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718949074065817601","DimensionId":3,"MemberId":718949074065817601,"Inc":""},"_vena_ControleIndelingQRTSub_B1_R_3_718949074065817603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718949074065817603","DimensionId":3,"MemberId":718949074065817603,"Inc":""},"_vena_ControleIndelingQRTSub_B1_R_3_718949074070011905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718949074070011905","DimensionId":3,"MemberId":718949074070011905,"Inc":""},"_vena_ControleIndelingQRTSub_B1_R_3_718949074074206209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718949074074206209","DimensionId":3,"MemberId":718949074074206209,"Inc":""},"_vena_ControleIndelingQRTSub_B1_R_3_718949074078400513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718949074078400513","DimensionId":3,"MemberId":718949074078400513,"Inc":""},"_vena_ControleIndelingQRTSub_B1_R_3_718949074078400515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718949074078400515","DimensionId":3,"MemberId":718949074078400515,"Inc":""},"_vena_ControleIndelingQRTSub_B1_R_3_718949074082594817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718949074082594817","DimensionId":3,"MemberId":718949074082594817,"Inc":""},"_vena_ControleIndelingQRTSub_B1_R_3_718949074086789121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718949074086789121","DimensionId":3,"MemberId":718949074086789121,"Inc":""},"_vena_ControleIndelingQRTSub_B1_R_3_718949074086789123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718949074086789123","DimensionId":3,"MemberId":718949074086789123,"Inc":""},"_vena_ControleIndelingQRTSub_B1_R_3_718949074090983425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718949074090983425","DimensionId":3,"MemberId":718949074090983425,"Inc":""},"_vena_ControleIndelingQRTSub_B1_R_3_718949074095177729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718949074095177729","DimensionId":3,"MemberId":718949074095177729,"Inc":""},"_vena_ControleIndelingQRTSub_B1_R_3_718949074095177731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718949074095177731","DimensionId":3,"MemberId":718949074095177731,"Inc":""},"_vena_ControleIndelingQRTSub_B1_R_3_718949074099372033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718949074099372033","DimensionId":3,"MemberId":718949074099372033,"Inc":""},"_vena_ControleIndelingQRTSub_B1_R_3_718949074103566337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718949074103566337","DimensionId":3,"MemberId":718949074103566337,"Inc":""},"_vena_ControleIndelingQRTSub_B1_R_3_718949074103566339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718949074103566339","DimensionId":3,"MemberId":718949074103566339,"Inc":""},"_vena_ControleIndelingQRTSub_B1_R_3_718949074111954944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718949074111954944","DimensionId":3,"MemberId":718949074111954944,"Inc":""},"_vena_ControleIndelingQRTSub_B1_R_3_718949074111954946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718949074111954946","DimensionId":3,"MemberId":718949074111954946,"Inc":""},"_vena_ControleIndelingQRTSub_B1_R_3_718949074116149249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718949074116149249","DimensionId":3,"MemberId":718949074116149249,"Inc":""},"_vena_ControleIndelingQRTSub_B1_R_3_718949074120343553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718949074120343553","DimensionId":3,"MemberId":718949074120343553,"Inc":""},"_vena_ControleIndelingQRTSub_B1_R_3_718949074124537857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718949074124537857","DimensionId":3,"MemberId":718949074124537857,"Inc":""},"_vena_ControleIndelingQRTSub_B1_R_3_718949074124537859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718949074124537859","DimensionId":3,"MemberId":718949074124537859,"Inc":""},"_vena_ControleIndelingQRTSub_B1_R_3_718949074128732161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718949074128732161","DimensionId":3,"MemberId":718949074128732161,"Inc":""},"_vena_ControleIndelingQRTSub_B1_R_3_718949074132926465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718949074132926465","DimensionId":3,"MemberId":718949074132926465,"Inc":""},"_vena_ControleIndelingQRTSub_B1_R_3_718949074132926467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718949074132926467","DimensionId":3,"MemberId":718949074132926467,"Inc":""},"_vena_ControleIndelingQRTSub_B1_R_3_718949074137120769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718949074137120769","DimensionId":3,"MemberId":718949074137120769,"Inc":""},"_vena_ControleIndelingQRTSub_B1_R_3_718949074141315073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718949074141315073","DimensionId":3,"MemberId":718949074141315073,"Inc":""},"_vena_ControleIndelingQRTSub_B1_R_3_718949074141315075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718949074141315075","DimensionId":3,"MemberId":718949074141315075,"Inc":""},"_vena_ControleIndelingQRTSub_B1_R_3_718949074145509377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718949074145509377","DimensionId":3,"MemberId":718949074145509377,"Inc":""},"_vena_ControleIndelingQRTSub_B1_R_3_718949074149703681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718949074149703681","DimensionId":3,"MemberId":718949074149703681,"Inc":""},"_vena_ControleIndelingQRTSub_B1_R_3_718949074153897985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718949074153897985","DimensionId":3,"MemberId":718949074153897985,"Inc":""},"_vena_ControleIndelingQRTSub_B1_R_3_718949074153897987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718949074153897987","DimensionId":3,"MemberId":718949074153897987,"Inc":""},"_vena_ControleIndelingQRTSub_B1_R_3_718949074158092289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718949074158092289","DimensionId":3,"MemberId":718949074158092289,"Inc":""},"_vena_ControleIndelingQRTSub_B1_R_3_718949074162286593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718949074162286593","DimensionId":3,"MemberId":718949074162286593,"Inc":""},"_vena_ControleIndelingQRTSub_B1_R_3_718949074162286595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718949074162286595","DimensionId":3,"MemberId":718949074162286595,"Inc":""},"_vena_ControleIndelingQRTSub_B1_R_3_718949074166480897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718949074166480897","DimensionId":3,"MemberId":718949074166480897,"Inc":""},"_vena_ControleIndelingQRTSub_B1_R_3_718949074170675201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718949074170675201","DimensionId":3,"MemberId":718949074170675201,"Inc":""},"_vena_ControleIndelingQRTSub_B1_R_3_718949074170675203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718949074170675203","DimensionId":3,"MemberId":718949074170675203,"Inc":""},"_vena_ControleIndelingQRTSub_B1_R_3_718949074174869505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718949074174869505","DimensionId":3,"MemberId":718949074174869505,"Inc":""},"_vena_ControleIndelingQRTSub_B1_R_3_718949074179063809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718949074179063809","DimensionId":3,"MemberId":718949074179063809,"Inc":""},"_vena_ControleIndelingQRTSub_B1_R_3_718949074179063811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718949074179063811","DimensionId":3,"MemberId":718949074179063811,"Inc":""},"_vena_ControleIndelingQRTSub_B1_R_3_718949074183258113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718949074183258113","DimensionId":3,"MemberId":718949074183258113,"Inc":""},"_vena_ControleIndelingQRTSub_B1_R_3_718949074187452417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718949074187452417","DimensionId":3,"MemberId":718949074187452417,"Inc":""},"_vena_ControleIndelingQRTSub_B1_R_3_718949074191646721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718949074191646721","DimensionId":3,"MemberId":718949074191646721,"Inc":""},"_vena_ControleIndelingQRTSub_B1_R_3_718949074191646723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718949074191646723","DimensionId":3,"MemberId":718949074191646723,"Inc":""},"_vena_ControleIndelingQRTSub_B1_R_3_718949074195841025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718949074195841025","DimensionId":3,"MemberId":718949074195841025,"Inc":""},"_vena_ControleIndelingQRTSub_B1_R_3_718949074200035329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718949074200035329","DimensionId":3,"MemberId":718949074200035329,"Inc":""},"_vena_ControleIndelingQRTSub_B1_R_3_718949074200035331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718949074200035331","DimensionId":3,"MemberId":718949074200035331,"Inc":""},"_vena_ControleIndelingQRTSub_B1_R_3_718949074204229633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718949074204229633","DimensionId":3,"MemberId":718949074204229633,"Inc":""},"_vena_ControleIndelingQRTSub_B1_R_3_718949074208423937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718949074208423937","DimensionId":3,"MemberId":718949074208423937,"Inc":""},"_vena_ControleIndelingQRTSub_B1_R_3_718949074212618241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718949074212618241","DimensionId":3,"MemberId":718949074212618241,"Inc":""},"_vena_ControleIndelingQRTSub_B1_R_3_718949074212618243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718949074212618243","DimensionId":3,"MemberId":718949074212618243,"Inc":""},"_vena_ControleIndelingQRTSub_B1_R_3_718949074221006848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718949074221006848","DimensionId":3,"MemberId":718949074221006848,"Inc":""},"_vena_ControleIndelingQRTSub_B1_R_3_718949074221006851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718949074221006851","DimensionId":3,"MemberId":718949074221006851,"Inc":""},"_vena_ControleIndelingQRTSub_B1_R_3_718949074225201153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718949074225201153","DimensionId":3,"MemberId":718949074225201153,"Inc":""},"_vena_ControleIndelingQRTSub_B1_R_3_718949074229395457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718949074229395457","DimensionId":3,"MemberId":718949074229395457,"Inc":""},"_vena_ControleIndelingQRTSub_B1_R_3_718949074229395459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718949074229395459","DimensionId":3,"MemberId":718949074229395459,"Inc":""},"_vena_ControleIndelingQRTSub_B1_R_3_718949074233589761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718949074233589761","DimensionId":3,"MemberId":718949074233589761,"Inc":""},"_vena_ControleIndelingQRTSub_B1_R_3_718949074237784065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718949074237784065","DimensionId":3,"MemberId":718949074237784065,"Inc":""},"_vena_ControleIndelingQRTSub_B1_R_3_718949074237784067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718949074237784067","DimensionId":3,"MemberId":718949074237784067,"Inc":""},"_vena_ControleIndelingQRTSub_B1_R_3_718949074241978369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718949074241978369","DimensionId":3,"MemberId":718949074241978369,"Inc":""},"_vena_ControleIndelingQRTSub_B1_R_3_718949074246172673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718949074246172673","DimensionId":3,"MemberId":718949074246172673,"Inc":""},"_vena_ControleIndelingQRTSub_B1_R_3_718949074246172675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718949074246172675","DimensionId":3,"MemberId":718949074246172675,"Inc":""},"_vena_ControleIndelingQRTSub_B1_R_3_718949074250366977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718949074250366977","DimensionId":3,"MemberId":718949074250366977,"Inc":""},"_vena_ControleIndelingQRTSub_B1_R_3_718949074254561281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718949074254561281","DimensionId":3,"MemberId":718949074254561281,"Inc":""},"_vena_ControleIndelingQRTSub_B1_R_3_718949074258755585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718949074258755585","DimensionId":3,"MemberId":718949074258755585,"Inc":""},"_vena_ControleIndelingQRTSub_B1_R_3_718949074258755587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718949074258755587","DimensionId":3,"MemberId":718949074258755587,"Inc":""},"_vena_ControleIndelingQRTSub_B1_R_3_718949074262949889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718949074262949889","DimensionId":3,"MemberId":718949074262949889,"Inc":""},"_vena_ControleIndelingQRTSub_B1_R_3_718949074267144193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718949074267144193","DimensionId":3,"MemberId":718949074267144193,"Inc":""},"_vena_ControleIndelingQRTSub_B1_R_3_718949074267144195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718949074267144195","DimensionId":3,"MemberId":718949074267144195,"Inc":""},"_vena_ControleIndelingQRTSub_B1_R_3_718949074271338497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718949074271338497","DimensionId":3,"MemberId":718949074271338497,"Inc":""},"_vena_ControleIndelingQRTSub_B1_R_3_725369226873012224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725369226873012224","DimensionId":3,"MemberId":725369226873012224,"Inc":""},"_vena_ControleIndelingQRTSub_B1_R_3_741036978346524672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741036978346524672","DimensionId":3,"MemberId":741036978346524672,"Inc":""},"_vena_ControleIndelingQRTSub_B1_R_3_741036978350718977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741036978350718977","DimensionId":3,"MemberId":741036978350718977,"Inc":""},"_vena_ControleIndelingQRTSub_B1_R_3_741036978350718979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741036978350718979","DimensionId":3,"MemberId":741036978350718979,"Inc":""},"_vena_ControleIndelingQRTSub_B1_R_3_741036978354913281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741036978354913281","DimensionId":3,"MemberId":741036978354913281,"Inc":""},"_vena_ControleIndelingQRTSub_B1_R_3_741036978354913283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741036978354913283","DimensionId":3,"MemberId":741036978354913283,"Inc":""},"_vena_ControleIndelingQRTSub_B1_R_3_741036978354913285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741036978354913285","DimensionId":3,"MemberId":741036978354913285,"Inc":""},"_vena_ControleIndelingQRTSub_B1_R_3_741036978359107585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741036978359107585","DimensionId":3,"MemberId":741036978359107585,"Inc":""},"_vena_ControleIndelingQRTSub_B1_R_3_741036978359107587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741036978359107587","DimensionId":3,"MemberId":741036978359107587,"Inc":""},"_vena_ControleIndelingQRTSub_B1_R_3_741036978359107589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741036978359107589","DimensionId":3,"MemberId":741036978359107589,"Inc":""},"_vena_ControleIndelingQRTSub_B1_R_3_741036978363301889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741036978363301889","DimensionId":3,"MemberId":741036978363301889,"Inc":""},"_vena_ControleIndelingQRTSub_B1_R_3_741036978363301891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741036978363301891","DimensionId":3,"MemberId":741036978363301891,"Inc":""},"_vena_ControleIndelingQRTSub_B1_R_3_741036978367496193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741036978367496193","DimensionId":3,"MemberId":741036978367496193,"Inc":""},"_vena_ControleIndelingQRTSub_B1_R_3_741036978367496195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741036978367496195","DimensionId":3,"MemberId":741036978367496195,"Inc":""},"_vena_ControleIndelingQRTSub_B1_R_3_741036978367496197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741036978367496197","DimensionId":3,"MemberId":741036978367496197,"Inc":""},"_vena_ControleIndelingQRTSub_B1_R_3_741036978371690497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741036978371690497","DimensionId":3,"MemberId":741036978371690497,"Inc":""},"_vena_ControleIndelingQRTSub_B1_R_3_741036978371690499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741036978371690499","DimensionId":3,"MemberId":741036978371690499,"Inc":""},"_vena_ControleIndelingQRTSub_B1_R_3_741036978375884801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741036978375884801","DimensionId":3,"MemberId":741036978375884801,"Inc":""},"_vena_ControleIndelingQRTSub_B1_R_3_741036978375884803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741036978375884803","DimensionId":3,"MemberId":741036978375884803,"Inc":""},"_vena_ControleIndelingQRTSub_B1_R_3_741036978375884805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741036978375884805","DimensionId":3,"MemberId":741036978375884805,"Inc":""},"_vena_ControleIndelingQRTSub_B1_R_3_741036978380079105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741036978380079105","DimensionId":3,"MemberId":741036978380079105,"Inc":""},"_vena_ControleIndelingQRTSub_B1_R_3_741036978380079107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741036978380079107","DimensionId":3,"MemberId":741036978380079107,"Inc":""},"_vena_ControleIndelingQRTSub_B1_R_3_741036978380079109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741036978380079109","DimensionId":3,"MemberId":741036978380079109,"Inc":""},"_vena_ControleIndelingQRTSub_B1_R_3_741036978384273409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741036978384273409","DimensionId":3,"MemberId":741036978384273409,"Inc":""},"_vena_ControleIndelingQRTSub_B1_R_3_741036978384273411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741036978384273411","DimensionId":3,"MemberId":741036978384273411,"Inc":""},"_vena_ControleIndelingQRTSub_B1_R_3_741036978384273413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741036978384273413","DimensionId":3,"MemberId":741036978384273413,"Inc":""},"_vena_ControleIndelingQRTSub_B1_R_3_741036978388467713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741036978388467713","DimensionId":3,"MemberId":741036978388467713,"Inc":""},"_vena_ControleIndelingQRTSub_B1_R_3_741036978388467715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741036978388467715","DimensionId":3,"MemberId":741036978388467715,"Inc":""},"_vena_ControleIndelingQRTSub_B1_R_3_741036978392662016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741036978392662016","DimensionId":3,"MemberId":741036978392662016,"Inc":""},"_vena_ControleIndelingQRTSub_B1_R_3_745374605280018432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745374605280018432","DimensionId":3,"MemberId":745374605280018432,"Inc":""},"_vena_ControleIndelingQRTSub_B1_R_3_745375016732721152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745375016732721152","DimensionId":3,"MemberId":745375016732721152,"Inc":""},"_vena_ControleIndelingQRTSub_B1_R_3_745375106469593088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745375106469593088","DimensionId":3,"MemberId":745375106469593088,"Inc":""},"_vena_ControleIndelingQRTSub_B1_R_3_787067506366873601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787067506366873601","DimensionId":3,"MemberId":787067506366873601,"Inc":""},"_vena_ControleIndelingQRTSub_B1_R_3_787067506375262209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787067506375262209","DimensionId":3,"MemberId":787067506375262209,"Inc":""},"_vena_ControleIndelingQRTSub_B1_R_3_787067506396233730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787067506396233730","DimensionId":3,"MemberId":787067506396233730,"Inc":""},"_vena_ControleIndelingQRTSub_B1_R_3_787067506400428033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787067506400428033","DimensionId":3,"MemberId":787067506400428033,"Inc":""},"_vena_ControleIndelingQRTSub_B1_R_3_787067506425593862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787067506425593862","DimensionId":3,"MemberId":787067506425593862,"Inc":""},"_vena_ControleIndelingQRTSub_B1_R_3_787067506429788172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787067506429788172","DimensionId":3,"MemberId":787067506429788172,"Inc":""},"_vena_ControleIndelingQRTSub_B1_R_3_787067506442371085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787067506442371085","DimensionId":3,"MemberId":787067506442371085,"Inc":""},"_vena_ControleIndelingQRTSub_B1_R_3_787067506459148326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787067506459148326","DimensionId":3,"MemberId":787067506459148326,"Inc":""},"_vena_ControleIndelingQRTSub_B1_R_3_787067506467536902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787067506467536902","DimensionId":3,"MemberId":787067506467536902,"Inc":""},"_vena_ControleIndelingQRTSub_B1_R_3_787067506484314126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787067506484314126","DimensionId":3,"MemberId":787067506484314126,"Inc":""},"_vena_ControleIndelingQRTSub_B1_R_3_787067506509479942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787067506509479942","DimensionId":3,"MemberId":787067506509479942,"Inc":""},"_vena_ControleIndelingQRTSub_B1_R_3_787067506526257152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787067506526257152","DimensionId":3,"MemberId":787067506526257152,"Inc":""},"_vena_ControleIndelingQRTSub_B1_R_3_848292094858231812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848292094858231812","DimensionId":3,"MemberId":848292094858231812,"Inc":""},"_vena_ControleIndelingQRTSub_B1_R_3_947147459226107910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947147459226107910","DimensionId":3,"MemberId":947147459226107910,"Inc":""},"_vena_ControleIndelingQRTSub_B1_R_3_947147459238690817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947147459238690817","DimensionId":3,"MemberId":947147459238690817,"Inc":""},"_vena_ControleIndelingQRTSub_B1_R_3_947147459259662336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947147459259662336","DimensionId":3,"MemberId":947147459259662336,"Inc":""},"_vena_ControleIndelingQRTSub_B1_R_3_947147459272245252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947147459272245252","DimensionId":3,"MemberId":947147459272245252,"Inc":""},"_vena_ControleIndelingQRTSub_B1_R_3_947147459276439554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947147459276439554","DimensionId":3,"MemberId":947147459276439554,"Inc":""},"_vena_ControleIndelingQRTSub_B1_R_3_947147459284828166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947147459284828166","DimensionId":3,"MemberId":947147459284828166,"Inc":""},"_vena_ControleIndelingQRTSub_B1_R_3_947147459297411075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947147459297411075","DimensionId":3,"MemberId":947147459297411075,"Inc":""},"_vena_ControleIndelingQRTSub_B1_R_3_947147459318382595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947147459318382595","DimensionId":3,"MemberId":947147459318382595,"Inc":""},"_vena_ControleIndelingQRTSub_B1_R_3_947147459322576897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947147459322576897","DimensionId":3,"MemberId":947147459322576897,"Inc":""},"_vena_ControleIndelingQRTSub_B1_R_3_947147459377102859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947147459377102859","DimensionId":3,"MemberId":947147459377102859,"Inc":""},"_vena_ControleIndelingQRTSub_B1_R_3_947147459385491457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947147459385491457","DimensionId":3,"MemberId":947147459385491457,"Inc":""},"_vena_ControleIndelingQRTSub_B1_R_3_982737416803450901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982737416803450901","DimensionId":3,"MemberId":982737416803450901,"Inc":""},"_vena_ControleIndelingQRTSub_B1_R_3_982737416811839488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982737416811839488","DimensionId":3,"MemberId":982737416811839488,"Inc":""},"_vena_ControleIndelingQRTSub_B1_R_3_982737416862171137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B1","VenaRangeType":1,"DimensionIdStr":"3","MemberIdStr":"982737416862171137","DimensionId":3,"MemberId":982737416862171137,"Inc":""},"_vena_ControleIndelingQRTSub_P_4_718931129058590721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VenaRangeType":0,"DimensionIdStr":"4","MemberIdStr":"718931129058590721","DimensionId":4,"MemberId":718931129058590721,"Inc":""},"_vena_ControleIndelingQRTSub_P_5_718931142656917509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VenaRangeType":0,"DimensionIdStr":"5","MemberIdStr":"718931142656917509","DimensionId":5,"MemberId":718931142656917509,"Inc":""},"_vena_ControleIndelingQRTSub_P_6_730565783391305729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VenaRangeType":0,"DimensionIdStr":"6","MemberIdStr":"730565783391305729","DimensionId":6,"MemberId":730565783391305729,"Inc":""},"_vena_ControleIndelingQRTSub_P_7_720673044374355968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ControleIndelingQRTSub","BlockName":"","VenaRangeType":0,"DimensionIdStr":"7","MemberIdStr":"720673044374355968","DimensionId":7,"MemberId":720673044374355968,"Inc":""},"_vena_DYNR_SControleIndelingEPR_BB1_f8b5799c":{"SourceGlobalVariableId":-1,"SourceFormVariableId":"00000000-0000-0000-0000-000000000000","IsPageVariable":false,"IsLineItemDetailEnabled":false,"LineItemDetailOrder":0,"LineItemID":null,"PageVariableSectionReference":"","PageVariableDimensionName":null,"IsDynamicRange":true,"IsDynamicRangeEntry":false,"DynamicRangeID":"f8b5799c","DynamicRangeEntryID":null,"IsMultiDynamicRange":false,"MultiDynamicRangeID":null,"MultiDynamicCollectionID":null,"SectionName":"ControleIndelingEPR","BlockName":"B1","VenaRangeType":5,"DimensionIdStr":"-1","MemberIdStr":"-1","DimensionId":-1,"MemberId":-1,"Inc":""},"_vena_DYNR_SControleIndelingEPR_BB1_f8b5799c_3e711acd":{"SourceGlobalVariableId":-1,"SourceFormVariableId":"00000000-0000-0000-0000-000000000000","IsPageVariable":false,"IsLineItemDetailEnabled":false,"LineItemDetailOrder":0,"LineItemID":null,"PageVariableSectionReference":"","PageVariableDimensionName":null,"IsDynamicRange":true,"IsDynamicRangeEntry":true,"DynamicRangeID":"f8b5799c","DynamicRangeEntryID":"3e711acd","IsMultiDynamicRange":false,"MultiDynamicRangeID":null,"MultiDynamicCollectionID":null,"SectionName":"ControleIndelingEPR","BlockName":"B1","VenaRangeType":5,"DimensionIdStr":"-1","MemberIdStr":"-1","DimensionId":-1,"MemberId":-1,"Inc":""},"_vena_DYNR_SControleIndelingEPR_BB1_f8b5799c_82beed20":{"SourceGlobalVariableId":-1,"SourceFormVariableId":"00000000-0000-0000-0000-000000000000","IsPageVariable":false,"IsLineItemDetailEnabled":false,"LineItemDetailOrder":0,"LineItemID":null,"PageVariableSectionReference":"","PageVariableDimensionName":null,"IsDynamicRange":true,"IsDynamicRangeEntry":true,"DynamicRangeID":"f8b5799c","DynamicRangeEntryID":"82beed20","IsMultiDynamicRange":false,"MultiDynamicRangeID":null,"MultiDynamicCollectionID":null,"SectionName":"ControleIndelingEPR","BlockName":"B1","VenaRangeType":5,"DimensionIdStr":"-1","MemberIdStr":"-1","DimensionId":-1,"MemberId":-1,"Inc":""},"_vena_DYNR_SControleIndelingEPR_BB1_f8b5799c_95645131":{"SourceGlobalVariableId":-1,"SourceFormVariableId":"00000000-0000-0000-0000-000000000000","IsPageVariable":false,"IsLineItemDetailEnabled":false,"LineItemDetailOrder":0,"LineItemID":null,"PageVariableSectionReference":"","PageVariableDimensionName":null,"IsDynamicRange":true,"IsDynamicRangeEntry":true,"DynamicRangeID":"f8b5799c","DynamicRangeEntryID":"95645131","IsMultiDynamicRange":false,"MultiDynamicRangeID":null,"MultiDynamicCollectionID":null,"SectionName":"ControleIndelingEPR","BlockName":"B1","VenaRangeType":5,"DimensionIdStr":"-1","MemberIdStr":"-1","DimensionId":-1,"MemberId":-1,"Inc":""},"_vena_DYNR_SControleIndelingEPR_BB1_f8b5799c_a7bc0dcd":{"SourceGlobalVariableId":-1,"SourceFormVariableId":"00000000-0000-0000-0000-000000000000","IsPageVariable":false,"IsLineItemDetailEnabled":false,"LineItemDetailOrder":0,"LineItemID":null,"PageVariableSectionReference":"","PageVariableDimensionName":null,"IsDynamicRange":true,"IsDynamicRangeEntry":true,"DynamicRangeID":"f8b5799c","DynamicRangeEntryID":"a7bc0dcd","IsMultiDynamicRange":false,"MultiDynamicRangeID":null,"MultiDynamicCollectionID":null,"SectionName":"ControleIndelingEPR","BlockName":"B1","VenaRangeType":5,"DimensionIdStr":"-1","MemberIdStr":"-1","DimensionId":-1,"MemberId":-1,"Inc":""},"_vena_DYNR_SControleIndelingEPR_BB1_f8b5799c_a8271f4c":{"SourceGlobalVariableId":-1,"SourceFormVariableId":"00000000-0000-0000-0000-000000000000","IsPageVariable":false,"IsLineItemDetailEnabled":false,"LineItemDetailOrder":0,"LineItemID":null,"PageVariableSectionReference":"","PageVariableDimensionName":null,"IsDynamicRange":true,"IsDynamicRangeEntry":true,"DynamicRangeID":"f8b5799c","DynamicRangeEntryID":"a8271f4c","IsMultiDynamicRange":false,"MultiDynamicRangeID":null,"MultiDynamicCollectionID":null,"SectionName":"ControleIndelingEPR","BlockName":"B1","VenaRangeType":5,"DimensionIdStr":"-1","MemberIdStr":"-1","DimensionId":-1,"MemberId":-1,"Inc":""},"_vena_DYNR_SControleIndelingEPR_BB1_f8b5799c_f0df2242":{"SourceGlobalVariableId":-1,"SourceFormVariableId":"00000000-0000-0000-0000-000000000000","IsPageVariable":false,"IsLineItemDetailEnabled":false,"LineItemDetailOrder":0,"LineItemID":null,"PageVariableSectionReference":"","PageVariableDimensionName":null,"IsDynamicRange":true,"IsDynamicRangeEntry":true,"DynamicRangeID":"f8b5799c","DynamicRangeEntryID":"f0df2242","IsMultiDynamicRange":false,"MultiDynamicRangeID":null,"MultiDynamicCollectionID":null,"SectionName":"ControleIndelingEPR","BlockName":"B1","VenaRangeType":5,"DimensionIdStr":"-1","MemberIdStr":"-1","DimensionId":-1,"MemberId":-1,"Inc":""},"_vena_DYNR_SControleIndelingHRG_BB1_183a5d0f":{"SourceGlobalVariableId":-1,"SourceFormVariableId":"00000000-0000-0000-0000-000000000000","IsPageVariable":false,"IsLineItemDetailEnabled":false,"LineItemDetailOrder":0,"LineItemID":null,"PageVariableSectionReference":"","PageVariableDimensionName":null,"IsDynamicRange":true,"IsDynamicRangeEntry":false,"DynamicRangeID":"183a5d0f","DynamicRangeEntryID":null,"IsMultiDynamicRange":false,"MultiDynamicRangeID":null,"MultiDynamicCollectionID":null,"SectionName":"ControleIndelingHRG","BlockName":"B1","VenaRangeType":5,"DimensionIdStr":"-1","MemberIdStr":"-1","DimensionId":-1,"MemberId":-1,"Inc":""},"_vena_DYNR_SControleIndelingHRG_BB1_183a5d0f_15734136":{"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15734136","IsMultiDynamicRange":false,"MultiDynamicRangeID":null,"MultiDynamicCollectionID":null,"SectionName":"ControleIndelingHRG","BlockName":"B1","VenaRangeType":5,"DimensionIdStr":"-1","MemberIdStr":"-1","DimensionId":-1,"MemberId":-1,"Inc":""},"_vena_DYNR_SControleIndelingHRG_BB1_183a5d0f_3456bc71":{"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3456bc71","IsMultiDynamicRange":false,"MultiDynamicRangeID":null,"MultiDynamicCollectionID":null,"SectionName":"ControleIndelingHRG","BlockName":"B1","VenaRangeType":5,"DimensionIdStr":"-1","MemberIdStr":"-1","DimensionId":-1,"MemberId":-1,"Inc":""},"_vena_DYNR_SControleIndelingHRG_BB1_183a5d0f_5314df43":{"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5314df43","IsMultiDynamicRange":false,"MultiDynamicRangeID":null,"MultiDynamicCollectionID":null,"SectionName":"ControleIndelingHRG","BlockName":"B1","VenaRangeType":5,"DimensionIdStr":"-1","MemberIdStr":"-1","DimensionId":-1,"MemberId":-1,"Inc":""},"_vena_DYNR_SControleIndelingHRG_BB1_183a5d0f_5cb92276":{"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5cb92276","IsMultiDynamicRange":false,"MultiDynamicRangeID":null,"MultiDynamicCollectionID":null,"SectionName":"ControleIndelingHRG","BlockName":"B1","VenaRangeType":5,"DimensionIdStr":"-1","MemberIdStr":"-1","DimensionId":-1,"MemberId":-1,"Inc":""},"_vena_DYNR_SControleIndelingHRG_BB1_183a5d0f_61a8ed04":{"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61a8ed04","IsMultiDynamicRange":false,"MultiDynamicRangeID":null,"MultiDynamicCollectionID":null,"SectionName":"ControleIndelingHRG","BlockName":"B1","VenaRangeType":5,"DimensionIdStr":"-1","MemberIdStr":"-1","DimensionId":-1,"MemberId":-1,"Inc":""},"_vena_DYNR_SControleIndelingHRG_BB1_183a5d0f_8cd1f626":{"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8cd1f626","IsMultiDynamicRange":false,"MultiDynamicRangeID":null,"MultiDynamicCollectionID":null,"SectionName":"ControleIndelingHRG","BlockName":"B1","VenaRangeType":5,"DimensionIdStr":"-1","MemberIdStr":"-1","DimensionId":-1,"MemberId":-1,"Inc":""},"_vena_DYNR_SControleIndelingHRG_BB1_183a5d0f_8dc11b88":{"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8dc11b88","IsMultiDynamicRange":false,"MultiDynamicRangeID":null,"MultiDynamicCollectionID":null,"SectionName":"ControleIndelingHRG","BlockName":"B1","VenaRangeType":5,"DimensionIdStr":"-1","MemberIdStr":"-1","DimensionId":-1,"MemberId":-1,"Inc":""},"_vena_DYNR_SControleIndelingHRG_BB1_183a5d0f_900b468d":{"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900b468d","IsMultiDynamicRange":false,"MultiDynamicRangeID":null,"MultiDynamicCollectionID":null,"SectionName":"ControleIndelingHRG","BlockName":"B1","VenaRangeType":5,"DimensionIdStr":"-1","MemberIdStr":"-1","DimensionId":-1,"MemberId":-1,"Inc":""},"_vena_DYNR_SControleIndelingHRG_BB1_183a5d0f_d0ff11d4":{"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d0ff11d4","IsMultiDynamicRange":false,"MultiDynamicRangeID":null,"MultiDynamicCollectionID":null,"SectionName":"ControleIndelingHRG","BlockName":"B1","VenaRangeType":5,"DimensionIdStr":"-1","MemberIdStr":"-1","DimensionId":-1,"MemberId":-1,"Inc":""},"_vena_DYNR_SControleIndelingHRG_BB1_183a5d0f_d9e1395b":{"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d9e1395b","IsMultiDynamicRange":false,"MultiDynamicRangeID":null,"MultiDynamicCollectionID":null,"SectionName":"ControleIndelingHRG","BlockName":"B1","VenaRangeType":5,"DimensionIdStr":"-1","MemberIdStr":"-1","DimensionId":-1,"MemberId":-1,"Inc":""},"_vena_DYNR_SControleIndelingHRG_BB1_183a5d0f_e2ce121f":{"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e2ce121f","IsMultiDynamicRange":false,"MultiDynamicRangeID":null,"MultiDynamicCollectionID":null,"SectionName":"ControleIndelingHRG","BlockName":"B1","VenaRangeType":5,"DimensionIdStr":"-1","MemberIdStr":"-1","DimensionId":-1,"MemberId":-1,"Inc":""},"_vena_DYNR_SControleIndelingHRG_BB1_183a5d0f_f80d6f0c":{"SourceGlobalVariableId":-1,"SourceFormVariableId":"00000000-0000-0000-0000-000000000000","IsPageVariable":false,"IsLineItemDetailEnabled":false,"LineItemDetailOrder":0,"LineItemID":null,"PageVariableSectionReference":"","PageVariableDimensionName":null,"IsDynamicRange":true,"IsDynamicRangeEntry":true,"DynamicRangeID":"183a5d0f","DynamicRangeEntryID":"f80d6f0c","IsMultiDynamicRange":false,"MultiDynamicRangeID":null,"MultiDynamicCollectionID":null,"SectionName":"ControleIndelingHRG","BlockName":"B1","VenaRangeType":5,"DimensionIdStr":"-1","MemberIdStr":"-1","DimensionId":-1,"MemberId":-1,"Inc":""},"_vena_DYNR_SControleIndelingHRG_BB1_1cc39456":{"SourceGlobalVariableId":-1,"SourceFormVariableId":"00000000-0000-0000-0000-000000000000","IsPageVariable":false,"IsLineItemDetailEnabled":false,"LineItemDetailOrder":0,"LineItemID":null,"PageVariableSectionReference":"","PageVariableDimensionName":null,"IsDynamicRange":true,"IsDynamicRangeEntry":false,"DynamicRangeID":"1cc39456","DynamicRangeEntryID":null,"IsMultiDynamicRange":false,"MultiDynamicRangeID":null,"MultiDynamicCollectionID":null,"SectionName":"ControleIndelingHRG","BlockName":"B1","VenaRangeType":5,"DimensionIdStr":"-1","MemberIdStr":"-1","DimensionId":-1,"MemberId":-1,"Inc":""},"_vena_DYNR_SControleIndelingHRG_BB1_1cc39456_d56df079":{"SourceGlobalVariableId":-1,"SourceFormVariableId":"00000000-0000-0000-0000-000000000000","IsPageVariable":false,"IsLineItemDetailEnabled":false,"LineItemDetailOrder":0,"LineItemID":null,"PageVariableSectionReference":"","PageVariableDimensionName":null,"IsDynamicRange":true,"IsDynamicRangeEntry":true,"DynamicRangeID":"1cc39456","DynamicRangeEntryID":"d56df079","IsMultiDynamicRange":false,"MultiDynamicRangeID":null,"MultiDynamicCollectionID":null,"SectionName":"ControleIndelingHRG","BlockName":"B1","VenaRangeType":5,"DimensionIdStr":"-1","MemberIdStr":"-1","DimensionId":-1,"MemberId":-1,"Inc":""},"_vena_DYNR_SControleIndelingHRG_BB1_265c482c":{"SourceGlobalVariableId":-1,"SourceFormVariableId":"00000000-0000-0000-0000-000000000000","IsPageVariable":false,"IsLineItemDetailEnabled":false,"LineItemDetailOrder":0,"LineItemID":null,"PageVariableSectionReference":"","PageVariableDimensionName":null,"IsDynamicRange":true,"IsDynamicRangeEntry":false,"DynamicRangeID":"265c482c","DynamicRangeEntryID":null,"IsMultiDynamicRange":false,"MultiDynamicRangeID":null,"MultiDynamicCollectionID":null,"SectionName":"ControleIndelingHRG","BlockName":"B1","VenaRangeType":5,"DimensionIdStr":"-1","MemberIdStr":"-1","DimensionId":-1,"MemberId":-1,"Inc":""},"_vena_DYNR_SControleIndelingHRG_BB1_265c482c_343645d1":{"SourceGlobalVariableId":-1,"SourceFormVariableId":"00000000-0000-0000-0000-000000000000","IsPageVariable":false,"IsLineItemDetailEnabled":false,"LineItemDetailOrder":0,"LineItemID":null,"PageVariableSectionReference":"","PageVariableDimensionName":null,"IsDynamicRange":true,"IsDynamicRangeEntry":true,"DynamicRangeID":"265c482c","DynamicRangeEntryID":"343645d1","IsMultiDynamicRange":false,"MultiDynamicRangeID":null,"MultiDynamicCollectionID":null,"SectionName":"ControleIndelingHRG","BlockName":"B1","VenaRangeType":5,"DimensionIdStr":"-1","MemberIdStr":"-1","DimensionId":-1,"MemberId":-1,"Inc":""},"_vena_DYNR_SControleIndelingHRG_BB1_265c482c_84fb83a0":{"SourceGlobalVariableId":-1,"SourceFormVariableId":"00000000-0000-0000-0000-000000000000","IsPageVariable":false,"IsLineItemDetailEnabled":false,"LineItemDetailOrder":0,"LineItemID":null,"PageVariableSectionReference":"","PageVariableDimensionName":null,"IsDynamicRange":true,"IsDynamicRangeEntry":true,"DynamicRangeID":"265c482c","DynamicRangeEntryID":"84fb83a0","IsMultiDynamicRange":false,"MultiDynamicRangeID":null,"MultiDynamicCollectionID":null,"SectionName":"ControleIndelingHRG","BlockName":"B1","VenaRangeType":5,"DimensionIdStr":"-1","MemberIdStr":"-1","DimensionId":-1,"MemberId":-1,"Inc":""},"_vena_DYNR_SControleIndelingHRG_BB1_265c482c_88ec08c2":{"SourceGlobalVariableId":-1,"SourceFormVariableId":"00000000-0000-0000-0000-000000000000","IsPageVariable":false,"IsLineItemDetailEnabled":false,"LineItemDetailOrder":0,"LineItemID":null,"PageVariableSectionReference":"","PageVariableDimensionName":null,"IsDynamicRange":true,"IsDynamicRangeEntry":true,"DynamicRangeID":"265c482c","DynamicRangeEntryID":"88ec08c2","IsMultiDynamicRange":false,"MultiDynamicRangeID":null,"MultiDynamicCollectionID":null,"SectionName":"ControleIndelingHRG","BlockName":"B1","VenaRangeType":5,"DimensionIdStr":"-1","MemberIdStr":"-1","DimensionId":-1,"MemberId":-1,"Inc":""},"_vena_DYNR_SControleIndelingHRG_BB1_265c482c_92833aff":{"SourceGlobalVariableId":-1,"SourceFormVariableId":"00000000-0000-0000-0000-000000000000","IsPageVariable":false,"IsLineItemDetailEnabled":false,"LineItemDetailOrder":0,"LineItemID":null,"PageVariableSectionReference":"","PageVariableDimensionName":null,"IsDynamicRange":true,"IsDynamicRangeEntry":true,"DynamicRangeID":"265c482c","DynamicRangeEntryID":"92833aff","IsMultiDynamicRange":false,"MultiDynamicRangeID":null,"MultiDynamicCollectionID":null,"SectionName":"ControleIndelingHRG","BlockName":"B1","VenaRangeType":5,"DimensionIdStr":"-1","MemberIdStr":"-1","DimensionId":-1,"MemberId":-1,"Inc":""},"_vena_DYNR_SControleIndelingHRG_BB1_265c482c_daec520b":{"SourceGlobalVariableId":-1,"SourceFormVariableId":"00000000-0000-0000-0000-000000000000","IsPageVariable":false,"IsLineItemDetailEnabled":false,"LineItemDetailOrder":0,"LineItemID":null,"PageVariableSectionReference":"","PageVariableDimensionName":null,"IsDynamicRange":true,"IsDynamicRangeEntry":true,"DynamicRangeID":"265c482c","DynamicRangeEntryID":"daec520b","IsMultiDynamicRange":false,"MultiDynamicRangeID":null,"MultiDynamicCollectionID":null,"SectionName":"ControleIndelingHRG","BlockName":"B1","VenaRangeType":5,"DimensionIdStr":"-1","MemberIdStr":"-1","DimensionId":-1,"MemberId":-1,"Inc":""},"_vena_DYNR_SControleIndelingHRG_BB1_265c482c_e36d6313":{"SourceGlobalVariableId":-1,"SourceFormVariableId":"00000000-0000-0000-0000-000000000000","IsPageVariable":false,"IsLineItemDetailEnabled":false,"LineItemDetailOrder":0,"LineItemID":null,"PageVariableSectionReference":"","PageVariableDimensionName":null,"IsDynamicRange":true,"IsDynamicRangeEntry":true,"DynamicRangeID":"265c482c","DynamicRangeEntryID":"e36d6313","IsMultiDynamicRange":false,"MultiDynamicRangeID":null,"MultiDynamicCollectionID":null,"SectionName":"ControleIndelingHRG","BlockName":"B1","VenaRangeType":5,"DimensionIdStr":"-1","MemberIdStr":"-1","DimensionId":-1,"MemberId":-1,"Inc":""},"_vena_DYNR_SControleIndelingHRG_BB1_28bbe9d6":{"SourceGlobalVariableId":-1,"SourceFormVariableId":"00000000-0000-0000-0000-000000000000","IsPageVariable":false,"IsLineItemDetailEnabled":false,"LineItemDetailOrder":0,"LineItemID":null,"PageVariableSectionReference":"","PageVariableDimensionName":null,"IsDynamicRange":true,"IsDynamicRangeEntry":false,"DynamicRangeID":"28bbe9d6","DynamicRangeEntryID":null,"IsMultiDynamicRange":false,"MultiDynamicRangeID":null,"MultiDynamicCollectionID":null,"SectionName":"ControleIndelingHRG","BlockName":"B1","VenaRangeType":5,"DimensionIdStr":"-1","MemberIdStr":"-1","DimensionId":-1,"MemberId":-1,"Inc":""},"_vena_DYNR_SControleIndelingHRG_BB1_28bbe9d6_1566a0eb":{"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1566a0eb","IsMultiDynamicRange":false,"MultiDynamicRangeID":null,"MultiDynamicCollectionID":null,"SectionName":"ControleIndelingHRG","BlockName":"B1","VenaRangeType":5,"DimensionIdStr":"-1","MemberIdStr":"-1","DimensionId":-1,"MemberId":-1,"Inc":""},"_vena_DYNR_SControleIndelingHRG_BB1_28bbe9d6_22d7de3f":{"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22d7de3f","IsMultiDynamicRange":false,"MultiDynamicRangeID":null,"MultiDynamicCollectionID":null,"SectionName":"ControleIndelingHRG","BlockName":"B1","VenaRangeType":5,"DimensionIdStr":"-1","MemberIdStr":"-1","DimensionId":-1,"MemberId":-1,"Inc":""},"_vena_DYNR_SControleIndelingHRG_BB1_28bbe9d6_239f227f":{"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239f227f","IsMultiDynamicRange":false,"MultiDynamicRangeID":null,"MultiDynamicCollectionID":null,"SectionName":"ControleIndelingHRG","BlockName":"B1","VenaRangeType":5,"DimensionIdStr":"-1","MemberIdStr":"-1","DimensionId":-1,"MemberId":-1,"Inc":""},"_vena_DYNR_SControleIndelingHRG_BB1_28bbe9d6_6389642f":{"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6389642f","IsMultiDynamicRange":false,"MultiDynamicRangeID":null,"MultiDynamicCollectionID":null,"SectionName":"ControleIndelingHRG","BlockName":"B1","VenaRangeType":5,"DimensionIdStr":"-1","MemberIdStr":"-1","DimensionId":-1,"MemberId":-1,"Inc":""},"_vena_DYNR_SControleIndelingHRG_BB1_28bbe9d6_75de8273":{"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75de8273","IsMultiDynamicRange":false,"MultiDynamicRangeID":null,"MultiDynamicCollectionID":null,"SectionName":"ControleIndelingHRG","BlockName":"B1","VenaRangeType":5,"DimensionIdStr":"-1","MemberIdStr":"-1","DimensionId":-1,"MemberId":-1,"Inc":""},"_vena_DYNR_SControleIndelingHRG_BB1_28bbe9d6_82f7c71":{"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82f7c71","IsMultiDynamicRange":false,"MultiDynamicRangeID":null,"MultiDynamicCollectionID":null,"SectionName":"ControleIndelingHRG","BlockName":"B1","VenaRangeType":5,"DimensionIdStr":"-1","MemberIdStr":"-1","DimensionId":-1,"MemberId":-1,"Inc":""},"_vena_DYNR_SControleIndelingHRG_BB1_28bbe9d6_8bdf1f44":{"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8bdf1f44","IsMultiDynamicRange":false,"MultiDynamicRangeID":null,"MultiDynamicCollectionID":null,"SectionName":"ControleIndelingHRG","BlockName":"B1","VenaRangeType":5,"DimensionIdStr":"-1","MemberIdStr":"-1","DimensionId":-1,"MemberId":-1,"Inc":""},"_vena_DYNR_SControleIndelingHRG_BB1_28bbe9d6_8f8b1bf3":{"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8f8b1bf3","IsMultiDynamicRange":false,"MultiDynamicRangeID":null,"MultiDynamicCollectionID":null,"SectionName":"ControleIndelingHRG","BlockName":"B1","VenaRangeType":5,"DimensionIdStr":"-1","MemberIdStr":"-1","DimensionId":-1,"MemberId":-1,"Inc":""},"_vena_DYNR_SControleIndelingHRG_BB1_28bbe9d6_92a7ad53":{"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92a7ad53","IsMultiDynamicRange":false,"MultiDynamicRangeID":null,"MultiDynamicCollectionID":null,"SectionName":"ControleIndelingHRG","BlockName":"B1","VenaRangeType":5,"DimensionIdStr":"-1","MemberIdStr":"-1","DimensionId":-1,"MemberId":-1,"Inc":""},"_vena_DYNR_SControleIndelingHRG_BB1_28bbe9d6_97b2fdd1":{"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97b2fdd1","IsMultiDynamicRange":false,"MultiDynamicRangeID":null,"MultiDynamicCollectionID":null,"SectionName":"ControleIndelingHRG","BlockName":"B1","VenaRangeType":5,"DimensionIdStr":"-1","MemberIdStr":"-1","DimensionId":-1,"MemberId":-1,"Inc":""},"_vena_DYNR_SControleIndelingHRG_BB1_28bbe9d6_99d65b0c":{"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99d65b0c","IsMultiDynamicRange":false,"MultiDynamicRangeID":null,"MultiDynamicCollectionID":null,"SectionName":"ControleIndelingHRG","BlockName":"B1","VenaRangeType":5,"DimensionIdStr":"-1","MemberIdStr":"-1","DimensionId":-1,"MemberId":-1,"Inc":""},"_vena_DYNR_SControleIndelingHRG_BB1_28bbe9d6_c42058d4":{"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c42058d4","IsMultiDynamicRange":false,"MultiDynamicRangeID":null,"MultiDynamicCollectionID":null,"SectionName":"ControleIndelingHRG","BlockName":"B1","VenaRangeType":5,"DimensionIdStr":"-1","MemberIdStr":"-1","DimensionId":-1,"MemberId":-1,"Inc":""},"_vena_DYNR_SControleIndelingHRG_BB1_28bbe9d6_cb3f5ac8":{"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cb3f5ac8","IsMultiDynamicRange":false,"MultiDynamicRangeID":null,"MultiDynamicCollectionID":null,"SectionName":"ControleIndelingHRG","BlockName":"B1","VenaRangeType":5,"DimensionIdStr":"-1","MemberIdStr":"-1","DimensionId":-1,"MemberId":-1,"Inc":""},"_vena_DYNR_SControleIndelingHRG_BB1_28bbe9d6_d6ba0135":{"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d6ba0135","IsMultiDynamicRange":false,"MultiDynamicRangeID":null,"MultiDynamicCollectionID":null,"SectionName":"ControleIndelingHRG","BlockName":"B1","VenaRangeType":5,"DimensionIdStr":"-1","MemberIdStr":"-1","DimensionId":-1,"MemberId":-1,"Inc":""},"_vena_DYNR_SControleIndelingHRG_BB1_28bbe9d6_d9c86f54":{"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d9c86f54","IsMultiDynamicRange":false,"MultiDynamicRangeID":null,"MultiDynamicCollectionID":null,"SectionName":"ControleIndelingHRG","BlockName":"B1","VenaRangeType":5,"DimensionIdStr":"-1","MemberIdStr":"-1","DimensionId":-1,"MemberId":-1,"Inc":""},"_vena_DYNR_SControleIndelingHRG_BB1_28bbe9d6_da3d3e6c":{"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da3d3e6c","IsMultiDynamicRange":false,"MultiDynamicRangeID":null,"MultiDynamicCollectionID":null,"SectionName":"ControleIndelingHRG","BlockName":"B1","VenaRangeType":5,"DimensionIdStr":"-1","MemberIdStr":"-1","DimensionId":-1,"MemberId":-1,"Inc":""},"_vena_DYNR_SControleIndelingHRG_BB1_28bbe9d6_dcb5e11e":{"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dcb5e11e","IsMultiDynamicRange":false,"MultiDynamicRangeID":null,"MultiDynamicCollectionID":null,"SectionName":"ControleIndelingHRG","BlockName":"B1","VenaRangeType":5,"DimensionIdStr":"-1","MemberIdStr":"-1","DimensionId":-1,"MemberId":-1,"Inc":""},"_vena_DYNR_SControleIndelingHRG_BB1_28bbe9d6_df9db812":{"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df9db812","IsMultiDynamicRange":false,"MultiDynamicRangeID":null,"MultiDynamicCollectionID":null,"SectionName":"ControleIndelingHRG","BlockName":"B1","VenaRangeType":5,"DimensionIdStr":"-1","MemberIdStr":"-1","DimensionId":-1,"MemberId":-1,"Inc":""},"_vena_DYNR_SControleIndelingHRG_BB1_28bbe9d6_f73a0596":{"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f73a0596","IsMultiDynamicRange":false,"MultiDynamicRangeID":null,"MultiDynamicCollectionID":null,"SectionName":"ControleIndelingHRG","BlockName":"B1","VenaRangeType":5,"DimensionIdStr":"-1","MemberIdStr":"-1","DimensionId":-1,"MemberId":-1,"Inc":""},"_vena_DYNR_SControleIndelingHRG_BB1_28bbe9d6_fa75d312":{"SourceGlobalVariableId":-1,"SourceFormVariableId":"00000000-0000-0000-0000-000000000000","IsPageVariable":false,"IsLineItemDetailEnabled":false,"LineItemDetailOrder":0,"LineItemID":null,"PageVariableSectionReference":"","PageVariableDimensionName":null,"IsDynamicRange":true,"IsDynamicRangeEntry":true,"DynamicRangeID":"28bbe9d6","DynamicRangeEntryID":"fa75d312","IsMultiDynamicRange":false,"MultiDynamicRangeID":null,"MultiDynamicCollectionID":null,"SectionName":"ControleIndelingHRG","BlockName":"B1","VenaRangeType":5,"DimensionIdStr":"-1","MemberIdStr":"-1","DimensionId":-1,"MemberId":-1,"Inc":""},"_vena_DYNR_SControleIndelingHRG_BB1_306b4125":{"SourceGlobalVariableId":-1,"SourceFormVariableId":"00000000-0000-0000-0000-000000000000","IsPageVariable":false,"IsLineItemDetailEnabled":false,"LineItemDetailOrder":0,"LineItemID":null,"PageVariableSectionReference":"","PageVariableDimensionName":null,"IsDynamicRange":true,"IsDynamicRangeEntry":false,"DynamicRangeID":"306b4125","DynamicRangeEntryID":null,"IsMultiDynamicRange":false,"MultiDynamicRangeID":null,"MultiDynamicCollectionID":null,"SectionName":"ControleIndelingHRG","BlockName":"B1","VenaRangeType":5,"DimensionIdStr":"-1","MemberIdStr":"-1","DimensionId":-1,"MemberId":-1,"Inc":""},"_vena_DYNR_SControleIndelingHRG_BB1_306b4125_309a0f6d":{"SourceGlobalVariableId":-1,"SourceFormVariableId":"00000000-0000-0000-0000-000000000000","IsPageVariable":false,"IsLineItemDetailEnabled":false,"LineItemDetailOrder":0,"LineItemID":null,"PageVariableSectionReference":"","PageVariableDimensionName":null,"IsDynamicRange":true,"IsDynamicRangeEntry":true,"DynamicRangeID":"306b4125","DynamicRangeEntryID":"309a0f6d","IsMultiDynamicRange":false,"MultiDynamicRangeID":null,"MultiDynamicCollectionID":null,"SectionName":"ControleIndelingHRG","BlockName":"B1","VenaRangeType":5,"DimensionIdStr":"-1","MemberIdStr":"-1","DimensionId":-1,"MemberId":-1,"Inc":""},"_vena_DYNR_SControleIndelingHRG_BB1_306b4125_4f8a9c3b":{"SourceGlobalVariableId":-1,"SourceFormVariableId":"00000000-0000-0000-0000-000000000000","IsPageVariable":false,"IsLineItemDetailEnabled":false,"LineItemDetailOrder":0,"LineItemID":null,"PageVariableSectionReference":"","PageVariableDimensionName":null,"IsDynamicRange":true,"IsDynamicRangeEntry":true,"DynamicRangeID":"306b4125","DynamicRangeEntryID":"4f8a9c3b","IsMultiDynamicRange":false,"MultiDynamicRangeID":null,"MultiDynamicCollectionID":null,"SectionName":"ControleIndelingHRG","BlockName":"B1","VenaRangeType":5,"DimensionIdStr":"-1","MemberIdStr":"-1","DimensionId":-1,"MemberId":-1,"Inc":""},"_vena_DYNR_SControleIndelingHRG_BB1_306b4125_54f7d22f":{"SourceGlobalVariableId":-1,"SourceFormVariableId":"00000000-0000-0000-0000-000000000000","IsPageVariable":false,"IsLineItemDetailEnabled":false,"LineItemDetailOrder":0,"LineItemID":null,"PageVariableSectionReference":"","PageVariableDimensionName":null,"IsDynamicRange":true,"IsDynamicRangeEntry":true,"DynamicRangeID":"306b4125","DynamicRangeEntryID":"54f7d22f","IsMultiDynamicRange":false,"MultiDynamicRangeID":null,"MultiDynamicCollectionID":null,"SectionName":"ControleIndelingHRG","BlockName":"B1","VenaRangeType":5,"DimensionIdStr":"-1","MemberIdStr":"-1","DimensionId":-1,"MemberId":-1,"Inc":""},"_vena_DYNR_SControleIndelingHRG_BB1_306b4125_62029ea2":{"SourceGlobalVariableId":-1,"SourceFormVariableId":"00000000-0000-0000-0000-000000000000","IsPageVariable":false,"IsLineItemDetailEnabled":false,"LineItemDetailOrder":0,"LineItemID":null,"PageVariableSectionReference":"","PageVariableDimensionName":null,"IsDynamicRange":true,"IsDynamicRangeEntry":true,"DynamicRangeID":"306b4125","DynamicRangeEntryID":"62029ea2","IsMultiDynamicRange":false,"MultiDynamicRangeID":null,"MultiDynamicCollectionID":null,"SectionName":"ControleIndelingHRG","BlockName":"B1","VenaRangeType":5,"DimensionIdStr":"-1","MemberIdStr":"-1","DimensionId":-1,"MemberId":-1,"Inc":""},"_vena_DYNR_SControleIndelingHRG_BB1_306b4125_cc502b5a":{"SourceGlobalVariableId":-1,"SourceFormVariableId":"00000000-0000-0000-0000-000000000000","IsPageVariable":false,"IsLineItemDetailEnabled":false,"LineItemDetailOrder":0,"LineItemID":null,"PageVariableSectionReference":"","PageVariableDimensionName":null,"IsDynamicRange":true,"IsDynamicRangeEntry":true,"DynamicRangeID":"306b4125","DynamicRangeEntryID":"cc502b5a","IsMultiDynamicRange":false,"MultiDynamicRangeID":null,"MultiDynamicCollectionID":null,"SectionName":"ControleIndelingHRG","BlockName":"B1","VenaRangeType":5,"DimensionIdStr":"-1","MemberIdStr":"-1","DimensionId":-1,"MemberId":-1,"Inc":""},"_vena_DYNR_SControleIndelingHRG_BB1_306b4125_f1996a4a":{"SourceGlobalVariableId":-1,"SourceFormVariableId":"00000000-0000-0000-0000-000000000000","IsPageVariable":false,"IsLineItemDetailEnabled":false,"LineItemDetailOrder":0,"LineItemID":null,"PageVariableSectionReference":"","PageVariableDimensionName":null,"IsDynamicRange":true,"IsDynamicRangeEntry":true,"DynamicRangeID":"306b4125","DynamicRangeEntryID":"f1996a4a","IsMultiDynamicRange":false,"MultiDynamicRangeID":null,"MultiDynamicCollectionID":null,"SectionName":"ControleIndelingHRG","BlockName":"B1","VenaRangeType":5,"DimensionIdStr":"-1","MemberIdStr":"-1","DimensionId":-1,"MemberId":-1,"Inc":""},"_vena_DYNR_SControleIndelingHRG_BB1_31c2b3f0":{"SourceGlobalVariableId":-1,"SourceFormVariableId":"00000000-0000-0000-0000-000000000000","IsPageVariable":false,"IsLineItemDetailEnabled":false,"LineItemDetailOrder":0,"LineItemID":null,"PageVariableSectionReference":"","PageVariableDimensionName":null,"IsDynamicRange":true,"IsDynamicRangeEntry":false,"DynamicRangeID":"31c2b3f0","DynamicRangeEntryID":null,"IsMultiDynamicRange":false,"MultiDynamicRangeID":null,"MultiDynamicCollectionID":null,"SectionName":"ControleIndelingHRG","BlockName":"B1","VenaRangeType":5,"DimensionIdStr":"-1","MemberIdStr":"-1","DimensionId":-1,"MemberId":-1,"Inc":""},"_vena_DYNR_SControleIndelingHRG_BB1_31c2b3f0_45ff9de9":{"SourceGlobalVariableId":-1,"SourceFormVariableId":"00000000-0000-0000-0000-000000000000","IsPageVariable":false,"IsLineItemDetailEnabled":false,"LineItemDetailOrder":0,"LineItemID":null,"PageVariableSectionReference":"","PageVariableDimensionName":null,"IsDynamicRange":true,"IsDynamicRangeEntry":true,"DynamicRangeID":"31c2b3f0","DynamicRangeEntryID":"45ff9de9","IsMultiDynamicRange":false,"MultiDynamicRangeID":null,"MultiDynamicCollectionID":null,"SectionName":"ControleIndelingHRG","BlockName":"B1","VenaRangeType":5,"DimensionIdStr":"-1","MemberIdStr":"-1","DimensionId":-1,"MemberId":-1,"Inc":""},"_vena_DYNR_SControleIndelingHRG_BB1_31c2b3f0_893aca30":{"SourceGlobalVariableId":-1,"SourceFormVariableId":"00000000-0000-0000-0000-000000000000","IsPageVariable":false,"IsLineItemDetailEnabled":false,"LineItemDetailOrder":0,"LineItemID":null,"PageVariableSectionReference":"","PageVariableDimensionName":null,"IsDynamicRange":true,"IsDynamicRangeEntry":true,"DynamicRangeID":"31c2b3f0","DynamicRangeEntryID":"893aca30","IsMultiDynamicRange":false,"MultiDynamicRangeID":null,"MultiDynamicCollectionID":null,"SectionName":"ControleIndelingHRG","BlockName":"B1","VenaRangeType":5,"DimensionIdStr":"-1","MemberIdStr":"-1","DimensionId":-1,"MemberId":-1,"Inc":""},"_vena_DYNR_SControleIndelingHRG_BB1_31c2b3f0_a75a8bf7":{"SourceGlobalVariableId":-1,"SourceFormVariableId":"00000000-0000-0000-0000-000000000000","IsPageVariable":false,"IsLineItemDetailEnabled":false,"LineItemDetailOrder":0,"LineItemID":null,"PageVariableSectionReference":"","PageVariableDimensionName":null,"IsDynamicRange":true,"IsDynamicRangeEntry":true,"DynamicRangeID":"31c2b3f0","DynamicRangeEntryID":"a75a8bf7","IsMultiDynamicRange":false,"MultiDynamicRangeID":null,"MultiDynamicCollectionID":null,"SectionName":"ControleIndelingHRG","BlockName":"B1","VenaRangeType":5,"DimensionIdStr":"-1","MemberIdStr":"-1","DimensionId":-1,"MemberId":-1,"Inc":""},"_vena_DYNR_SControleIndelingHRG_BB1_31c2b3f0_aaaa1170":{"SourceGlobalVariableId":-1,"SourceFormVariableId":"00000000-0000-0000-0000-000000000000","IsPageVariable":false,"IsLineItemDetailEnabled":false,"LineItemDetailOrder":0,"LineItemID":null,"PageVariableSectionReference":"","PageVariableDimensionName":null,"IsDynamicRange":true,"IsDynamicRangeEntry":true,"DynamicRangeID":"31c2b3f0","DynamicRangeEntryID":"aaaa1170","IsMultiDynamicRange":false,"MultiDynamicRangeID":null,"MultiDynamicCollectionID":null,"SectionName":"ControleIndelingHRG","BlockName":"B1","VenaRangeType":5,"DimensionIdStr":"-1","MemberIdStr":"-1","DimensionId":-1,"MemberId":-1,"Inc":""},"_vena_DYNR_SControleIndelingHRG_BB1_37716b4":{"SourceGlobalVariableId":-1,"SourceFormVariableId":"00000000-0000-0000-0000-000000000000","IsPageVariable":false,"IsLineItemDetailEnabled":false,"LineItemDetailOrder":0,"LineItemID":null,"PageVariableSectionReference":"","PageVariableDimensionName":null,"IsDynamicRange":true,"IsDynamicRangeEntry":false,"DynamicRangeID":"37716b4","DynamicRangeEntryID":null,"IsMultiDynamicRange":false,"MultiDynamicRangeID":null,"MultiDynamicCollectionID":null,"SectionName":"ControleIndelingHRG","BlockName":"B1","VenaRangeType":5,"DimensionIdStr":"-1","MemberIdStr":"-1","DimensionId":-1,"MemberId":-1,"Inc":""},"_vena_DYNR_SControleIndelingHRG_BB1_37716b4_72b6d41c":{"SourceGlobalVariableId":-1,"SourceFormVariableId":"00000000-0000-0000-0000-000000000000","IsPageVariable":false,"IsLineItemDetailEnabled":false,"LineItemDetailOrder":0,"LineItemID":null,"PageVariableSectionReference":"","PageVariableDimensionName":null,"IsDynamicRange":true,"IsDynamicRangeEntry":true,"DynamicRangeID":"37716b4","DynamicRangeEntryID":"72b6d41c","IsMultiDynamicRange":false,"MultiDynamicRangeID":null,"MultiDynamicCollectionID":null,"SectionName":"ControleIndelingHRG","BlockName":"B1","VenaRangeType":5,"DimensionIdStr":"-1","MemberIdStr":"-1","DimensionId":-1,"MemberId":-1,"Inc":""},"_vena_DYNR_SControleIndelingHRG_BB1_37716b4_b16f3547":{"SourceGlobalVariableId":-1,"SourceFormVariableId":"00000000-0000-0000-0000-000000000000","IsPageVariable":false,"IsLineItemDetailEnabled":false,"LineItemDetailOrder":0,"LineItemID":null,"PageVariableSectionReference":"","PageVariableDimensionName":null,"IsDynamicRange":true,"IsDynamicRangeEntry":true,"DynamicRangeID":"37716b4","DynamicRangeEntryID":"b16f3547","IsMultiDynamicRange":false,"MultiDynamicRangeID":null,"MultiDynamicCollectionID":null,"SectionName":"ControleIndelingHRG","BlockName":"B1","VenaRangeType":5,"DimensionIdStr":"-1","MemberIdStr":"-1","DimensionId":-1,"MemberId":-1,"Inc":""},"_vena_DYNR_SControleIndelingHRG_BB1_37716b4_f33f9016":{"SourceGlobalVariableId":-1,"SourceFormVariableId":"00000000-0000-0000-0000-000000000000","IsPageVariable":false,"IsLineItemDetailEnabled":false,"LineItemDetailOrder":0,"LineItemID":null,"PageVariableSectionReference":"","PageVariableDimensionName":null,"IsDynamicRange":true,"IsDynamicRangeEntry":true,"DynamicRangeID":"37716b4","DynamicRangeEntryID":"f33f9016","IsMultiDynamicRange":false,"MultiDynamicRangeID":null,"MultiDynamicCollectionID":null,"SectionName":"ControleIndelingHRG","BlockName":"B1","VenaRangeType":5,"DimensionIdStr":"-1","MemberIdStr":"-1","DimensionId":-1,"MemberId":-1,"Inc":""},"_vena_DYNR_SControleIndelingHRG_BB1_41482e21":{"SourceGlobalVariableId":-1,"SourceFormVariableId":"00000000-0000-0000-0000-000000000000","IsPageVariable":false,"IsLineItemDetailEnabled":false,"LineItemDetailOrder":0,"LineItemID":null,"PageVariableSectionReference":"","PageVariableDimensionName":null,"IsDynamicRange":true,"IsDynamicRangeEntry":false,"DynamicRangeID":"41482e21","DynamicRangeEntryID":null,"IsMultiDynamicRange":false,"MultiDynamicRangeID":null,"MultiDynamicCollectionID":null,"SectionName":"ControleIndelingHRG","BlockName":"B1","VenaRangeType":5,"DimensionIdStr":"-1","MemberIdStr":"-1","DimensionId":-1,"MemberId":-1,"Inc":""},"_vena_DYNR_SControleIndelingHRG_BB1_41482e21_1c85db98":{"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1c85db98","IsMultiDynamicRange":false,"MultiDynamicRangeID":null,"MultiDynamicCollectionID":null,"SectionName":"ControleIndelingHRG","BlockName":"B1","VenaRangeType":5,"DimensionIdStr":"-1","MemberIdStr":"-1","DimensionId":-1,"MemberId":-1,"Inc":""},"_vena_DYNR_SControleIndelingHRG_BB1_41482e21_31aa8b3":{"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31aa8b3","IsMultiDynamicRange":false,"MultiDynamicRangeID":null,"MultiDynamicCollectionID":null,"SectionName":"ControleIndelingHRG","BlockName":"B1","VenaRangeType":5,"DimensionIdStr":"-1","MemberIdStr":"-1","DimensionId":-1,"MemberId":-1,"Inc":""},"_vena_DYNR_SControleIndelingHRG_BB1_41482e21_3c712d13":{"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3c712d13","IsMultiDynamicRange":false,"MultiDynamicRangeID":null,"MultiDynamicCollectionID":null,"SectionName":"ControleIndelingHRG","BlockName":"B1","VenaRangeType":5,"DimensionIdStr":"-1","MemberIdStr":"-1","DimensionId":-1,"MemberId":-1,"Inc":""},"_vena_DYNR_SControleIndelingHRG_BB1_41482e21_576abc92":{"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576abc92","IsMultiDynamicRange":false,"MultiDynamicRangeID":null,"MultiDynamicCollectionID":null,"SectionName":"ControleIndelingHRG","BlockName":"B1","VenaRangeType":5,"DimensionIdStr":"-1","MemberIdStr":"-1","DimensionId":-1,"MemberId":-1,"Inc":""},"_vena_DYNR_SControleIndelingHRG_BB1_41482e21_6319d0a":{"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6319d0a","IsMultiDynamicRange":false,"MultiDynamicRangeID":null,"MultiDynamicCollectionID":null,"SectionName":"ControleIndelingHRG","BlockName":"B1","VenaRangeType":5,"DimensionIdStr":"-1","MemberIdStr":"-1","DimensionId":-1,"MemberId":-1,"Inc":""},"_vena_DYNR_SControleIndelingHRG_BB1_41482e21_740965bf":{"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740965bf","IsMultiDynamicRange":false,"MultiDynamicRangeID":null,"MultiDynamicCollectionID":null,"SectionName":"ControleIndelingHRG","BlockName":"B1","VenaRangeType":5,"DimensionIdStr":"-1","MemberIdStr":"-1","DimensionId":-1,"MemberId":-1,"Inc":""},"_vena_DYNR_SControleIndelingHRG_BB1_41482e21_9ee9b17b":{"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9ee9b17b","IsMultiDynamicRange":false,"MultiDynamicRangeID":null,"MultiDynamicCollectionID":null,"SectionName":"ControleIndelingHRG","BlockName":"B1","VenaRangeType":5,"DimensionIdStr":"-1","MemberIdStr":"-1","DimensionId":-1,"MemberId":-1,"Inc":""},"_vena_DYNR_SControleIndelingHRG_BB1_41482e21_a14705b0":{"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a14705b0","IsMultiDynamicRange":false,"MultiDynamicRangeID":null,"MultiDynamicCollectionID":null,"SectionName":"ControleIndelingHRG","BlockName":"B1","VenaRangeType":5,"DimensionIdStr":"-1","MemberIdStr":"-1","DimensionId":-1,"MemberId":-1,"Inc":""},"_vena_DYNR_SControleIndelingHRG_BB1_41482e21_ab0ccda6":{"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ab0ccda6","IsMultiDynamicRange":false,"MultiDynamicRangeID":null,"MultiDynamicCollectionID":null,"SectionName":"ControleIndelingHRG","BlockName":"B1","VenaRangeType":5,"DimensionIdStr":"-1","MemberIdStr":"-1","DimensionId":-1,"MemberId":-1,"Inc":""},"_vena_DYNR_SControleIndelingHRG_BB1_41482e21_be9ebacb":{"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be9ebacb","IsMultiDynamicRange":false,"MultiDynamicRangeID":null,"MultiDynamicCollectionID":null,"SectionName":"ControleIndelingHRG","BlockName":"B1","VenaRangeType":5,"DimensionIdStr":"-1","MemberIdStr":"-1","DimensionId":-1,"MemberId":-1,"Inc":""},"_vena_DYNR_SControleIndelingHRG_BB1_41482e21_c4d66542":{"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c4d66542","IsMultiDynamicRange":false,"MultiDynamicRangeID":null,"MultiDynamicCollectionID":null,"SectionName":"ControleIndelingHRG","BlockName":"B1","VenaRangeType":5,"DimensionIdStr":"-1","MemberIdStr":"-1","DimensionId":-1,"MemberId":-1,"Inc":""},"_vena_DYNR_SControleIndelingHRG_BB1_41482e21_d20b59a":{"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d20b59a","IsMultiDynamicRange":false,"MultiDynamicRangeID":null,"MultiDynamicCollectionID":null,"SectionName":"ControleIndelingHRG","BlockName":"B1","VenaRangeType":5,"DimensionIdStr":"-1","MemberIdStr":"-1","DimensionId":-1,"MemberId":-1,"Inc":""},"_vena_DYNR_SControleIndelingHRG_BB1_41482e21_e2af3efd":{"SourceGlobalVariableId":-1,"SourceFormVariableId":"00000000-0000-0000-0000-000000000000","IsPageVariable":false,"IsLineItemDetailEnabled":false,"LineItemDetailOrder":0,"LineItemID":null,"PageVariableSectionReference":"","PageVariableDimensionName":null,"IsDynamicRange":true,"IsDynamicRangeEntry":true,"DynamicRangeID":"41482e21","DynamicRangeEntryID":"e2af3efd","IsMultiDynamicRange":false,"MultiDynamicRangeID":null,"MultiDynamicCollectionID":null,"SectionName":"ControleIndelingHRG","BlockName":"B1","VenaRangeType":5,"DimensionIdStr":"-1","MemberIdStr":"-1","DimensionId":-1,"MemberId":-1,"Inc":""},"_vena_DYNR_SControleIndelingHRG_BB1_4235a38":{"SourceGlobalVariableId":-1,"SourceFormVariableId":"00000000-0000-0000-0000-000000000000","IsPageVariable":false,"IsLineItemDetailEnabled":false,"LineItemDetailOrder":0,"LineItemID":null,"PageVariableSectionReference":"","PageVariableDimensionName":null,"IsDynamicRange":true,"IsDynamicRangeEntry":false,"DynamicRangeID":"4235a38","DynamicRangeEntryID":null,"IsMultiDynamicRange":false,"MultiDynamicRangeID":null,"MultiDynamicCollectionID":null,"SectionName":"ControleIndelingHRG","BlockName":"B1","VenaRangeType":5,"DimensionIdStr":"-1","MemberIdStr":"-1","DimensionId":-1,"MemberId":-1,"Inc":""},"_vena_DYNR_SControleIndelingHRG_BB1_4235a38_142983c7":{"SourceGlobalVariableId":-1,"SourceFormVariableId":"00000000-0000-0000-0000-000000000000","IsPageVariable":false,"IsLineItemDetailEnabled":false,"LineItemDetailOrder":0,"LineItemID":null,"PageVariableSectionReference":"","PageVariableDimensionName":null,"IsDynamicRange":true,"IsDynamicRangeEntry":true,"DynamicRangeID":"4235a38","DynamicRangeEntryID":"142983c7","IsMultiDynamicRange":false,"MultiDynamicRangeID":null,"MultiDynamicCollectionID":null,"SectionName":"ControleIndelingHRG","BlockName":"B1","VenaRangeType":5,"DimensionIdStr":"-1","MemberIdStr":"-1","DimensionId":-1,"MemberId":-1,"Inc":""},"_vena_DYNR_SControleIndelingHRG_BB1_4235a38_6bfb2ff6":{"SourceGlobalVariableId":-1,"SourceFormVariableId":"00000000-0000-0000-0000-000000000000","IsPageVariable":false,"IsLineItemDetailEnabled":false,"LineItemDetailOrder":0,"LineItemID":null,"PageVariableSectionReference":"","PageVariableDimensionName":null,"IsDynamicRange":true,"IsDynamicRangeEntry":true,"DynamicRangeID":"4235a38","DynamicRangeEntryID":"6bfb2ff6","IsMultiDynamicRange":false,"MultiDynamicRangeID":null,"MultiDynamicCollectionID":null,"SectionName":"ControleIndelingHRG","BlockName":"B1","VenaRangeType":5,"DimensionIdStr":"-1","MemberIdStr":"-1","DimensionId":-1,"MemberId":-1,"Inc":""},"_vena_DYNR_SControleIndelingHRG_BB1_4235a38_8d03c1f9":{"SourceGlobalVariableId":-1,"SourceFormVariableId":"00000000-0000-0000-0000-000000000000","IsPageVariable":false,"IsLineItemDetailEnabled":false,"LineItemDetailOrder":0,"LineItemID":null,"PageVariableSectionReference":"","PageVariableDimensionName":null,"IsDynamicRange":true,"IsDynamicRangeEntry":true,"DynamicRangeID":"4235a38","DynamicRangeEntryID":"8d03c1f9","IsMultiDynamicRange":false,"MultiDynamicRangeID":null,"MultiDynamicCollectionID":null,"SectionName":"ControleIndelingHRG","BlockName":"B1","VenaRangeType":5,"DimensionIdStr":"-1","MemberIdStr":"-1","DimensionId":-1,"MemberId":-1,"Inc":""},"_vena_DYNR_SControleIndelingHRG_BB1_4235a38_9e5931ab":{"SourceGlobalVariableId":-1,"SourceFormVariableId":"00000000-0000-0000-0000-000000000000","IsPageVariable":false,"IsLineItemDetailEnabled":false,"LineItemDetailOrder":0,"LineItemID":null,"PageVariableSectionReference":"","PageVariableDimensionName":null,"IsDynamicRange":true,"IsDynamicRangeEntry":true,"DynamicRangeID":"4235a38","DynamicRangeEntryID":"9e5931ab","IsMultiDynamicRange":false,"MultiDynamicRangeID":null,"MultiDynamicCollectionID":null,"SectionName":"ControleIndelingHRG","BlockName":"B1","VenaRangeType":5,"DimensionIdStr":"-1","MemberIdStr":"-1","DimensionId":-1,"MemberId":-1,"Inc":""},"_vena_DYNR_SControleIndelingHRG_BB1_4235a38_b81db32d":{"SourceGlobalVariableId":-1,"SourceFormVariableId":"00000000-0000-0000-0000-000000000000","IsPageVariable":false,"IsLineItemDetailEnabled":false,"LineItemDetailOrder":0,"LineItemID":null,"PageVariableSectionReference":"","PageVariableDimensionName":null,"IsDynamicRange":true,"IsDynamicRangeEntry":true,"DynamicRangeID":"4235a38","DynamicRangeEntryID":"b81db32d","IsMultiDynamicRange":false,"MultiDynamicRangeID":null,"MultiDynamicCollectionID":null,"SectionName":"ControleIndelingHRG","BlockName":"B1","VenaRangeType":5,"DimensionIdStr":"-1","MemberIdStr":"-1","DimensionId":-1,"MemberId":-1,"Inc":""},"_vena_DYNR_SControleIndelingHRG_BB1_4235a38_c62a5869":{"SourceGlobalVariableId":-1,"SourceFormVariableId":"00000000-0000-0000-0000-000000000000","IsPageVariable":false,"IsLineItemDetailEnabled":false,"LineItemDetailOrder":0,"LineItemID":null,"PageVariableSectionReference":"","PageVariableDimensionName":null,"IsDynamicRange":true,"IsDynamicRangeEntry":true,"DynamicRangeID":"4235a38","DynamicRangeEntryID":"c62a5869","IsMultiDynamicRange":false,"MultiDynamicRangeID":null,"MultiDynamicCollectionID":null,"SectionName":"ControleIndelingHRG","BlockName":"B1","VenaRangeType":5,"DimensionIdStr":"-1","MemberIdStr":"-1","DimensionId":-1,"MemberId":-1,"Inc":""},"_vena_DYNR_SControleIndelingHRG_BB1_4235a38_f216cbf":{"SourceGlobalVariableId":-1,"SourceFormVariableId":"00000000-0000-0000-0000-000000000000","IsPageVariable":false,"IsLineItemDetailEnabled":false,"LineItemDetailOrder":0,"LineItemID":null,"PageVariableSectionReference":"","PageVariableDimensionName":null,"IsDynamicRange":true,"IsDynamicRangeEntry":true,"DynamicRangeID":"4235a38","DynamicRangeEntryID":"f216cbf","IsMultiDynamicRange":false,"MultiDynamicRangeID":null,"MultiDynamicCollectionID":null,"SectionName":"ControleIndelingHRG","BlockName":"B1","VenaRangeType":5,"DimensionIdStr":"-1","MemberIdStr":"-1","DimensionId":-1,"MemberId":-1,"Inc":""},"_vena_DYNR_SControleIndelingHRG_BB1_63742b08":{"SourceGlobalVariableId":-1,"SourceFormVariableId":"00000000-0000-0000-0000-000000000000","IsPageVariable":false,"IsLineItemDetailEnabled":false,"LineItemDetailOrder":0,"LineItemID":null,"PageVariableSectionReference":"","PageVariableDimensionName":null,"IsDynamicRange":true,"IsDynamicRangeEntry":false,"DynamicRangeID":"63742b08","DynamicRangeEntryID":null,"IsMultiDynamicRange":false,"MultiDynamicRangeID":null,"MultiDynamicCollectionID":null,"SectionName":"ControleIndelingHRG","BlockName":"B1","VenaRangeType":5,"DimensionIdStr":"-1","MemberIdStr":"-1","DimensionId":-1,"MemberId":-1,"Inc":""},"_vena_DYNR_SControleIndelingHRG_BB1_63742b08_372c83a6":{"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372c83a6","IsMultiDynamicRange":false,"MultiDynamicRangeID":null,"MultiDynamicCollectionID":null,"SectionName":"ControleIndelingHRG","BlockName":"B1","VenaRangeType":5,"DimensionIdStr":"-1","MemberIdStr":"-1","DimensionId":-1,"MemberId":-1,"Inc":""},"_vena_DYNR_SControleIndelingHRG_BB1_63742b08_47d1eeee":{"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47d1eeee","IsMultiDynamicRange":false,"MultiDynamicRangeID":null,"MultiDynamicCollectionID":null,"SectionName":"ControleIndelingHRG","BlockName":"B1","VenaRangeType":5,"DimensionIdStr":"-1","MemberIdStr":"-1","DimensionId":-1,"MemberId":-1,"Inc":""},"_vena_DYNR_SControleIndelingHRG_BB1_63742b08_72d97c15":{"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72d97c15","IsMultiDynamicRange":false,"MultiDynamicRangeID":null,"MultiDynamicCollectionID":null,"SectionName":"ControleIndelingHRG","BlockName":"B1","VenaRangeType":5,"DimensionIdStr":"-1","MemberIdStr":"-1","DimensionId":-1,"MemberId":-1,"Inc":""},"_vena_DYNR_SControleIndelingHRG_BB1_63742b08_825fab4a":{"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825fab4a","IsMultiDynamicRange":false,"MultiDynamicRangeID":null,"MultiDynamicCollectionID":null,"SectionName":"ControleIndelingHRG","BlockName":"B1","VenaRangeType":5,"DimensionIdStr":"-1","MemberIdStr":"-1","DimensionId":-1,"MemberId":-1,"Inc":""},"_vena_DYNR_SControleIndelingHRG_BB1_63742b08_8d59834b":{"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8d59834b","IsMultiDynamicRange":false,"MultiDynamicRangeID":null,"MultiDynamicCollectionID":null,"SectionName":"ControleIndelingHRG","BlockName":"B1","VenaRangeType":5,"DimensionIdStr":"-1","MemberIdStr":"-1","DimensionId":-1,"MemberId":-1,"Inc":""},"_vena_DYNR_SControleIndelingHRG_BB1_63742b08_9015ed27":{"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9015ed27","IsMultiDynamicRange":false,"MultiDynamicRangeID":null,"MultiDynamicCollectionID":null,"SectionName":"ControleIndelingHRG","BlockName":"B1","VenaRangeType":5,"DimensionIdStr":"-1","MemberIdStr":"-1","DimensionId":-1,"MemberId":-1,"Inc":""},"_vena_DYNR_SControleIndelingHRG_BB1_63742b08_945a94c8":{"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945a94c8","IsMultiDynamicRange":false,"MultiDynamicRangeID":null,"MultiDynamicCollectionID":null,"SectionName":"ControleIndelingHRG","BlockName":"B1","VenaRangeType":5,"DimensionIdStr":"-1","MemberIdStr":"-1","DimensionId":-1,"MemberId":-1,"Inc":""},"_vena_DYNR_SControleIndelingHRG_BB1_63742b08_9f8bc2ac":{"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9f8bc2ac","IsMultiDynamicRange":false,"MultiDynamicRangeID":null,"MultiDynamicCollectionID":null,"SectionName":"ControleIndelingHRG","BlockName":"B1","VenaRangeType":5,"DimensionIdStr":"-1","MemberIdStr":"-1","DimensionId":-1,"MemberId":-1,"Inc":""},"_vena_DYNR_SControleIndelingHRG_BB1_63742b08_a419b1a4":{"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a419b1a4","IsMultiDynamicRange":false,"MultiDynamicRangeID":null,"MultiDynamicCollectionID":null,"SectionName":"ControleIndelingHRG","BlockName":"B1","VenaRangeType":5,"DimensionIdStr":"-1","MemberIdStr":"-1","DimensionId":-1,"MemberId":-1,"Inc":""},"_vena_DYNR_SControleIndelingHRG_BB1_63742b08_b8d1ada4":{"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b8d1ada4","IsMultiDynamicRange":false,"MultiDynamicRangeID":null,"MultiDynamicCollectionID":null,"SectionName":"ControleIndelingHRG","BlockName":"B1","VenaRangeType":5,"DimensionIdStr":"-1","MemberIdStr":"-1","DimensionId":-1,"MemberId":-1,"Inc":""},"_vena_DYNR_SControleIndelingHRG_BB1_63742b08_e1854116":{"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e1854116","IsMultiDynamicRange":false,"MultiDynamicRangeID":null,"MultiDynamicCollectionID":null,"SectionName":"ControleIndelingHRG","BlockName":"B1","VenaRangeType":5,"DimensionIdStr":"-1","MemberIdStr":"-1","DimensionId":-1,"MemberId":-1,"Inc":""},"_vena_DYNR_SControleIndelingHRG_BB1_63742b08_ed3d850c":{"SourceGlobalVariableId":-1,"SourceFormVariableId":"00000000-0000-0000-0000-000000000000","IsPageVariable":false,"IsLineItemDetailEnabled":false,"LineItemDetailOrder":0,"LineItemID":null,"PageVariableSectionReference":"","PageVariableDimensionName":null,"IsDynamicRange":true,"IsDynamicRangeEntry":true,"DynamicRangeID":"63742b08","DynamicRangeEntryID":"ed3d850c","IsMultiDynamicRange":false,"MultiDynamicRangeID":null,"MultiDynamicCollectionID":null,"SectionName":"ControleIndelingHRG","BlockName":"B1","VenaRangeType":5,"DimensionIdStr":"-1","MemberIdStr":"-1","DimensionId":-1,"MemberId":-1,"Inc":""},"_vena_DYNR_SControleIndelingHRG_BB1_6c2f193e":{"SourceGlobalVariableId":-1,"SourceFormVariableId":"00000000-0000-0000-0000-000000000000","IsPageVariable":false,"IsLineItemDetailEnabled":false,"LineItemDetailOrder":0,"LineItemID":null,"PageVariableSectionReference":"","PageVariableDimensionName":null,"IsDynamicRange":true,"IsDynamicRangeEntry":false,"DynamicRangeID":"6c2f193e","DynamicRangeEntryID":null,"IsMultiDynamicRange":false,"MultiDynamicRangeID":null,"MultiDynamicCollectionID":null,"SectionName":"ControleIndelingHRG","BlockName":"B1","VenaRangeType":5,"DimensionIdStr":"-1","MemberIdStr":"-1","DimensionId":-1,"MemberId":-1,"Inc":""},"_vena_DYNR_SControleIndelingHRG_BB1_6c2f193e_287298c6":{"SourceGlobalVariableId":-1,"SourceFormVariableId":"00000000-0000-0000-0000-000000000000","IsPageVariable":false,"IsLineItemDetailEnabled":false,"LineItemDetailOrder":0,"LineItemID":null,"PageVariableSectionReference":"","PageVariableDimensionName":null,"IsDynamicRange":true,"IsDynamicRangeEntry":true,"DynamicRangeID":"6c2f193e","DynamicRangeEntryID":"287298c6","IsMultiDynamicRange":false,"MultiDynamicRangeID":null,"MultiDynamicCollectionID":null,"SectionName":"ControleIndelingHRG","BlockName":"B1","VenaRangeType":5,"DimensionIdStr":"-1","MemberIdStr":"-1","DimensionId":-1,"MemberId":-1,"Inc":""},"_vena_DYNR_SControleIndelingHRG_BB1_6c2f193e_3ed4ab34":{"SourceGlobalVariableId":-1,"SourceFormVariableId":"00000000-0000-0000-0000-000000000000","IsPageVariable":false,"IsLineItemDetailEnabled":false,"LineItemDetailOrder":0,"LineItemID":null,"PageVariableSectionReference":"","PageVariableDimensionName":null,"IsDynamicRange":true,"IsDynamicRangeEntry":true,"DynamicRangeID":"6c2f193e","DynamicRangeEntryID":"3ed4ab34","IsMultiDynamicRange":false,"MultiDynamicRangeID":null,"MultiDynamicCollectionID":null,"SectionName":"ControleIndelingHRG","BlockName":"B1","VenaRangeType":5,"DimensionIdStr":"-1","MemberIdStr":"-1","DimensionId":-1,"MemberId":-1,"Inc":""},"_vena_DYNR_SControleIndelingHRG_BB1_6c2f193e_7878b3b1":{"SourceGlobalVariableId":-1,"SourceFormVariableId":"00000000-0000-0000-0000-000000000000","IsPageVariable":false,"IsLineItemDetailEnabled":false,"LineItemDetailOrder":0,"LineItemID":null,"PageVariableSectionReference":"","PageVariableDimensionName":null,"IsDynamicRange":true,"IsDynamicRangeEntry":true,"DynamicRangeID":"6c2f193e","DynamicRangeEntryID":"7878b3b1","IsMultiDynamicRange":false,"MultiDynamicRangeID":null,"MultiDynamicCollectionID":null,"SectionName":"ControleIndelingHRG","BlockName":"B1","VenaRangeType":5,"DimensionIdStr":"-1","MemberIdStr":"-1","DimensionId":-1,"MemberId":-1,"Inc":""},"_vena_DYNR_SControleIndelingHRG_BB1_6c2f193e_a6dd7593":{"SourceGlobalVariableId":-1,"SourceFormVariableId":"00000000-0000-0000-0000-000000000000","IsPageVariable":false,"IsLineItemDetailEnabled":false,"LineItemDetailOrder":0,"LineItemID":null,"PageVariableSectionReference":"","PageVariableDimensionName":null,"IsDynamicRange":true,"IsDynamicRangeEntry":true,"DynamicRangeID":"6c2f193e","DynamicRangeEntryID":"a6dd7593","IsMultiDynamicRange":false,"MultiDynamicRangeID":null,"MultiDynamicCollectionID":null,"SectionName":"ControleIndelingHRG","BlockName":"B1","VenaRangeType":5,"DimensionIdStr":"-1","MemberIdStr":"-1","DimensionId":-1,"MemberId":-1,"Inc":""},"_vena_DYNR_SControleIndelingHRG_BB1_6c2f193e_c63c9b88":{"SourceGlobalVariableId":-1,"SourceFormVariableId":"00000000-0000-0000-0000-000000000000","IsPageVariable":false,"IsLineItemDetailEnabled":false,"LineItemDetailOrder":0,"LineItemID":null,"PageVariableSectionReference":"","PageVariableDimensionName":null,"IsDynamicRange":true,"IsDynamicRangeEntry":true,"DynamicRangeID":"6c2f193e","DynamicRangeEntryID":"c63c9b88","IsMultiDynamicRange":false,"MultiDynamicRangeID":null,"MultiDynamicCollectionID":null,"SectionName":"ControleIndelingHRG","BlockName":"B1","VenaRangeType":5,"DimensionIdStr":"-1","MemberIdStr":"-1","DimensionId":-1,"MemberId":-1,"Inc":""},"_vena_DYNR_SControleIndelingHRG_BB1_6c2f193e_ca4f5be":{"SourceGlobalVariableId":-1,"SourceFormVariableId":"00000000-0000-0000-0000-000000000000","IsPageVariable":false,"IsLineItemDetailEnabled":false,"LineItemDetailOrder":0,"LineItemID":null,"PageVariableSectionReference":"","PageVariableDimensionName":null,"IsDynamicRange":true,"IsDynamicRangeEntry":true,"DynamicRangeID":"6c2f193e","DynamicRangeEntryID":"ca4f5be","IsMultiDynamicRange":false,"MultiDynamicRangeID":null,"MultiDynamicCollectionID":null,"SectionName":"ControleIndelingHRG","BlockName":"B1","VenaRangeType":5,"DimensionIdStr":"-1","MemberIdStr":"-1","DimensionId":-1,"MemberId":-1,"Inc":""},"_vena_DYNR_SControleIndelingHRG_BB1_6c2f193e_e64f54f7":{"SourceGlobalVariableId":-1,"SourceFormVariableId":"00000000-0000-0000-0000-000000000000","IsPageVariable":false,"IsLineItemDetailEnabled":false,"LineItemDetailOrder":0,"LineItemID":null,"PageVariableSectionReference":"","PageVariableDimensionName":null,"IsDynamicRange":true,"IsDynamicRangeEntry":true,"DynamicRangeID":"6c2f193e","DynamicRangeEntryID":"e64f54f7","IsMultiDynamicRange":false,"MultiDynamicRangeID":null,"MultiDynamicCollectionID":null,"SectionName":"ControleIndelingHRG","BlockName":"B1","VenaRangeType":5,"DimensionIdStr":"-1","MemberIdStr":"-1","DimensionId":-1,"MemberId":-1,"Inc":""},"_vena_DYNR_SControleIndelingHRG_BB1_6c2f193e_f0e6e0df":{"SourceGlobalVariableId":-1,"SourceFormVariableId":"00000000-0000-0000-0000-000000000000","IsPageVariable":false,"IsLineItemDetailEnabled":false,"LineItemDetailOrder":0,"LineItemID":null,"PageVariableSectionReference":"","PageVariableDimensionName":null,"IsDynamicRange":true,"IsDynamicRangeEntry":true,"DynamicRangeID":"6c2f193e","DynamicRangeEntryID":"f0e6e0df","IsMultiDynamicRange":false,"MultiDynamicRangeID":null,"MultiDynamicCollectionID":null,"SectionName":"ControleIndelingHRG","BlockName":"B1","VenaRangeType":5,"DimensionIdStr":"-1","MemberIdStr":"-1","DimensionId":-1,"MemberId":-1,"Inc":""},"_vena_DYNR_SControleIndelingHRG_BB1_6c2f193e_f8eb7bd0":{"SourceGlobalVariableId":-1,"SourceFormVariableId":"00000000-0000-0000-0000-000000000000","IsPageVariable":false,"IsLineItemDetailEnabled":false,"LineItemDetailOrder":0,"LineItemID":null,"PageVariableSectionReference":"","PageVariableDimensionName":null,"IsDynamicRange":true,"IsDynamicRangeEntry":true,"DynamicRangeID":"6c2f193e","DynamicRangeEntryID":"f8eb7bd0","IsMultiDynamicRange":false,"MultiDynamicRangeID":null,"MultiDynamicCollectionID":null,"SectionName":"ControleIndelingHRG","BlockName":"B1","VenaRangeType":5,"DimensionIdStr":"-1","MemberIdStr":"-1","DimensionId":-1,"MemberId":-1,"Inc":""},"_vena_DYNR_SControleIndelingHRG_BB1_6cb6327":{"SourceGlobalVariableId":-1,"SourceFormVariableId":"00000000-0000-0000-0000-000000000000","IsPageVariable":false,"IsLineItemDetailEnabled":false,"LineItemDetailOrder":0,"LineItemID":null,"PageVariableSectionReference":"","PageVariableDimensionName":null,"IsDynamicRange":true,"IsDynamicRangeEntry":false,"DynamicRangeID":"6cb6327","DynamicRangeEntryID":null,"IsMultiDynamicRange":false,"MultiDynamicRangeID":null,"MultiDynamicCollectionID":null,"SectionName":"ControleIndelingHRG","BlockName":"B1","VenaRangeType":5,"DimensionIdStr":"-1","MemberIdStr":"-1","DimensionId":-1,"MemberId":-1,"Inc":""},"_vena_DYNR_SControleIndelingHRG_BB1_6cb6327_159e8cb6":{"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159e8cb6","IsMultiDynamicRange":false,"MultiDynamicRangeID":null,"MultiDynamicCollectionID":null,"SectionName":"ControleIndelingHRG","BlockName":"B1","VenaRangeType":5,"DimensionIdStr":"-1","MemberIdStr":"-1","DimensionId":-1,"MemberId":-1,"Inc":""},"_vena_DYNR_SControleIndelingHRG_BB1_6cb6327_17ce69d0":{"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17ce69d0","IsMultiDynamicRange":false,"MultiDynamicRangeID":null,"MultiDynamicCollectionID":null,"SectionName":"ControleIndelingHRG","BlockName":"B1","VenaRangeType":5,"DimensionIdStr":"-1","MemberIdStr":"-1","DimensionId":-1,"MemberId":-1,"Inc":""},"_vena_DYNR_SControleIndelingHRG_BB1_6cb6327_1a6417df":{"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1a6417df","IsMultiDynamicRange":false,"MultiDynamicRangeID":null,"MultiDynamicCollectionID":null,"SectionName":"ControleIndelingHRG","BlockName":"B1","VenaRangeType":5,"DimensionIdStr":"-1","MemberIdStr":"-1","DimensionId":-1,"MemberId":-1,"Inc":""},"_vena_DYNR_SControleIndelingHRG_BB1_6cb6327_2582221f":{"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2582221f","IsMultiDynamicRange":false,"MultiDynamicRangeID":null,"MultiDynamicCollectionID":null,"SectionName":"ControleIndelingHRG","BlockName":"B1","VenaRangeType":5,"DimensionIdStr":"-1","MemberIdStr":"-1","DimensionId":-1,"MemberId":-1,"Inc":""},"_vena_DYNR_SControleIndelingHRG_BB1_6cb6327_266965d2":{"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266965d2","IsMultiDynamicRange":false,"MultiDynamicRangeID":null,"MultiDynamicCollectionID":null,"SectionName":"ControleIndelingHRG","BlockName":"B1","VenaRangeType":5,"DimensionIdStr":"-1","MemberIdStr":"-1","DimensionId":-1,"MemberId":-1,"Inc":""},"_vena_DYNR_SControleIndelingHRG_BB1_6cb6327_30e88050":{"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30e88050","IsMultiDynamicRange":false,"MultiDynamicRangeID":null,"MultiDynamicCollectionID":null,"SectionName":"ControleIndelingHRG","BlockName":"B1","VenaRangeType":5,"DimensionIdStr":"-1","MemberIdStr":"-1","DimensionId":-1,"MemberId":-1,"Inc":""},"_vena_DYNR_SControleIndelingHRG_BB1_6cb6327_30fd4d45":{"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30fd4d45","IsMultiDynamicRange":false,"MultiDynamicRangeID":null,"MultiDynamicCollectionID":null,"SectionName":"ControleIndelingHRG","BlockName":"B1","VenaRangeType":5,"DimensionIdStr":"-1","MemberIdStr":"-1","DimensionId":-1,"MemberId":-1,"Inc":""},"_vena_DYNR_SControleIndelingHRG_BB1_6cb6327_325afaab":{"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325afaab","IsMultiDynamicRange":false,"MultiDynamicRangeID":null,"MultiDynamicCollectionID":null,"SectionName":"ControleIndelingHRG","BlockName":"B1","VenaRangeType":5,"DimensionIdStr":"-1","MemberIdStr":"-1","DimensionId":-1,"MemberId":-1,"Inc":""},"_vena_DYNR_SControleIndelingHRG_BB1_6cb6327_339a92be":{"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339a92be","IsMultiDynamicRange":false,"MultiDynamicRangeID":null,"MultiDynamicCollectionID":null,"SectionName":"ControleIndelingHRG","BlockName":"B1","VenaRangeType":5,"DimensionIdStr":"-1","MemberIdStr":"-1","DimensionId":-1,"MemberId":-1,"Inc":""},"_vena_DYNR_SControleIndelingHRG_BB1_6cb6327_33c59c2":{"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33c59c2","IsMultiDynamicRange":false,"MultiDynamicRangeID":null,"MultiDynamicCollectionID":null,"SectionName":"ControleIndelingHRG","BlockName":"B1","VenaRangeType":5,"DimensionIdStr":"-1","MemberIdStr":"-1","DimensionId":-1,"MemberId":-1,"Inc":""},"_vena_DYNR_SControleIndelingHRG_BB1_6cb6327_35633bf":{"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35633bf","IsMultiDynamicRange":false,"MultiDynamicRangeID":null,"MultiDynamicCollectionID":null,"SectionName":"ControleIndelingHRG","BlockName":"B1","VenaRangeType":5,"DimensionIdStr":"-1","MemberIdStr":"-1","DimensionId":-1,"MemberId":-1,"Inc":""},"_vena_DYNR_SControleIndelingHRG_BB1_6cb6327_44138c15":{"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44138c15","IsMultiDynamicRange":false,"MultiDynamicRangeID":null,"MultiDynamicCollectionID":null,"SectionName":"ControleIndelingHRG","BlockName":"B1","VenaRangeType":5,"DimensionIdStr":"-1","MemberIdStr":"-1","DimensionId":-1,"MemberId":-1,"Inc":""},"_vena_DYNR_SControleIndelingHRG_BB1_6cb6327_446f96af":{"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446f96af","IsMultiDynamicRange":false,"MultiDynamicRangeID":null,"MultiDynamicCollectionID":null,"SectionName":"ControleIndelingHRG","BlockName":"B1","VenaRangeType":5,"DimensionIdStr":"-1","MemberIdStr":"-1","DimensionId":-1,"MemberId":-1,"Inc":""},"_vena_DYNR_SControleIndelingHRG_BB1_6cb6327_472e2cf2":{"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472e2cf2","IsMultiDynamicRange":false,"MultiDynamicRangeID":null,"MultiDynamicCollectionID":null,"SectionName":"ControleIndelingHRG","BlockName":"B1","VenaRangeType":5,"DimensionIdStr":"-1","MemberIdStr":"-1","DimensionId":-1,"MemberId":-1,"Inc":""},"_vena_DYNR_SControleIndelingHRG_BB1_6cb6327_47c73b5d":{"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47c73b5d","IsMultiDynamicRange":false,"MultiDynamicRangeID":null,"MultiDynamicCollectionID":null,"SectionName":"ControleIndelingHRG","BlockName":"B1","VenaRangeType":5,"DimensionIdStr":"-1","MemberIdStr":"-1","DimensionId":-1,"MemberId":-1,"Inc":""},"_vena_DYNR_SControleIndelingHRG_BB1_6cb6327_4d0c70ac":{"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4d0c70ac","IsMultiDynamicRange":false,"MultiDynamicRangeID":null,"MultiDynamicCollectionID":null,"SectionName":"ControleIndelingHRG","BlockName":"B1","VenaRangeType":5,"DimensionIdStr":"-1","MemberIdStr":"-1","DimensionId":-1,"MemberId":-1,"Inc":""},"_vena_DYNR_SControleIndelingHRG_BB1_6cb6327_54d86eef":{"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54d86eef","IsMultiDynamicRange":false,"MultiDynamicRangeID":null,"MultiDynamicCollectionID":null,"SectionName":"ControleIndelingHRG","BlockName":"B1","VenaRangeType":5,"DimensionIdStr":"-1","MemberIdStr":"-1","DimensionId":-1,"MemberId":-1,"Inc":""},"_vena_DYNR_SControleIndelingHRG_BB1_6cb6327_58350e9b":{"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58350e9b","IsMultiDynamicRange":false,"MultiDynamicRangeID":null,"MultiDynamicCollectionID":null,"SectionName":"ControleIndelingHRG","BlockName":"B1","VenaRangeType":5,"DimensionIdStr":"-1","MemberIdStr":"-1","DimensionId":-1,"MemberId":-1,"Inc":""},"_vena_DYNR_SControleIndelingHRG_BB1_6cb6327_5edd8736":{"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5edd8736","IsMultiDynamicRange":false,"MultiDynamicRangeID":null,"MultiDynamicCollectionID":null,"SectionName":"ControleIndelingHRG","BlockName":"B1","VenaRangeType":5,"DimensionIdStr":"-1","MemberIdStr":"-1","DimensionId":-1,"MemberId":-1,"Inc":""},"_vena_DYNR_SControleIndelingHRG_BB1_6cb6327_617e691d":{"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617e691d","IsMultiDynamicRange":false,"MultiDynamicRangeID":null,"MultiDynamicCollectionID":null,"SectionName":"ControleIndelingHRG","BlockName":"B1","VenaRangeType":5,"DimensionIdStr":"-1","MemberIdStr":"-1","DimensionId":-1,"MemberId":-1,"Inc":""},"_vena_DYNR_SControleIndelingHRG_BB1_6cb6327_61a3b099":{"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61a3b099","IsMultiDynamicRange":false,"MultiDynamicRangeID":null,"MultiDynamicCollectionID":null,"SectionName":"ControleIndelingHRG","BlockName":"B1","VenaRangeType":5,"DimensionIdStr":"-1","MemberIdStr":"-1","DimensionId":-1,"MemberId":-1,"Inc":""},"_vena_DYNR_SControleIndelingHRG_BB1_6cb6327_673f684":{"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673f684","IsMultiDynamicRange":false,"MultiDynamicRangeID":null,"MultiDynamicCollectionID":null,"SectionName":"ControleIndelingHRG","BlockName":"B1","VenaRangeType":5,"DimensionIdStr":"-1","MemberIdStr":"-1","DimensionId":-1,"MemberId":-1,"Inc":""},"_vena_DYNR_SControleIndelingHRG_BB1_6cb6327_69883d34":{"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69883d34","IsMultiDynamicRange":false,"MultiDynamicRangeID":null,"MultiDynamicCollectionID":null,"SectionName":"ControleIndelingHRG","BlockName":"B1","VenaRangeType":5,"DimensionIdStr":"-1","MemberIdStr":"-1","DimensionId":-1,"MemberId":-1,"Inc":""},"_vena_DYNR_SControleIndelingHRG_BB1_6cb6327_772317f9":{"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772317f9","IsMultiDynamicRange":false,"MultiDynamicRangeID":null,"MultiDynamicCollectionID":null,"SectionName":"ControleIndelingHRG","BlockName":"B1","VenaRangeType":5,"DimensionIdStr":"-1","MemberIdStr":"-1","DimensionId":-1,"MemberId":-1,"Inc":""},"_vena_DYNR_SControleIndelingHRG_BB1_6cb6327_7bb86fb":{"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7bb86fb","IsMultiDynamicRange":false,"MultiDynamicRangeID":null,"MultiDynamicCollectionID":null,"SectionName":"ControleIndelingHRG","BlockName":"B1","VenaRangeType":5,"DimensionIdStr":"-1","MemberIdStr":"-1","DimensionId":-1,"MemberId":-1,"Inc":""},"_vena_DYNR_SControleIndelingHRG_BB1_6cb6327_7f40b5f5":{"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7f40b5f5","IsMultiDynamicRange":false,"MultiDynamicRangeID":null,"MultiDynamicCollectionID":null,"SectionName":"ControleIndelingHRG","BlockName":"B1","VenaRangeType":5,"DimensionIdStr":"-1","MemberIdStr":"-1","DimensionId":-1,"MemberId":-1,"Inc":""},"_vena_DYNR_SControleIndelingHRG_BB1_6cb6327_81670bbd":{"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81670bbd","IsMultiDynamicRange":false,"MultiDynamicRangeID":null,"MultiDynamicCollectionID":null,"SectionName":"ControleIndelingHRG","BlockName":"B1","VenaRangeType":5,"DimensionIdStr":"-1","MemberIdStr":"-1","DimensionId":-1,"MemberId":-1,"Inc":""},"_vena_DYNR_SControleIndelingHRG_BB1_6cb6327_86e2f887":{"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86e2f887","IsMultiDynamicRange":false,"MultiDynamicRangeID":null,"MultiDynamicCollectionID":null,"SectionName":"ControleIndelingHRG","BlockName":"B1","VenaRangeType":5,"DimensionIdStr":"-1","MemberIdStr":"-1","DimensionId":-1,"MemberId":-1,"Inc":""},"_vena_DYNR_SControleIndelingHRG_BB1_6cb6327_88f0be4d":{"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88f0be4d","IsMultiDynamicRange":false,"MultiDynamicRangeID":null,"MultiDynamicCollectionID":null,"SectionName":"ControleIndelingHRG","BlockName":"B1","VenaRangeType":5,"DimensionIdStr":"-1","MemberIdStr":"-1","DimensionId":-1,"MemberId":-1,"Inc":""},"_vena_DYNR_SControleIndelingHRG_BB1_6cb6327_8d89e56d":{"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8d89e56d","IsMultiDynamicRange":false,"MultiDynamicRangeID":null,"MultiDynamicCollectionID":null,"SectionName":"ControleIndelingHRG","BlockName":"B1","VenaRangeType":5,"DimensionIdStr":"-1","MemberIdStr":"-1","DimensionId":-1,"MemberId":-1,"Inc":""},"_vena_DYNR_SControleIndelingHRG_BB1_6cb6327_8e23acdd":{"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8e23acdd","IsMultiDynamicRange":false,"MultiDynamicRangeID":null,"MultiDynamicCollectionID":null,"SectionName":"ControleIndelingHRG","BlockName":"B1","VenaRangeType":5,"DimensionIdStr":"-1","MemberIdStr":"-1","DimensionId":-1,"MemberId":-1,"Inc":""},"_vena_DYNR_SControleIndelingHRG_BB1_6cb6327_8ed3ef36":{"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8ed3ef36","IsMultiDynamicRange":false,"MultiDynamicRangeID":null,"MultiDynamicCollectionID":null,"SectionName":"ControleIndelingHRG","BlockName":"B1","VenaRangeType":5,"DimensionIdStr":"-1","MemberIdStr":"-1","DimensionId":-1,"MemberId":-1,"Inc":""},"_vena_DYNR_SControleIndelingHRG_BB1_6cb6327_911abb6c":{"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911abb6c","IsMultiDynamicRange":false,"MultiDynamicRangeID":null,"MultiDynamicCollectionID":null,"SectionName":"ControleIndelingHRG","BlockName":"B1","VenaRangeType":5,"DimensionIdStr":"-1","MemberIdStr":"-1","DimensionId":-1,"MemberId":-1,"Inc":""},"_vena_DYNR_SControleIndelingHRG_BB1_6cb6327_9439847b":{"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9439847b","IsMultiDynamicRange":false,"MultiDynamicRangeID":null,"MultiDynamicCollectionID":null,"SectionName":"ControleIndelingHRG","BlockName":"B1","VenaRangeType":5,"DimensionIdStr":"-1","MemberIdStr":"-1","DimensionId":-1,"MemberId":-1,"Inc":""},"_vena_DYNR_SControleIndelingHRG_BB1_6cb6327_9684a85d":{"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9684a85d","IsMultiDynamicRange":false,"MultiDynamicRangeID":null,"MultiDynamicCollectionID":null,"SectionName":"ControleIndelingHRG","BlockName":"B1","VenaRangeType":5,"DimensionIdStr":"-1","MemberIdStr":"-1","DimensionId":-1,"MemberId":-1,"Inc":""},"_vena_DYNR_SControleIndelingHRG_BB1_6cb6327_98321e20":{"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98321e20","IsMultiDynamicRange":false,"MultiDynamicRangeID":null,"MultiDynamicCollectionID":null,"SectionName":"ControleIndelingHRG","BlockName":"B1","VenaRangeType":5,"DimensionIdStr":"-1","MemberIdStr":"-1","DimensionId":-1,"MemberId":-1,"Inc":""},"_vena_DYNR_SControleIndelingHRG_BB1_6cb6327_993b783c":{"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993b783c","IsMultiDynamicRange":false,"MultiDynamicRangeID":null,"MultiDynamicCollectionID":null,"SectionName":"ControleIndelingHRG","BlockName":"B1","VenaRangeType":5,"DimensionIdStr":"-1","MemberIdStr":"-1","DimensionId":-1,"MemberId":-1,"Inc":""},"_vena_DYNR_SControleIndelingHRG_BB1_6cb6327_a64edf98":{"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a64edf98","IsMultiDynamicRange":false,"MultiDynamicRangeID":null,"MultiDynamicCollectionID":null,"SectionName":"ControleIndelingHRG","BlockName":"B1","VenaRangeType":5,"DimensionIdStr":"-1","MemberIdStr":"-1","DimensionId":-1,"MemberId":-1,"Inc":""},"_vena_DYNR_SControleIndelingHRG_BB1_6cb6327_ab8bb01":{"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ab8bb01","IsMultiDynamicRange":false,"MultiDynamicRangeID":null,"MultiDynamicCollectionID":null,"SectionName":"ControleIndelingHRG","BlockName":"B1","VenaRangeType":5,"DimensionIdStr":"-1","MemberIdStr":"-1","DimensionId":-1,"MemberId":-1,"Inc":""},"_vena_DYNR_SControleIndelingHRG_BB1_6cb6327_b0e7cc1b":{"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0e7cc1b","IsMultiDynamicRange":false,"MultiDynamicRangeID":null,"MultiDynamicCollectionID":null,"SectionName":"ControleIndelingHRG","BlockName":"B1","VenaRangeType":5,"DimensionIdStr":"-1","MemberIdStr":"-1","DimensionId":-1,"MemberId":-1,"Inc":""},"_vena_DYNR_SControleIndelingHRG_BB1_6cb6327_b20b7386":{"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20b7386","IsMultiDynamicRange":false,"MultiDynamicRangeID":null,"MultiDynamicCollectionID":null,"SectionName":"ControleIndelingHRG","BlockName":"B1","VenaRangeType":5,"DimensionIdStr":"-1","MemberIdStr":"-1","DimensionId":-1,"MemberId":-1,"Inc":""},"_vena_DYNR_SControleIndelingHRG_BB1_6cb6327_b2844e03":{"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2844e03","IsMultiDynamicRange":false,"MultiDynamicRangeID":null,"MultiDynamicCollectionID":null,"SectionName":"ControleIndelingHRG","BlockName":"B1","VenaRangeType":5,"DimensionIdStr":"-1","MemberIdStr":"-1","DimensionId":-1,"MemberId":-1,"Inc":""},"_vena_DYNR_SControleIndelingHRG_BB1_6cb6327_b9507135":{"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9507135","IsMultiDynamicRange":false,"MultiDynamicRangeID":null,"MultiDynamicCollectionID":null,"SectionName":"ControleIndelingHRG","BlockName":"B1","VenaRangeType":5,"DimensionIdStr":"-1","MemberIdStr":"-1","DimensionId":-1,"MemberId":-1,"Inc":""},"_vena_DYNR_SControleIndelingHRG_BB1_6cb6327_bafdcbd8":{"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afdcbd8","IsMultiDynamicRange":false,"MultiDynamicRangeID":null,"MultiDynamicCollectionID":null,"SectionName":"ControleIndelingHRG","BlockName":"B1","VenaRangeType":5,"DimensionIdStr":"-1","MemberIdStr":"-1","DimensionId":-1,"MemberId":-1,"Inc":""},"_vena_DYNR_SControleIndelingHRG_BB1_6cb6327_bbd0cea7":{"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bd0cea7","IsMultiDynamicRange":false,"MultiDynamicRangeID":null,"MultiDynamicCollectionID":null,"SectionName":"ControleIndelingHRG","BlockName":"B1","VenaRangeType":5,"DimensionIdStr":"-1","MemberIdStr":"-1","DimensionId":-1,"MemberId":-1,"Inc":""},"_vena_DYNR_SControleIndelingHRG_BB1_6cb6327_bcedc7f9":{"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cedc7f9","IsMultiDynamicRange":false,"MultiDynamicRangeID":null,"MultiDynamicCollectionID":null,"SectionName":"ControleIndelingHRG","BlockName":"B1","VenaRangeType":5,"DimensionIdStr":"-1","MemberIdStr":"-1","DimensionId":-1,"MemberId":-1,"Inc":""},"_vena_DYNR_SControleIndelingHRG_BB1_6cb6327_bd0b00e9":{"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d0b00e9","IsMultiDynamicRange":false,"MultiDynamicRangeID":null,"MultiDynamicCollectionID":null,"SectionName":"ControleIndelingHRG","BlockName":"B1","VenaRangeType":5,"DimensionIdStr":"-1","MemberIdStr":"-1","DimensionId":-1,"MemberId":-1,"Inc":""},"_vena_DYNR_SControleIndelingHRG_BB1_6cb6327_bdcc99b0":{"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dcc99b0","IsMultiDynamicRange":false,"MultiDynamicRangeID":null,"MultiDynamicCollectionID":null,"SectionName":"ControleIndelingHRG","BlockName":"B1","VenaRangeType":5,"DimensionIdStr":"-1","MemberIdStr":"-1","DimensionId":-1,"MemberId":-1,"Inc":""},"_vena_DYNR_SControleIndelingHRG_BB1_6cb6327_bdf4143":{"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bdf4143","IsMultiDynamicRange":false,"MultiDynamicRangeID":null,"MultiDynamicCollectionID":null,"SectionName":"ControleIndelingHRG","BlockName":"B1","VenaRangeType":5,"DimensionIdStr":"-1","MemberIdStr":"-1","DimensionId":-1,"MemberId":-1,"Inc":""},"_vena_DYNR_SControleIndelingHRG_BB1_6cb6327_c060325d":{"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c060325d","IsMultiDynamicRange":false,"MultiDynamicRangeID":null,"MultiDynamicCollectionID":null,"SectionName":"ControleIndelingHRG","BlockName":"B1","VenaRangeType":5,"DimensionIdStr":"-1","MemberIdStr":"-1","DimensionId":-1,"MemberId":-1,"Inc":""},"_vena_DYNR_SControleIndelingHRG_BB1_6cb6327_c56c0ae":{"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c56c0ae","IsMultiDynamicRange":false,"MultiDynamicRangeID":null,"MultiDynamicCollectionID":null,"SectionName":"ControleIndelingHRG","BlockName":"B1","VenaRangeType":5,"DimensionIdStr":"-1","MemberIdStr":"-1","DimensionId":-1,"MemberId":-1,"Inc":""},"_vena_DYNR_SControleIndelingHRG_BB1_6cb6327_c95a91b1":{"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c95a91b1","IsMultiDynamicRange":false,"MultiDynamicRangeID":null,"MultiDynamicCollectionID":null,"SectionName":"ControleIndelingHRG","BlockName":"B1","VenaRangeType":5,"DimensionIdStr":"-1","MemberIdStr":"-1","DimensionId":-1,"MemberId":-1,"Inc":""},"_vena_DYNR_SControleIndelingHRG_BB1_6cb6327_cbc0581d":{"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cbc0581d","IsMultiDynamicRange":false,"MultiDynamicRangeID":null,"MultiDynamicCollectionID":null,"SectionName":"ControleIndelingHRG","BlockName":"B1","VenaRangeType":5,"DimensionIdStr":"-1","MemberIdStr":"-1","DimensionId":-1,"MemberId":-1,"Inc":""},"_vena_DYNR_SControleIndelingHRG_BB1_6cb6327_cc770c65":{"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cc770c65","IsMultiDynamicRange":false,"MultiDynamicRangeID":null,"MultiDynamicCollectionID":null,"SectionName":"ControleIndelingHRG","BlockName":"B1","VenaRangeType":5,"DimensionIdStr":"-1","MemberIdStr":"-1","DimensionId":-1,"MemberId":-1,"Inc":""},"_vena_DYNR_SControleIndelingHRG_BB1_6cb6327_d03273f":{"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d03273f","IsMultiDynamicRange":false,"MultiDynamicRangeID":null,"MultiDynamicCollectionID":null,"SectionName":"ControleIndelingHRG","BlockName":"B1","VenaRangeType":5,"DimensionIdStr":"-1","MemberIdStr":"-1","DimensionId":-1,"MemberId":-1,"Inc":""},"_vena_DYNR_SControleIndelingHRG_BB1_6cb6327_d17b09a7":{"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d17b09a7","IsMultiDynamicRange":false,"MultiDynamicRangeID":null,"MultiDynamicCollectionID":null,"SectionName":"ControleIndelingHRG","BlockName":"B1","VenaRangeType":5,"DimensionIdStr":"-1","MemberIdStr":"-1","DimensionId":-1,"MemberId":-1,"Inc":""},"_vena_DYNR_SControleIndelingHRG_BB1_6cb6327_d25d30d6":{"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d25d30d6","IsMultiDynamicRange":false,"MultiDynamicRangeID":null,"MultiDynamicCollectionID":null,"SectionName":"ControleIndelingHRG","BlockName":"B1","VenaRangeType":5,"DimensionIdStr":"-1","MemberIdStr":"-1","DimensionId":-1,"MemberId":-1,"Inc":""},"_vena_DYNR_SControleIndelingHRG_BB1_6cb6327_d8b4aada":{"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d8b4aada","IsMultiDynamicRange":false,"MultiDynamicRangeID":null,"MultiDynamicCollectionID":null,"SectionName":"ControleIndelingHRG","BlockName":"B1","VenaRangeType":5,"DimensionIdStr":"-1","MemberIdStr":"-1","DimensionId":-1,"MemberId":-1,"Inc":""},"_vena_DYNR_SControleIndelingHRG_BB1_6cb6327_e3165403":{"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e3165403","IsMultiDynamicRange":false,"MultiDynamicRangeID":null,"MultiDynamicCollectionID":null,"SectionName":"ControleIndelingHRG","BlockName":"B1","VenaRangeType":5,"DimensionIdStr":"-1","MemberIdStr":"-1","DimensionId":-1,"MemberId":-1,"Inc":""},"_vena_DYNR_SControleIndelingHRG_BB1_6cb6327_f18b6485":{"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f18b6485","IsMultiDynamicRange":false,"MultiDynamicRangeID":null,"MultiDynamicCollectionID":null,"SectionName":"ControleIndelingHRG","BlockName":"B1","VenaRangeType":5,"DimensionIdStr":"-1","MemberIdStr":"-1","DimensionId":-1,"MemberId":-1,"Inc":""},"_vena_DYNR_SControleIndelingHRG_BB1_6cb6327_f42a6255":{"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f42a6255","IsMultiDynamicRange":false,"MultiDynamicRangeID":null,"MultiDynamicCollectionID":null,"SectionName":"ControleIndelingHRG","BlockName":"B1","VenaRangeType":5,"DimensionIdStr":"-1","MemberIdStr":"-1","DimensionId":-1,"MemberId":-1,"Inc":""},"_vena_DYNR_SControleIndelingHRG_BB1_6cb6327_f6044cb6":{"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f6044cb6","IsMultiDynamicRange":false,"MultiDynamicRangeID":null,"MultiDynamicCollectionID":null,"SectionName":"ControleIndelingHRG","BlockName":"B1","VenaRangeType":5,"DimensionIdStr":"-1","MemberIdStr":"-1","DimensionId":-1,"MemberId":-1,"Inc":""},"_vena_DYNR_SControleIndelingHRG_BB1_6cb6327_f653a76e":{"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f653a76e","IsMultiDynamicRange":false,"MultiDynamicRangeID":null,"MultiDynamicCollectionID":null,"SectionName":"ControleIndelingHRG","BlockName":"B1","VenaRangeType":5,"DimensionIdStr":"-1","MemberIdStr":"-1","DimensionId":-1,"MemberId":-1,"Inc":""},"_vena_DYNR_SControleIndelingHRG_BB1_6cb6327_fac68f60":{"SourceGlobalVariableId":-1,"SourceFormVariableId":"00000000-0000-0000-0000-000000000000","IsPageVariable":false,"IsLineItemDetailEnabled":false,"LineItemDetailOrder":0,"LineItemID":null,"PageVariableSectionReference":"","PageVariableDimensionName":null,"IsDynamicRange":true,"IsDynamicRangeEntry":true,"DynamicRangeID":"6cb6327","DynamicRangeEntryID":"fac68f60","IsMultiDynamicRange":false,"MultiDynamicRangeID":null,"MultiDynamicCollectionID":null,"SectionName":"ControleIndelingHRG","BlockName":"B1","VenaRangeType":5,"DimensionIdStr":"-1","MemberIdStr":"-1","DimensionId":-1,"MemberId":-1,"Inc":""},"_vena_DYNR_SControleIndelingHRG_BB1_7054dad3":{"SourceGlobalVariableId":-1,"SourceFormVariableId":"00000000-0000-0000-0000-000000000000","IsPageVariable":false,"IsLineItemDetailEnabled":false,"LineItemDetailOrder":0,"LineItemID":null,"PageVariableSectionReference":"","PageVariableDimensionName":null,"IsDynamicRange":true,"IsDynamicRangeEntry":false,"DynamicRangeID":"7054dad3","DynamicRangeEntryID":null,"IsMultiDynamicRange":false,"MultiDynamicRangeID":null,"MultiDynamicCollectionID":null,"SectionName":"ControleIndelingHRG","BlockName":"B1","VenaRangeType":5,"DimensionIdStr":"-1","MemberIdStr":"-1","DimensionId":-1,"MemberId":-1,"Inc":""},"_vena_DYNR_SControleIndelingHRG_BB1_7054dad3_68233e6d":{"SourceGlobalVariableId":-1,"SourceFormVariableId":"00000000-0000-0000-0000-000000000000","IsPageVariable":false,"IsLineItemDetailEnabled":false,"LineItemDetailOrder":0,"LineItemID":null,"PageVariableSectionReference":"","PageVariableDimensionName":null,"IsDynamicRange":true,"IsDynamicRangeEntry":true,"DynamicRangeID":"7054dad3","DynamicRangeEntryID":"68233e6d","IsMultiDynamicRange":false,"MultiDynamicRangeID":null,"MultiDynamicCollectionID":null,"SectionName":"ControleIndelingHRG","BlockName":"B1","VenaRangeType":5,"DimensionIdStr":"-1","MemberIdStr":"-1","DimensionId":-1,"MemberId":-1,"Inc":""},"_vena_DYNR_SControleIndelingHRG_BB1_7054dad3_8f1251f6":{"SourceGlobalVariableId":-1,"SourceFormVariableId":"00000000-0000-0000-0000-000000000000","IsPageVariable":false,"IsLineItemDetailEnabled":false,"LineItemDetailOrder":0,"LineItemID":null,"PageVariableSectionReference":"","PageVariableDimensionName":null,"IsDynamicRange":true,"IsDynamicRangeEntry":true,"DynamicRangeID":"7054dad3","DynamicRangeEntryID":"8f1251f6","IsMultiDynamicRange":false,"MultiDynamicRangeID":null,"MultiDynamicCollectionID":null,"SectionName":"ControleIndelingHRG","BlockName":"B1","VenaRangeType":5,"DimensionIdStr":"-1","MemberIdStr":"-1","DimensionId":-1,"MemberId":-1,"Inc":""},"_vena_DYNR_SControleIndelingHRG_BB1_7054dad3_b1bdc13b":{"SourceGlobalVariableId":-1,"SourceFormVariableId":"00000000-0000-0000-0000-000000000000","IsPageVariable":false,"IsLineItemDetailEnabled":false,"LineItemDetailOrder":0,"LineItemID":null,"PageVariableSectionReference":"","PageVariableDimensionName":null,"IsDynamicRange":true,"IsDynamicRangeEntry":true,"DynamicRangeID":"7054dad3","DynamicRangeEntryID":"b1bdc13b","IsMultiDynamicRange":false,"MultiDynamicRangeID":null,"MultiDynamicCollectionID":null,"SectionName":"ControleIndelingHRG","BlockName":"B1","VenaRangeType":5,"DimensionIdStr":"-1","MemberIdStr":"-1","DimensionId":-1,"MemberId":-1,"Inc":""},"_vena_DYNR_SControleIndelingHRG_BB1_7054dad3_c3ac09af":{"SourceGlobalVariableId":-1,"SourceFormVariableId":"00000000-0000-0000-0000-000000000000","IsPageVariable":false,"IsLineItemDetailEnabled":false,"LineItemDetailOrder":0,"LineItemID":null,"PageVariableSectionReference":"","PageVariableDimensionName":null,"IsDynamicRange":true,"IsDynamicRangeEntry":true,"DynamicRangeID":"7054dad3","DynamicRangeEntryID":"c3ac09af","IsMultiDynamicRange":false,"MultiDynamicRangeID":null,"MultiDynamicCollectionID":null,"SectionName":"ControleIndelingHRG","BlockName":"B1","VenaRangeType":5,"DimensionIdStr":"-1","MemberIdStr":"-1","DimensionId":-1,"MemberId":-1,"Inc":""},"_vena_DYNR_SControleIndelingHRG_BB1_7054dad3_f50f221f":{"SourceGlobalVariableId":-1,"SourceFormVariableId":"00000000-0000-0000-0000-000000000000","IsPageVariable":false,"IsLineItemDetailEnabled":false,"LineItemDetailOrder":0,"LineItemID":null,"PageVariableSectionReference":"","PageVariableDimensionName":null,"IsDynamicRange":true,"IsDynamicRangeEntry":true,"DynamicRangeID":"7054dad3","DynamicRangeEntryID":"f50f221f","IsMultiDynamicRange":false,"MultiDynamicRangeID":null,"MultiDynamicCollectionID":null,"SectionName":"ControleIndelingHRG","BlockName":"B1","VenaRangeType":5,"DimensionIdStr":"-1","MemberIdStr":"-1","DimensionId":-1,"MemberId":-1,"Inc":""},"_vena_DYNR_SControleIndelingHRG_BB1_71718613":{"SourceGlobalVariableId":-1,"SourceFormVariableId":"00000000-0000-0000-0000-000000000000","IsPageVariable":false,"IsLineItemDetailEnabled":false,"LineItemDetailOrder":0,"LineItemID":null,"PageVariableSectionReference":"","PageVariableDimensionName":null,"IsDynamicRange":true,"IsDynamicRangeEntry":false,"DynamicRangeID":"71718613","DynamicRangeEntryID":null,"IsMultiDynamicRange":false,"MultiDynamicRangeID":null,"MultiDynamicCollectionID":null,"SectionName":"ControleIndelingHRG","BlockName":"B1","VenaRangeType":5,"DimensionIdStr":"-1","MemberIdStr":"-1","DimensionId":-1,"MemberId":-1,"Inc":""},"_vena_DYNR_SControleIndelingHRG_BB1_71718613_2abd6f61":{"SourceGlobalVariableId":-1,"SourceFormVariableId":"00000000-0000-0000-0000-000000000000","IsPageVariable":false,"IsLineItemDetailEnabled":false,"LineItemDetailOrder":0,"LineItemID":null,"PageVariableSectionReference":"","PageVariableDimensionName":null,"IsDynamicRange":true,"IsDynamicRangeEntry":true,"DynamicRangeID":"71718613","DynamicRangeEntryID":"2abd6f61","IsMultiDynamicRange":false,"MultiDynamicRangeID":null,"MultiDynamicCollectionID":null,"SectionName":"ControleIndelingHRG","BlockName":"B1","VenaRangeType":5,"DimensionIdStr":"-1","MemberIdStr":"-1","DimensionId":-1,"MemberId":-1,"Inc":""},"_vena_DYNR_SControleIndelingHRG_BB1_71718613_418ff862":{"SourceGlobalVariableId":-1,"SourceFormVariableId":"00000000-0000-0000-0000-000000000000","IsPageVariable":false,"IsLineItemDetailEnabled":false,"LineItemDetailOrder":0,"LineItemID":null,"PageVariableSectionReference":"","PageVariableDimensionName":null,"IsDynamicRange":true,"IsDynamicRangeEntry":true,"DynamicRangeID":"71718613","DynamicRangeEntryID":"418ff862","IsMultiDynamicRange":false,"MultiDynamicRangeID":null,"MultiDynamicCollectionID":null,"SectionName":"ControleIndelingHRG","BlockName":"B1","VenaRangeType":5,"DimensionIdStr":"-1","MemberIdStr":"-1","DimensionId":-1,"MemberId":-1,"Inc":""},"_vena_DYNR_SControleIndelingHRG_BB1_71718613_53cb3f38":{"SourceGlobalVariableId":-1,"SourceFormVariableId":"00000000-0000-0000-0000-000000000000","IsPageVariable":false,"IsLineItemDetailEnabled":false,"LineItemDetailOrder":0,"LineItemID":null,"PageVariableSectionReference":"","PageVariableDimensionName":null,"IsDynamicRange":true,"IsDynamicRangeEntry":true,"DynamicRangeID":"71718613","DynamicRangeEntryID":"53cb3f38","IsMultiDynamicRange":false,"MultiDynamicRangeID":null,"MultiDynamicCollectionID":null,"SectionName":"ControleIndelingHRG","BlockName":"B1","VenaRangeType":5,"DimensionIdStr":"-1","MemberIdStr":"-1","DimensionId":-1,"MemberId":-1,"Inc":""},"_vena_DYNR_SControleIndelingHRG_BB1_71718613_7084a08c":{"SourceGlobalVariableId":-1,"SourceFormVariableId":"00000000-0000-0000-0000-000000000000","IsPageVariable":false,"IsLineItemDetailEnabled":false,"LineItemDetailOrder":0,"LineItemID":null,"PageVariableSectionReference":"","PageVariableDimensionName":null,"IsDynamicRange":true,"IsDynamicRangeEntry":true,"DynamicRangeID":"71718613","DynamicRangeEntryID":"7084a08c","IsMultiDynamicRange":false,"MultiDynamicRangeID":null,"MultiDynamicCollectionID":null,"SectionName":"ControleIndelingHRG","BlockName":"B1","VenaRangeType":5,"DimensionIdStr":"-1","MemberIdStr":"-1","DimensionId":-1,"MemberId":-1,"Inc":""},"_vena_DYNR_SControleIndelingHRG_BB1_71718613_b07eb8e6":{"SourceGlobalVariableId":-1,"SourceFormVariableId":"00000000-0000-0000-0000-000000000000","IsPageVariable":false,"IsLineItemDetailEnabled":false,"LineItemDetailOrder":0,"LineItemID":null,"PageVariableSectionReference":"","PageVariableDimensionName":null,"IsDynamicRange":true,"IsDynamicRangeEntry":true,"DynamicRangeID":"71718613","DynamicRangeEntryID":"b07eb8e6","IsMultiDynamicRange":false,"MultiDynamicRangeID":null,"MultiDynamicCollectionID":null,"SectionName":"ControleIndelingHRG","BlockName":"B1","VenaRangeType":5,"DimensionIdStr":"-1","MemberIdStr":"-1","DimensionId":-1,"MemberId":-1,"Inc":""},"_vena_DYNR_SControleIndelingHRG_BB1_71718613_c6020fff":{"SourceGlobalVariableId":-1,"SourceFormVariableId":"00000000-0000-0000-0000-000000000000","IsPageVariable":false,"IsLineItemDetailEnabled":false,"LineItemDetailOrder":0,"LineItemID":null,"PageVariableSectionReference":"","PageVariableDimensionName":null,"IsDynamicRange":true,"IsDynamicRangeEntry":true,"DynamicRangeID":"71718613","DynamicRangeEntryID":"c6020fff","IsMultiDynamicRange":false,"MultiDynamicRangeID":null,"MultiDynamicCollectionID":null,"SectionName":"ControleIndelingHRG","BlockName":"B1","VenaRangeType":5,"DimensionIdStr":"-1","MemberIdStr":"-1","DimensionId":-1,"MemberId":-1,"Inc":""},"_vena_DYNR_SControleIndelingHRG_BB1_71718613_cfb491d0":{"SourceGlobalVariableId":-1,"SourceFormVariableId":"00000000-0000-0000-0000-000000000000","IsPageVariable":false,"IsLineItemDetailEnabled":false,"LineItemDetailOrder":0,"LineItemID":null,"PageVariableSectionReference":"","PageVariableDimensionName":null,"IsDynamicRange":true,"IsDynamicRangeEntry":true,"DynamicRangeID":"71718613","DynamicRangeEntryID":"cfb491d0","IsMultiDynamicRange":false,"MultiDynamicRangeID":null,"MultiDynamicCollectionID":null,"SectionName":"ControleIndelingHRG","BlockName":"B1","VenaRangeType":5,"DimensionIdStr":"-1","MemberIdStr":"-1","DimensionId":-1,"MemberId":-1,"Inc":""},"_vena_DYNR_SControleIndelingHRG_BB1_80216a58":{"SourceGlobalVariableId":-1,"SourceFormVariableId":"00000000-0000-0000-0000-000000000000","IsPageVariable":false,"IsLineItemDetailEnabled":false,"LineItemDetailOrder":0,"LineItemID":null,"PageVariableSectionReference":"","PageVariableDimensionName":null,"IsDynamicRange":true,"IsDynamicRangeEntry":false,"DynamicRangeID":"80216a58","DynamicRangeEntryID":null,"IsMultiDynamicRange":false,"MultiDynamicRangeID":null,"MultiDynamicCollectionID":null,"SectionName":"ControleIndelingHRG","BlockName":"B1","VenaRangeType":5,"DimensionIdStr":"-1","MemberIdStr":"-1","DimensionId":-1,"MemberId":-1,"Inc":""},"_vena_DYNR_SControleIndelingHRG_BB1_80216a58_374a3842":{"SourceGlobalVariableId":-1,"SourceFormVariableId":"00000000-0000-0000-0000-000000000000","IsPageVariable":false,"IsLineItemDetailEnabled":false,"LineItemDetailOrder":0,"LineItemID":null,"PageVariableSectionReference":"","PageVariableDimensionName":null,"IsDynamicRange":true,"IsDynamicRangeEntry":true,"DynamicRangeID":"80216a58","DynamicRangeEntryID":"374a3842","IsMultiDynamicRange":false,"MultiDynamicRangeID":null,"MultiDynamicCollectionID":null,"SectionName":"ControleIndelingHRG","BlockName":"B1","VenaRangeType":5,"DimensionIdStr":"-1","MemberIdStr":"-1","DimensionId":-1,"MemberId":-1,"Inc":""},"_vena_DYNR_SControleIndelingHRG_BB1_80216a58_40a3a0c4":{"SourceGlobalVariableId":-1,"SourceFormVariableId":"00000000-0000-0000-0000-000000000000","IsPageVariable":false,"IsLineItemDetailEnabled":false,"LineItemDetailOrder":0,"LineItemID":null,"PageVariableSectionReference":"","PageVariableDimensionName":null,"IsDynamicRange":true,"IsDynamicRangeEntry":true,"DynamicRangeID":"80216a58","DynamicRangeEntryID":"40a3a0c4","IsMultiDynamicRange":false,"MultiDynamicRangeID":null,"MultiDynamicCollectionID":null,"SectionName":"ControleIndelingHRG","BlockName":"B1","VenaRangeType":5,"DimensionIdStr":"-1","MemberIdStr":"-1","DimensionId":-1,"MemberId":-1,"Inc":""},"_vena_DYNR_SControleIndelingHRG_BB1_80216a58_861ddeff":{"SourceGlobalVariableId":-1,"SourceFormVariableId":"00000000-0000-0000-0000-000000000000","IsPageVariable":false,"IsLineItemDetailEnabled":false,"LineItemDetailOrder":0,"LineItemID":null,"PageVariableSectionReference":"","PageVariableDimensionName":null,"IsDynamicRange":true,"IsDynamicRangeEntry":true,"DynamicRangeID":"80216a58","DynamicRangeEntryID":"861ddeff","IsMultiDynamicRange":false,"MultiDynamicRangeID":null,"MultiDynamicCollectionID":null,"SectionName":"ControleIndelingHRG","BlockName":"B1","VenaRangeType":5,"DimensionIdStr":"-1","MemberIdStr":"-1","DimensionId":-1,"MemberId":-1,"Inc":""},"_vena_DYNR_SControleIndelingHRG_BB1_83fbd2a7":{"SourceGlobalVariableId":-1,"SourceFormVariableId":"00000000-0000-0000-0000-000000000000","IsPageVariable":false,"IsLineItemDetailEnabled":false,"LineItemDetailOrder":0,"LineItemID":null,"PageVariableSectionReference":"","PageVariableDimensionName":null,"IsDynamicRange":true,"IsDynamicRangeEntry":false,"DynamicRangeID":"83fbd2a7","DynamicRangeEntryID":null,"IsMultiDynamicRange":false,"MultiDynamicRangeID":null,"MultiDynamicCollectionID":null,"SectionName":"ControleIndelingHRG","BlockName":"B1","VenaRangeType":5,"DimensionIdStr":"-1","MemberIdStr":"-1","DimensionId":-1,"MemberId":-1,"Inc":""},"_vena_DYNR_SControleIndelingHRG_BB1_83fbd2a7_343cc20e":{"SourceGlobalVariableId":-1,"SourceFormVariableId":"00000000-0000-0000-0000-000000000000","IsPageVariable":false,"IsLineItemDetailEnabled":false,"LineItemDetailOrder":0,"LineItemID":null,"PageVariableSectionReference":"","PageVariableDimensionName":null,"IsDynamicRange":true,"IsDynamicRangeEntry":true,"DynamicRangeID":"83fbd2a7","DynamicRangeEntryID":"343cc20e","IsMultiDynamicRange":false,"MultiDynamicRangeID":null,"MultiDynamicCollectionID":null,"SectionName":"ControleIndelingHRG","BlockName":"B1","VenaRangeType":5,"DimensionIdStr":"-1","MemberIdStr":"-1","DimensionId":-1,"MemberId":-1,"Inc":""},"_vena_DYNR_SControleIndelingHRG_BB1_83fbd2a7_4e086953":{"SourceGlobalVariableId":-1,"SourceFormVariableId":"00000000-0000-0000-0000-000000000000","IsPageVariable":false,"IsLineItemDetailEnabled":false,"LineItemDetailOrder":0,"LineItemID":null,"PageVariableSectionReference":"","PageVariableDimensionName":null,"IsDynamicRange":true,"IsDynamicRangeEntry":true,"DynamicRangeID":"83fbd2a7","DynamicRangeEntryID":"4e086953","IsMultiDynamicRange":false,"MultiDynamicRangeID":null,"MultiDynamicCollectionID":null,"SectionName":"ControleIndelingHRG","BlockName":"B1","VenaRangeType":5,"DimensionIdStr":"-1","MemberIdStr":"-1","DimensionId":-1,"MemberId":-1,"Inc":""},"_vena_DYNR_SControleIndelingHRG_BB1_83fbd2a7_5929f5b5":{"SourceGlobalVariableId":-1,"SourceFormVariableId":"00000000-0000-0000-0000-000000000000","IsPageVariable":false,"IsLineItemDetailEnabled":false,"LineItemDetailOrder":0,"LineItemID":null,"PageVariableSectionReference":"","PageVariableDimensionName":null,"IsDynamicRange":true,"IsDynamicRangeEntry":true,"DynamicRangeID":"83fbd2a7","DynamicRangeEntryID":"5929f5b5","IsMultiDynamicRange":false,"MultiDynamicRangeID":null,"MultiDynamicCollectionID":null,"SectionName":"ControleIndelingHRG","BlockName":"B1","VenaRangeType":5,"DimensionIdStr":"-1","MemberIdStr":"-1","DimensionId":-1,"MemberId":-1,"Inc":""},"_vena_DYNR_SControleIndelingHRG_BB1_83fbd2a7_be79fd0f":{"SourceGlobalVariableId":-1,"SourceFormVariableId":"00000000-0000-0000-0000-000000000000","IsPageVariable":false,"IsLineItemDetailEnabled":false,"LineItemDetailOrder":0,"LineItemID":null,"PageVariableSectionReference":"","PageVariableDimensionName":null,"IsDynamicRange":true,"IsDynamicRangeEntry":true,"DynamicRangeID":"83fbd2a7","DynamicRangeEntryID":"be79fd0f","IsMultiDynamicRange":false,"MultiDynamicRangeID":null,"MultiDynamicCollectionID":null,"SectionName":"ControleIndelingHRG","BlockName":"B1","VenaRangeType":5,"DimensionIdStr":"-1","MemberIdStr":"-1","DimensionId":-1,"MemberId":-1,"Inc":""},"_vena_DYNR_SControleIndelingHRG_BB1_83fbd2a7_c9967d52":{"SourceGlobalVariableId":-1,"SourceFormVariableId":"00000000-0000-0000-0000-000000000000","IsPageVariable":false,"IsLineItemDetailEnabled":false,"LineItemDetailOrder":0,"LineItemID":null,"PageVariableSectionReference":"","PageVariableDimensionName":null,"IsDynamicRange":true,"IsDynamicRangeEntry":true,"DynamicRangeID":"83fbd2a7","DynamicRangeEntryID":"c9967d52","IsMultiDynamicRange":false,"MultiDynamicRangeID":null,"MultiDynamicCollectionID":null,"SectionName":"ControleIndelingHRG","BlockName":"B1","VenaRangeType":5,"DimensionIdStr":"-1","MemberIdStr":"-1","DimensionId":-1,"MemberId":-1,"Inc":""},"_vena_DYNR_SControleIndelingHRG_BB1_90d5ac30":{"SourceGlobalVariableId":-1,"SourceFormVariableId":"00000000-0000-0000-0000-000000000000","IsPageVariable":false,"IsLineItemDetailEnabled":false,"LineItemDetailOrder":0,"LineItemID":null,"PageVariableSectionReference":"","PageVariableDimensionName":null,"IsDynamicRange":true,"IsDynamicRangeEntry":false,"DynamicRangeID":"90d5ac30","DynamicRangeEntryID":null,"IsMultiDynamicRange":false,"MultiDynamicRangeID":null,"MultiDynamicCollectionID":null,"SectionName":"ControleIndelingHRG","BlockName":"B1","VenaRangeType":5,"DimensionIdStr":"-1","MemberIdStr":"-1","DimensionId":-1,"MemberId":-1,"Inc":""},"_vena_DYNR_SControleIndelingHRG_BB1_90d5ac30_4bc604d1":{"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4bc604d1","IsMultiDynamicRange":false,"MultiDynamicRangeID":null,"MultiDynamicCollectionID":null,"SectionName":"ControleIndelingHRG","BlockName":"B1","VenaRangeType":5,"DimensionIdStr":"-1","MemberIdStr":"-1","DimensionId":-1,"MemberId":-1,"Inc":""},"_vena_DYNR_SControleIndelingHRG_BB1_90d5ac30_5f935071":{"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5f935071","IsMultiDynamicRange":false,"MultiDynamicRangeID":null,"MultiDynamicCollectionID":null,"SectionName":"ControleIndelingHRG","BlockName":"B1","VenaRangeType":5,"DimensionIdStr":"-1","MemberIdStr":"-1","DimensionId":-1,"MemberId":-1,"Inc":""},"_vena_DYNR_SControleIndelingHRG_BB1_90d5ac30_6162d906":{"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6162d906","IsMultiDynamicRange":false,"MultiDynamicRangeID":null,"MultiDynamicCollectionID":null,"SectionName":"ControleIndelingHRG","BlockName":"B1","VenaRangeType":5,"DimensionIdStr":"-1","MemberIdStr":"-1","DimensionId":-1,"MemberId":-1,"Inc":""},"_vena_DYNR_SControleIndelingHRG_BB1_90d5ac30_7589eff7":{"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7589eff7","IsMultiDynamicRange":false,"MultiDynamicRangeID":null,"MultiDynamicCollectionID":null,"SectionName":"ControleIndelingHRG","BlockName":"B1","VenaRangeType":5,"DimensionIdStr":"-1","MemberIdStr":"-1","DimensionId":-1,"MemberId":-1,"Inc":""},"_vena_DYNR_SControleIndelingHRG_BB1_90d5ac30_7bcd5306":{"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7bcd5306","IsMultiDynamicRange":false,"MultiDynamicRangeID":null,"MultiDynamicCollectionID":null,"SectionName":"ControleIndelingHRG","BlockName":"B1","VenaRangeType":5,"DimensionIdStr":"-1","MemberIdStr":"-1","DimensionId":-1,"MemberId":-1,"Inc":""},"_vena_DYNR_SControleIndelingHRG_BB1_90d5ac30_7e33e879":{"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7e33e879","IsMultiDynamicRange":false,"MultiDynamicRangeID":null,"MultiDynamicCollectionID":null,"SectionName":"ControleIndelingHRG","BlockName":"B1","VenaRangeType":5,"DimensionIdStr":"-1","MemberIdStr":"-1","DimensionId":-1,"MemberId":-1,"Inc":""},"_vena_DYNR_SControleIndelingHRG_BB1_90d5ac30_7fdc768c":{"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7fdc768c","IsMultiDynamicRange":false,"MultiDynamicRangeID":null,"MultiDynamicCollectionID":null,"SectionName":"ControleIndelingHRG","BlockName":"B1","VenaRangeType":5,"DimensionIdStr":"-1","MemberIdStr":"-1","DimensionId":-1,"MemberId":-1,"Inc":""},"_vena_DYNR_SControleIndelingHRG_BB1_90d5ac30_98ca4368":{"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98ca4368","IsMultiDynamicRange":false,"MultiDynamicRangeID":null,"MultiDynamicCollectionID":null,"SectionName":"ControleIndelingHRG","BlockName":"B1","VenaRangeType":5,"DimensionIdStr":"-1","MemberIdStr":"-1","DimensionId":-1,"MemberId":-1,"Inc":""},"_vena_DYNR_SControleIndelingHRG_BB1_90d5ac30_abfdba55":{"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abfdba55","IsMultiDynamicRange":false,"MultiDynamicRangeID":null,"MultiDynamicCollectionID":null,"SectionName":"ControleIndelingHRG","BlockName":"B1","VenaRangeType":5,"DimensionIdStr":"-1","MemberIdStr":"-1","DimensionId":-1,"MemberId":-1,"Inc":""},"_vena_DYNR_SControleIndelingHRG_BB1_90d5ac30_d7b12127":{"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d7b12127","IsMultiDynamicRange":false,"MultiDynamicRangeID":null,"MultiDynamicCollectionID":null,"SectionName":"ControleIndelingHRG","BlockName":"B1","VenaRangeType":5,"DimensionIdStr":"-1","MemberIdStr":"-1","DimensionId":-1,"MemberId":-1,"Inc":""},"_vena_DYNR_SControleIndelingHRG_BB1_90d5ac30_efa6e15a":{"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efa6e15a","IsMultiDynamicRange":false,"MultiDynamicRangeID":null,"MultiDynamicCollectionID":null,"SectionName":"ControleIndelingHRG","BlockName":"B1","VenaRangeType":5,"DimensionIdStr":"-1","MemberIdStr":"-1","DimensionId":-1,"MemberId":-1,"Inc":""},"_vena_DYNR_SControleIndelingHRG_BB1_90d5ac30_f3e4a5cd":{"SourceGlobalVariableId":-1,"SourceFormVariableId":"00000000-0000-0000-0000-000000000000","IsPageVariable":false,"IsLineItemDetailEnabled":false,"LineItemDetailOrder":0,"LineItemID":null,"PageVariableSectionReference":"","PageVariableDimensionName":null,"IsDynamicRange":true,"IsDynamicRangeEntry":true,"DynamicRangeID":"90d5ac30","DynamicRangeEntryID":"f3e4a5cd","IsMultiDynamicRange":false,"MultiDynamicRangeID":null,"MultiDynamicCollectionID":null,"SectionName":"ControleIndelingHRG","BlockName":"B1","VenaRangeType":5,"DimensionIdStr":"-1","MemberIdStr":"-1","DimensionId":-1,"MemberId":-1,"Inc":""},"_vena_DYNR_SControleIndelingHRG_BB1_94d8432c":{"SourceGlobalVariableId":-1,"SourceFormVariableId":"00000000-0000-0000-0000-000000000000","IsPageVariable":false,"IsLineItemDetailEnabled":false,"LineItemDetailOrder":0,"LineItemID":null,"PageVariableSectionReference":"","PageVariableDimensionName":null,"IsDynamicRange":true,"IsDynamicRangeEntry":false,"DynamicRangeID":"94d8432c","DynamicRangeEntryID":null,"IsMultiDynamicRange":false,"MultiDynamicRangeID":null,"MultiDynamicCollectionID":null,"SectionName":"ControleIndelingHRG","BlockName":"B1","VenaRangeType":5,"DimensionIdStr":"-1","MemberIdStr":"-1","DimensionId":-1,"MemberId":-1,"Inc":""},"_vena_DYNR_SControleIndelingHRG_BB1_94d8432c_15566e18":{"SourceGlobalVariableId":-1,"SourceFormVariableId":"00000000-0000-0000-0000-000000000000","IsPageVariable":false,"IsLineItemDetailEnabled":false,"LineItemDetailOrder":0,"LineItemID":null,"PageVariableSectionReference":"","PageVariableDimensionName":null,"IsDynamicRange":true,"IsDynamicRangeEntry":true,"DynamicRangeID":"94d8432c","DynamicRangeEntryID":"15566e18","IsMultiDynamicRange":false,"MultiDynamicRangeID":null,"MultiDynamicCollectionID":null,"SectionName":"ControleIndelingHRG","BlockName":"B1","VenaRangeType":5,"DimensionIdStr":"-1","MemberIdStr":"-1","DimensionId":-1,"MemberId":-1,"Inc":""},"_vena_DYNR_SControleIndelingHRG_BB1_94d8432c_2e486b78":{"SourceGlobalVariableId":-1,"SourceFormVariableId":"00000000-0000-0000-0000-000000000000","IsPageVariable":false,"IsLineItemDetailEnabled":false,"LineItemDetailOrder":0,"LineItemID":null,"PageVariableSectionReference":"","PageVariableDimensionName":null,"IsDynamicRange":true,"IsDynamicRangeEntry":true,"DynamicRangeID":"94d8432c","DynamicRangeEntryID":"2e486b78","IsMultiDynamicRange":false,"MultiDynamicRangeID":null,"MultiDynamicCollectionID":null,"SectionName":"ControleIndelingHRG","BlockName":"B1","VenaRangeType":5,"DimensionIdStr":"-1","MemberIdStr":"-1","DimensionId":-1,"MemberId":-1,"Inc":""},"_vena_DYNR_SControleIndelingHRG_BB1_94d8432c_739bfceb":{"SourceGlobalVariableId":-1,"SourceFormVariableId":"00000000-0000-0000-0000-000000000000","IsPageVariable":false,"IsLineItemDetailEnabled":false,"LineItemDetailOrder":0,"LineItemID":null,"PageVariableSectionReference":"","PageVariableDimensionName":null,"IsDynamicRange":true,"IsDynamicRangeEntry":true,"DynamicRangeID":"94d8432c","DynamicRangeEntryID":"739bfceb","IsMultiDynamicRange":false,"MultiDynamicRangeID":null,"MultiDynamicCollectionID":null,"SectionName":"ControleIndelingHRG","BlockName":"B1","VenaRangeType":5,"DimensionIdStr":"-1","MemberIdStr":"-1","DimensionId":-1,"MemberId":-1,"Inc":""},"_vena_DYNR_SControleIndelingHRG_BB1_94d8432c_ada7b8af":{"SourceGlobalVariableId":-1,"SourceFormVariableId":"00000000-0000-0000-0000-000000000000","IsPageVariable":false,"IsLineItemDetailEnabled":false,"LineItemDetailOrder":0,"LineItemID":null,"PageVariableSectionReference":"","PageVariableDimensionName":null,"IsDynamicRange":true,"IsDynamicRangeEntry":true,"DynamicRangeID":"94d8432c","DynamicRangeEntryID":"ada7b8af","IsMultiDynamicRange":false,"MultiDynamicRangeID":null,"MultiDynamicCollectionID":null,"SectionName":"ControleIndelingHRG","BlockName":"B1","VenaRangeType":5,"DimensionIdStr":"-1","MemberIdStr":"-1","DimensionId":-1,"MemberId":-1,"Inc":""},"_vena_DYNR_SControleIndelingHRG_BB1_94d8432c_b8ebc444":{"SourceGlobalVariableId":-1,"SourceFormVariableId":"00000000-0000-0000-0000-000000000000","IsPageVariable":false,"IsLineItemDetailEnabled":false,"LineItemDetailOrder":0,"LineItemID":null,"PageVariableSectionReference":"","PageVariableDimensionName":null,"IsDynamicRange":true,"IsDynamicRangeEntry":true,"DynamicRangeID":"94d8432c","DynamicRangeEntryID":"b8ebc444","IsMultiDynamicRange":false,"MultiDynamicRangeID":null,"MultiDynamicCollectionID":null,"SectionName":"ControleIndelingHRG","BlockName":"B1","VenaRangeType":5,"DimensionIdStr":"-1","MemberIdStr":"-1","DimensionId":-1,"MemberId":-1,"Inc":""},"_vena_DYNR_SControleIndelingHRG_BB1_99b26d84":{"SourceGlobalVariableId":-1,"SourceFormVariableId":"00000000-0000-0000-0000-000000000000","IsPageVariable":false,"IsLineItemDetailEnabled":false,"LineItemDetailOrder":0,"LineItemID":null,"PageVariableSectionReference":"","PageVariableDimensionName":null,"IsDynamicRange":true,"IsDynamicRangeEntry":false,"DynamicRangeID":"99b26d84","DynamicRangeEntryID":null,"IsMultiDynamicRange":false,"MultiDynamicRangeID":null,"MultiDynamicCollectionID":null,"SectionName":"ControleIndelingHRG","BlockName":"B1","VenaRangeType":5,"DimensionIdStr":"-1","MemberIdStr":"-1","DimensionId":-1,"MemberId":-1,"Inc":""},"_vena_DYNR_SControleIndelingHRG_BB1_99b26d84_29b8f53b":{"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29b8f53b","IsMultiDynamicRange":false,"MultiDynamicRangeID":null,"MultiDynamicCollectionID":null,"SectionName":"ControleIndelingHRG","BlockName":"B1","VenaRangeType":5,"DimensionIdStr":"-1","MemberIdStr":"-1","DimensionId":-1,"MemberId":-1,"Inc":""},"_vena_DYNR_SControleIndelingHRG_BB1_99b26d84_2fdd954c":{"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2fdd954c","IsMultiDynamicRange":false,"MultiDynamicRangeID":null,"MultiDynamicCollectionID":null,"SectionName":"ControleIndelingHRG","BlockName":"B1","VenaRangeType":5,"DimensionIdStr":"-1","MemberIdStr":"-1","DimensionId":-1,"MemberId":-1,"Inc":""},"_vena_DYNR_SControleIndelingHRG_BB1_99b26d84_3561776a":{"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3561776a","IsMultiDynamicRange":false,"MultiDynamicRangeID":null,"MultiDynamicCollectionID":null,"SectionName":"ControleIndelingHRG","BlockName":"B1","VenaRangeType":5,"DimensionIdStr":"-1","MemberIdStr":"-1","DimensionId":-1,"MemberId":-1,"Inc":""},"_vena_DYNR_SControleIndelingHRG_BB1_99b26d84_3948a512":{"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3948a512","IsMultiDynamicRange":false,"MultiDynamicRangeID":null,"MultiDynamicCollectionID":null,"SectionName":"ControleIndelingHRG","BlockName":"B1","VenaRangeType":5,"DimensionIdStr":"-1","MemberIdStr":"-1","DimensionId":-1,"MemberId":-1,"Inc":""},"_vena_DYNR_SControleIndelingHRG_BB1_99b26d84_70736a1b":{"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70736a1b","IsMultiDynamicRange":false,"MultiDynamicRangeID":null,"MultiDynamicCollectionID":null,"SectionName":"ControleIndelingHRG","BlockName":"B1","VenaRangeType":5,"DimensionIdStr":"-1","MemberIdStr":"-1","DimensionId":-1,"MemberId":-1,"Inc":""},"_vena_DYNR_SControleIndelingHRG_BB1_99b26d84_79de8dd2":{"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79de8dd2","IsMultiDynamicRange":false,"MultiDynamicRangeID":null,"MultiDynamicCollectionID":null,"SectionName":"ControleIndelingHRG","BlockName":"B1","VenaRangeType":5,"DimensionIdStr":"-1","MemberIdStr":"-1","DimensionId":-1,"MemberId":-1,"Inc":""},"_vena_DYNR_SControleIndelingHRG_BB1_99b26d84_a12ed933":{"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a12ed933","IsMultiDynamicRange":false,"MultiDynamicRangeID":null,"MultiDynamicCollectionID":null,"SectionName":"ControleIndelingHRG","BlockName":"B1","VenaRangeType":5,"DimensionIdStr":"-1","MemberIdStr":"-1","DimensionId":-1,"MemberId":-1,"Inc":""},"_vena_DYNR_SControleIndelingHRG_BB1_99b26d84_b87c127d":{"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b87c127d","IsMultiDynamicRange":false,"MultiDynamicRangeID":null,"MultiDynamicCollectionID":null,"SectionName":"ControleIndelingHRG","BlockName":"B1","VenaRangeType":5,"DimensionIdStr":"-1","MemberIdStr":"-1","DimensionId":-1,"MemberId":-1,"Inc":""},"_vena_DYNR_SControleIndelingHRG_BB1_99b26d84_c719a5d3":{"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c719a5d3","IsMultiDynamicRange":false,"MultiDynamicRangeID":null,"MultiDynamicCollectionID":null,"SectionName":"ControleIndelingHRG","BlockName":"B1","VenaRangeType":5,"DimensionIdStr":"-1","MemberIdStr":"-1","DimensionId":-1,"MemberId":-1,"Inc":""},"_vena_DYNR_SControleIndelingHRG_BB1_99b26d84_eab3c175":{"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eab3c175","IsMultiDynamicRange":false,"MultiDynamicRangeID":null,"MultiDynamicCollectionID":null,"SectionName":"ControleIndelingHRG","BlockName":"B1","VenaRangeType":5,"DimensionIdStr":"-1","MemberIdStr":"-1","DimensionId":-1,"MemberId":-1,"Inc":""},"_vena_DYNR_SControleIndelingHRG_BB1_99b26d84_ee7a479b":{"SourceGlobalVariableId":-1,"SourceFormVariableId":"00000000-0000-0000-0000-000000000000","IsPageVariable":false,"IsLineItemDetailEnabled":false,"LineItemDetailOrder":0,"LineItemID":null,"PageVariableSectionReference":"","PageVariableDimensionName":null,"IsDynamicRange":true,"IsDynamicRangeEntry":true,"DynamicRangeID":"99b26d84","DynamicRangeEntryID":"ee7a479b","IsMultiDynamicRange":false,"MultiDynamicRangeID":null,"MultiDynamicCollectionID":null,"SectionName":"ControleIndelingHRG","BlockName":"B1","VenaRangeType":5,"DimensionIdStr":"-1","MemberIdStr":"-1","DimensionId":-1,"MemberId":-1,"Inc":""},"_vena_DYNR_SControleIndelingHRG_BB1_9dbc3d7b":{"SourceGlobalVariableId":-1,"SourceFormVariableId":"00000000-0000-0000-0000-000000000000","IsPageVariable":false,"IsLineItemDetailEnabled":false,"LineItemDetailOrder":0,"LineItemID":null,"PageVariableSectionReference":"","PageVariableDimensionName":null,"IsDynamicRange":true,"IsDynamicRangeEntry":false,"DynamicRangeID":"9dbc3d7b","DynamicRangeEntryID":null,"IsMultiDynamicRange":false,"MultiDynamicRangeID":null,"MultiDynamicCollectionID":null,"SectionName":"ControleIndelingHRG","BlockName":"B1","VenaRangeType":5,"DimensionIdStr":"-1","MemberIdStr":"-1","DimensionId":-1,"MemberId":-1,"Inc":""},"_vena_DYNR_SControleIndelingHRG_BB1_9dbc3d7b_46c52434":{"SourceGlobalVariableId":-1,"SourceFormVariableId":"00000000-0000-0000-0000-000000000000","IsPageVariable":false,"IsLineItemDetailEnabled":false,"LineItemDetailOrder":0,"LineItemID":null,"PageVariableSectionReference":"","PageVariableDimensionName":null,"IsDynamicRange":true,"IsDynamicRangeEntry":true,"DynamicRangeID":"9dbc3d7b","DynamicRangeEntryID":"46c52434","IsMultiDynamicRange":false,"MultiDynamicRangeID":null,"MultiDynamicCollectionID":null,"SectionName":"ControleIndelingHRG","BlockName":"B1","VenaRangeType":5,"DimensionIdStr":"-1","MemberIdStr":"-1","DimensionId":-1,"MemberId":-1,"Inc":""},"_vena_DYNR_SControleIndelingHRG_BB1_9dbc3d7b_5ea59bb9":{"SourceGlobalVariableId":-1,"SourceFormVariableId":"00000000-0000-0000-0000-000000000000","IsPageVariable":false,"IsLineItemDetailEnabled":false,"LineItemDetailOrder":0,"LineItemID":null,"PageVariableSectionReference":"","PageVariableDimensionName":null,"IsDynamicRange":true,"IsDynamicRangeEntry":true,"DynamicRangeID":"9dbc3d7b","DynamicRangeEntryID":"5ea59bb9","IsMultiDynamicRange":false,"MultiDynamicRangeID":null,"MultiDynamicCollectionID":null,"SectionName":"ControleIndelingHRG","BlockName":"B1","VenaRangeType":5,"DimensionIdStr":"-1","MemberIdStr":"-1","DimensionId":-1,"MemberId":-1,"Inc":""},"_vena_DYNR_SControleIndelingHRG_BB1_9dbc3d7b_a58dc478":{"SourceGlobalVariableId":-1,"SourceFormVariableId":"00000000-0000-0000-0000-000000000000","IsPageVariable":false,"IsLineItemDetailEnabled":false,"LineItemDetailOrder":0,"LineItemID":null,"PageVariableSectionReference":"","PageVariableDimensionName":null,"IsDynamicRange":true,"IsDynamicRangeEntry":true,"DynamicRangeID":"9dbc3d7b","DynamicRangeEntryID":"a58dc478","IsMultiDynamicRange":false,"MultiDynamicRangeID":null,"MultiDynamicCollectionID":null,"SectionName":"ControleIndelingHRG","BlockName":"B1","VenaRangeType":5,"DimensionIdStr":"-1","MemberIdStr":"-1","DimensionId":-1,"MemberId":-1,"Inc":""},"_vena_DYNR_SControleIndelingHRG_BB1_9dbc3d7b_fb0fcb7b":{"SourceGlobalVariableId":-1,"SourceFormVariableId":"00000000-0000-0000-0000-000000000000","IsPageVariable":false,"IsLineItemDetailEnabled":false,"LineItemDetailOrder":0,"LineItemID":null,"PageVariableSectionReference":"","PageVariableDimensionName":null,"IsDynamicRange":true,"IsDynamicRangeEntry":true,"DynamicRangeID":"9dbc3d7b","DynamicRangeEntryID":"fb0fcb7b","IsMultiDynamicRange":false,"MultiDynamicRangeID":null,"MultiDynamicCollectionID":null,"SectionName":"ControleIndelingHRG","BlockName":"B1","VenaRangeType":5,"DimensionIdStr":"-1","MemberIdStr":"-1","DimensionId":-1,"MemberId":-1,"Inc":""},"_vena_DYNR_SControleIndelingHRG_BB1_b359501":{"SourceGlobalVariableId":-1,"SourceFormVariableId":"00000000-0000-0000-0000-000000000000","IsPageVariable":false,"IsLineItemDetailEnabled":false,"LineItemDetailOrder":0,"LineItemID":null,"PageVariableSectionReference":"","PageVariableDimensionName":null,"IsDynamicRange":true,"IsDynamicRangeEntry":false,"DynamicRangeID":"b359501","DynamicRangeEntryID":null,"IsMultiDynamicRange":false,"MultiDynamicRangeID":null,"MultiDynamicCollectionID":null,"SectionName":"ControleIndelingHRG","BlockName":"B1","VenaRangeType":5,"DimensionIdStr":"-1","MemberIdStr":"-1","DimensionId":-1,"MemberId":-1,"Inc":""},"_vena_DYNR_SControleIndelingHRG_BB1_b359501_10548901":{"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10548901","IsMultiDynamicRange":false,"MultiDynamicRangeID":null,"MultiDynamicCollectionID":null,"SectionName":"ControleIndelingHRG","BlockName":"B1","VenaRangeType":5,"DimensionIdStr":"-1","MemberIdStr":"-1","DimensionId":-1,"MemberId":-1,"Inc":""},"_vena_DYNR_SControleIndelingHRG_BB1_b359501_15b9b618":{"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15b9b618","IsMultiDynamicRange":false,"MultiDynamicRangeID":null,"MultiDynamicCollectionID":null,"SectionName":"ControleIndelingHRG","BlockName":"B1","VenaRangeType":5,"DimensionIdStr":"-1","MemberIdStr":"-1","DimensionId":-1,"MemberId":-1,"Inc":""},"_vena_DYNR_SControleIndelingHRG_BB1_b359501_16f757b":{"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16f757b","IsMultiDynamicRange":false,"MultiDynamicRangeID":null,"MultiDynamicCollectionID":null,"SectionName":"ControleIndelingHRG","BlockName":"B1","VenaRangeType":5,"DimensionIdStr":"-1","MemberIdStr":"-1","DimensionId":-1,"MemberId":-1,"Inc":""},"_vena_DYNR_SControleIndelingHRG_BB1_b359501_1dd3c9d4":{"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1dd3c9d4","IsMultiDynamicRange":false,"MultiDynamicRangeID":null,"MultiDynamicCollectionID":null,"SectionName":"ControleIndelingHRG","BlockName":"B1","VenaRangeType":5,"DimensionIdStr":"-1","MemberIdStr":"-1","DimensionId":-1,"MemberId":-1,"Inc":""},"_vena_DYNR_SControleIndelingHRG_BB1_b359501_1f9d5ed2":{"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1f9d5ed2","IsMultiDynamicRange":false,"MultiDynamicRangeID":null,"MultiDynamicCollectionID":null,"SectionName":"ControleIndelingHRG","BlockName":"B1","VenaRangeType":5,"DimensionIdStr":"-1","MemberIdStr":"-1","DimensionId":-1,"MemberId":-1,"Inc":""},"_vena_DYNR_SControleIndelingHRG_BB1_b359501_21ab3694":{"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21ab3694","IsMultiDynamicRange":false,"MultiDynamicRangeID":null,"MultiDynamicCollectionID":null,"SectionName":"ControleIndelingHRG","BlockName":"B1","VenaRangeType":5,"DimensionIdStr":"-1","MemberIdStr":"-1","DimensionId":-1,"MemberId":-1,"Inc":""},"_vena_DYNR_SControleIndelingHRG_BB1_b359501_26957368":{"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26957368","IsMultiDynamicRange":false,"MultiDynamicRangeID":null,"MultiDynamicCollectionID":null,"SectionName":"ControleIndelingHRG","BlockName":"B1","VenaRangeType":5,"DimensionIdStr":"-1","MemberIdStr":"-1","DimensionId":-1,"MemberId":-1,"Inc":""},"_vena_DYNR_SControleIndelingHRG_BB1_b359501_2808bc08":{"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2808bc08","IsMultiDynamicRange":false,"MultiDynamicRangeID":null,"MultiDynamicCollectionID":null,"SectionName":"ControleIndelingHRG","BlockName":"B1","VenaRangeType":5,"DimensionIdStr":"-1","MemberIdStr":"-1","DimensionId":-1,"MemberId":-1,"Inc":""},"_vena_DYNR_SControleIndelingHRG_BB1_b359501_2ceb15a1":{"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2ceb15a1","IsMultiDynamicRange":false,"MultiDynamicRangeID":null,"MultiDynamicCollectionID":null,"SectionName":"ControleIndelingHRG","BlockName":"B1","VenaRangeType":5,"DimensionIdStr":"-1","MemberIdStr":"-1","DimensionId":-1,"MemberId":-1,"Inc":""},"_vena_DYNR_SControleIndelingHRG_BB1_b359501_2df46d72":{"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2df46d72","IsMultiDynamicRange":false,"MultiDynamicRangeID":null,"MultiDynamicCollectionID":null,"SectionName":"ControleIndelingHRG","BlockName":"B1","VenaRangeType":5,"DimensionIdStr":"-1","MemberIdStr":"-1","DimensionId":-1,"MemberId":-1,"Inc":""},"_vena_DYNR_SControleIndelingHRG_BB1_b359501_2eb63fe":{"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2eb63fe","IsMultiDynamicRange":false,"MultiDynamicRangeID":null,"MultiDynamicCollectionID":null,"SectionName":"ControleIndelingHRG","BlockName":"B1","VenaRangeType":5,"DimensionIdStr":"-1","MemberIdStr":"-1","DimensionId":-1,"MemberId":-1,"Inc":""},"_vena_DYNR_SControleIndelingHRG_BB1_b359501_3bd789e9":{"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3bd789e9","IsMultiDynamicRange":false,"MultiDynamicRangeID":null,"MultiDynamicCollectionID":null,"SectionName":"ControleIndelingHRG","BlockName":"B1","VenaRangeType":5,"DimensionIdStr":"-1","MemberIdStr":"-1","DimensionId":-1,"MemberId":-1,"Inc":""},"_vena_DYNR_SControleIndelingHRG_BB1_b359501_3c0b6d20":{"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3c0b6d20","IsMultiDynamicRange":false,"MultiDynamicRangeID":null,"MultiDynamicCollectionID":null,"SectionName":"ControleIndelingHRG","BlockName":"B1","VenaRangeType":5,"DimensionIdStr":"-1","MemberIdStr":"-1","DimensionId":-1,"MemberId":-1,"Inc":""},"_vena_DYNR_SControleIndelingHRG_BB1_b359501_47a07994":{"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47a07994","IsMultiDynamicRange":false,"MultiDynamicRangeID":null,"MultiDynamicCollectionID":null,"SectionName":"ControleIndelingHRG","BlockName":"B1","VenaRangeType":5,"DimensionIdStr":"-1","MemberIdStr":"-1","DimensionId":-1,"MemberId":-1,"Inc":""},"_vena_DYNR_SControleIndelingHRG_BB1_b359501_4aa2fd6f":{"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4aa2fd6f","IsMultiDynamicRange":false,"MultiDynamicRangeID":null,"MultiDynamicCollectionID":null,"SectionName":"ControleIndelingHRG","BlockName":"B1","VenaRangeType":5,"DimensionIdStr":"-1","MemberIdStr":"-1","DimensionId":-1,"MemberId":-1,"Inc":""},"_vena_DYNR_SControleIndelingHRG_BB1_b359501_54a1f8fe":{"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54a1f8fe","IsMultiDynamicRange":false,"MultiDynamicRangeID":null,"MultiDynamicCollectionID":null,"SectionName":"ControleIndelingHRG","BlockName":"B1","VenaRangeType":5,"DimensionIdStr":"-1","MemberIdStr":"-1","DimensionId":-1,"MemberId":-1,"Inc":""},"_vena_DYNR_SControleIndelingHRG_BB1_b359501_59c6b2a3":{"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59c6b2a3","IsMultiDynamicRange":false,"MultiDynamicRangeID":null,"MultiDynamicCollectionID":null,"SectionName":"ControleIndelingHRG","BlockName":"B1","VenaRangeType":5,"DimensionIdStr":"-1","MemberIdStr":"-1","DimensionId":-1,"MemberId":-1,"Inc":""},"_vena_DYNR_SControleIndelingHRG_BB1_b359501_5e5c3bf7":{"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5e5c3bf7","IsMultiDynamicRange":false,"MultiDynamicRangeID":null,"MultiDynamicCollectionID":null,"SectionName":"ControleIndelingHRG","BlockName":"B1","VenaRangeType":5,"DimensionIdStr":"-1","MemberIdStr":"-1","DimensionId":-1,"MemberId":-1,"Inc":""},"_vena_DYNR_SControleIndelingHRG_BB1_b359501_5f57e3de":{"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5f57e3de","IsMultiDynamicRange":false,"MultiDynamicRangeID":null,"MultiDynamicCollectionID":null,"SectionName":"ControleIndelingHRG","BlockName":"B1","VenaRangeType":5,"DimensionIdStr":"-1","MemberIdStr":"-1","DimensionId":-1,"MemberId":-1,"Inc":""},"_vena_DYNR_SControleIndelingHRG_BB1_b359501_600a9f0f":{"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600a9f0f","IsMultiDynamicRange":false,"MultiDynamicRangeID":null,"MultiDynamicCollectionID":null,"SectionName":"ControleIndelingHRG","BlockName":"B1","VenaRangeType":5,"DimensionIdStr":"-1","MemberIdStr":"-1","DimensionId":-1,"MemberId":-1,"Inc":""},"_vena_DYNR_SControleIndelingHRG_BB1_b359501_649d3b01":{"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649d3b01","IsMultiDynamicRange":false,"MultiDynamicRangeID":null,"MultiDynamicCollectionID":null,"SectionName":"ControleIndelingHRG","BlockName":"B1","VenaRangeType":5,"DimensionIdStr":"-1","MemberIdStr":"-1","DimensionId":-1,"MemberId":-1,"Inc":""},"_vena_DYNR_SControleIndelingHRG_BB1_b359501_65b01ba9":{"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65b01ba9","IsMultiDynamicRange":false,"MultiDynamicRangeID":null,"MultiDynamicCollectionID":null,"SectionName":"ControleIndelingHRG","BlockName":"B1","VenaRangeType":5,"DimensionIdStr":"-1","MemberIdStr":"-1","DimensionId":-1,"MemberId":-1,"Inc":""},"_vena_DYNR_SControleIndelingHRG_BB1_b359501_66e76224":{"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66e76224","IsMultiDynamicRange":false,"MultiDynamicRangeID":null,"MultiDynamicCollectionID":null,"SectionName":"ControleIndelingHRG","BlockName":"B1","VenaRangeType":5,"DimensionIdStr":"-1","MemberIdStr":"-1","DimensionId":-1,"MemberId":-1,"Inc":""},"_vena_DYNR_SControleIndelingHRG_BB1_b359501_6b09a8fc":{"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6b09a8fc","IsMultiDynamicRange":false,"MultiDynamicRangeID":null,"MultiDynamicCollectionID":null,"SectionName":"ControleIndelingHRG","BlockName":"B1","VenaRangeType":5,"DimensionIdStr":"-1","MemberIdStr":"-1","DimensionId":-1,"MemberId":-1,"Inc":""},"_vena_DYNR_SControleIndelingHRG_BB1_b359501_6d82d29f":{"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6d82d29f","IsMultiDynamicRange":false,"MultiDynamicRangeID":null,"MultiDynamicCollectionID":null,"SectionName":"ControleIndelingHRG","BlockName":"B1","VenaRangeType":5,"DimensionIdStr":"-1","MemberIdStr":"-1","DimensionId":-1,"MemberId":-1,"Inc":""},"_vena_DYNR_SControleIndelingHRG_BB1_b359501_6ea30732":{"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6ea30732","IsMultiDynamicRange":false,"MultiDynamicRangeID":null,"MultiDynamicCollectionID":null,"SectionName":"ControleIndelingHRG","BlockName":"B1","VenaRangeType":5,"DimensionIdStr":"-1","MemberIdStr":"-1","DimensionId":-1,"MemberId":-1,"Inc":""},"_vena_DYNR_SControleIndelingHRG_BB1_b359501_7b6e0db9":{"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7b6e0db9","IsMultiDynamicRange":false,"MultiDynamicRangeID":null,"MultiDynamicCollectionID":null,"SectionName":"ControleIndelingHRG","BlockName":"B1","VenaRangeType":5,"DimensionIdStr":"-1","MemberIdStr":"-1","DimensionId":-1,"MemberId":-1,"Inc":""},"_vena_DYNR_SControleIndelingHRG_BB1_b359501_7c54461c":{"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7c54461c","IsMultiDynamicRange":false,"MultiDynamicRangeID":null,"MultiDynamicCollectionID":null,"SectionName":"ControleIndelingHRG","BlockName":"B1","VenaRangeType":5,"DimensionIdStr":"-1","MemberIdStr":"-1","DimensionId":-1,"MemberId":-1,"Inc":""},"_vena_DYNR_SControleIndelingHRG_BB1_b359501_7e2dde83":{"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7e2dde83","IsMultiDynamicRange":false,"MultiDynamicRangeID":null,"MultiDynamicCollectionID":null,"SectionName":"ControleIndelingHRG","BlockName":"B1","VenaRangeType":5,"DimensionIdStr":"-1","MemberIdStr":"-1","DimensionId":-1,"MemberId":-1,"Inc":""},"_vena_DYNR_SControleIndelingHRG_BB1_b359501_8393cf5c":{"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8393cf5c","IsMultiDynamicRange":false,"MultiDynamicRangeID":null,"MultiDynamicCollectionID":null,"SectionName":"ControleIndelingHRG","BlockName":"B1","VenaRangeType":5,"DimensionIdStr":"-1","MemberIdStr":"-1","DimensionId":-1,"MemberId":-1,"Inc":""},"_vena_DYNR_SControleIndelingHRG_BB1_b359501_878ae49b":{"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878ae49b","IsMultiDynamicRange":false,"MultiDynamicRangeID":null,"MultiDynamicCollectionID":null,"SectionName":"ControleIndelingHRG","BlockName":"B1","VenaRangeType":5,"DimensionIdStr":"-1","MemberIdStr":"-1","DimensionId":-1,"MemberId":-1,"Inc":""},"_vena_DYNR_SControleIndelingHRG_BB1_b359501_8c9e0392":{"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8c9e0392","IsMultiDynamicRange":false,"MultiDynamicRangeID":null,"MultiDynamicCollectionID":null,"SectionName":"ControleIndelingHRG","BlockName":"B1","VenaRangeType":5,"DimensionIdStr":"-1","MemberIdStr":"-1","DimensionId":-1,"MemberId":-1,"Inc":""},"_vena_DYNR_SControleIndelingHRG_BB1_b359501_9736c626":{"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9736c626","IsMultiDynamicRange":false,"MultiDynamicRangeID":null,"MultiDynamicCollectionID":null,"SectionName":"ControleIndelingHRG","BlockName":"B1","VenaRangeType":5,"DimensionIdStr":"-1","MemberIdStr":"-1","DimensionId":-1,"MemberId":-1,"Inc":""},"_vena_DYNR_SControleIndelingHRG_BB1_b359501_97eb101a":{"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97eb101a","IsMultiDynamicRange":false,"MultiDynamicRangeID":null,"MultiDynamicCollectionID":null,"SectionName":"ControleIndelingHRG","BlockName":"B1","VenaRangeType":5,"DimensionIdStr":"-1","MemberIdStr":"-1","DimensionId":-1,"MemberId":-1,"Inc":""},"_vena_DYNR_SControleIndelingHRG_BB1_b359501_9b1eb2ac":{"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9b1eb2ac","IsMultiDynamicRange":false,"MultiDynamicRangeID":null,"MultiDynamicCollectionID":null,"SectionName":"ControleIndelingHRG","BlockName":"B1","VenaRangeType":5,"DimensionIdStr":"-1","MemberIdStr":"-1","DimensionId":-1,"MemberId":-1,"Inc":""},"_vena_DYNR_SControleIndelingHRG_BB1_b359501_a754203a":{"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a754203a","IsMultiDynamicRange":false,"MultiDynamicRangeID":null,"MultiDynamicCollectionID":null,"SectionName":"ControleIndelingHRG","BlockName":"B1","VenaRangeType":5,"DimensionIdStr":"-1","MemberIdStr":"-1","DimensionId":-1,"MemberId":-1,"Inc":""},"_vena_DYNR_SControleIndelingHRG_BB1_b359501_b09f0074":{"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b09f0074","IsMultiDynamicRange":false,"MultiDynamicRangeID":null,"MultiDynamicCollectionID":null,"SectionName":"ControleIndelingHRG","BlockName":"B1","VenaRangeType":5,"DimensionIdStr":"-1","MemberIdStr":"-1","DimensionId":-1,"MemberId":-1,"Inc":""},"_vena_DYNR_SControleIndelingHRG_BB1_b359501_b3ce1e84":{"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b3ce1e84","IsMultiDynamicRange":false,"MultiDynamicRangeID":null,"MultiDynamicCollectionID":null,"SectionName":"ControleIndelingHRG","BlockName":"B1","VenaRangeType":5,"DimensionIdStr":"-1","MemberIdStr":"-1","DimensionId":-1,"MemberId":-1,"Inc":""},"_vena_DYNR_SControleIndelingHRG_BB1_b359501_b8f595ef":{"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b8f595ef","IsMultiDynamicRange":false,"MultiDynamicRangeID":null,"MultiDynamicCollectionID":null,"SectionName":"ControleIndelingHRG","BlockName":"B1","VenaRangeType":5,"DimensionIdStr":"-1","MemberIdStr":"-1","DimensionId":-1,"MemberId":-1,"Inc":""},"_vena_DYNR_SControleIndelingHRG_BB1_b359501_c46d3463":{"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c46d3463","IsMultiDynamicRange":false,"MultiDynamicRangeID":null,"MultiDynamicCollectionID":null,"SectionName":"ControleIndelingHRG","BlockName":"B1","VenaRangeType":5,"DimensionIdStr":"-1","MemberIdStr":"-1","DimensionId":-1,"MemberId":-1,"Inc":""},"_vena_DYNR_SControleIndelingHRG_BB1_b359501_c5f9d493":{"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c5f9d493","IsMultiDynamicRange":false,"MultiDynamicRangeID":null,"MultiDynamicCollectionID":null,"SectionName":"ControleIndelingHRG","BlockName":"B1","VenaRangeType":5,"DimensionIdStr":"-1","MemberIdStr":"-1","DimensionId":-1,"MemberId":-1,"Inc":""},"_vena_DYNR_SControleIndelingHRG_BB1_b359501_c6423743":{"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c6423743","IsMultiDynamicRange":false,"MultiDynamicRangeID":null,"MultiDynamicCollectionID":null,"SectionName":"ControleIndelingHRG","BlockName":"B1","VenaRangeType":5,"DimensionIdStr":"-1","MemberIdStr":"-1","DimensionId":-1,"MemberId":-1,"Inc":""},"_vena_DYNR_SControleIndelingHRG_BB1_b359501_cf88b606":{"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cf88b606","IsMultiDynamicRange":false,"MultiDynamicRangeID":null,"MultiDynamicCollectionID":null,"SectionName":"ControleIndelingHRG","BlockName":"B1","VenaRangeType":5,"DimensionIdStr":"-1","MemberIdStr":"-1","DimensionId":-1,"MemberId":-1,"Inc":""},"_vena_DYNR_SControleIndelingHRG_BB1_b359501_e0a3d841":{"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e0a3d841","IsMultiDynamicRange":false,"MultiDynamicRangeID":null,"MultiDynamicCollectionID":null,"SectionName":"ControleIndelingHRG","BlockName":"B1","VenaRangeType":5,"DimensionIdStr":"-1","MemberIdStr":"-1","DimensionId":-1,"MemberId":-1,"Inc":""},"_vena_DYNR_SControleIndelingHRG_BB1_b359501_e539a990":{"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e539a990","IsMultiDynamicRange":false,"MultiDynamicRangeID":null,"MultiDynamicCollectionID":null,"SectionName":"ControleIndelingHRG","BlockName":"B1","VenaRangeType":5,"DimensionIdStr":"-1","MemberIdStr":"-1","DimensionId":-1,"MemberId":-1,"Inc":""},"_vena_DYNR_SControleIndelingHRG_BB1_b359501_e7be93e3":{"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e7be93e3","IsMultiDynamicRange":false,"MultiDynamicRangeID":null,"MultiDynamicCollectionID":null,"SectionName":"ControleIndelingHRG","BlockName":"B1","VenaRangeType":5,"DimensionIdStr":"-1","MemberIdStr":"-1","DimensionId":-1,"MemberId":-1,"Inc":""},"_vena_DYNR_SControleIndelingHRG_BB1_b359501_e89fbcbb":{"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e89fbcbb","IsMultiDynamicRange":false,"MultiDynamicRangeID":null,"MultiDynamicCollectionID":null,"SectionName":"ControleIndelingHRG","BlockName":"B1","VenaRangeType":5,"DimensionIdStr":"-1","MemberIdStr":"-1","DimensionId":-1,"MemberId":-1,"Inc":""},"_vena_DYNR_SControleIndelingHRG_BB1_b359501_ed3a4c8b":{"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ed3a4c8b","IsMultiDynamicRange":false,"MultiDynamicRangeID":null,"MultiDynamicCollectionID":null,"SectionName":"ControleIndelingHRG","BlockName":"B1","VenaRangeType":5,"DimensionIdStr":"-1","MemberIdStr":"-1","DimensionId":-1,"MemberId":-1,"Inc":""},"_vena_DYNR_SControleIndelingHRG_BB1_b359501_eeff843e":{"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eeff843e","IsMultiDynamicRange":false,"MultiDynamicRangeID":null,"MultiDynamicCollectionID":null,"SectionName":"ControleIndelingHRG","BlockName":"B1","VenaRangeType":5,"DimensionIdStr":"-1","MemberIdStr":"-1","DimensionId":-1,"MemberId":-1,"Inc":""},"_vena_DYNR_SControleIndelingHRG_BB1_b359501_fc7086a6":{"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fc7086a6","IsMultiDynamicRange":false,"MultiDynamicRangeID":null,"MultiDynamicCollectionID":null,"SectionName":"ControleIndelingHRG","BlockName":"B1","VenaRangeType":5,"DimensionIdStr":"-1","MemberIdStr":"-1","DimensionId":-1,"MemberId":-1,"Inc":""},"_vena_DYNR_SControleIndelingHRG_BB1_b359501_fd5b8db3":{"SourceGlobalVariableId":-1,"SourceFormVariableId":"00000000-0000-0000-0000-000000000000","IsPageVariable":false,"IsLineItemDetailEnabled":false,"LineItemDetailOrder":0,"LineItemID":null,"PageVariableSectionReference":"","PageVariableDimensionName":null,"IsDynamicRange":true,"IsDynamicRangeEntry":true,"DynamicRangeID":"b359501","DynamicRangeEntryID":"fd5b8db3","IsMultiDynamicRange":false,"MultiDynamicRangeID":null,"MultiDynamicCollectionID":null,"SectionName":"ControleIndelingHRG","BlockName":"B1","VenaRangeType":5,"DimensionIdStr":"-1","MemberIdStr":"-1","DimensionId":-1,"MemberId":-1,"Inc":""},"_vena_DYNR_SControleIndelingHRG_BB1_b66b522c":{"SourceGlobalVariableId":-1,"SourceFormVariableId":"00000000-0000-0000-0000-000000000000","IsPageVariable":false,"IsLineItemDetailEnabled":false,"LineItemDetailOrder":0,"LineItemID":null,"PageVariableSectionReference":"","PageVariableDimensionName":null,"IsDynamicRange":true,"IsDynamicRangeEntry":false,"DynamicRangeID":"b66b522c","DynamicRangeEntryID":null,"IsMultiDynamicRange":false,"MultiDynamicRangeID":null,"MultiDynamicCollectionID":null,"SectionName":"ControleIndelingHRG","BlockName":"B1","VenaRangeType":5,"DimensionIdStr":"-1","MemberIdStr":"-1","DimensionId":-1,"MemberId":-1,"Inc":""},"_vena_DYNR_SControleIndelingHRG_BB1_b66b522c_11545634":{"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11545634","IsMultiDynamicRange":false,"MultiDynamicRangeID":null,"MultiDynamicCollectionID":null,"SectionName":"ControleIndelingHRG","BlockName":"B1","VenaRangeType":5,"DimensionIdStr":"-1","MemberIdStr":"-1","DimensionId":-1,"MemberId":-1,"Inc":""},"_vena_DYNR_SControleIndelingHRG_BB1_b66b522c_23b27469":{"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23b27469","IsMultiDynamicRange":false,"MultiDynamicRangeID":null,"MultiDynamicCollectionID":null,"SectionName":"ControleIndelingHRG","BlockName":"B1","VenaRangeType":5,"DimensionIdStr":"-1","MemberIdStr":"-1","DimensionId":-1,"MemberId":-1,"Inc":""},"_vena_DYNR_SControleIndelingHRG_BB1_b66b522c_254e6418":{"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254e6418","IsMultiDynamicRange":false,"MultiDynamicRangeID":null,"MultiDynamicCollectionID":null,"SectionName":"ControleIndelingHRG","BlockName":"B1","VenaRangeType":5,"DimensionIdStr":"-1","MemberIdStr":"-1","DimensionId":-1,"MemberId":-1,"Inc":""},"_vena_DYNR_SControleIndelingHRG_BB1_b66b522c_25672366":{"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25672366","IsMultiDynamicRange":false,"MultiDynamicRangeID":null,"MultiDynamicCollectionID":null,"SectionName":"ControleIndelingHRG","BlockName":"B1","VenaRangeType":5,"DimensionIdStr":"-1","MemberIdStr":"-1","DimensionId":-1,"MemberId":-1,"Inc":""},"_vena_DYNR_SControleIndelingHRG_BB1_b66b522c_2a6146f5":{"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2a6146f5","IsMultiDynamicRange":false,"MultiDynamicRangeID":null,"MultiDynamicCollectionID":null,"SectionName":"ControleIndelingHRG","BlockName":"B1","VenaRangeType":5,"DimensionIdStr":"-1","MemberIdStr":"-1","DimensionId":-1,"MemberId":-1,"Inc":""},"_vena_DYNR_SControleIndelingHRG_BB1_b66b522c_2c14969":{"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2c14969","IsMultiDynamicRange":false,"MultiDynamicRangeID":null,"MultiDynamicCollectionID":null,"SectionName":"ControleIndelingHRG","BlockName":"B1","VenaRangeType":5,"DimensionIdStr":"-1","MemberIdStr":"-1","DimensionId":-1,"MemberId":-1,"Inc":""},"_vena_DYNR_SControleIndelingHRG_BB1_b66b522c_32d45776":{"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32d45776","IsMultiDynamicRange":false,"MultiDynamicRangeID":null,"MultiDynamicCollectionID":null,"SectionName":"ControleIndelingHRG","BlockName":"B1","VenaRangeType":5,"DimensionIdStr":"-1","MemberIdStr":"-1","DimensionId":-1,"MemberId":-1,"Inc":""},"_vena_DYNR_SControleIndelingHRG_BB1_b66b522c_35f66908":{"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35f66908","IsMultiDynamicRange":false,"MultiDynamicRangeID":null,"MultiDynamicCollectionID":null,"SectionName":"ControleIndelingHRG","BlockName":"B1","VenaRangeType":5,"DimensionIdStr":"-1","MemberIdStr":"-1","DimensionId":-1,"MemberId":-1,"Inc":""},"_vena_DYNR_SControleIndelingHRG_BB1_b66b522c_74876adf":{"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74876adf","IsMultiDynamicRange":false,"MultiDynamicRangeID":null,"MultiDynamicCollectionID":null,"SectionName":"ControleIndelingHRG","BlockName":"B1","VenaRangeType":5,"DimensionIdStr":"-1","MemberIdStr":"-1","DimensionId":-1,"MemberId":-1,"Inc":""},"_vena_DYNR_SControleIndelingHRG_BB1_b66b522c_7c448a53":{"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7c448a53","IsMultiDynamicRange":false,"MultiDynamicRangeID":null,"MultiDynamicCollectionID":null,"SectionName":"ControleIndelingHRG","BlockName":"B1","VenaRangeType":5,"DimensionIdStr":"-1","MemberIdStr":"-1","DimensionId":-1,"MemberId":-1,"Inc":""},"_vena_DYNR_SControleIndelingHRG_BB1_b66b522c_851996f8":{"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851996f8","IsMultiDynamicRange":false,"MultiDynamicRangeID":null,"MultiDynamicCollectionID":null,"SectionName":"ControleIndelingHRG","BlockName":"B1","VenaRangeType":5,"DimensionIdStr":"-1","MemberIdStr":"-1","DimensionId":-1,"MemberId":-1,"Inc":""},"_vena_DYNR_SControleIndelingHRG_BB1_b66b522c_8c8a062e":{"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8c8a062e","IsMultiDynamicRange":false,"MultiDynamicRangeID":null,"MultiDynamicCollectionID":null,"SectionName":"ControleIndelingHRG","BlockName":"B1","VenaRangeType":5,"DimensionIdStr":"-1","MemberIdStr":"-1","DimensionId":-1,"MemberId":-1,"Inc":""},"_vena_DYNR_SControleIndelingHRG_BB1_b66b522c_955270c9":{"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955270c9","IsMultiDynamicRange":false,"MultiDynamicRangeID":null,"MultiDynamicCollectionID":null,"SectionName":"ControleIndelingHRG","BlockName":"B1","VenaRangeType":5,"DimensionIdStr":"-1","MemberIdStr":"-1","DimensionId":-1,"MemberId":-1,"Inc":""},"_vena_DYNR_SControleIndelingHRG_BB1_b66b522c_9f563107":{"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9f563107","IsMultiDynamicRange":false,"MultiDynamicRangeID":null,"MultiDynamicCollectionID":null,"SectionName":"ControleIndelingHRG","BlockName":"B1","VenaRangeType":5,"DimensionIdStr":"-1","MemberIdStr":"-1","DimensionId":-1,"MemberId":-1,"Inc":""},"_vena_DYNR_SControleIndelingHRG_BB1_b66b522c_b85f72ba":{"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b85f72ba","IsMultiDynamicRange":false,"MultiDynamicRangeID":null,"MultiDynamicCollectionID":null,"SectionName":"ControleIndelingHRG","BlockName":"B1","VenaRangeType":5,"DimensionIdStr":"-1","MemberIdStr":"-1","DimensionId":-1,"MemberId":-1,"Inc":""},"_vena_DYNR_SControleIndelingHRG_BB1_b66b522c_b8af6636":{"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b8af6636","IsMultiDynamicRange":false,"MultiDynamicRangeID":null,"MultiDynamicCollectionID":null,"SectionName":"ControleIndelingHRG","BlockName":"B1","VenaRangeType":5,"DimensionIdStr":"-1","MemberIdStr":"-1","DimensionId":-1,"MemberId":-1,"Inc":""},"_vena_DYNR_SControleIndelingHRG_BB1_b66b522c_bfba9f6f":{"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bfba9f6f","IsMultiDynamicRange":false,"MultiDynamicRangeID":null,"MultiDynamicCollectionID":null,"SectionName":"ControleIndelingHRG","BlockName":"B1","VenaRangeType":5,"DimensionIdStr":"-1","MemberIdStr":"-1","DimensionId":-1,"MemberId":-1,"Inc":""},"_vena_DYNR_SControleIndelingHRG_BB1_b66b522c_ccda89ac":{"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ccda89ac","IsMultiDynamicRange":false,"MultiDynamicRangeID":null,"MultiDynamicCollectionID":null,"SectionName":"ControleIndelingHRG","BlockName":"B1","VenaRangeType":5,"DimensionIdStr":"-1","MemberIdStr":"-1","DimensionId":-1,"MemberId":-1,"Inc":""},"_vena_DYNR_SControleIndelingHRG_BB1_b66b522c_ce74f562":{"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ce74f562","IsMultiDynamicRange":false,"MultiDynamicRangeID":null,"MultiDynamicCollectionID":null,"SectionName":"ControleIndelingHRG","BlockName":"B1","VenaRangeType":5,"DimensionIdStr":"-1","MemberIdStr":"-1","DimensionId":-1,"MemberId":-1,"Inc":""},"_vena_DYNR_SControleIndelingHRG_BB1_b66b522c_d3175caa":{"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d3175caa","IsMultiDynamicRange":false,"MultiDynamicRangeID":null,"MultiDynamicCollectionID":null,"SectionName":"ControleIndelingHRG","BlockName":"B1","VenaRangeType":5,"DimensionIdStr":"-1","MemberIdStr":"-1","DimensionId":-1,"MemberId":-1,"Inc":""},"_vena_DYNR_SControleIndelingHRG_BB1_b66b522c_d6459d6b":{"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d6459d6b","IsMultiDynamicRange":false,"MultiDynamicRangeID":null,"MultiDynamicCollectionID":null,"SectionName":"ControleIndelingHRG","BlockName":"B1","VenaRangeType":5,"DimensionIdStr":"-1","MemberIdStr":"-1","DimensionId":-1,"MemberId":-1,"Inc":""},"_vena_DYNR_SControleIndelingHRG_BB1_b66b522c_d9885ecf":{"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d9885ecf","IsMultiDynamicRange":false,"MultiDynamicRangeID":null,"MultiDynamicCollectionID":null,"SectionName":"ControleIndelingHRG","BlockName":"B1","VenaRangeType":5,"DimensionIdStr":"-1","MemberIdStr":"-1","DimensionId":-1,"MemberId":-1,"Inc":""},"_vena_DYNR_SControleIndelingHRG_BB1_b66b522c_dd3b8ac3":{"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dd3b8ac3","IsMultiDynamicRange":false,"MultiDynamicRangeID":null,"MultiDynamicCollectionID":null,"SectionName":"ControleIndelingHRG","BlockName":"B1","VenaRangeType":5,"DimensionIdStr":"-1","MemberIdStr":"-1","DimensionId":-1,"MemberId":-1,"Inc":""},"_vena_DYNR_SControleIndelingHRG_BB1_b66b522c_f225ae8f":{"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f225ae8f","IsMultiDynamicRange":false,"MultiDynamicRangeID":null,"MultiDynamicCollectionID":null,"SectionName":"ControleIndelingHRG","BlockName":"B1","VenaRangeType":5,"DimensionIdStr":"-1","MemberIdStr":"-1","DimensionId":-1,"MemberId":-1,"Inc":""},"_vena_DYNR_SControleIndelingHRG_BB1_b66b522c_f569fb4d":{"SourceGlobalVariableId":-1,"SourceFormVariableId":"00000000-0000-0000-0000-000000000000","IsPageVariable":false,"IsLineItemDetailEnabled":false,"LineItemDetailOrder":0,"LineItemID":null,"PageVariableSectionReference":"","PageVariableDimensionName":null,"IsDynamicRange":true,"IsDynamicRangeEntry":true,"DynamicRangeID":"b66b522c","DynamicRangeEntryID":"f569fb4d","IsMultiDynamicRange":false,"MultiDynamicRangeID":null,"MultiDynamicCollectionID":null,"SectionName":"ControleIndelingHRG","BlockName":"B1","VenaRangeType":5,"DimensionIdStr":"-1","MemberIdStr":"-1","DimensionId":-1,"MemberId":-1,"Inc":""},"_vena_DYNR_SControleIndelingHRG_BB1_ba48134c":{"SourceGlobalVariableId":-1,"SourceFormVariableId":"00000000-0000-0000-0000-000000000000","IsPageVariable":false,"IsLineItemDetailEnabled":false,"LineItemDetailOrder":0,"LineItemID":null,"PageVariableSectionReference":"","PageVariableDimensionName":null,"IsDynamicRange":true,"IsDynamicRangeEntry":false,"DynamicRangeID":"ba48134c","DynamicRangeEntryID":null,"IsMultiDynamicRange":false,"MultiDynamicRangeID":null,"MultiDynamicCollectionID":null,"SectionName":"ControleIndelingHRG","BlockName":"B1","VenaRangeType":5,"DimensionIdStr":"-1","MemberIdStr":"-1","DimensionId":-1,"MemberId":-1,"Inc":""},"_vena_DYNR_SControleIndelingHRG_BB1_ba48134c_3f079b32":{"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3f079b32","IsMultiDynamicRange":false,"MultiDynamicRangeID":null,"MultiDynamicCollectionID":null,"SectionName":"ControleIndelingHRG","BlockName":"B1","VenaRangeType":5,"DimensionIdStr":"-1","MemberIdStr":"-1","DimensionId":-1,"MemberId":-1,"Inc":""},"_vena_DYNR_SControleIndelingHRG_BB1_ba48134c_42608d1f":{"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42608d1f","IsMultiDynamicRange":false,"MultiDynamicRangeID":null,"MultiDynamicCollectionID":null,"SectionName":"ControleIndelingHRG","BlockName":"B1","VenaRangeType":5,"DimensionIdStr":"-1","MemberIdStr":"-1","DimensionId":-1,"MemberId":-1,"Inc":""},"_vena_DYNR_SControleIndelingHRG_BB1_ba48134c_59951191":{"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59951191","IsMultiDynamicRange":false,"MultiDynamicRangeID":null,"MultiDynamicCollectionID":null,"SectionName":"ControleIndelingHRG","BlockName":"B1","VenaRangeType":5,"DimensionIdStr":"-1","MemberIdStr":"-1","DimensionId":-1,"MemberId":-1,"Inc":""},"_vena_DYNR_SControleIndelingHRG_BB1_ba48134c_9f6e06ac":{"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9f6e06ac","IsMultiDynamicRange":false,"MultiDynamicRangeID":null,"MultiDynamicCollectionID":null,"SectionName":"ControleIndelingHRG","BlockName":"B1","VenaRangeType":5,"DimensionIdStr":"-1","MemberIdStr":"-1","DimensionId":-1,"MemberId":-1,"Inc":""},"_vena_DYNR_SControleIndelingHRG_BB1_ba48134c_a22a74ba":{"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a22a74ba","IsMultiDynamicRange":false,"MultiDynamicRangeID":null,"MultiDynamicCollectionID":null,"SectionName":"ControleIndelingHRG","BlockName":"B1","VenaRangeType":5,"DimensionIdStr":"-1","MemberIdStr":"-1","DimensionId":-1,"MemberId":-1,"Inc":""},"_vena_DYNR_SControleIndelingHRG_BB1_ba48134c_bab9ccc6":{"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bab9ccc6","IsMultiDynamicRange":false,"MultiDynamicRangeID":null,"MultiDynamicCollectionID":null,"SectionName":"ControleIndelingHRG","BlockName":"B1","VenaRangeType":5,"DimensionIdStr":"-1","MemberIdStr":"-1","DimensionId":-1,"MemberId":-1,"Inc":""},"_vena_DYNR_SControleIndelingHRG_BB1_ba48134c_ca42d3dd":{"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ca42d3dd","IsMultiDynamicRange":false,"MultiDynamicRangeID":null,"MultiDynamicCollectionID":null,"SectionName":"ControleIndelingHRG","BlockName":"B1","VenaRangeType":5,"DimensionIdStr":"-1","MemberIdStr":"-1","DimensionId":-1,"MemberId":-1,"Inc":""},"_vena_DYNR_SControleIndelingHRG_BB1_ba48134c_d8d5f3bc":{"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d8d5f3bc","IsMultiDynamicRange":false,"MultiDynamicRangeID":null,"MultiDynamicCollectionID":null,"SectionName":"ControleIndelingHRG","BlockName":"B1","VenaRangeType":5,"DimensionIdStr":"-1","MemberIdStr":"-1","DimensionId":-1,"MemberId":-1,"Inc":""},"_vena_DYNR_SControleIndelingHRG_BB1_ba48134c_dcbb6d63":{"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dcbb6d63","IsMultiDynamicRange":false,"MultiDynamicRangeID":null,"MultiDynamicCollectionID":null,"SectionName":"ControleIndelingHRG","BlockName":"B1","VenaRangeType":5,"DimensionIdStr":"-1","MemberIdStr":"-1","DimensionId":-1,"MemberId":-1,"Inc":""},"_vena_DYNR_SControleIndelingHRG_BB1_ba48134c_e2f016c0":{"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e2f016c0","IsMultiDynamicRange":false,"MultiDynamicRangeID":null,"MultiDynamicCollectionID":null,"SectionName":"ControleIndelingHRG","BlockName":"B1","VenaRangeType":5,"DimensionIdStr":"-1","MemberIdStr":"-1","DimensionId":-1,"MemberId":-1,"Inc":""},"_vena_DYNR_SControleIndelingHRG_BB1_ba48134c_ed28d5c3":{"SourceGlobalVariableId":-1,"SourceFormVariableId":"00000000-0000-0000-0000-000000000000","IsPageVariable":false,"IsLineItemDetailEnabled":false,"LineItemDetailOrder":0,"LineItemID":null,"PageVariableSectionReference":"","PageVariableDimensionName":null,"IsDynamicRange":true,"IsDynamicRangeEntry":true,"DynamicRangeID":"ba48134c","DynamicRangeEntryID":"ed28d5c3","IsMultiDynamicRange":false,"MultiDynamicRangeID":null,"MultiDynamicCollectionID":null,"SectionName":"ControleIndelingHRG","BlockName":"B1","VenaRangeType":5,"DimensionIdStr":"-1","MemberIdStr":"-1","DimensionId":-1,"MemberId":-1,"Inc":""},"_vena_DYNR_SControleIndelingHRG_BB1_ca9762f6":{"SourceGlobalVariableId":-1,"SourceFormVariableId":"00000000-0000-0000-0000-000000000000","IsPageVariable":false,"IsLineItemDetailEnabled":false,"LineItemDetailOrder":0,"LineItemID":null,"PageVariableSectionReference":"","PageVariableDimensionName":null,"IsDynamicRange":true,"IsDynamicRangeEntry":false,"DynamicRangeID":"ca9762f6","DynamicRangeEntryID":null,"IsMultiDynamicRange":false,"MultiDynamicRangeID":null,"MultiDynamicCollectionID":null,"SectionName":"ControleIndelingHRG","BlockName":"B1","VenaRangeType":5,"DimensionIdStr":"-1","MemberIdStr":"-1","DimensionId":-1,"MemberId":-1,"Inc":""},"_vena_DYNR_SControleIndelingHRG_BB1_ca9762f6_4d64560d":{"SourceGlobalVariableId":-1,"SourceFormVariableId":"00000000-0000-0000-0000-000000000000","IsPageVariable":false,"IsLineItemDetailEnabled":false,"LineItemDetailOrder":0,"LineItemID":null,"PageVariableSectionReference":"","PageVariableDimensionName":null,"IsDynamicRange":true,"IsDynamicRangeEntry":true,"DynamicRangeID":"ca9762f6","DynamicRangeEntryID":"4d64560d","IsMultiDynamicRange":false,"MultiDynamicRangeID":null,"MultiDynamicCollectionID":null,"SectionName":"ControleIndelingHRG","BlockName":"B1","VenaRangeType":5,"DimensionIdStr":"-1","MemberIdStr":"-1","DimensionId":-1,"MemberId":-1,"Inc":""},"_vena_DYNR_SControleIndelingHRG_BB1_ca9762f6_a4e2e3ca":{"SourceGlobalVariableId":-1,"SourceFormVariableId":"00000000-0000-0000-0000-000000000000","IsPageVariable":false,"IsLineItemDetailEnabled":false,"LineItemDetailOrder":0,"LineItemID":null,"PageVariableSectionReference":"","PageVariableDimensionName":null,"IsDynamicRange":true,"IsDynamicRangeEntry":true,"DynamicRangeID":"ca9762f6","DynamicRangeEntryID":"a4e2e3ca","IsMultiDynamicRange":false,"MultiDynamicRangeID":null,"MultiDynamicCollectionID":null,"SectionName":"ControleIndelingHRG","BlockName":"B1","VenaRangeType":5,"DimensionIdStr":"-1","MemberIdStr":"-1","DimensionId":-1,"MemberId":-1,"Inc":""},"_vena_DYNR_SControleIndelingHRG_BB1_d4e1fb0d":{"SourceGlobalVariableId":-1,"SourceFormVariableId":"00000000-0000-0000-0000-000000000000","IsPageVariable":false,"IsLineItemDetailEnabled":false,"LineItemDetailOrder":0,"LineItemID":null,"PageVariableSectionReference":"","PageVariableDimensionName":null,"IsDynamicRange":true,"IsDynamicRangeEntry":false,"DynamicRangeID":"d4e1fb0d","DynamicRangeEntryID":null,"IsMultiDynamicRange":false,"MultiDynamicRangeID":null,"MultiDynamicCollectionID":null,"SectionName":"ControleIndelingHRG","BlockName":"B1","VenaRangeType":5,"DimensionIdStr":"-1","MemberIdStr":"-1","DimensionId":-1,"MemberId":-1,"Inc":""},"_vena_DYNR_SControleIndelingHRG_BB1_d4e1fb0d_6710154f":{"SourceGlobalVariableId":-1,"SourceFormVariableId":"00000000-0000-0000-0000-000000000000","IsPageVariable":false,"IsLineItemDetailEnabled":false,"LineItemDetailOrder":0,"LineItemID":null,"PageVariableSectionReference":"","PageVariableDimensionName":null,"IsDynamicRange":true,"IsDynamicRangeEntry":true,"DynamicRangeID":"d4e1fb0d","DynamicRangeEntryID":"6710154f","IsMultiDynamicRange":false,"MultiDynamicRangeID":null,"MultiDynamicCollectionID":null,"SectionName":"ControleIndelingHRG","BlockName":"B1","VenaRangeType":5,"DimensionIdStr":"-1","MemberIdStr":"-1","DimensionId":-1,"MemberId":-1,"Inc":""},"_vena_DYNR_SControleIndelingHRG_BB1_d4e1fb0d_b65af1dc":{"SourceGlobalVariableId":-1,"SourceFormVariableId":"00000000-0000-0000-0000-000000000000","IsPageVariable":false,"IsLineItemDetailEnabled":false,"LineItemDetailOrder":0,"LineItemID":null,"PageVariableSectionReference":"","PageVariableDimensionName":null,"IsDynamicRange":true,"IsDynamicRangeEntry":true,"DynamicRangeID":"d4e1fb0d","DynamicRangeEntryID":"b65af1dc","IsMultiDynamicRange":false,"MultiDynamicRangeID":null,"MultiDynamicCollectionID":null,"SectionName":"ControleIndelingHRG","BlockName":"B1","VenaRangeType":5,"DimensionIdStr":"-1","MemberIdStr":"-1","DimensionId":-1,"MemberId":-1,"Inc":""},"_vena_DYNR_SControleIndelingHRG_BB1_d4e1fb0d_c9d79bd":{"SourceGlobalVariableId":-1,"SourceFormVariableId":"00000000-0000-0000-0000-000000000000","IsPageVariable":false,"IsLineItemDetailEnabled":false,"LineItemDetailOrder":0,"LineItemID":null,"PageVariableSectionReference":"","PageVariableDimensionName":null,"IsDynamicRange":true,"IsDynamicRangeEntry":true,"DynamicRangeID":"d4e1fb0d","DynamicRangeEntryID":"c9d79bd","IsMultiDynamicRange":false,"MultiDynamicRangeID":null,"MultiDynamicCollectionID":null,"SectionName":"ControleIndelingHRG","BlockName":"B1","VenaRangeType":5,"DimensionIdStr":"-1","MemberIdStr":"-1","DimensionId":-1,"MemberId":-1,"Inc":""},"_vena_DYNR_SControleIndelingHRG_BB1_d4e1fb0d_f542202e":{"SourceGlobalVariableId":-1,"SourceFormVariableId":"00000000-0000-0000-0000-000000000000","IsPageVariable":false,"IsLineItemDetailEnabled":false,"LineItemDetailOrder":0,"LineItemID":null,"PageVariableSectionReference":"","PageVariableDimensionName":null,"IsDynamicRange":true,"IsDynamicRangeEntry":true,"DynamicRangeID":"d4e1fb0d","DynamicRangeEntryID":"f542202e","IsMultiDynamicRange":false,"MultiDynamicRangeID":null,"MultiDynamicCollectionID":null,"SectionName":"ControleIndelingHRG","BlockName":"B1","VenaRangeType":5,"DimensionIdStr":"-1","MemberIdStr":"-1","DimensionId":-1,"MemberId":-1,"Inc":""},"_vena_DYNR_SControleIndelingHRG_BB1_d4e1fb0d_ffb4e5a3":{"SourceGlobalVariableId":-1,"SourceFormVariableId":"00000000-0000-0000-0000-000000000000","IsPageVariable":false,"IsLineItemDetailEnabled":false,"LineItemDetailOrder":0,"LineItemID":null,"PageVariableSectionReference":"","PageVariableDimensionName":null,"IsDynamicRange":true,"IsDynamicRangeEntry":true,"DynamicRangeID":"d4e1fb0d","DynamicRangeEntryID":"ffb4e5a3","IsMultiDynamicRange":false,"MultiDynamicRangeID":null,"MultiDynamicCollectionID":null,"SectionName":"ControleIndelingHRG","BlockName":"B1","VenaRangeType":5,"DimensionIdStr":"-1","MemberIdStr":"-1","DimensionId":-1,"MemberId":-1,"Inc":""},"_vena_DYNR_SControleIndelingHRG_BB1_d55acb59":{"SourceGlobalVariableId":-1,"SourceFormVariableId":"00000000-0000-0000-0000-000000000000","IsPageVariable":false,"IsLineItemDetailEnabled":false,"LineItemDetailOrder":0,"LineItemID":null,"PageVariableSectionReference":"","PageVariableDimensionName":null,"IsDynamicRange":true,"IsDynamicRangeEntry":false,"DynamicRangeID":"d55acb59","DynamicRangeEntryID":null,"IsMultiDynamicRange":false,"MultiDynamicRangeID":null,"MultiDynamicCollectionID":null,"SectionName":"ControleIndelingHRG","BlockName":"B1","VenaRangeType":5,"DimensionIdStr":"-1","MemberIdStr":"-1","DimensionId":-1,"MemberId":-1,"Inc":""},"_vena_DYNR_SControleIndelingHRG_BB1_d55acb59_50c606b4":{"SourceGlobalVariableId":-1,"SourceFormVariableId":"00000000-0000-0000-0000-000000000000","IsPageVariable":false,"IsLineItemDetailEnabled":false,"LineItemDetailOrder":0,"LineItemID":null,"PageVariableSectionReference":"","PageVariableDimensionName":null,"IsDynamicRange":true,"IsDynamicRangeEntry":true,"DynamicRangeID":"d55acb59","DynamicRangeEntryID":"50c606b4","IsMultiDynamicRange":false,"MultiDynamicRangeID":null,"MultiDynamicCollectionID":null,"SectionName":"ControleIndelingHRG","BlockName":"B1","VenaRangeType":5,"DimensionIdStr":"-1","MemberIdStr":"-1","DimensionId":-1,"MemberId":-1,"Inc":""},"_vena_DYNR_SControleIndelingHRG_BB1_d55acb59_5b681115":{"SourceGlobalVariableId":-1,"SourceFormVariableId":"00000000-0000-0000-0000-000000000000","IsPageVariable":false,"IsLineItemDetailEnabled":false,"LineItemDetailOrder":0,"LineItemID":null,"PageVariableSectionReference":"","PageVariableDimensionName":null,"IsDynamicRange":true,"IsDynamicRangeEntry":true,"DynamicRangeID":"d55acb59","DynamicRangeEntryID":"5b681115","IsMultiDynamicRange":false,"MultiDynamicRangeID":null,"MultiDynamicCollectionID":null,"SectionName":"ControleIndelingHRG","BlockName":"B1","VenaRangeType":5,"DimensionIdStr":"-1","MemberIdStr":"-1","DimensionId":-1,"MemberId":-1,"Inc":""},"_vena_DYNR_SControleIndelingHRG_BB1_d55acb59_97f28d3f":{"SourceGlobalVariableId":-1,"SourceFormVariableId":"00000000-0000-0000-0000-000000000000","IsPageVariable":false,"IsLineItemDetailEnabled":false,"LineItemDetailOrder":0,"LineItemID":null,"PageVariableSectionReference":"","PageVariableDimensionName":null,"IsDynamicRange":true,"IsDynamicRangeEntry":true,"DynamicRangeID":"d55acb59","DynamicRangeEntryID":"97f28d3f","IsMultiDynamicRange":false,"MultiDynamicRangeID":null,"MultiDynamicCollectionID":null,"SectionName":"ControleIndelingHRG","BlockName":"B1","VenaRangeType":5,"DimensionIdStr":"-1","MemberIdStr":"-1","DimensionId":-1,"MemberId":-1,"Inc":""},"_vena_DYNR_SControleIndelingHRG_BB1_e5895445":{"SourceGlobalVariableId":-1,"SourceFormVariableId":"00000000-0000-0000-0000-000000000000","IsPageVariable":false,"IsLineItemDetailEnabled":false,"LineItemDetailOrder":0,"LineItemID":null,"PageVariableSectionReference":"","PageVariableDimensionName":null,"IsDynamicRange":true,"IsDynamicRangeEntry":false,"DynamicRangeID":"e5895445","DynamicRangeEntryID":null,"IsMultiDynamicRange":false,"MultiDynamicRangeID":null,"MultiDynamicCollectionID":null,"SectionName":"ControleIndelingHRG","BlockName":"B1","VenaRangeType":5,"DimensionIdStr":"-1","MemberIdStr":"-1","DimensionId":-1,"MemberId":-1,"Inc":""},"_vena_DYNR_SControleIndelingHRG_BB1_e5895445_12128d66":{"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12128d66","IsMultiDynamicRange":false,"MultiDynamicRangeID":null,"MultiDynamicCollectionID":null,"SectionName":"ControleIndelingHRG","BlockName":"B1","VenaRangeType":5,"DimensionIdStr":"-1","MemberIdStr":"-1","DimensionId":-1,"MemberId":-1,"Inc":""},"_vena_DYNR_SControleIndelingHRG_BB1_e5895445_45ee197f":{"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45ee197f","IsMultiDynamicRange":false,"MultiDynamicRangeID":null,"MultiDynamicCollectionID":null,"SectionName":"ControleIndelingHRG","BlockName":"B1","VenaRangeType":5,"DimensionIdStr":"-1","MemberIdStr":"-1","DimensionId":-1,"MemberId":-1,"Inc":""},"_vena_DYNR_SControleIndelingHRG_BB1_e5895445_465baa8":{"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465baa8","IsMultiDynamicRange":false,"MultiDynamicRangeID":null,"MultiDynamicCollectionID":null,"SectionName":"ControleIndelingHRG","BlockName":"B1","VenaRangeType":5,"DimensionIdStr":"-1","MemberIdStr":"-1","DimensionId":-1,"MemberId":-1,"Inc":""},"_vena_DYNR_SControleIndelingHRG_BB1_e5895445_80be3f9":{"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80be3f9","IsMultiDynamicRange":false,"MultiDynamicRangeID":null,"MultiDynamicCollectionID":null,"SectionName":"ControleIndelingHRG","BlockName":"B1","VenaRangeType":5,"DimensionIdStr":"-1","MemberIdStr":"-1","DimensionId":-1,"MemberId":-1,"Inc":""},"_vena_DYNR_SControleIndelingHRG_BB1_e5895445_98872a3c":{"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98872a3c","IsMultiDynamicRange":false,"MultiDynamicRangeID":null,"MultiDynamicCollectionID":null,"SectionName":"ControleIndelingHRG","BlockName":"B1","VenaRangeType":5,"DimensionIdStr":"-1","MemberIdStr":"-1","DimensionId":-1,"MemberId":-1,"Inc":""},"_vena_DYNR_SControleIndelingHRG_BB1_e5895445_a9461cc8":{"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a9461cc8","IsMultiDynamicRange":false,"MultiDynamicRangeID":null,"MultiDynamicCollectionID":null,"SectionName":"ControleIndelingHRG","BlockName":"B1","VenaRangeType":5,"DimensionIdStr":"-1","MemberIdStr":"-1","DimensionId":-1,"MemberId":-1,"Inc":""},"_vena_DYNR_SControleIndelingHRG_BB1_e5895445_a9d745df":{"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a9d745df","IsMultiDynamicRange":false,"MultiDynamicRangeID":null,"MultiDynamicCollectionID":null,"SectionName":"ControleIndelingHRG","BlockName":"B1","VenaRangeType":5,"DimensionIdStr":"-1","MemberIdStr":"-1","DimensionId":-1,"MemberId":-1,"Inc":""},"_vena_DYNR_SControleIndelingHRG_BB1_e5895445_b911fb6":{"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b911fb6","IsMultiDynamicRange":false,"MultiDynamicRangeID":null,"MultiDynamicCollectionID":null,"SectionName":"ControleIndelingHRG","BlockName":"B1","VenaRangeType":5,"DimensionIdStr":"-1","MemberIdStr":"-1","DimensionId":-1,"MemberId":-1,"Inc":""},"_vena_DYNR_SControleIndelingHRG_BB1_e5895445_bc9d8c8a":{"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bc9d8c8a","IsMultiDynamicRange":false,"MultiDynamicRangeID":null,"MultiDynamicCollectionID":null,"SectionName":"ControleIndelingHRG","BlockName":"B1","VenaRangeType":5,"DimensionIdStr":"-1","MemberIdStr":"-1","DimensionId":-1,"MemberId":-1,"Inc":""},"_vena_DYNR_SControleIndelingHRG_BB1_e5895445_c424ae54":{"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c424ae54","IsMultiDynamicRange":false,"MultiDynamicRangeID":null,"MultiDynamicCollectionID":null,"SectionName":"ControleIndelingHRG","BlockName":"B1","VenaRangeType":5,"DimensionIdStr":"-1","MemberIdStr":"-1","DimensionId":-1,"MemberId":-1,"Inc":""},"_vena_DYNR_SControleIndelingHRG_BB1_e5895445_e3e1547a":{"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e3e1547a","IsMultiDynamicRange":false,"MultiDynamicRangeID":null,"MultiDynamicCollectionID":null,"SectionName":"ControleIndelingHRG","BlockName":"B1","VenaRangeType":5,"DimensionIdStr":"-1","MemberIdStr":"-1","DimensionId":-1,"MemberId":-1,"Inc":""},"_vena_DYNR_SControleIndelingHRG_BB1_e5895445_fd542416":{"SourceGlobalVariableId":-1,"SourceFormVariableId":"00000000-0000-0000-0000-000000000000","IsPageVariable":false,"IsLineItemDetailEnabled":false,"LineItemDetailOrder":0,"LineItemID":null,"PageVariableSectionReference":"","PageVariableDimensionName":null,"IsDynamicRange":true,"IsDynamicRangeEntry":true,"DynamicRangeID":"e5895445","DynamicRangeEntryID":"fd542416","IsMultiDynamicRange":false,"MultiDynamicRangeID":null,"MultiDynamicCollectionID":null,"SectionName":"ControleIndelingHRG","BlockName":"B1","VenaRangeType":5,"DimensionIdStr":"-1","MemberIdStr":"-1","DimensionId":-1,"MemberId":-1,"Inc":""},"_vena_DYNR_SControleIndelingHRG_BB1_fc651ccf":{"SourceGlobalVariableId":-1,"SourceFormVariableId":"00000000-0000-0000-0000-000000000000","IsPageVariable":false,"IsLineItemDetailEnabled":false,"LineItemDetailOrder":0,"LineItemID":null,"PageVariableSectionReference":"","PageVariableDimensionName":null,"IsDynamicRange":true,"IsDynamicRangeEntry":false,"DynamicRangeID":"fc651ccf","DynamicRangeEntryID":null,"IsMultiDynamicRange":false,"MultiDynamicRangeID":null,"MultiDynamicCollectionID":null,"SectionName":"ControleIndelingHRG","BlockName":"B1","VenaRangeType":5,"DimensionIdStr":"-1","MemberIdStr":"-1","DimensionId":-1,"MemberId":-1,"Inc":""},"_vena_DYNR_SControleIndelingHRG_BB1_fc651ccf_130e7f41":{"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130e7f41","IsMultiDynamicRange":false,"MultiDynamicRangeID":null,"MultiDynamicCollectionID":null,"SectionName":"ControleIndelingHRG","BlockName":"B1","VenaRangeType":5,"DimensionIdStr":"-1","MemberIdStr":"-1","DimensionId":-1,"MemberId":-1,"Inc":""},"_vena_DYNR_SControleIndelingHRG_BB1_fc651ccf_15be477a":{"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15be477a","IsMultiDynamicRange":false,"MultiDynamicRangeID":null,"MultiDynamicCollectionID":null,"SectionName":"ControleIndelingHRG","BlockName":"B1","VenaRangeType":5,"DimensionIdStr":"-1","MemberIdStr":"-1","DimensionId":-1,"MemberId":-1,"Inc":""},"_vena_DYNR_SControleIndelingHRG_BB1_fc651ccf_18935a49":{"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18935a49","IsMultiDynamicRange":false,"MultiDynamicRangeID":null,"MultiDynamicCollectionID":null,"SectionName":"ControleIndelingHRG","BlockName":"B1","VenaRangeType":5,"DimensionIdStr":"-1","MemberIdStr":"-1","DimensionId":-1,"MemberId":-1,"Inc":""},"_vena_DYNR_SControleIndelingHRG_BB1_fc651ccf_23b017ab":{"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23b017ab","IsMultiDynamicRange":false,"MultiDynamicRangeID":null,"MultiDynamicCollectionID":null,"SectionName":"ControleIndelingHRG","BlockName":"B1","VenaRangeType":5,"DimensionIdStr":"-1","MemberIdStr":"-1","DimensionId":-1,"MemberId":-1,"Inc":""},"_vena_DYNR_SControleIndelingHRG_BB1_fc651ccf_2c3134d":{"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2c3134d","IsMultiDynamicRange":false,"MultiDynamicRangeID":null,"MultiDynamicCollectionID":null,"SectionName":"ControleIndelingHRG","BlockName":"B1","VenaRangeType":5,"DimensionIdStr":"-1","MemberIdStr":"-1","DimensionId":-1,"MemberId":-1,"Inc":""},"_vena_DYNR_SControleIndelingHRG_BB1_fc651ccf_2c7ff007":{"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2c7ff007","IsMultiDynamicRange":false,"MultiDynamicRangeID":null,"MultiDynamicCollectionID":null,"SectionName":"ControleIndelingHRG","BlockName":"B1","VenaRangeType":5,"DimensionIdStr":"-1","MemberIdStr":"-1","DimensionId":-1,"MemberId":-1,"Inc":""},"_vena_DYNR_SControleIndelingHRG_BB1_fc651ccf_3296395a":{"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3296395a","IsMultiDynamicRange":false,"MultiDynamicRangeID":null,"MultiDynamicCollectionID":null,"SectionName":"ControleIndelingHRG","BlockName":"B1","VenaRangeType":5,"DimensionIdStr":"-1","MemberIdStr":"-1","DimensionId":-1,"MemberId":-1,"Inc":""},"_vena_DYNR_SControleIndelingHRG_BB1_fc651ccf_41b04d88":{"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41b04d88","IsMultiDynamicRange":false,"MultiDynamicRangeID":null,"MultiDynamicCollectionID":null,"SectionName":"ControleIndelingHRG","BlockName":"B1","VenaRangeType":5,"DimensionIdStr":"-1","MemberIdStr":"-1","DimensionId":-1,"MemberId":-1,"Inc":""},"_vena_DYNR_SControleIndelingHRG_BB1_fc651ccf_42bbe6a8":{"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42bbe6a8","IsMultiDynamicRange":false,"MultiDynamicRangeID":null,"MultiDynamicCollectionID":null,"SectionName":"ControleIndelingHRG","BlockName":"B1","VenaRangeType":5,"DimensionIdStr":"-1","MemberIdStr":"-1","DimensionId":-1,"MemberId":-1,"Inc":""},"_vena_DYNR_SControleIndelingHRG_BB1_fc651ccf_4bf07d5c":{"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4bf07d5c","IsMultiDynamicRange":false,"MultiDynamicRangeID":null,"MultiDynamicCollectionID":null,"SectionName":"ControleIndelingHRG","BlockName":"B1","VenaRangeType":5,"DimensionIdStr":"-1","MemberIdStr":"-1","DimensionId":-1,"MemberId":-1,"Inc":""},"_vena_DYNR_SControleIndelingHRG_BB1_fc651ccf_4f4efcaf":{"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4f4efcaf","IsMultiDynamicRange":false,"MultiDynamicRangeID":null,"MultiDynamicCollectionID":null,"SectionName":"ControleIndelingHRG","BlockName":"B1","VenaRangeType":5,"DimensionIdStr":"-1","MemberIdStr":"-1","DimensionId":-1,"MemberId":-1,"Inc":""},"_vena_DYNR_SControleIndelingHRG_BB1_fc651ccf_522b48a0":{"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522b48a0","IsMultiDynamicRange":false,"MultiDynamicRangeID":null,"MultiDynamicCollectionID":null,"SectionName":"ControleIndelingHRG","BlockName":"B1","VenaRangeType":5,"DimensionIdStr":"-1","MemberIdStr":"-1","DimensionId":-1,"MemberId":-1,"Inc":""},"_vena_DYNR_SControleIndelingHRG_BB1_fc651ccf_5aec8f47":{"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5aec8f47","IsMultiDynamicRange":false,"MultiDynamicRangeID":null,"MultiDynamicCollectionID":null,"SectionName":"ControleIndelingHRG","BlockName":"B1","VenaRangeType":5,"DimensionIdStr":"-1","MemberIdStr":"-1","DimensionId":-1,"MemberId":-1,"Inc":""},"_vena_DYNR_SControleIndelingHRG_BB1_fc651ccf_5b3507fc":{"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5b3507fc","IsMultiDynamicRange":false,"MultiDynamicRangeID":null,"MultiDynamicCollectionID":null,"SectionName":"ControleIndelingHRG","BlockName":"B1","VenaRangeType":5,"DimensionIdStr":"-1","MemberIdStr":"-1","DimensionId":-1,"MemberId":-1,"Inc":""},"_vena_DYNR_SControleIndelingHRG_BB1_fc651ccf_62ecc976":{"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62ecc976","IsMultiDynamicRange":false,"MultiDynamicRangeID":null,"MultiDynamicCollectionID":null,"SectionName":"ControleIndelingHRG","BlockName":"B1","VenaRangeType":5,"DimensionIdStr":"-1","MemberIdStr":"-1","DimensionId":-1,"MemberId":-1,"Inc":""},"_vena_DYNR_SControleIndelingHRG_BB1_fc651ccf_85ab145a":{"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85ab145a","IsMultiDynamicRange":false,"MultiDynamicRangeID":null,"MultiDynamicCollectionID":null,"SectionName":"ControleIndelingHRG","BlockName":"B1","VenaRangeType":5,"DimensionIdStr":"-1","MemberIdStr":"-1","DimensionId":-1,"MemberId":-1,"Inc":""},"_vena_DYNR_SControleIndelingHRG_BB1_fc651ccf_8f27958d":{"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8f27958d","IsMultiDynamicRange":false,"MultiDynamicRangeID":null,"MultiDynamicCollectionID":null,"SectionName":"ControleIndelingHRG","BlockName":"B1","VenaRangeType":5,"DimensionIdStr":"-1","MemberIdStr":"-1","DimensionId":-1,"MemberId":-1,"Inc":""},"_vena_DYNR_SControleIndelingHRG_BB1_fc651ccf_93945297":{"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93945297","IsMultiDynamicRange":false,"MultiDynamicRangeID":null,"MultiDynamicCollectionID":null,"SectionName":"ControleIndelingHRG","BlockName":"B1","VenaRangeType":5,"DimensionIdStr":"-1","MemberIdStr":"-1","DimensionId":-1,"MemberId":-1,"Inc":""},"_vena_DYNR_SControleIndelingHRG_BB1_fc651ccf_95651bbe":{"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95651bbe","IsMultiDynamicRange":false,"MultiDynamicRangeID":null,"MultiDynamicCollectionID":null,"SectionName":"ControleIndelingHRG","BlockName":"B1","VenaRangeType":5,"DimensionIdStr":"-1","MemberIdStr":"-1","DimensionId":-1,"MemberId":-1,"Inc":""},"_vena_DYNR_SControleIndelingHRG_BB1_fc651ccf_a0dae22c":{"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a0dae22c","IsMultiDynamicRange":false,"MultiDynamicRangeID":null,"MultiDynamicCollectionID":null,"SectionName":"ControleIndelingHRG","BlockName":"B1","VenaRangeType":5,"DimensionIdStr":"-1","MemberIdStr":"-1","DimensionId":-1,"MemberId":-1,"Inc":""},"_vena_DYNR_SControleIndelingHRG_BB1_fc651ccf_bb796219":{"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bb796219","IsMultiDynamicRange":false,"MultiDynamicRangeID":null,"MultiDynamicCollectionID":null,"SectionName":"ControleIndelingHRG","BlockName":"B1","VenaRangeType":5,"DimensionIdStr":"-1","MemberIdStr":"-1","DimensionId":-1,"MemberId":-1,"Inc":""},"_vena_DYNR_SControleIndelingHRG_BB1_fc651ccf_c1e27e70":{"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c1e27e70","IsMultiDynamicRange":false,"MultiDynamicRangeID":null,"MultiDynamicCollectionID":null,"SectionName":"ControleIndelingHRG","BlockName":"B1","VenaRangeType":5,"DimensionIdStr":"-1","MemberIdStr":"-1","DimensionId":-1,"MemberId":-1,"Inc":""},"_vena_DYNR_SControleIndelingHRG_BB1_fc651ccf_cb6cd9d6":{"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cb6cd9d6","IsMultiDynamicRange":false,"MultiDynamicRangeID":null,"MultiDynamicCollectionID":null,"SectionName":"ControleIndelingHRG","BlockName":"B1","VenaRangeType":5,"DimensionIdStr":"-1","MemberIdStr":"-1","DimensionId":-1,"MemberId":-1,"Inc":""},"_vena_DYNR_SControleIndelingHRG_BB1_fc651ccf_d6eabec6":{"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d6eabec6","IsMultiDynamicRange":false,"MultiDynamicRangeID":null,"MultiDynamicCollectionID":null,"SectionName":"ControleIndelingHRG","BlockName":"B1","VenaRangeType":5,"DimensionIdStr":"-1","MemberIdStr":"-1","DimensionId":-1,"MemberId":-1,"Inc":""},"_vena_DYNR_SControleIndelingHRG_BB1_fc651ccf_dd74ffad":{"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dd74ffad","IsMultiDynamicRange":false,"MultiDynamicRangeID":null,"MultiDynamicCollectionID":null,"SectionName":"ControleIndelingHRG","BlockName":"B1","VenaRangeType":5,"DimensionIdStr":"-1","MemberIdStr":"-1","DimensionId":-1,"MemberId":-1,"Inc":""},"_vena_DYNR_SControleIndelingHRG_BB1_fc651ccf_fa252285":{"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fa252285","IsMultiDynamicRange":false,"MultiDynamicRangeID":null,"MultiDynamicCollectionID":null,"SectionName":"ControleIndelingHRG","BlockName":"B1","VenaRangeType":5,"DimensionIdStr":"-1","MemberIdStr":"-1","DimensionId":-1,"MemberId":-1,"Inc":""},"_vena_DYNR_SControleIndelingHRG_BB1_fc651ccf_fded1f0":{"SourceGlobalVariableId":-1,"SourceFormVariableId":"00000000-0000-0000-0000-000000000000","IsPageVariable":false,"IsLineItemDetailEnabled":false,"LineItemDetailOrder":0,"LineItemID":null,"PageVariableSectionReference":"","PageVariableDimensionName":null,"IsDynamicRange":true,"IsDynamicRangeEntry":true,"DynamicRangeID":"fc651ccf","DynamicRangeEntryID":"fded1f0","IsMultiDynamicRange":false,"MultiDynamicRangeID":null,"MultiDynamicCollectionID":null,"SectionName":"ControleIndelingHRG","BlockName":"B1","VenaRangeType":5,"DimensionIdStr":"-1","MemberIdStr":"-1","DimensionId":-1,"MemberId":-1,"Inc":""},"_vena_DYNR_SControleIndelingPL_BB1_25ef9d23":{"SourceGlobalVariableId":-1,"SourceFormVariableId":"00000000-0000-0000-0000-000000000000","IsPageVariable":false,"IsLineItemDetailEnabled":false,"LineItemDetailOrder":0,"LineItemID":null,"PageVariableSectionReference":"","PageVariableDimensionName":null,"IsDynamicRange":true,"IsDynamicRangeEntry":false,"DynamicRangeID":"25ef9d23","DynamicRangeEntryID":null,"IsMultiDynamicRange":false,"MultiDynamicRangeID":null,"MultiDynamicCollectionID":null,"SectionName":"ControleIndelingPL","BlockName":"B1","VenaRangeType":5,"DimensionIdStr":"-1","MemberIdStr":"-1","DimensionId":-1,"MemberId":-1,"Inc":""},"_vena_DYNR_SControleIndelingPL_BB1_25ef9d23_132d1ed3":{"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132d1ed3","IsMultiDynamicRange":false,"MultiDynamicRangeID":null,"MultiDynamicCollectionID":null,"SectionName":"ControleIndelingPL","BlockName":"B1","VenaRangeType":5,"DimensionIdStr":"-1","MemberIdStr":"-1","DimensionId":-1,"MemberId":-1,"Inc":""},"_vena_DYNR_SControleIndelingPL_BB1_25ef9d23_1365d7cb":{"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1365d7cb","IsMultiDynamicRange":false,"MultiDynamicRangeID":null,"MultiDynamicCollectionID":null,"SectionName":"ControleIndelingPL","BlockName":"B1","VenaRangeType":5,"DimensionIdStr":"-1","MemberIdStr":"-1","DimensionId":-1,"MemberId":-1,"Inc":""},"_vena_DYNR_SControleIndelingPL_BB1_25ef9d23_1396fc3e":{"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1396fc3e","IsMultiDynamicRange":false,"MultiDynamicRangeID":null,"MultiDynamicCollectionID":null,"SectionName":"ControleIndelingPL","BlockName":"B1","VenaRangeType":5,"DimensionIdStr":"-1","MemberIdStr":"-1","DimensionId":-1,"MemberId":-1,"Inc":""},"_vena_DYNR_SControleIndelingPL_BB1_25ef9d23_14a8adb4":{"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14a8adb4","IsMultiDynamicRange":false,"MultiDynamicRangeID":null,"MultiDynamicCollectionID":null,"SectionName":"ControleIndelingPL","BlockName":"B1","VenaRangeType":5,"DimensionIdStr":"-1","MemberIdStr":"-1","DimensionId":-1,"MemberId":-1,"Inc":""},"_vena_DYNR_SControleIndelingPL_BB1_25ef9d23_16c2641c":{"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16c2641c","IsMultiDynamicRange":false,"MultiDynamicRangeID":null,"MultiDynamicCollectionID":null,"SectionName":"ControleIndelingPL","BlockName":"B1","VenaRangeType":5,"DimensionIdStr":"-1","MemberIdStr":"-1","DimensionId":-1,"MemberId":-1,"Inc":""},"_vena_DYNR_SControleIndelingPL_BB1_25ef9d23_1a73c28f":{"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1a73c28f","IsMultiDynamicRange":false,"MultiDynamicRangeID":null,"MultiDynamicCollectionID":null,"SectionName":"ControleIndelingPL","BlockName":"B1","VenaRangeType":5,"DimensionIdStr":"-1","MemberIdStr":"-1","DimensionId":-1,"MemberId":-1,"Inc":""},"_vena_DYNR_SControleIndelingPL_BB1_25ef9d23_1bf7e354":{"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1bf7e354","IsMultiDynamicRange":false,"MultiDynamicRangeID":null,"MultiDynamicCollectionID":null,"SectionName":"ControleIndelingPL","BlockName":"B1","VenaRangeType":5,"DimensionIdStr":"-1","MemberIdStr":"-1","DimensionId":-1,"MemberId":-1,"Inc":""},"_vena_DYNR_SControleIndelingPL_BB1_25ef9d23_22a0fa71":{"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22a0fa71","IsMultiDynamicRange":false,"MultiDynamicRangeID":null,"MultiDynamicCollectionID":null,"SectionName":"ControleIndelingPL","BlockName":"B1","VenaRangeType":5,"DimensionIdStr":"-1","MemberIdStr":"-1","DimensionId":-1,"MemberId":-1,"Inc":""},"_vena_DYNR_SControleIndelingPL_BB1_25ef9d23_2494de37":{"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2494de37","IsMultiDynamicRange":false,"MultiDynamicRangeID":null,"MultiDynamicCollectionID":null,"SectionName":"ControleIndelingPL","BlockName":"B1","VenaRangeType":5,"DimensionIdStr":"-1","MemberIdStr":"-1","DimensionId":-1,"MemberId":-1,"Inc":""},"_vena_DYNR_SControleIndelingPL_BB1_25ef9d23_29ec28ec":{"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29ec28ec","IsMultiDynamicRange":false,"MultiDynamicRangeID":null,"MultiDynamicCollectionID":null,"SectionName":"ControleIndelingPL","BlockName":"B1","VenaRangeType":5,"DimensionIdStr":"-1","MemberIdStr":"-1","DimensionId":-1,"MemberId":-1,"Inc":""},"_vena_DYNR_SControleIndelingPL_BB1_25ef9d23_2b55fe24":{"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2b55fe24","IsMultiDynamicRange":false,"MultiDynamicRangeID":null,"MultiDynamicCollectionID":null,"SectionName":"ControleIndelingPL","BlockName":"B1","VenaRangeType":5,"DimensionIdStr":"-1","MemberIdStr":"-1","DimensionId":-1,"MemberId":-1,"Inc":""},"_vena_DYNR_SControleIndelingPL_BB1_25ef9d23_315bdfcc":{"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315bdfcc","IsMultiDynamicRange":false,"MultiDynamicRangeID":null,"MultiDynamicCollectionID":null,"SectionName":"ControleIndelingPL","BlockName":"B1","VenaRangeType":5,"DimensionIdStr":"-1","MemberIdStr":"-1","DimensionId":-1,"MemberId":-1,"Inc":""},"_vena_DYNR_SControleIndelingPL_BB1_25ef9d23_33884434":{"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33884434","IsMultiDynamicRange":false,"MultiDynamicRangeID":null,"MultiDynamicCollectionID":null,"SectionName":"ControleIndelingPL","BlockName":"B1","VenaRangeType":5,"DimensionIdStr":"-1","MemberIdStr":"-1","DimensionId":-1,"MemberId":-1,"Inc":""},"_vena_DYNR_SControleIndelingPL_BB1_25ef9d23_3898d1ea":{"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3898d1ea","IsMultiDynamicRange":false,"MultiDynamicRangeID":null,"MultiDynamicCollectionID":null,"SectionName":"ControleIndelingPL","BlockName":"B1","VenaRangeType":5,"DimensionIdStr":"-1","MemberIdStr":"-1","DimensionId":-1,"MemberId":-1,"Inc":""},"_vena_DYNR_SControleIndelingPL_BB1_25ef9d23_3fe6cd14":{"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3fe6cd14","IsMultiDynamicRange":false,"MultiDynamicRangeID":null,"MultiDynamicCollectionID":null,"SectionName":"ControleIndelingPL","BlockName":"B1","VenaRangeType":5,"DimensionIdStr":"-1","MemberIdStr":"-1","DimensionId":-1,"MemberId":-1,"Inc":""},"_vena_DYNR_SControleIndelingPL_BB1_25ef9d23_4198d886":{"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4198d886","IsMultiDynamicRange":false,"MultiDynamicRangeID":null,"MultiDynamicCollectionID":null,"SectionName":"ControleIndelingPL","BlockName":"B1","VenaRangeType":5,"DimensionIdStr":"-1","MemberIdStr":"-1","DimensionId":-1,"MemberId":-1,"Inc":""},"_vena_DYNR_SControleIndelingPL_BB1_25ef9d23_4d945f43":{"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4d945f43","IsMultiDynamicRange":false,"MultiDynamicRangeID":null,"MultiDynamicCollectionID":null,"SectionName":"ControleIndelingPL","BlockName":"B1","VenaRangeType":5,"DimensionIdStr":"-1","MemberIdStr":"-1","DimensionId":-1,"MemberId":-1,"Inc":""},"_vena_DYNR_SControleIndelingPL_BB1_25ef9d23_5df0cfc2":{"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5df0cfc2","IsMultiDynamicRange":false,"MultiDynamicRangeID":null,"MultiDynamicCollectionID":null,"SectionName":"ControleIndelingPL","BlockName":"B1","VenaRangeType":5,"DimensionIdStr":"-1","MemberIdStr":"-1","DimensionId":-1,"MemberId":-1,"Inc":""},"_vena_DYNR_SControleIndelingPL_BB1_25ef9d23_612a1304":{"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612a1304","IsMultiDynamicRange":false,"MultiDynamicRangeID":null,"MultiDynamicCollectionID":null,"SectionName":"ControleIndelingPL","BlockName":"B1","VenaRangeType":5,"DimensionIdStr":"-1","MemberIdStr":"-1","DimensionId":-1,"MemberId":-1,"Inc":""},"_vena_DYNR_SControleIndelingPL_BB1_25ef9d23_6633963f":{"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6633963f","IsMultiDynamicRange":false,"MultiDynamicRangeID":null,"MultiDynamicCollectionID":null,"SectionName":"ControleIndelingPL","BlockName":"B1","VenaRangeType":5,"DimensionIdStr":"-1","MemberIdStr":"-1","DimensionId":-1,"MemberId":-1,"Inc":""},"_vena_DYNR_SControleIndelingPL_BB1_25ef9d23_6a5d6877":{"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6a5d6877","IsMultiDynamicRange":false,"MultiDynamicRangeID":null,"MultiDynamicCollectionID":null,"SectionName":"ControleIndelingPL","BlockName":"B1","VenaRangeType":5,"DimensionIdStr":"-1","MemberIdStr":"-1","DimensionId":-1,"MemberId":-1,"Inc":""},"_vena_DYNR_SControleIndelingPL_BB1_25ef9d23_8332e5e4":{"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8332e5e4","IsMultiDynamicRange":false,"MultiDynamicRangeID":null,"MultiDynamicCollectionID":null,"SectionName":"ControleIndelingPL","BlockName":"B1","VenaRangeType":5,"DimensionIdStr":"-1","MemberIdStr":"-1","DimensionId":-1,"MemberId":-1,"Inc":""},"_vena_DYNR_SControleIndelingPL_BB1_25ef9d23_835c2d7a":{"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835c2d7a","IsMultiDynamicRange":false,"MultiDynamicRangeID":null,"MultiDynamicCollectionID":null,"SectionName":"ControleIndelingPL","BlockName":"B1","VenaRangeType":5,"DimensionIdStr":"-1","MemberIdStr":"-1","DimensionId":-1,"MemberId":-1,"Inc":""},"_vena_DYNR_SControleIndelingPL_BB1_25ef9d23_924b18ee":{"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924b18ee","IsMultiDynamicRange":false,"MultiDynamicRangeID":null,"MultiDynamicCollectionID":null,"SectionName":"ControleIndelingPL","BlockName":"B1","VenaRangeType":5,"DimensionIdStr":"-1","MemberIdStr":"-1","DimensionId":-1,"MemberId":-1,"Inc":""},"_vena_DYNR_SControleIndelingPL_BB1_25ef9d23_973accf2":{"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973accf2","IsMultiDynamicRange":false,"MultiDynamicRangeID":null,"MultiDynamicCollectionID":null,"SectionName":"ControleIndelingPL","BlockName":"B1","VenaRangeType":5,"DimensionIdStr":"-1","MemberIdStr":"-1","DimensionId":-1,"MemberId":-1,"Inc":""},"_vena_DYNR_SControleIndelingPL_BB1_25ef9d23_9825190e":{"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9825190e","IsMultiDynamicRange":false,"MultiDynamicRangeID":null,"MultiDynamicCollectionID":null,"SectionName":"ControleIndelingPL","BlockName":"B1","VenaRangeType":5,"DimensionIdStr":"-1","MemberIdStr":"-1","DimensionId":-1,"MemberId":-1,"Inc":""},"_vena_DYNR_SControleIndelingPL_BB1_25ef9d23_ab4ee611":{"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ab4ee611","IsMultiDynamicRange":false,"MultiDynamicRangeID":null,"MultiDynamicCollectionID":null,"SectionName":"ControleIndelingPL","BlockName":"B1","VenaRangeType":5,"DimensionIdStr":"-1","MemberIdStr":"-1","DimensionId":-1,"MemberId":-1,"Inc":""},"_vena_DYNR_SControleIndelingPL_BB1_25ef9d23_af7c68d2":{"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af7c68d2","IsMultiDynamicRange":false,"MultiDynamicRangeID":null,"MultiDynamicCollectionID":null,"SectionName":"ControleIndelingPL","BlockName":"B1","VenaRangeType":5,"DimensionIdStr":"-1","MemberIdStr":"-1","DimensionId":-1,"MemberId":-1,"Inc":""},"_vena_DYNR_SControleIndelingPL_BB1_25ef9d23_b1224e1b":{"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b1224e1b","IsMultiDynamicRange":false,"MultiDynamicRangeID":null,"MultiDynamicCollectionID":null,"SectionName":"ControleIndelingPL","BlockName":"B1","VenaRangeType":5,"DimensionIdStr":"-1","MemberIdStr":"-1","DimensionId":-1,"MemberId":-1,"Inc":""},"_vena_DYNR_SControleIndelingPL_BB1_25ef9d23_b1f72483":{"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b1f72483","IsMultiDynamicRange":false,"MultiDynamicRangeID":null,"MultiDynamicCollectionID":null,"SectionName":"ControleIndelingPL","BlockName":"B1","VenaRangeType":5,"DimensionIdStr":"-1","MemberIdStr":"-1","DimensionId":-1,"MemberId":-1,"Inc":""},"_vena_DYNR_SControleIndelingPL_BB1_25ef9d23_b3936cc5":{"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b3936cc5","IsMultiDynamicRange":false,"MultiDynamicRangeID":null,"MultiDynamicCollectionID":null,"SectionName":"ControleIndelingPL","BlockName":"B1","VenaRangeType":5,"DimensionIdStr":"-1","MemberIdStr":"-1","DimensionId":-1,"MemberId":-1,"Inc":""},"_vena_DYNR_SControleIndelingPL_BB1_25ef9d23_b6050730":{"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b6050730","IsMultiDynamicRange":false,"MultiDynamicRangeID":null,"MultiDynamicCollectionID":null,"SectionName":"ControleIndelingPL","BlockName":"B1","VenaRangeType":5,"DimensionIdStr":"-1","MemberIdStr":"-1","DimensionId":-1,"MemberId":-1,"Inc":""},"_vena_DYNR_SControleIndelingPL_BB1_25ef9d23_c15371fc":{"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c15371fc","IsMultiDynamicRange":false,"MultiDynamicRangeID":null,"MultiDynamicCollectionID":null,"SectionName":"ControleIndelingPL","BlockName":"B1","VenaRangeType":5,"DimensionIdStr":"-1","MemberIdStr":"-1","DimensionId":-1,"MemberId":-1,"Inc":""},"_vena_DYNR_SControleIndelingPL_BB1_25ef9d23_c912e02e":{"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c912e02e","IsMultiDynamicRange":false,"MultiDynamicRangeID":null,"MultiDynamicCollectionID":null,"SectionName":"ControleIndelingPL","BlockName":"B1","VenaRangeType":5,"DimensionIdStr":"-1","MemberIdStr":"-1","DimensionId":-1,"MemberId":-1,"Inc":""},"_vena_DYNR_SControleIndelingPL_BB1_25ef9d23_cfa0054a":{"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cfa0054a","IsMultiDynamicRange":false,"MultiDynamicRangeID":null,"MultiDynamicCollectionID":null,"SectionName":"ControleIndelingPL","BlockName":"B1","VenaRangeType":5,"DimensionIdStr":"-1","MemberIdStr":"-1","DimensionId":-1,"MemberId":-1,"Inc":""},"_vena_DYNR_SControleIndelingPL_BB1_25ef9d23_d41a636b":{"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d41a636b","IsMultiDynamicRange":false,"MultiDynamicRangeID":null,"MultiDynamicCollectionID":null,"SectionName":"ControleIndelingPL","BlockName":"B1","VenaRangeType":5,"DimensionIdStr":"-1","MemberIdStr":"-1","DimensionId":-1,"MemberId":-1,"Inc":""},"_vena_DYNR_SControleIndelingPL_BB1_25ef9d23_d5f668d6":{"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d5f668d6","IsMultiDynamicRange":false,"MultiDynamicRangeID":null,"MultiDynamicCollectionID":null,"SectionName":"ControleIndelingPL","BlockName":"B1","VenaRangeType":5,"DimensionIdStr":"-1","MemberIdStr":"-1","DimensionId":-1,"MemberId":-1,"Inc":""},"_vena_DYNR_SControleIndelingPL_BB1_25ef9d23_d6979ac1":{"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d6979ac1","IsMultiDynamicRange":false,"MultiDynamicRangeID":null,"MultiDynamicCollectionID":null,"SectionName":"ControleIndelingPL","BlockName":"B1","VenaRangeType":5,"DimensionIdStr":"-1","MemberIdStr":"-1","DimensionId":-1,"MemberId":-1,"Inc":""},"_vena_DYNR_SControleIndelingPL_BB1_25ef9d23_dd5e9b53":{"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dd5e9b53","IsMultiDynamicRange":false,"MultiDynamicRangeID":null,"MultiDynamicCollectionID":null,"SectionName":"ControleIndelingPL","BlockName":"B1","VenaRangeType":5,"DimensionIdStr":"-1","MemberIdStr":"-1","DimensionId":-1,"MemberId":-1,"Inc":""},"_vena_DYNR_SControleIndelingPL_BB1_25ef9d23_dfe08ab2":{"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dfe08ab2","IsMultiDynamicRange":false,"MultiDynamicRangeID":null,"MultiDynamicCollectionID":null,"SectionName":"ControleIndelingPL","BlockName":"B1","VenaRangeType":5,"DimensionIdStr":"-1","MemberIdStr":"-1","DimensionId":-1,"MemberId":-1,"Inc":""},"_vena_DYNR_SControleIndelingPL_BB1_25ef9d23_e32272b":{"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e32272b","IsMultiDynamicRange":false,"MultiDynamicRangeID":null,"MultiDynamicCollectionID":null,"SectionName":"ControleIndelingPL","BlockName":"B1","VenaRangeType":5,"DimensionIdStr":"-1","MemberIdStr":"-1","DimensionId":-1,"MemberId":-1,"Inc":""},"_vena_DYNR_SControleIndelingPL_BB1_25ef9d23_e4acacf0":{"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e4acacf0","IsMultiDynamicRange":false,"MultiDynamicRangeID":null,"MultiDynamicCollectionID":null,"SectionName":"ControleIndelingPL","BlockName":"B1","VenaRangeType":5,"DimensionIdStr":"-1","MemberIdStr":"-1","DimensionId":-1,"MemberId":-1,"Inc":""},"_vena_DYNR_SControleIndelingPL_BB1_25ef9d23_e62b23d7":{"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e62b23d7","IsMultiDynamicRange":false,"MultiDynamicRangeID":null,"MultiDynamicCollectionID":null,"SectionName":"ControleIndelingPL","BlockName":"B1","VenaRangeType":5,"DimensionIdStr":"-1","MemberIdStr":"-1","DimensionId":-1,"MemberId":-1,"Inc":""},"_vena_DYNR_SControleIndelingPL_BB1_25ef9d23_e9a8b690":{"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e9a8b690","IsMultiDynamicRange":false,"MultiDynamicRangeID":null,"MultiDynamicCollectionID":null,"SectionName":"ControleIndelingPL","BlockName":"B1","VenaRangeType":5,"DimensionIdStr":"-1","MemberIdStr":"-1","DimensionId":-1,"MemberId":-1,"Inc":""},"_vena_DYNR_SControleIndelingPL_BB1_25ef9d23_ed9852ff":{"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ed9852ff","IsMultiDynamicRange":false,"MultiDynamicRangeID":null,"MultiDynamicCollectionID":null,"SectionName":"ControleIndelingPL","BlockName":"B1","VenaRangeType":5,"DimensionIdStr":"-1","MemberIdStr":"-1","DimensionId":-1,"MemberId":-1,"Inc":""},"_vena_DYNR_SControleIndelingPL_BB1_25ef9d23_ee7c3a77":{"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ee7c3a77","IsMultiDynamicRange":false,"MultiDynamicRangeID":null,"MultiDynamicCollectionID":null,"SectionName":"ControleIndelingPL","BlockName":"B1","VenaRangeType":5,"DimensionIdStr":"-1","MemberIdStr":"-1","DimensionId":-1,"MemberId":-1,"Inc":""},"_vena_DYNR_SControleIndelingPL_BB1_25ef9d23_f25e7842":{"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f25e7842","IsMultiDynamicRange":false,"MultiDynamicRangeID":null,"MultiDynamicCollectionID":null,"SectionName":"ControleIndelingPL","BlockName":"B1","VenaRangeType":5,"DimensionIdStr":"-1","MemberIdStr":"-1","DimensionId":-1,"MemberId":-1,"Inc":""},"_vena_DYNR_SControleIndelingPL_BB1_25ef9d23_f463bf5f":{"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f463bf5f","IsMultiDynamicRange":false,"MultiDynamicRangeID":null,"MultiDynamicCollectionID":null,"SectionName":"ControleIndelingPL","BlockName":"B1","VenaRangeType":5,"DimensionIdStr":"-1","MemberIdStr":"-1","DimensionId":-1,"MemberId":-1,"Inc":""},"_vena_DYNR_SControleIndelingPL_BB1_25ef9d23_f53d8d3c":{"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f53d8d3c","IsMultiDynamicRange":false,"MultiDynamicRangeID":null,"MultiDynamicCollectionID":null,"SectionName":"ControleIndelingPL","BlockName":"B1","VenaRangeType":5,"DimensionIdStr":"-1","MemberIdStr":"-1","DimensionId":-1,"MemberId":-1,"Inc":""},"_vena_DYNR_SControleIndelingPL_BB1_25ef9d23_fc9f2c20":{"SourceGlobalVariableId":-1,"SourceFormVariableId":"00000000-0000-0000-0000-000000000000","IsPageVariable":false,"IsLineItemDetailEnabled":false,"LineItemDetailOrder":0,"LineItemID":null,"PageVariableSectionReference":"","PageVariableDimensionName":null,"IsDynamicRange":true,"IsDynamicRangeEntry":true,"DynamicRangeID":"25ef9d23","DynamicRangeEntryID":"fc9f2c20","IsMultiDynamicRange":false,"MultiDynamicRangeID":null,"MultiDynamicCollectionID":null,"SectionName":"ControleIndelingPL","BlockName":"B1","VenaRangeType":5,"DimensionIdStr":"-1","MemberIdStr":"-1","DimensionId":-1,"MemberId":-1,"Inc":""},"_vena_DYNR_SControleIndelingPL_BB1_47da86a8":{"SourceGlobalVariableId":-1,"SourceFormVariableId":"00000000-0000-0000-0000-000000000000","IsPageVariable":false,"IsLineItemDetailEnabled":false,"LineItemDetailOrder":0,"LineItemID":null,"PageVariableSectionReference":"","PageVariableDimensionName":null,"IsDynamicRange":true,"IsDynamicRangeEntry":false,"DynamicRangeID":"47da86a8","DynamicRangeEntryID":null,"IsMultiDynamicRange":false,"MultiDynamicRangeID":null,"MultiDynamicCollectionID":null,"SectionName":"ControleIndelingPL","BlockName":"B1","VenaRangeType":5,"DimensionIdStr":"-1","MemberIdStr":"-1","DimensionId":-1,"MemberId":-1,"Inc":""},"_vena_DYNR_SControleIndelingPL_BB1_47da86a8_1006dfa":{"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1006dfa","IsMultiDynamicRange":false,"MultiDynamicRangeID":null,"MultiDynamicCollectionID":null,"SectionName":"ControleIndelingPL","BlockName":"B1","VenaRangeType":5,"DimensionIdStr":"-1","MemberIdStr":"-1","DimensionId":-1,"MemberId":-1,"Inc":""},"_vena_DYNR_SControleIndelingPL_BB1_47da86a8_11e732a4":{"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11e732a4","IsMultiDynamicRange":false,"MultiDynamicRangeID":null,"MultiDynamicCollectionID":null,"SectionName":"ControleIndelingPL","BlockName":"B1","VenaRangeType":5,"DimensionIdStr":"-1","MemberIdStr":"-1","DimensionId":-1,"MemberId":-1,"Inc":""},"_vena_DYNR_SControleIndelingPL_BB1_47da86a8_1a5b7a2a":{"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1a5b7a2a","IsMultiDynamicRange":false,"MultiDynamicRangeID":null,"MultiDynamicCollectionID":null,"SectionName":"ControleIndelingPL","BlockName":"B1","VenaRangeType":5,"DimensionIdStr":"-1","MemberIdStr":"-1","DimensionId":-1,"MemberId":-1,"Inc":""},"_vena_DYNR_SControleIndelingPL_BB1_47da86a8_1ccc7808":{"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1ccc7808","IsMultiDynamicRange":false,"MultiDynamicRangeID":null,"MultiDynamicCollectionID":null,"SectionName":"ControleIndelingPL","BlockName":"B1","VenaRangeType":5,"DimensionIdStr":"-1","MemberIdStr":"-1","DimensionId":-1,"MemberId":-1,"Inc":""},"_vena_DYNR_SControleIndelingPL_BB1_47da86a8_1d256c16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1d256c16","IsMultiDynamicRange":false,"MultiDynamicRangeID":null,"MultiDynamicCollectionID":null,"SectionName":"ControleIndelingPL","BlockName":"B1","VenaRangeType":5,"DimensionIdStr":"-1","MemberIdStr":"-1","DimensionId":-1,"MemberId":-1,"Inc":""},"_vena_DYNR_SControleIndelingPL_BB1_47da86a8_1d3ba36b":{"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1d3ba36b","IsMultiDynamicRange":false,"MultiDynamicRangeID":null,"MultiDynamicCollectionID":null,"SectionName":"ControleIndelingPL","BlockName":"B1","VenaRangeType":5,"DimensionIdStr":"-1","MemberIdStr":"-1","DimensionId":-1,"MemberId":-1,"Inc":""},"_vena_DYNR_SControleIndelingPL_BB1_47da86a8_2475dd84":{"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2475dd84","IsMultiDynamicRange":false,"MultiDynamicRangeID":null,"MultiDynamicCollectionID":null,"SectionName":"ControleIndelingPL","BlockName":"B1","VenaRangeType":5,"DimensionIdStr":"-1","MemberIdStr":"-1","DimensionId":-1,"MemberId":-1,"Inc":""},"_vena_DYNR_SControleIndelingPL_BB1_47da86a8_25796b6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25796b6e","IsMultiDynamicRange":false,"MultiDynamicRangeID":null,"MultiDynamicCollectionID":null,"SectionName":"ControleIndelingPL","BlockName":"B1","VenaRangeType":5,"DimensionIdStr":"-1","MemberIdStr":"-1","DimensionId":-1,"MemberId":-1,"Inc":""},"_vena_DYNR_SControleIndelingPL_BB1_47da86a8_2696ced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2696ced6","IsMultiDynamicRange":false,"MultiDynamicRangeID":null,"MultiDynamicCollectionID":null,"SectionName":"ControleIndelingPL","BlockName":"B1","VenaRangeType":5,"DimensionIdStr":"-1","MemberIdStr":"-1","DimensionId":-1,"MemberId":-1,"Inc":""},"_vena_DYNR_SControleIndelingPL_BB1_47da86a8_2a9d1968":{"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2a9d1968","IsMultiDynamicRange":false,"MultiDynamicRangeID":null,"MultiDynamicCollectionID":null,"SectionName":"ControleIndelingPL","BlockName":"B1","VenaRangeType":5,"DimensionIdStr":"-1","MemberIdStr":"-1","DimensionId":-1,"MemberId":-1,"Inc":""},"_vena_DYNR_SControleIndelingPL_BB1_47da86a8_2bb2cfc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2bb2cfcf","IsMultiDynamicRange":false,"MultiDynamicRangeID":null,"MultiDynamicCollectionID":null,"SectionName":"ControleIndelingPL","BlockName":"B1","VenaRangeType":5,"DimensionIdStr":"-1","MemberIdStr":"-1","DimensionId":-1,"MemberId":-1,"Inc":""},"_vena_DYNR_SControleIndelingPL_BB1_47da86a8_2c56be10":{"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2c56be10","IsMultiDynamicRange":false,"MultiDynamicRangeID":null,"MultiDynamicCollectionID":null,"SectionName":"ControleIndelingPL","BlockName":"B1","VenaRangeType":5,"DimensionIdStr":"-1","MemberIdStr":"-1","DimensionId":-1,"MemberId":-1,"Inc":""},"_vena_DYNR_SControleIndelingPL_BB1_47da86a8_2e34881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2e34881e","IsMultiDynamicRange":false,"MultiDynamicRangeID":null,"MultiDynamicCollectionID":null,"SectionName":"ControleIndelingPL","BlockName":"B1","VenaRangeType":5,"DimensionIdStr":"-1","MemberIdStr":"-1","DimensionId":-1,"MemberId":-1,"Inc":""},"_vena_DYNR_SControleIndelingPL_BB1_47da86a8_2e935d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2e935df","IsMultiDynamicRange":false,"MultiDynamicRangeID":null,"MultiDynamicCollectionID":null,"SectionName":"ControleIndelingPL","BlockName":"B1","VenaRangeType":5,"DimensionIdStr":"-1","MemberIdStr":"-1","DimensionId":-1,"MemberId":-1,"Inc":""},"_vena_DYNR_SControleIndelingPL_BB1_47da86a8_2f83a5e3":{"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2f83a5e3","IsMultiDynamicRange":false,"MultiDynamicRangeID":null,"MultiDynamicCollectionID":null,"SectionName":"ControleIndelingPL","BlockName":"B1","VenaRangeType":5,"DimensionIdStr":"-1","MemberIdStr":"-1","DimensionId":-1,"MemberId":-1,"Inc":""},"_vena_DYNR_SControleIndelingPL_BB1_47da86a8_330eeaa7":{"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330eeaa7","IsMultiDynamicRange":false,"MultiDynamicRangeID":null,"MultiDynamicCollectionID":null,"SectionName":"ControleIndelingPL","BlockName":"B1","VenaRangeType":5,"DimensionIdStr":"-1","MemberIdStr":"-1","DimensionId":-1,"MemberId":-1,"Inc":""},"_vena_DYNR_SControleIndelingPL_BB1_47da86a8_33b153d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33b153d1","IsMultiDynamicRange":false,"MultiDynamicRangeID":null,"MultiDynamicCollectionID":null,"SectionName":"ControleIndelingPL","BlockName":"B1","VenaRangeType":5,"DimensionIdStr":"-1","MemberIdStr":"-1","DimensionId":-1,"MemberId":-1,"Inc":""},"_vena_DYNR_SControleIndelingPL_BB1_47da86a8_3412d7b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3412d7bf","IsMultiDynamicRange":false,"MultiDynamicRangeID":null,"MultiDynamicCollectionID":null,"SectionName":"ControleIndelingPL","BlockName":"B1","VenaRangeType":5,"DimensionIdStr":"-1","MemberIdStr":"-1","DimensionId":-1,"MemberId":-1,"Inc":""},"_vena_DYNR_SControleIndelingPL_BB1_47da86a8_398ef041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398ef041","IsMultiDynamicRange":false,"MultiDynamicRangeID":null,"MultiDynamicCollectionID":null,"SectionName":"ControleIndelingPL","BlockName":"B1","VenaRangeType":5,"DimensionIdStr":"-1","MemberIdStr":"-1","DimensionId":-1,"MemberId":-1,"Inc":""},"_vena_DYNR_SControleIndelingPL_BB1_47da86a8_3ce539b":{"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3ce539b","IsMultiDynamicRange":false,"MultiDynamicRangeID":null,"MultiDynamicCollectionID":null,"SectionName":"ControleIndelingPL","BlockName":"B1","VenaRangeType":5,"DimensionIdStr":"-1","MemberIdStr":"-1","DimensionId":-1,"MemberId":-1,"Inc":""},"_vena_DYNR_SControleIndelingPL_BB1_47da86a8_40ce708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40ce708e","IsMultiDynamicRange":false,"MultiDynamicRangeID":null,"MultiDynamicCollectionID":null,"SectionName":"ControleIndelingPL","BlockName":"B1","VenaRangeType":5,"DimensionIdStr":"-1","MemberIdStr":"-1","DimensionId":-1,"MemberId":-1,"Inc":""},"_vena_DYNR_SControleIndelingPL_BB1_47da86a8_40db675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40db675e","IsMultiDynamicRange":false,"MultiDynamicRangeID":null,"MultiDynamicCollectionID":null,"SectionName":"ControleIndelingPL","BlockName":"B1","VenaRangeType":5,"DimensionIdStr":"-1","MemberIdStr":"-1","DimensionId":-1,"MemberId":-1,"Inc":""},"_vena_DYNR_SControleIndelingPL_BB1_47da86a8_42cf77e3":{"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42cf77e3","IsMultiDynamicRange":false,"MultiDynamicRangeID":null,"MultiDynamicCollectionID":null,"SectionName":"ControleIndelingPL","BlockName":"B1","VenaRangeType":5,"DimensionIdStr":"-1","MemberIdStr":"-1","DimensionId":-1,"MemberId":-1,"Inc":""},"_vena_DYNR_SControleIndelingPL_BB1_47da86a8_4744ad67":{"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4744ad67","IsMultiDynamicRange":false,"MultiDynamicRangeID":null,"MultiDynamicCollectionID":null,"SectionName":"ControleIndelingPL","BlockName":"B1","VenaRangeType":5,"DimensionIdStr":"-1","MemberIdStr":"-1","DimensionId":-1,"MemberId":-1,"Inc":""},"_vena_DYNR_SControleIndelingPL_BB1_47da86a8_48deabd0":{"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48deabd0","IsMultiDynamicRange":false,"MultiDynamicRangeID":null,"MultiDynamicCollectionID":null,"SectionName":"ControleIndelingPL","BlockName":"B1","VenaRangeType":5,"DimensionIdStr":"-1","MemberIdStr":"-1","DimensionId":-1,"MemberId":-1,"Inc":""},"_vena_DYNR_SControleIndelingPL_BB1_47da86a8_4a43ff99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4a43ff99","IsMultiDynamicRange":false,"MultiDynamicRangeID":null,"MultiDynamicCollectionID":null,"SectionName":"ControleIndelingPL","BlockName":"B1","VenaRangeType":5,"DimensionIdStr":"-1","MemberIdStr":"-1","DimensionId":-1,"MemberId":-1,"Inc":""},"_vena_DYNR_SControleIndelingPL_BB1_47da86a8_4be1322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4be1322c","IsMultiDynamicRange":false,"MultiDynamicRangeID":null,"MultiDynamicCollectionID":null,"SectionName":"ControleIndelingPL","BlockName":"B1","VenaRangeType":5,"DimensionIdStr":"-1","MemberIdStr":"-1","DimensionId":-1,"MemberId":-1,"Inc":""},"_vena_DYNR_SControleIndelingPL_BB1_47da86a8_4c6016b4":{"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4c6016b4","IsMultiDynamicRange":false,"MultiDynamicRangeID":null,"MultiDynamicCollectionID":null,"SectionName":"ControleIndelingPL","BlockName":"B1","VenaRangeType":5,"DimensionIdStr":"-1","MemberIdStr":"-1","DimensionId":-1,"MemberId":-1,"Inc":""},"_vena_DYNR_SControleIndelingPL_BB1_47da86a8_4dfa05":{"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4dfa05","IsMultiDynamicRange":false,"MultiDynamicRangeID":null,"MultiDynamicCollectionID":null,"SectionName":"ControleIndelingPL","BlockName":"B1","VenaRangeType":5,"DimensionIdStr":"-1","MemberIdStr":"-1","DimensionId":-1,"MemberId":-1,"Inc":""},"_vena_DYNR_SControleIndelingPL_BB1_47da86a8_5064624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5064624e","IsMultiDynamicRange":false,"MultiDynamicRangeID":null,"MultiDynamicCollectionID":null,"SectionName":"ControleIndelingPL","BlockName":"B1","VenaRangeType":5,"DimensionIdStr":"-1","MemberIdStr":"-1","DimensionId":-1,"MemberId":-1,"Inc":""},"_vena_DYNR_SControleIndelingPL_BB1_47da86a8_52d73eca":{"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52d73eca","IsMultiDynamicRange":false,"MultiDynamicRangeID":null,"MultiDynamicCollectionID":null,"SectionName":"ControleIndelingPL","BlockName":"B1","VenaRangeType":5,"DimensionIdStr":"-1","MemberIdStr":"-1","DimensionId":-1,"MemberId":-1,"Inc":""},"_vena_DYNR_SControleIndelingPL_BB1_47da86a8_5420e647":{"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5420e647","IsMultiDynamicRange":false,"MultiDynamicRangeID":null,"MultiDynamicCollectionID":null,"SectionName":"ControleIndelingPL","BlockName":"B1","VenaRangeType":5,"DimensionIdStr":"-1","MemberIdStr":"-1","DimensionId":-1,"MemberId":-1,"Inc":""},"_vena_DYNR_SControleIndelingPL_BB1_47da86a8_5505eded":{"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5505eded","IsMultiDynamicRange":false,"MultiDynamicRangeID":null,"MultiDynamicCollectionID":null,"SectionName":"ControleIndelingPL","BlockName":"B1","VenaRangeType":5,"DimensionIdStr":"-1","MemberIdStr":"-1","DimensionId":-1,"MemberId":-1,"Inc":""},"_vena_DYNR_SControleIndelingPL_BB1_47da86a8_5644f8a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5644f8ac","IsMultiDynamicRange":false,"MultiDynamicRangeID":null,"MultiDynamicCollectionID":null,"SectionName":"ControleIndelingPL","BlockName":"B1","VenaRangeType":5,"DimensionIdStr":"-1","MemberIdStr":"-1","DimensionId":-1,"MemberId":-1,"Inc":""},"_vena_DYNR_SControleIndelingPL_BB1_47da86a8_56798669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56798669","IsMultiDynamicRange":false,"MultiDynamicRangeID":null,"MultiDynamicCollectionID":null,"SectionName":"ControleIndelingPL","BlockName":"B1","VenaRangeType":5,"DimensionIdStr":"-1","MemberIdStr":"-1","DimensionId":-1,"MemberId":-1,"Inc":""},"_vena_DYNR_SControleIndelingPL_BB1_47da86a8_597405e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597405e9","IsMultiDynamicRange":false,"MultiDynamicRangeID":null,"MultiDynamicCollectionID":null,"SectionName":"ControleIndelingPL","BlockName":"B1","VenaRangeType":5,"DimensionIdStr":"-1","MemberIdStr":"-1","DimensionId":-1,"MemberId":-1,"Inc":""},"_vena_DYNR_SControleIndelingPL_BB1_47da86a8_5c382235":{"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c382235","IsMultiDynamicRange":false,"MultiDynamicRangeID":null,"MultiDynamicCollectionID":null,"SectionName":"ControleIndelingPL","BlockName":"B1","VenaRangeType":5,"DimensionIdStr":"-1","MemberIdStr":"-1","DimensionId":-1,"MemberId":-1,"Inc":""},"_vena_DYNR_SControleIndelingPL_BB1_47da86a8_5d110b4d":{"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d110b4d","IsMultiDynamicRange":false,"MultiDynamicRangeID":null,"MultiDynamicCollectionID":null,"SectionName":"ControleIndelingPL","BlockName":"B1","VenaRangeType":5,"DimensionIdStr":"-1","MemberIdStr":"-1","DimensionId":-1,"MemberId":-1,"Inc":""},"_vena_DYNR_SControleIndelingPL_BB1_47da86a8_5dba251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dba251c","IsMultiDynamicRange":false,"MultiDynamicRangeID":null,"MultiDynamicCollectionID":null,"SectionName":"ControleIndelingPL","BlockName":"B1","VenaRangeType":5,"DimensionIdStr":"-1","MemberIdStr":"-1","DimensionId":-1,"MemberId":-1,"Inc":""},"_vena_DYNR_SControleIndelingPL_BB1_47da86a8_5dd05f7":{"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dd05f7","IsMultiDynamicRange":false,"MultiDynamicRangeID":null,"MultiDynamicCollectionID":null,"SectionName":"ControleIndelingPL","BlockName":"B1","VenaRangeType":5,"DimensionIdStr":"-1","MemberIdStr":"-1","DimensionId":-1,"MemberId":-1,"Inc":""},"_vena_DYNR_SControleIndelingPL_BB1_47da86a8_5e5eca61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e5eca61","IsMultiDynamicRange":false,"MultiDynamicRangeID":null,"MultiDynamicCollectionID":null,"SectionName":"ControleIndelingPL","BlockName":"B1","VenaRangeType":5,"DimensionIdStr":"-1","MemberIdStr":"-1","DimensionId":-1,"MemberId":-1,"Inc":""},"_vena_DYNR_SControleIndelingPL_BB1_47da86a8_5e8f96ed":{"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5e8f96ed","IsMultiDynamicRange":false,"MultiDynamicRangeID":null,"MultiDynamicCollectionID":null,"SectionName":"ControleIndelingPL","BlockName":"B1","VenaRangeType":5,"DimensionIdStr":"-1","MemberIdStr":"-1","DimensionId":-1,"MemberId":-1,"Inc":""},"_vena_DYNR_SControleIndelingPL_BB1_47da86a8_6073b3e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6073b3ee","IsMultiDynamicRange":false,"MultiDynamicRangeID":null,"MultiDynamicCollectionID":null,"SectionName":"ControleIndelingPL","BlockName":"B1","VenaRangeType":5,"DimensionIdStr":"-1","MemberIdStr":"-1","DimensionId":-1,"MemberId":-1,"Inc":""},"_vena_DYNR_SControleIndelingPL_BB1_47da86a8_6235adf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6235adf1","IsMultiDynamicRange":false,"MultiDynamicRangeID":null,"MultiDynamicCollectionID":null,"SectionName":"ControleIndelingPL","BlockName":"B1","VenaRangeType":5,"DimensionIdStr":"-1","MemberIdStr":"-1","DimensionId":-1,"MemberId":-1,"Inc":""},"_vena_DYNR_SControleIndelingPL_BB1_47da86a8_62979007":{"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62979007","IsMultiDynamicRange":false,"MultiDynamicRangeID":null,"MultiDynamicCollectionID":null,"SectionName":"ControleIndelingPL","BlockName":"B1","VenaRangeType":5,"DimensionIdStr":"-1","MemberIdStr":"-1","DimensionId":-1,"MemberId":-1,"Inc":""},"_vena_DYNR_SControleIndelingPL_BB1_47da86a8_62af1a71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62af1a71","IsMultiDynamicRange":false,"MultiDynamicRangeID":null,"MultiDynamicCollectionID":null,"SectionName":"ControleIndelingPL","BlockName":"B1","VenaRangeType":5,"DimensionIdStr":"-1","MemberIdStr":"-1","DimensionId":-1,"MemberId":-1,"Inc":""},"_vena_DYNR_SControleIndelingPL_BB1_47da86a8_62d04369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62d04369","IsMultiDynamicRange":false,"MultiDynamicRangeID":null,"MultiDynamicCollectionID":null,"SectionName":"ControleIndelingPL","BlockName":"B1","VenaRangeType":5,"DimensionIdStr":"-1","MemberIdStr":"-1","DimensionId":-1,"MemberId":-1,"Inc":""},"_vena_DYNR_SControleIndelingPL_BB1_47da86a8_635a11bd":{"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635a11bd","IsMultiDynamicRange":false,"MultiDynamicRangeID":null,"MultiDynamicCollectionID":null,"SectionName":"ControleIndelingPL","BlockName":"B1","VenaRangeType":5,"DimensionIdStr":"-1","MemberIdStr":"-1","DimensionId":-1,"MemberId":-1,"Inc":""},"_vena_DYNR_SControleIndelingPL_BB1_47da86a8_650c3b10":{"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650c3b10","IsMultiDynamicRange":false,"MultiDynamicRangeID":null,"MultiDynamicCollectionID":null,"SectionName":"ControleIndelingPL","BlockName":"B1","VenaRangeType":5,"DimensionIdStr":"-1","MemberIdStr":"-1","DimensionId":-1,"MemberId":-1,"Inc":""},"_vena_DYNR_SControleIndelingPL_BB1_47da86a8_67b47601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67b47601","IsMultiDynamicRange":false,"MultiDynamicRangeID":null,"MultiDynamicCollectionID":null,"SectionName":"ControleIndelingPL","BlockName":"B1","VenaRangeType":5,"DimensionIdStr":"-1","MemberIdStr":"-1","DimensionId":-1,"MemberId":-1,"Inc":""},"_vena_DYNR_SControleIndelingPL_BB1_47da86a8_6921d689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6921d689","IsMultiDynamicRange":false,"MultiDynamicRangeID":null,"MultiDynamicCollectionID":null,"SectionName":"ControleIndelingPL","BlockName":"B1","VenaRangeType":5,"DimensionIdStr":"-1","MemberIdStr":"-1","DimensionId":-1,"MemberId":-1,"Inc":""},"_vena_DYNR_SControleIndelingPL_BB1_47da86a8_6a847cd5":{"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a847cd5","IsMultiDynamicRange":false,"MultiDynamicRangeID":null,"MultiDynamicCollectionID":null,"SectionName":"ControleIndelingPL","BlockName":"B1","VenaRangeType":5,"DimensionIdStr":"-1","MemberIdStr":"-1","DimensionId":-1,"MemberId":-1,"Inc":""},"_vena_DYNR_SControleIndelingPL_BB1_47da86a8_6aff37f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aff37f9","IsMultiDynamicRange":false,"MultiDynamicRangeID":null,"MultiDynamicCollectionID":null,"SectionName":"ControleIndelingPL","BlockName":"B1","VenaRangeType":5,"DimensionIdStr":"-1","MemberIdStr":"-1","DimensionId":-1,"MemberId":-1,"Inc":""},"_vena_DYNR_SControleIndelingPL_BB1_47da86a8_6cecb4d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6cecb4df","IsMultiDynamicRange":false,"MultiDynamicRangeID":null,"MultiDynamicCollectionID":null,"SectionName":"ControleIndelingPL","BlockName":"B1","VenaRangeType":5,"DimensionIdStr":"-1","MemberIdStr":"-1","DimensionId":-1,"MemberId":-1,"Inc":""},"_vena_DYNR_SControleIndelingPL_BB1_47da86a8_702ba94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702ba94f","IsMultiDynamicRange":false,"MultiDynamicRangeID":null,"MultiDynamicCollectionID":null,"SectionName":"ControleIndelingPL","BlockName":"B1","VenaRangeType":5,"DimensionIdStr":"-1","MemberIdStr":"-1","DimensionId":-1,"MemberId":-1,"Inc":""},"_vena_DYNR_SControleIndelingPL_BB1_47da86a8_70b62142":{"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70b62142","IsMultiDynamicRange":false,"MultiDynamicRangeID":null,"MultiDynamicCollectionID":null,"SectionName":"ControleIndelingPL","BlockName":"B1","VenaRangeType":5,"DimensionIdStr":"-1","MemberIdStr":"-1","DimensionId":-1,"MemberId":-1,"Inc":""},"_vena_DYNR_SControleIndelingPL_BB1_47da86a8_7124ffa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7124ffa6","IsMultiDynamicRange":false,"MultiDynamicRangeID":null,"MultiDynamicCollectionID":null,"SectionName":"ControleIndelingPL","BlockName":"B1","VenaRangeType":5,"DimensionIdStr":"-1","MemberIdStr":"-1","DimensionId":-1,"MemberId":-1,"Inc":""},"_vena_DYNR_SControleIndelingPL_BB1_47da86a8_77af7fd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77af7fdc","IsMultiDynamicRange":false,"MultiDynamicRangeID":null,"MultiDynamicCollectionID":null,"SectionName":"ControleIndelingPL","BlockName":"B1","VenaRangeType":5,"DimensionIdStr":"-1","MemberIdStr":"-1","DimensionId":-1,"MemberId":-1,"Inc":""},"_vena_DYNR_SControleIndelingPL_BB1_47da86a8_77f086f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77f086fc","IsMultiDynamicRange":false,"MultiDynamicRangeID":null,"MultiDynamicCollectionID":null,"SectionName":"ControleIndelingPL","BlockName":"B1","VenaRangeType":5,"DimensionIdStr":"-1","MemberIdStr":"-1","DimensionId":-1,"MemberId":-1,"Inc":""},"_vena_DYNR_SControleIndelingPL_BB1_47da86a8_7928650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7928650c","IsMultiDynamicRange":false,"MultiDynamicRangeID":null,"MultiDynamicCollectionID":null,"SectionName":"ControleIndelingPL","BlockName":"B1","VenaRangeType":5,"DimensionIdStr":"-1","MemberIdStr":"-1","DimensionId":-1,"MemberId":-1,"Inc":""},"_vena_DYNR_SControleIndelingPL_BB1_47da86a8_7c4b6aa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c4b6aac","IsMultiDynamicRange":false,"MultiDynamicRangeID":null,"MultiDynamicCollectionID":null,"SectionName":"ControleIndelingPL","BlockName":"B1","VenaRangeType":5,"DimensionIdStr":"-1","MemberIdStr":"-1","DimensionId":-1,"MemberId":-1,"Inc":""},"_vena_DYNR_SControleIndelingPL_BB1_47da86a8_7ce06103":{"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ce06103","IsMultiDynamicRange":false,"MultiDynamicRangeID":null,"MultiDynamicCollectionID":null,"SectionName":"ControleIndelingPL","BlockName":"B1","VenaRangeType":5,"DimensionIdStr":"-1","MemberIdStr":"-1","DimensionId":-1,"MemberId":-1,"Inc":""},"_vena_DYNR_SControleIndelingPL_BB1_47da86a8_7cfbf0a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cfbf0ac","IsMultiDynamicRange":false,"MultiDynamicRangeID":null,"MultiDynamicCollectionID":null,"SectionName":"ControleIndelingPL","BlockName":"B1","VenaRangeType":5,"DimensionIdStr":"-1","MemberIdStr":"-1","DimensionId":-1,"MemberId":-1,"Inc":""},"_vena_DYNR_SControleIndelingPL_BB1_47da86a8_7d60de0a":{"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d60de0a","IsMultiDynamicRange":false,"MultiDynamicRangeID":null,"MultiDynamicCollectionID":null,"SectionName":"ControleIndelingPL","BlockName":"B1","VenaRangeType":5,"DimensionIdStr":"-1","MemberIdStr":"-1","DimensionId":-1,"MemberId":-1,"Inc":""},"_vena_DYNR_SControleIndelingPL_BB1_47da86a8_7ebeac45":{"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ebeac45","IsMultiDynamicRange":false,"MultiDynamicRangeID":null,"MultiDynamicCollectionID":null,"SectionName":"ControleIndelingPL","BlockName":"B1","VenaRangeType":5,"DimensionIdStr":"-1","MemberIdStr":"-1","DimensionId":-1,"MemberId":-1,"Inc":""},"_vena_DYNR_SControleIndelingPL_BB1_47da86a8_7ed22f28":{"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7ed22f28","IsMultiDynamicRange":false,"MultiDynamicRangeID":null,"MultiDynamicCollectionID":null,"SectionName":"ControleIndelingPL","BlockName":"B1","VenaRangeType":5,"DimensionIdStr":"-1","MemberIdStr":"-1","DimensionId":-1,"MemberId":-1,"Inc":""},"_vena_DYNR_SControleIndelingPL_BB1_47da86a8_828f6f83":{"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828f6f83","IsMultiDynamicRange":false,"MultiDynamicRangeID":null,"MultiDynamicCollectionID":null,"SectionName":"ControleIndelingPL","BlockName":"B1","VenaRangeType":5,"DimensionIdStr":"-1","MemberIdStr":"-1","DimensionId":-1,"MemberId":-1,"Inc":""},"_vena_DYNR_SControleIndelingPL_BB1_47da86a8_8398b280":{"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8398b280","IsMultiDynamicRange":false,"MultiDynamicRangeID":null,"MultiDynamicCollectionID":null,"SectionName":"ControleIndelingPL","BlockName":"B1","VenaRangeType":5,"DimensionIdStr":"-1","MemberIdStr":"-1","DimensionId":-1,"MemberId":-1,"Inc":""},"_vena_DYNR_SControleIndelingPL_BB1_47da86a8_8411988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8411988e","IsMultiDynamicRange":false,"MultiDynamicRangeID":null,"MultiDynamicCollectionID":null,"SectionName":"ControleIndelingPL","BlockName":"B1","VenaRangeType":5,"DimensionIdStr":"-1","MemberIdStr":"-1","DimensionId":-1,"MemberId":-1,"Inc":""},"_vena_DYNR_SControleIndelingPL_BB1_47da86a8_845e2c42":{"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845e2c42","IsMultiDynamicRange":false,"MultiDynamicRangeID":null,"MultiDynamicCollectionID":null,"SectionName":"ControleIndelingPL","BlockName":"B1","VenaRangeType":5,"DimensionIdStr":"-1","MemberIdStr":"-1","DimensionId":-1,"MemberId":-1,"Inc":""},"_vena_DYNR_SControleIndelingPL_BB1_47da86a8_85c17e44":{"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85c17e44","IsMultiDynamicRange":false,"MultiDynamicRangeID":null,"MultiDynamicCollectionID":null,"SectionName":"ControleIndelingPL","BlockName":"B1","VenaRangeType":5,"DimensionIdStr":"-1","MemberIdStr":"-1","DimensionId":-1,"MemberId":-1,"Inc":""},"_vena_DYNR_SControleIndelingPL_BB1_47da86a8_8aa888ab":{"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8aa888ab","IsMultiDynamicRange":false,"MultiDynamicRangeID":null,"MultiDynamicCollectionID":null,"SectionName":"ControleIndelingPL","BlockName":"B1","VenaRangeType":5,"DimensionIdStr":"-1","MemberIdStr":"-1","DimensionId":-1,"MemberId":-1,"Inc":""},"_vena_DYNR_SControleIndelingPL_BB1_47da86a8_8effdc1b":{"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8effdc1b","IsMultiDynamicRange":false,"MultiDynamicRangeID":null,"MultiDynamicCollectionID":null,"SectionName":"ControleIndelingPL","BlockName":"B1","VenaRangeType":5,"DimensionIdStr":"-1","MemberIdStr":"-1","DimensionId":-1,"MemberId":-1,"Inc":""},"_vena_DYNR_SControleIndelingPL_BB1_47da86a8_90e17f9d":{"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90e17f9d","IsMultiDynamicRange":false,"MultiDynamicRangeID":null,"MultiDynamicCollectionID":null,"SectionName":"ControleIndelingPL","BlockName":"B1","VenaRangeType":5,"DimensionIdStr":"-1","MemberIdStr":"-1","DimensionId":-1,"MemberId":-1,"Inc":""},"_vena_DYNR_SControleIndelingPL_BB1_47da86a8_97249e98":{"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97249e98","IsMultiDynamicRange":false,"MultiDynamicRangeID":null,"MultiDynamicCollectionID":null,"SectionName":"ControleIndelingPL","BlockName":"B1","VenaRangeType":5,"DimensionIdStr":"-1","MemberIdStr":"-1","DimensionId":-1,"MemberId":-1,"Inc":""},"_vena_DYNR_SControleIndelingPL_BB1_47da86a8_99e86d2d":{"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99e86d2d","IsMultiDynamicRange":false,"MultiDynamicRangeID":null,"MultiDynamicCollectionID":null,"SectionName":"ControleIndelingPL","BlockName":"B1","VenaRangeType":5,"DimensionIdStr":"-1","MemberIdStr":"-1","DimensionId":-1,"MemberId":-1,"Inc":""},"_vena_DYNR_SControleIndelingPL_BB1_47da86a8_9af4e0ad":{"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9af4e0ad","IsMultiDynamicRange":false,"MultiDynamicRangeID":null,"MultiDynamicCollectionID":null,"SectionName":"ControleIndelingPL","BlockName":"B1","VenaRangeType":5,"DimensionIdStr":"-1","MemberIdStr":"-1","DimensionId":-1,"MemberId":-1,"Inc":""},"_vena_DYNR_SControleIndelingPL_BB1_47da86a8_a005a095":{"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a005a095","IsMultiDynamicRange":false,"MultiDynamicRangeID":null,"MultiDynamicCollectionID":null,"SectionName":"ControleIndelingPL","BlockName":"B1","VenaRangeType":5,"DimensionIdStr":"-1","MemberIdStr":"-1","DimensionId":-1,"MemberId":-1,"Inc":""},"_vena_DYNR_SControleIndelingPL_BB1_47da86a8_a0b9a982":{"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a0b9a982","IsMultiDynamicRange":false,"MultiDynamicRangeID":null,"MultiDynamicCollectionID":null,"SectionName":"ControleIndelingPL","BlockName":"B1","VenaRangeType":5,"DimensionIdStr":"-1","MemberIdStr":"-1","DimensionId":-1,"MemberId":-1,"Inc":""},"_vena_DYNR_SControleIndelingPL_BB1_47da86a8_a0e2771a":{"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a0e2771a","IsMultiDynamicRange":false,"MultiDynamicRangeID":null,"MultiDynamicCollectionID":null,"SectionName":"ControleIndelingPL","BlockName":"B1","VenaRangeType":5,"DimensionIdStr":"-1","MemberIdStr":"-1","DimensionId":-1,"MemberId":-1,"Inc":""},"_vena_DYNR_SControleIndelingPL_BB1_47da86a8_a1b05e47":{"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a1b05e47","IsMultiDynamicRange":false,"MultiDynamicRangeID":null,"MultiDynamicCollectionID":null,"SectionName":"ControleIndelingPL","BlockName":"B1","VenaRangeType":5,"DimensionIdStr":"-1","MemberIdStr":"-1","DimensionId":-1,"MemberId":-1,"Inc":""},"_vena_DYNR_SControleIndelingPL_BB1_47da86a8_a2a8f819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a2a8f819","IsMultiDynamicRange":false,"MultiDynamicRangeID":null,"MultiDynamicCollectionID":null,"SectionName":"ControleIndelingPL","BlockName":"B1","VenaRangeType":5,"DimensionIdStr":"-1","MemberIdStr":"-1","DimensionId":-1,"MemberId":-1,"Inc":""},"_vena_DYNR_SControleIndelingPL_BB1_47da86a8_a7f95b9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a7f95b9f","IsMultiDynamicRange":false,"MultiDynamicRangeID":null,"MultiDynamicCollectionID":null,"SectionName":"ControleIndelingPL","BlockName":"B1","VenaRangeType":5,"DimensionIdStr":"-1","MemberIdStr":"-1","DimensionId":-1,"MemberId":-1,"Inc":""},"_vena_DYNR_SControleIndelingPL_BB1_47da86a8_a824172b":{"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a824172b","IsMultiDynamicRange":false,"MultiDynamicRangeID":null,"MultiDynamicCollectionID":null,"SectionName":"ControleIndelingPL","BlockName":"B1","VenaRangeType":5,"DimensionIdStr":"-1","MemberIdStr":"-1","DimensionId":-1,"MemberId":-1,"Inc":""},"_vena_DYNR_SControleIndelingPL_BB1_47da86a8_a9da81b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a9da81bf","IsMultiDynamicRange":false,"MultiDynamicRangeID":null,"MultiDynamicCollectionID":null,"SectionName":"ControleIndelingPL","BlockName":"B1","VenaRangeType":5,"DimensionIdStr":"-1","MemberIdStr":"-1","DimensionId":-1,"MemberId":-1,"Inc":""},"_vena_DYNR_SControleIndelingPL_BB1_47da86a8_ad21ef4d":{"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ad21ef4d","IsMultiDynamicRange":false,"MultiDynamicRangeID":null,"MultiDynamicCollectionID":null,"SectionName":"ControleIndelingPL","BlockName":"B1","VenaRangeType":5,"DimensionIdStr":"-1","MemberIdStr":"-1","DimensionId":-1,"MemberId":-1,"Inc":""},"_vena_DYNR_SControleIndelingPL_BB1_47da86a8_b13ef8d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13ef8de","IsMultiDynamicRange":false,"MultiDynamicRangeID":null,"MultiDynamicCollectionID":null,"SectionName":"ControleIndelingPL","BlockName":"B1","VenaRangeType":5,"DimensionIdStr":"-1","MemberIdStr":"-1","DimensionId":-1,"MemberId":-1,"Inc":""},"_vena_DYNR_SControleIndelingPL_BB1_47da86a8_b1745016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1745016","IsMultiDynamicRange":false,"MultiDynamicRangeID":null,"MultiDynamicCollectionID":null,"SectionName":"ControleIndelingPL","BlockName":"B1","VenaRangeType":5,"DimensionIdStr":"-1","MemberIdStr":"-1","DimensionId":-1,"MemberId":-1,"Inc":""},"_vena_DYNR_SControleIndelingPL_BB1_47da86a8_b1d48916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1d48916","IsMultiDynamicRange":false,"MultiDynamicRangeID":null,"MultiDynamicCollectionID":null,"SectionName":"ControleIndelingPL","BlockName":"B1","VenaRangeType":5,"DimensionIdStr":"-1","MemberIdStr":"-1","DimensionId":-1,"MemberId":-1,"Inc":""},"_vena_DYNR_SControleIndelingPL_BB1_47da86a8_b2a1a182":{"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2a1a182","IsMultiDynamicRange":false,"MultiDynamicRangeID":null,"MultiDynamicCollectionID":null,"SectionName":"ControleIndelingPL","BlockName":"B1","VenaRangeType":5,"DimensionIdStr":"-1","MemberIdStr":"-1","DimensionId":-1,"MemberId":-1,"Inc":""},"_vena_DYNR_SControleIndelingPL_BB1_47da86a8_b4ac6948":{"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4ac6948","IsMultiDynamicRange":false,"MultiDynamicRangeID":null,"MultiDynamicCollectionID":null,"SectionName":"ControleIndelingPL","BlockName":"B1","VenaRangeType":5,"DimensionIdStr":"-1","MemberIdStr":"-1","DimensionId":-1,"MemberId":-1,"Inc":""},"_vena_DYNR_SControleIndelingPL_BB1_47da86a8_b528aaa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528aaac","IsMultiDynamicRange":false,"MultiDynamicRangeID":null,"MultiDynamicCollectionID":null,"SectionName":"ControleIndelingPL","BlockName":"B1","VenaRangeType":5,"DimensionIdStr":"-1","MemberIdStr":"-1","DimensionId":-1,"MemberId":-1,"Inc":""},"_vena_DYNR_SControleIndelingPL_BB1_47da86a8_b7a8a49a":{"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7a8a49a","IsMultiDynamicRange":false,"MultiDynamicRangeID":null,"MultiDynamicCollectionID":null,"SectionName":"ControleIndelingPL","BlockName":"B1","VenaRangeType":5,"DimensionIdStr":"-1","MemberIdStr":"-1","DimensionId":-1,"MemberId":-1,"Inc":""},"_vena_DYNR_SControleIndelingPL_BB1_47da86a8_bcb27ee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cb27ee6","IsMultiDynamicRange":false,"MultiDynamicRangeID":null,"MultiDynamicCollectionID":null,"SectionName":"ControleIndelingPL","BlockName":"B1","VenaRangeType":5,"DimensionIdStr":"-1","MemberIdStr":"-1","DimensionId":-1,"MemberId":-1,"Inc":""},"_vena_DYNR_SControleIndelingPL_BB1_47da86a8_be8886cd":{"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e8886cd","IsMultiDynamicRange":false,"MultiDynamicRangeID":null,"MultiDynamicCollectionID":null,"SectionName":"ControleIndelingPL","BlockName":"B1","VenaRangeType":5,"DimensionIdStr":"-1","MemberIdStr":"-1","DimensionId":-1,"MemberId":-1,"Inc":""},"_vena_DYNR_SControleIndelingPL_BB1_47da86a8_becaecf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ecaecf6","IsMultiDynamicRange":false,"MultiDynamicRangeID":null,"MultiDynamicCollectionID":null,"SectionName":"ControleIndelingPL","BlockName":"B1","VenaRangeType":5,"DimensionIdStr":"-1","MemberIdStr":"-1","DimensionId":-1,"MemberId":-1,"Inc":""},"_vena_DYNR_SControleIndelingPL_BB1_47da86a8_bf8a08e3":{"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bf8a08e3","IsMultiDynamicRange":false,"MultiDynamicRangeID":null,"MultiDynamicCollectionID":null,"SectionName":"ControleIndelingPL","BlockName":"B1","VenaRangeType":5,"DimensionIdStr":"-1","MemberIdStr":"-1","DimensionId":-1,"MemberId":-1,"Inc":""},"_vena_DYNR_SControleIndelingPL_BB1_47da86a8_c0d2af9a":{"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0d2af9a","IsMultiDynamicRange":false,"MultiDynamicRangeID":null,"MultiDynamicCollectionID":null,"SectionName":"ControleIndelingPL","BlockName":"B1","VenaRangeType":5,"DimensionIdStr":"-1","MemberIdStr":"-1","DimensionId":-1,"MemberId":-1,"Inc":""},"_vena_DYNR_SControleIndelingPL_BB1_47da86a8_c2f8212b":{"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2f8212b","IsMultiDynamicRange":false,"MultiDynamicRangeID":null,"MultiDynamicCollectionID":null,"SectionName":"ControleIndelingPL","BlockName":"B1","VenaRangeType":5,"DimensionIdStr":"-1","MemberIdStr":"-1","DimensionId":-1,"MemberId":-1,"Inc":""},"_vena_DYNR_SControleIndelingPL_BB1_47da86a8_c435dbca":{"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435dbca","IsMultiDynamicRange":false,"MultiDynamicRangeID":null,"MultiDynamicCollectionID":null,"SectionName":"ControleIndelingPL","BlockName":"B1","VenaRangeType":5,"DimensionIdStr":"-1","MemberIdStr":"-1","DimensionId":-1,"MemberId":-1,"Inc":""},"_vena_DYNR_SControleIndelingPL_BB1_47da86a8_c4a2f3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4a2f3c","IsMultiDynamicRange":false,"MultiDynamicRangeID":null,"MultiDynamicCollectionID":null,"SectionName":"ControleIndelingPL","BlockName":"B1","VenaRangeType":5,"DimensionIdStr":"-1","MemberIdStr":"-1","DimensionId":-1,"MemberId":-1,"Inc":""},"_vena_DYNR_SControleIndelingPL_BB1_47da86a8_c6f75db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6f75dbc","IsMultiDynamicRange":false,"MultiDynamicRangeID":null,"MultiDynamicCollectionID":null,"SectionName":"ControleIndelingPL","BlockName":"B1","VenaRangeType":5,"DimensionIdStr":"-1","MemberIdStr":"-1","DimensionId":-1,"MemberId":-1,"Inc":""},"_vena_DYNR_SControleIndelingPL_BB1_47da86a8_ca60fe7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a60fe7c","IsMultiDynamicRange":false,"MultiDynamicRangeID":null,"MultiDynamicCollectionID":null,"SectionName":"ControleIndelingPL","BlockName":"B1","VenaRangeType":5,"DimensionIdStr":"-1","MemberIdStr":"-1","DimensionId":-1,"MemberId":-1,"Inc":""},"_vena_DYNR_SControleIndelingPL_BB1_47da86a8_cc0091e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c0091ec","IsMultiDynamicRange":false,"MultiDynamicRangeID":null,"MultiDynamicCollectionID":null,"SectionName":"ControleIndelingPL","BlockName":"B1","VenaRangeType":5,"DimensionIdStr":"-1","MemberIdStr":"-1","DimensionId":-1,"MemberId":-1,"Inc":""},"_vena_DYNR_SControleIndelingPL_BB1_47da86a8_cc3215e8":{"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c3215e8","IsMultiDynamicRange":false,"MultiDynamicRangeID":null,"MultiDynamicCollectionID":null,"SectionName":"ControleIndelingPL","BlockName":"B1","VenaRangeType":5,"DimensionIdStr":"-1","MemberIdStr":"-1","DimensionId":-1,"MemberId":-1,"Inc":""},"_vena_DYNR_SControleIndelingPL_BB1_47da86a8_cc562626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c562626","IsMultiDynamicRange":false,"MultiDynamicRangeID":null,"MultiDynamicCollectionID":null,"SectionName":"ControleIndelingPL","BlockName":"B1","VenaRangeType":5,"DimensionIdStr":"-1","MemberIdStr":"-1","DimensionId":-1,"MemberId":-1,"Inc":""},"_vena_DYNR_SControleIndelingPL_BB1_47da86a8_cf3af75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cf3af75f","IsMultiDynamicRange":false,"MultiDynamicRangeID":null,"MultiDynamicCollectionID":null,"SectionName":"ControleIndelingPL","BlockName":"B1","VenaRangeType":5,"DimensionIdStr":"-1","MemberIdStr":"-1","DimensionId":-1,"MemberId":-1,"Inc":""},"_vena_DYNR_SControleIndelingPL_BB1_47da86a8_d1e9a5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1e9a5c","IsMultiDynamicRange":false,"MultiDynamicRangeID":null,"MultiDynamicCollectionID":null,"SectionName":"ControleIndelingPL","BlockName":"B1","VenaRangeType":5,"DimensionIdStr":"-1","MemberIdStr":"-1","DimensionId":-1,"MemberId":-1,"Inc":""},"_vena_DYNR_SControleIndelingPL_BB1_47da86a8_d406ede0":{"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406ede0","IsMultiDynamicRange":false,"MultiDynamicRangeID":null,"MultiDynamicCollectionID":null,"SectionName":"ControleIndelingPL","BlockName":"B1","VenaRangeType":5,"DimensionIdStr":"-1","MemberIdStr":"-1","DimensionId":-1,"MemberId":-1,"Inc":""},"_vena_DYNR_SControleIndelingPL_BB1_47da86a8_d4cd5014":{"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4cd5014","IsMultiDynamicRange":false,"MultiDynamicRangeID":null,"MultiDynamicCollectionID":null,"SectionName":"ControleIndelingPL","BlockName":"B1","VenaRangeType":5,"DimensionIdStr":"-1","MemberIdStr":"-1","DimensionId":-1,"MemberId":-1,"Inc":""},"_vena_DYNR_SControleIndelingPL_BB1_47da86a8_d4d77256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4d77256","IsMultiDynamicRange":false,"MultiDynamicRangeID":null,"MultiDynamicCollectionID":null,"SectionName":"ControleIndelingPL","BlockName":"B1","VenaRangeType":5,"DimensionIdStr":"-1","MemberIdStr":"-1","DimensionId":-1,"MemberId":-1,"Inc":""},"_vena_DYNR_SControleIndelingPL_BB1_47da86a8_d737dfe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737dfe9","IsMultiDynamicRange":false,"MultiDynamicRangeID":null,"MultiDynamicCollectionID":null,"SectionName":"ControleIndelingPL","BlockName":"B1","VenaRangeType":5,"DimensionIdStr":"-1","MemberIdStr":"-1","DimensionId":-1,"MemberId":-1,"Inc":""},"_vena_DYNR_SControleIndelingPL_BB1_47da86a8_d7f8faf0":{"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7f8faf0","IsMultiDynamicRange":false,"MultiDynamicRangeID":null,"MultiDynamicCollectionID":null,"SectionName":"ControleIndelingPL","BlockName":"B1","VenaRangeType":5,"DimensionIdStr":"-1","MemberIdStr":"-1","DimensionId":-1,"MemberId":-1,"Inc":""},"_vena_DYNR_SControleIndelingPL_BB1_47da86a8_d8aec696":{"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8aec696","IsMultiDynamicRange":false,"MultiDynamicRangeID":null,"MultiDynamicCollectionID":null,"SectionName":"ControleIndelingPL","BlockName":"B1","VenaRangeType":5,"DimensionIdStr":"-1","MemberIdStr":"-1","DimensionId":-1,"MemberId":-1,"Inc":""},"_vena_DYNR_SControleIndelingPL_BB1_47da86a8_d961fee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961fee1","IsMultiDynamicRange":false,"MultiDynamicRangeID":null,"MultiDynamicCollectionID":null,"SectionName":"ControleIndelingPL","BlockName":"B1","VenaRangeType":5,"DimensionIdStr":"-1","MemberIdStr":"-1","DimensionId":-1,"MemberId":-1,"Inc":""},"_vena_DYNR_SControleIndelingPL_BB1_47da86a8_db353240":{"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b353240","IsMultiDynamicRange":false,"MultiDynamicRangeID":null,"MultiDynamicCollectionID":null,"SectionName":"ControleIndelingPL","BlockName":"B1","VenaRangeType":5,"DimensionIdStr":"-1","MemberIdStr":"-1","DimensionId":-1,"MemberId":-1,"Inc":""},"_vena_DYNR_SControleIndelingPL_BB1_47da86a8_dda2413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da2413c","IsMultiDynamicRange":false,"MultiDynamicRangeID":null,"MultiDynamicCollectionID":null,"SectionName":"ControleIndelingPL","BlockName":"B1","VenaRangeType":5,"DimensionIdStr":"-1","MemberIdStr":"-1","DimensionId":-1,"MemberId":-1,"Inc":""},"_vena_DYNR_SControleIndelingPL_BB1_47da86a8_ded6e27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ded6e27e","IsMultiDynamicRange":false,"MultiDynamicRangeID":null,"MultiDynamicCollectionID":null,"SectionName":"ControleIndelingPL","BlockName":"B1","VenaRangeType":5,"DimensionIdStr":"-1","MemberIdStr":"-1","DimensionId":-1,"MemberId":-1,"Inc":""},"_vena_DYNR_SControleIndelingPL_BB1_47da86a8_e09dd42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e09dd42c","IsMultiDynamicRange":false,"MultiDynamicRangeID":null,"MultiDynamicCollectionID":null,"SectionName":"ControleIndelingPL","BlockName":"B1","VenaRangeType":5,"DimensionIdStr":"-1","MemberIdStr":"-1","DimensionId":-1,"MemberId":-1,"Inc":""},"_vena_DYNR_SControleIndelingPL_BB1_47da86a8_e7bfb29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e7bfb29e","IsMultiDynamicRange":false,"MultiDynamicRangeID":null,"MultiDynamicCollectionID":null,"SectionName":"ControleIndelingPL","BlockName":"B1","VenaRangeType":5,"DimensionIdStr":"-1","MemberIdStr":"-1","DimensionId":-1,"MemberId":-1,"Inc":""},"_vena_DYNR_SControleIndelingPL_BB1_47da86a8_ed5c582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ed5c582f","IsMultiDynamicRange":false,"MultiDynamicRangeID":null,"MultiDynamicCollectionID":null,"SectionName":"ControleIndelingPL","BlockName":"B1","VenaRangeType":5,"DimensionIdStr":"-1","MemberIdStr":"-1","DimensionId":-1,"MemberId":-1,"Inc":""},"_vena_DYNR_SControleIndelingPL_BB1_47da86a8_edd566a5":{"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edd566a5","IsMultiDynamicRange":false,"MultiDynamicRangeID":null,"MultiDynamicCollectionID":null,"SectionName":"ControleIndelingPL","BlockName":"B1","VenaRangeType":5,"DimensionIdStr":"-1","MemberIdStr":"-1","DimensionId":-1,"MemberId":-1,"Inc":""},"_vena_DYNR_SControleIndelingPL_BB1_47da86a8_ee39f38c":{"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ee39f38c","IsMultiDynamicRange":false,"MultiDynamicRangeID":null,"MultiDynamicCollectionID":null,"SectionName":"ControleIndelingPL","BlockName":"B1","VenaRangeType":5,"DimensionIdStr":"-1","MemberIdStr":"-1","DimensionId":-1,"MemberId":-1,"Inc":""},"_vena_DYNR_SControleIndelingPL_BB1_47da86a8_efa72c09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efa72c09","IsMultiDynamicRange":false,"MultiDynamicRangeID":null,"MultiDynamicCollectionID":null,"SectionName":"ControleIndelingPL","BlockName":"B1","VenaRangeType":5,"DimensionIdStr":"-1","MemberIdStr":"-1","DimensionId":-1,"MemberId":-1,"Inc":""},"_vena_DYNR_SControleIndelingPL_BB1_47da86a8_f23ff73e":{"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23ff73e","IsMultiDynamicRange":false,"MultiDynamicRangeID":null,"MultiDynamicCollectionID":null,"SectionName":"ControleIndelingPL","BlockName":"B1","VenaRangeType":5,"DimensionIdStr":"-1","MemberIdStr":"-1","DimensionId":-1,"MemberId":-1,"Inc":""},"_vena_DYNR_SControleIndelingPL_BB1_47da86a8_f3571051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3571051","IsMultiDynamicRange":false,"MultiDynamicRangeID":null,"MultiDynamicCollectionID":null,"SectionName":"ControleIndelingPL","BlockName":"B1","VenaRangeType":5,"DimensionIdStr":"-1","MemberIdStr":"-1","DimensionId":-1,"MemberId":-1,"Inc":""},"_vena_DYNR_SControleIndelingPL_BB1_47da86a8_f4be7594":{"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4be7594","IsMultiDynamicRange":false,"MultiDynamicRangeID":null,"MultiDynamicCollectionID":null,"SectionName":"ControleIndelingPL","BlockName":"B1","VenaRangeType":5,"DimensionIdStr":"-1","MemberIdStr":"-1","DimensionId":-1,"MemberId":-1,"Inc":""},"_vena_DYNR_SControleIndelingPL_BB1_47da86a8_f5b01ad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5b01ad9","IsMultiDynamicRange":false,"MultiDynamicRangeID":null,"MultiDynamicCollectionID":null,"SectionName":"ControleIndelingPL","BlockName":"B1","VenaRangeType":5,"DimensionIdStr":"-1","MemberIdStr":"-1","DimensionId":-1,"MemberId":-1,"Inc":""},"_vena_DYNR_SControleIndelingPL_BB1_47da86a8_f63968ca":{"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63968ca","IsMultiDynamicRange":false,"MultiDynamicRangeID":null,"MultiDynamicCollectionID":null,"SectionName":"ControleIndelingPL","BlockName":"B1","VenaRangeType":5,"DimensionIdStr":"-1","MemberIdStr":"-1","DimensionId":-1,"MemberId":-1,"Inc":""},"_vena_DYNR_SControleIndelingPL_BB1_47da86a8_f6c9fc03":{"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6c9fc03","IsMultiDynamicRange":false,"MultiDynamicRangeID":null,"MultiDynamicCollectionID":null,"SectionName":"ControleIndelingPL","BlockName":"B1","VenaRangeType":5,"DimensionIdStr":"-1","MemberIdStr":"-1","DimensionId":-1,"MemberId":-1,"Inc":""},"_vena_DYNR_SControleIndelingPL_BB1_47da86a8_f83df5a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83df5a1","IsMultiDynamicRange":false,"MultiDynamicRangeID":null,"MultiDynamicCollectionID":null,"SectionName":"ControleIndelingPL","BlockName":"B1","VenaRangeType":5,"DimensionIdStr":"-1","MemberIdStr":"-1","DimensionId":-1,"MemberId":-1,"Inc":""},"_vena_DYNR_SControleIndelingPL_BB1_47da86a8_fa5d35b9":{"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a5d35b9","IsMultiDynamicRange":false,"MultiDynamicRangeID":null,"MultiDynamicCollectionID":null,"SectionName":"ControleIndelingPL","BlockName":"B1","VenaRangeType":5,"DimensionIdStr":"-1","MemberIdStr":"-1","DimensionId":-1,"MemberId":-1,"Inc":""},"_vena_DYNR_SControleIndelingPL_BB1_47da86a8_fdc14e1":{"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dc14e1","IsMultiDynamicRange":false,"MultiDynamicRangeID":null,"MultiDynamicCollectionID":null,"SectionName":"ControleIndelingPL","BlockName":"B1","VenaRangeType":5,"DimensionIdStr":"-1","MemberIdStr":"-1","DimensionId":-1,"MemberId":-1,"Inc":""},"_vena_DYNR_SControleIndelingPL_BB1_47da86a8_fe56e423":{"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e56e423","IsMultiDynamicRange":false,"MultiDynamicRangeID":null,"MultiDynamicCollectionID":null,"SectionName":"ControleIndelingPL","BlockName":"B1","VenaRangeType":5,"DimensionIdStr":"-1","MemberIdStr":"-1","DimensionId":-1,"MemberId":-1,"Inc":""},"_vena_DYNR_SControleIndelingPL_BB1_47da86a8_fe8fda8f":{"SourceGlobalVariableId":-1,"SourceFormVariableId":"00000000-0000-0000-0000-000000000000","IsPageVariable":false,"IsLineItemDetailEnabled":false,"LineItemDetailOrder":0,"LineItemID":null,"PageVariableSectionReference":"","PageVariableDimensionName":null,"IsDynamicRange":true,"IsDynamicRangeEntry":true,"DynamicRangeID":"47da86a8","DynamicRangeEntryID":"fe8fda8f","IsMultiDynamicRange":false,"MultiDynamicRangeID":null,"MultiDynamicCollectionID":null,"SectionName":"ControleIndelingPL","BlockName":"B1","VenaRangeType":5,"DimensionIdStr":"-1","MemberIdStr":"-1","DimensionId":-1,"MemberId":-1,"Inc":""},"_vena_DYNR_SControleIndelingPL_BB1_9b1becb2":{"SourceGlobalVariableId":-1,"SourceFormVariableId":"00000000-0000-0000-0000-000000000000","IsPageVariable":false,"IsLineItemDetailEnabled":false,"LineItemDetailOrder":0,"LineItemID":null,"PageVariableSectionReference":"","PageVariableDimensionName":null,"IsDynamicRange":true,"IsDynamicRangeEntry":false,"DynamicRangeID":"9b1becb2","DynamicRangeEntryID":null,"IsMultiDynamicRange":false,"MultiDynamicRangeID":null,"MultiDynamicCollectionID":null,"SectionName":"ControleIndelingPL","BlockName":"B1","VenaRangeType":5,"DimensionIdStr":"-1","MemberIdStr":"-1","DimensionId":-1,"MemberId":-1,"Inc":""},"_vena_DYNR_SControleIndelingPL_BB1_9b1becb2_1758edf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1758edfa","IsMultiDynamicRange":false,"MultiDynamicRangeID":null,"MultiDynamicCollectionID":null,"SectionName":"ControleIndelingPL","BlockName":"B1","VenaRangeType":5,"DimensionIdStr":"-1","MemberIdStr":"-1","DimensionId":-1,"MemberId":-1,"Inc":""},"_vena_DYNR_SControleIndelingPL_BB1_9b1becb2_18c174a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18c174a7","IsMultiDynamicRange":false,"MultiDynamicRangeID":null,"MultiDynamicCollectionID":null,"SectionName":"ControleIndelingPL","BlockName":"B1","VenaRangeType":5,"DimensionIdStr":"-1","MemberIdStr":"-1","DimensionId":-1,"MemberId":-1,"Inc":""},"_vena_DYNR_SControleIndelingPL_BB1_9b1becb2_21fb1051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21fb1051","IsMultiDynamicRange":false,"MultiDynamicRangeID":null,"MultiDynamicCollectionID":null,"SectionName":"ControleIndelingPL","BlockName":"B1","VenaRangeType":5,"DimensionIdStr":"-1","MemberIdStr":"-1","DimensionId":-1,"MemberId":-1,"Inc":""},"_vena_DYNR_SControleIndelingPL_BB1_9b1becb2_225460c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225460cf","IsMultiDynamicRange":false,"MultiDynamicRangeID":null,"MultiDynamicCollectionID":null,"SectionName":"ControleIndelingPL","BlockName":"B1","VenaRangeType":5,"DimensionIdStr":"-1","MemberIdStr":"-1","DimensionId":-1,"MemberId":-1,"Inc":""},"_vena_DYNR_SControleIndelingPL_BB1_9b1becb2_241967b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241967bf","IsMultiDynamicRange":false,"MultiDynamicRangeID":null,"MultiDynamicCollectionID":null,"SectionName":"ControleIndelingPL","BlockName":"B1","VenaRangeType":5,"DimensionIdStr":"-1","MemberIdStr":"-1","DimensionId":-1,"MemberId":-1,"Inc":""},"_vena_DYNR_SControleIndelingPL_BB1_9b1becb2_24789bc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24789bc2","IsMultiDynamicRange":false,"MultiDynamicRangeID":null,"MultiDynamicCollectionID":null,"SectionName":"ControleIndelingPL","BlockName":"B1","VenaRangeType":5,"DimensionIdStr":"-1","MemberIdStr":"-1","DimensionId":-1,"MemberId":-1,"Inc":""},"_vena_DYNR_SControleIndelingPL_BB1_9b1becb2_2c31ad8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2c31ad8c","IsMultiDynamicRange":false,"MultiDynamicRangeID":null,"MultiDynamicCollectionID":null,"SectionName":"ControleIndelingPL","BlockName":"B1","VenaRangeType":5,"DimensionIdStr":"-1","MemberIdStr":"-1","DimensionId":-1,"MemberId":-1,"Inc":""},"_vena_DYNR_SControleIndelingPL_BB1_9b1becb2_2f9e7758":{"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2f9e7758","IsMultiDynamicRange":false,"MultiDynamicRangeID":null,"MultiDynamicCollectionID":null,"SectionName":"ControleIndelingPL","BlockName":"B1","VenaRangeType":5,"DimensionIdStr":"-1","MemberIdStr":"-1","DimensionId":-1,"MemberId":-1,"Inc":""},"_vena_DYNR_SControleIndelingPL_BB1_9b1becb2_2fbac48e":{"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2fbac48e","IsMultiDynamicRange":false,"MultiDynamicRangeID":null,"MultiDynamicCollectionID":null,"SectionName":"ControleIndelingPL","BlockName":"B1","VenaRangeType":5,"DimensionIdStr":"-1","MemberIdStr":"-1","DimensionId":-1,"MemberId":-1,"Inc":""},"_vena_DYNR_SControleIndelingPL_BB1_9b1becb2_304aed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304aedc","IsMultiDynamicRange":false,"MultiDynamicRangeID":null,"MultiDynamicCollectionID":null,"SectionName":"ControleIndelingPL","BlockName":"B1","VenaRangeType":5,"DimensionIdStr":"-1","MemberIdStr":"-1","DimensionId":-1,"MemberId":-1,"Inc":""},"_vena_DYNR_SControleIndelingPL_BB1_9b1becb2_30d8753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30d8753f","IsMultiDynamicRange":false,"MultiDynamicRangeID":null,"MultiDynamicCollectionID":null,"SectionName":"ControleIndelingPL","BlockName":"B1","VenaRangeType":5,"DimensionIdStr":"-1","MemberIdStr":"-1","DimensionId":-1,"MemberId":-1,"Inc":""},"_vena_DYNR_SControleIndelingPL_BB1_9b1becb2_31e0e1e6":{"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31e0e1e6","IsMultiDynamicRange":false,"MultiDynamicRangeID":null,"MultiDynamicCollectionID":null,"SectionName":"ControleIndelingPL","BlockName":"B1","VenaRangeType":5,"DimensionIdStr":"-1","MemberIdStr":"-1","DimensionId":-1,"MemberId":-1,"Inc":""},"_vena_DYNR_SControleIndelingPL_BB1_9b1becb2_320c6786":{"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320c6786","IsMultiDynamicRange":false,"MultiDynamicRangeID":null,"MultiDynamicCollectionID":null,"SectionName":"ControleIndelingPL","BlockName":"B1","VenaRangeType":5,"DimensionIdStr":"-1","MemberIdStr":"-1","DimensionId":-1,"MemberId":-1,"Inc":""},"_vena_DYNR_SControleIndelingPL_BB1_9b1becb2_356c8631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356c8631","IsMultiDynamicRange":false,"MultiDynamicRangeID":null,"MultiDynamicCollectionID":null,"SectionName":"ControleIndelingPL","BlockName":"B1","VenaRangeType":5,"DimensionIdStr":"-1","MemberIdStr":"-1","DimensionId":-1,"MemberId":-1,"Inc":""},"_vena_DYNR_SControleIndelingPL_BB1_9b1becb2_36a1f0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36a1f0f","IsMultiDynamicRange":false,"MultiDynamicRangeID":null,"MultiDynamicCollectionID":null,"SectionName":"ControleIndelingPL","BlockName":"B1","VenaRangeType":5,"DimensionIdStr":"-1","MemberIdStr":"-1","DimensionId":-1,"MemberId":-1,"Inc":""},"_vena_DYNR_SControleIndelingPL_BB1_9b1becb2_36bad773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36bad773","IsMultiDynamicRange":false,"MultiDynamicRangeID":null,"MultiDynamicCollectionID":null,"SectionName":"ControleIndelingPL","BlockName":"B1","VenaRangeType":5,"DimensionIdStr":"-1","MemberIdStr":"-1","DimensionId":-1,"MemberId":-1,"Inc":""},"_vena_DYNR_SControleIndelingPL_BB1_9b1becb2_36eba84e":{"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36eba84e","IsMultiDynamicRange":false,"MultiDynamicRangeID":null,"MultiDynamicCollectionID":null,"SectionName":"ControleIndelingPL","BlockName":"B1","VenaRangeType":5,"DimensionIdStr":"-1","MemberIdStr":"-1","DimensionId":-1,"MemberId":-1,"Inc":""},"_vena_DYNR_SControleIndelingPL_BB1_9b1becb2_37a6c851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37a6c851","IsMultiDynamicRange":false,"MultiDynamicRangeID":null,"MultiDynamicCollectionID":null,"SectionName":"ControleIndelingPL","BlockName":"B1","VenaRangeType":5,"DimensionIdStr":"-1","MemberIdStr":"-1","DimensionId":-1,"MemberId":-1,"Inc":""},"_vena_DYNR_SControleIndelingPL_BB1_9b1becb2_39e3838d":{"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39e3838d","IsMultiDynamicRange":false,"MultiDynamicRangeID":null,"MultiDynamicCollectionID":null,"SectionName":"ControleIndelingPL","BlockName":"B1","VenaRangeType":5,"DimensionIdStr":"-1","MemberIdStr":"-1","DimensionId":-1,"MemberId":-1,"Inc":""},"_vena_DYNR_SControleIndelingPL_BB1_9b1becb2_3a5bf465":{"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a5bf465","IsMultiDynamicRange":false,"MultiDynamicRangeID":null,"MultiDynamicCollectionID":null,"SectionName":"ControleIndelingPL","BlockName":"B1","VenaRangeType":5,"DimensionIdStr":"-1","MemberIdStr":"-1","DimensionId":-1,"MemberId":-1,"Inc":""},"_vena_DYNR_SControleIndelingPL_BB1_9b1becb2_3a8ca668":{"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a8ca668","IsMultiDynamicRange":false,"MultiDynamicRangeID":null,"MultiDynamicCollectionID":null,"SectionName":"ControleIndelingPL","BlockName":"B1","VenaRangeType":5,"DimensionIdStr":"-1","MemberIdStr":"-1","DimensionId":-1,"MemberId":-1,"Inc":""},"_vena_DYNR_SControleIndelingPL_BB1_9b1becb2_3b010640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b010640","IsMultiDynamicRange":false,"MultiDynamicRangeID":null,"MultiDynamicCollectionID":null,"SectionName":"ControleIndelingPL","BlockName":"B1","VenaRangeType":5,"DimensionIdStr":"-1","MemberIdStr":"-1","DimensionId":-1,"MemberId":-1,"Inc":""},"_vena_DYNR_SControleIndelingPL_BB1_9b1becb2_3b048253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b048253","IsMultiDynamicRange":false,"MultiDynamicRangeID":null,"MultiDynamicCollectionID":null,"SectionName":"ControleIndelingPL","BlockName":"B1","VenaRangeType":5,"DimensionIdStr":"-1","MemberIdStr":"-1","DimensionId":-1,"MemberId":-1,"Inc":""},"_vena_DYNR_SControleIndelingPL_BB1_9b1becb2_3c889730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c889730","IsMultiDynamicRange":false,"MultiDynamicRangeID":null,"MultiDynamicCollectionID":null,"SectionName":"ControleIndelingPL","BlockName":"B1","VenaRangeType":5,"DimensionIdStr":"-1","MemberIdStr":"-1","DimensionId":-1,"MemberId":-1,"Inc":""},"_vena_DYNR_SControleIndelingPL_BB1_9b1becb2_3cb1639":{"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cb1639","IsMultiDynamicRange":false,"MultiDynamicRangeID":null,"MultiDynamicCollectionID":null,"SectionName":"ControleIndelingPL","BlockName":"B1","VenaRangeType":5,"DimensionIdStr":"-1","MemberIdStr":"-1","DimensionId":-1,"MemberId":-1,"Inc":""},"_vena_DYNR_SControleIndelingPL_BB1_9b1becb2_3cefdb0d":{"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3cefdb0d","IsMultiDynamicRange":false,"MultiDynamicRangeID":null,"MultiDynamicCollectionID":null,"SectionName":"ControleIndelingPL","BlockName":"B1","VenaRangeType":5,"DimensionIdStr":"-1","MemberIdStr":"-1","DimensionId":-1,"MemberId":-1,"Inc":""},"_vena_DYNR_SControleIndelingPL_BB1_9b1becb2_409bddf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409bddf1","IsMultiDynamicRange":false,"MultiDynamicRangeID":null,"MultiDynamicCollectionID":null,"SectionName":"ControleIndelingPL","BlockName":"B1","VenaRangeType":5,"DimensionIdStr":"-1","MemberIdStr":"-1","DimensionId":-1,"MemberId":-1,"Inc":""},"_vena_DYNR_SControleIndelingPL_BB1_9b1becb2_43b383c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43b383c0","IsMultiDynamicRange":false,"MultiDynamicRangeID":null,"MultiDynamicCollectionID":null,"SectionName":"ControleIndelingPL","BlockName":"B1","VenaRangeType":5,"DimensionIdStr":"-1","MemberIdStr":"-1","DimensionId":-1,"MemberId":-1,"Inc":""},"_vena_DYNR_SControleIndelingPL_BB1_9b1becb2_451a0d19":{"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451a0d19","IsMultiDynamicRange":false,"MultiDynamicRangeID":null,"MultiDynamicCollectionID":null,"SectionName":"ControleIndelingPL","BlockName":"B1","VenaRangeType":5,"DimensionIdStr":"-1","MemberIdStr":"-1","DimensionId":-1,"MemberId":-1,"Inc":""},"_vena_DYNR_SControleIndelingPL_BB1_9b1becb2_471fa2b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471fa2ba","IsMultiDynamicRange":false,"MultiDynamicRangeID":null,"MultiDynamicCollectionID":null,"SectionName":"ControleIndelingPL","BlockName":"B1","VenaRangeType":5,"DimensionIdStr":"-1","MemberIdStr":"-1","DimensionId":-1,"MemberId":-1,"Inc":""},"_vena_DYNR_SControleIndelingPL_BB1_9b1becb2_4918612b":{"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4918612b","IsMultiDynamicRange":false,"MultiDynamicRangeID":null,"MultiDynamicCollectionID":null,"SectionName":"ControleIndelingPL","BlockName":"B1","VenaRangeType":5,"DimensionIdStr":"-1","MemberIdStr":"-1","DimensionId":-1,"MemberId":-1,"Inc":""},"_vena_DYNR_SControleIndelingPL_BB1_9b1becb2_4bdb44a6":{"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4bdb44a6","IsMultiDynamicRange":false,"MultiDynamicRangeID":null,"MultiDynamicCollectionID":null,"SectionName":"ControleIndelingPL","BlockName":"B1","VenaRangeType":5,"DimensionIdStr":"-1","MemberIdStr":"-1","DimensionId":-1,"MemberId":-1,"Inc":""},"_vena_DYNR_SControleIndelingPL_BB1_9b1becb2_54babcc8":{"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54babcc8","IsMultiDynamicRange":false,"MultiDynamicRangeID":null,"MultiDynamicCollectionID":null,"SectionName":"ControleIndelingPL","BlockName":"B1","VenaRangeType":5,"DimensionIdStr":"-1","MemberIdStr":"-1","DimensionId":-1,"MemberId":-1,"Inc":""},"_vena_DYNR_SControleIndelingPL_BB1_9b1becb2_567b3d0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567b3d0a","IsMultiDynamicRange":false,"MultiDynamicRangeID":null,"MultiDynamicCollectionID":null,"SectionName":"ControleIndelingPL","BlockName":"B1","VenaRangeType":5,"DimensionIdStr":"-1","MemberIdStr":"-1","DimensionId":-1,"MemberId":-1,"Inc":""},"_vena_DYNR_SControleIndelingPL_BB1_9b1becb2_5913e91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5913e91c","IsMultiDynamicRange":false,"MultiDynamicRangeID":null,"MultiDynamicCollectionID":null,"SectionName":"ControleIndelingPL","BlockName":"B1","VenaRangeType":5,"DimensionIdStr":"-1","MemberIdStr":"-1","DimensionId":-1,"MemberId":-1,"Inc":""},"_vena_DYNR_SControleIndelingPL_BB1_9b1becb2_59d3f316":{"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59d3f316","IsMultiDynamicRange":false,"MultiDynamicRangeID":null,"MultiDynamicCollectionID":null,"SectionName":"ControleIndelingPL","BlockName":"B1","VenaRangeType":5,"DimensionIdStr":"-1","MemberIdStr":"-1","DimensionId":-1,"MemberId":-1,"Inc":""},"_vena_DYNR_SControleIndelingPL_BB1_9b1becb2_5af1ba07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af1ba07","IsMultiDynamicRange":false,"MultiDynamicRangeID":null,"MultiDynamicCollectionID":null,"SectionName":"ControleIndelingPL","BlockName":"B1","VenaRangeType":5,"DimensionIdStr":"-1","MemberIdStr":"-1","DimensionId":-1,"MemberId":-1,"Inc":""},"_vena_DYNR_SControleIndelingPL_BB1_9b1becb2_5b239ef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b239eff","IsMultiDynamicRange":false,"MultiDynamicRangeID":null,"MultiDynamicCollectionID":null,"SectionName":"ControleIndelingPL","BlockName":"B1","VenaRangeType":5,"DimensionIdStr":"-1","MemberIdStr":"-1","DimensionId":-1,"MemberId":-1,"Inc":""},"_vena_DYNR_SControleIndelingPL_BB1_9b1becb2_5cdf24de":{"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cdf24de","IsMultiDynamicRange":false,"MultiDynamicRangeID":null,"MultiDynamicCollectionID":null,"SectionName":"ControleIndelingPL","BlockName":"B1","VenaRangeType":5,"DimensionIdStr":"-1","MemberIdStr":"-1","DimensionId":-1,"MemberId":-1,"Inc":""},"_vena_DYNR_SControleIndelingPL_BB1_9b1becb2_5d3cfac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d3cfac7","IsMultiDynamicRange":false,"MultiDynamicRangeID":null,"MultiDynamicCollectionID":null,"SectionName":"ControleIndelingPL","BlockName":"B1","VenaRangeType":5,"DimensionIdStr":"-1","MemberIdStr":"-1","DimensionId":-1,"MemberId":-1,"Inc":""},"_vena_DYNR_SControleIndelingPL_BB1_9b1becb2_5e535e30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e535e30","IsMultiDynamicRange":false,"MultiDynamicRangeID":null,"MultiDynamicCollectionID":null,"SectionName":"ControleIndelingPL","BlockName":"B1","VenaRangeType":5,"DimensionIdStr":"-1","MemberIdStr":"-1","DimensionId":-1,"MemberId":-1,"Inc":""},"_vena_DYNR_SControleIndelingPL_BB1_9b1becb2_5f958214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5f958214","IsMultiDynamicRange":false,"MultiDynamicRangeID":null,"MultiDynamicCollectionID":null,"SectionName":"ControleIndelingPL","BlockName":"B1","VenaRangeType":5,"DimensionIdStr":"-1","MemberIdStr":"-1","DimensionId":-1,"MemberId":-1,"Inc":""},"_vena_DYNR_SControleIndelingPL_BB1_9b1becb2_62c7ee47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62c7ee47","IsMultiDynamicRange":false,"MultiDynamicRangeID":null,"MultiDynamicCollectionID":null,"SectionName":"ControleIndelingPL","BlockName":"B1","VenaRangeType":5,"DimensionIdStr":"-1","MemberIdStr":"-1","DimensionId":-1,"MemberId":-1,"Inc":""},"_vena_DYNR_SControleIndelingPL_BB1_9b1becb2_66364521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66364521","IsMultiDynamicRange":false,"MultiDynamicRangeID":null,"MultiDynamicCollectionID":null,"SectionName":"ControleIndelingPL","BlockName":"B1","VenaRangeType":5,"DimensionIdStr":"-1","MemberIdStr":"-1","DimensionId":-1,"MemberId":-1,"Inc":""},"_vena_DYNR_SControleIndelingPL_BB1_9b1becb2_665a8636":{"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665a8636","IsMultiDynamicRange":false,"MultiDynamicRangeID":null,"MultiDynamicCollectionID":null,"SectionName":"ControleIndelingPL","BlockName":"B1","VenaRangeType":5,"DimensionIdStr":"-1","MemberIdStr":"-1","DimensionId":-1,"MemberId":-1,"Inc":""},"_vena_DYNR_SControleIndelingPL_BB1_9b1becb2_6674d001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6674d001","IsMultiDynamicRange":false,"MultiDynamicRangeID":null,"MultiDynamicCollectionID":null,"SectionName":"ControleIndelingPL","BlockName":"B1","VenaRangeType":5,"DimensionIdStr":"-1","MemberIdStr":"-1","DimensionId":-1,"MemberId":-1,"Inc":""},"_vena_DYNR_SControleIndelingPL_BB1_9b1becb2_6852ce22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6852ce22","IsMultiDynamicRange":false,"MultiDynamicRangeID":null,"MultiDynamicCollectionID":null,"SectionName":"ControleIndelingPL","BlockName":"B1","VenaRangeType":5,"DimensionIdStr":"-1","MemberIdStr":"-1","DimensionId":-1,"MemberId":-1,"Inc":""},"_vena_DYNR_SControleIndelingPL_BB1_9b1becb2_6865fb6e":{"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6865fb6e","IsMultiDynamicRange":false,"MultiDynamicRangeID":null,"MultiDynamicCollectionID":null,"SectionName":"ControleIndelingPL","BlockName":"B1","VenaRangeType":5,"DimensionIdStr":"-1","MemberIdStr":"-1","DimensionId":-1,"MemberId":-1,"Inc":""},"_vena_DYNR_SControleIndelingPL_BB1_9b1becb2_6af814b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af814bc","IsMultiDynamicRange":false,"MultiDynamicRangeID":null,"MultiDynamicCollectionID":null,"SectionName":"ControleIndelingPL","BlockName":"B1","VenaRangeType":5,"DimensionIdStr":"-1","MemberIdStr":"-1","DimensionId":-1,"MemberId":-1,"Inc":""},"_vena_DYNR_SControleIndelingPL_BB1_9b1becb2_6bc615ab":{"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bc615ab","IsMultiDynamicRange":false,"MultiDynamicRangeID":null,"MultiDynamicCollectionID":null,"SectionName":"ControleIndelingPL","BlockName":"B1","VenaRangeType":5,"DimensionIdStr":"-1","MemberIdStr":"-1","DimensionId":-1,"MemberId":-1,"Inc":""},"_vena_DYNR_SControleIndelingPL_BB1_9b1becb2_6c0e1659":{"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c0e1659","IsMultiDynamicRange":false,"MultiDynamicRangeID":null,"MultiDynamicCollectionID":null,"SectionName":"ControleIndelingPL","BlockName":"B1","VenaRangeType":5,"DimensionIdStr":"-1","MemberIdStr":"-1","DimensionId":-1,"MemberId":-1,"Inc":""},"_vena_DYNR_SControleIndelingPL_BB1_9b1becb2_6cc8ef4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cc8ef4a","IsMultiDynamicRange":false,"MultiDynamicRangeID":null,"MultiDynamicCollectionID":null,"SectionName":"ControleIndelingPL","BlockName":"B1","VenaRangeType":5,"DimensionIdStr":"-1","MemberIdStr":"-1","DimensionId":-1,"MemberId":-1,"Inc":""},"_vena_DYNR_SControleIndelingPL_BB1_9b1becb2_6cf5d4cd":{"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cf5d4cd","IsMultiDynamicRange":false,"MultiDynamicRangeID":null,"MultiDynamicCollectionID":null,"SectionName":"ControleIndelingPL","BlockName":"B1","VenaRangeType":5,"DimensionIdStr":"-1","MemberIdStr":"-1","DimensionId":-1,"MemberId":-1,"Inc":""},"_vena_DYNR_SControleIndelingPL_BB1_9b1becb2_6e66ed5b":{"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e66ed5b","IsMultiDynamicRange":false,"MultiDynamicRangeID":null,"MultiDynamicCollectionID":null,"SectionName":"ControleIndelingPL","BlockName":"B1","VenaRangeType":5,"DimensionIdStr":"-1","MemberIdStr":"-1","DimensionId":-1,"MemberId":-1,"Inc":""},"_vena_DYNR_SControleIndelingPL_BB1_9b1becb2_6ff417f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6ff417f3","IsMultiDynamicRange":false,"MultiDynamicRangeID":null,"MultiDynamicCollectionID":null,"SectionName":"ControleIndelingPL","BlockName":"B1","VenaRangeType":5,"DimensionIdStr":"-1","MemberIdStr":"-1","DimensionId":-1,"MemberId":-1,"Inc":""},"_vena_DYNR_SControleIndelingPL_BB1_9b1becb2_704ac63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704ac63c","IsMultiDynamicRange":false,"MultiDynamicRangeID":null,"MultiDynamicCollectionID":null,"SectionName":"ControleIndelingPL","BlockName":"B1","VenaRangeType":5,"DimensionIdStr":"-1","MemberIdStr":"-1","DimensionId":-1,"MemberId":-1,"Inc":""},"_vena_DYNR_SControleIndelingPL_BB1_9b1becb2_70d4b545":{"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70d4b545","IsMultiDynamicRange":false,"MultiDynamicRangeID":null,"MultiDynamicCollectionID":null,"SectionName":"ControleIndelingPL","BlockName":"B1","VenaRangeType":5,"DimensionIdStr":"-1","MemberIdStr":"-1","DimensionId":-1,"MemberId":-1,"Inc":""},"_vena_DYNR_SControleIndelingPL_BB1_9b1becb2_7480cf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7480cf3","IsMultiDynamicRange":false,"MultiDynamicRangeID":null,"MultiDynamicCollectionID":null,"SectionName":"ControleIndelingPL","BlockName":"B1","VenaRangeType":5,"DimensionIdStr":"-1","MemberIdStr":"-1","DimensionId":-1,"MemberId":-1,"Inc":""},"_vena_DYNR_SControleIndelingPL_BB1_9b1becb2_7704dd85":{"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7704dd85","IsMultiDynamicRange":false,"MultiDynamicRangeID":null,"MultiDynamicCollectionID":null,"SectionName":"ControleIndelingPL","BlockName":"B1","VenaRangeType":5,"DimensionIdStr":"-1","MemberIdStr":"-1","DimensionId":-1,"MemberId":-1,"Inc":""},"_vena_DYNR_SControleIndelingPL_BB1_9b1becb2_7889e6a5":{"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7889e6a5","IsMultiDynamicRange":false,"MultiDynamicRangeID":null,"MultiDynamicCollectionID":null,"SectionName":"ControleIndelingPL","BlockName":"B1","VenaRangeType":5,"DimensionIdStr":"-1","MemberIdStr":"-1","DimensionId":-1,"MemberId":-1,"Inc":""},"_vena_DYNR_SControleIndelingPL_BB1_9b1becb2_79df2183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79df2183","IsMultiDynamicRange":false,"MultiDynamicRangeID":null,"MultiDynamicCollectionID":null,"SectionName":"ControleIndelingPL","BlockName":"B1","VenaRangeType":5,"DimensionIdStr":"-1","MemberIdStr":"-1","DimensionId":-1,"MemberId":-1,"Inc":""},"_vena_DYNR_SControleIndelingPL_BB1_9b1becb2_7a3be74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a3be74c","IsMultiDynamicRange":false,"MultiDynamicRangeID":null,"MultiDynamicCollectionID":null,"SectionName":"ControleIndelingPL","BlockName":"B1","VenaRangeType":5,"DimensionIdStr":"-1","MemberIdStr":"-1","DimensionId":-1,"MemberId":-1,"Inc":""},"_vena_DYNR_SControleIndelingPL_BB1_9b1becb2_7baa089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baa089f","IsMultiDynamicRange":false,"MultiDynamicRangeID":null,"MultiDynamicCollectionID":null,"SectionName":"ControleIndelingPL","BlockName":"B1","VenaRangeType":5,"DimensionIdStr":"-1","MemberIdStr":"-1","DimensionId":-1,"MemberId":-1,"Inc":""},"_vena_DYNR_SControleIndelingPL_BB1_9b1becb2_7bbb330d":{"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bbb330d","IsMultiDynamicRange":false,"MultiDynamicRangeID":null,"MultiDynamicCollectionID":null,"SectionName":"ControleIndelingPL","BlockName":"B1","VenaRangeType":5,"DimensionIdStr":"-1","MemberIdStr":"-1","DimensionId":-1,"MemberId":-1,"Inc":""},"_vena_DYNR_SControleIndelingPL_BB1_9b1becb2_7beefe05":{"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beefe05","IsMultiDynamicRange":false,"MultiDynamicRangeID":null,"MultiDynamicCollectionID":null,"SectionName":"ControleIndelingPL","BlockName":"B1","VenaRangeType":5,"DimensionIdStr":"-1","MemberIdStr":"-1","DimensionId":-1,"MemberId":-1,"Inc":""},"_vena_DYNR_SControleIndelingPL_BB1_9b1becb2_7cc51df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cc51dff","IsMultiDynamicRange":false,"MultiDynamicRangeID":null,"MultiDynamicCollectionID":null,"SectionName":"ControleIndelingPL","BlockName":"B1","VenaRangeType":5,"DimensionIdStr":"-1","MemberIdStr":"-1","DimensionId":-1,"MemberId":-1,"Inc":""},"_vena_DYNR_SControleIndelingPL_BB1_9b1becb2_7f6040c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f6040ca","IsMultiDynamicRange":false,"MultiDynamicRangeID":null,"MultiDynamicCollectionID":null,"SectionName":"ControleIndelingPL","BlockName":"B1","VenaRangeType":5,"DimensionIdStr":"-1","MemberIdStr":"-1","DimensionId":-1,"MemberId":-1,"Inc":""},"_vena_DYNR_SControleIndelingPL_BB1_9b1becb2_7fa2b87d":{"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7fa2b87d","IsMultiDynamicRange":false,"MultiDynamicRangeID":null,"MultiDynamicCollectionID":null,"SectionName":"ControleIndelingPL","BlockName":"B1","VenaRangeType":5,"DimensionIdStr":"-1","MemberIdStr":"-1","DimensionId":-1,"MemberId":-1,"Inc":""},"_vena_DYNR_SControleIndelingPL_BB1_9b1becb2_80408f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80408f0","IsMultiDynamicRange":false,"MultiDynamicRangeID":null,"MultiDynamicCollectionID":null,"SectionName":"ControleIndelingPL","BlockName":"B1","VenaRangeType":5,"DimensionIdStr":"-1","MemberIdStr":"-1","DimensionId":-1,"MemberId":-1,"Inc":""},"_vena_DYNR_SControleIndelingPL_BB1_9b1becb2_815c7752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815c7752","IsMultiDynamicRange":false,"MultiDynamicRangeID":null,"MultiDynamicCollectionID":null,"SectionName":"ControleIndelingPL","BlockName":"B1","VenaRangeType":5,"DimensionIdStr":"-1","MemberIdStr":"-1","DimensionId":-1,"MemberId":-1,"Inc":""},"_vena_DYNR_SControleIndelingPL_BB1_9b1becb2_84582e1d":{"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84582e1d","IsMultiDynamicRange":false,"MultiDynamicRangeID":null,"MultiDynamicCollectionID":null,"SectionName":"ControleIndelingPL","BlockName":"B1","VenaRangeType":5,"DimensionIdStr":"-1","MemberIdStr":"-1","DimensionId":-1,"MemberId":-1,"Inc":""},"_vena_DYNR_SControleIndelingPL_BB1_9b1becb2_858e44b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858e44b2","IsMultiDynamicRange":false,"MultiDynamicRangeID":null,"MultiDynamicCollectionID":null,"SectionName":"ControleIndelingPL","BlockName":"B1","VenaRangeType":5,"DimensionIdStr":"-1","MemberIdStr":"-1","DimensionId":-1,"MemberId":-1,"Inc":""},"_vena_DYNR_SControleIndelingPL_BB1_9b1becb2_8ae6721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8ae6721","IsMultiDynamicRange":false,"MultiDynamicRangeID":null,"MultiDynamicCollectionID":null,"SectionName":"ControleIndelingPL","BlockName":"B1","VenaRangeType":5,"DimensionIdStr":"-1","MemberIdStr":"-1","DimensionId":-1,"MemberId":-1,"Inc":""},"_vena_DYNR_SControleIndelingPL_BB1_9b1becb2_8e20e027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8e20e027","IsMultiDynamicRange":false,"MultiDynamicRangeID":null,"MultiDynamicCollectionID":null,"SectionName":"ControleIndelingPL","BlockName":"B1","VenaRangeType":5,"DimensionIdStr":"-1","MemberIdStr":"-1","DimensionId":-1,"MemberId":-1,"Inc":""},"_vena_DYNR_SControleIndelingPL_BB1_9b1becb2_8e3a1a68":{"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8e3a1a68","IsMultiDynamicRange":false,"MultiDynamicRangeID":null,"MultiDynamicCollectionID":null,"SectionName":"ControleIndelingPL","BlockName":"B1","VenaRangeType":5,"DimensionIdStr":"-1","MemberIdStr":"-1","DimensionId":-1,"MemberId":-1,"Inc":""},"_vena_DYNR_SControleIndelingPL_BB1_9b1becb2_8f8f04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8f8f04c","IsMultiDynamicRange":false,"MultiDynamicRangeID":null,"MultiDynamicCollectionID":null,"SectionName":"ControleIndelingPL","BlockName":"B1","VenaRangeType":5,"DimensionIdStr":"-1","MemberIdStr":"-1","DimensionId":-1,"MemberId":-1,"Inc":""},"_vena_DYNR_SControleIndelingPL_BB1_9b1becb2_90775d90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90775d90","IsMultiDynamicRange":false,"MultiDynamicRangeID":null,"MultiDynamicCollectionID":null,"SectionName":"ControleIndelingPL","BlockName":"B1","VenaRangeType":5,"DimensionIdStr":"-1","MemberIdStr":"-1","DimensionId":-1,"MemberId":-1,"Inc":""},"_vena_DYNR_SControleIndelingPL_BB1_9b1becb2_908da8a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908da8a0","IsMultiDynamicRange":false,"MultiDynamicRangeID":null,"MultiDynamicCollectionID":null,"SectionName":"ControleIndelingPL","BlockName":"B1","VenaRangeType":5,"DimensionIdStr":"-1","MemberIdStr":"-1","DimensionId":-1,"MemberId":-1,"Inc":""},"_vena_DYNR_SControleIndelingPL_BB1_9b1becb2_92e7c7d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92e7c7d4","IsMultiDynamicRange":false,"MultiDynamicRangeID":null,"MultiDynamicCollectionID":null,"SectionName":"ControleIndelingPL","BlockName":"B1","VenaRangeType":5,"DimensionIdStr":"-1","MemberIdStr":"-1","DimensionId":-1,"MemberId":-1,"Inc":""},"_vena_DYNR_SControleIndelingPL_BB1_9b1becb2_93d1cb14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93d1cb14","IsMultiDynamicRange":false,"MultiDynamicRangeID":null,"MultiDynamicCollectionID":null,"SectionName":"ControleIndelingPL","BlockName":"B1","VenaRangeType":5,"DimensionIdStr":"-1","MemberIdStr":"-1","DimensionId":-1,"MemberId":-1,"Inc":""},"_vena_DYNR_SControleIndelingPL_BB1_9b1becb2_95ff53d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95ff53d4","IsMultiDynamicRange":false,"MultiDynamicRangeID":null,"MultiDynamicCollectionID":null,"SectionName":"ControleIndelingPL","BlockName":"B1","VenaRangeType":5,"DimensionIdStr":"-1","MemberIdStr":"-1","DimensionId":-1,"MemberId":-1,"Inc":""},"_vena_DYNR_SControleIndelingPL_BB1_9b1becb2_96fa8496":{"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96fa8496","IsMultiDynamicRange":false,"MultiDynamicRangeID":null,"MultiDynamicCollectionID":null,"SectionName":"ControleIndelingPL","BlockName":"B1","VenaRangeType":5,"DimensionIdStr":"-1","MemberIdStr":"-1","DimensionId":-1,"MemberId":-1,"Inc":""},"_vena_DYNR_SControleIndelingPL_BB1_9b1becb2_99c6bf18":{"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99c6bf18","IsMultiDynamicRange":false,"MultiDynamicRangeID":null,"MultiDynamicCollectionID":null,"SectionName":"ControleIndelingPL","BlockName":"B1","VenaRangeType":5,"DimensionIdStr":"-1","MemberIdStr":"-1","DimensionId":-1,"MemberId":-1,"Inc":""},"_vena_DYNR_SControleIndelingPL_BB1_9b1becb2_9acdcd83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acdcd83","IsMultiDynamicRange":false,"MultiDynamicRangeID":null,"MultiDynamicCollectionID":null,"SectionName":"ControleIndelingPL","BlockName":"B1","VenaRangeType":5,"DimensionIdStr":"-1","MemberIdStr":"-1","DimensionId":-1,"MemberId":-1,"Inc":""},"_vena_DYNR_SControleIndelingPL_BB1_9b1becb2_9bd053a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bd053a7","IsMultiDynamicRange":false,"MultiDynamicRangeID":null,"MultiDynamicCollectionID":null,"SectionName":"ControleIndelingPL","BlockName":"B1","VenaRangeType":5,"DimensionIdStr":"-1","MemberIdStr":"-1","DimensionId":-1,"MemberId":-1,"Inc":""},"_vena_DYNR_SControleIndelingPL_BB1_9b1becb2_9ea627f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9ea627f2","IsMultiDynamicRange":false,"MultiDynamicRangeID":null,"MultiDynamicCollectionID":null,"SectionName":"ControleIndelingPL","BlockName":"B1","VenaRangeType":5,"DimensionIdStr":"-1","MemberIdStr":"-1","DimensionId":-1,"MemberId":-1,"Inc":""},"_vena_DYNR_SControleIndelingPL_BB1_9b1becb2_a3dbeef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3dbeef1","IsMultiDynamicRange":false,"MultiDynamicRangeID":null,"MultiDynamicCollectionID":null,"SectionName":"ControleIndelingPL","BlockName":"B1","VenaRangeType":5,"DimensionIdStr":"-1","MemberIdStr":"-1","DimensionId":-1,"MemberId":-1,"Inc":""},"_vena_DYNR_SControleIndelingPL_BB1_9b1becb2_a4ada1c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4ada1c7","IsMultiDynamicRange":false,"MultiDynamicRangeID":null,"MultiDynamicCollectionID":null,"SectionName":"ControleIndelingPL","BlockName":"B1","VenaRangeType":5,"DimensionIdStr":"-1","MemberIdStr":"-1","DimensionId":-1,"MemberId":-1,"Inc":""},"_vena_DYNR_SControleIndelingPL_BB1_9b1becb2_a5b8a16b":{"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5b8a16b","IsMultiDynamicRange":false,"MultiDynamicRangeID":null,"MultiDynamicCollectionID":null,"SectionName":"ControleIndelingPL","BlockName":"B1","VenaRangeType":5,"DimensionIdStr":"-1","MemberIdStr":"-1","DimensionId":-1,"MemberId":-1,"Inc":""},"_vena_DYNR_SControleIndelingPL_BB1_9b1becb2_a80c3a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80c3a1","IsMultiDynamicRange":false,"MultiDynamicRangeID":null,"MultiDynamicCollectionID":null,"SectionName":"ControleIndelingPL","BlockName":"B1","VenaRangeType":5,"DimensionIdStr":"-1","MemberIdStr":"-1","DimensionId":-1,"MemberId":-1,"Inc":""},"_vena_DYNR_SControleIndelingPL_BB1_9b1becb2_a8ac5bb6":{"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8ac5bb6","IsMultiDynamicRange":false,"MultiDynamicRangeID":null,"MultiDynamicCollectionID":null,"SectionName":"ControleIndelingPL","BlockName":"B1","VenaRangeType":5,"DimensionIdStr":"-1","MemberIdStr":"-1","DimensionId":-1,"MemberId":-1,"Inc":""},"_vena_DYNR_SControleIndelingPL_BB1_9b1becb2_a9435a24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9435a24","IsMultiDynamicRange":false,"MultiDynamicRangeID":null,"MultiDynamicCollectionID":null,"SectionName":"ControleIndelingPL","BlockName":"B1","VenaRangeType":5,"DimensionIdStr":"-1","MemberIdStr":"-1","DimensionId":-1,"MemberId":-1,"Inc":""},"_vena_DYNR_SControleIndelingPL_BB1_9b1becb2_a9dd57a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9dd57a2","IsMultiDynamicRange":false,"MultiDynamicRangeID":null,"MultiDynamicCollectionID":null,"SectionName":"ControleIndelingPL","BlockName":"B1","VenaRangeType":5,"DimensionIdStr":"-1","MemberIdStr":"-1","DimensionId":-1,"MemberId":-1,"Inc":""},"_vena_DYNR_SControleIndelingPL_BB1_9b1becb2_aabdc129":{"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abdc129","IsMultiDynamicRange":false,"MultiDynamicRangeID":null,"MultiDynamicCollectionID":null,"SectionName":"ControleIndelingPL","BlockName":"B1","VenaRangeType":5,"DimensionIdStr":"-1","MemberIdStr":"-1","DimensionId":-1,"MemberId":-1,"Inc":""},"_vena_DYNR_SControleIndelingPL_BB1_9b1becb2_ace10cd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ce10cda","IsMultiDynamicRange":false,"MultiDynamicRangeID":null,"MultiDynamicCollectionID":null,"SectionName":"ControleIndelingPL","BlockName":"B1","VenaRangeType":5,"DimensionIdStr":"-1","MemberIdStr":"-1","DimensionId":-1,"MemberId":-1,"Inc":""},"_vena_DYNR_SControleIndelingPL_BB1_9b1becb2_ad196d1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d196d1a","IsMultiDynamicRange":false,"MultiDynamicRangeID":null,"MultiDynamicCollectionID":null,"SectionName":"ControleIndelingPL","BlockName":"B1","VenaRangeType":5,"DimensionIdStr":"-1","MemberIdStr":"-1","DimensionId":-1,"MemberId":-1,"Inc":""},"_vena_DYNR_SControleIndelingPL_BB1_9b1becb2_ad252a7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d252a7c","IsMultiDynamicRange":false,"MultiDynamicRangeID":null,"MultiDynamicCollectionID":null,"SectionName":"ControleIndelingPL","BlockName":"B1","VenaRangeType":5,"DimensionIdStr":"-1","MemberIdStr":"-1","DimensionId":-1,"MemberId":-1,"Inc":""},"_vena_DYNR_SControleIndelingPL_BB1_9b1becb2_aee2322e":{"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aee2322e","IsMultiDynamicRange":false,"MultiDynamicRangeID":null,"MultiDynamicCollectionID":null,"SectionName":"ControleIndelingPL","BlockName":"B1","VenaRangeType":5,"DimensionIdStr":"-1","MemberIdStr":"-1","DimensionId":-1,"MemberId":-1,"Inc":""},"_vena_DYNR_SControleIndelingPL_BB1_9b1becb2_b03ea736":{"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03ea736","IsMultiDynamicRange":false,"MultiDynamicRangeID":null,"MultiDynamicCollectionID":null,"SectionName":"ControleIndelingPL","BlockName":"B1","VenaRangeType":5,"DimensionIdStr":"-1","MemberIdStr":"-1","DimensionId":-1,"MemberId":-1,"Inc":""},"_vena_DYNR_SControleIndelingPL_BB1_9b1becb2_b0919f60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0919f60","IsMultiDynamicRange":false,"MultiDynamicRangeID":null,"MultiDynamicCollectionID":null,"SectionName":"ControleIndelingPL","BlockName":"B1","VenaRangeType":5,"DimensionIdStr":"-1","MemberIdStr":"-1","DimensionId":-1,"MemberId":-1,"Inc":""},"_vena_DYNR_SControleIndelingPL_BB1_9b1becb2_b1f301be":{"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1f301be","IsMultiDynamicRange":false,"MultiDynamicRangeID":null,"MultiDynamicCollectionID":null,"SectionName":"ControleIndelingPL","BlockName":"B1","VenaRangeType":5,"DimensionIdStr":"-1","MemberIdStr":"-1","DimensionId":-1,"MemberId":-1,"Inc":""},"_vena_DYNR_SControleIndelingPL_BB1_9b1becb2_b29dc094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29dc094","IsMultiDynamicRange":false,"MultiDynamicRangeID":null,"MultiDynamicCollectionID":null,"SectionName":"ControleIndelingPL","BlockName":"B1","VenaRangeType":5,"DimensionIdStr":"-1","MemberIdStr":"-1","DimensionId":-1,"MemberId":-1,"Inc":""},"_vena_DYNR_SControleIndelingPL_BB1_9b1becb2_b34fdb3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34fdb3a","IsMultiDynamicRange":false,"MultiDynamicRangeID":null,"MultiDynamicCollectionID":null,"SectionName":"ControleIndelingPL","BlockName":"B1","VenaRangeType":5,"DimensionIdStr":"-1","MemberIdStr":"-1","DimensionId":-1,"MemberId":-1,"Inc":""},"_vena_DYNR_SControleIndelingPL_BB1_9b1becb2_b51c97bb":{"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51c97bb","IsMultiDynamicRange":false,"MultiDynamicRangeID":null,"MultiDynamicCollectionID":null,"SectionName":"ControleIndelingPL","BlockName":"B1","VenaRangeType":5,"DimensionIdStr":"-1","MemberIdStr":"-1","DimensionId":-1,"MemberId":-1,"Inc":""},"_vena_DYNR_SControleIndelingPL_BB1_9b1becb2_b59709e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59709ea","IsMultiDynamicRange":false,"MultiDynamicRangeID":null,"MultiDynamicCollectionID":null,"SectionName":"ControleIndelingPL","BlockName":"B1","VenaRangeType":5,"DimensionIdStr":"-1","MemberIdStr":"-1","DimensionId":-1,"MemberId":-1,"Inc":""},"_vena_DYNR_SControleIndelingPL_BB1_9b1becb2_b88425a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88425a1","IsMultiDynamicRange":false,"MultiDynamicRangeID":null,"MultiDynamicCollectionID":null,"SectionName":"ControleIndelingPL","BlockName":"B1","VenaRangeType":5,"DimensionIdStr":"-1","MemberIdStr":"-1","DimensionId":-1,"MemberId":-1,"Inc":""},"_vena_DYNR_SControleIndelingPL_BB1_9b1becb2_b8f7c2ab":{"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8f7c2ab","IsMultiDynamicRange":false,"MultiDynamicRangeID":null,"MultiDynamicCollectionID":null,"SectionName":"ControleIndelingPL","BlockName":"B1","VenaRangeType":5,"DimensionIdStr":"-1","MemberIdStr":"-1","DimensionId":-1,"MemberId":-1,"Inc":""},"_vena_DYNR_SControleIndelingPL_BB1_9b1becb2_b95369a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95369a1","IsMultiDynamicRange":false,"MultiDynamicRangeID":null,"MultiDynamicCollectionID":null,"SectionName":"ControleIndelingPL","BlockName":"B1","VenaRangeType":5,"DimensionIdStr":"-1","MemberIdStr":"-1","DimensionId":-1,"MemberId":-1,"Inc":""},"_vena_DYNR_SControleIndelingPL_BB1_9b1becb2_ba5dbe2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a5dbe2c","IsMultiDynamicRange":false,"MultiDynamicRangeID":null,"MultiDynamicCollectionID":null,"SectionName":"ControleIndelingPL","BlockName":"B1","VenaRangeType":5,"DimensionIdStr":"-1","MemberIdStr":"-1","DimensionId":-1,"MemberId":-1,"Inc":""},"_vena_DYNR_SControleIndelingPL_BB1_9b1becb2_ba870d2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a870d2f","IsMultiDynamicRange":false,"MultiDynamicRangeID":null,"MultiDynamicCollectionID":null,"SectionName":"ControleIndelingPL","BlockName":"B1","VenaRangeType":5,"DimensionIdStr":"-1","MemberIdStr":"-1","DimensionId":-1,"MemberId":-1,"Inc":""},"_vena_DYNR_SControleIndelingPL_BB1_9b1becb2_bb6cf2b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b6cf2b0","IsMultiDynamicRange":false,"MultiDynamicRangeID":null,"MultiDynamicCollectionID":null,"SectionName":"ControleIndelingPL","BlockName":"B1","VenaRangeType":5,"DimensionIdStr":"-1","MemberIdStr":"-1","DimensionId":-1,"MemberId":-1,"Inc":""},"_vena_DYNR_SControleIndelingPL_BB1_9b1becb2_bb8ac31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b8ac31f","IsMultiDynamicRange":false,"MultiDynamicRangeID":null,"MultiDynamicCollectionID":null,"SectionName":"ControleIndelingPL","BlockName":"B1","VenaRangeType":5,"DimensionIdStr":"-1","MemberIdStr":"-1","DimensionId":-1,"MemberId":-1,"Inc":""},"_vena_DYNR_SControleIndelingPL_BB1_9b1becb2_bc970a6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c970a6c","IsMultiDynamicRange":false,"MultiDynamicRangeID":null,"MultiDynamicCollectionID":null,"SectionName":"ControleIndelingPL","BlockName":"B1","VenaRangeType":5,"DimensionIdStr":"-1","MemberIdStr":"-1","DimensionId":-1,"MemberId":-1,"Inc":""},"_vena_DYNR_SControleIndelingPL_BB1_9b1becb2_bff80dea":{"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bff80dea","IsMultiDynamicRange":false,"MultiDynamicRangeID":null,"MultiDynamicCollectionID":null,"SectionName":"ControleIndelingPL","BlockName":"B1","VenaRangeType":5,"DimensionIdStr":"-1","MemberIdStr":"-1","DimensionId":-1,"MemberId":-1,"Inc":""},"_vena_DYNR_SControleIndelingPL_BB1_9b1becb2_c1e34737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1e34737","IsMultiDynamicRange":false,"MultiDynamicRangeID":null,"MultiDynamicCollectionID":null,"SectionName":"ControleIndelingPL","BlockName":"B1","VenaRangeType":5,"DimensionIdStr":"-1","MemberIdStr":"-1","DimensionId":-1,"MemberId":-1,"Inc":""},"_vena_DYNR_SControleIndelingPL_BB1_9b1becb2_c3bf2423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3bf2423","IsMultiDynamicRange":false,"MultiDynamicRangeID":null,"MultiDynamicCollectionID":null,"SectionName":"ControleIndelingPL","BlockName":"B1","VenaRangeType":5,"DimensionIdStr":"-1","MemberIdStr":"-1","DimensionId":-1,"MemberId":-1,"Inc":""},"_vena_DYNR_SControleIndelingPL_BB1_9b1becb2_c62fb022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62fb022","IsMultiDynamicRange":false,"MultiDynamicRangeID":null,"MultiDynamicCollectionID":null,"SectionName":"ControleIndelingPL","BlockName":"B1","VenaRangeType":5,"DimensionIdStr":"-1","MemberIdStr":"-1","DimensionId":-1,"MemberId":-1,"Inc":""},"_vena_DYNR_SControleIndelingPL_BB1_9b1becb2_c66933f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66933f3","IsMultiDynamicRange":false,"MultiDynamicRangeID":null,"MultiDynamicCollectionID":null,"SectionName":"ControleIndelingPL","BlockName":"B1","VenaRangeType":5,"DimensionIdStr":"-1","MemberIdStr":"-1","DimensionId":-1,"MemberId":-1,"Inc":""},"_vena_DYNR_SControleIndelingPL_BB1_9b1becb2_c76bcf49":{"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76bcf49","IsMultiDynamicRange":false,"MultiDynamicRangeID":null,"MultiDynamicCollectionID":null,"SectionName":"ControleIndelingPL","BlockName":"B1","VenaRangeType":5,"DimensionIdStr":"-1","MemberIdStr":"-1","DimensionId":-1,"MemberId":-1,"Inc":""},"_vena_DYNR_SControleIndelingPL_BB1_9b1becb2_c772c1d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772c1d1","IsMultiDynamicRange":false,"MultiDynamicRangeID":null,"MultiDynamicCollectionID":null,"SectionName":"ControleIndelingPL","BlockName":"B1","VenaRangeType":5,"DimensionIdStr":"-1","MemberIdStr":"-1","DimensionId":-1,"MemberId":-1,"Inc":""},"_vena_DYNR_SControleIndelingPL_BB1_9b1becb2_c7b2fd82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7b2fd82","IsMultiDynamicRange":false,"MultiDynamicRangeID":null,"MultiDynamicCollectionID":null,"SectionName":"ControleIndelingPL","BlockName":"B1","VenaRangeType":5,"DimensionIdStr":"-1","MemberIdStr":"-1","DimensionId":-1,"MemberId":-1,"Inc":""},"_vena_DYNR_SControleIndelingPL_BB1_9b1becb2_c8784cbd":{"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8784cbd","IsMultiDynamicRange":false,"MultiDynamicRangeID":null,"MultiDynamicCollectionID":null,"SectionName":"ControleIndelingPL","BlockName":"B1","VenaRangeType":5,"DimensionIdStr":"-1","MemberIdStr":"-1","DimensionId":-1,"MemberId":-1,"Inc":""},"_vena_DYNR_SControleIndelingPL_BB1_9b1becb2_ca176151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a176151","IsMultiDynamicRange":false,"MultiDynamicRangeID":null,"MultiDynamicCollectionID":null,"SectionName":"ControleIndelingPL","BlockName":"B1","VenaRangeType":5,"DimensionIdStr":"-1","MemberIdStr":"-1","DimensionId":-1,"MemberId":-1,"Inc":""},"_vena_DYNR_SControleIndelingPL_BB1_9b1becb2_caf2f1af":{"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af2f1af","IsMultiDynamicRange":false,"MultiDynamicRangeID":null,"MultiDynamicCollectionID":null,"SectionName":"ControleIndelingPL","BlockName":"B1","VenaRangeType":5,"DimensionIdStr":"-1","MemberIdStr":"-1","DimensionId":-1,"MemberId":-1,"Inc":""},"_vena_DYNR_SControleIndelingPL_BB1_9b1becb2_cc298ec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c298ec3","IsMultiDynamicRange":false,"MultiDynamicRangeID":null,"MultiDynamicCollectionID":null,"SectionName":"ControleIndelingPL","BlockName":"B1","VenaRangeType":5,"DimensionIdStr":"-1","MemberIdStr":"-1","DimensionId":-1,"MemberId":-1,"Inc":""},"_vena_DYNR_SControleIndelingPL_BB1_9b1becb2_cc59ed8b":{"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c59ed8b","IsMultiDynamicRange":false,"MultiDynamicRangeID":null,"MultiDynamicCollectionID":null,"SectionName":"ControleIndelingPL","BlockName":"B1","VenaRangeType":5,"DimensionIdStr":"-1","MemberIdStr":"-1","DimensionId":-1,"MemberId":-1,"Inc":""},"_vena_DYNR_SControleIndelingPL_BB1_9b1becb2_ccfb6ac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cfb6ac3","IsMultiDynamicRange":false,"MultiDynamicRangeID":null,"MultiDynamicCollectionID":null,"SectionName":"ControleIndelingPL","BlockName":"B1","VenaRangeType":5,"DimensionIdStr":"-1","MemberIdStr":"-1","DimensionId":-1,"MemberId":-1,"Inc":""},"_vena_DYNR_SControleIndelingPL_BB1_9b1becb2_ce98458":{"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ce98458","IsMultiDynamicRange":false,"MultiDynamicRangeID":null,"MultiDynamicCollectionID":null,"SectionName":"ControleIndelingPL","BlockName":"B1","VenaRangeType":5,"DimensionIdStr":"-1","MemberIdStr":"-1","DimensionId":-1,"MemberId":-1,"Inc":""},"_vena_DYNR_SControleIndelingPL_BB1_9b1becb2_d032b451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032b451","IsMultiDynamicRange":false,"MultiDynamicRangeID":null,"MultiDynamicCollectionID":null,"SectionName":"ControleIndelingPL","BlockName":"B1","VenaRangeType":5,"DimensionIdStr":"-1","MemberIdStr":"-1","DimensionId":-1,"MemberId":-1,"Inc":""},"_vena_DYNR_SControleIndelingPL_BB1_9b1becb2_d045ecf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045ecf4","IsMultiDynamicRange":false,"MultiDynamicRangeID":null,"MultiDynamicCollectionID":null,"SectionName":"ControleIndelingPL","BlockName":"B1","VenaRangeType":5,"DimensionIdStr":"-1","MemberIdStr":"-1","DimensionId":-1,"MemberId":-1,"Inc":""},"_vena_DYNR_SControleIndelingPL_BB1_9b1becb2_d3a2273d":{"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3a2273d","IsMultiDynamicRange":false,"MultiDynamicRangeID":null,"MultiDynamicCollectionID":null,"SectionName":"ControleIndelingPL","BlockName":"B1","VenaRangeType":5,"DimensionIdStr":"-1","MemberIdStr":"-1","DimensionId":-1,"MemberId":-1,"Inc":""},"_vena_DYNR_SControleIndelingPL_BB1_9b1becb2_d3f771c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3f771c3","IsMultiDynamicRange":false,"MultiDynamicRangeID":null,"MultiDynamicCollectionID":null,"SectionName":"ControleIndelingPL","BlockName":"B1","VenaRangeType":5,"DimensionIdStr":"-1","MemberIdStr":"-1","DimensionId":-1,"MemberId":-1,"Inc":""},"_vena_DYNR_SControleIndelingPL_BB1_9b1becb2_d4a75b30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4a75b30","IsMultiDynamicRange":false,"MultiDynamicRangeID":null,"MultiDynamicCollectionID":null,"SectionName":"ControleIndelingPL","BlockName":"B1","VenaRangeType":5,"DimensionIdStr":"-1","MemberIdStr":"-1","DimensionId":-1,"MemberId":-1,"Inc":""},"_vena_DYNR_SControleIndelingPL_BB1_9b1becb2_d4b03357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4b03357","IsMultiDynamicRange":false,"MultiDynamicRangeID":null,"MultiDynamicCollectionID":null,"SectionName":"ControleIndelingPL","BlockName":"B1","VenaRangeType":5,"DimensionIdStr":"-1","MemberIdStr":"-1","DimensionId":-1,"MemberId":-1,"Inc":""},"_vena_DYNR_SControleIndelingPL_BB1_9b1becb2_d4e43a9":{"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4e43a9","IsMultiDynamicRange":false,"MultiDynamicRangeID":null,"MultiDynamicCollectionID":null,"SectionName":"ControleIndelingPL","BlockName":"B1","VenaRangeType":5,"DimensionIdStr":"-1","MemberIdStr":"-1","DimensionId":-1,"MemberId":-1,"Inc":""},"_vena_DYNR_SControleIndelingPL_BB1_9b1becb2_d549639":{"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549639","IsMultiDynamicRange":false,"MultiDynamicRangeID":null,"MultiDynamicCollectionID":null,"SectionName":"ControleIndelingPL","BlockName":"B1","VenaRangeType":5,"DimensionIdStr":"-1","MemberIdStr":"-1","DimensionId":-1,"MemberId":-1,"Inc":""},"_vena_DYNR_SControleIndelingPL_BB1_9b1becb2_d5b23c84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5b23c84","IsMultiDynamicRange":false,"MultiDynamicRangeID":null,"MultiDynamicCollectionID":null,"SectionName":"ControleIndelingPL","BlockName":"B1","VenaRangeType":5,"DimensionIdStr":"-1","MemberIdStr":"-1","DimensionId":-1,"MemberId":-1,"Inc":""},"_vena_DYNR_SControleIndelingPL_BB1_9b1becb2_d65e5fce":{"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65e5fce","IsMultiDynamicRange":false,"MultiDynamicRangeID":null,"MultiDynamicCollectionID":null,"SectionName":"ControleIndelingPL","BlockName":"B1","VenaRangeType":5,"DimensionIdStr":"-1","MemberIdStr":"-1","DimensionId":-1,"MemberId":-1,"Inc":""},"_vena_DYNR_SControleIndelingPL_BB1_9b1becb2_d6b09af9":{"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6b09af9","IsMultiDynamicRange":false,"MultiDynamicRangeID":null,"MultiDynamicCollectionID":null,"SectionName":"ControleIndelingPL","BlockName":"B1","VenaRangeType":5,"DimensionIdStr":"-1","MemberIdStr":"-1","DimensionId":-1,"MemberId":-1,"Inc":""},"_vena_DYNR_SControleIndelingPL_BB1_9b1becb2_d8c62e13":{"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8c62e13","IsMultiDynamicRange":false,"MultiDynamicRangeID":null,"MultiDynamicCollectionID":null,"SectionName":"ControleIndelingPL","BlockName":"B1","VenaRangeType":5,"DimensionIdStr":"-1","MemberIdStr":"-1","DimensionId":-1,"MemberId":-1,"Inc":""},"_vena_DYNR_SControleIndelingPL_BB1_9b1becb2_dacf7d40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acf7d40","IsMultiDynamicRange":false,"MultiDynamicRangeID":null,"MultiDynamicCollectionID":null,"SectionName":"ControleIndelingPL","BlockName":"B1","VenaRangeType":5,"DimensionIdStr":"-1","MemberIdStr":"-1","DimensionId":-1,"MemberId":-1,"Inc":""},"_vena_DYNR_SControleIndelingPL_BB1_9b1becb2_dd421a7e":{"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d421a7e","IsMultiDynamicRange":false,"MultiDynamicRangeID":null,"MultiDynamicCollectionID":null,"SectionName":"ControleIndelingPL","BlockName":"B1","VenaRangeType":5,"DimensionIdStr":"-1","MemberIdStr":"-1","DimensionId":-1,"MemberId":-1,"Inc":""},"_vena_DYNR_SControleIndelingPL_BB1_9b1becb2_de096825":{"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e096825","IsMultiDynamicRange":false,"MultiDynamicRangeID":null,"MultiDynamicCollectionID":null,"SectionName":"ControleIndelingPL","BlockName":"B1","VenaRangeType":5,"DimensionIdStr":"-1","MemberIdStr":"-1","DimensionId":-1,"MemberId":-1,"Inc":""},"_vena_DYNR_SControleIndelingPL_BB1_9b1becb2_de0bc0a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e0bc0a7","IsMultiDynamicRange":false,"MultiDynamicRangeID":null,"MultiDynamicCollectionID":null,"SectionName":"ControleIndelingPL","BlockName":"B1","VenaRangeType":5,"DimensionIdStr":"-1","MemberIdStr":"-1","DimensionId":-1,"MemberId":-1,"Inc":""},"_vena_DYNR_SControleIndelingPL_BB1_9b1becb2_de5a4a12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de5a4a12","IsMultiDynamicRange":false,"MultiDynamicRangeID":null,"MultiDynamicCollectionID":null,"SectionName":"ControleIndelingPL","BlockName":"B1","VenaRangeType":5,"DimensionIdStr":"-1","MemberIdStr":"-1","DimensionId":-1,"MemberId":-1,"Inc":""},"_vena_DYNR_SControleIndelingPL_BB1_9b1becb2_e0d393d8":{"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0d393d8","IsMultiDynamicRange":false,"MultiDynamicRangeID":null,"MultiDynamicCollectionID":null,"SectionName":"ControleIndelingPL","BlockName":"B1","VenaRangeType":5,"DimensionIdStr":"-1","MemberIdStr":"-1","DimensionId":-1,"MemberId":-1,"Inc":""},"_vena_DYNR_SControleIndelingPL_BB1_9b1becb2_e514c6c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514c6c0","IsMultiDynamicRange":false,"MultiDynamicRangeID":null,"MultiDynamicCollectionID":null,"SectionName":"ControleIndelingPL","BlockName":"B1","VenaRangeType":5,"DimensionIdStr":"-1","MemberIdStr":"-1","DimensionId":-1,"MemberId":-1,"Inc":""},"_vena_DYNR_SControleIndelingPL_BB1_9b1becb2_e8fce450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8fce450","IsMultiDynamicRange":false,"MultiDynamicRangeID":null,"MultiDynamicCollectionID":null,"SectionName":"ControleIndelingPL","BlockName":"B1","VenaRangeType":5,"DimensionIdStr":"-1","MemberIdStr":"-1","DimensionId":-1,"MemberId":-1,"Inc":""},"_vena_DYNR_SControleIndelingPL_BB1_9b1becb2_ec3e8920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c3e8920","IsMultiDynamicRange":false,"MultiDynamicRangeID":null,"MultiDynamicCollectionID":null,"SectionName":"ControleIndelingPL","BlockName":"B1","VenaRangeType":5,"DimensionIdStr":"-1","MemberIdStr":"-1","DimensionId":-1,"MemberId":-1,"Inc":""},"_vena_DYNR_SControleIndelingPL_BB1_9b1becb2_ec587a9":{"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c587a9","IsMultiDynamicRange":false,"MultiDynamicRangeID":null,"MultiDynamicCollectionID":null,"SectionName":"ControleIndelingPL","BlockName":"B1","VenaRangeType":5,"DimensionIdStr":"-1","MemberIdStr":"-1","DimensionId":-1,"MemberId":-1,"Inc":""},"_vena_DYNR_SControleIndelingPL_BB1_9b1becb2_ecd39081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cd39081","IsMultiDynamicRange":false,"MultiDynamicRangeID":null,"MultiDynamicCollectionID":null,"SectionName":"ControleIndelingPL","BlockName":"B1","VenaRangeType":5,"DimensionIdStr":"-1","MemberIdStr":"-1","DimensionId":-1,"MemberId":-1,"Inc":""},"_vena_DYNR_SControleIndelingPL_BB1_9b1becb2_edc9e37":{"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dc9e37","IsMultiDynamicRange":false,"MultiDynamicRangeID":null,"MultiDynamicCollectionID":null,"SectionName":"ControleIndelingPL","BlockName":"B1","VenaRangeType":5,"DimensionIdStr":"-1","MemberIdStr":"-1","DimensionId":-1,"MemberId":-1,"Inc":""},"_vena_DYNR_SControleIndelingPL_BB1_9b1becb2_ede4cb54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de4cb54","IsMultiDynamicRange":false,"MultiDynamicRangeID":null,"MultiDynamicCollectionID":null,"SectionName":"ControleIndelingPL","BlockName":"B1","VenaRangeType":5,"DimensionIdStr":"-1","MemberIdStr":"-1","DimensionId":-1,"MemberId":-1,"Inc":""},"_vena_DYNR_SControleIndelingPL_BB1_9b1becb2_ef2e34a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f2e34a0","IsMultiDynamicRange":false,"MultiDynamicRangeID":null,"MultiDynamicCollectionID":null,"SectionName":"ControleIndelingPL","BlockName":"B1","VenaRangeType":5,"DimensionIdStr":"-1","MemberIdStr":"-1","DimensionId":-1,"MemberId":-1,"Inc":""},"_vena_DYNR_SControleIndelingPL_BB1_9b1becb2_ef778c40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ef778c40","IsMultiDynamicRange":false,"MultiDynamicRangeID":null,"MultiDynamicCollectionID":null,"SectionName":"ControleIndelingPL","BlockName":"B1","VenaRangeType":5,"DimensionIdStr":"-1","MemberIdStr":"-1","DimensionId":-1,"MemberId":-1,"Inc":""},"_vena_DYNR_SControleIndelingPL_BB1_9b1becb2_f0647aa8":{"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f0647aa8","IsMultiDynamicRange":false,"MultiDynamicRangeID":null,"MultiDynamicCollectionID":null,"SectionName":"ControleIndelingPL","BlockName":"B1","VenaRangeType":5,"DimensionIdStr":"-1","MemberIdStr":"-1","DimensionId":-1,"MemberId":-1,"Inc":""},"_vena_DYNR_SControleIndelingPL_BB1_9b1becb2_f28274e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f28274ec","IsMultiDynamicRange":false,"MultiDynamicRangeID":null,"MultiDynamicCollectionID":null,"SectionName":"ControleIndelingPL","BlockName":"B1","VenaRangeType":5,"DimensionIdStr":"-1","MemberIdStr":"-1","DimensionId":-1,"MemberId":-1,"Inc":""},"_vena_DYNR_SControleIndelingPL_BB1_9b1becb2_f532eac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f532eac1","IsMultiDynamicRange":false,"MultiDynamicRangeID":null,"MultiDynamicCollectionID":null,"SectionName":"ControleIndelingPL","BlockName":"B1","VenaRangeType":5,"DimensionIdStr":"-1","MemberIdStr":"-1","DimensionId":-1,"MemberId":-1,"Inc":""},"_vena_DYNR_SControleIndelingPL_BB1_9b1becb2_f6c919e4":{"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f6c919e4","IsMultiDynamicRange":false,"MultiDynamicRangeID":null,"MultiDynamicCollectionID":null,"SectionName":"ControleIndelingPL","BlockName":"B1","VenaRangeType":5,"DimensionIdStr":"-1","MemberIdStr":"-1","DimensionId":-1,"MemberId":-1,"Inc":""},"_vena_DYNR_SControleIndelingPL_BB1_9b1becb2_f863dfc":{"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f863dfc","IsMultiDynamicRange":false,"MultiDynamicRangeID":null,"MultiDynamicCollectionID":null,"SectionName":"ControleIndelingPL","BlockName":"B1","VenaRangeType":5,"DimensionIdStr":"-1","MemberIdStr":"-1","DimensionId":-1,"MemberId":-1,"Inc":""},"_vena_DYNR_SControleIndelingPL_BB1_9b1becb2_f98894b1":{"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f98894b1","IsMultiDynamicRange":false,"MultiDynamicRangeID":null,"MultiDynamicCollectionID":null,"SectionName":"ControleIndelingPL","BlockName":"B1","VenaRangeType":5,"DimensionIdStr":"-1","MemberIdStr":"-1","DimensionId":-1,"MemberId":-1,"Inc":""},"_vena_DYNR_SControleIndelingPL_BB1_9b1becb2_fc726290":{"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fc726290","IsMultiDynamicRange":false,"MultiDynamicRangeID":null,"MultiDynamicCollectionID":null,"SectionName":"ControleIndelingPL","BlockName":"B1","VenaRangeType":5,"DimensionIdStr":"-1","MemberIdStr":"-1","DimensionId":-1,"MemberId":-1,"Inc":""},"_vena_DYNR_SControleIndelingPL_BB1_9b1becb2_fdc9cb82":{"SourceGlobalVariableId":-1,"SourceFormVariableId":"00000000-0000-0000-0000-000000000000","IsPageVariable":false,"IsLineItemDetailEnabled":false,"LineItemDetailOrder":0,"LineItemID":null,"PageVariableSectionReference":"","PageVariableDimensionName":null,"IsDynamicRange":true,"IsDynamicRangeEntry":true,"DynamicRangeID":"9b1becb2","DynamicRangeEntryID":"fdc9cb82","IsMultiDynamicRange":false,"MultiDynamicRangeID":null,"MultiDynamicCollectionID":null,"SectionName":"ControleIndelingPL","BlockName":"B1","VenaRangeType":5,"DimensionIdStr":"-1","MemberIdStr":"-1","DimensionId":-1,"MemberId":-1,"Inc":""},"_vena_DYNR_SControleIndelingPLNomUL_BB1_334d2cd1":{"SourceGlobalVariableId":-1,"SourceFormVariableId":"00000000-0000-0000-0000-000000000000","IsPageVariable":false,"IsLineItemDetailEnabled":false,"LineItemDetailOrder":0,"LineItemID":null,"PageVariableSectionReference":"","PageVariableDimensionName":null,"IsDynamicRange":true,"IsDynamicRangeEntry":false,"DynamicRangeID":"334d2cd1","DynamicRangeEntryID":null,"IsMultiDynamicRange":false,"MultiDynamicRangeID":null,"MultiDynamicCollectionID":null,"SectionName":"ControleIndelingPLNomUL","BlockName":"B1","VenaRangeType":5,"DimensionIdStr":"-1","MemberIdStr":"-1","DimensionId":-1,"MemberId":-1,"Inc":""},"_vena_DYNR_SControleIndelingPLNomUL_BB1_334d2cd1_17577ea4":{"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17577ea4","IsMultiDynamicRange":false,"MultiDynamicRangeID":null,"MultiDynamicCollectionID":null,"SectionName":"ControleIndelingPLNomUL","BlockName":"B1","VenaRangeType":5,"DimensionIdStr":"-1","MemberIdStr":"-1","DimensionId":-1,"MemberId":-1,"Inc":""},"_vena_DYNR_SControleIndelingPLNomUL_BB1_334d2cd1_20d7cd8b":{"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20d7cd8b","IsMultiDynamicRange":false,"MultiDynamicRangeID":null,"MultiDynamicCollectionID":null,"SectionName":"ControleIndelingPLNomUL","BlockName":"B1","VenaRangeType":5,"DimensionIdStr":"-1","MemberIdStr":"-1","DimensionId":-1,"MemberId":-1,"Inc":""},"_vena_DYNR_SControleIndelingPLNomUL_BB1_334d2cd1_52b21331":{"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52b21331","IsMultiDynamicRange":false,"MultiDynamicRangeID":null,"MultiDynamicCollectionID":null,"SectionName":"ControleIndelingPLNomUL","BlockName":"B1","VenaRangeType":5,"DimensionIdStr":"-1","MemberIdStr":"-1","DimensionId":-1,"MemberId":-1,"Inc":""},"_vena_DYNR_SControleIndelingPLNomUL_BB1_334d2cd1_5c107090":{"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5c107090","IsMultiDynamicRange":false,"MultiDynamicRangeID":null,"MultiDynamicCollectionID":null,"SectionName":"ControleIndelingPLNomUL","BlockName":"B1","VenaRangeType":5,"DimensionIdStr":"-1","MemberIdStr":"-1","DimensionId":-1,"MemberId":-1,"Inc":""},"_vena_DYNR_SControleIndelingPLNomUL_BB1_334d2cd1_61ad846":{"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61ad846","IsMultiDynamicRange":false,"MultiDynamicRangeID":null,"MultiDynamicCollectionID":null,"SectionName":"ControleIndelingPLNomUL","BlockName":"B1","VenaRangeType":5,"DimensionIdStr":"-1","MemberIdStr":"-1","DimensionId":-1,"MemberId":-1,"Inc":""},"_vena_DYNR_SControleIndelingPLNomUL_BB1_334d2cd1_863bdc24":{"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863bdc24","IsMultiDynamicRange":false,"MultiDynamicRangeID":null,"MultiDynamicCollectionID":null,"SectionName":"ControleIndelingPLNomUL","BlockName":"B1","VenaRangeType":5,"DimensionIdStr":"-1","MemberIdStr":"-1","DimensionId":-1,"MemberId":-1,"Inc":""},"_vena_DYNR_SControleIndelingPLNomUL_BB1_334d2cd1_8951c42e":{"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8951c42e","IsMultiDynamicRange":false,"MultiDynamicRangeID":null,"MultiDynamicCollectionID":null,"SectionName":"ControleIndelingPLNomUL","BlockName":"B1","VenaRangeType":5,"DimensionIdStr":"-1","MemberIdStr":"-1","DimensionId":-1,"MemberId":-1,"Inc":""},"_vena_DYNR_SControleIndelingPLNomUL_BB1_334d2cd1_a05abe8b":{"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a05abe8b","IsMultiDynamicRange":false,"MultiDynamicRangeID":null,"MultiDynamicCollectionID":null,"SectionName":"ControleIndelingPLNomUL","BlockName":"B1","VenaRangeType":5,"DimensionIdStr":"-1","MemberIdStr":"-1","DimensionId":-1,"MemberId":-1,"Inc":""},"_vena_DYNR_SControleIndelingPLNomUL_BB1_334d2cd1_a0a64ea":{"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a0a64ea","IsMultiDynamicRange":false,"MultiDynamicRangeID":null,"MultiDynamicCollectionID":null,"SectionName":"ControleIndelingPLNomUL","BlockName":"B1","VenaRangeType":5,"DimensionIdStr":"-1","MemberIdStr":"-1","DimensionId":-1,"MemberId":-1,"Inc":""},"_vena_DYNR_SControleIndelingPLNomUL_BB1_334d2cd1_a7bf389b":{"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a7bf389b","IsMultiDynamicRange":false,"MultiDynamicRangeID":null,"MultiDynamicCollectionID":null,"SectionName":"ControleIndelingPLNomUL","BlockName":"B1","VenaRangeType":5,"DimensionIdStr":"-1","MemberIdStr":"-1","DimensionId":-1,"MemberId":-1,"Inc":""},"_vena_DYNR_SControleIndelingPLNomUL_BB1_334d2cd1_b5bcf92f":{"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b5bcf92f","IsMultiDynamicRange":false,"MultiDynamicRangeID":null,"MultiDynamicCollectionID":null,"SectionName":"ControleIndelingPLNomUL","BlockName":"B1","VenaRangeType":5,"DimensionIdStr":"-1","MemberIdStr":"-1","DimensionId":-1,"MemberId":-1,"Inc":""},"_vena_DYNR_SControleIndelingPLNomUL_BB1_334d2cd1_c3807622":{"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c3807622","IsMultiDynamicRange":false,"MultiDynamicRangeID":null,"MultiDynamicCollectionID":null,"SectionName":"ControleIndelingPLNomUL","BlockName":"B1","VenaRangeType":5,"DimensionIdStr":"-1","MemberIdStr":"-1","DimensionId":-1,"MemberId":-1,"Inc":""},"_vena_DYNR_SControleIndelingPLNomUL_BB1_334d2cd1_c8bad2e6":{"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c8bad2e6","IsMultiDynamicRange":false,"MultiDynamicRangeID":null,"MultiDynamicCollectionID":null,"SectionName":"ControleIndelingPLNomUL","BlockName":"B1","VenaRangeType":5,"DimensionIdStr":"-1","MemberIdStr":"-1","DimensionId":-1,"MemberId":-1,"Inc":""},"_vena_DYNR_SControleIndelingPLNomUL_BB1_334d2cd1_d4c6810a":{"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d4c6810a","IsMultiDynamicRange":false,"MultiDynamicRangeID":null,"MultiDynamicCollectionID":null,"SectionName":"ControleIndelingPLNomUL","BlockName":"B1","VenaRangeType":5,"DimensionIdStr":"-1","MemberIdStr":"-1","DimensionId":-1,"MemberId":-1,"Inc":""},"_vena_DYNR_SControleIndelingPLNomUL_BB1_334d2cd1_d9e7aa61":{"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d9e7aa61","IsMultiDynamicRange":false,"MultiDynamicRangeID":null,"MultiDynamicCollectionID":null,"SectionName":"ControleIndelingPLNomUL","BlockName":"B1","VenaRangeType":5,"DimensionIdStr":"-1","MemberIdStr":"-1","DimensionId":-1,"MemberId":-1,"Inc":""},"_vena_DYNR_SControleIndelingPLNomUL_BB1_334d2cd1_dbfde64f":{"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dbfde64f","IsMultiDynamicRange":false,"MultiDynamicRangeID":null,"MultiDynamicCollectionID":null,"SectionName":"ControleIndelingPLNomUL","BlockName":"B1","VenaRangeType":5,"DimensionIdStr":"-1","MemberIdStr":"-1","DimensionId":-1,"MemberId":-1,"Inc":""},"_vena_DYNR_SControleIndelingPLNomUL_BB1_334d2cd1_e6975118":{"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e6975118","IsMultiDynamicRange":false,"MultiDynamicRangeID":null,"MultiDynamicCollectionID":null,"SectionName":"ControleIndelingPLNomUL","BlockName":"B1","VenaRangeType":5,"DimensionIdStr":"-1","MemberIdStr":"-1","DimensionId":-1,"MemberId":-1,"Inc":""},"_vena_DYNR_SControleIndelingPLNomUL_BB1_334d2cd1_e6c7eed4":{"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e6c7eed4","IsMultiDynamicRange":false,"MultiDynamicRangeID":null,"MultiDynamicCollectionID":null,"SectionName":"ControleIndelingPLNomUL","BlockName":"B1","VenaRangeType":5,"DimensionIdStr":"-1","MemberIdStr":"-1","DimensionId":-1,"MemberId":-1,"Inc":""},"_vena_DYNR_SControleIndelingPLNomUL_BB1_334d2cd1_ec2a8bc8":{"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ec2a8bc8","IsMultiDynamicRange":false,"MultiDynamicRangeID":null,"MultiDynamicCollectionID":null,"SectionName":"ControleIndelingPLNomUL","BlockName":"B1","VenaRangeType":5,"DimensionIdStr":"-1","MemberIdStr":"-1","DimensionId":-1,"MemberId":-1,"Inc":""},"_vena_DYNR_SControleIndelingPLNomUL_BB1_334d2cd1_ff452506":{"SourceGlobalVariableId":-1,"SourceFormVariableId":"00000000-0000-0000-0000-000000000000","IsPageVariable":false,"IsLineItemDetailEnabled":false,"LineItemDetailOrder":0,"LineItemID":null,"PageVariableSectionReference":"","PageVariableDimensionName":null,"IsDynamicRange":true,"IsDynamicRangeEntry":true,"DynamicRangeID":"334d2cd1","DynamicRangeEntryID":"ff452506","IsMultiDynamicRange":false,"MultiDynamicRangeID":null,"MultiDynamicCollectionID":null,"SectionName":"ControleIndelingPLNomUL","BlockName":"B1","VenaRangeType":5,"DimensionIdStr":"-1","MemberIdStr":"-1","DimensionId":-1,"MemberId":-1,"Inc":""},"_vena_DYNR_SControleIndelingPLNomUL_BB1_8de5a235":{"SourceGlobalVariableId":-1,"SourceFormVariableId":"00000000-0000-0000-0000-000000000000","IsPageVariable":false,"IsLineItemDetailEnabled":false,"LineItemDetailOrder":0,"LineItemID":null,"PageVariableSectionReference":"","PageVariableDimensionName":null,"IsDynamicRange":true,"IsDynamicRangeEntry":false,"DynamicRangeID":"8de5a235","DynamicRangeEntryID":null,"IsMultiDynamicRange":false,"MultiDynamicRangeID":null,"MultiDynamicCollectionID":null,"SectionName":"ControleIndelingPLNomUL","BlockName":"B1","VenaRangeType":5,"DimensionIdStr":"-1","MemberIdStr":"-1","DimensionId":-1,"MemberId":-1,"Inc":""},"_vena_DYNR_SControleIndelingPLNomUL_BB1_8de5a235_11e0a66a":{"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11e0a66a","IsMultiDynamicRange":false,"MultiDynamicRangeID":null,"MultiDynamicCollectionID":null,"SectionName":"ControleIndelingPLNomUL","BlockName":"B1","VenaRangeType":5,"DimensionIdStr":"-1","MemberIdStr":"-1","DimensionId":-1,"MemberId":-1,"Inc":""},"_vena_DYNR_SControleIndelingPLNomUL_BB1_8de5a235_15dfba9b":{"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15dfba9b","IsMultiDynamicRange":false,"MultiDynamicRangeID":null,"MultiDynamicCollectionID":null,"SectionName":"ControleIndelingPLNomUL","BlockName":"B1","VenaRangeType":5,"DimensionIdStr":"-1","MemberIdStr":"-1","DimensionId":-1,"MemberId":-1,"Inc":""},"_vena_DYNR_SControleIndelingPLNomUL_BB1_8de5a235_1b2181c4":{"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1b2181c4","IsMultiDynamicRange":false,"MultiDynamicRangeID":null,"MultiDynamicCollectionID":null,"SectionName":"ControleIndelingPLNomUL","BlockName":"B1","VenaRangeType":5,"DimensionIdStr":"-1","MemberIdStr":"-1","DimensionId":-1,"MemberId":-1,"Inc":""},"_vena_DYNR_SControleIndelingPLNomUL_BB1_8de5a235_2dc41b35":{"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2dc41b35","IsMultiDynamicRange":false,"MultiDynamicRangeID":null,"MultiDynamicCollectionID":null,"SectionName":"ControleIndelingPLNomUL","BlockName":"B1","VenaRangeType":5,"DimensionIdStr":"-1","MemberIdStr":"-1","DimensionId":-1,"MemberId":-1,"Inc":""},"_vena_DYNR_SControleIndelingPLNomUL_BB1_8de5a235_30326a9c":{"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30326a9c","IsMultiDynamicRange":false,"MultiDynamicRangeID":null,"MultiDynamicCollectionID":null,"SectionName":"ControleIndelingPLNomUL","BlockName":"B1","VenaRangeType":5,"DimensionIdStr":"-1","MemberIdStr":"-1","DimensionId":-1,"MemberId":-1,"Inc":""},"_vena_DYNR_SControleIndelingPLNomUL_BB1_8de5a235_32834095":{"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32834095","IsMultiDynamicRange":false,"MultiDynamicRangeID":null,"MultiDynamicCollectionID":null,"SectionName":"ControleIndelingPLNomUL","BlockName":"B1","VenaRangeType":5,"DimensionIdStr":"-1","MemberIdStr":"-1","DimensionId":-1,"MemberId":-1,"Inc":""},"_vena_DYNR_SControleIndelingPLNomUL_BB1_8de5a235_33e369e9":{"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33e369e9","IsMultiDynamicRange":false,"MultiDynamicRangeID":null,"MultiDynamicCollectionID":null,"SectionName":"ControleIndelingPLNomUL","BlockName":"B1","VenaRangeType":5,"DimensionIdStr":"-1","MemberIdStr":"-1","DimensionId":-1,"MemberId":-1,"Inc":""},"_vena_DYNR_SControleIndelingPLNomUL_BB1_8de5a235_48a7d8c6":{"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48a7d8c6","IsMultiDynamicRange":false,"MultiDynamicRangeID":null,"MultiDynamicCollectionID":null,"SectionName":"ControleIndelingPLNomUL","BlockName":"B1","VenaRangeType":5,"DimensionIdStr":"-1","MemberIdStr":"-1","DimensionId":-1,"MemberId":-1,"Inc":""},"_vena_DYNR_SControleIndelingPLNomUL_BB1_8de5a235_497ac35e":{"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497ac35e","IsMultiDynamicRange":false,"MultiDynamicRangeID":null,"MultiDynamicCollectionID":null,"SectionName":"ControleIndelingPLNomUL","BlockName":"B1","VenaRangeType":5,"DimensionIdStr":"-1","MemberIdStr":"-1","DimensionId":-1,"MemberId":-1,"Inc":""},"_vena_DYNR_SControleIndelingPLNomUL_BB1_8de5a235_4e53c7bd":{"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4e53c7bd","IsMultiDynamicRange":false,"MultiDynamicRangeID":null,"MultiDynamicCollectionID":null,"SectionName":"ControleIndelingPLNomUL","BlockName":"B1","VenaRangeType":5,"DimensionIdStr":"-1","MemberIdStr":"-1","DimensionId":-1,"MemberId":-1,"Inc":""},"_vena_DYNR_SControleIndelingPLNomUL_BB1_8de5a235_4fea07f9":{"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4fea07f9","IsMultiDynamicRange":false,"MultiDynamicRangeID":null,"MultiDynamicCollectionID":null,"SectionName":"ControleIndelingPLNomUL","BlockName":"B1","VenaRangeType":5,"DimensionIdStr":"-1","MemberIdStr":"-1","DimensionId":-1,"MemberId":-1,"Inc":""},"_vena_DYNR_SControleIndelingPLNomUL_BB1_8de5a235_53663a1d":{"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53663a1d","IsMultiDynamicRange":false,"MultiDynamicRangeID":null,"MultiDynamicCollectionID":null,"SectionName":"ControleIndelingPLNomUL","BlockName":"B1","VenaRangeType":5,"DimensionIdStr":"-1","MemberIdStr":"-1","DimensionId":-1,"MemberId":-1,"Inc":""},"_vena_DYNR_SControleIndelingPLNomUL_BB1_8de5a235_580bccb1":{"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580bccb1","IsMultiDynamicRange":false,"MultiDynamicRangeID":null,"MultiDynamicCollectionID":null,"SectionName":"ControleIndelingPLNomUL","BlockName":"B1","VenaRangeType":5,"DimensionIdStr":"-1","MemberIdStr":"-1","DimensionId":-1,"MemberId":-1,"Inc":""},"_vena_DYNR_SControleIndelingPLNomUL_BB1_8de5a235_6a59cbe3":{"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6a59cbe3","IsMultiDynamicRange":false,"MultiDynamicRangeID":null,"MultiDynamicCollectionID":null,"SectionName":"ControleIndelingPLNomUL","BlockName":"B1","VenaRangeType":5,"DimensionIdStr":"-1","MemberIdStr":"-1","DimensionId":-1,"MemberId":-1,"Inc":""},"_vena_DYNR_SControleIndelingPLNomUL_BB1_8de5a235_728882c5":{"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728882c5","IsMultiDynamicRange":false,"MultiDynamicRangeID":null,"MultiDynamicCollectionID":null,"SectionName":"ControleIndelingPLNomUL","BlockName":"B1","VenaRangeType":5,"DimensionIdStr":"-1","MemberIdStr":"-1","DimensionId":-1,"MemberId":-1,"Inc":""},"_vena_DYNR_SControleIndelingPLNomUL_BB1_8de5a235_741d357b":{"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741d357b","IsMultiDynamicRange":false,"MultiDynamicRangeID":null,"MultiDynamicCollectionID":null,"SectionName":"ControleIndelingPLNomUL","BlockName":"B1","VenaRangeType":5,"DimensionIdStr":"-1","MemberIdStr":"-1","DimensionId":-1,"MemberId":-1,"Inc":""},"_vena_DYNR_SControleIndelingPLNomUL_BB1_8de5a235_784ea99":{"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784ea99","IsMultiDynamicRange":false,"MultiDynamicRangeID":null,"MultiDynamicCollectionID":null,"SectionName":"ControleIndelingPLNomUL","BlockName":"B1","VenaRangeType":5,"DimensionIdStr":"-1","MemberIdStr":"-1","DimensionId":-1,"MemberId":-1,"Inc":""},"_vena_DYNR_SControleIndelingPLNomUL_BB1_8de5a235_82a74b82":{"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82a74b82","IsMultiDynamicRange":false,"MultiDynamicRangeID":null,"MultiDynamicCollectionID":null,"SectionName":"ControleIndelingPLNomUL","BlockName":"B1","VenaRangeType":5,"DimensionIdStr":"-1","MemberIdStr":"-1","DimensionId":-1,"MemberId":-1,"Inc":""},"_vena_DYNR_SControleIndelingPLNomUL_BB1_8de5a235_87bbdf72":{"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87bbdf72","IsMultiDynamicRange":false,"MultiDynamicRangeID":null,"MultiDynamicCollectionID":null,"SectionName":"ControleIndelingPLNomUL","BlockName":"B1","VenaRangeType":5,"DimensionIdStr":"-1","MemberIdStr":"-1","DimensionId":-1,"MemberId":-1,"Inc":""},"_vena_DYNR_SControleIndelingPLNomUL_BB1_8de5a235_928b3b2":{"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928b3b2","IsMultiDynamicRange":false,"MultiDynamicRangeID":null,"MultiDynamicCollectionID":null,"SectionName":"ControleIndelingPLNomUL","BlockName":"B1","VenaRangeType":5,"DimensionIdStr":"-1","MemberIdStr":"-1","DimensionId":-1,"MemberId":-1,"Inc":""},"_vena_DYNR_SControleIndelingPLNomUL_BB1_8de5a235_9366ff37":{"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9366ff37","IsMultiDynamicRange":false,"MultiDynamicRangeID":null,"MultiDynamicCollectionID":null,"SectionName":"ControleIndelingPLNomUL","BlockName":"B1","VenaRangeType":5,"DimensionIdStr":"-1","MemberIdStr":"-1","DimensionId":-1,"MemberId":-1,"Inc":""},"_vena_DYNR_SControleIndelingPLNomUL_BB1_8de5a235_98d1fd8f":{"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98d1fd8f","IsMultiDynamicRange":false,"MultiDynamicRangeID":null,"MultiDynamicCollectionID":null,"SectionName":"ControleIndelingPLNomUL","BlockName":"B1","VenaRangeType":5,"DimensionIdStr":"-1","MemberIdStr":"-1","DimensionId":-1,"MemberId":-1,"Inc":""},"_vena_DYNR_SControleIndelingPLNomUL_BB1_8de5a235_a265d157":{"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a265d157","IsMultiDynamicRange":false,"MultiDynamicRangeID":null,"MultiDynamicCollectionID":null,"SectionName":"ControleIndelingPLNomUL","BlockName":"B1","VenaRangeType":5,"DimensionIdStr":"-1","MemberIdStr":"-1","DimensionId":-1,"MemberId":-1,"Inc":""},"_vena_DYNR_SControleIndelingPLNomUL_BB1_8de5a235_a3e47385":{"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a3e47385","IsMultiDynamicRange":false,"MultiDynamicRangeID":null,"MultiDynamicCollectionID":null,"SectionName":"ControleIndelingPLNomUL","BlockName":"B1","VenaRangeType":5,"DimensionIdStr":"-1","MemberIdStr":"-1","DimensionId":-1,"MemberId":-1,"Inc":""},"_vena_DYNR_SControleIndelingPLNomUL_BB1_8de5a235_a3f03a73":{"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a3f03a73","IsMultiDynamicRange":false,"MultiDynamicRangeID":null,"MultiDynamicCollectionID":null,"SectionName":"ControleIndelingPLNomUL","BlockName":"B1","VenaRangeType":5,"DimensionIdStr":"-1","MemberIdStr":"-1","DimensionId":-1,"MemberId":-1,"Inc":""},"_vena_DYNR_SControleIndelingPLNomUL_BB1_8de5a235_a57dd8a6":{"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a57dd8a6","IsMultiDynamicRange":false,"MultiDynamicRangeID":null,"MultiDynamicCollectionID":null,"SectionName":"ControleIndelingPLNomUL","BlockName":"B1","VenaRangeType":5,"DimensionIdStr":"-1","MemberIdStr":"-1","DimensionId":-1,"MemberId":-1,"Inc":""},"_vena_DYNR_SControleIndelingPLNomUL_BB1_8de5a235_a6c2f72f":{"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a6c2f72f","IsMultiDynamicRange":false,"MultiDynamicRangeID":null,"MultiDynamicCollectionID":null,"SectionName":"ControleIndelingPLNomUL","BlockName":"B1","VenaRangeType":5,"DimensionIdStr":"-1","MemberIdStr":"-1","DimensionId":-1,"MemberId":-1,"Inc":""},"_vena_DYNR_SControleIndelingPLNomUL_BB1_8de5a235_b00ff8e9":{"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b00ff8e9","IsMultiDynamicRange":false,"MultiDynamicRangeID":null,"MultiDynamicCollectionID":null,"SectionName":"ControleIndelingPLNomUL","BlockName":"B1","VenaRangeType":5,"DimensionIdStr":"-1","MemberIdStr":"-1","DimensionId":-1,"MemberId":-1,"Inc":""},"_vena_DYNR_SControleIndelingPLNomUL_BB1_8de5a235_b08906f2":{"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b08906f2","IsMultiDynamicRange":false,"MultiDynamicRangeID":null,"MultiDynamicCollectionID":null,"SectionName":"ControleIndelingPLNomUL","BlockName":"B1","VenaRangeType":5,"DimensionIdStr":"-1","MemberIdStr":"-1","DimensionId":-1,"MemberId":-1,"Inc":""},"_vena_DYNR_SControleIndelingPLNomUL_BB1_8de5a235_b81bca69":{"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b81bca69","IsMultiDynamicRange":false,"MultiDynamicRangeID":null,"MultiDynamicCollectionID":null,"SectionName":"ControleIndelingPLNomUL","BlockName":"B1","VenaRangeType":5,"DimensionIdStr":"-1","MemberIdStr":"-1","DimensionId":-1,"MemberId":-1,"Inc":""},"_vena_DYNR_SControleIndelingPLNomUL_BB1_8de5a235_bcea5efe":{"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bcea5efe","IsMultiDynamicRange":false,"MultiDynamicRangeID":null,"MultiDynamicCollectionID":null,"SectionName":"ControleIndelingPLNomUL","BlockName":"B1","VenaRangeType":5,"DimensionIdStr":"-1","MemberIdStr":"-1","DimensionId":-1,"MemberId":-1,"Inc":""},"_vena_DYNR_SControleIndelingPLNomUL_BB1_8de5a235_c2c2dd09":{"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c2c2dd09","IsMultiDynamicRange":false,"MultiDynamicRangeID":null,"MultiDynamicCollectionID":null,"SectionName":"ControleIndelingPLNomUL","BlockName":"B1","VenaRangeType":5,"DimensionIdStr":"-1","MemberIdStr":"-1","DimensionId":-1,"MemberId":-1,"Inc":""},"_vena_DYNR_SControleIndelingPLNomUL_BB1_8de5a235_c50e9a32":{"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c50e9a32","IsMultiDynamicRange":false,"MultiDynamicRangeID":null,"MultiDynamicCollectionID":null,"SectionName":"ControleIndelingPLNomUL","BlockName":"B1","VenaRangeType":5,"DimensionIdStr":"-1","MemberIdStr":"-1","DimensionId":-1,"MemberId":-1,"Inc":""},"_vena_DYNR_SControleIndelingPLNomUL_BB1_8de5a235_c635f68c":{"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c635f68c","IsMultiDynamicRange":false,"MultiDynamicRangeID":null,"MultiDynamicCollectionID":null,"SectionName":"ControleIndelingPLNomUL","BlockName":"B1","VenaRangeType":5,"DimensionIdStr":"-1","MemberIdStr":"-1","DimensionId":-1,"MemberId":-1,"Inc":""},"_vena_DYNR_SControleIndelingPLNomUL_BB1_8de5a235_cedf81eb":{"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cedf81eb","IsMultiDynamicRange":false,"MultiDynamicRangeID":null,"MultiDynamicCollectionID":null,"SectionName":"ControleIndelingPLNomUL","BlockName":"B1","VenaRangeType":5,"DimensionIdStr":"-1","MemberIdStr":"-1","DimensionId":-1,"MemberId":-1,"Inc":""},"_vena_DYNR_SControleIndelingPLNomUL_BB1_8de5a235_dbfbf54a":{"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dbfbf54a","IsMultiDynamicRange":false,"MultiDynamicRangeID":null,"MultiDynamicCollectionID":null,"SectionName":"ControleIndelingPLNomUL","BlockName":"B1","VenaRangeType":5,"DimensionIdStr":"-1","MemberIdStr":"-1","DimensionId":-1,"MemberId":-1,"Inc":""},"_vena_DYNR_SControleIndelingPLNomUL_BB1_8de5a235_dc3e6d7a":{"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dc3e6d7a","IsMultiDynamicRange":false,"MultiDynamicRangeID":null,"MultiDynamicCollectionID":null,"SectionName":"ControleIndelingPLNomUL","BlockName":"B1","VenaRangeType":5,"DimensionIdStr":"-1","MemberIdStr":"-1","DimensionId":-1,"MemberId":-1,"Inc":""},"_vena_DYNR_SControleIndelingPLNomUL_BB1_8de5a235_e089179d":{"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e089179d","IsMultiDynamicRange":false,"MultiDynamicRangeID":null,"MultiDynamicCollectionID":null,"SectionName":"ControleIndelingPLNomUL","BlockName":"B1","VenaRangeType":5,"DimensionIdStr":"-1","MemberIdStr":"-1","DimensionId":-1,"MemberId":-1,"Inc":""},"_vena_DYNR_SControleIndelingPLNomUL_BB1_8de5a235_e165bf95":{"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e165bf95","IsMultiDynamicRange":false,"MultiDynamicRangeID":null,"MultiDynamicCollectionID":null,"SectionName":"ControleIndelingPLNomUL","BlockName":"B1","VenaRangeType":5,"DimensionIdStr":"-1","MemberIdStr":"-1","DimensionId":-1,"MemberId":-1,"Inc":""},"_vena_DYNR_SControleIndelingPLNomUL_BB1_8de5a235_e2c50237":{"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e2c50237","IsMultiDynamicRange":false,"MultiDynamicRangeID":null,"MultiDynamicCollectionID":null,"SectionName":"ControleIndelingPLNomUL","BlockName":"B1","VenaRangeType":5,"DimensionIdStr":"-1","MemberIdStr":"-1","DimensionId":-1,"MemberId":-1,"Inc":""},"_vena_DYNR_SControleIndelingPLNomUL_BB1_8de5a235_e9db8843":{"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e9db8843","IsMultiDynamicRange":false,"MultiDynamicRangeID":null,"MultiDynamicCollectionID":null,"SectionName":"ControleIndelingPLNomUL","BlockName":"B1","VenaRangeType":5,"DimensionIdStr":"-1","MemberIdStr":"-1","DimensionId":-1,"MemberId":-1,"Inc":""},"_vena_DYNR_SControleIndelingPLNomUL_BB1_8de5a235_ed007007":{"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ed007007","IsMultiDynamicRange":false,"MultiDynamicRangeID":null,"MultiDynamicCollectionID":null,"SectionName":"ControleIndelingPLNomUL","BlockName":"B1","VenaRangeType":5,"DimensionIdStr":"-1","MemberIdStr":"-1","DimensionId":-1,"MemberId":-1,"Inc":""},"_vena_DYNR_SControleIndelingPLNomUL_BB1_8de5a235_f2328605":{"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f2328605","IsMultiDynamicRange":false,"MultiDynamicRangeID":null,"MultiDynamicCollectionID":null,"SectionName":"ControleIndelingPLNomUL","BlockName":"B1","VenaRangeType":5,"DimensionIdStr":"-1","MemberIdStr":"-1","DimensionId":-1,"MemberId":-1,"Inc":""},"_vena_DYNR_SControleIndelingPLNomUL_BB1_8de5a235_f8241670":{"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f8241670","IsMultiDynamicRange":false,"MultiDynamicRangeID":null,"MultiDynamicCollectionID":null,"SectionName":"ControleIndelingPLNomUL","BlockName":"B1","VenaRangeType":5,"DimensionIdStr":"-1","MemberIdStr":"-1","DimensionId":-1,"MemberId":-1,"Inc":""},"_vena_DYNR_SControleIndelingPLNomUL_BB1_8de5a235_f8b889b8":{"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f8b889b8","IsMultiDynamicRange":false,"MultiDynamicRangeID":null,"MultiDynamicCollectionID":null,"SectionName":"ControleIndelingPLNomUL","BlockName":"B1","VenaRangeType":5,"DimensionIdStr":"-1","MemberIdStr":"-1","DimensionId":-1,"MemberId":-1,"Inc":""},"_vena_DYNR_SControleIndelingPLNomUL_BB1_8de5a235_fc6ee144":{"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fc6ee144","IsMultiDynamicRange":false,"MultiDynamicRangeID":null,"MultiDynamicCollectionID":null,"SectionName":"ControleIndelingPLNomUL","BlockName":"B1","VenaRangeType":5,"DimensionIdStr":"-1","MemberIdStr":"-1","DimensionId":-1,"MemberId":-1,"Inc":""},"_vena_DYNR_SControleIndelingPLNomUL_BB1_8de5a235_fe975075":{"SourceGlobalVariableId":-1,"SourceFormVariableId":"00000000-0000-0000-0000-000000000000","IsPageVariable":false,"IsLineItemDetailEnabled":false,"LineItemDetailOrder":0,"LineItemID":null,"PageVariableSectionReference":"","PageVariableDimensionName":null,"IsDynamicRange":true,"IsDynamicRangeEntry":true,"DynamicRangeID":"8de5a235","DynamicRangeEntryID":"fe975075","IsMultiDynamicRange":false,"MultiDynamicRangeID":null,"MultiDynamicCollectionID":null,"SectionName":"ControleIndelingPLNomUL","BlockName":"B1","VenaRangeType":5,"DimensionIdStr":"-1","MemberIdStr":"-1","DimensionId":-1,"MemberId":-1,"Inc":""},"_vena_DYNR_SControleIndelingPLNomUL_BB1_a20f3d4f":{"SourceGlobalVariableId":-1,"SourceFormVariableId":"00000000-0000-0000-0000-000000000000","IsPageVariable":false,"IsLineItemDetailEnabled":false,"LineItemDetailOrder":0,"LineItemID":null,"PageVariableSectionReference":"","PageVariableDimensionName":null,"IsDynamicRange":true,"IsDynamicRangeEntry":false,"DynamicRangeID":"a20f3d4f","DynamicRangeEntryID":null,"IsMultiDynamicRange":false,"MultiDynamicRangeID":null,"MultiDynamicCollectionID":null,"SectionName":"ControleIndelingPLNomUL","BlockName":"B1","VenaRangeType":5,"DimensionIdStr":"-1","MemberIdStr":"-1","DimensionId":-1,"MemberId":-1,"Inc":""},"_vena_DYNR_SControleIndelingPLNomUL_BB1_a20f3d4f_10cfcda8":{"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10cfcda8","IsMultiDynamicRange":false,"MultiDynamicRangeID":null,"MultiDynamicCollectionID":null,"SectionName":"ControleIndelingPLNomUL","BlockName":"B1","VenaRangeType":5,"DimensionIdStr":"-1","MemberIdStr":"-1","DimensionId":-1,"MemberId":-1,"Inc":""},"_vena_DYNR_SControleIndelingPLNomUL_BB1_a20f3d4f_17eea6a3":{"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17eea6a3","IsMultiDynamicRange":false,"MultiDynamicRangeID":null,"MultiDynamicCollectionID":null,"SectionName":"ControleIndelingPLNomUL","BlockName":"B1","VenaRangeType":5,"DimensionIdStr":"-1","MemberIdStr":"-1","DimensionId":-1,"MemberId":-1,"Inc":""},"_vena_DYNR_SControleIndelingPLNomUL_BB1_a20f3d4f_18bd2920":{"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18bd2920","IsMultiDynamicRange":false,"MultiDynamicRangeID":null,"MultiDynamicCollectionID":null,"SectionName":"ControleIndelingPLNomUL","BlockName":"B1","VenaRangeType":5,"DimensionIdStr":"-1","MemberIdStr":"-1","DimensionId":-1,"MemberId":-1,"Inc":""},"_vena_DYNR_SControleIndelingPLNomUL_BB1_a20f3d4f_1fd27b6":{"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1fd27b6","IsMultiDynamicRange":false,"MultiDynamicRangeID":null,"MultiDynamicCollectionID":null,"SectionName":"ControleIndelingPLNomUL","BlockName":"B1","VenaRangeType":5,"DimensionIdStr":"-1","MemberIdStr":"-1","DimensionId":-1,"MemberId":-1,"Inc":""},"_vena_DYNR_SControleIndelingPLNomUL_BB1_a20f3d4f_20fbdd75":{"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20fbdd75","IsMultiDynamicRange":false,"MultiDynamicRangeID":null,"MultiDynamicCollectionID":null,"SectionName":"ControleIndelingPLNomUL","BlockName":"B1","VenaRangeType":5,"DimensionIdStr":"-1","MemberIdStr":"-1","DimensionId":-1,"MemberId":-1,"Inc":""},"_vena_DYNR_SControleIndelingPLNomUL_BB1_a20f3d4f_2a0c3a68":{"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2a0c3a68","IsMultiDynamicRange":false,"MultiDynamicRangeID":null,"MultiDynamicCollectionID":null,"SectionName":"ControleIndelingPLNomUL","BlockName":"B1","VenaRangeType":5,"DimensionIdStr":"-1","MemberIdStr":"-1","DimensionId":-1,"MemberId":-1,"Inc":""},"_vena_DYNR_SControleIndelingPLNomUL_BB1_a20f3d4f_2ad528ea":{"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2ad528ea","IsMultiDynamicRange":false,"MultiDynamicRangeID":null,"MultiDynamicCollectionID":null,"SectionName":"ControleIndelingPLNomUL","BlockName":"B1","VenaRangeType":5,"DimensionIdStr":"-1","MemberIdStr":"-1","DimensionId":-1,"MemberId":-1,"Inc":""},"_vena_DYNR_SControleIndelingPLNomUL_BB1_a20f3d4f_3211f235":{"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3211f235","IsMultiDynamicRange":false,"MultiDynamicRangeID":null,"MultiDynamicCollectionID":null,"SectionName":"ControleIndelingPLNomUL","BlockName":"B1","VenaRangeType":5,"DimensionIdStr":"-1","MemberIdStr":"-1","DimensionId":-1,"MemberId":-1,"Inc":""},"_vena_DYNR_SControleIndelingPLNomUL_BB1_a20f3d4f_342d6670":{"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342d6670","IsMultiDynamicRange":false,"MultiDynamicRangeID":null,"MultiDynamicCollectionID":null,"SectionName":"ControleIndelingPLNomUL","BlockName":"B1","VenaRangeType":5,"DimensionIdStr":"-1","MemberIdStr":"-1","DimensionId":-1,"MemberId":-1,"Inc":""},"_vena_DYNR_SControleIndelingPLNomUL_BB1_a20f3d4f_36305234":{"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36305234","IsMultiDynamicRange":false,"MultiDynamicRangeID":null,"MultiDynamicCollectionID":null,"SectionName":"ControleIndelingPLNomUL","BlockName":"B1","VenaRangeType":5,"DimensionIdStr":"-1","MemberIdStr":"-1","DimensionId":-1,"MemberId":-1,"Inc":""},"_vena_DYNR_SControleIndelingPLNomUL_BB1_a20f3d4f_3a0d713d":{"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3a0d713d","IsMultiDynamicRange":false,"MultiDynamicRangeID":null,"MultiDynamicCollectionID":null,"SectionName":"ControleIndelingPLNomUL","BlockName":"B1","VenaRangeType":5,"DimensionIdStr":"-1","MemberIdStr":"-1","DimensionId":-1,"MemberId":-1,"Inc":""},"_vena_DYNR_SControleIndelingPLNomUL_BB1_a20f3d4f_3d879fa3":{"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3d879fa3","IsMultiDynamicRange":false,"MultiDynamicRangeID":null,"MultiDynamicCollectionID":null,"SectionName":"ControleIndelingPLNomUL","BlockName":"B1","VenaRangeType":5,"DimensionIdStr":"-1","MemberIdStr":"-1","DimensionId":-1,"MemberId":-1,"Inc":""},"_vena_DYNR_SControleIndelingPLNomUL_BB1_a20f3d4f_3dbe5d1d":{"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3dbe5d1d","IsMultiDynamicRange":false,"MultiDynamicRangeID":null,"MultiDynamicCollectionID":null,"SectionName":"ControleIndelingPLNomUL","BlockName":"B1","VenaRangeType":5,"DimensionIdStr":"-1","MemberIdStr":"-1","DimensionId":-1,"MemberId":-1,"Inc":""},"_vena_DYNR_SControleIndelingPLNomUL_BB1_a20f3d4f_3e5c0688":{"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3e5c0688","IsMultiDynamicRange":false,"MultiDynamicRangeID":null,"MultiDynamicCollectionID":null,"SectionName":"ControleIndelingPLNomUL","BlockName":"B1","VenaRangeType":5,"DimensionIdStr":"-1","MemberIdStr":"-1","DimensionId":-1,"MemberId":-1,"Inc":""},"_vena_DYNR_SControleIndelingPLNomUL_BB1_a20f3d4f_432db512":{"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432db512","IsMultiDynamicRange":false,"MultiDynamicRangeID":null,"MultiDynamicCollectionID":null,"SectionName":"ControleIndelingPLNomUL","BlockName":"B1","VenaRangeType":5,"DimensionIdStr":"-1","MemberIdStr":"-1","DimensionId":-1,"MemberId":-1,"Inc":""},"_vena_DYNR_SControleIndelingPLNomUL_BB1_a20f3d4f_472551ff":{"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472551ff","IsMultiDynamicRange":false,"MultiDynamicRangeID":null,"MultiDynamicCollectionID":null,"SectionName":"ControleIndelingPLNomUL","BlockName":"B1","VenaRangeType":5,"DimensionIdStr":"-1","MemberIdStr":"-1","DimensionId":-1,"MemberId":-1,"Inc":""},"_vena_DYNR_SControleIndelingPLNomUL_BB1_a20f3d4f_569fdbad":{"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569fdbad","IsMultiDynamicRange":false,"MultiDynamicRangeID":null,"MultiDynamicCollectionID":null,"SectionName":"ControleIndelingPLNomUL","BlockName":"B1","VenaRangeType":5,"DimensionIdStr":"-1","MemberIdStr":"-1","DimensionId":-1,"MemberId":-1,"Inc":""},"_vena_DYNR_SControleIndelingPLNomUL_BB1_a20f3d4f_59a8dd88":{"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59a8dd88","IsMultiDynamicRange":false,"MultiDynamicRangeID":null,"MultiDynamicCollectionID":null,"SectionName":"ControleIndelingPLNomUL","BlockName":"B1","VenaRangeType":5,"DimensionIdStr":"-1","MemberIdStr":"-1","DimensionId":-1,"MemberId":-1,"Inc":""},"_vena_DYNR_SControleIndelingPLNomUL_BB1_a20f3d4f_60985426":{"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60985426","IsMultiDynamicRange":false,"MultiDynamicRangeID":null,"MultiDynamicCollectionID":null,"SectionName":"ControleIndelingPLNomUL","BlockName":"B1","VenaRangeType":5,"DimensionIdStr":"-1","MemberIdStr":"-1","DimensionId":-1,"MemberId":-1,"Inc":""},"_vena_DYNR_SControleIndelingPLNomUL_BB1_a20f3d4f_671baa9d":{"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671baa9d","IsMultiDynamicRange":false,"MultiDynamicRangeID":null,"MultiDynamicCollectionID":null,"SectionName":"ControleIndelingPLNomUL","BlockName":"B1","VenaRangeType":5,"DimensionIdStr":"-1","MemberIdStr":"-1","DimensionId":-1,"MemberId":-1,"Inc":""},"_vena_DYNR_SControleIndelingPLNomUL_BB1_a20f3d4f_682eed13":{"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682eed13","IsMultiDynamicRange":false,"MultiDynamicRangeID":null,"MultiDynamicCollectionID":null,"SectionName":"ControleIndelingPLNomUL","BlockName":"B1","VenaRangeType":5,"DimensionIdStr":"-1","MemberIdStr":"-1","DimensionId":-1,"MemberId":-1,"Inc":""},"_vena_DYNR_SControleIndelingPLNomUL_BB1_a20f3d4f_6c7fca81":{"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6c7fca81","IsMultiDynamicRange":false,"MultiDynamicRangeID":null,"MultiDynamicCollectionID":null,"SectionName":"ControleIndelingPLNomUL","BlockName":"B1","VenaRangeType":5,"DimensionIdStr":"-1","MemberIdStr":"-1","DimensionId":-1,"MemberId":-1,"Inc":""},"_vena_DYNR_SControleIndelingPLNomUL_BB1_a20f3d4f_78f19c0b":{"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78f19c0b","IsMultiDynamicRange":false,"MultiDynamicRangeID":null,"MultiDynamicCollectionID":null,"SectionName":"ControleIndelingPLNomUL","BlockName":"B1","VenaRangeType":5,"DimensionIdStr":"-1","MemberIdStr":"-1","DimensionId":-1,"MemberId":-1,"Inc":""},"_vena_DYNR_SControleIndelingPLNomUL_BB1_a20f3d4f_7e7589a5":{"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7e7589a5","IsMultiDynamicRange":false,"MultiDynamicRangeID":null,"MultiDynamicCollectionID":null,"SectionName":"ControleIndelingPLNomUL","BlockName":"B1","VenaRangeType":5,"DimensionIdStr":"-1","MemberIdStr":"-1","DimensionId":-1,"MemberId":-1,"Inc":""},"_vena_DYNR_SControleIndelingPLNomUL_BB1_a20f3d4f_80fee7e4":{"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80fee7e4","IsMultiDynamicRange":false,"MultiDynamicRangeID":null,"MultiDynamicCollectionID":null,"SectionName":"ControleIndelingPLNomUL","BlockName":"B1","VenaRangeType":5,"DimensionIdStr":"-1","MemberIdStr":"-1","DimensionId":-1,"MemberId":-1,"Inc":""},"_vena_DYNR_SControleIndelingPLNomUL_BB1_a20f3d4f_821aaafe":{"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821aaafe","IsMultiDynamicRange":false,"MultiDynamicRangeID":null,"MultiDynamicCollectionID":null,"SectionName":"ControleIndelingPLNomUL","BlockName":"B1","VenaRangeType":5,"DimensionIdStr":"-1","MemberIdStr":"-1","DimensionId":-1,"MemberId":-1,"Inc":""},"_vena_DYNR_SControleIndelingPLNomUL_BB1_a20f3d4f_8ce9fdca":{"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8ce9fdca","IsMultiDynamicRange":false,"MultiDynamicRangeID":null,"MultiDynamicCollectionID":null,"SectionName":"ControleIndelingPLNomUL","BlockName":"B1","VenaRangeType":5,"DimensionIdStr":"-1","MemberIdStr":"-1","DimensionId":-1,"MemberId":-1,"Inc":""},"_vena_DYNR_SControleIndelingPLNomUL_BB1_a20f3d4f_9349deed":{"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9349deed","IsMultiDynamicRange":false,"MultiDynamicRangeID":null,"MultiDynamicCollectionID":null,"SectionName":"ControleIndelingPLNomUL","BlockName":"B1","VenaRangeType":5,"DimensionIdStr":"-1","MemberIdStr":"-1","DimensionId":-1,"MemberId":-1,"Inc":""},"_vena_DYNR_SControleIndelingPLNomUL_BB1_a20f3d4f_9b4c5eb1":{"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9b4c5eb1","IsMultiDynamicRange":false,"MultiDynamicRangeID":null,"MultiDynamicCollectionID":null,"SectionName":"ControleIndelingPLNomUL","BlockName":"B1","VenaRangeType":5,"DimensionIdStr":"-1","MemberIdStr":"-1","DimensionId":-1,"MemberId":-1,"Inc":""},"_vena_DYNR_SControleIndelingPLNomUL_BB1_a20f3d4f_9e1322e7":{"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9e1322e7","IsMultiDynamicRange":false,"MultiDynamicRangeID":null,"MultiDynamicCollectionID":null,"SectionName":"ControleIndelingPLNomUL","BlockName":"B1","VenaRangeType":5,"DimensionIdStr":"-1","MemberIdStr":"-1","DimensionId":-1,"MemberId":-1,"Inc":""},"_vena_DYNR_SControleIndelingPLNomUL_BB1_a20f3d4f_a0546741":{"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a0546741","IsMultiDynamicRange":false,"MultiDynamicRangeID":null,"MultiDynamicCollectionID":null,"SectionName":"ControleIndelingPLNomUL","BlockName":"B1","VenaRangeType":5,"DimensionIdStr":"-1","MemberIdStr":"-1","DimensionId":-1,"MemberId":-1,"Inc":""},"_vena_DYNR_SControleIndelingPLNomUL_BB1_a20f3d4f_a2ffda52":{"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a2ffda52","IsMultiDynamicRange":false,"MultiDynamicRangeID":null,"MultiDynamicCollectionID":null,"SectionName":"ControleIndelingPLNomUL","BlockName":"B1","VenaRangeType":5,"DimensionIdStr":"-1","MemberIdStr":"-1","DimensionId":-1,"MemberId":-1,"Inc":""},"_vena_DYNR_SControleIndelingPLNomUL_BB1_a20f3d4f_a968cbb0":{"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a968cbb0","IsMultiDynamicRange":false,"MultiDynamicRangeID":null,"MultiDynamicCollectionID":null,"SectionName":"ControleIndelingPLNomUL","BlockName":"B1","VenaRangeType":5,"DimensionIdStr":"-1","MemberIdStr":"-1","DimensionId":-1,"MemberId":-1,"Inc":""},"_vena_DYNR_SControleIndelingPLNomUL_BB1_a20f3d4f_aa1890ac":{"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aa1890ac","IsMultiDynamicRange":false,"MultiDynamicRangeID":null,"MultiDynamicCollectionID":null,"SectionName":"ControleIndelingPLNomUL","BlockName":"B1","VenaRangeType":5,"DimensionIdStr":"-1","MemberIdStr":"-1","DimensionId":-1,"MemberId":-1,"Inc":""},"_vena_DYNR_SControleIndelingPLNomUL_BB1_a20f3d4f_ab9968fd":{"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ab9968fd","IsMultiDynamicRange":false,"MultiDynamicRangeID":null,"MultiDynamicCollectionID":null,"SectionName":"ControleIndelingPLNomUL","BlockName":"B1","VenaRangeType":5,"DimensionIdStr":"-1","MemberIdStr":"-1","DimensionId":-1,"MemberId":-1,"Inc":""},"_vena_DYNR_SControleIndelingPLNomUL_BB1_a20f3d4f_ad6f5e16":{"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ad6f5e16","IsMultiDynamicRange":false,"MultiDynamicRangeID":null,"MultiDynamicCollectionID":null,"SectionName":"ControleIndelingPLNomUL","BlockName":"B1","VenaRangeType":5,"DimensionIdStr":"-1","MemberIdStr":"-1","DimensionId":-1,"MemberId":-1,"Inc":""},"_vena_DYNR_SControleIndelingPLNomUL_BB1_a20f3d4f_b2945855":{"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b2945855","IsMultiDynamicRange":false,"MultiDynamicRangeID":null,"MultiDynamicCollectionID":null,"SectionName":"ControleIndelingPLNomUL","BlockName":"B1","VenaRangeType":5,"DimensionIdStr":"-1","MemberIdStr":"-1","DimensionId":-1,"MemberId":-1,"Inc":""},"_vena_DYNR_SControleIndelingPLNomUL_BB1_a20f3d4f_b8009162":{"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b8009162","IsMultiDynamicRange":false,"MultiDynamicRangeID":null,"MultiDynamicCollectionID":null,"SectionName":"ControleIndelingPLNomUL","BlockName":"B1","VenaRangeType":5,"DimensionIdStr":"-1","MemberIdStr":"-1","DimensionId":-1,"MemberId":-1,"Inc":""},"_vena_DYNR_SControleIndelingPLNomUL_BB1_a20f3d4f_b83ae810":{"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b83ae810","IsMultiDynamicRange":false,"MultiDynamicRangeID":null,"MultiDynamicCollectionID":null,"SectionName":"ControleIndelingPLNomUL","BlockName":"B1","VenaRangeType":5,"DimensionIdStr":"-1","MemberIdStr":"-1","DimensionId":-1,"MemberId":-1,"Inc":""},"_vena_DYNR_SControleIndelingPLNomUL_BB1_a20f3d4f_c3cce355":{"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c3cce355","IsMultiDynamicRange":false,"MultiDynamicRangeID":null,"MultiDynamicCollectionID":null,"SectionName":"ControleIndelingPLNomUL","BlockName":"B1","VenaRangeType":5,"DimensionIdStr":"-1","MemberIdStr":"-1","DimensionId":-1,"MemberId":-1,"Inc":""},"_vena_DYNR_SControleIndelingPLNomUL_BB1_a20f3d4f_c715ad42":{"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c715ad42","IsMultiDynamicRange":false,"MultiDynamicRangeID":null,"MultiDynamicCollectionID":null,"SectionName":"ControleIndelingPLNomUL","BlockName":"B1","VenaRangeType":5,"DimensionIdStr":"-1","MemberIdStr":"-1","DimensionId":-1,"MemberId":-1,"Inc":""},"_vena_DYNR_SControleIndelingPLNomUL_BB1_a20f3d4f_d47152a6":{"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d47152a6","IsMultiDynamicRange":false,"MultiDynamicRangeID":null,"MultiDynamicCollectionID":null,"SectionName":"ControleIndelingPLNomUL","BlockName":"B1","VenaRangeType":5,"DimensionIdStr":"-1","MemberIdStr":"-1","DimensionId":-1,"MemberId":-1,"Inc":""},"_vena_DYNR_SControleIndelingPLNomUL_BB1_a20f3d4f_d686e77c":{"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d686e77c","IsMultiDynamicRange":false,"MultiDynamicRangeID":null,"MultiDynamicCollectionID":null,"SectionName":"ControleIndelingPLNomUL","BlockName":"B1","VenaRangeType":5,"DimensionIdStr":"-1","MemberIdStr":"-1","DimensionId":-1,"MemberId":-1,"Inc":""},"_vena_DYNR_SControleIndelingPLNomUL_BB1_a20f3d4f_da276a92":{"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da276a92","IsMultiDynamicRange":false,"MultiDynamicRangeID":null,"MultiDynamicCollectionID":null,"SectionName":"ControleIndelingPLNomUL","BlockName":"B1","VenaRangeType":5,"DimensionIdStr":"-1","MemberIdStr":"-1","DimensionId":-1,"MemberId":-1,"Inc":""},"_vena_DYNR_SControleIndelingPLNomUL_BB1_a20f3d4f_e413b5c4":{"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e413b5c4","IsMultiDynamicRange":false,"MultiDynamicRangeID":null,"MultiDynamicCollectionID":null,"SectionName":"ControleIndelingPLNomUL","BlockName":"B1","VenaRangeType":5,"DimensionIdStr":"-1","MemberIdStr":"-1","DimensionId":-1,"MemberId":-1,"Inc":""},"_vena_DYNR_SControleIndelingPLNomUL_BB1_a20f3d4f_e4c051d4":{"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e4c051d4","IsMultiDynamicRange":false,"MultiDynamicRangeID":null,"MultiDynamicCollectionID":null,"SectionName":"ControleIndelingPLNomUL","BlockName":"B1","VenaRangeType":5,"DimensionIdStr":"-1","MemberIdStr":"-1","DimensionId":-1,"MemberId":-1,"Inc":""},"_vena_DYNR_SControleIndelingPLNomUL_BB1_a20f3d4f_e80ce5d9":{"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e80ce5d9","IsMultiDynamicRange":false,"MultiDynamicRangeID":null,"MultiDynamicCollectionID":null,"SectionName":"ControleIndelingPLNomUL","BlockName":"B1","VenaRangeType":5,"DimensionIdStr":"-1","MemberIdStr":"-1","DimensionId":-1,"MemberId":-1,"Inc":""},"_vena_DYNR_SControleIndelingPLNomUL_BB1_a20f3d4f_fd909832":{"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fd909832","IsMultiDynamicRange":false,"MultiDynamicRangeID":null,"MultiDynamicCollectionID":null,"SectionName":"ControleIndelingPLNomUL","BlockName":"B1","VenaRangeType":5,"DimensionIdStr":"-1","MemberIdStr":"-1","DimensionId":-1,"MemberId":-1,"Inc":""},"_vena_DYNR_SControleIndelingPLNomUL_BB1_a20f3d4f_febdf31":{"SourceGlobalVariableId":-1,"SourceFormVariableId":"00000000-0000-0000-0000-000000000000","IsPageVariable":false,"IsLineItemDetailEnabled":false,"LineItemDetailOrder":0,"LineItemID":null,"PageVariableSectionReference":"","PageVariableDimensionName":null,"IsDynamicRange":true,"IsDynamicRangeEntry":true,"DynamicRangeID":"a20f3d4f","DynamicRangeEntryID":"febdf31","IsMultiDynamicRange":false,"MultiDynamicRangeID":null,"MultiDynamicCollectionID":null,"SectionName":"ControleIndelingPLNomUL","BlockName":"B1","VenaRangeType":5,"DimensionIdStr":"-1","MemberIdStr":"-1","DimensionId":-1,"MemberId":-1,"Inc":""},"_vena_DYNR_SControleIndelingPLNomUL_BB1_c182ae31":{"SourceGlobalVariableId":-1,"SourceFormVariableId":"00000000-0000-0000-0000-000000000000","IsPageVariable":false,"IsLineItemDetailEnabled":false,"LineItemDetailOrder":0,"LineItemID":null,"PageVariableSectionReference":"","PageVariableDimensionName":null,"IsDynamicRange":true,"IsDynamicRangeEntry":false,"DynamicRangeID":"c182ae31","DynamicRangeEntryID":null,"IsMultiDynamicRange":false,"MultiDynamicRangeID":null,"MultiDynamicCollectionID":null,"SectionName":"ControleIndelingPLNomUL","BlockName":"B1","VenaRangeType":5,"DimensionIdStr":"-1","MemberIdStr":"-1","DimensionId":-1,"MemberId":-1,"Inc":""},"_vena_DYNR_SControleIndelingPLNomUL_BB1_c182ae31_10190c1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10190c1e","IsMultiDynamicRange":false,"MultiDynamicRangeID":null,"MultiDynamicCollectionID":null,"SectionName":"ControleIndelingPLNomUL","BlockName":"B1","VenaRangeType":5,"DimensionIdStr":"-1","MemberIdStr":"-1","DimensionId":-1,"MemberId":-1,"Inc":""},"_vena_DYNR_SControleIndelingPLNomUL_BB1_c182ae31_10d84f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10d84f2","IsMultiDynamicRange":false,"MultiDynamicRangeID":null,"MultiDynamicCollectionID":null,"SectionName":"ControleIndelingPLNomUL","BlockName":"B1","VenaRangeType":5,"DimensionIdStr":"-1","MemberIdStr":"-1","DimensionId":-1,"MemberId":-1,"Inc":""},"_vena_DYNR_SControleIndelingPLNomUL_BB1_c182ae31_14a7cf76":{"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14a7cf76","IsMultiDynamicRange":false,"MultiDynamicRangeID":null,"MultiDynamicCollectionID":null,"SectionName":"ControleIndelingPLNomUL","BlockName":"B1","VenaRangeType":5,"DimensionIdStr":"-1","MemberIdStr":"-1","DimensionId":-1,"MemberId":-1,"Inc":""},"_vena_DYNR_SControleIndelingPLNomUL_BB1_c182ae31_155c7659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155c7659","IsMultiDynamicRange":false,"MultiDynamicRangeID":null,"MultiDynamicCollectionID":null,"SectionName":"ControleIndelingPLNomUL","BlockName":"B1","VenaRangeType":5,"DimensionIdStr":"-1","MemberIdStr":"-1","DimensionId":-1,"MemberId":-1,"Inc":""},"_vena_DYNR_SControleIndelingPLNomUL_BB1_c182ae31_159e8d63":{"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159e8d63","IsMultiDynamicRange":false,"MultiDynamicRangeID":null,"MultiDynamicCollectionID":null,"SectionName":"ControleIndelingPLNomUL","BlockName":"B1","VenaRangeType":5,"DimensionIdStr":"-1","MemberIdStr":"-1","DimensionId":-1,"MemberId":-1,"Inc":""},"_vena_DYNR_SControleIndelingPLNomUL_BB1_c182ae31_17d227c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17d227c7","IsMultiDynamicRange":false,"MultiDynamicRangeID":null,"MultiDynamicCollectionID":null,"SectionName":"ControleIndelingPLNomUL","BlockName":"B1","VenaRangeType":5,"DimensionIdStr":"-1","MemberIdStr":"-1","DimensionId":-1,"MemberId":-1,"Inc":""},"_vena_DYNR_SControleIndelingPLNomUL_BB1_c182ae31_18bf3e22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18bf3e22","IsMultiDynamicRange":false,"MultiDynamicRangeID":null,"MultiDynamicCollectionID":null,"SectionName":"ControleIndelingPLNomUL","BlockName":"B1","VenaRangeType":5,"DimensionIdStr":"-1","MemberIdStr":"-1","DimensionId":-1,"MemberId":-1,"Inc":""},"_vena_DYNR_SControleIndelingPLNomUL_BB1_c182ae31_199862d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199862d7","IsMultiDynamicRange":false,"MultiDynamicRangeID":null,"MultiDynamicCollectionID":null,"SectionName":"ControleIndelingPLNomUL","BlockName":"B1","VenaRangeType":5,"DimensionIdStr":"-1","MemberIdStr":"-1","DimensionId":-1,"MemberId":-1,"Inc":""},"_vena_DYNR_SControleIndelingPLNomUL_BB1_c182ae31_1f7410f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1f7410f1","IsMultiDynamicRange":false,"MultiDynamicRangeID":null,"MultiDynamicCollectionID":null,"SectionName":"ControleIndelingPLNomUL","BlockName":"B1","VenaRangeType":5,"DimensionIdStr":"-1","MemberIdStr":"-1","DimensionId":-1,"MemberId":-1,"Inc":""},"_vena_DYNR_SControleIndelingPLNomUL_BB1_c182ae31_23124f6a":{"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23124f6a","IsMultiDynamicRange":false,"MultiDynamicRangeID":null,"MultiDynamicCollectionID":null,"SectionName":"ControleIndelingPLNomUL","BlockName":"B1","VenaRangeType":5,"DimensionIdStr":"-1","MemberIdStr":"-1","DimensionId":-1,"MemberId":-1,"Inc":""},"_vena_DYNR_SControleIndelingPLNomUL_BB1_c182ae31_29e9dc15":{"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29e9dc15","IsMultiDynamicRange":false,"MultiDynamicRangeID":null,"MultiDynamicCollectionID":null,"SectionName":"ControleIndelingPLNomUL","BlockName":"B1","VenaRangeType":5,"DimensionIdStr":"-1","MemberIdStr":"-1","DimensionId":-1,"MemberId":-1,"Inc":""},"_vena_DYNR_SControleIndelingPLNomUL_BB1_c182ae31_2a0c6e38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2a0c6e38","IsMultiDynamicRange":false,"MultiDynamicRangeID":null,"MultiDynamicCollectionID":null,"SectionName":"ControleIndelingPLNomUL","BlockName":"B1","VenaRangeType":5,"DimensionIdStr":"-1","MemberIdStr":"-1","DimensionId":-1,"MemberId":-1,"Inc":""},"_vena_DYNR_SControleIndelingPLNomUL_BB1_c182ae31_2a2beaa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2a2beaa1","IsMultiDynamicRange":false,"MultiDynamicRangeID":null,"MultiDynamicCollectionID":null,"SectionName":"ControleIndelingPLNomUL","BlockName":"B1","VenaRangeType":5,"DimensionIdStr":"-1","MemberIdStr":"-1","DimensionId":-1,"MemberId":-1,"Inc":""},"_vena_DYNR_SControleIndelingPLNomUL_BB1_c182ae31_2a6f4986":{"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2a6f4986","IsMultiDynamicRange":false,"MultiDynamicRangeID":null,"MultiDynamicCollectionID":null,"SectionName":"ControleIndelingPLNomUL","BlockName":"B1","VenaRangeType":5,"DimensionIdStr":"-1","MemberIdStr":"-1","DimensionId":-1,"MemberId":-1,"Inc":""},"_vena_DYNR_SControleIndelingPLNomUL_BB1_c182ae31_2cb4ffca":{"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2cb4ffca","IsMultiDynamicRange":false,"MultiDynamicRangeID":null,"MultiDynamicCollectionID":null,"SectionName":"ControleIndelingPLNomUL","BlockName":"B1","VenaRangeType":5,"DimensionIdStr":"-1","MemberIdStr":"-1","DimensionId":-1,"MemberId":-1,"Inc":""},"_vena_DYNR_SControleIndelingPLNomUL_BB1_c182ae31_2db47123":{"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2db47123","IsMultiDynamicRange":false,"MultiDynamicRangeID":null,"MultiDynamicCollectionID":null,"SectionName":"ControleIndelingPLNomUL","BlockName":"B1","VenaRangeType":5,"DimensionIdStr":"-1","MemberIdStr":"-1","DimensionId":-1,"MemberId":-1,"Inc":""},"_vena_DYNR_SControleIndelingPLNomUL_BB1_c182ae31_2e61797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2e61797","IsMultiDynamicRange":false,"MultiDynamicRangeID":null,"MultiDynamicCollectionID":null,"SectionName":"ControleIndelingPLNomUL","BlockName":"B1","VenaRangeType":5,"DimensionIdStr":"-1","MemberIdStr":"-1","DimensionId":-1,"MemberId":-1,"Inc":""},"_vena_DYNR_SControleIndelingPLNomUL_BB1_c182ae31_2fbe47d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2fbe47d7","IsMultiDynamicRange":false,"MultiDynamicRangeID":null,"MultiDynamicCollectionID":null,"SectionName":"ControleIndelingPLNomUL","BlockName":"B1","VenaRangeType":5,"DimensionIdStr":"-1","MemberIdStr":"-1","DimensionId":-1,"MemberId":-1,"Inc":""},"_vena_DYNR_SControleIndelingPLNomUL_BB1_c182ae31_301aff74":{"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301aff74","IsMultiDynamicRange":false,"MultiDynamicRangeID":null,"MultiDynamicCollectionID":null,"SectionName":"ControleIndelingPLNomUL","BlockName":"B1","VenaRangeType":5,"DimensionIdStr":"-1","MemberIdStr":"-1","DimensionId":-1,"MemberId":-1,"Inc":""},"_vena_DYNR_SControleIndelingPLNomUL_BB1_c182ae31_304cd15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304cd15c","IsMultiDynamicRange":false,"MultiDynamicRangeID":null,"MultiDynamicCollectionID":null,"SectionName":"ControleIndelingPLNomUL","BlockName":"B1","VenaRangeType":5,"DimensionIdStr":"-1","MemberIdStr":"-1","DimensionId":-1,"MemberId":-1,"Inc":""},"_vena_DYNR_SControleIndelingPLNomUL_BB1_c182ae31_30c83b70":{"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30c83b70","IsMultiDynamicRange":false,"MultiDynamicRangeID":null,"MultiDynamicCollectionID":null,"SectionName":"ControleIndelingPLNomUL","BlockName":"B1","VenaRangeType":5,"DimensionIdStr":"-1","MemberIdStr":"-1","DimensionId":-1,"MemberId":-1,"Inc":""},"_vena_DYNR_SControleIndelingPLNomUL_BB1_c182ae31_315b06e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315b06e7","IsMultiDynamicRange":false,"MultiDynamicRangeID":null,"MultiDynamicCollectionID":null,"SectionName":"ControleIndelingPLNomUL","BlockName":"B1","VenaRangeType":5,"DimensionIdStr":"-1","MemberIdStr":"-1","DimensionId":-1,"MemberId":-1,"Inc":""},"_vena_DYNR_SControleIndelingPLNomUL_BB1_c182ae31_332ff621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332ff621","IsMultiDynamicRange":false,"MultiDynamicRangeID":null,"MultiDynamicCollectionID":null,"SectionName":"ControleIndelingPLNomUL","BlockName":"B1","VenaRangeType":5,"DimensionIdStr":"-1","MemberIdStr":"-1","DimensionId":-1,"MemberId":-1,"Inc":""},"_vena_DYNR_SControleIndelingPLNomUL_BB1_c182ae31_33a848bf":{"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33a848bf","IsMultiDynamicRange":false,"MultiDynamicRangeID":null,"MultiDynamicCollectionID":null,"SectionName":"ControleIndelingPLNomUL","BlockName":"B1","VenaRangeType":5,"DimensionIdStr":"-1","MemberIdStr":"-1","DimensionId":-1,"MemberId":-1,"Inc":""},"_vena_DYNR_SControleIndelingPLNomUL_BB1_c182ae31_3439bf27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3439bf27","IsMultiDynamicRange":false,"MultiDynamicRangeID":null,"MultiDynamicCollectionID":null,"SectionName":"ControleIndelingPLNomUL","BlockName":"B1","VenaRangeType":5,"DimensionIdStr":"-1","MemberIdStr":"-1","DimensionId":-1,"MemberId":-1,"Inc":""},"_vena_DYNR_SControleIndelingPLNomUL_BB1_c182ae31_3605102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3605102","IsMultiDynamicRange":false,"MultiDynamicRangeID":null,"MultiDynamicCollectionID":null,"SectionName":"ControleIndelingPLNomUL","BlockName":"B1","VenaRangeType":5,"DimensionIdStr":"-1","MemberIdStr":"-1","DimensionId":-1,"MemberId":-1,"Inc":""},"_vena_DYNR_SControleIndelingPLNomUL_BB1_c182ae31_386779eb":{"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386779eb","IsMultiDynamicRange":false,"MultiDynamicRangeID":null,"MultiDynamicCollectionID":null,"SectionName":"ControleIndelingPLNomUL","BlockName":"B1","VenaRangeType":5,"DimensionIdStr":"-1","MemberIdStr":"-1","DimensionId":-1,"MemberId":-1,"Inc":""},"_vena_DYNR_SControleIndelingPLNomUL_BB1_c182ae31_38d2d641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38d2d641","IsMultiDynamicRange":false,"MultiDynamicRangeID":null,"MultiDynamicCollectionID":null,"SectionName":"ControleIndelingPLNomUL","BlockName":"B1","VenaRangeType":5,"DimensionIdStr":"-1","MemberIdStr":"-1","DimensionId":-1,"MemberId":-1,"Inc":""},"_vena_DYNR_SControleIndelingPLNomUL_BB1_c182ae31_3a295f22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3a295f22","IsMultiDynamicRange":false,"MultiDynamicRangeID":null,"MultiDynamicCollectionID":null,"SectionName":"ControleIndelingPLNomUL","BlockName":"B1","VenaRangeType":5,"DimensionIdStr":"-1","MemberIdStr":"-1","DimensionId":-1,"MemberId":-1,"Inc":""},"_vena_DYNR_SControleIndelingPLNomUL_BB1_c182ae31_41073fd":{"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41073fd","IsMultiDynamicRange":false,"MultiDynamicRangeID":null,"MultiDynamicCollectionID":null,"SectionName":"ControleIndelingPLNomUL","BlockName":"B1","VenaRangeType":5,"DimensionIdStr":"-1","MemberIdStr":"-1","DimensionId":-1,"MemberId":-1,"Inc":""},"_vena_DYNR_SControleIndelingPLNomUL_BB1_c182ae31_415f2310":{"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415f2310","IsMultiDynamicRange":false,"MultiDynamicRangeID":null,"MultiDynamicCollectionID":null,"SectionName":"ControleIndelingPLNomUL","BlockName":"B1","VenaRangeType":5,"DimensionIdStr":"-1","MemberIdStr":"-1","DimensionId":-1,"MemberId":-1,"Inc":""},"_vena_DYNR_SControleIndelingPLNomUL_BB1_c182ae31_41d8bbd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41d8bbd2","IsMultiDynamicRange":false,"MultiDynamicRangeID":null,"MultiDynamicCollectionID":null,"SectionName":"ControleIndelingPLNomUL","BlockName":"B1","VenaRangeType":5,"DimensionIdStr":"-1","MemberIdStr":"-1","DimensionId":-1,"MemberId":-1,"Inc":""},"_vena_DYNR_SControleIndelingPLNomUL_BB1_c182ae31_44ba986a":{"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44ba986a","IsMultiDynamicRange":false,"MultiDynamicRangeID":null,"MultiDynamicCollectionID":null,"SectionName":"ControleIndelingPLNomUL","BlockName":"B1","VenaRangeType":5,"DimensionIdStr":"-1","MemberIdStr":"-1","DimensionId":-1,"MemberId":-1,"Inc":""},"_vena_DYNR_SControleIndelingPLNomUL_BB1_c182ae31_4565426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4565426c","IsMultiDynamicRange":false,"MultiDynamicRangeID":null,"MultiDynamicCollectionID":null,"SectionName":"ControleIndelingPLNomUL","BlockName":"B1","VenaRangeType":5,"DimensionIdStr":"-1","MemberIdStr":"-1","DimensionId":-1,"MemberId":-1,"Inc":""},"_vena_DYNR_SControleIndelingPLNomUL_BB1_c182ae31_490eba79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490eba79","IsMultiDynamicRange":false,"MultiDynamicRangeID":null,"MultiDynamicCollectionID":null,"SectionName":"ControleIndelingPLNomUL","BlockName":"B1","VenaRangeType":5,"DimensionIdStr":"-1","MemberIdStr":"-1","DimensionId":-1,"MemberId":-1,"Inc":""},"_vena_DYNR_SControleIndelingPLNomUL_BB1_c182ae31_494ab808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494ab808","IsMultiDynamicRange":false,"MultiDynamicRangeID":null,"MultiDynamicCollectionID":null,"SectionName":"ControleIndelingPLNomUL","BlockName":"B1","VenaRangeType":5,"DimensionIdStr":"-1","MemberIdStr":"-1","DimensionId":-1,"MemberId":-1,"Inc":""},"_vena_DYNR_SControleIndelingPLNomUL_BB1_c182ae31_4976f990":{"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4976f990","IsMultiDynamicRange":false,"MultiDynamicRangeID":null,"MultiDynamicCollectionID":null,"SectionName":"ControleIndelingPLNomUL","BlockName":"B1","VenaRangeType":5,"DimensionIdStr":"-1","MemberIdStr":"-1","DimensionId":-1,"MemberId":-1,"Inc":""},"_vena_DYNR_SControleIndelingPLNomUL_BB1_c182ae31_497c5cd":{"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497c5cd","IsMultiDynamicRange":false,"MultiDynamicRangeID":null,"MultiDynamicCollectionID":null,"SectionName":"ControleIndelingPLNomUL","BlockName":"B1","VenaRangeType":5,"DimensionIdStr":"-1","MemberIdStr":"-1","DimensionId":-1,"MemberId":-1,"Inc":""},"_vena_DYNR_SControleIndelingPLNomUL_BB1_c182ae31_49dc59ab":{"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49dc59ab","IsMultiDynamicRange":false,"MultiDynamicRangeID":null,"MultiDynamicCollectionID":null,"SectionName":"ControleIndelingPLNomUL","BlockName":"B1","VenaRangeType":5,"DimensionIdStr":"-1","MemberIdStr":"-1","DimensionId":-1,"MemberId":-1,"Inc":""},"_vena_DYNR_SControleIndelingPLNomUL_BB1_c182ae31_49eae539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49eae539","IsMultiDynamicRange":false,"MultiDynamicRangeID":null,"MultiDynamicCollectionID":null,"SectionName":"ControleIndelingPLNomUL","BlockName":"B1","VenaRangeType":5,"DimensionIdStr":"-1","MemberIdStr":"-1","DimensionId":-1,"MemberId":-1,"Inc":""},"_vena_DYNR_SControleIndelingPLNomUL_BB1_c182ae31_4a2dea80":{"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a2dea80","IsMultiDynamicRange":false,"MultiDynamicRangeID":null,"MultiDynamicCollectionID":null,"SectionName":"ControleIndelingPLNomUL","BlockName":"B1","VenaRangeType":5,"DimensionIdStr":"-1","MemberIdStr":"-1","DimensionId":-1,"MemberId":-1,"Inc":""},"_vena_DYNR_SControleIndelingPLNomUL_BB1_c182ae31_4b1fde06":{"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b1fde06","IsMultiDynamicRange":false,"MultiDynamicRangeID":null,"MultiDynamicCollectionID":null,"SectionName":"ControleIndelingPLNomUL","BlockName":"B1","VenaRangeType":5,"DimensionIdStr":"-1","MemberIdStr":"-1","DimensionId":-1,"MemberId":-1,"Inc":""},"_vena_DYNR_SControleIndelingPLNomUL_BB1_c182ae31_4b36e003":{"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4b36e003","IsMultiDynamicRange":false,"MultiDynamicRangeID":null,"MultiDynamicCollectionID":null,"SectionName":"ControleIndelingPLNomUL","BlockName":"B1","VenaRangeType":5,"DimensionIdStr":"-1","MemberIdStr":"-1","DimensionId":-1,"MemberId":-1,"Inc":""},"_vena_DYNR_SControleIndelingPLNomUL_BB1_c182ae31_52a0c736":{"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52a0c736","IsMultiDynamicRange":false,"MultiDynamicRangeID":null,"MultiDynamicCollectionID":null,"SectionName":"ControleIndelingPLNomUL","BlockName":"B1","VenaRangeType":5,"DimensionIdStr":"-1","MemberIdStr":"-1","DimensionId":-1,"MemberId":-1,"Inc":""},"_vena_DYNR_SControleIndelingPLNomUL_BB1_c182ae31_54cc9d6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54cc9d6e","IsMultiDynamicRange":false,"MultiDynamicRangeID":null,"MultiDynamicCollectionID":null,"SectionName":"ControleIndelingPLNomUL","BlockName":"B1","VenaRangeType":5,"DimensionIdStr":"-1","MemberIdStr":"-1","DimensionId":-1,"MemberId":-1,"Inc":""},"_vena_DYNR_SControleIndelingPLNomUL_BB1_c182ae31_56c5c15f":{"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56c5c15f","IsMultiDynamicRange":false,"MultiDynamicRangeID":null,"MultiDynamicCollectionID":null,"SectionName":"ControleIndelingPLNomUL","BlockName":"B1","VenaRangeType":5,"DimensionIdStr":"-1","MemberIdStr":"-1","DimensionId":-1,"MemberId":-1,"Inc":""},"_vena_DYNR_SControleIndelingPLNomUL_BB1_c182ae31_577bcc26":{"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577bcc26","IsMultiDynamicRange":false,"MultiDynamicRangeID":null,"MultiDynamicCollectionID":null,"SectionName":"ControleIndelingPLNomUL","BlockName":"B1","VenaRangeType":5,"DimensionIdStr":"-1","MemberIdStr":"-1","DimensionId":-1,"MemberId":-1,"Inc":""},"_vena_DYNR_SControleIndelingPLNomUL_BB1_c182ae31_5804ac4b":{"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5804ac4b","IsMultiDynamicRange":false,"MultiDynamicRangeID":null,"MultiDynamicCollectionID":null,"SectionName":"ControleIndelingPLNomUL","BlockName":"B1","VenaRangeType":5,"DimensionIdStr":"-1","MemberIdStr":"-1","DimensionId":-1,"MemberId":-1,"Inc":""},"_vena_DYNR_SControleIndelingPLNomUL_BB1_c182ae31_58d6aa52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58d6aa52","IsMultiDynamicRange":false,"MultiDynamicRangeID":null,"MultiDynamicCollectionID":null,"SectionName":"ControleIndelingPLNomUL","BlockName":"B1","VenaRangeType":5,"DimensionIdStr":"-1","MemberIdStr":"-1","DimensionId":-1,"MemberId":-1,"Inc":""},"_vena_DYNR_SControleIndelingPLNomUL_BB1_c182ae31_59229d3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59229d3c","IsMultiDynamicRange":false,"MultiDynamicRangeID":null,"MultiDynamicCollectionID":null,"SectionName":"ControleIndelingPLNomUL","BlockName":"B1","VenaRangeType":5,"DimensionIdStr":"-1","MemberIdStr":"-1","DimensionId":-1,"MemberId":-1,"Inc":""},"_vena_DYNR_SControleIndelingPLNomUL_BB1_c182ae31_5c27d94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5c27d94c","IsMultiDynamicRange":false,"MultiDynamicRangeID":null,"MultiDynamicCollectionID":null,"SectionName":"ControleIndelingPLNomUL","BlockName":"B1","VenaRangeType":5,"DimensionIdStr":"-1","MemberIdStr":"-1","DimensionId":-1,"MemberId":-1,"Inc":""},"_vena_DYNR_SControleIndelingPLNomUL_BB1_c182ae31_5e589107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5e589107","IsMultiDynamicRange":false,"MultiDynamicRangeID":null,"MultiDynamicCollectionID":null,"SectionName":"ControleIndelingPLNomUL","BlockName":"B1","VenaRangeType":5,"DimensionIdStr":"-1","MemberIdStr":"-1","DimensionId":-1,"MemberId":-1,"Inc":""},"_vena_DYNR_SControleIndelingPLNomUL_BB1_c182ae31_609f5ab6":{"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609f5ab6","IsMultiDynamicRange":false,"MultiDynamicRangeID":null,"MultiDynamicCollectionID":null,"SectionName":"ControleIndelingPLNomUL","BlockName":"B1","VenaRangeType":5,"DimensionIdStr":"-1","MemberIdStr":"-1","DimensionId":-1,"MemberId":-1,"Inc":""},"_vena_DYNR_SControleIndelingPLNomUL_BB1_c182ae31_6109ba53":{"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6109ba53","IsMultiDynamicRange":false,"MultiDynamicRangeID":null,"MultiDynamicCollectionID":null,"SectionName":"ControleIndelingPLNomUL","BlockName":"B1","VenaRangeType":5,"DimensionIdStr":"-1","MemberIdStr":"-1","DimensionId":-1,"MemberId":-1,"Inc":""},"_vena_DYNR_SControleIndelingPLNomUL_BB1_c182ae31_667c3ee4":{"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667c3ee4","IsMultiDynamicRange":false,"MultiDynamicRangeID":null,"MultiDynamicCollectionID":null,"SectionName":"ControleIndelingPLNomUL","BlockName":"B1","VenaRangeType":5,"DimensionIdStr":"-1","MemberIdStr":"-1","DimensionId":-1,"MemberId":-1,"Inc":""},"_vena_DYNR_SControleIndelingPLNomUL_BB1_c182ae31_66fa09c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66fa09cc","IsMultiDynamicRange":false,"MultiDynamicRangeID":null,"MultiDynamicCollectionID":null,"SectionName":"ControleIndelingPLNomUL","BlockName":"B1","VenaRangeType":5,"DimensionIdStr":"-1","MemberIdStr":"-1","DimensionId":-1,"MemberId":-1,"Inc":""},"_vena_DYNR_SControleIndelingPLNomUL_BB1_c182ae31_6a0718da":{"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6a0718da","IsMultiDynamicRange":false,"MultiDynamicRangeID":null,"MultiDynamicCollectionID":null,"SectionName":"ControleIndelingPLNomUL","BlockName":"B1","VenaRangeType":5,"DimensionIdStr":"-1","MemberIdStr":"-1","DimensionId":-1,"MemberId":-1,"Inc":""},"_vena_DYNR_SControleIndelingPLNomUL_BB1_c182ae31_6b5ac28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6b5ac28c","IsMultiDynamicRange":false,"MultiDynamicRangeID":null,"MultiDynamicCollectionID":null,"SectionName":"ControleIndelingPLNomUL","BlockName":"B1","VenaRangeType":5,"DimensionIdStr":"-1","MemberIdStr":"-1","DimensionId":-1,"MemberId":-1,"Inc":""},"_vena_DYNR_SControleIndelingPLNomUL_BB1_c182ae31_6ca1e37a":{"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6ca1e37a","IsMultiDynamicRange":false,"MultiDynamicRangeID":null,"MultiDynamicCollectionID":null,"SectionName":"ControleIndelingPLNomUL","BlockName":"B1","VenaRangeType":5,"DimensionIdStr":"-1","MemberIdStr":"-1","DimensionId":-1,"MemberId":-1,"Inc":""},"_vena_DYNR_SControleIndelingPLNomUL_BB1_c182ae31_6e10264":{"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6e10264","IsMultiDynamicRange":false,"MultiDynamicRangeID":null,"MultiDynamicCollectionID":null,"SectionName":"ControleIndelingPLNomUL","BlockName":"B1","VenaRangeType":5,"DimensionIdStr":"-1","MemberIdStr":"-1","DimensionId":-1,"MemberId":-1,"Inc":""},"_vena_DYNR_SControleIndelingPLNomUL_BB1_c182ae31_6f2bf95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6f2bf95e","IsMultiDynamicRange":false,"MultiDynamicRangeID":null,"MultiDynamicCollectionID":null,"SectionName":"ControleIndelingPLNomUL","BlockName":"B1","VenaRangeType":5,"DimensionIdStr":"-1","MemberIdStr":"-1","DimensionId":-1,"MemberId":-1,"Inc":""},"_vena_DYNR_SControleIndelingPLNomUL_BB1_c182ae31_73242c3b":{"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73242c3b","IsMultiDynamicRange":false,"MultiDynamicRangeID":null,"MultiDynamicCollectionID":null,"SectionName":"ControleIndelingPLNomUL","BlockName":"B1","VenaRangeType":5,"DimensionIdStr":"-1","MemberIdStr":"-1","DimensionId":-1,"MemberId":-1,"Inc":""},"_vena_DYNR_SControleIndelingPLNomUL_BB1_c182ae31_75e4eb57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75e4eb57","IsMultiDynamicRange":false,"MultiDynamicRangeID":null,"MultiDynamicCollectionID":null,"SectionName":"ControleIndelingPLNomUL","BlockName":"B1","VenaRangeType":5,"DimensionIdStr":"-1","MemberIdStr":"-1","DimensionId":-1,"MemberId":-1,"Inc":""},"_vena_DYNR_SControleIndelingPLNomUL_BB1_c182ae31_760e5d21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760e5d21","IsMultiDynamicRange":false,"MultiDynamicRangeID":null,"MultiDynamicCollectionID":null,"SectionName":"ControleIndelingPLNomUL","BlockName":"B1","VenaRangeType":5,"DimensionIdStr":"-1","MemberIdStr":"-1","DimensionId":-1,"MemberId":-1,"Inc":""},"_vena_DYNR_SControleIndelingPLNomUL_BB1_c182ae31_7c465545":{"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7c465545","IsMultiDynamicRange":false,"MultiDynamicRangeID":null,"MultiDynamicCollectionID":null,"SectionName":"ControleIndelingPLNomUL","BlockName":"B1","VenaRangeType":5,"DimensionIdStr":"-1","MemberIdStr":"-1","DimensionId":-1,"MemberId":-1,"Inc":""},"_vena_DYNR_SControleIndelingPLNomUL_BB1_c182ae31_7cd338dd":{"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7cd338dd","IsMultiDynamicRange":false,"MultiDynamicRangeID":null,"MultiDynamicCollectionID":null,"SectionName":"ControleIndelingPLNomUL","BlockName":"B1","VenaRangeType":5,"DimensionIdStr":"-1","MemberIdStr":"-1","DimensionId":-1,"MemberId":-1,"Inc":""},"_vena_DYNR_SControleIndelingPLNomUL_BB1_c182ae31_7e35087d":{"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7e35087d","IsMultiDynamicRange":false,"MultiDynamicRangeID":null,"MultiDynamicCollectionID":null,"SectionName":"ControleIndelingPLNomUL","BlockName":"B1","VenaRangeType":5,"DimensionIdStr":"-1","MemberIdStr":"-1","DimensionId":-1,"MemberId":-1,"Inc":""},"_vena_DYNR_SControleIndelingPLNomUL_BB1_c182ae31_7ec6a1d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7ec6a1d7","IsMultiDynamicRange":false,"MultiDynamicRangeID":null,"MultiDynamicCollectionID":null,"SectionName":"ControleIndelingPLNomUL","BlockName":"B1","VenaRangeType":5,"DimensionIdStr":"-1","MemberIdStr":"-1","DimensionId":-1,"MemberId":-1,"Inc":""},"_vena_DYNR_SControleIndelingPLNomUL_BB1_c182ae31_7f95f1bf":{"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7f95f1bf","IsMultiDynamicRange":false,"MultiDynamicRangeID":null,"MultiDynamicCollectionID":null,"SectionName":"ControleIndelingPLNomUL","BlockName":"B1","VenaRangeType":5,"DimensionIdStr":"-1","MemberIdStr":"-1","DimensionId":-1,"MemberId":-1,"Inc":""},"_vena_DYNR_SControleIndelingPLNomUL_BB1_c182ae31_81bf321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81bf321e","IsMultiDynamicRange":false,"MultiDynamicRangeID":null,"MultiDynamicCollectionID":null,"SectionName":"ControleIndelingPLNomUL","BlockName":"B1","VenaRangeType":5,"DimensionIdStr":"-1","MemberIdStr":"-1","DimensionId":-1,"MemberId":-1,"Inc":""},"_vena_DYNR_SControleIndelingPLNomUL_BB1_c182ae31_834d0145":{"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834d0145","IsMultiDynamicRange":false,"MultiDynamicRangeID":null,"MultiDynamicCollectionID":null,"SectionName":"ControleIndelingPLNomUL","BlockName":"B1","VenaRangeType":5,"DimensionIdStr":"-1","MemberIdStr":"-1","DimensionId":-1,"MemberId":-1,"Inc":""},"_vena_DYNR_SControleIndelingPLNomUL_BB1_c182ae31_83fb3848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83fb3848","IsMultiDynamicRange":false,"MultiDynamicRangeID":null,"MultiDynamicCollectionID":null,"SectionName":"ControleIndelingPLNomUL","BlockName":"B1","VenaRangeType":5,"DimensionIdStr":"-1","MemberIdStr":"-1","DimensionId":-1,"MemberId":-1,"Inc":""},"_vena_DYNR_SControleIndelingPLNomUL_BB1_c182ae31_85ea2d45":{"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85ea2d45","IsMultiDynamicRange":false,"MultiDynamicRangeID":null,"MultiDynamicCollectionID":null,"SectionName":"ControleIndelingPLNomUL","BlockName":"B1","VenaRangeType":5,"DimensionIdStr":"-1","MemberIdStr":"-1","DimensionId":-1,"MemberId":-1,"Inc":""},"_vena_DYNR_SControleIndelingPLNomUL_BB1_c182ae31_86573a8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86573a8e","IsMultiDynamicRange":false,"MultiDynamicRangeID":null,"MultiDynamicCollectionID":null,"SectionName":"ControleIndelingPLNomUL","BlockName":"B1","VenaRangeType":5,"DimensionIdStr":"-1","MemberIdStr":"-1","DimensionId":-1,"MemberId":-1,"Inc":""},"_vena_DYNR_SControleIndelingPLNomUL_BB1_c182ae31_8aa568a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8aa568ac","IsMultiDynamicRange":false,"MultiDynamicRangeID":null,"MultiDynamicCollectionID":null,"SectionName":"ControleIndelingPLNomUL","BlockName":"B1","VenaRangeType":5,"DimensionIdStr":"-1","MemberIdStr":"-1","DimensionId":-1,"MemberId":-1,"Inc":""},"_vena_DYNR_SControleIndelingPLNomUL_BB1_c182ae31_8aaa2bab":{"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8aaa2bab","IsMultiDynamicRange":false,"MultiDynamicRangeID":null,"MultiDynamicCollectionID":null,"SectionName":"ControleIndelingPLNomUL","BlockName":"B1","VenaRangeType":5,"DimensionIdStr":"-1","MemberIdStr":"-1","DimensionId":-1,"MemberId":-1,"Inc":""},"_vena_DYNR_SControleIndelingPLNomUL_BB1_c182ae31_8dc6b75b":{"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8dc6b75b","IsMultiDynamicRange":false,"MultiDynamicRangeID":null,"MultiDynamicCollectionID":null,"SectionName":"ControleIndelingPLNomUL","BlockName":"B1","VenaRangeType":5,"DimensionIdStr":"-1","MemberIdStr":"-1","DimensionId":-1,"MemberId":-1,"Inc":""},"_vena_DYNR_SControleIndelingPLNomUL_BB1_c182ae31_8f5a2ef0":{"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8f5a2ef0","IsMultiDynamicRange":false,"MultiDynamicRangeID":null,"MultiDynamicCollectionID":null,"SectionName":"ControleIndelingPLNomUL","BlockName":"B1","VenaRangeType":5,"DimensionIdStr":"-1","MemberIdStr":"-1","DimensionId":-1,"MemberId":-1,"Inc":""},"_vena_DYNR_SControleIndelingPLNomUL_BB1_c182ae31_905b880d":{"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905b880d","IsMultiDynamicRange":false,"MultiDynamicRangeID":null,"MultiDynamicCollectionID":null,"SectionName":"ControleIndelingPLNomUL","BlockName":"B1","VenaRangeType":5,"DimensionIdStr":"-1","MemberIdStr":"-1","DimensionId":-1,"MemberId":-1,"Inc":""},"_vena_DYNR_SControleIndelingPLNomUL_BB1_c182ae31_90f0728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90f0728","IsMultiDynamicRange":false,"MultiDynamicRangeID":null,"MultiDynamicCollectionID":null,"SectionName":"ControleIndelingPLNomUL","BlockName":"B1","VenaRangeType":5,"DimensionIdStr":"-1","MemberIdStr":"-1","DimensionId":-1,"MemberId":-1,"Inc":""},"_vena_DYNR_SControleIndelingPLNomUL_BB1_c182ae31_939d891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939d891e","IsMultiDynamicRange":false,"MultiDynamicRangeID":null,"MultiDynamicCollectionID":null,"SectionName":"ControleIndelingPLNomUL","BlockName":"B1","VenaRangeType":5,"DimensionIdStr":"-1","MemberIdStr":"-1","DimensionId":-1,"MemberId":-1,"Inc":""},"_vena_DYNR_SControleIndelingPLNomUL_BB1_c182ae31_96db1113":{"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96db1113","IsMultiDynamicRange":false,"MultiDynamicRangeID":null,"MultiDynamicCollectionID":null,"SectionName":"ControleIndelingPLNomUL","BlockName":"B1","VenaRangeType":5,"DimensionIdStr":"-1","MemberIdStr":"-1","DimensionId":-1,"MemberId":-1,"Inc":""},"_vena_DYNR_SControleIndelingPLNomUL_BB1_c182ae31_9772fb72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9772fb72","IsMultiDynamicRange":false,"MultiDynamicRangeID":null,"MultiDynamicCollectionID":null,"SectionName":"ControleIndelingPLNomUL","BlockName":"B1","VenaRangeType":5,"DimensionIdStr":"-1","MemberIdStr":"-1","DimensionId":-1,"MemberId":-1,"Inc":""},"_vena_DYNR_SControleIndelingPLNomUL_BB1_c182ae31_984f278b":{"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984f278b","IsMultiDynamicRange":false,"MultiDynamicRangeID":null,"MultiDynamicCollectionID":null,"SectionName":"ControleIndelingPLNomUL","BlockName":"B1","VenaRangeType":5,"DimensionIdStr":"-1","MemberIdStr":"-1","DimensionId":-1,"MemberId":-1,"Inc":""},"_vena_DYNR_SControleIndelingPLNomUL_BB1_c182ae31_9ae4ae29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ae4ae29","IsMultiDynamicRange":false,"MultiDynamicRangeID":null,"MultiDynamicCollectionID":null,"SectionName":"ControleIndelingPLNomUL","BlockName":"B1","VenaRangeType":5,"DimensionIdStr":"-1","MemberIdStr":"-1","DimensionId":-1,"MemberId":-1,"Inc":""},"_vena_DYNR_SControleIndelingPLNomUL_BB1_c182ae31_9c4411f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c4411f8","IsMultiDynamicRange":false,"MultiDynamicRangeID":null,"MultiDynamicCollectionID":null,"SectionName":"ControleIndelingPLNomUL","BlockName":"B1","VenaRangeType":5,"DimensionIdStr":"-1","MemberIdStr":"-1","DimensionId":-1,"MemberId":-1,"Inc":""},"_vena_DYNR_SControleIndelingPLNomUL_BB1_c182ae31_9ebbc47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ebbc47c","IsMultiDynamicRange":false,"MultiDynamicRangeID":null,"MultiDynamicCollectionID":null,"SectionName":"ControleIndelingPLNomUL","BlockName":"B1","VenaRangeType":5,"DimensionIdStr":"-1","MemberIdStr":"-1","DimensionId":-1,"MemberId":-1,"Inc":""},"_vena_DYNR_SControleIndelingPLNomUL_BB1_c182ae31_9f7c497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9f7c497c","IsMultiDynamicRange":false,"MultiDynamicRangeID":null,"MultiDynamicCollectionID":null,"SectionName":"ControleIndelingPLNomUL","BlockName":"B1","VenaRangeType":5,"DimensionIdStr":"-1","MemberIdStr":"-1","DimensionId":-1,"MemberId":-1,"Inc":""},"_vena_DYNR_SControleIndelingPLNomUL_BB1_c182ae31_a1ec6b34":{"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a1ec6b34","IsMultiDynamicRange":false,"MultiDynamicRangeID":null,"MultiDynamicCollectionID":null,"SectionName":"ControleIndelingPLNomUL","BlockName":"B1","VenaRangeType":5,"DimensionIdStr":"-1","MemberIdStr":"-1","DimensionId":-1,"MemberId":-1,"Inc":""},"_vena_DYNR_SControleIndelingPLNomUL_BB1_c182ae31_a79c1e08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a79c1e08","IsMultiDynamicRange":false,"MultiDynamicRangeID":null,"MultiDynamicCollectionID":null,"SectionName":"ControleIndelingPLNomUL","BlockName":"B1","VenaRangeType":5,"DimensionIdStr":"-1","MemberIdStr":"-1","DimensionId":-1,"MemberId":-1,"Inc":""},"_vena_DYNR_SControleIndelingPLNomUL_BB1_c182ae31_a7d37396":{"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a7d37396","IsMultiDynamicRange":false,"MultiDynamicRangeID":null,"MultiDynamicCollectionID":null,"SectionName":"ControleIndelingPLNomUL","BlockName":"B1","VenaRangeType":5,"DimensionIdStr":"-1","MemberIdStr":"-1","DimensionId":-1,"MemberId":-1,"Inc":""},"_vena_DYNR_SControleIndelingPLNomUL_BB1_c182ae31_a8143017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a8143017","IsMultiDynamicRange":false,"MultiDynamicRangeID":null,"MultiDynamicCollectionID":null,"SectionName":"ControleIndelingPLNomUL","BlockName":"B1","VenaRangeType":5,"DimensionIdStr":"-1","MemberIdStr":"-1","DimensionId":-1,"MemberId":-1,"Inc":""},"_vena_DYNR_SControleIndelingPLNomUL_BB1_c182ae31_a97b8461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a97b8461","IsMultiDynamicRange":false,"MultiDynamicRangeID":null,"MultiDynamicCollectionID":null,"SectionName":"ControleIndelingPLNomUL","BlockName":"B1","VenaRangeType":5,"DimensionIdStr":"-1","MemberIdStr":"-1","DimensionId":-1,"MemberId":-1,"Inc":""},"_vena_DYNR_SControleIndelingPLNomUL_BB1_c182ae31_aa52d8b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aa52d8b9","IsMultiDynamicRange":false,"MultiDynamicRangeID":null,"MultiDynamicCollectionID":null,"SectionName":"ControleIndelingPLNomUL","BlockName":"B1","VenaRangeType":5,"DimensionIdStr":"-1","MemberIdStr":"-1","DimensionId":-1,"MemberId":-1,"Inc":""},"_vena_DYNR_SControleIndelingPLNomUL_BB1_c182ae31_ab577538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ab577538","IsMultiDynamicRange":false,"MultiDynamicRangeID":null,"MultiDynamicCollectionID":null,"SectionName":"ControleIndelingPLNomUL","BlockName":"B1","VenaRangeType":5,"DimensionIdStr":"-1","MemberIdStr":"-1","DimensionId":-1,"MemberId":-1,"Inc":""},"_vena_DYNR_SControleIndelingPLNomUL_BB1_c182ae31_ade9c023":{"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ade9c023","IsMultiDynamicRange":false,"MultiDynamicRangeID":null,"MultiDynamicCollectionID":null,"SectionName":"ControleIndelingPLNomUL","BlockName":"B1","VenaRangeType":5,"DimensionIdStr":"-1","MemberIdStr":"-1","DimensionId":-1,"MemberId":-1,"Inc":""},"_vena_DYNR_SControleIndelingPLNomUL_BB1_c182ae31_adee907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adee907e","IsMultiDynamicRange":false,"MultiDynamicRangeID":null,"MultiDynamicCollectionID":null,"SectionName":"ControleIndelingPLNomUL","BlockName":"B1","VenaRangeType":5,"DimensionIdStr":"-1","MemberIdStr":"-1","DimensionId":-1,"MemberId":-1,"Inc":""},"_vena_DYNR_SControleIndelingPLNomUL_BB1_c182ae31_b3062158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b3062158","IsMultiDynamicRange":false,"MultiDynamicRangeID":null,"MultiDynamicCollectionID":null,"SectionName":"ControleIndelingPLNomUL","BlockName":"B1","VenaRangeType":5,"DimensionIdStr":"-1","MemberIdStr":"-1","DimensionId":-1,"MemberId":-1,"Inc":""},"_vena_DYNR_SControleIndelingPLNomUL_BB1_c182ae31_b3ea4d8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b3ea4d8c","IsMultiDynamicRange":false,"MultiDynamicRangeID":null,"MultiDynamicCollectionID":null,"SectionName":"ControleIndelingPLNomUL","BlockName":"B1","VenaRangeType":5,"DimensionIdStr":"-1","MemberIdStr":"-1","DimensionId":-1,"MemberId":-1,"Inc":""},"_vena_DYNR_SControleIndelingPLNomUL_BB1_c182ae31_b42b53c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b42b53c7","IsMultiDynamicRange":false,"MultiDynamicRangeID":null,"MultiDynamicCollectionID":null,"SectionName":"ControleIndelingPLNomUL","BlockName":"B1","VenaRangeType":5,"DimensionIdStr":"-1","MemberIdStr":"-1","DimensionId":-1,"MemberId":-1,"Inc":""},"_vena_DYNR_SControleIndelingPLNomUL_BB1_c182ae31_b44aa3ba":{"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b44aa3ba","IsMultiDynamicRange":false,"MultiDynamicRangeID":null,"MultiDynamicCollectionID":null,"SectionName":"ControleIndelingPLNomUL","BlockName":"B1","VenaRangeType":5,"DimensionIdStr":"-1","MemberIdStr":"-1","DimensionId":-1,"MemberId":-1,"Inc":""},"_vena_DYNR_SControleIndelingPLNomUL_BB1_c182ae31_b59812db":{"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b59812db","IsMultiDynamicRange":false,"MultiDynamicRangeID":null,"MultiDynamicCollectionID":null,"SectionName":"ControleIndelingPLNomUL","BlockName":"B1","VenaRangeType":5,"DimensionIdStr":"-1","MemberIdStr":"-1","DimensionId":-1,"MemberId":-1,"Inc":""},"_vena_DYNR_SControleIndelingPLNomUL_BB1_c182ae31_ba531588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ba531588","IsMultiDynamicRange":false,"MultiDynamicRangeID":null,"MultiDynamicCollectionID":null,"SectionName":"ControleIndelingPLNomUL","BlockName":"B1","VenaRangeType":5,"DimensionIdStr":"-1","MemberIdStr":"-1","DimensionId":-1,"MemberId":-1,"Inc":""},"_vena_DYNR_SControleIndelingPLNomUL_BB1_c182ae31_bd3b6cc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bd3b6cc1","IsMultiDynamicRange":false,"MultiDynamicRangeID":null,"MultiDynamicCollectionID":null,"SectionName":"ControleIndelingPLNomUL","BlockName":"B1","VenaRangeType":5,"DimensionIdStr":"-1","MemberIdStr":"-1","DimensionId":-1,"MemberId":-1,"Inc":""},"_vena_DYNR_SControleIndelingPLNomUL_BB1_c182ae31_be57bc5":{"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be57bc5","IsMultiDynamicRange":false,"MultiDynamicRangeID":null,"MultiDynamicCollectionID":null,"SectionName":"ControleIndelingPLNomUL","BlockName":"B1","VenaRangeType":5,"DimensionIdStr":"-1","MemberIdStr":"-1","DimensionId":-1,"MemberId":-1,"Inc":""},"_vena_DYNR_SControleIndelingPLNomUL_BB1_c182ae31_be6a58a3":{"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be6a58a3","IsMultiDynamicRange":false,"MultiDynamicRangeID":null,"MultiDynamicCollectionID":null,"SectionName":"ControleIndelingPLNomUL","BlockName":"B1","VenaRangeType":5,"DimensionIdStr":"-1","MemberIdStr":"-1","DimensionId":-1,"MemberId":-1,"Inc":""},"_vena_DYNR_SControleIndelingPLNomUL_BB1_c182ae31_c558259d":{"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c558259d","IsMultiDynamicRange":false,"MultiDynamicRangeID":null,"MultiDynamicCollectionID":null,"SectionName":"ControleIndelingPLNomUL","BlockName":"B1","VenaRangeType":5,"DimensionIdStr":"-1","MemberIdStr":"-1","DimensionId":-1,"MemberId":-1,"Inc":""},"_vena_DYNR_SControleIndelingPLNomUL_BB1_c182ae31_c7be4bb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c7be4bb2","IsMultiDynamicRange":false,"MultiDynamicRangeID":null,"MultiDynamicCollectionID":null,"SectionName":"ControleIndelingPLNomUL","BlockName":"B1","VenaRangeType":5,"DimensionIdStr":"-1","MemberIdStr":"-1","DimensionId":-1,"MemberId":-1,"Inc":""},"_vena_DYNR_SControleIndelingPLNomUL_BB1_c182ae31_c9612909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c9612909","IsMultiDynamicRange":false,"MultiDynamicRangeID":null,"MultiDynamicCollectionID":null,"SectionName":"ControleIndelingPLNomUL","BlockName":"B1","VenaRangeType":5,"DimensionIdStr":"-1","MemberIdStr":"-1","DimensionId":-1,"MemberId":-1,"Inc":""},"_vena_DYNR_SControleIndelingPLNomUL_BB1_c182ae31_cd8a69a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cd8a69a8","IsMultiDynamicRange":false,"MultiDynamicRangeID":null,"MultiDynamicCollectionID":null,"SectionName":"ControleIndelingPLNomUL","BlockName":"B1","VenaRangeType":5,"DimensionIdStr":"-1","MemberIdStr":"-1","DimensionId":-1,"MemberId":-1,"Inc":""},"_vena_DYNR_SControleIndelingPLNomUL_BB1_c182ae31_d6db26a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d6db26a2","IsMultiDynamicRange":false,"MultiDynamicRangeID":null,"MultiDynamicCollectionID":null,"SectionName":"ControleIndelingPLNomUL","BlockName":"B1","VenaRangeType":5,"DimensionIdStr":"-1","MemberIdStr":"-1","DimensionId":-1,"MemberId":-1,"Inc":""},"_vena_DYNR_SControleIndelingPLNomUL_BB1_c182ae31_d719d82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d719d82e","IsMultiDynamicRange":false,"MultiDynamicRangeID":null,"MultiDynamicCollectionID":null,"SectionName":"ControleIndelingPLNomUL","BlockName":"B1","VenaRangeType":5,"DimensionIdStr":"-1","MemberIdStr":"-1","DimensionId":-1,"MemberId":-1,"Inc":""},"_vena_DYNR_SControleIndelingPLNomUL_BB1_c182ae31_d84db064":{"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d84db064","IsMultiDynamicRange":false,"MultiDynamicRangeID":null,"MultiDynamicCollectionID":null,"SectionName":"ControleIndelingPLNomUL","BlockName":"B1","VenaRangeType":5,"DimensionIdStr":"-1","MemberIdStr":"-1","DimensionId":-1,"MemberId":-1,"Inc":""},"_vena_DYNR_SControleIndelingPLNomUL_BB1_c182ae31_d8c617c5":{"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d8c617c5","IsMultiDynamicRange":false,"MultiDynamicRangeID":null,"MultiDynamicCollectionID":null,"SectionName":"ControleIndelingPLNomUL","BlockName":"B1","VenaRangeType":5,"DimensionIdStr":"-1","MemberIdStr":"-1","DimensionId":-1,"MemberId":-1,"Inc":""},"_vena_DYNR_SControleIndelingPLNomUL_BB1_c182ae31_dab49173":{"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dab49173","IsMultiDynamicRange":false,"MultiDynamicRangeID":null,"MultiDynamicCollectionID":null,"SectionName":"ControleIndelingPLNomUL","BlockName":"B1","VenaRangeType":5,"DimensionIdStr":"-1","MemberIdStr":"-1","DimensionId":-1,"MemberId":-1,"Inc":""},"_vena_DYNR_SControleIndelingPLNomUL_BB1_c182ae31_dac45ed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dac45ed8","IsMultiDynamicRange":false,"MultiDynamicRangeID":null,"MultiDynamicCollectionID":null,"SectionName":"ControleIndelingPLNomUL","BlockName":"B1","VenaRangeType":5,"DimensionIdStr":"-1","MemberIdStr":"-1","DimensionId":-1,"MemberId":-1,"Inc":""},"_vena_DYNR_SControleIndelingPLNomUL_BB1_c182ae31_db0298a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db0298a1","IsMultiDynamicRange":false,"MultiDynamicRangeID":null,"MultiDynamicCollectionID":null,"SectionName":"ControleIndelingPLNomUL","BlockName":"B1","VenaRangeType":5,"DimensionIdStr":"-1","MemberIdStr":"-1","DimensionId":-1,"MemberId":-1,"Inc":""},"_vena_DYNR_SControleIndelingPLNomUL_BB1_c182ae31_e09ee6fb":{"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09ee6fb","IsMultiDynamicRange":false,"MultiDynamicRangeID":null,"MultiDynamicCollectionID":null,"SectionName":"ControleIndelingPLNomUL","BlockName":"B1","VenaRangeType":5,"DimensionIdStr":"-1","MemberIdStr":"-1","DimensionId":-1,"MemberId":-1,"Inc":""},"_vena_DYNR_SControleIndelingPLNomUL_BB1_c182ae31_e0d7da19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0d7da19","IsMultiDynamicRange":false,"MultiDynamicRangeID":null,"MultiDynamicCollectionID":null,"SectionName":"ControleIndelingPLNomUL","BlockName":"B1","VenaRangeType":5,"DimensionIdStr":"-1","MemberIdStr":"-1","DimensionId":-1,"MemberId":-1,"Inc":""},"_vena_DYNR_SControleIndelingPLNomUL_BB1_c182ae31_e1d5cb7f":{"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1d5cb7f","IsMultiDynamicRange":false,"MultiDynamicRangeID":null,"MultiDynamicCollectionID":null,"SectionName":"ControleIndelingPLNomUL","BlockName":"B1","VenaRangeType":5,"DimensionIdStr":"-1","MemberIdStr":"-1","DimensionId":-1,"MemberId":-1,"Inc":""},"_vena_DYNR_SControleIndelingPLNomUL_BB1_c182ae31_e34a4afd":{"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34a4afd","IsMultiDynamicRange":false,"MultiDynamicRangeID":null,"MultiDynamicCollectionID":null,"SectionName":"ControleIndelingPLNomUL","BlockName":"B1","VenaRangeType":5,"DimensionIdStr":"-1","MemberIdStr":"-1","DimensionId":-1,"MemberId":-1,"Inc":""},"_vena_DYNR_SControleIndelingPLNomUL_BB1_c182ae31_e729e6c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729e6c2","IsMultiDynamicRange":false,"MultiDynamicRangeID":null,"MultiDynamicCollectionID":null,"SectionName":"ControleIndelingPLNomUL","BlockName":"B1","VenaRangeType":5,"DimensionIdStr":"-1","MemberIdStr":"-1","DimensionId":-1,"MemberId":-1,"Inc":""},"_vena_DYNR_SControleIndelingPLNomUL_BB1_c182ae31_e748318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748318","IsMultiDynamicRange":false,"MultiDynamicRangeID":null,"MultiDynamicCollectionID":null,"SectionName":"ControleIndelingPLNomUL","BlockName":"B1","VenaRangeType":5,"DimensionIdStr":"-1","MemberIdStr":"-1","DimensionId":-1,"MemberId":-1,"Inc":""},"_vena_DYNR_SControleIndelingPLNomUL_BB1_c182ae31_ea8dcce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a8dcce9","IsMultiDynamicRange":false,"MultiDynamicRangeID":null,"MultiDynamicCollectionID":null,"SectionName":"ControleIndelingPLNomUL","BlockName":"B1","VenaRangeType":5,"DimensionIdStr":"-1","MemberIdStr":"-1","DimensionId":-1,"MemberId":-1,"Inc":""},"_vena_DYNR_SControleIndelingPLNomUL_BB1_c182ae31_eadb10e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adb10e1","IsMultiDynamicRange":false,"MultiDynamicRangeID":null,"MultiDynamicCollectionID":null,"SectionName":"ControleIndelingPLNomUL","BlockName":"B1","VenaRangeType":5,"DimensionIdStr":"-1","MemberIdStr":"-1","DimensionId":-1,"MemberId":-1,"Inc":""},"_vena_DYNR_SControleIndelingPLNomUL_BB1_c182ae31_eaf66bb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af66bb2","IsMultiDynamicRange":false,"MultiDynamicRangeID":null,"MultiDynamicCollectionID":null,"SectionName":"ControleIndelingPLNomUL","BlockName":"B1","VenaRangeType":5,"DimensionIdStr":"-1","MemberIdStr":"-1","DimensionId":-1,"MemberId":-1,"Inc":""},"_vena_DYNR_SControleIndelingPLNomUL_BB1_c182ae31_ee0c154f":{"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e0c154f","IsMultiDynamicRange":false,"MultiDynamicRangeID":null,"MultiDynamicCollectionID":null,"SectionName":"ControleIndelingPLNomUL","BlockName":"B1","VenaRangeType":5,"DimensionIdStr":"-1","MemberIdStr":"-1","DimensionId":-1,"MemberId":-1,"Inc":""},"_vena_DYNR_SControleIndelingPLNomUL_BB1_c182ae31_ee5c20e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e5c20ee","IsMultiDynamicRange":false,"MultiDynamicRangeID":null,"MultiDynamicCollectionID":null,"SectionName":"ControleIndelingPLNomUL","BlockName":"B1","VenaRangeType":5,"DimensionIdStr":"-1","MemberIdStr":"-1","DimensionId":-1,"MemberId":-1,"Inc":""},"_vena_DYNR_SControleIndelingPLNomUL_BB1_c182ae31_ef83c75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ef83c75c","IsMultiDynamicRange":false,"MultiDynamicRangeID":null,"MultiDynamicCollectionID":null,"SectionName":"ControleIndelingPLNomUL","BlockName":"B1","VenaRangeType":5,"DimensionIdStr":"-1","MemberIdStr":"-1","DimensionId":-1,"MemberId":-1,"Inc":""},"_vena_DYNR_SControleIndelingPLNomUL_BB1_c182ae31_f0a46699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0a46699","IsMultiDynamicRange":false,"MultiDynamicRangeID":null,"MultiDynamicCollectionID":null,"SectionName":"ControleIndelingPLNomUL","BlockName":"B1","VenaRangeType":5,"DimensionIdStr":"-1","MemberIdStr":"-1","DimensionId":-1,"MemberId":-1,"Inc":""},"_vena_DYNR_SControleIndelingPLNomUL_BB1_c182ae31_f0f13608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0f13608","IsMultiDynamicRange":false,"MultiDynamicRangeID":null,"MultiDynamicCollectionID":null,"SectionName":"ControleIndelingPLNomUL","BlockName":"B1","VenaRangeType":5,"DimensionIdStr":"-1","MemberIdStr":"-1","DimensionId":-1,"MemberId":-1,"Inc":""},"_vena_DYNR_SControleIndelingPLNomUL_BB1_c182ae31_f2229ba1":{"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2229ba1","IsMultiDynamicRange":false,"MultiDynamicRangeID":null,"MultiDynamicCollectionID":null,"SectionName":"ControleIndelingPLNomUL","BlockName":"B1","VenaRangeType":5,"DimensionIdStr":"-1","MemberIdStr":"-1","DimensionId":-1,"MemberId":-1,"Inc":""},"_vena_DYNR_SControleIndelingPLNomUL_BB1_c182ae31_f3b77192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3b77192","IsMultiDynamicRange":false,"MultiDynamicRangeID":null,"MultiDynamicCollectionID":null,"SectionName":"ControleIndelingPLNomUL","BlockName":"B1","VenaRangeType":5,"DimensionIdStr":"-1","MemberIdStr":"-1","DimensionId":-1,"MemberId":-1,"Inc":""},"_vena_DYNR_SControleIndelingPLNomUL_BB1_c182ae31_f40baab8":{"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40baab8","IsMultiDynamicRange":false,"MultiDynamicRangeID":null,"MultiDynamicCollectionID":null,"SectionName":"ControleIndelingPLNomUL","BlockName":"B1","VenaRangeType":5,"DimensionIdStr":"-1","MemberIdStr":"-1","DimensionId":-1,"MemberId":-1,"Inc":""},"_vena_DYNR_SControleIndelingPLNomUL_BB1_c182ae31_f5702606":{"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5702606","IsMultiDynamicRange":false,"MultiDynamicRangeID":null,"MultiDynamicCollectionID":null,"SectionName":"ControleIndelingPLNomUL","BlockName":"B1","VenaRangeType":5,"DimensionIdStr":"-1","MemberIdStr":"-1","DimensionId":-1,"MemberId":-1,"Inc":""},"_vena_DYNR_SControleIndelingPLNomUL_BB1_c182ae31_f64c2a27":{"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64c2a27","IsMultiDynamicRange":false,"MultiDynamicRangeID":null,"MultiDynamicCollectionID":null,"SectionName":"ControleIndelingPLNomUL","BlockName":"B1","VenaRangeType":5,"DimensionIdStr":"-1","MemberIdStr":"-1","DimensionId":-1,"MemberId":-1,"Inc":""},"_vena_DYNR_SControleIndelingPLNomUL_BB1_c182ae31_f74343b9":{"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74343b9","IsMultiDynamicRange":false,"MultiDynamicRangeID":null,"MultiDynamicCollectionID":null,"SectionName":"ControleIndelingPLNomUL","BlockName":"B1","VenaRangeType":5,"DimensionIdStr":"-1","MemberIdStr":"-1","DimensionId":-1,"MemberId":-1,"Inc":""},"_vena_DYNR_SControleIndelingPLNomUL_BB1_c182ae31_f94e6572":{"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94e6572","IsMultiDynamicRange":false,"MultiDynamicRangeID":null,"MultiDynamicCollectionID":null,"SectionName":"ControleIndelingPLNomUL","BlockName":"B1","VenaRangeType":5,"DimensionIdStr":"-1","MemberIdStr":"-1","DimensionId":-1,"MemberId":-1,"Inc":""},"_vena_DYNR_SControleIndelingPLNomUL_BB1_c182ae31_f97332ed":{"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97332ed","IsMultiDynamicRange":false,"MultiDynamicRangeID":null,"MultiDynamicCollectionID":null,"SectionName":"ControleIndelingPLNomUL","BlockName":"B1","VenaRangeType":5,"DimensionIdStr":"-1","MemberIdStr":"-1","DimensionId":-1,"MemberId":-1,"Inc":""},"_vena_DYNR_SControleIndelingPLNomUL_BB1_c182ae31_fb79dc6e":{"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b79dc6e","IsMultiDynamicRange":false,"MultiDynamicRangeID":null,"MultiDynamicCollectionID":null,"SectionName":"ControleIndelingPLNomUL","BlockName":"B1","VenaRangeType":5,"DimensionIdStr":"-1","MemberIdStr":"-1","DimensionId":-1,"MemberId":-1,"Inc":""},"_vena_DYNR_SControleIndelingPLNomUL_BB1_c182ae31_fb8cae3c":{"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b8cae3c","IsMultiDynamicRange":false,"MultiDynamicRangeID":null,"MultiDynamicCollectionID":null,"SectionName":"ControleIndelingPLNomUL","BlockName":"B1","VenaRangeType":5,"DimensionIdStr":"-1","MemberIdStr":"-1","DimensionId":-1,"MemberId":-1,"Inc":""},"_vena_DYNR_SControleIndelingPLNomUL_BB1_c182ae31_fcf65870":{"SourceGlobalVariableId":-1,"SourceFormVariableId":"00000000-0000-0000-0000-000000000000","IsPageVariable":false,"IsLineItemDetailEnabled":false,"LineItemDetailOrder":0,"LineItemID":null,"PageVariableSectionReference":"","PageVariableDimensionName":null,"IsDynamicRange":true,"IsDynamicRangeEntry":true,"DynamicRangeID":"c182ae31","DynamicRangeEntryID":"fcf65870","IsMultiDynamicRange":false,"MultiDynamicRangeID":null,"MultiDynamicCollectionID":null,"SectionName":"ControleIndelingPLNomUL","BlockName":"B1","VenaRangeType":5,"DimensionIdStr":"-1","MemberIdStr":"-1","DimensionId":-1,"MemberId":-1,"Inc":""},"_vena_DYNR_SControleIndelingPLNomUL_BB1_c49935c7":{"SourceGlobalVariableId":-1,"SourceFormVariableId":"00000000-0000-0000-0000-000000000000","IsPageVariable":false,"IsLineItemDetailEnabled":false,"LineItemDetailOrder":0,"LineItemID":null,"PageVariableSectionReference":"","PageVariableDimensionName":null,"IsDynamicRange":true,"IsDynamicRangeEntry":false,"DynamicRangeID":"c49935c7","DynamicRangeEntryID":null,"IsMultiDynamicRange":false,"MultiDynamicRangeID":null,"MultiDynamicCollectionID":null,"SectionName":"ControleIndelingPLNomUL","BlockName":"B1","VenaRangeType":5,"DimensionIdStr":"-1","MemberIdStr":"-1","DimensionId":-1,"MemberId":-1,"Inc":""},"_vena_DYNR_SControleIndelingPLNomUL_BB1_c49935c7_1089502":{"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1089502","IsMultiDynamicRange":false,"MultiDynamicRangeID":null,"MultiDynamicCollectionID":null,"SectionName":"ControleIndelingPLNomUL","BlockName":"B1","VenaRangeType":5,"DimensionIdStr":"-1","MemberIdStr":"-1","DimensionId":-1,"MemberId":-1,"Inc":""},"_vena_DYNR_SControleIndelingPLNomUL_BB1_c49935c7_11885d40":{"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11885d40","IsMultiDynamicRange":false,"MultiDynamicRangeID":null,"MultiDynamicCollectionID":null,"SectionName":"ControleIndelingPLNomUL","BlockName":"B1","VenaRangeType":5,"DimensionIdStr":"-1","MemberIdStr":"-1","DimensionId":-1,"MemberId":-1,"Inc":""},"_vena_DYNR_SControleIndelingPLNomUL_BB1_c49935c7_1413e517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1413e517","IsMultiDynamicRange":false,"MultiDynamicRangeID":null,"MultiDynamicCollectionID":null,"SectionName":"ControleIndelingPLNomUL","BlockName":"B1","VenaRangeType":5,"DimensionIdStr":"-1","MemberIdStr":"-1","DimensionId":-1,"MemberId":-1,"Inc":""},"_vena_DYNR_SControleIndelingPLNomUL_BB1_c49935c7_1483eb71":{"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1483eb71","IsMultiDynamicRange":false,"MultiDynamicRangeID":null,"MultiDynamicCollectionID":null,"SectionName":"ControleIndelingPLNomUL","BlockName":"B1","VenaRangeType":5,"DimensionIdStr":"-1","MemberIdStr":"-1","DimensionId":-1,"MemberId":-1,"Inc":""},"_vena_DYNR_SControleIndelingPLNomUL_BB1_c49935c7_15933947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15933947","IsMultiDynamicRange":false,"MultiDynamicRangeID":null,"MultiDynamicCollectionID":null,"SectionName":"ControleIndelingPLNomUL","BlockName":"B1","VenaRangeType":5,"DimensionIdStr":"-1","MemberIdStr":"-1","DimensionId":-1,"MemberId":-1,"Inc":""},"_vena_DYNR_SControleIndelingPLNomUL_BB1_c49935c7_1f33fe55":{"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1f33fe55","IsMultiDynamicRange":false,"MultiDynamicRangeID":null,"MultiDynamicCollectionID":null,"SectionName":"ControleIndelingPLNomUL","BlockName":"B1","VenaRangeType":5,"DimensionIdStr":"-1","MemberIdStr":"-1","DimensionId":-1,"MemberId":-1,"Inc":""},"_vena_DYNR_SControleIndelingPLNomUL_BB1_c49935c7_22023e97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22023e97","IsMultiDynamicRange":false,"MultiDynamicRangeID":null,"MultiDynamicCollectionID":null,"SectionName":"ControleIndelingPLNomUL","BlockName":"B1","VenaRangeType":5,"DimensionIdStr":"-1","MemberIdStr":"-1","DimensionId":-1,"MemberId":-1,"Inc":""},"_vena_DYNR_SControleIndelingPLNomUL_BB1_c49935c7_281e5490":{"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281e5490","IsMultiDynamicRange":false,"MultiDynamicRangeID":null,"MultiDynamicCollectionID":null,"SectionName":"ControleIndelingPLNomUL","BlockName":"B1","VenaRangeType":5,"DimensionIdStr":"-1","MemberIdStr":"-1","DimensionId":-1,"MemberId":-1,"Inc":""},"_vena_DYNR_SControleIndelingPLNomUL_BB1_c49935c7_29314bcd":{"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29314bcd","IsMultiDynamicRange":false,"MultiDynamicRangeID":null,"MultiDynamicCollectionID":null,"SectionName":"ControleIndelingPLNomUL","BlockName":"B1","VenaRangeType":5,"DimensionIdStr":"-1","MemberIdStr":"-1","DimensionId":-1,"MemberId":-1,"Inc":""},"_vena_DYNR_SControleIndelingPLNomUL_BB1_c49935c7_2a0dd537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2a0dd537","IsMultiDynamicRange":false,"MultiDynamicRangeID":null,"MultiDynamicCollectionID":null,"SectionName":"ControleIndelingPLNomUL","BlockName":"B1","VenaRangeType":5,"DimensionIdStr":"-1","MemberIdStr":"-1","DimensionId":-1,"MemberId":-1,"Inc":""},"_vena_DYNR_SControleIndelingPLNomUL_BB1_c49935c7_37460a4b":{"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37460a4b","IsMultiDynamicRange":false,"MultiDynamicRangeID":null,"MultiDynamicCollectionID":null,"SectionName":"ControleIndelingPLNomUL","BlockName":"B1","VenaRangeType":5,"DimensionIdStr":"-1","MemberIdStr":"-1","DimensionId":-1,"MemberId":-1,"Inc":""},"_vena_DYNR_SControleIndelingPLNomUL_BB1_c49935c7_37df4f00":{"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37df4f00","IsMultiDynamicRange":false,"MultiDynamicRangeID":null,"MultiDynamicCollectionID":null,"SectionName":"ControleIndelingPLNomUL","BlockName":"B1","VenaRangeType":5,"DimensionIdStr":"-1","MemberIdStr":"-1","DimensionId":-1,"MemberId":-1,"Inc":""},"_vena_DYNR_SControleIndelingPLNomUL_BB1_c49935c7_395a6bce":{"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395a6bce","IsMultiDynamicRange":false,"MultiDynamicRangeID":null,"MultiDynamicCollectionID":null,"SectionName":"ControleIndelingPLNomUL","BlockName":"B1","VenaRangeType":5,"DimensionIdStr":"-1","MemberIdStr":"-1","DimensionId":-1,"MemberId":-1,"Inc":""},"_vena_DYNR_SControleIndelingPLNomUL_BB1_c49935c7_40d90fb3":{"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40d90fb3","IsMultiDynamicRange":false,"MultiDynamicRangeID":null,"MultiDynamicCollectionID":null,"SectionName":"ControleIndelingPLNomUL","BlockName":"B1","VenaRangeType":5,"DimensionIdStr":"-1","MemberIdStr":"-1","DimensionId":-1,"MemberId":-1,"Inc":""},"_vena_DYNR_SControleIndelingPLNomUL_BB1_c49935c7_492322b9":{"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492322b9","IsMultiDynamicRange":false,"MultiDynamicRangeID":null,"MultiDynamicCollectionID":null,"SectionName":"ControleIndelingPLNomUL","BlockName":"B1","VenaRangeType":5,"DimensionIdStr":"-1","MemberIdStr":"-1","DimensionId":-1,"MemberId":-1,"Inc":""},"_vena_DYNR_SControleIndelingPLNomUL_BB1_c49935c7_4f847c05":{"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4f847c05","IsMultiDynamicRange":false,"MultiDynamicRangeID":null,"MultiDynamicCollectionID":null,"SectionName":"ControleIndelingPLNomUL","BlockName":"B1","VenaRangeType":5,"DimensionIdStr":"-1","MemberIdStr":"-1","DimensionId":-1,"MemberId":-1,"Inc":""},"_vena_DYNR_SControleIndelingPLNomUL_BB1_c49935c7_55ed111d":{"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55ed111d","IsMultiDynamicRange":false,"MultiDynamicRangeID":null,"MultiDynamicCollectionID":null,"SectionName":"ControleIndelingPLNomUL","BlockName":"B1","VenaRangeType":5,"DimensionIdStr":"-1","MemberIdStr":"-1","DimensionId":-1,"MemberId":-1,"Inc":""},"_vena_DYNR_SControleIndelingPLNomUL_BB1_c49935c7_58182747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58182747","IsMultiDynamicRange":false,"MultiDynamicRangeID":null,"MultiDynamicCollectionID":null,"SectionName":"ControleIndelingPLNomUL","BlockName":"B1","VenaRangeType":5,"DimensionIdStr":"-1","MemberIdStr":"-1","DimensionId":-1,"MemberId":-1,"Inc":""},"_vena_DYNR_SControleIndelingPLNomUL_BB1_c49935c7_591263f3":{"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591263f3","IsMultiDynamicRange":false,"MultiDynamicRangeID":null,"MultiDynamicCollectionID":null,"SectionName":"ControleIndelingPLNomUL","BlockName":"B1","VenaRangeType":5,"DimensionIdStr":"-1","MemberIdStr":"-1","DimensionId":-1,"MemberId":-1,"Inc":""},"_vena_DYNR_SControleIndelingPLNomUL_BB1_c49935c7_5b4a6a65":{"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5b4a6a65","IsMultiDynamicRange":false,"MultiDynamicRangeID":null,"MultiDynamicCollectionID":null,"SectionName":"ControleIndelingPLNomUL","BlockName":"B1","VenaRangeType":5,"DimensionIdStr":"-1","MemberIdStr":"-1","DimensionId":-1,"MemberId":-1,"Inc":""},"_vena_DYNR_SControleIndelingPLNomUL_BB1_c49935c7_60ab500d":{"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60ab500d","IsMultiDynamicRange":false,"MultiDynamicRangeID":null,"MultiDynamicCollectionID":null,"SectionName":"ControleIndelingPLNomUL","BlockName":"B1","VenaRangeType":5,"DimensionIdStr":"-1","MemberIdStr":"-1","DimensionId":-1,"MemberId":-1,"Inc":""},"_vena_DYNR_SControleIndelingPLNomUL_BB1_c49935c7_60fe3dc":{"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60fe3dc","IsMultiDynamicRange":false,"MultiDynamicRangeID":null,"MultiDynamicCollectionID":null,"SectionName":"ControleIndelingPLNomUL","BlockName":"B1","VenaRangeType":5,"DimensionIdStr":"-1","MemberIdStr":"-1","DimensionId":-1,"MemberId":-1,"Inc":""},"_vena_DYNR_SControleIndelingPLNomUL_BB1_c49935c7_61d202":{"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61d202","IsMultiDynamicRange":false,"MultiDynamicRangeID":null,"MultiDynamicCollectionID":null,"SectionName":"ControleIndelingPLNomUL","BlockName":"B1","VenaRangeType":5,"DimensionIdStr":"-1","MemberIdStr":"-1","DimensionId":-1,"MemberId":-1,"Inc":""},"_vena_DYNR_SControleIndelingPLNomUL_BB1_c49935c7_65acfd97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65acfd97","IsMultiDynamicRange":false,"MultiDynamicRangeID":null,"MultiDynamicCollectionID":null,"SectionName":"ControleIndelingPLNomUL","BlockName":"B1","VenaRangeType":5,"DimensionIdStr":"-1","MemberIdStr":"-1","DimensionId":-1,"MemberId":-1,"Inc":""},"_vena_DYNR_SControleIndelingPLNomUL_BB1_c49935c7_660e0765":{"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660e0765","IsMultiDynamicRange":false,"MultiDynamicRangeID":null,"MultiDynamicCollectionID":null,"SectionName":"ControleIndelingPLNomUL","BlockName":"B1","VenaRangeType":5,"DimensionIdStr":"-1","MemberIdStr":"-1","DimensionId":-1,"MemberId":-1,"Inc":""},"_vena_DYNR_SControleIndelingPLNomUL_BB1_c49935c7_66c53f8b":{"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66c53f8b","IsMultiDynamicRange":false,"MultiDynamicRangeID":null,"MultiDynamicCollectionID":null,"SectionName":"ControleIndelingPLNomUL","BlockName":"B1","VenaRangeType":5,"DimensionIdStr":"-1","MemberIdStr":"-1","DimensionId":-1,"MemberId":-1,"Inc":""},"_vena_DYNR_SControleIndelingPLNomUL_BB1_c49935c7_689d789a":{"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689d789a","IsMultiDynamicRange":false,"MultiDynamicRangeID":null,"MultiDynamicCollectionID":null,"SectionName":"ControleIndelingPLNomUL","BlockName":"B1","VenaRangeType":5,"DimensionIdStr":"-1","MemberIdStr":"-1","DimensionId":-1,"MemberId":-1,"Inc":""},"_vena_DYNR_SControleIndelingPLNomUL_BB1_c49935c7_691e94cd":{"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691e94cd","IsMultiDynamicRange":false,"MultiDynamicRangeID":null,"MultiDynamicCollectionID":null,"SectionName":"ControleIndelingPLNomUL","BlockName":"B1","VenaRangeType":5,"DimensionIdStr":"-1","MemberIdStr":"-1","DimensionId":-1,"MemberId":-1,"Inc":""},"_vena_DYNR_SControleIndelingPLNomUL_BB1_c49935c7_6a68be9d":{"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a68be9d","IsMultiDynamicRange":false,"MultiDynamicRangeID":null,"MultiDynamicCollectionID":null,"SectionName":"ControleIndelingPLNomUL","BlockName":"B1","VenaRangeType":5,"DimensionIdStr":"-1","MemberIdStr":"-1","DimensionId":-1,"MemberId":-1,"Inc":""},"_vena_DYNR_SControleIndelingPLNomUL_BB1_c49935c7_6aaa6542":{"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aaa6542","IsMultiDynamicRange":false,"MultiDynamicRangeID":null,"MultiDynamicCollectionID":null,"SectionName":"ControleIndelingPLNomUL","BlockName":"B1","VenaRangeType":5,"DimensionIdStr":"-1","MemberIdStr":"-1","DimensionId":-1,"MemberId":-1,"Inc":""},"_vena_DYNR_SControleIndelingPLNomUL_BB1_c49935c7_6d8049a1":{"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6d8049a1","IsMultiDynamicRange":false,"MultiDynamicRangeID":null,"MultiDynamicCollectionID":null,"SectionName":"ControleIndelingPLNomUL","BlockName":"B1","VenaRangeType":5,"DimensionIdStr":"-1","MemberIdStr":"-1","DimensionId":-1,"MemberId":-1,"Inc":""},"_vena_DYNR_SControleIndelingPLNomUL_BB1_c49935c7_7093f2ba":{"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7093f2ba","IsMultiDynamicRange":false,"MultiDynamicRangeID":null,"MultiDynamicCollectionID":null,"SectionName":"ControleIndelingPLNomUL","BlockName":"B1","VenaRangeType":5,"DimensionIdStr":"-1","MemberIdStr":"-1","DimensionId":-1,"MemberId":-1,"Inc":""},"_vena_DYNR_SControleIndelingPLNomUL_BB1_c49935c7_71c82bf4":{"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71c82bf4","IsMultiDynamicRange":false,"MultiDynamicRangeID":null,"MultiDynamicCollectionID":null,"SectionName":"ControleIndelingPLNomUL","BlockName":"B1","VenaRangeType":5,"DimensionIdStr":"-1","MemberIdStr":"-1","DimensionId":-1,"MemberId":-1,"Inc":""},"_vena_DYNR_SControleIndelingPLNomUL_BB1_c49935c7_76095f6c":{"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76095f6c","IsMultiDynamicRange":false,"MultiDynamicRangeID":null,"MultiDynamicCollectionID":null,"SectionName":"ControleIndelingPLNomUL","BlockName":"B1","VenaRangeType":5,"DimensionIdStr":"-1","MemberIdStr":"-1","DimensionId":-1,"MemberId":-1,"Inc":""},"_vena_DYNR_SControleIndelingPLNomUL_BB1_c49935c7_76e8d86b":{"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76e8d86b","IsMultiDynamicRange":false,"MultiDynamicRangeID":null,"MultiDynamicCollectionID":null,"SectionName":"ControleIndelingPLNomUL","BlockName":"B1","VenaRangeType":5,"DimensionIdStr":"-1","MemberIdStr":"-1","DimensionId":-1,"MemberId":-1,"Inc":""},"_vena_DYNR_SControleIndelingPLNomUL_BB1_c49935c7_7dce61f1":{"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7dce61f1","IsMultiDynamicRange":false,"MultiDynamicRangeID":null,"MultiDynamicCollectionID":null,"SectionName":"ControleIndelingPLNomUL","BlockName":"B1","VenaRangeType":5,"DimensionIdStr":"-1","MemberIdStr":"-1","DimensionId":-1,"MemberId":-1,"Inc":""},"_vena_DYNR_SControleIndelingPLNomUL_BB1_c49935c7_841c31a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841c31a7","IsMultiDynamicRange":false,"MultiDynamicRangeID":null,"MultiDynamicCollectionID":null,"SectionName":"ControleIndelingPLNomUL","BlockName":"B1","VenaRangeType":5,"DimensionIdStr":"-1","MemberIdStr":"-1","DimensionId":-1,"MemberId":-1,"Inc":""},"_vena_DYNR_SControleIndelingPLNomUL_BB1_c49935c7_87e49681":{"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87e49681","IsMultiDynamicRange":false,"MultiDynamicRangeID":null,"MultiDynamicCollectionID":null,"SectionName":"ControleIndelingPLNomUL","BlockName":"B1","VenaRangeType":5,"DimensionIdStr":"-1","MemberIdStr":"-1","DimensionId":-1,"MemberId":-1,"Inc":""},"_vena_DYNR_SControleIndelingPLNomUL_BB1_c49935c7_897f87cf":{"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897f87cf","IsMultiDynamicRange":false,"MultiDynamicRangeID":null,"MultiDynamicCollectionID":null,"SectionName":"ControleIndelingPLNomUL","BlockName":"B1","VenaRangeType":5,"DimensionIdStr":"-1","MemberIdStr":"-1","DimensionId":-1,"MemberId":-1,"Inc":""},"_vena_DYNR_SControleIndelingPLNomUL_BB1_c49935c7_89b44935":{"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89b44935","IsMultiDynamicRange":false,"MultiDynamicRangeID":null,"MultiDynamicCollectionID":null,"SectionName":"ControleIndelingPLNomUL","BlockName":"B1","VenaRangeType":5,"DimensionIdStr":"-1","MemberIdStr":"-1","DimensionId":-1,"MemberId":-1,"Inc":""},"_vena_DYNR_SControleIndelingPLNomUL_BB1_c49935c7_89e2e871":{"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89e2e871","IsMultiDynamicRange":false,"MultiDynamicRangeID":null,"MultiDynamicCollectionID":null,"SectionName":"ControleIndelingPLNomUL","BlockName":"B1","VenaRangeType":5,"DimensionIdStr":"-1","MemberIdStr":"-1","DimensionId":-1,"MemberId":-1,"Inc":""},"_vena_DYNR_SControleIndelingPLNomUL_BB1_c49935c7_8e97662f":{"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8e97662f","IsMultiDynamicRange":false,"MultiDynamicRangeID":null,"MultiDynamicCollectionID":null,"SectionName":"ControleIndelingPLNomUL","BlockName":"B1","VenaRangeType":5,"DimensionIdStr":"-1","MemberIdStr":"-1","DimensionId":-1,"MemberId":-1,"Inc":""},"_vena_DYNR_SControleIndelingPLNomUL_BB1_c49935c7_922efd0c":{"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922efd0c","IsMultiDynamicRange":false,"MultiDynamicRangeID":null,"MultiDynamicCollectionID":null,"SectionName":"ControleIndelingPLNomUL","BlockName":"B1","VenaRangeType":5,"DimensionIdStr":"-1","MemberIdStr":"-1","DimensionId":-1,"MemberId":-1,"Inc":""},"_vena_DYNR_SControleIndelingPLNomUL_BB1_c49935c7_92922908":{"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92922908","IsMultiDynamicRange":false,"MultiDynamicRangeID":null,"MultiDynamicCollectionID":null,"SectionName":"ControleIndelingPLNomUL","BlockName":"B1","VenaRangeType":5,"DimensionIdStr":"-1","MemberIdStr":"-1","DimensionId":-1,"MemberId":-1,"Inc":""},"_vena_DYNR_SControleIndelingPLNomUL_BB1_c49935c7_955dff3e":{"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955dff3e","IsMultiDynamicRange":false,"MultiDynamicRangeID":null,"MultiDynamicCollectionID":null,"SectionName":"ControleIndelingPLNomUL","BlockName":"B1","VenaRangeType":5,"DimensionIdStr":"-1","MemberIdStr":"-1","DimensionId":-1,"MemberId":-1,"Inc":""},"_vena_DYNR_SControleIndelingPLNomUL_BB1_c49935c7_9a33bb37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9a33bb37","IsMultiDynamicRange":false,"MultiDynamicRangeID":null,"MultiDynamicCollectionID":null,"SectionName":"ControleIndelingPLNomUL","BlockName":"B1","VenaRangeType":5,"DimensionIdStr":"-1","MemberIdStr":"-1","DimensionId":-1,"MemberId":-1,"Inc":""},"_vena_DYNR_SControleIndelingPLNomUL_BB1_c49935c7_9ab02a29":{"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9ab02a29","IsMultiDynamicRange":false,"MultiDynamicRangeID":null,"MultiDynamicCollectionID":null,"SectionName":"ControleIndelingPLNomUL","BlockName":"B1","VenaRangeType":5,"DimensionIdStr":"-1","MemberIdStr":"-1","DimensionId":-1,"MemberId":-1,"Inc":""},"_vena_DYNR_SControleIndelingPLNomUL_BB1_c49935c7_9bb61d6c":{"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9bb61d6c","IsMultiDynamicRange":false,"MultiDynamicRangeID":null,"MultiDynamicCollectionID":null,"SectionName":"ControleIndelingPLNomUL","BlockName":"B1","VenaRangeType":5,"DimensionIdStr":"-1","MemberIdStr":"-1","DimensionId":-1,"MemberId":-1,"Inc":""},"_vena_DYNR_SControleIndelingPLNomUL_BB1_c49935c7_a4481c69":{"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a4481c69","IsMultiDynamicRange":false,"MultiDynamicRangeID":null,"MultiDynamicCollectionID":null,"SectionName":"ControleIndelingPLNomUL","BlockName":"B1","VenaRangeType":5,"DimensionIdStr":"-1","MemberIdStr":"-1","DimensionId":-1,"MemberId":-1,"Inc":""},"_vena_DYNR_SControleIndelingPLNomUL_BB1_c49935c7_a7a1e0c2":{"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a7a1e0c2","IsMultiDynamicRange":false,"MultiDynamicRangeID":null,"MultiDynamicCollectionID":null,"SectionName":"ControleIndelingPLNomUL","BlockName":"B1","VenaRangeType":5,"DimensionIdStr":"-1","MemberIdStr":"-1","DimensionId":-1,"MemberId":-1,"Inc":""},"_vena_DYNR_SControleIndelingPLNomUL_BB1_c49935c7_a7f1e9ed":{"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a7f1e9ed","IsMultiDynamicRange":false,"MultiDynamicRangeID":null,"MultiDynamicCollectionID":null,"SectionName":"ControleIndelingPLNomUL","BlockName":"B1","VenaRangeType":5,"DimensionIdStr":"-1","MemberIdStr":"-1","DimensionId":-1,"MemberId":-1,"Inc":""},"_vena_DYNR_SControleIndelingPLNomUL_BB1_c49935c7_a8c68c44":{"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a8c68c44","IsMultiDynamicRange":false,"MultiDynamicRangeID":null,"MultiDynamicCollectionID":null,"SectionName":"ControleIndelingPLNomUL","BlockName":"B1","VenaRangeType":5,"DimensionIdStr":"-1","MemberIdStr":"-1","DimensionId":-1,"MemberId":-1,"Inc":""},"_vena_DYNR_SControleIndelingPLNomUL_BB1_c49935c7_aa106ff3":{"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aa106ff3","IsMultiDynamicRange":false,"MultiDynamicRangeID":null,"MultiDynamicCollectionID":null,"SectionName":"ControleIndelingPLNomUL","BlockName":"B1","VenaRangeType":5,"DimensionIdStr":"-1","MemberIdStr":"-1","DimensionId":-1,"MemberId":-1,"Inc":""},"_vena_DYNR_SControleIndelingPLNomUL_BB1_c49935c7_aa7a3b14":{"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aa7a3b14","IsMultiDynamicRange":false,"MultiDynamicRangeID":null,"MultiDynamicCollectionID":null,"SectionName":"ControleIndelingPLNomUL","BlockName":"B1","VenaRangeType":5,"DimensionIdStr":"-1","MemberIdStr":"-1","DimensionId":-1,"MemberId":-1,"Inc":""},"_vena_DYNR_SControleIndelingPLNomUL_BB1_c49935c7_ac32d4e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ac32d4e7","IsMultiDynamicRange":false,"MultiDynamicRangeID":null,"MultiDynamicCollectionID":null,"SectionName":"ControleIndelingPLNomUL","BlockName":"B1","VenaRangeType":5,"DimensionIdStr":"-1","MemberIdStr":"-1","DimensionId":-1,"MemberId":-1,"Inc":""},"_vena_DYNR_SControleIndelingPLNomUL_BB1_c49935c7_b539f8c8":{"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b539f8c8","IsMultiDynamicRange":false,"MultiDynamicRangeID":null,"MultiDynamicCollectionID":null,"SectionName":"ControleIndelingPLNomUL","BlockName":"B1","VenaRangeType":5,"DimensionIdStr":"-1","MemberIdStr":"-1","DimensionId":-1,"MemberId":-1,"Inc":""},"_vena_DYNR_SControleIndelingPLNomUL_BB1_c49935c7_b66f55fa":{"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b66f55fa","IsMultiDynamicRange":false,"MultiDynamicRangeID":null,"MultiDynamicCollectionID":null,"SectionName":"ControleIndelingPLNomUL","BlockName":"B1","VenaRangeType":5,"DimensionIdStr":"-1","MemberIdStr":"-1","DimensionId":-1,"MemberId":-1,"Inc":""},"_vena_DYNR_SControleIndelingPLNomUL_BB1_c49935c7_b7bbfb98":{"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b7bbfb98","IsMultiDynamicRange":false,"MultiDynamicRangeID":null,"MultiDynamicCollectionID":null,"SectionName":"ControleIndelingPLNomUL","BlockName":"B1","VenaRangeType":5,"DimensionIdStr":"-1","MemberIdStr":"-1","DimensionId":-1,"MemberId":-1,"Inc":""},"_vena_DYNR_SControleIndelingPLNomUL_BB1_c49935c7_baefdc93":{"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baefdc93","IsMultiDynamicRange":false,"MultiDynamicRangeID":null,"MultiDynamicCollectionID":null,"SectionName":"ControleIndelingPLNomUL","BlockName":"B1","VenaRangeType":5,"DimensionIdStr":"-1","MemberIdStr":"-1","DimensionId":-1,"MemberId":-1,"Inc":""},"_vena_DYNR_SControleIndelingPLNomUL_BB1_c49935c7_be87eb42":{"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be87eb42","IsMultiDynamicRange":false,"MultiDynamicRangeID":null,"MultiDynamicCollectionID":null,"SectionName":"ControleIndelingPLNomUL","BlockName":"B1","VenaRangeType":5,"DimensionIdStr":"-1","MemberIdStr":"-1","DimensionId":-1,"MemberId":-1,"Inc":""},"_vena_DYNR_SControleIndelingPLNomUL_BB1_c49935c7_c6db612a":{"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c6db612a","IsMultiDynamicRange":false,"MultiDynamicRangeID":null,"MultiDynamicCollectionID":null,"SectionName":"ControleIndelingPLNomUL","BlockName":"B1","VenaRangeType":5,"DimensionIdStr":"-1","MemberIdStr":"-1","DimensionId":-1,"MemberId":-1,"Inc":""},"_vena_DYNR_SControleIndelingPLNomUL_BB1_c49935c7_c8f314b9":{"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c8f314b9","IsMultiDynamicRange":false,"MultiDynamicRangeID":null,"MultiDynamicCollectionID":null,"SectionName":"ControleIndelingPLNomUL","BlockName":"B1","VenaRangeType":5,"DimensionIdStr":"-1","MemberIdStr":"-1","DimensionId":-1,"MemberId":-1,"Inc":""},"_vena_DYNR_SControleIndelingPLNomUL_BB1_c49935c7_cb244331":{"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cb244331","IsMultiDynamicRange":false,"MultiDynamicRangeID":null,"MultiDynamicCollectionID":null,"SectionName":"ControleIndelingPLNomUL","BlockName":"B1","VenaRangeType":5,"DimensionIdStr":"-1","MemberIdStr":"-1","DimensionId":-1,"MemberId":-1,"Inc":""},"_vena_DYNR_SControleIndelingPLNomUL_BB1_c49935c7_cb983ac9":{"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cb983ac9","IsMultiDynamicRange":false,"MultiDynamicRangeID":null,"MultiDynamicCollectionID":null,"SectionName":"ControleIndelingPLNomUL","BlockName":"B1","VenaRangeType":5,"DimensionIdStr":"-1","MemberIdStr":"-1","DimensionId":-1,"MemberId":-1,"Inc":""},"_vena_DYNR_SControleIndelingPLNomUL_BB1_c49935c7_ce03a1a":{"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ce03a1a","IsMultiDynamicRange":false,"MultiDynamicRangeID":null,"MultiDynamicCollectionID":null,"SectionName":"ControleIndelingPLNomUL","BlockName":"B1","VenaRangeType":5,"DimensionIdStr":"-1","MemberIdStr":"-1","DimensionId":-1,"MemberId":-1,"Inc":""},"_vena_DYNR_SControleIndelingPLNomUL_BB1_c49935c7_d0af36be":{"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d0af36be","IsMultiDynamicRange":false,"MultiDynamicRangeID":null,"MultiDynamicCollectionID":null,"SectionName":"ControleIndelingPLNomUL","BlockName":"B1","VenaRangeType":5,"DimensionIdStr":"-1","MemberIdStr":"-1","DimensionId":-1,"MemberId":-1,"Inc":""},"_vena_DYNR_SControleIndelingPLNomUL_BB1_c49935c7_d2494921":{"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d2494921","IsMultiDynamicRange":false,"MultiDynamicRangeID":null,"MultiDynamicCollectionID":null,"SectionName":"ControleIndelingPLNomUL","BlockName":"B1","VenaRangeType":5,"DimensionIdStr":"-1","MemberIdStr":"-1","DimensionId":-1,"MemberId":-1,"Inc":""},"_vena_DYNR_SControleIndelingPLNomUL_BB1_c49935c7_d24bd822":{"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d24bd822","IsMultiDynamicRange":false,"MultiDynamicRangeID":null,"MultiDynamicCollectionID":null,"SectionName":"ControleIndelingPLNomUL","BlockName":"B1","VenaRangeType":5,"DimensionIdStr":"-1","MemberIdStr":"-1","DimensionId":-1,"MemberId":-1,"Inc":""},"_vena_DYNR_SControleIndelingPLNomUL_BB1_c49935c7_d32140b9":{"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d32140b9","IsMultiDynamicRange":false,"MultiDynamicRangeID":null,"MultiDynamicCollectionID":null,"SectionName":"ControleIndelingPLNomUL","BlockName":"B1","VenaRangeType":5,"DimensionIdStr":"-1","MemberIdStr":"-1","DimensionId":-1,"MemberId":-1,"Inc":""},"_vena_DYNR_SControleIndelingPLNomUL_BB1_c49935c7_de18dd17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de18dd17","IsMultiDynamicRange":false,"MultiDynamicRangeID":null,"MultiDynamicCollectionID":null,"SectionName":"ControleIndelingPLNomUL","BlockName":"B1","VenaRangeType":5,"DimensionIdStr":"-1","MemberIdStr":"-1","DimensionId":-1,"MemberId":-1,"Inc":""},"_vena_DYNR_SControleIndelingPLNomUL_BB1_c49935c7_de1bfd9b":{"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de1bfd9b","IsMultiDynamicRange":false,"MultiDynamicRangeID":null,"MultiDynamicCollectionID":null,"SectionName":"ControleIndelingPLNomUL","BlockName":"B1","VenaRangeType":5,"DimensionIdStr":"-1","MemberIdStr":"-1","DimensionId":-1,"MemberId":-1,"Inc":""},"_vena_DYNR_SControleIndelingPLNomUL_BB1_c49935c7_de8b2315":{"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de8b2315","IsMultiDynamicRange":false,"MultiDynamicRangeID":null,"MultiDynamicCollectionID":null,"SectionName":"ControleIndelingPLNomUL","BlockName":"B1","VenaRangeType":5,"DimensionIdStr":"-1","MemberIdStr":"-1","DimensionId":-1,"MemberId":-1,"Inc":""},"_vena_DYNR_SControleIndelingPLNomUL_BB1_c49935c7_e18c2277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e18c2277","IsMultiDynamicRange":false,"MultiDynamicRangeID":null,"MultiDynamicCollectionID":null,"SectionName":"ControleIndelingPLNomUL","BlockName":"B1","VenaRangeType":5,"DimensionIdStr":"-1","MemberIdStr":"-1","DimensionId":-1,"MemberId":-1,"Inc":""},"_vena_DYNR_SControleIndelingPLNomUL_BB1_c49935c7_e9306016":{"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e9306016","IsMultiDynamicRange":false,"MultiDynamicRangeID":null,"MultiDynamicCollectionID":null,"SectionName":"ControleIndelingPLNomUL","BlockName":"B1","VenaRangeType":5,"DimensionIdStr":"-1","MemberIdStr":"-1","DimensionId":-1,"MemberId":-1,"Inc":""},"_vena_DYNR_SControleIndelingPLNomUL_BB1_c49935c7_ea0b1737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ea0b1737","IsMultiDynamicRange":false,"MultiDynamicRangeID":null,"MultiDynamicCollectionID":null,"SectionName":"ControleIndelingPLNomUL","BlockName":"B1","VenaRangeType":5,"DimensionIdStr":"-1","MemberIdStr":"-1","DimensionId":-1,"MemberId":-1,"Inc":""},"_vena_DYNR_SControleIndelingPLNomUL_BB1_c49935c7_eb520ed1":{"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eb520ed1","IsMultiDynamicRange":false,"MultiDynamicRangeID":null,"MultiDynamicCollectionID":null,"SectionName":"ControleIndelingPLNomUL","BlockName":"B1","VenaRangeType":5,"DimensionIdStr":"-1","MemberIdStr":"-1","DimensionId":-1,"MemberId":-1,"Inc":""},"_vena_DYNR_SControleIndelingPLNomUL_BB1_c49935c7_ed7035f1":{"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ed7035f1","IsMultiDynamicRange":false,"MultiDynamicRangeID":null,"MultiDynamicCollectionID":null,"SectionName":"ControleIndelingPLNomUL","BlockName":"B1","VenaRangeType":5,"DimensionIdStr":"-1","MemberIdStr":"-1","DimensionId":-1,"MemberId":-1,"Inc":""},"_vena_DYNR_SControleIndelingPLNomUL_BB1_c49935c7_f2bb81a5":{"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2bb81a5","IsMultiDynamicRange":false,"MultiDynamicRangeID":null,"MultiDynamicCollectionID":null,"SectionName":"ControleIndelingPLNomUL","BlockName":"B1","VenaRangeType":5,"DimensionIdStr":"-1","MemberIdStr":"-1","DimensionId":-1,"MemberId":-1,"Inc":""},"_vena_DYNR_SControleIndelingPLNomUL_BB1_c49935c7_f643ab12":{"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643ab12","IsMultiDynamicRange":false,"MultiDynamicRangeID":null,"MultiDynamicCollectionID":null,"SectionName":"ControleIndelingPLNomUL","BlockName":"B1","VenaRangeType":5,"DimensionIdStr":"-1","MemberIdStr":"-1","DimensionId":-1,"MemberId":-1,"Inc":""},"_vena_DYNR_SControleIndelingPLNomUL_BB1_c49935c7_f77a8267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77a8267","IsMultiDynamicRange":false,"MultiDynamicRangeID":null,"MultiDynamicCollectionID":null,"SectionName":"ControleIndelingPLNomUL","BlockName":"B1","VenaRangeType":5,"DimensionIdStr":"-1","MemberIdStr":"-1","DimensionId":-1,"MemberId":-1,"Inc":""},"_vena_DYNR_SControleIndelingPLNomUL_BB1_c49935c7_f7a4ce4b":{"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7a4ce4b","IsMultiDynamicRange":false,"MultiDynamicRangeID":null,"MultiDynamicCollectionID":null,"SectionName":"ControleIndelingPLNomUL","BlockName":"B1","VenaRangeType":5,"DimensionIdStr":"-1","MemberIdStr":"-1","DimensionId":-1,"MemberId":-1,"Inc":""},"_vena_DYNR_SControleIndelingPLNomUL_BB1_c49935c7_f7ebdf70":{"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7ebdf70","IsMultiDynamicRange":false,"MultiDynamicRangeID":null,"MultiDynamicCollectionID":null,"SectionName":"ControleIndelingPLNomUL","BlockName":"B1","VenaRangeType":5,"DimensionIdStr":"-1","MemberIdStr":"-1","DimensionId":-1,"MemberId":-1,"Inc":""},"_vena_DYNR_SControleIndelingPLNomUL_BB1_c49935c7_f81953a4":{"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81953a4","IsMultiDynamicRange":false,"MultiDynamicRangeID":null,"MultiDynamicCollectionID":null,"SectionName":"ControleIndelingPLNomUL","BlockName":"B1","VenaRangeType":5,"DimensionIdStr":"-1","MemberIdStr":"-1","DimensionId":-1,"MemberId":-1,"Inc":""},"_vena_DYNR_SControleIndelingPLNomUL_BB1_c49935c7_f87f5620":{"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87f5620","IsMultiDynamicRange":false,"MultiDynamicRangeID":null,"MultiDynamicCollectionID":null,"SectionName":"ControleIndelingPLNomUL","BlockName":"B1","VenaRangeType":5,"DimensionIdStr":"-1","MemberIdStr":"-1","DimensionId":-1,"MemberId":-1,"Inc":""},"_vena_DYNR_SControleIndelingPLNomUL_BB1_c49935c7_fb75df05":{"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b75df05","IsMultiDynamicRange":false,"MultiDynamicRangeID":null,"MultiDynamicCollectionID":null,"SectionName":"ControleIndelingPLNomUL","BlockName":"B1","VenaRangeType":5,"DimensionIdStr":"-1","MemberIdStr":"-1","DimensionId":-1,"MemberId":-1,"Inc":""},"_vena_DYNR_SControleIndelingPLNomUL_BB1_c49935c7_fc599e2e":{"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c599e2e","IsMultiDynamicRange":false,"MultiDynamicRangeID":null,"MultiDynamicCollectionID":null,"SectionName":"ControleIndelingPLNomUL","BlockName":"B1","VenaRangeType":5,"DimensionIdStr":"-1","MemberIdStr":"-1","DimensionId":-1,"MemberId":-1,"Inc":""},"_vena_DYNR_SControleIndelingPLNomUL_BB1_c49935c7_fe384a07":{"SourceGlobalVariableId":-1,"SourceFormVariableId":"00000000-0000-0000-0000-000000000000","IsPageVariable":false,"IsLineItemDetailEnabled":false,"LineItemDetailOrder":0,"LineItemID":null,"PageVariableSectionReference":"","PageVariableDimensionName":null,"IsDynamicRange":true,"IsDynamicRangeEntry":true,"DynamicRangeID":"c49935c7","DynamicRangeEntryID":"fe384a07","IsMultiDynamicRange":false,"MultiDynamicRangeID":null,"MultiDynamicCollectionID":null,"SectionName":"ControleIndelingPLNomUL","BlockName":"B1","VenaRangeType":5,"DimensionIdStr":"-1","MemberIdStr":"-1","DimensionId":-1,"MemberId":-1,"Inc":""},"_vena_DYNR_SControleIndelingQRT_BB1_764b2148":{"SourceGlobalVariableId":-1,"SourceFormVariableId":"00000000-0000-0000-0000-000000000000","IsPageVariable":false,"IsLineItemDetailEnabled":false,"LineItemDetailOrder":0,"LineItemID":null,"PageVariableSectionReference":"","PageVariableDimensionName":null,"IsDynamicRange":true,"IsDynamicRangeEntry":false,"DynamicRangeID":"764b2148","DynamicRangeEntryID":null,"IsMultiDynamicRange":false,"MultiDynamicRangeID":null,"MultiDynamicCollectionID":null,"SectionName":"ControleIndelingQRT","BlockName":"B1","VenaRangeType":5,"DimensionIdStr":"-1","MemberIdStr":"-1","DimensionId":-1,"MemberId":-1,"Inc":""},"_vena_DYNR_SControleIndelingQRT_BB1_764b2148_12917648":{"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12917648","IsMultiDynamicRange":false,"MultiDynamicRangeID":null,"MultiDynamicCollectionID":null,"SectionName":"ControleIndelingQRT","BlockName":"B1","VenaRangeType":5,"DimensionIdStr":"-1","MemberIdStr":"-1","DimensionId":-1,"MemberId":-1,"Inc":""},"_vena_DYNR_SControleIndelingQRT_BB1_764b2148_12d23b81":{"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12d23b81","IsMultiDynamicRange":false,"MultiDynamicRangeID":null,"MultiDynamicCollectionID":null,"SectionName":"ControleIndelingQRT","BlockName":"B1","VenaRangeType":5,"DimensionIdStr":"-1","MemberIdStr":"-1","DimensionId":-1,"MemberId":-1,"Inc":""},"_vena_DYNR_SControleIndelingQRT_BB1_764b2148_13ee15f6":{"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13ee15f6","IsMultiDynamicRange":false,"MultiDynamicRangeID":null,"MultiDynamicCollectionID":null,"SectionName":"ControleIndelingQRT","BlockName":"B1","VenaRangeType":5,"DimensionIdStr":"-1","MemberIdStr":"-1","DimensionId":-1,"MemberId":-1,"Inc":""},"_vena_DYNR_SControleIndelingQRT_BB1_764b2148_14959f6e":{"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14959f6e","IsMultiDynamicRange":false,"MultiDynamicRangeID":null,"MultiDynamicCollectionID":null,"SectionName":"ControleIndelingQRT","BlockName":"B1","VenaRangeType":5,"DimensionIdStr":"-1","MemberIdStr":"-1","DimensionId":-1,"MemberId":-1,"Inc":""},"_vena_DYNR_SControleIndelingQRT_BB1_764b2148_1ed8fb38":{"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1ed8fb38","IsMultiDynamicRange":false,"MultiDynamicRangeID":null,"MultiDynamicCollectionID":null,"SectionName":"ControleIndelingQRT","BlockName":"B1","VenaRangeType":5,"DimensionIdStr":"-1","MemberIdStr":"-1","DimensionId":-1,"MemberId":-1,"Inc":""},"_vena_DYNR_SControleIndelingQRT_BB1_764b2148_207627eb":{"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207627eb","IsMultiDynamicRange":false,"MultiDynamicRangeID":null,"MultiDynamicCollectionID":null,"SectionName":"ControleIndelingQRT","BlockName":"B1","VenaRangeType":5,"DimensionIdStr":"-1","MemberIdStr":"-1","DimensionId":-1,"MemberId":-1,"Inc":""},"_vena_DYNR_SControleIndelingQRT_BB1_764b2148_2417a6eb":{"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2417a6eb","IsMultiDynamicRange":false,"MultiDynamicRangeID":null,"MultiDynamicCollectionID":null,"SectionName":"ControleIndelingQRT","BlockName":"B1","VenaRangeType":5,"DimensionIdStr":"-1","MemberIdStr":"-1","DimensionId":-1,"MemberId":-1,"Inc":""},"_vena_DYNR_SControleIndelingQRT_BB1_764b2148_24e366ee":{"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24e366ee","IsMultiDynamicRange":false,"MultiDynamicRangeID":null,"MultiDynamicCollectionID":null,"SectionName":"ControleIndelingQRT","BlockName":"B1","VenaRangeType":5,"DimensionIdStr":"-1","MemberIdStr":"-1","DimensionId":-1,"MemberId":-1,"Inc":""},"_vena_DYNR_SControleIndelingQRT_BB1_764b2148_2651af0d":{"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2651af0d","IsMultiDynamicRange":false,"MultiDynamicRangeID":null,"MultiDynamicCollectionID":null,"SectionName":"ControleIndelingQRT","BlockName":"B1","VenaRangeType":5,"DimensionIdStr":"-1","MemberIdStr":"-1","DimensionId":-1,"MemberId":-1,"Inc":""},"_vena_DYNR_SControleIndelingQRT_BB1_764b2148_272e5a51":{"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272e5a51","IsMultiDynamicRange":false,"MultiDynamicRangeID":null,"MultiDynamicCollectionID":null,"SectionName":"ControleIndelingQRT","BlockName":"B1","VenaRangeType":5,"DimensionIdStr":"-1","MemberIdStr":"-1","DimensionId":-1,"MemberId":-1,"Inc":""},"_vena_DYNR_SControleIndelingQRT_BB1_764b2148_2809dafd":{"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2809dafd","IsMultiDynamicRange":false,"MultiDynamicRangeID":null,"MultiDynamicCollectionID":null,"SectionName":"ControleIndelingQRT","BlockName":"B1","VenaRangeType":5,"DimensionIdStr":"-1","MemberIdStr":"-1","DimensionId":-1,"MemberId":-1,"Inc":""},"_vena_DYNR_SControleIndelingQRT_BB1_764b2148_28e2ac43":{"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28e2ac43","IsMultiDynamicRange":false,"MultiDynamicRangeID":null,"MultiDynamicCollectionID":null,"SectionName":"ControleIndelingQRT","BlockName":"B1","VenaRangeType":5,"DimensionIdStr":"-1","MemberIdStr":"-1","DimensionId":-1,"MemberId":-1,"Inc":""},"_vena_DYNR_SControleIndelingQRT_BB1_764b2148_2ddf7208":{"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2ddf7208","IsMultiDynamicRange":false,"MultiDynamicRangeID":null,"MultiDynamicCollectionID":null,"SectionName":"ControleIndelingQRT","BlockName":"B1","VenaRangeType":5,"DimensionIdStr":"-1","MemberIdStr":"-1","DimensionId":-1,"MemberId":-1,"Inc":""},"_vena_DYNR_SControleIndelingQRT_BB1_764b2148_2fbc3e51":{"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2fbc3e51","IsMultiDynamicRange":false,"MultiDynamicRangeID":null,"MultiDynamicCollectionID":null,"SectionName":"ControleIndelingQRT","BlockName":"B1","VenaRangeType":5,"DimensionIdStr":"-1","MemberIdStr":"-1","DimensionId":-1,"MemberId":-1,"Inc":""},"_vena_DYNR_SControleIndelingQRT_BB1_764b2148_31c2980e":{"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31c2980e","IsMultiDynamicRange":false,"MultiDynamicRangeID":null,"MultiDynamicCollectionID":null,"SectionName":"ControleIndelingQRT","BlockName":"B1","VenaRangeType":5,"DimensionIdStr":"-1","MemberIdStr":"-1","DimensionId":-1,"MemberId":-1,"Inc":""},"_vena_DYNR_SControleIndelingQRT_BB1_764b2148_335fba3f":{"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335fba3f","IsMultiDynamicRange":false,"MultiDynamicRangeID":null,"MultiDynamicCollectionID":null,"SectionName":"ControleIndelingQRT","BlockName":"B1","VenaRangeType":5,"DimensionIdStr":"-1","MemberIdStr":"-1","DimensionId":-1,"MemberId":-1,"Inc":""},"_vena_DYNR_SControleIndelingQRT_BB1_764b2148_3819b539":{"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3819b539","IsMultiDynamicRange":false,"MultiDynamicRangeID":null,"MultiDynamicCollectionID":null,"SectionName":"ControleIndelingQRT","BlockName":"B1","VenaRangeType":5,"DimensionIdStr":"-1","MemberIdStr":"-1","DimensionId":-1,"MemberId":-1,"Inc":""},"_vena_DYNR_SControleIndelingQRT_BB1_764b2148_38213615":{"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38213615","IsMultiDynamicRange":false,"MultiDynamicRangeID":null,"MultiDynamicCollectionID":null,"SectionName":"ControleIndelingQRT","BlockName":"B1","VenaRangeType":5,"DimensionIdStr":"-1","MemberIdStr":"-1","DimensionId":-1,"MemberId":-1,"Inc":""},"_vena_DYNR_SControleIndelingQRT_BB1_764b2148_3cf55dbc":{"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3cf55dbc","IsMultiDynamicRange":false,"MultiDynamicRangeID":null,"MultiDynamicCollectionID":null,"SectionName":"ControleIndelingQRT","BlockName":"B1","VenaRangeType":5,"DimensionIdStr":"-1","MemberIdStr":"-1","DimensionId":-1,"MemberId":-1,"Inc":""},"_vena_DYNR_SControleIndelingQRT_BB1_764b2148_3eb74ac7":{"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3eb74ac7","IsMultiDynamicRange":false,"MultiDynamicRangeID":null,"MultiDynamicCollectionID":null,"SectionName":"ControleIndelingQRT","BlockName":"B1","VenaRangeType":5,"DimensionIdStr":"-1","MemberIdStr":"-1","DimensionId":-1,"MemberId":-1,"Inc":""},"_vena_DYNR_SControleIndelingQRT_BB1_764b2148_41f8707b":{"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41f8707b","IsMultiDynamicRange":false,"MultiDynamicRangeID":null,"MultiDynamicCollectionID":null,"SectionName":"ControleIndelingQRT","BlockName":"B1","VenaRangeType":5,"DimensionIdStr":"-1","MemberIdStr":"-1","DimensionId":-1,"MemberId":-1,"Inc":""},"_vena_DYNR_SControleIndelingQRT_BB1_764b2148_45bd08c1":{"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45bd08c1","IsMultiDynamicRange":false,"MultiDynamicRangeID":null,"MultiDynamicCollectionID":null,"SectionName":"ControleIndelingQRT","BlockName":"B1","VenaRangeType":5,"DimensionIdStr":"-1","MemberIdStr":"-1","DimensionId":-1,"MemberId":-1,"Inc":""},"_vena_DYNR_SControleIndelingQRT_BB1_764b2148_499d6a7a":{"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499d6a7a","IsMultiDynamicRange":false,"MultiDynamicRangeID":null,"MultiDynamicCollectionID":null,"SectionName":"ControleIndelingQRT","BlockName":"B1","VenaRangeType":5,"DimensionIdStr":"-1","MemberIdStr":"-1","DimensionId":-1,"MemberId":-1,"Inc":""},"_vena_DYNR_SControleIndelingQRT_BB1_764b2148_522e7b8d":{"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522e7b8d","IsMultiDynamicRange":false,"MultiDynamicRangeID":null,"MultiDynamicCollectionID":null,"SectionName":"ControleIndelingQRT","BlockName":"B1","VenaRangeType":5,"DimensionIdStr":"-1","MemberIdStr":"-1","DimensionId":-1,"MemberId":-1,"Inc":""},"_vena_DYNR_SControleIndelingQRT_BB1_764b2148_52a21a72":{"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52a21a72","IsMultiDynamicRange":false,"MultiDynamicRangeID":null,"MultiDynamicCollectionID":null,"SectionName":"ControleIndelingQRT","BlockName":"B1","VenaRangeType":5,"DimensionIdStr":"-1","MemberIdStr":"-1","DimensionId":-1,"MemberId":-1,"Inc":""},"_vena_DYNR_SControleIndelingQRT_BB1_764b2148_53e2ab59":{"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53e2ab59","IsMultiDynamicRange":false,"MultiDynamicRangeID":null,"MultiDynamicCollectionID":null,"SectionName":"ControleIndelingQRT","BlockName":"B1","VenaRangeType":5,"DimensionIdStr":"-1","MemberIdStr":"-1","DimensionId":-1,"MemberId":-1,"Inc":""},"_vena_DYNR_SControleIndelingQRT_BB1_764b2148_5507031f":{"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5507031f","IsMultiDynamicRange":false,"MultiDynamicRangeID":null,"MultiDynamicCollectionID":null,"SectionName":"ControleIndelingQRT","BlockName":"B1","VenaRangeType":5,"DimensionIdStr":"-1","MemberIdStr":"-1","DimensionId":-1,"MemberId":-1,"Inc":""},"_vena_DYNR_SControleIndelingQRT_BB1_764b2148_553235f6":{"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553235f6","IsMultiDynamicRange":false,"MultiDynamicRangeID":null,"MultiDynamicCollectionID":null,"SectionName":"ControleIndelingQRT","BlockName":"B1","VenaRangeType":5,"DimensionIdStr":"-1","MemberIdStr":"-1","DimensionId":-1,"MemberId":-1,"Inc":""},"_vena_DYNR_SControleIndelingQRT_BB1_764b2148_5946679d":{"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5946679d","IsMultiDynamicRange":false,"MultiDynamicRangeID":null,"MultiDynamicCollectionID":null,"SectionName":"ControleIndelingQRT","BlockName":"B1","VenaRangeType":5,"DimensionIdStr":"-1","MemberIdStr":"-1","DimensionId":-1,"MemberId":-1,"Inc":""},"_vena_DYNR_SControleIndelingQRT_BB1_764b2148_599c03b4":{"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599c03b4","IsMultiDynamicRange":false,"MultiDynamicRangeID":null,"MultiDynamicCollectionID":null,"SectionName":"ControleIndelingQRT","BlockName":"B1","VenaRangeType":5,"DimensionIdStr":"-1","MemberIdStr":"-1","DimensionId":-1,"MemberId":-1,"Inc":""},"_vena_DYNR_SControleIndelingQRT_BB1_764b2148_65b014a3":{"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65b014a3","IsMultiDynamicRange":false,"MultiDynamicRangeID":null,"MultiDynamicCollectionID":null,"SectionName":"ControleIndelingQRT","BlockName":"B1","VenaRangeType":5,"DimensionIdStr":"-1","MemberIdStr":"-1","DimensionId":-1,"MemberId":-1,"Inc":""},"_vena_DYNR_SControleIndelingQRT_BB1_764b2148_6aa1c79b":{"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6aa1c79b","IsMultiDynamicRange":false,"MultiDynamicRangeID":null,"MultiDynamicCollectionID":null,"SectionName":"ControleIndelingQRT","BlockName":"B1","VenaRangeType":5,"DimensionIdStr":"-1","MemberIdStr":"-1","DimensionId":-1,"MemberId":-1,"Inc":""},"_vena_DYNR_SControleIndelingQRT_BB1_764b2148_70f86a27":{"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70f86a27","IsMultiDynamicRange":false,"MultiDynamicRangeID":null,"MultiDynamicCollectionID":null,"SectionName":"ControleIndelingQRT","BlockName":"B1","VenaRangeType":5,"DimensionIdStr":"-1","MemberIdStr":"-1","DimensionId":-1,"MemberId":-1,"Inc":""},"_vena_DYNR_SControleIndelingQRT_BB1_764b2148_7380bae4":{"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7380bae4","IsMultiDynamicRange":false,"MultiDynamicRangeID":null,"MultiDynamicCollectionID":null,"SectionName":"ControleIndelingQRT","BlockName":"B1","VenaRangeType":5,"DimensionIdStr":"-1","MemberIdStr":"-1","DimensionId":-1,"MemberId":-1,"Inc":""},"_vena_DYNR_SControleIndelingQRT_BB1_764b2148_769c415a":{"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769c415a","IsMultiDynamicRange":false,"MultiDynamicRangeID":null,"MultiDynamicCollectionID":null,"SectionName":"ControleIndelingQRT","BlockName":"B1","VenaRangeType":5,"DimensionIdStr":"-1","MemberIdStr":"-1","DimensionId":-1,"MemberId":-1,"Inc":""},"_vena_DYNR_SControleIndelingQRT_BB1_764b2148_784a87a2":{"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784a87a2","IsMultiDynamicRange":false,"MultiDynamicRangeID":null,"MultiDynamicCollectionID":null,"SectionName":"ControleIndelingQRT","BlockName":"B1","VenaRangeType":5,"DimensionIdStr":"-1","MemberIdStr":"-1","DimensionId":-1,"MemberId":-1,"Inc":""},"_vena_DYNR_SControleIndelingQRT_BB1_764b2148_7c561fd0":{"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7c561fd0","IsMultiDynamicRange":false,"MultiDynamicRangeID":null,"MultiDynamicCollectionID":null,"SectionName":"ControleIndelingQRT","BlockName":"B1","VenaRangeType":5,"DimensionIdStr":"-1","MemberIdStr":"-1","DimensionId":-1,"MemberId":-1,"Inc":""},"_vena_DYNR_SControleIndelingQRT_BB1_764b2148_7dff49f7":{"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7dff49f7","IsMultiDynamicRange":false,"MultiDynamicRangeID":null,"MultiDynamicCollectionID":null,"SectionName":"ControleIndelingQRT","BlockName":"B1","VenaRangeType":5,"DimensionIdStr":"-1","MemberIdStr":"-1","DimensionId":-1,"MemberId":-1,"Inc":""},"_vena_DYNR_SControleIndelingQRT_BB1_764b2148_7e0a5afa":{"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7e0a5afa","IsMultiDynamicRange":false,"MultiDynamicRangeID":null,"MultiDynamicCollectionID":null,"SectionName":"ControleIndelingQRT","BlockName":"B1","VenaRangeType":5,"DimensionIdStr":"-1","MemberIdStr":"-1","DimensionId":-1,"MemberId":-1,"Inc":""},"_vena_DYNR_SControleIndelingQRT_BB1_764b2148_7fe12228":{"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7fe12228","IsMultiDynamicRange":false,"MultiDynamicRangeID":null,"MultiDynamicCollectionID":null,"SectionName":"ControleIndelingQRT","BlockName":"B1","VenaRangeType":5,"DimensionIdStr":"-1","MemberIdStr":"-1","DimensionId":-1,"MemberId":-1,"Inc":""},"_vena_DYNR_SControleIndelingQRT_BB1_764b2148_84cc3a46":{"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84cc3a46","IsMultiDynamicRange":false,"MultiDynamicRangeID":null,"MultiDynamicCollectionID":null,"SectionName":"ControleIndelingQRT","BlockName":"B1","VenaRangeType":5,"DimensionIdStr":"-1","MemberIdStr":"-1","DimensionId":-1,"MemberId":-1,"Inc":""},"_vena_DYNR_SControleIndelingQRT_BB1_764b2148_85db60c3":{"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85db60c3","IsMultiDynamicRange":false,"MultiDynamicRangeID":null,"MultiDynamicCollectionID":null,"SectionName":"ControleIndelingQRT","BlockName":"B1","VenaRangeType":5,"DimensionIdStr":"-1","MemberIdStr":"-1","DimensionId":-1,"MemberId":-1,"Inc":""},"_vena_DYNR_SControleIndelingQRT_BB1_764b2148_874a83db":{"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874a83db","IsMultiDynamicRange":false,"MultiDynamicRangeID":null,"MultiDynamicCollectionID":null,"SectionName":"ControleIndelingQRT","BlockName":"B1","VenaRangeType":5,"DimensionIdStr":"-1","MemberIdStr":"-1","DimensionId":-1,"MemberId":-1,"Inc":""},"_vena_DYNR_SControleIndelingQRT_BB1_764b2148_87afe4c1":{"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87afe4c1","IsMultiDynamicRange":false,"MultiDynamicRangeID":null,"MultiDynamicCollectionID":null,"SectionName":"ControleIndelingQRT","BlockName":"B1","VenaRangeType":5,"DimensionIdStr":"-1","MemberIdStr":"-1","DimensionId":-1,"MemberId":-1,"Inc":""},"_vena_DYNR_SControleIndelingQRT_BB1_764b2148_8b056d74":{"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8b056d74","IsMultiDynamicRange":false,"MultiDynamicRangeID":null,"MultiDynamicCollectionID":null,"SectionName":"ControleIndelingQRT","BlockName":"B1","VenaRangeType":5,"DimensionIdStr":"-1","MemberIdStr":"-1","DimensionId":-1,"MemberId":-1,"Inc":""},"_vena_DYNR_SControleIndelingQRT_BB1_764b2148_90d53eb9":{"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90d53eb9","IsMultiDynamicRange":false,"MultiDynamicRangeID":null,"MultiDynamicCollectionID":null,"SectionName":"ControleIndelingQRT","BlockName":"B1","VenaRangeType":5,"DimensionIdStr":"-1","MemberIdStr":"-1","DimensionId":-1,"MemberId":-1,"Inc":""},"_vena_DYNR_SControleIndelingQRT_BB1_764b2148_9a7ee1c4":{"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9a7ee1c4","IsMultiDynamicRange":false,"MultiDynamicRangeID":null,"MultiDynamicCollectionID":null,"SectionName":"ControleIndelingQRT","BlockName":"B1","VenaRangeType":5,"DimensionIdStr":"-1","MemberIdStr":"-1","DimensionId":-1,"MemberId":-1,"Inc":""},"_vena_DYNR_SControleIndelingQRT_BB1_764b2148_9cb52ddf":{"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9cb52ddf","IsMultiDynamicRange":false,"MultiDynamicRangeID":null,"MultiDynamicCollectionID":null,"SectionName":"ControleIndelingQRT","BlockName":"B1","VenaRangeType":5,"DimensionIdStr":"-1","MemberIdStr":"-1","DimensionId":-1,"MemberId":-1,"Inc":""},"_vena_DYNR_SControleIndelingQRT_BB1_764b2148_9ced7291":{"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9ced7291","IsMultiDynamicRange":false,"MultiDynamicRangeID":null,"MultiDynamicCollectionID":null,"SectionName":"ControleIndelingQRT","BlockName":"B1","VenaRangeType":5,"DimensionIdStr":"-1","MemberIdStr":"-1","DimensionId":-1,"MemberId":-1,"Inc":""},"_vena_DYNR_SControleIndelingQRT_BB1_764b2148_9ebc08c4":{"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9ebc08c4","IsMultiDynamicRange":false,"MultiDynamicRangeID":null,"MultiDynamicCollectionID":null,"SectionName":"ControleIndelingQRT","BlockName":"B1","VenaRangeType":5,"DimensionIdStr":"-1","MemberIdStr":"-1","DimensionId":-1,"MemberId":-1,"Inc":""},"_vena_DYNR_SControleIndelingQRT_BB1_764b2148_a2d14366":{"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a2d14366","IsMultiDynamicRange":false,"MultiDynamicRangeID":null,"MultiDynamicCollectionID":null,"SectionName":"ControleIndelingQRT","BlockName":"B1","VenaRangeType":5,"DimensionIdStr":"-1","MemberIdStr":"-1","DimensionId":-1,"MemberId":-1,"Inc":""},"_vena_DYNR_SControleIndelingQRT_BB1_764b2148_a31cf177":{"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a31cf177","IsMultiDynamicRange":false,"MultiDynamicRangeID":null,"MultiDynamicCollectionID":null,"SectionName":"ControleIndelingQRT","BlockName":"B1","VenaRangeType":5,"DimensionIdStr":"-1","MemberIdStr":"-1","DimensionId":-1,"MemberId":-1,"Inc":""},"_vena_DYNR_SControleIndelingQRT_BB1_764b2148_a50e483a":{"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a50e483a","IsMultiDynamicRange":false,"MultiDynamicRangeID":null,"MultiDynamicCollectionID":null,"SectionName":"ControleIndelingQRT","BlockName":"B1","VenaRangeType":5,"DimensionIdStr":"-1","MemberIdStr":"-1","DimensionId":-1,"MemberId":-1,"Inc":""},"_vena_DYNR_SControleIndelingQRT_BB1_764b2148_a511959":{"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a511959","IsMultiDynamicRange":false,"MultiDynamicRangeID":null,"MultiDynamicCollectionID":null,"SectionName":"ControleIndelingQRT","BlockName":"B1","VenaRangeType":5,"DimensionIdStr":"-1","MemberIdStr":"-1","DimensionId":-1,"MemberId":-1,"Inc":""},"_vena_DYNR_SControleIndelingQRT_BB1_764b2148_a958de3d":{"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a958de3d","IsMultiDynamicRange":false,"MultiDynamicRangeID":null,"MultiDynamicCollectionID":null,"SectionName":"ControleIndelingQRT","BlockName":"B1","VenaRangeType":5,"DimensionIdStr":"-1","MemberIdStr":"-1","DimensionId":-1,"MemberId":-1,"Inc":""},"_vena_DYNR_SControleIndelingQRT_BB1_764b2148_b0f40585":{"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b0f40585","IsMultiDynamicRange":false,"MultiDynamicRangeID":null,"MultiDynamicCollectionID":null,"SectionName":"ControleIndelingQRT","BlockName":"B1","VenaRangeType":5,"DimensionIdStr":"-1","MemberIdStr":"-1","DimensionId":-1,"MemberId":-1,"Inc":""},"_vena_DYNR_SControleIndelingQRT_BB1_764b2148_b12c4d21":{"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b12c4d21","IsMultiDynamicRange":false,"MultiDynamicRangeID":null,"MultiDynamicCollectionID":null,"SectionName":"ControleIndelingQRT","BlockName":"B1","VenaRangeType":5,"DimensionIdStr":"-1","MemberIdStr":"-1","DimensionId":-1,"MemberId":-1,"Inc":""},"_vena_DYNR_SControleIndelingQRT_BB1_764b2148_bc5f1771":{"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bc5f1771","IsMultiDynamicRange":false,"MultiDynamicRangeID":null,"MultiDynamicCollectionID":null,"SectionName":"ControleIndelingQRT","BlockName":"B1","VenaRangeType":5,"DimensionIdStr":"-1","MemberIdStr":"-1","DimensionId":-1,"MemberId":-1,"Inc":""},"_vena_DYNR_SControleIndelingQRT_BB1_764b2148_c4b904c5":{"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c4b904c5","IsMultiDynamicRange":false,"MultiDynamicRangeID":null,"MultiDynamicCollectionID":null,"SectionName":"ControleIndelingQRT","BlockName":"B1","VenaRangeType":5,"DimensionIdStr":"-1","MemberIdStr":"-1","DimensionId":-1,"MemberId":-1,"Inc":""},"_vena_DYNR_SControleIndelingQRT_BB1_764b2148_ca1b7cf1":{"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ca1b7cf1","IsMultiDynamicRange":false,"MultiDynamicRangeID":null,"MultiDynamicCollectionID":null,"SectionName":"ControleIndelingQRT","BlockName":"B1","VenaRangeType":5,"DimensionIdStr":"-1","MemberIdStr":"-1","DimensionId":-1,"MemberId":-1,"Inc":""},"_vena_DYNR_SControleIndelingQRT_BB1_764b2148_cd56069":{"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cd56069","IsMultiDynamicRange":false,"MultiDynamicRangeID":null,"MultiDynamicCollectionID":null,"SectionName":"ControleIndelingQRT","BlockName":"B1","VenaRangeType":5,"DimensionIdStr":"-1","MemberIdStr":"-1","DimensionId":-1,"MemberId":-1,"Inc":""},"_vena_DYNR_SControleIndelingQRT_BB1_764b2148_ce5e1c7b":{"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ce5e1c7b","IsMultiDynamicRange":false,"MultiDynamicRangeID":null,"MultiDynamicCollectionID":null,"SectionName":"ControleIndelingQRT","BlockName":"B1","VenaRangeType":5,"DimensionIdStr":"-1","MemberIdStr":"-1","DimensionId":-1,"MemberId":-1,"Inc":""},"_vena_DYNR_SControleIndelingQRT_BB1_764b2148_cf0937dc":{"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cf0937dc","IsMultiDynamicRange":false,"MultiDynamicRangeID":null,"MultiDynamicCollectionID":null,"SectionName":"ControleIndelingQRT","BlockName":"B1","VenaRangeType":5,"DimensionIdStr":"-1","MemberIdStr":"-1","DimensionId":-1,"MemberId":-1,"Inc":""},"_vena_DYNR_SControleIndelingQRT_BB1_764b2148_d404b619":{"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d404b619","IsMultiDynamicRange":false,"MultiDynamicRangeID":null,"MultiDynamicCollectionID":null,"SectionName":"ControleIndelingQRT","BlockName":"B1","VenaRangeType":5,"DimensionIdStr":"-1","MemberIdStr":"-1","DimensionId":-1,"MemberId":-1,"Inc":""},"_vena_DYNR_SControleIndelingQRT_BB1_764b2148_d4320efa":{"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d4320efa","IsMultiDynamicRange":false,"MultiDynamicRangeID":null,"MultiDynamicCollectionID":null,"SectionName":"ControleIndelingQRT","BlockName":"B1","VenaRangeType":5,"DimensionIdStr":"-1","MemberIdStr":"-1","DimensionId":-1,"MemberId":-1,"Inc":""},"_vena_DYNR_SControleIndelingQRT_BB1_764b2148_d6445606":{"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d6445606","IsMultiDynamicRange":false,"MultiDynamicRangeID":null,"MultiDynamicCollectionID":null,"SectionName":"ControleIndelingQRT","BlockName":"B1","VenaRangeType":5,"DimensionIdStr":"-1","MemberIdStr":"-1","DimensionId":-1,"MemberId":-1,"Inc":""},"_vena_DYNR_SControleIndelingQRT_BB1_764b2148_d83f3556":{"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d83f3556","IsMultiDynamicRange":false,"MultiDynamicRangeID":null,"MultiDynamicCollectionID":null,"SectionName":"ControleIndelingQRT","BlockName":"B1","VenaRangeType":5,"DimensionIdStr":"-1","MemberIdStr":"-1","DimensionId":-1,"MemberId":-1,"Inc":""},"_vena_DYNR_SControleIndelingQRT_BB1_764b2148_da31dba0":{"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da31dba0","IsMultiDynamicRange":false,"MultiDynamicRangeID":null,"MultiDynamicCollectionID":null,"SectionName":"ControleIndelingQRT","BlockName":"B1","VenaRangeType":5,"DimensionIdStr":"-1","MemberIdStr":"-1","DimensionId":-1,"MemberId":-1,"Inc":""},"_vena_DYNR_SControleIndelingQRT_BB1_764b2148_dd68bf4e":{"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dd68bf4e","IsMultiDynamicRange":false,"MultiDynamicRangeID":null,"MultiDynamicCollectionID":null,"SectionName":"ControleIndelingQRT","BlockName":"B1","VenaRangeType":5,"DimensionIdStr":"-1","MemberIdStr":"-1","DimensionId":-1,"MemberId":-1,"Inc":""},"_vena_DYNR_SControleIndelingQRT_BB1_764b2148_df54dca7":{"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df54dca7","IsMultiDynamicRange":false,"MultiDynamicRangeID":null,"MultiDynamicCollectionID":null,"SectionName":"ControleIndelingQRT","BlockName":"B1","VenaRangeType":5,"DimensionIdStr":"-1","MemberIdStr":"-1","DimensionId":-1,"MemberId":-1,"Inc":""},"_vena_DYNR_SControleIndelingQRT_BB1_764b2148_df714193":{"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df714193","IsMultiDynamicRange":false,"MultiDynamicRangeID":null,"MultiDynamicCollectionID":null,"SectionName":"ControleIndelingQRT","BlockName":"B1","VenaRangeType":5,"DimensionIdStr":"-1","MemberIdStr":"-1","DimensionId":-1,"MemberId":-1,"Inc":""},"_vena_DYNR_SControleIndelingQRT_BB1_764b2148_e0bb6be2":{"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e0bb6be2","IsMultiDynamicRange":false,"MultiDynamicRangeID":null,"MultiDynamicCollectionID":null,"SectionName":"ControleIndelingQRT","BlockName":"B1","VenaRangeType":5,"DimensionIdStr":"-1","MemberIdStr":"-1","DimensionId":-1,"MemberId":-1,"Inc":""},"_vena_DYNR_SControleIndelingQRT_BB1_764b2148_e0ec5d0d":{"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e0ec5d0d","IsMultiDynamicRange":false,"MultiDynamicRangeID":null,"MultiDynamicCollectionID":null,"SectionName":"ControleIndelingQRT","BlockName":"B1","VenaRangeType":5,"DimensionIdStr":"-1","MemberIdStr":"-1","DimensionId":-1,"MemberId":-1,"Inc":""},"_vena_DYNR_SControleIndelingQRT_BB1_764b2148_e1121b30":{"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e1121b30","IsMultiDynamicRange":false,"MultiDynamicRangeID":null,"MultiDynamicCollectionID":null,"SectionName":"ControleIndelingQRT","BlockName":"B1","VenaRangeType":5,"DimensionIdStr":"-1","MemberIdStr":"-1","DimensionId":-1,"MemberId":-1,"Inc":""},"_vena_DYNR_SControleIndelingQRT_BB1_764b2148_e54e227":{"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e54e227","IsMultiDynamicRange":false,"MultiDynamicRangeID":null,"MultiDynamicCollectionID":null,"SectionName":"ControleIndelingQRT","BlockName":"B1","VenaRangeType":5,"DimensionIdStr":"-1","MemberIdStr":"-1","DimensionId":-1,"MemberId":-1,"Inc":""},"_vena_DYNR_SControleIndelingQRT_BB1_764b2148_e6543250":{"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e6543250","IsMultiDynamicRange":false,"MultiDynamicRangeID":null,"MultiDynamicCollectionID":null,"SectionName":"ControleIndelingQRT","BlockName":"B1","VenaRangeType":5,"DimensionIdStr":"-1","MemberIdStr":"-1","DimensionId":-1,"MemberId":-1,"Inc":""},"_vena_DYNR_SControleIndelingQRT_BB1_764b2148_e95c4ba3":{"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e95c4ba3","IsMultiDynamicRange":false,"MultiDynamicRangeID":null,"MultiDynamicCollectionID":null,"SectionName":"ControleIndelingQRT","BlockName":"B1","VenaRangeType":5,"DimensionIdStr":"-1","MemberIdStr":"-1","DimensionId":-1,"MemberId":-1,"Inc":""},"_vena_DYNR_SControleIndelingQRT_BB1_764b2148_ea94835a":{"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ea94835a","IsMultiDynamicRange":false,"MultiDynamicRangeID":null,"MultiDynamicCollectionID":null,"SectionName":"ControleIndelingQRT","BlockName":"B1","VenaRangeType":5,"DimensionIdStr":"-1","MemberIdStr":"-1","DimensionId":-1,"MemberId":-1,"Inc":""},"_vena_DYNR_SControleIndelingQRT_BB1_764b2148_edec190d":{"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edec190d","IsMultiDynamicRange":false,"MultiDynamicRangeID":null,"MultiDynamicCollectionID":null,"SectionName":"ControleIndelingQRT","BlockName":"B1","VenaRangeType":5,"DimensionIdStr":"-1","MemberIdStr":"-1","DimensionId":-1,"MemberId":-1,"Inc":""},"_vena_DYNR_SControleIndelingQRT_BB1_764b2148_eebf384e":{"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eebf384e","IsMultiDynamicRange":false,"MultiDynamicRangeID":null,"MultiDynamicCollectionID":null,"SectionName":"ControleIndelingQRT","BlockName":"B1","VenaRangeType":5,"DimensionIdStr":"-1","MemberIdStr":"-1","DimensionId":-1,"MemberId":-1,"Inc":""},"_vena_DYNR_SControleIndelingQRT_BB1_764b2148_f4730732":{"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f4730732","IsMultiDynamicRange":false,"MultiDynamicRangeID":null,"MultiDynamicCollectionID":null,"SectionName":"ControleIndelingQRT","BlockName":"B1","VenaRangeType":5,"DimensionIdStr":"-1","MemberIdStr":"-1","DimensionId":-1,"MemberId":-1,"Inc":""},"_vena_DYNR_SControleIndelingQRT_BB1_764b2148_f7976af5":{"SourceGlobalVariableId":-1,"SourceFormVariableId":"00000000-0000-0000-0000-000000000000","IsPageVariable":false,"IsLineItemDetailEnabled":false,"LineItemDetailOrder":0,"LineItemID":null,"PageVariableSectionReference":"","PageVariableDimensionName":null,"IsDynamicRange":true,"IsDynamicRangeEntry":true,"DynamicRangeID":"764b2148","DynamicRangeEntryID":"f7976af5","IsMultiDynamicRange":false,"MultiDynamicRangeID":null,"MultiDynamicCollectionID":null,"SectionName":"ControleIndelingQRT","BlockName":"B1","VenaRangeType":5,"DimensionIdStr":"-1","MemberIdStr":"-1","DimensionId":-1,"MemberId":-1,"Inc":""},"_vena_DYNR_SControleIndelingQRT_BB1_a479d30a":{"SourceGlobalVariableId":-1,"SourceFormVariableId":"00000000-0000-0000-0000-000000000000","IsPageVariable":false,"IsLineItemDetailEnabled":false,"LineItemDetailOrder":0,"LineItemID":null,"PageVariableSectionReference":"","PageVariableDimensionName":null,"IsDynamicRange":true,"IsDynamicRangeEntry":false,"DynamicRangeID":"a479d30a","DynamicRangeEntryID":null,"IsMultiDynamicRange":false,"MultiDynamicRangeID":null,"MultiDynamicCollectionID":null,"SectionName":"ControleIndelingQRT","BlockName":"B1","VenaRangeType":5,"DimensionIdStr":"-1","MemberIdStr":"-1","DimensionId":-1,"MemberId":-1,"Inc":""},"_vena_DYNR_SControleIndelingQRT_BB1_a479d30a_18770cce":{"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18770cce","IsMultiDynamicRange":false,"MultiDynamicRangeID":null,"MultiDynamicCollectionID":null,"SectionName":"ControleIndelingQRT","BlockName":"B1","VenaRangeType":5,"DimensionIdStr":"-1","MemberIdStr":"-1","DimensionId":-1,"MemberId":-1,"Inc":""},"_vena_DYNR_SControleIndelingQRT_BB1_a479d30a_188363ce":{"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188363ce","IsMultiDynamicRange":false,"MultiDynamicRangeID":null,"MultiDynamicCollectionID":null,"SectionName":"ControleIndelingQRT","BlockName":"B1","VenaRangeType":5,"DimensionIdStr":"-1","MemberIdStr":"-1","DimensionId":-1,"MemberId":-1,"Inc":""},"_vena_DYNR_SControleIndelingQRT_BB1_a479d30a_1fc327d4":{"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1fc327d4","IsMultiDynamicRange":false,"MultiDynamicRangeID":null,"MultiDynamicCollectionID":null,"SectionName":"ControleIndelingQRT","BlockName":"B1","VenaRangeType":5,"DimensionIdStr":"-1","MemberIdStr":"-1","DimensionId":-1,"MemberId":-1,"Inc":""},"_vena_DYNR_SControleIndelingQRT_BB1_a479d30a_2015c5d3":{"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2015c5d3","IsMultiDynamicRange":false,"MultiDynamicRangeID":null,"MultiDynamicCollectionID":null,"SectionName":"ControleIndelingQRT","BlockName":"B1","VenaRangeType":5,"DimensionIdStr":"-1","MemberIdStr":"-1","DimensionId":-1,"MemberId":-1,"Inc":""},"_vena_DYNR_SControleIndelingQRT_BB1_a479d30a_282cbee6":{"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282cbee6","IsMultiDynamicRange":false,"MultiDynamicRangeID":null,"MultiDynamicCollectionID":null,"SectionName":"ControleIndelingQRT","BlockName":"B1","VenaRangeType":5,"DimensionIdStr":"-1","MemberIdStr":"-1","DimensionId":-1,"MemberId":-1,"Inc":""},"_vena_DYNR_SControleIndelingQRT_BB1_a479d30a_283c33aa":{"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283c33aa","IsMultiDynamicRange":false,"MultiDynamicRangeID":null,"MultiDynamicCollectionID":null,"SectionName":"ControleIndelingQRT","BlockName":"B1","VenaRangeType":5,"DimensionIdStr":"-1","MemberIdStr":"-1","DimensionId":-1,"MemberId":-1,"Inc":""},"_vena_DYNR_SControleIndelingQRT_BB1_a479d30a_2a73f52a":{"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2a73f52a","IsMultiDynamicRange":false,"MultiDynamicRangeID":null,"MultiDynamicCollectionID":null,"SectionName":"ControleIndelingQRT","BlockName":"B1","VenaRangeType":5,"DimensionIdStr":"-1","MemberIdStr":"-1","DimensionId":-1,"MemberId":-1,"Inc":""},"_vena_DYNR_SControleIndelingQRT_BB1_a479d30a_2ad62e00":{"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2ad62e00","IsMultiDynamicRange":false,"MultiDynamicRangeID":null,"MultiDynamicCollectionID":null,"SectionName":"ControleIndelingQRT","BlockName":"B1","VenaRangeType":5,"DimensionIdStr":"-1","MemberIdStr":"-1","DimensionId":-1,"MemberId":-1,"Inc":""},"_vena_DYNR_SControleIndelingQRT_BB1_a479d30a_2d52e42e":{"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2d52e42e","IsMultiDynamicRange":false,"MultiDynamicRangeID":null,"MultiDynamicCollectionID":null,"SectionName":"ControleIndelingQRT","BlockName":"B1","VenaRangeType":5,"DimensionIdStr":"-1","MemberIdStr":"-1","DimensionId":-1,"MemberId":-1,"Inc":""},"_vena_DYNR_SControleIndelingQRT_BB1_a479d30a_2da32a24":{"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2da32a24","IsMultiDynamicRange":false,"MultiDynamicRangeID":null,"MultiDynamicCollectionID":null,"SectionName":"ControleIndelingQRT","BlockName":"B1","VenaRangeType":5,"DimensionIdStr":"-1","MemberIdStr":"-1","DimensionId":-1,"MemberId":-1,"Inc":""},"_vena_DYNR_SControleIndelingQRT_BB1_a479d30a_31aa0610":{"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31aa0610","IsMultiDynamicRange":false,"MultiDynamicRangeID":null,"MultiDynamicCollectionID":null,"SectionName":"ControleIndelingQRT","BlockName":"B1","VenaRangeType":5,"DimensionIdStr":"-1","MemberIdStr":"-1","DimensionId":-1,"MemberId":-1,"Inc":""},"_vena_DYNR_SControleIndelingQRT_BB1_a479d30a_33b9a5c8":{"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33b9a5c8","IsMultiDynamicRange":false,"MultiDynamicRangeID":null,"MultiDynamicCollectionID":null,"SectionName":"ControleIndelingQRT","BlockName":"B1","VenaRangeType":5,"DimensionIdStr":"-1","MemberIdStr":"-1","DimensionId":-1,"MemberId":-1,"Inc":""},"_vena_DYNR_SControleIndelingQRT_BB1_a479d30a_39c96368":{"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39c96368","IsMultiDynamicRange":false,"MultiDynamicRangeID":null,"MultiDynamicCollectionID":null,"SectionName":"ControleIndelingQRT","BlockName":"B1","VenaRangeType":5,"DimensionIdStr":"-1","MemberIdStr":"-1","DimensionId":-1,"MemberId":-1,"Inc":""},"_vena_DYNR_SControleIndelingQRT_BB1_a479d30a_3bf9878e":{"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3bf9878e","IsMultiDynamicRange":false,"MultiDynamicRangeID":null,"MultiDynamicCollectionID":null,"SectionName":"ControleIndelingQRT","BlockName":"B1","VenaRangeType":5,"DimensionIdStr":"-1","MemberIdStr":"-1","DimensionId":-1,"MemberId":-1,"Inc":""},"_vena_DYNR_SControleIndelingQRT_BB1_a479d30a_3c41ef64":{"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3c41ef64","IsMultiDynamicRange":false,"MultiDynamicRangeID":null,"MultiDynamicCollectionID":null,"SectionName":"ControleIndelingQRT","BlockName":"B1","VenaRangeType":5,"DimensionIdStr":"-1","MemberIdStr":"-1","DimensionId":-1,"MemberId":-1,"Inc":""},"_vena_DYNR_SControleIndelingQRT_BB1_a479d30a_3cc2ef0d":{"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3cc2ef0d","IsMultiDynamicRange":false,"MultiDynamicRangeID":null,"MultiDynamicCollectionID":null,"SectionName":"ControleIndelingQRT","BlockName":"B1","VenaRangeType":5,"DimensionIdStr":"-1","MemberIdStr":"-1","DimensionId":-1,"MemberId":-1,"Inc":""},"_vena_DYNR_SControleIndelingQRT_BB1_a479d30a_40aaae58":{"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40aaae58","IsMultiDynamicRange":false,"MultiDynamicRangeID":null,"MultiDynamicCollectionID":null,"SectionName":"ControleIndelingQRT","BlockName":"B1","VenaRangeType":5,"DimensionIdStr":"-1","MemberIdStr":"-1","DimensionId":-1,"MemberId":-1,"Inc":""},"_vena_DYNR_SControleIndelingQRT_BB1_a479d30a_41027f9c":{"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41027f9c","IsMultiDynamicRange":false,"MultiDynamicRangeID":null,"MultiDynamicCollectionID":null,"SectionName":"ControleIndelingQRT","BlockName":"B1","VenaRangeType":5,"DimensionIdStr":"-1","MemberIdStr":"-1","DimensionId":-1,"MemberId":-1,"Inc":""},"_vena_DYNR_SControleIndelingQRT_BB1_a479d30a_46447484":{"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46447484","IsMultiDynamicRange":false,"MultiDynamicRangeID":null,"MultiDynamicCollectionID":null,"SectionName":"ControleIndelingQRT","BlockName":"B1","VenaRangeType":5,"DimensionIdStr":"-1","MemberIdStr":"-1","DimensionId":-1,"MemberId":-1,"Inc":""},"_vena_DYNR_SControleIndelingQRT_BB1_a479d30a_4936ebbd":{"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4936ebbd","IsMultiDynamicRange":false,"MultiDynamicRangeID":null,"MultiDynamicCollectionID":null,"SectionName":"ControleIndelingQRT","BlockName":"B1","VenaRangeType":5,"DimensionIdStr":"-1","MemberIdStr":"-1","DimensionId":-1,"MemberId":-1,"Inc":""},"_vena_DYNR_SControleIndelingQRT_BB1_a479d30a_5a1d28a8":{"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5a1d28a8","IsMultiDynamicRange":false,"MultiDynamicRangeID":null,"MultiDynamicCollectionID":null,"SectionName":"ControleIndelingQRT","BlockName":"B1","VenaRangeType":5,"DimensionIdStr":"-1","MemberIdStr":"-1","DimensionId":-1,"MemberId":-1,"Inc":""},"_vena_DYNR_SControleIndelingQRT_BB1_a479d30a_5a8fa0a9":{"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5a8fa0a9","IsMultiDynamicRange":false,"MultiDynamicRangeID":null,"MultiDynamicCollectionID":null,"SectionName":"ControleIndelingQRT","BlockName":"B1","VenaRangeType":5,"DimensionIdStr":"-1","MemberIdStr":"-1","DimensionId":-1,"MemberId":-1,"Inc":""},"_vena_DYNR_SControleIndelingQRT_BB1_a479d30a_5cfa3a33":{"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5cfa3a33","IsMultiDynamicRange":false,"MultiDynamicRangeID":null,"MultiDynamicCollectionID":null,"SectionName":"ControleIndelingQRT","BlockName":"B1","VenaRangeType":5,"DimensionIdStr":"-1","MemberIdStr":"-1","DimensionId":-1,"MemberId":-1,"Inc":""},"_vena_DYNR_SControleIndelingQRT_BB1_a479d30a_6122537f":{"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6122537f","IsMultiDynamicRange":false,"MultiDynamicRangeID":null,"MultiDynamicCollectionID":null,"SectionName":"ControleIndelingQRT","BlockName":"B1","VenaRangeType":5,"DimensionIdStr":"-1","MemberIdStr":"-1","DimensionId":-1,"MemberId":-1,"Inc":""},"_vena_DYNR_SControleIndelingQRT_BB1_a479d30a_68e1d110":{"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68e1d110","IsMultiDynamicRange":false,"MultiDynamicRangeID":null,"MultiDynamicCollectionID":null,"SectionName":"ControleIndelingQRT","BlockName":"B1","VenaRangeType":5,"DimensionIdStr":"-1","MemberIdStr":"-1","DimensionId":-1,"MemberId":-1,"Inc":""},"_vena_DYNR_SControleIndelingQRT_BB1_a479d30a_6bca8f22":{"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6bca8f22","IsMultiDynamicRange":false,"MultiDynamicRangeID":null,"MultiDynamicCollectionID":null,"SectionName":"ControleIndelingQRT","BlockName":"B1","VenaRangeType":5,"DimensionIdStr":"-1","MemberIdStr":"-1","DimensionId":-1,"MemberId":-1,"Inc":""},"_vena_DYNR_SControleIndelingQRT_BB1_a479d30a_7363d0f7":{"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7363d0f7","IsMultiDynamicRange":false,"MultiDynamicRangeID":null,"MultiDynamicCollectionID":null,"SectionName":"ControleIndelingQRT","BlockName":"B1","VenaRangeType":5,"DimensionIdStr":"-1","MemberIdStr":"-1","DimensionId":-1,"MemberId":-1,"Inc":""},"_vena_DYNR_SControleIndelingQRT_BB1_a479d30a_7ac1f6e":{"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7ac1f6e","IsMultiDynamicRange":false,"MultiDynamicRangeID":null,"MultiDynamicCollectionID":null,"SectionName":"ControleIndelingQRT","BlockName":"B1","VenaRangeType":5,"DimensionIdStr":"-1","MemberIdStr":"-1","DimensionId":-1,"MemberId":-1,"Inc":""},"_vena_DYNR_SControleIndelingQRT_BB1_a479d30a_847ca194":{"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847ca194","IsMultiDynamicRange":false,"MultiDynamicRangeID":null,"MultiDynamicCollectionID":null,"SectionName":"ControleIndelingQRT","BlockName":"B1","VenaRangeType":5,"DimensionIdStr":"-1","MemberIdStr":"-1","DimensionId":-1,"MemberId":-1,"Inc":""},"_vena_DYNR_SControleIndelingQRT_BB1_a479d30a_8539ecd":{"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8539ecd","IsMultiDynamicRange":false,"MultiDynamicRangeID":null,"MultiDynamicCollectionID":null,"SectionName":"ControleIndelingQRT","BlockName":"B1","VenaRangeType":5,"DimensionIdStr":"-1","MemberIdStr":"-1","DimensionId":-1,"MemberId":-1,"Inc":""},"_vena_DYNR_SControleIndelingQRT_BB1_a479d30a_8694e79a":{"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8694e79a","IsMultiDynamicRange":false,"MultiDynamicRangeID":null,"MultiDynamicCollectionID":null,"SectionName":"ControleIndelingQRT","BlockName":"B1","VenaRangeType":5,"DimensionIdStr":"-1","MemberIdStr":"-1","DimensionId":-1,"MemberId":-1,"Inc":""},"_vena_DYNR_SControleIndelingQRT_BB1_a479d30a_88203884":{"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88203884","IsMultiDynamicRange":false,"MultiDynamicRangeID":null,"MultiDynamicCollectionID":null,"SectionName":"ControleIndelingQRT","BlockName":"B1","VenaRangeType":5,"DimensionIdStr":"-1","MemberIdStr":"-1","DimensionId":-1,"MemberId":-1,"Inc":""},"_vena_DYNR_SControleIndelingQRT_BB1_a479d30a_8b38aa0e":{"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8b38aa0e","IsMultiDynamicRange":false,"MultiDynamicRangeID":null,"MultiDynamicCollectionID":null,"SectionName":"ControleIndelingQRT","BlockName":"B1","VenaRangeType":5,"DimensionIdStr":"-1","MemberIdStr":"-1","DimensionId":-1,"MemberId":-1,"Inc":""},"_vena_DYNR_SControleIndelingQRT_BB1_a479d30a_8c635bc5":{"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8c635bc5","IsMultiDynamicRange":false,"MultiDynamicRangeID":null,"MultiDynamicCollectionID":null,"SectionName":"ControleIndelingQRT","BlockName":"B1","VenaRangeType":5,"DimensionIdStr":"-1","MemberIdStr":"-1","DimensionId":-1,"MemberId":-1,"Inc":""},"_vena_DYNR_SControleIndelingQRT_BB1_a479d30a_90f6fddb":{"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90f6fddb","IsMultiDynamicRange":false,"MultiDynamicRangeID":null,"MultiDynamicCollectionID":null,"SectionName":"ControleIndelingQRT","BlockName":"B1","VenaRangeType":5,"DimensionIdStr":"-1","MemberIdStr":"-1","DimensionId":-1,"MemberId":-1,"Inc":""},"_vena_DYNR_SControleIndelingQRT_BB1_a479d30a_9234a954":{"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9234a954","IsMultiDynamicRange":false,"MultiDynamicRangeID":null,"MultiDynamicCollectionID":null,"SectionName":"ControleIndelingQRT","BlockName":"B1","VenaRangeType":5,"DimensionIdStr":"-1","MemberIdStr":"-1","DimensionId":-1,"MemberId":-1,"Inc":""},"_vena_DYNR_SControleIndelingQRT_BB1_a479d30a_94b25f33":{"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94b25f33","IsMultiDynamicRange":false,"MultiDynamicRangeID":null,"MultiDynamicCollectionID":null,"SectionName":"ControleIndelingQRT","BlockName":"B1","VenaRangeType":5,"DimensionIdStr":"-1","MemberIdStr":"-1","DimensionId":-1,"MemberId":-1,"Inc":""},"_vena_DYNR_SControleIndelingQRT_BB1_a479d30a_94f6a7dd":{"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94f6a7dd","IsMultiDynamicRange":false,"MultiDynamicRangeID":null,"MultiDynamicCollectionID":null,"SectionName":"ControleIndelingQRT","BlockName":"B1","VenaRangeType":5,"DimensionIdStr":"-1","MemberIdStr":"-1","DimensionId":-1,"MemberId":-1,"Inc":""},"_vena_DYNR_SControleIndelingQRT_BB1_a479d30a_952564ab":{"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952564ab","IsMultiDynamicRange":false,"MultiDynamicRangeID":null,"MultiDynamicCollectionID":null,"SectionName":"ControleIndelingQRT","BlockName":"B1","VenaRangeType":5,"DimensionIdStr":"-1","MemberIdStr":"-1","DimensionId":-1,"MemberId":-1,"Inc":""},"_vena_DYNR_SControleIndelingQRT_BB1_a479d30a_953c02b1":{"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953c02b1","IsMultiDynamicRange":false,"MultiDynamicRangeID":null,"MultiDynamicCollectionID":null,"SectionName":"ControleIndelingQRT","BlockName":"B1","VenaRangeType":5,"DimensionIdStr":"-1","MemberIdStr":"-1","DimensionId":-1,"MemberId":-1,"Inc":""},"_vena_DYNR_SControleIndelingQRT_BB1_a479d30a_a318b585":{"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a318b585","IsMultiDynamicRange":false,"MultiDynamicRangeID":null,"MultiDynamicCollectionID":null,"SectionName":"ControleIndelingQRT","BlockName":"B1","VenaRangeType":5,"DimensionIdStr":"-1","MemberIdStr":"-1","DimensionId":-1,"MemberId":-1,"Inc":""},"_vena_DYNR_SControleIndelingQRT_BB1_a479d30a_a341f679":{"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a341f679","IsMultiDynamicRange":false,"MultiDynamicRangeID":null,"MultiDynamicCollectionID":null,"SectionName":"ControleIndelingQRT","BlockName":"B1","VenaRangeType":5,"DimensionIdStr":"-1","MemberIdStr":"-1","DimensionId":-1,"MemberId":-1,"Inc":""},"_vena_DYNR_SControleIndelingQRT_BB1_a479d30a_a9d3136e":{"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a9d3136e","IsMultiDynamicRange":false,"MultiDynamicRangeID":null,"MultiDynamicCollectionID":null,"SectionName":"ControleIndelingQRT","BlockName":"B1","VenaRangeType":5,"DimensionIdStr":"-1","MemberIdStr":"-1","DimensionId":-1,"MemberId":-1,"Inc":""},"_vena_DYNR_SControleIndelingQRT_BB1_a479d30a_abbbd0e1":{"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abbbd0e1","IsMultiDynamicRange":false,"MultiDynamicRangeID":null,"MultiDynamicCollectionID":null,"SectionName":"ControleIndelingQRT","BlockName":"B1","VenaRangeType":5,"DimensionIdStr":"-1","MemberIdStr":"-1","DimensionId":-1,"MemberId":-1,"Inc":""},"_vena_DYNR_SControleIndelingQRT_BB1_a479d30a_b4831fba":{"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b4831fba","IsMultiDynamicRange":false,"MultiDynamicRangeID":null,"MultiDynamicCollectionID":null,"SectionName":"ControleIndelingQRT","BlockName":"B1","VenaRangeType":5,"DimensionIdStr":"-1","MemberIdStr":"-1","DimensionId":-1,"MemberId":-1,"Inc":""},"_vena_DYNR_SControleIndelingQRT_BB1_a479d30a_b7d4e236":{"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b7d4e236","IsMultiDynamicRange":false,"MultiDynamicRangeID":null,"MultiDynamicCollectionID":null,"SectionName":"ControleIndelingQRT","BlockName":"B1","VenaRangeType":5,"DimensionIdStr":"-1","MemberIdStr":"-1","DimensionId":-1,"MemberId":-1,"Inc":""},"_vena_DYNR_SControleIndelingQRT_BB1_a479d30a_b835d797":{"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b835d797","IsMultiDynamicRange":false,"MultiDynamicRangeID":null,"MultiDynamicCollectionID":null,"SectionName":"ControleIndelingQRT","BlockName":"B1","VenaRangeType":5,"DimensionIdStr":"-1","MemberIdStr":"-1","DimensionId":-1,"MemberId":-1,"Inc":""},"_vena_DYNR_SControleIndelingQRT_BB1_a479d30a_bade8555":{"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bade8555","IsMultiDynamicRange":false,"MultiDynamicRangeID":null,"MultiDynamicCollectionID":null,"SectionName":"ControleIndelingQRT","BlockName":"B1","VenaRangeType":5,"DimensionIdStr":"-1","MemberIdStr":"-1","DimensionId":-1,"MemberId":-1,"Inc":""},"_vena_DYNR_SControleIndelingQRT_BB1_a479d30a_bb0cf714":{"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bb0cf714","IsMultiDynamicRange":false,"MultiDynamicRangeID":null,"MultiDynamicCollectionID":null,"SectionName":"ControleIndelingQRT","BlockName":"B1","VenaRangeType":5,"DimensionIdStr":"-1","MemberIdStr":"-1","DimensionId":-1,"MemberId":-1,"Inc":""},"_vena_DYNR_SControleIndelingQRT_BB1_a479d30a_bd9b22a0":{"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bd9b22a0","IsMultiDynamicRange":false,"MultiDynamicRangeID":null,"MultiDynamicCollectionID":null,"SectionName":"ControleIndelingQRT","BlockName":"B1","VenaRangeType":5,"DimensionIdStr":"-1","MemberIdStr":"-1","DimensionId":-1,"MemberId":-1,"Inc":""},"_vena_DYNR_SControleIndelingQRT_BB1_a479d30a_bdd1b906":{"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bdd1b906","IsMultiDynamicRange":false,"MultiDynamicRangeID":null,"MultiDynamicCollectionID":null,"SectionName":"ControleIndelingQRT","BlockName":"B1","VenaRangeType":5,"DimensionIdStr":"-1","MemberIdStr":"-1","DimensionId":-1,"MemberId":-1,"Inc":""},"_vena_DYNR_SControleIndelingQRT_BB1_a479d30a_be943ca8":{"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be943ca8","IsMultiDynamicRange":false,"MultiDynamicRangeID":null,"MultiDynamicCollectionID":null,"SectionName":"ControleIndelingQRT","BlockName":"B1","VenaRangeType":5,"DimensionIdStr":"-1","MemberIdStr":"-1","DimensionId":-1,"MemberId":-1,"Inc":""},"_vena_DYNR_SControleIndelingQRT_BB1_a479d30a_c841aca9":{"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c841aca9","IsMultiDynamicRange":false,"MultiDynamicRangeID":null,"MultiDynamicCollectionID":null,"SectionName":"ControleIndelingQRT","BlockName":"B1","VenaRangeType":5,"DimensionIdStr":"-1","MemberIdStr":"-1","DimensionId":-1,"MemberId":-1,"Inc":""},"_vena_DYNR_SControleIndelingQRT_BB1_a479d30a_cae614c5":{"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cae614c5","IsMultiDynamicRange":false,"MultiDynamicRangeID":null,"MultiDynamicCollectionID":null,"SectionName":"ControleIndelingQRT","BlockName":"B1","VenaRangeType":5,"DimensionIdStr":"-1","MemberIdStr":"-1","DimensionId":-1,"MemberId":-1,"Inc":""},"_vena_DYNR_SControleIndelingQRT_BB1_a479d30a_ccb6d4c6":{"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ccb6d4c6","IsMultiDynamicRange":false,"MultiDynamicRangeID":null,"MultiDynamicCollectionID":null,"SectionName":"ControleIndelingQRT","BlockName":"B1","VenaRangeType":5,"DimensionIdStr":"-1","MemberIdStr":"-1","DimensionId":-1,"MemberId":-1,"Inc":""},"_vena_DYNR_SControleIndelingQRT_BB1_a479d30a_ce662a0":{"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ce662a0","IsMultiDynamicRange":false,"MultiDynamicRangeID":null,"MultiDynamicCollectionID":null,"SectionName":"ControleIndelingQRT","BlockName":"B1","VenaRangeType":5,"DimensionIdStr":"-1","MemberIdStr":"-1","DimensionId":-1,"MemberId":-1,"Inc":""},"_vena_DYNR_SControleIndelingQRT_BB1_a479d30a_d979653b":{"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d979653b","IsMultiDynamicRange":false,"MultiDynamicRangeID":null,"MultiDynamicCollectionID":null,"SectionName":"ControleIndelingQRT","BlockName":"B1","VenaRangeType":5,"DimensionIdStr":"-1","MemberIdStr":"-1","DimensionId":-1,"MemberId":-1,"Inc":""},"_vena_DYNR_SControleIndelingQRT_BB1_a479d30a_da84b68c":{"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da84b68c","IsMultiDynamicRange":false,"MultiDynamicRangeID":null,"MultiDynamicCollectionID":null,"SectionName":"ControleIndelingQRT","BlockName":"B1","VenaRangeType":5,"DimensionIdStr":"-1","MemberIdStr":"-1","DimensionId":-1,"MemberId":-1,"Inc":""},"_vena_DYNR_SControleIndelingQRT_BB1_a479d30a_dde43f33":{"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dde43f33","IsMultiDynamicRange":false,"MultiDynamicRangeID":null,"MultiDynamicCollectionID":null,"SectionName":"ControleIndelingQRT","BlockName":"B1","VenaRangeType":5,"DimensionIdStr":"-1","MemberIdStr":"-1","DimensionId":-1,"MemberId":-1,"Inc":""},"_vena_DYNR_SControleIndelingQRT_BB1_a479d30a_e5b647a2":{"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e5b647a2","IsMultiDynamicRange":false,"MultiDynamicRangeID":null,"MultiDynamicCollectionID":null,"SectionName":"ControleIndelingQRT","BlockName":"B1","VenaRangeType":5,"DimensionIdStr":"-1","MemberIdStr":"-1","DimensionId":-1,"MemberId":-1,"Inc":""},"_vena_DYNR_SControleIndelingQRT_BB1_a479d30a_e6591261":{"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e6591261","IsMultiDynamicRange":false,"MultiDynamicRangeID":null,"MultiDynamicCollectionID":null,"SectionName":"ControleIndelingQRT","BlockName":"B1","VenaRangeType":5,"DimensionIdStr":"-1","MemberIdStr":"-1","DimensionId":-1,"MemberId":-1,"Inc":""},"_vena_DYNR_SControleIndelingQRT_BB1_a479d30a_e7228308":{"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e7228308","IsMultiDynamicRange":false,"MultiDynamicRangeID":null,"MultiDynamicCollectionID":null,"SectionName":"ControleIndelingQRT","BlockName":"B1","VenaRangeType":5,"DimensionIdStr":"-1","MemberIdStr":"-1","DimensionId":-1,"MemberId":-1,"Inc":""},"_vena_DYNR_SControleIndelingQRT_BB1_a479d30a_e809d34e":{"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e809d34e","IsMultiDynamicRange":false,"MultiDynamicRangeID":null,"MultiDynamicCollectionID":null,"SectionName":"ControleIndelingQRT","BlockName":"B1","VenaRangeType":5,"DimensionIdStr":"-1","MemberIdStr":"-1","DimensionId":-1,"MemberId":-1,"Inc":""},"_vena_DYNR_SControleIndelingQRT_BB1_a479d30a_ebae459b":{"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ebae459b","IsMultiDynamicRange":false,"MultiDynamicRangeID":null,"MultiDynamicCollectionID":null,"SectionName":"ControleIndelingQRT","BlockName":"B1","VenaRangeType":5,"DimensionIdStr":"-1","MemberIdStr":"-1","DimensionId":-1,"MemberId":-1,"Inc":""},"_vena_DYNR_SControleIndelingQRT_BB1_a479d30a_ecf9d5a2":{"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ecf9d5a2","IsMultiDynamicRange":false,"MultiDynamicRangeID":null,"MultiDynamicCollectionID":null,"SectionName":"ControleIndelingQRT","BlockName":"B1","VenaRangeType":5,"DimensionIdStr":"-1","MemberIdStr":"-1","DimensionId":-1,"MemberId":-1,"Inc":""},"_vena_DYNR_SControleIndelingQRT_BB1_a479d30a_ee2ce208":{"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ee2ce208","IsMultiDynamicRange":false,"MultiDynamicRangeID":null,"MultiDynamicCollectionID":null,"SectionName":"ControleIndelingQRT","BlockName":"B1","VenaRangeType":5,"DimensionIdStr":"-1","MemberIdStr":"-1","DimensionId":-1,"MemberId":-1,"Inc":""},"_vena_DYNR_SControleIndelingQRT_BB1_a479d30a_f1ca6ad0":{"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f1ca6ad0","IsMultiDynamicRange":false,"MultiDynamicRangeID":null,"MultiDynamicCollectionID":null,"SectionName":"ControleIndelingQRT","BlockName":"B1","VenaRangeType":5,"DimensionIdStr":"-1","MemberIdStr":"-1","DimensionId":-1,"MemberId":-1,"Inc":""},"_vena_DYNR_SControleIndelingQRT_BB1_a479d30a_f5035580":{"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f5035580","IsMultiDynamicRange":false,"MultiDynamicRangeID":null,"MultiDynamicCollectionID":null,"SectionName":"ControleIndelingQRT","BlockName":"B1","VenaRangeType":5,"DimensionIdStr":"-1","MemberIdStr":"-1","DimensionId":-1,"MemberId":-1,"Inc":""},"_vena_DYNR_SControleIndelingQRT_BB1_a479d30a_f6748ef3":{"SourceGlobalVariableId":-1,"SourceFormVariableId":"00000000-0000-0000-0000-000000000000","IsPageVariable":false,"IsLineItemDetailEnabled":false,"LineItemDetailOrder":0,"LineItemID":null,"PageVariableSectionReference":"","PageVariableDimensionName":null,"IsDynamicRange":true,"IsDynamicRangeEntry":true,"DynamicRangeID":"a479d30a","DynamicRangeEntryID":"f6748ef3","IsMultiDynamicRange":false,"MultiDynamicRangeID":null,"MultiDynamicCollectionID":null,"SectionName":"ControleIndelingQRT","BlockName":"B1","VenaRangeType":5,"DimensionIdStr":"-1","MemberIdStr":"-1","DimensionId":-1,"MemberId":-1,"Inc":""},"_vena_DYNR_SControleIndelingQRT_BB1_d930880":{"SourceGlobalVariableId":-1,"SourceFormVariableId":"00000000-0000-0000-0000-000000000000","IsPageVariable":false,"IsLineItemDetailEnabled":false,"LineItemDetailOrder":0,"LineItemID":null,"PageVariableSectionReference":"","PageVariableDimensionName":null,"IsDynamicRange":true,"IsDynamicRangeEntry":false,"DynamicRangeID":"d930880","DynamicRangeEntryID":null,"IsMultiDynamicRange":false,"MultiDynamicRangeID":null,"MultiDynamicCollectionID":null,"SectionName":"ControleIndelingQRT","BlockName":"B1","VenaRangeType":5,"DimensionIdStr":"-1","MemberIdStr":"-1","DimensionId":-1,"MemberId":-1,"Inc":""},"_vena_DYNR_SControleIndelingQRT_BB1_d930880_1009705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1009705b","IsMultiDynamicRange":false,"MultiDynamicRangeID":null,"MultiDynamicCollectionID":null,"SectionName":"ControleIndelingQRT","BlockName":"B1","VenaRangeType":5,"DimensionIdStr":"-1","MemberIdStr":"-1","DimensionId":-1,"MemberId":-1,"Inc":""},"_vena_DYNR_SControleIndelingQRT_BB1_d930880_131e04f4":{"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131e04f4","IsMultiDynamicRange":false,"MultiDynamicRangeID":null,"MultiDynamicCollectionID":null,"SectionName":"ControleIndelingQRT","BlockName":"B1","VenaRangeType":5,"DimensionIdStr":"-1","MemberIdStr":"-1","DimensionId":-1,"MemberId":-1,"Inc":""},"_vena_DYNR_SControleIndelingQRT_BB1_d930880_1379af4":{"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1379af4","IsMultiDynamicRange":false,"MultiDynamicRangeID":null,"MultiDynamicCollectionID":null,"SectionName":"ControleIndelingQRT","BlockName":"B1","VenaRangeType":5,"DimensionIdStr":"-1","MemberIdStr":"-1","DimensionId":-1,"MemberId":-1,"Inc":""},"_vena_DYNR_SControleIndelingQRT_BB1_d930880_13f1f4cd":{"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13f1f4cd","IsMultiDynamicRange":false,"MultiDynamicRangeID":null,"MultiDynamicCollectionID":null,"SectionName":"ControleIndelingQRT","BlockName":"B1","VenaRangeType":5,"DimensionIdStr":"-1","MemberIdStr":"-1","DimensionId":-1,"MemberId":-1,"Inc":""},"_vena_DYNR_SControleIndelingQRT_BB1_d930880_15df9e50":{"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15df9e50","IsMultiDynamicRange":false,"MultiDynamicRangeID":null,"MultiDynamicCollectionID":null,"SectionName":"ControleIndelingQRT","BlockName":"B1","VenaRangeType":5,"DimensionIdStr":"-1","MemberIdStr":"-1","DimensionId":-1,"MemberId":-1,"Inc":""},"_vena_DYNR_SControleIndelingQRT_BB1_d930880_17085a7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17085a7c","IsMultiDynamicRange":false,"MultiDynamicRangeID":null,"MultiDynamicCollectionID":null,"SectionName":"ControleIndelingQRT","BlockName":"B1","VenaRangeType":5,"DimensionIdStr":"-1","MemberIdStr":"-1","DimensionId":-1,"MemberId":-1,"Inc":""},"_vena_DYNR_SControleIndelingQRT_BB1_d930880_18028061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18028061","IsMultiDynamicRange":false,"MultiDynamicRangeID":null,"MultiDynamicCollectionID":null,"SectionName":"ControleIndelingQRT","BlockName":"B1","VenaRangeType":5,"DimensionIdStr":"-1","MemberIdStr":"-1","DimensionId":-1,"MemberId":-1,"Inc":""},"_vena_DYNR_SControleIndelingQRT_BB1_d930880_18b14ab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18b14abc","IsMultiDynamicRange":false,"MultiDynamicRangeID":null,"MultiDynamicCollectionID":null,"SectionName":"ControleIndelingQRT","BlockName":"B1","VenaRangeType":5,"DimensionIdStr":"-1","MemberIdStr":"-1","DimensionId":-1,"MemberId":-1,"Inc":""},"_vena_DYNR_SControleIndelingQRT_BB1_d930880_1b115a9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b115a9c","IsMultiDynamicRange":false,"MultiDynamicRangeID":null,"MultiDynamicCollectionID":null,"SectionName":"ControleIndelingQRT","BlockName":"B1","VenaRangeType":5,"DimensionIdStr":"-1","MemberIdStr":"-1","DimensionId":-1,"MemberId":-1,"Inc":""},"_vena_DYNR_SControleIndelingQRT_BB1_d930880_1b8a6112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b8a6112","IsMultiDynamicRange":false,"MultiDynamicRangeID":null,"MultiDynamicCollectionID":null,"SectionName":"ControleIndelingQRT","BlockName":"B1","VenaRangeType":5,"DimensionIdStr":"-1","MemberIdStr":"-1","DimensionId":-1,"MemberId":-1,"Inc":""},"_vena_DYNR_SControleIndelingQRT_BB1_d930880_1c598f12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c598f12","IsMultiDynamicRange":false,"MultiDynamicRangeID":null,"MultiDynamicCollectionID":null,"SectionName":"ControleIndelingQRT","BlockName":"B1","VenaRangeType":5,"DimensionIdStr":"-1","MemberIdStr":"-1","DimensionId":-1,"MemberId":-1,"Inc":""},"_vena_DYNR_SControleIndelingQRT_BB1_d930880_1dc88fd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dc88fd6","IsMultiDynamicRange":false,"MultiDynamicRangeID":null,"MultiDynamicCollectionID":null,"SectionName":"ControleIndelingQRT","BlockName":"B1","VenaRangeType":5,"DimensionIdStr":"-1","MemberIdStr":"-1","DimensionId":-1,"MemberId":-1,"Inc":""},"_vena_DYNR_SControleIndelingQRT_BB1_d930880_1de77aa4":{"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de77aa4","IsMultiDynamicRange":false,"MultiDynamicRangeID":null,"MultiDynamicCollectionID":null,"SectionName":"ControleIndelingQRT","BlockName":"B1","VenaRangeType":5,"DimensionIdStr":"-1","MemberIdStr":"-1","DimensionId":-1,"MemberId":-1,"Inc":""},"_vena_DYNR_SControleIndelingQRT_BB1_d930880_1f685886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f685886","IsMultiDynamicRange":false,"MultiDynamicRangeID":null,"MultiDynamicCollectionID":null,"SectionName":"ControleIndelingQRT","BlockName":"B1","VenaRangeType":5,"DimensionIdStr":"-1","MemberIdStr":"-1","DimensionId":-1,"MemberId":-1,"Inc":""},"_vena_DYNR_SControleIndelingQRT_BB1_d930880_1f8219d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f8219d9","IsMultiDynamicRange":false,"MultiDynamicRangeID":null,"MultiDynamicCollectionID":null,"SectionName":"ControleIndelingQRT","BlockName":"B1","VenaRangeType":5,"DimensionIdStr":"-1","MemberIdStr":"-1","DimensionId":-1,"MemberId":-1,"Inc":""},"_vena_DYNR_SControleIndelingQRT_BB1_d930880_1fc64433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1fc64433","IsMultiDynamicRange":false,"MultiDynamicRangeID":null,"MultiDynamicCollectionID":null,"SectionName":"ControleIndelingQRT","BlockName":"B1","VenaRangeType":5,"DimensionIdStr":"-1","MemberIdStr":"-1","DimensionId":-1,"MemberId":-1,"Inc":""},"_vena_DYNR_SControleIndelingQRT_BB1_d930880_209e45b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209e45b9","IsMultiDynamicRange":false,"MultiDynamicRangeID":null,"MultiDynamicCollectionID":null,"SectionName":"ControleIndelingQRT","BlockName":"B1","VenaRangeType":5,"DimensionIdStr":"-1","MemberIdStr":"-1","DimensionId":-1,"MemberId":-1,"Inc":""},"_vena_DYNR_SControleIndelingQRT_BB1_d930880_210783fd":{"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210783fd","IsMultiDynamicRange":false,"MultiDynamicRangeID":null,"MultiDynamicCollectionID":null,"SectionName":"ControleIndelingQRT","BlockName":"B1","VenaRangeType":5,"DimensionIdStr":"-1","MemberIdStr":"-1","DimensionId":-1,"MemberId":-1,"Inc":""},"_vena_DYNR_SControleIndelingQRT_BB1_d930880_24e9b435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24e9b435","IsMultiDynamicRange":false,"MultiDynamicRangeID":null,"MultiDynamicCollectionID":null,"SectionName":"ControleIndelingQRT","BlockName":"B1","VenaRangeType":5,"DimensionIdStr":"-1","MemberIdStr":"-1","DimensionId":-1,"MemberId":-1,"Inc":""},"_vena_DYNR_SControleIndelingQRT_BB1_d930880_2634ca85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2634ca85","IsMultiDynamicRange":false,"MultiDynamicRangeID":null,"MultiDynamicCollectionID":null,"SectionName":"ControleIndelingQRT","BlockName":"B1","VenaRangeType":5,"DimensionIdStr":"-1","MemberIdStr":"-1","DimensionId":-1,"MemberId":-1,"Inc":""},"_vena_DYNR_SControleIndelingQRT_BB1_d930880_29182ef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29182ef7","IsMultiDynamicRange":false,"MultiDynamicRangeID":null,"MultiDynamicCollectionID":null,"SectionName":"ControleIndelingQRT","BlockName":"B1","VenaRangeType":5,"DimensionIdStr":"-1","MemberIdStr":"-1","DimensionId":-1,"MemberId":-1,"Inc":""},"_vena_DYNR_SControleIndelingQRT_BB1_d930880_2a3cb85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a3cb85e","IsMultiDynamicRange":false,"MultiDynamicRangeID":null,"MultiDynamicCollectionID":null,"SectionName":"ControleIndelingQRT","BlockName":"B1","VenaRangeType":5,"DimensionIdStr":"-1","MemberIdStr":"-1","DimensionId":-1,"MemberId":-1,"Inc":""},"_vena_DYNR_SControleIndelingQRT_BB1_d930880_2ce234e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ce234e7","IsMultiDynamicRange":false,"MultiDynamicRangeID":null,"MultiDynamicCollectionID":null,"SectionName":"ControleIndelingQRT","BlockName":"B1","VenaRangeType":5,"DimensionIdStr":"-1","MemberIdStr":"-1","DimensionId":-1,"MemberId":-1,"Inc":""},"_vena_DYNR_SControleIndelingQRT_BB1_d930880_2d31e48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d31e48","IsMultiDynamicRange":false,"MultiDynamicRangeID":null,"MultiDynamicCollectionID":null,"SectionName":"ControleIndelingQRT","BlockName":"B1","VenaRangeType":5,"DimensionIdStr":"-1","MemberIdStr":"-1","DimensionId":-1,"MemberId":-1,"Inc":""},"_vena_DYNR_SControleIndelingQRT_BB1_d930880_2e1bc7b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e1bc7b6","IsMultiDynamicRange":false,"MultiDynamicRangeID":null,"MultiDynamicCollectionID":null,"SectionName":"ControleIndelingQRT","BlockName":"B1","VenaRangeType":5,"DimensionIdStr":"-1","MemberIdStr":"-1","DimensionId":-1,"MemberId":-1,"Inc":""},"_vena_DYNR_SControleIndelingQRT_BB1_d930880_2e4e5b89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2e4e5b89","IsMultiDynamicRange":false,"MultiDynamicRangeID":null,"MultiDynamicCollectionID":null,"SectionName":"ControleIndelingQRT","BlockName":"B1","VenaRangeType":5,"DimensionIdStr":"-1","MemberIdStr":"-1","DimensionId":-1,"MemberId":-1,"Inc":""},"_vena_DYNR_SControleIndelingQRT_BB1_d930880_301d5b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301d5b9","IsMultiDynamicRange":false,"MultiDynamicRangeID":null,"MultiDynamicCollectionID":null,"SectionName":"ControleIndelingQRT","BlockName":"B1","VenaRangeType":5,"DimensionIdStr":"-1","MemberIdStr":"-1","DimensionId":-1,"MemberId":-1,"Inc":""},"_vena_DYNR_SControleIndelingQRT_BB1_d930880_31392c33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31392c33","IsMultiDynamicRange":false,"MultiDynamicRangeID":null,"MultiDynamicCollectionID":null,"SectionName":"ControleIndelingQRT","BlockName":"B1","VenaRangeType":5,"DimensionIdStr":"-1","MemberIdStr":"-1","DimensionId":-1,"MemberId":-1,"Inc":""},"_vena_DYNR_SControleIndelingQRT_BB1_d930880_3375958f":{"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3375958f","IsMultiDynamicRange":false,"MultiDynamicRangeID":null,"MultiDynamicCollectionID":null,"SectionName":"ControleIndelingQRT","BlockName":"B1","VenaRangeType":5,"DimensionIdStr":"-1","MemberIdStr":"-1","DimensionId":-1,"MemberId":-1,"Inc":""},"_vena_DYNR_SControleIndelingQRT_BB1_d930880_34a10199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34a10199","IsMultiDynamicRange":false,"MultiDynamicRangeID":null,"MultiDynamicCollectionID":null,"SectionName":"ControleIndelingQRT","BlockName":"B1","VenaRangeType":5,"DimensionIdStr":"-1","MemberIdStr":"-1","DimensionId":-1,"MemberId":-1,"Inc":""},"_vena_DYNR_SControleIndelingQRT_BB1_d930880_3705edb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3705edb1","IsMultiDynamicRange":false,"MultiDynamicRangeID":null,"MultiDynamicCollectionID":null,"SectionName":"ControleIndelingQRT","BlockName":"B1","VenaRangeType":5,"DimensionIdStr":"-1","MemberIdStr":"-1","DimensionId":-1,"MemberId":-1,"Inc":""},"_vena_DYNR_SControleIndelingQRT_BB1_d930880_37faabf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37faabfe","IsMultiDynamicRange":false,"MultiDynamicRangeID":null,"MultiDynamicCollectionID":null,"SectionName":"ControleIndelingQRT","BlockName":"B1","VenaRangeType":5,"DimensionIdStr":"-1","MemberIdStr":"-1","DimensionId":-1,"MemberId":-1,"Inc":""},"_vena_DYNR_SControleIndelingQRT_BB1_d930880_397d609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397d609a","IsMultiDynamicRange":false,"MultiDynamicRangeID":null,"MultiDynamicCollectionID":null,"SectionName":"ControleIndelingQRT","BlockName":"B1","VenaRangeType":5,"DimensionIdStr":"-1","MemberIdStr":"-1","DimensionId":-1,"MemberId":-1,"Inc":""},"_vena_DYNR_SControleIndelingQRT_BB1_d930880_3afa0b95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afa0b95","IsMultiDynamicRange":false,"MultiDynamicRangeID":null,"MultiDynamicCollectionID":null,"SectionName":"ControleIndelingQRT","BlockName":"B1","VenaRangeType":5,"DimensionIdStr":"-1","MemberIdStr":"-1","DimensionId":-1,"MemberId":-1,"Inc":""},"_vena_DYNR_SControleIndelingQRT_BB1_d930880_3c11d55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c11d55","IsMultiDynamicRange":false,"MultiDynamicRangeID":null,"MultiDynamicCollectionID":null,"SectionName":"ControleIndelingQRT","BlockName":"B1","VenaRangeType":5,"DimensionIdStr":"-1","MemberIdStr":"-1","DimensionId":-1,"MemberId":-1,"Inc":""},"_vena_DYNR_SControleIndelingQRT_BB1_d930880_3cbb4453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cbb4453","IsMultiDynamicRange":false,"MultiDynamicRangeID":null,"MultiDynamicCollectionID":null,"SectionName":"ControleIndelingQRT","BlockName":"B1","VenaRangeType":5,"DimensionIdStr":"-1","MemberIdStr":"-1","DimensionId":-1,"MemberId":-1,"Inc":""},"_vena_DYNR_SControleIndelingQRT_BB1_d930880_3d1caa6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d1caa6e","IsMultiDynamicRange":false,"MultiDynamicRangeID":null,"MultiDynamicCollectionID":null,"SectionName":"ControleIndelingQRT","BlockName":"B1","VenaRangeType":5,"DimensionIdStr":"-1","MemberIdStr":"-1","DimensionId":-1,"MemberId":-1,"Inc":""},"_vena_DYNR_SControleIndelingQRT_BB1_d930880_3d21170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d21170e","IsMultiDynamicRange":false,"MultiDynamicRangeID":null,"MultiDynamicCollectionID":null,"SectionName":"ControleIndelingQRT","BlockName":"B1","VenaRangeType":5,"DimensionIdStr":"-1","MemberIdStr":"-1","DimensionId":-1,"MemberId":-1,"Inc":""},"_vena_DYNR_SControleIndelingQRT_BB1_d930880_3d58d97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d58d97a","IsMultiDynamicRange":false,"MultiDynamicRangeID":null,"MultiDynamicCollectionID":null,"SectionName":"ControleIndelingQRT","BlockName":"B1","VenaRangeType":5,"DimensionIdStr":"-1","MemberIdStr":"-1","DimensionId":-1,"MemberId":-1,"Inc":""},"_vena_DYNR_SControleIndelingQRT_BB1_d930880_3eaf15b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3eaf15b8","IsMultiDynamicRange":false,"MultiDynamicRangeID":null,"MultiDynamicCollectionID":null,"SectionName":"ControleIndelingQRT","BlockName":"B1","VenaRangeType":5,"DimensionIdStr":"-1","MemberIdStr":"-1","DimensionId":-1,"MemberId":-1,"Inc":""},"_vena_DYNR_SControleIndelingQRT_BB1_d930880_402d859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402d859b","IsMultiDynamicRange":false,"MultiDynamicRangeID":null,"MultiDynamicCollectionID":null,"SectionName":"ControleIndelingQRT","BlockName":"B1","VenaRangeType":5,"DimensionIdStr":"-1","MemberIdStr":"-1","DimensionId":-1,"MemberId":-1,"Inc":""},"_vena_DYNR_SControleIndelingQRT_BB1_d930880_403e2d99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403e2d99","IsMultiDynamicRange":false,"MultiDynamicRangeID":null,"MultiDynamicCollectionID":null,"SectionName":"ControleIndelingQRT","BlockName":"B1","VenaRangeType":5,"DimensionIdStr":"-1","MemberIdStr":"-1","DimensionId":-1,"MemberId":-1,"Inc":""},"_vena_DYNR_SControleIndelingQRT_BB1_d930880_411a5b72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411a5b72","IsMultiDynamicRange":false,"MultiDynamicRangeID":null,"MultiDynamicCollectionID":null,"SectionName":"ControleIndelingQRT","BlockName":"B1","VenaRangeType":5,"DimensionIdStr":"-1","MemberIdStr":"-1","DimensionId":-1,"MemberId":-1,"Inc":""},"_vena_DYNR_SControleIndelingQRT_BB1_d930880_4266d87f":{"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4266d87f","IsMultiDynamicRange":false,"MultiDynamicRangeID":null,"MultiDynamicCollectionID":null,"SectionName":"ControleIndelingQRT","BlockName":"B1","VenaRangeType":5,"DimensionIdStr":"-1","MemberIdStr":"-1","DimensionId":-1,"MemberId":-1,"Inc":""},"_vena_DYNR_SControleIndelingQRT_BB1_d930880_44f48d88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44f48d88","IsMultiDynamicRange":false,"MultiDynamicRangeID":null,"MultiDynamicCollectionID":null,"SectionName":"ControleIndelingQRT","BlockName":"B1","VenaRangeType":5,"DimensionIdStr":"-1","MemberIdStr":"-1","DimensionId":-1,"MemberId":-1,"Inc":""},"_vena_DYNR_SControleIndelingQRT_BB1_d930880_45699a3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45699a3c","IsMultiDynamicRange":false,"MultiDynamicRangeID":null,"MultiDynamicCollectionID":null,"SectionName":"ControleIndelingQRT","BlockName":"B1","VenaRangeType":5,"DimensionIdStr":"-1","MemberIdStr":"-1","DimensionId":-1,"MemberId":-1,"Inc":""},"_vena_DYNR_SControleIndelingQRT_BB1_d930880_45a50a41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45a50a41","IsMultiDynamicRange":false,"MultiDynamicRangeID":null,"MultiDynamicCollectionID":null,"SectionName":"ControleIndelingQRT","BlockName":"B1","VenaRangeType":5,"DimensionIdStr":"-1","MemberIdStr":"-1","DimensionId":-1,"MemberId":-1,"Inc":""},"_vena_DYNR_SControleIndelingQRT_BB1_d930880_485a9a72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485a9a72","IsMultiDynamicRange":false,"MultiDynamicRangeID":null,"MultiDynamicCollectionID":null,"SectionName":"ControleIndelingQRT","BlockName":"B1","VenaRangeType":5,"DimensionIdStr":"-1","MemberIdStr":"-1","DimensionId":-1,"MemberId":-1,"Inc":""},"_vena_DYNR_SControleIndelingQRT_BB1_d930880_49024a03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49024a03","IsMultiDynamicRange":false,"MultiDynamicRangeID":null,"MultiDynamicCollectionID":null,"SectionName":"ControleIndelingQRT","BlockName":"B1","VenaRangeType":5,"DimensionIdStr":"-1","MemberIdStr":"-1","DimensionId":-1,"MemberId":-1,"Inc":""},"_vena_DYNR_SControleIndelingQRT_BB1_d930880_493cc312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493cc312","IsMultiDynamicRange":false,"MultiDynamicRangeID":null,"MultiDynamicCollectionID":null,"SectionName":"ControleIndelingQRT","BlockName":"B1","VenaRangeType":5,"DimensionIdStr":"-1","MemberIdStr":"-1","DimensionId":-1,"MemberId":-1,"Inc":""},"_vena_DYNR_SControleIndelingQRT_BB1_d930880_4aae4a56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aae4a56","IsMultiDynamicRange":false,"MultiDynamicRangeID":null,"MultiDynamicCollectionID":null,"SectionName":"ControleIndelingQRT","BlockName":"B1","VenaRangeType":5,"DimensionIdStr":"-1","MemberIdStr":"-1","DimensionId":-1,"MemberId":-1,"Inc":""},"_vena_DYNR_SControleIndelingQRT_BB1_d930880_4b930121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b930121","IsMultiDynamicRange":false,"MultiDynamicRangeID":null,"MultiDynamicCollectionID":null,"SectionName":"ControleIndelingQRT","BlockName":"B1","VenaRangeType":5,"DimensionIdStr":"-1","MemberIdStr":"-1","DimensionId":-1,"MemberId":-1,"Inc":""},"_vena_DYNR_SControleIndelingQRT_BB1_d930880_4bbb32b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bbb32b2","IsMultiDynamicRange":false,"MultiDynamicRangeID":null,"MultiDynamicCollectionID":null,"SectionName":"ControleIndelingQRT","BlockName":"B1","VenaRangeType":5,"DimensionIdStr":"-1","MemberIdStr":"-1","DimensionId":-1,"MemberId":-1,"Inc":""},"_vena_DYNR_SControleIndelingQRT_BB1_d930880_4bd3bb6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bd3bb6a","IsMultiDynamicRange":false,"MultiDynamicRangeID":null,"MultiDynamicCollectionID":null,"SectionName":"ControleIndelingQRT","BlockName":"B1","VenaRangeType":5,"DimensionIdStr":"-1","MemberIdStr":"-1","DimensionId":-1,"MemberId":-1,"Inc":""},"_vena_DYNR_SControleIndelingQRT_BB1_d930880_4cb710a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4cb710aa","IsMultiDynamicRange":false,"MultiDynamicRangeID":null,"MultiDynamicCollectionID":null,"SectionName":"ControleIndelingQRT","BlockName":"B1","VenaRangeType":5,"DimensionIdStr":"-1","MemberIdStr":"-1","DimensionId":-1,"MemberId":-1,"Inc":""},"_vena_DYNR_SControleIndelingQRT_BB1_d930880_503d96e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503d96e2","IsMultiDynamicRange":false,"MultiDynamicRangeID":null,"MultiDynamicCollectionID":null,"SectionName":"ControleIndelingQRT","BlockName":"B1","VenaRangeType":5,"DimensionIdStr":"-1","MemberIdStr":"-1","DimensionId":-1,"MemberId":-1,"Inc":""},"_vena_DYNR_SControleIndelingQRT_BB1_d930880_5041c2e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5041c2ee","IsMultiDynamicRange":false,"MultiDynamicRangeID":null,"MultiDynamicCollectionID":null,"SectionName":"ControleIndelingQRT","BlockName":"B1","VenaRangeType":5,"DimensionIdStr":"-1","MemberIdStr":"-1","DimensionId":-1,"MemberId":-1,"Inc":""},"_vena_DYNR_SControleIndelingQRT_BB1_d930880_551f67f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551f67f7","IsMultiDynamicRange":false,"MultiDynamicRangeID":null,"MultiDynamicCollectionID":null,"SectionName":"ControleIndelingQRT","BlockName":"B1","VenaRangeType":5,"DimensionIdStr":"-1","MemberIdStr":"-1","DimensionId":-1,"MemberId":-1,"Inc":""},"_vena_DYNR_SControleIndelingQRT_BB1_d930880_581669b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581669b7","IsMultiDynamicRange":false,"MultiDynamicRangeID":null,"MultiDynamicCollectionID":null,"SectionName":"ControleIndelingQRT","BlockName":"B1","VenaRangeType":5,"DimensionIdStr":"-1","MemberIdStr":"-1","DimensionId":-1,"MemberId":-1,"Inc":""},"_vena_DYNR_SControleIndelingQRT_BB1_d930880_58dd3d97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58dd3d97","IsMultiDynamicRange":false,"MultiDynamicRangeID":null,"MultiDynamicCollectionID":null,"SectionName":"ControleIndelingQRT","BlockName":"B1","VenaRangeType":5,"DimensionIdStr":"-1","MemberIdStr":"-1","DimensionId":-1,"MemberId":-1,"Inc":""},"_vena_DYNR_SControleIndelingQRT_BB1_d930880_59796ff":{"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59796ff","IsMultiDynamicRange":false,"MultiDynamicRangeID":null,"MultiDynamicCollectionID":null,"SectionName":"ControleIndelingQRT","BlockName":"B1","VenaRangeType":5,"DimensionIdStr":"-1","MemberIdStr":"-1","DimensionId":-1,"MemberId":-1,"Inc":""},"_vena_DYNR_SControleIndelingQRT_BB1_d930880_5a4d1175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a4d1175","IsMultiDynamicRange":false,"MultiDynamicRangeID":null,"MultiDynamicCollectionID":null,"SectionName":"ControleIndelingQRT","BlockName":"B1","VenaRangeType":5,"DimensionIdStr":"-1","MemberIdStr":"-1","DimensionId":-1,"MemberId":-1,"Inc":""},"_vena_DYNR_SControleIndelingQRT_BB1_d930880_5a5a0aa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a5a0aac","IsMultiDynamicRange":false,"MultiDynamicRangeID":null,"MultiDynamicCollectionID":null,"SectionName":"ControleIndelingQRT","BlockName":"B1","VenaRangeType":5,"DimensionIdStr":"-1","MemberIdStr":"-1","DimensionId":-1,"MemberId":-1,"Inc":""},"_vena_DYNR_SControleIndelingQRT_BB1_d930880_5c7f0bf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c7f0bfc","IsMultiDynamicRange":false,"MultiDynamicRangeID":null,"MultiDynamicCollectionID":null,"SectionName":"ControleIndelingQRT","BlockName":"B1","VenaRangeType":5,"DimensionIdStr":"-1","MemberIdStr":"-1","DimensionId":-1,"MemberId":-1,"Inc":""},"_vena_DYNR_SControleIndelingQRT_BB1_d930880_5d2bb9e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d2bb9eb","IsMultiDynamicRange":false,"MultiDynamicRangeID":null,"MultiDynamicCollectionID":null,"SectionName":"ControleIndelingQRT","BlockName":"B1","VenaRangeType":5,"DimensionIdStr":"-1","MemberIdStr":"-1","DimensionId":-1,"MemberId":-1,"Inc":""},"_vena_DYNR_SControleIndelingQRT_BB1_d930880_5deb2010":{"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deb2010","IsMultiDynamicRange":false,"MultiDynamicRangeID":null,"MultiDynamicCollectionID":null,"SectionName":"ControleIndelingQRT","BlockName":"B1","VenaRangeType":5,"DimensionIdStr":"-1","MemberIdStr":"-1","DimensionId":-1,"MemberId":-1,"Inc":""},"_vena_DYNR_SControleIndelingQRT_BB1_d930880_5e530d5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e530d5a","IsMultiDynamicRange":false,"MultiDynamicRangeID":null,"MultiDynamicCollectionID":null,"SectionName":"ControleIndelingQRT","BlockName":"B1","VenaRangeType":5,"DimensionIdStr":"-1","MemberIdStr":"-1","DimensionId":-1,"MemberId":-1,"Inc":""},"_vena_DYNR_SControleIndelingQRT_BB1_d930880_5f64be7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5f64be7e","IsMultiDynamicRange":false,"MultiDynamicRangeID":null,"MultiDynamicCollectionID":null,"SectionName":"ControleIndelingQRT","BlockName":"B1","VenaRangeType":5,"DimensionIdStr":"-1","MemberIdStr":"-1","DimensionId":-1,"MemberId":-1,"Inc":""},"_vena_DYNR_SControleIndelingQRT_BB1_d930880_6045f840":{"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6045f840","IsMultiDynamicRange":false,"MultiDynamicRangeID":null,"MultiDynamicCollectionID":null,"SectionName":"ControleIndelingQRT","BlockName":"B1","VenaRangeType":5,"DimensionIdStr":"-1","MemberIdStr":"-1","DimensionId":-1,"MemberId":-1,"Inc":""},"_vena_DYNR_SControleIndelingQRT_BB1_d930880_61d69769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61d69769","IsMultiDynamicRange":false,"MultiDynamicRangeID":null,"MultiDynamicCollectionID":null,"SectionName":"ControleIndelingQRT","BlockName":"B1","VenaRangeType":5,"DimensionIdStr":"-1","MemberIdStr":"-1","DimensionId":-1,"MemberId":-1,"Inc":""},"_vena_DYNR_SControleIndelingQRT_BB1_d930880_6616ff2d":{"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6616ff2d","IsMultiDynamicRange":false,"MultiDynamicRangeID":null,"MultiDynamicCollectionID":null,"SectionName":"ControleIndelingQRT","BlockName":"B1","VenaRangeType":5,"DimensionIdStr":"-1","MemberIdStr":"-1","DimensionId":-1,"MemberId":-1,"Inc":""},"_vena_DYNR_SControleIndelingQRT_BB1_d930880_67c2b90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67c2b90a","IsMultiDynamicRange":false,"MultiDynamicRangeID":null,"MultiDynamicCollectionID":null,"SectionName":"ControleIndelingQRT","BlockName":"B1","VenaRangeType":5,"DimensionIdStr":"-1","MemberIdStr":"-1","DimensionId":-1,"MemberId":-1,"Inc":""},"_vena_DYNR_SControleIndelingQRT_BB1_d930880_67ede42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67ede42b","IsMultiDynamicRange":false,"MultiDynamicRangeID":null,"MultiDynamicCollectionID":null,"SectionName":"ControleIndelingQRT","BlockName":"B1","VenaRangeType":5,"DimensionIdStr":"-1","MemberIdStr":"-1","DimensionId":-1,"MemberId":-1,"Inc":""},"_vena_DYNR_SControleIndelingQRT_BB1_d930880_68e46829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68e46829","IsMultiDynamicRange":false,"MultiDynamicRangeID":null,"MultiDynamicCollectionID":null,"SectionName":"ControleIndelingQRT","BlockName":"B1","VenaRangeType":5,"DimensionIdStr":"-1","MemberIdStr":"-1","DimensionId":-1,"MemberId":-1,"Inc":""},"_vena_DYNR_SControleIndelingQRT_BB1_d930880_699476a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699476a2","IsMultiDynamicRange":false,"MultiDynamicRangeID":null,"MultiDynamicCollectionID":null,"SectionName":"ControleIndelingQRT","BlockName":"B1","VenaRangeType":5,"DimensionIdStr":"-1","MemberIdStr":"-1","DimensionId":-1,"MemberId":-1,"Inc":""},"_vena_DYNR_SControleIndelingQRT_BB1_d930880_6a1351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a1351","IsMultiDynamicRange":false,"MultiDynamicRangeID":null,"MultiDynamicCollectionID":null,"SectionName":"ControleIndelingQRT","BlockName":"B1","VenaRangeType":5,"DimensionIdStr":"-1","MemberIdStr":"-1","DimensionId":-1,"MemberId":-1,"Inc":""},"_vena_DYNR_SControleIndelingQRT_BB1_d930880_6b5f8be0":{"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b5f8be0","IsMultiDynamicRange":false,"MultiDynamicRangeID":null,"MultiDynamicCollectionID":null,"SectionName":"ControleIndelingQRT","BlockName":"B1","VenaRangeType":5,"DimensionIdStr":"-1","MemberIdStr":"-1","DimensionId":-1,"MemberId":-1,"Inc":""},"_vena_DYNR_SControleIndelingQRT_BB1_d930880_6bd6848d":{"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bd6848d","IsMultiDynamicRange":false,"MultiDynamicRangeID":null,"MultiDynamicCollectionID":null,"SectionName":"ControleIndelingQRT","BlockName":"B1","VenaRangeType":5,"DimensionIdStr":"-1","MemberIdStr":"-1","DimensionId":-1,"MemberId":-1,"Inc":""},"_vena_DYNR_SControleIndelingQRT_BB1_d930880_6ce918e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6ce918ee","IsMultiDynamicRange":false,"MultiDynamicRangeID":null,"MultiDynamicCollectionID":null,"SectionName":"ControleIndelingQRT","BlockName":"B1","VenaRangeType":5,"DimensionIdStr":"-1","MemberIdStr":"-1","DimensionId":-1,"MemberId":-1,"Inc":""},"_vena_DYNR_SControleIndelingQRT_BB1_d930880_72013847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72013847","IsMultiDynamicRange":false,"MultiDynamicRangeID":null,"MultiDynamicCollectionID":null,"SectionName":"ControleIndelingQRT","BlockName":"B1","VenaRangeType":5,"DimensionIdStr":"-1","MemberIdStr":"-1","DimensionId":-1,"MemberId":-1,"Inc":""},"_vena_DYNR_SControleIndelingQRT_BB1_d930880_73882ead":{"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73882ead","IsMultiDynamicRange":false,"MultiDynamicRangeID":null,"MultiDynamicCollectionID":null,"SectionName":"ControleIndelingQRT","BlockName":"B1","VenaRangeType":5,"DimensionIdStr":"-1","MemberIdStr":"-1","DimensionId":-1,"MemberId":-1,"Inc":""},"_vena_DYNR_SControleIndelingQRT_BB1_d930880_763994f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763994f9","IsMultiDynamicRange":false,"MultiDynamicRangeID":null,"MultiDynamicCollectionID":null,"SectionName":"ControleIndelingQRT","BlockName":"B1","VenaRangeType":5,"DimensionIdStr":"-1","MemberIdStr":"-1","DimensionId":-1,"MemberId":-1,"Inc":""},"_vena_DYNR_SControleIndelingQRT_BB1_d930880_769151f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769151f8","IsMultiDynamicRange":false,"MultiDynamicRangeID":null,"MultiDynamicCollectionID":null,"SectionName":"ControleIndelingQRT","BlockName":"B1","VenaRangeType":5,"DimensionIdStr":"-1","MemberIdStr":"-1","DimensionId":-1,"MemberId":-1,"Inc":""},"_vena_DYNR_SControleIndelingQRT_BB1_d930880_7821eab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7821eabb","IsMultiDynamicRange":false,"MultiDynamicRangeID":null,"MultiDynamicCollectionID":null,"SectionName":"ControleIndelingQRT","BlockName":"B1","VenaRangeType":5,"DimensionIdStr":"-1","MemberIdStr":"-1","DimensionId":-1,"MemberId":-1,"Inc":""},"_vena_DYNR_SControleIndelingQRT_BB1_d930880_78d9c67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78d9c67","IsMultiDynamicRange":false,"MultiDynamicRangeID":null,"MultiDynamicCollectionID":null,"SectionName":"ControleIndelingQRT","BlockName":"B1","VenaRangeType":5,"DimensionIdStr":"-1","MemberIdStr":"-1","DimensionId":-1,"MemberId":-1,"Inc":""},"_vena_DYNR_SControleIndelingQRT_BB1_d930880_7936fd53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7936fd53","IsMultiDynamicRange":false,"MultiDynamicRangeID":null,"MultiDynamicCollectionID":null,"SectionName":"ControleIndelingQRT","BlockName":"B1","VenaRangeType":5,"DimensionIdStr":"-1","MemberIdStr":"-1","DimensionId":-1,"MemberId":-1,"Inc":""},"_vena_DYNR_SControleIndelingQRT_BB1_d930880_79453250":{"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79453250","IsMultiDynamicRange":false,"MultiDynamicRangeID":null,"MultiDynamicCollectionID":null,"SectionName":"ControleIndelingQRT","BlockName":"B1","VenaRangeType":5,"DimensionIdStr":"-1","MemberIdStr":"-1","DimensionId":-1,"MemberId":-1,"Inc":""},"_vena_DYNR_SControleIndelingQRT_BB1_d930880_79cb7acd":{"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79cb7acd","IsMultiDynamicRange":false,"MultiDynamicRangeID":null,"MultiDynamicCollectionID":null,"SectionName":"ControleIndelingQRT","BlockName":"B1","VenaRangeType":5,"DimensionIdStr":"-1","MemberIdStr":"-1","DimensionId":-1,"MemberId":-1,"Inc":""},"_vena_DYNR_SControleIndelingQRT_BB1_d930880_7ca6a3d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ca6a3d6","IsMultiDynamicRange":false,"MultiDynamicRangeID":null,"MultiDynamicCollectionID":null,"SectionName":"ControleIndelingQRT","BlockName":"B1","VenaRangeType":5,"DimensionIdStr":"-1","MemberIdStr":"-1","DimensionId":-1,"MemberId":-1,"Inc":""},"_vena_DYNR_SControleIndelingQRT_BB1_d930880_7e20eab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7e20eabc","IsMultiDynamicRange":false,"MultiDynamicRangeID":null,"MultiDynamicCollectionID":null,"SectionName":"ControleIndelingQRT","BlockName":"B1","VenaRangeType":5,"DimensionIdStr":"-1","MemberIdStr":"-1","DimensionId":-1,"MemberId":-1,"Inc":""},"_vena_DYNR_SControleIndelingQRT_BB1_d930880_8047ad3f":{"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8047ad3f","IsMultiDynamicRange":false,"MultiDynamicRangeID":null,"MultiDynamicCollectionID":null,"SectionName":"ControleIndelingQRT","BlockName":"B1","VenaRangeType":5,"DimensionIdStr":"-1","MemberIdStr":"-1","DimensionId":-1,"MemberId":-1,"Inc":""},"_vena_DYNR_SControleIndelingQRT_BB1_d930880_806ef8b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806ef8b8","IsMultiDynamicRange":false,"MultiDynamicRangeID":null,"MultiDynamicCollectionID":null,"SectionName":"ControleIndelingQRT","BlockName":"B1","VenaRangeType":5,"DimensionIdStr":"-1","MemberIdStr":"-1","DimensionId":-1,"MemberId":-1,"Inc":""},"_vena_DYNR_SControleIndelingQRT_BB1_d930880_80ea4e46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80ea4e46","IsMultiDynamicRange":false,"MultiDynamicRangeID":null,"MultiDynamicCollectionID":null,"SectionName":"ControleIndelingQRT","BlockName":"B1","VenaRangeType":5,"DimensionIdStr":"-1","MemberIdStr":"-1","DimensionId":-1,"MemberId":-1,"Inc":""},"_vena_DYNR_SControleIndelingQRT_BB1_d930880_816a2df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816a2dfa","IsMultiDynamicRange":false,"MultiDynamicRangeID":null,"MultiDynamicCollectionID":null,"SectionName":"ControleIndelingQRT","BlockName":"B1","VenaRangeType":5,"DimensionIdStr":"-1","MemberIdStr":"-1","DimensionId":-1,"MemberId":-1,"Inc":""},"_vena_DYNR_SControleIndelingQRT_BB1_d930880_822e71fd":{"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822e71fd","IsMultiDynamicRange":false,"MultiDynamicRangeID":null,"MultiDynamicCollectionID":null,"SectionName":"ControleIndelingQRT","BlockName":"B1","VenaRangeType":5,"DimensionIdStr":"-1","MemberIdStr":"-1","DimensionId":-1,"MemberId":-1,"Inc":""},"_vena_DYNR_SControleIndelingQRT_BB1_d930880_82494a4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82494a4c","IsMultiDynamicRange":false,"MultiDynamicRangeID":null,"MultiDynamicCollectionID":null,"SectionName":"ControleIndelingQRT","BlockName":"B1","VenaRangeType":5,"DimensionIdStr":"-1","MemberIdStr":"-1","DimensionId":-1,"MemberId":-1,"Inc":""},"_vena_DYNR_SControleIndelingQRT_BB1_d930880_839bc1c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839bc1c8","IsMultiDynamicRange":false,"MultiDynamicRangeID":null,"MultiDynamicCollectionID":null,"SectionName":"ControleIndelingQRT","BlockName":"B1","VenaRangeType":5,"DimensionIdStr":"-1","MemberIdStr":"-1","DimensionId":-1,"MemberId":-1,"Inc":""},"_vena_DYNR_SControleIndelingQRT_BB1_d930880_849c2ef":{"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849c2ef","IsMultiDynamicRange":false,"MultiDynamicRangeID":null,"MultiDynamicCollectionID":null,"SectionName":"ControleIndelingQRT","BlockName":"B1","VenaRangeType":5,"DimensionIdStr":"-1","MemberIdStr":"-1","DimensionId":-1,"MemberId":-1,"Inc":""},"_vena_DYNR_SControleIndelingQRT_BB1_d930880_8830c25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8830c25a","IsMultiDynamicRange":false,"MultiDynamicRangeID":null,"MultiDynamicCollectionID":null,"SectionName":"ControleIndelingQRT","BlockName":"B1","VenaRangeType":5,"DimensionIdStr":"-1","MemberIdStr":"-1","DimensionId":-1,"MemberId":-1,"Inc":""},"_vena_DYNR_SControleIndelingQRT_BB1_d930880_8937b9b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8937b9b5","IsMultiDynamicRange":false,"MultiDynamicRangeID":null,"MultiDynamicCollectionID":null,"SectionName":"ControleIndelingQRT","BlockName":"B1","VenaRangeType":5,"DimensionIdStr":"-1","MemberIdStr":"-1","DimensionId":-1,"MemberId":-1,"Inc":""},"_vena_DYNR_SControleIndelingQRT_BB1_d930880_899a351f":{"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899a351f","IsMultiDynamicRange":false,"MultiDynamicRangeID":null,"MultiDynamicCollectionID":null,"SectionName":"ControleIndelingQRT","BlockName":"B1","VenaRangeType":5,"DimensionIdStr":"-1","MemberIdStr":"-1","DimensionId":-1,"MemberId":-1,"Inc":""},"_vena_DYNR_SControleIndelingQRT_BB1_d930880_8b074228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b074228","IsMultiDynamicRange":false,"MultiDynamicRangeID":null,"MultiDynamicCollectionID":null,"SectionName":"ControleIndelingQRT","BlockName":"B1","VenaRangeType":5,"DimensionIdStr":"-1","MemberIdStr":"-1","DimensionId":-1,"MemberId":-1,"Inc":""},"_vena_DYNR_SControleIndelingQRT_BB1_d930880_8b2089d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b2089db","IsMultiDynamicRange":false,"MultiDynamicRangeID":null,"MultiDynamicCollectionID":null,"SectionName":"ControleIndelingQRT","BlockName":"B1","VenaRangeType":5,"DimensionIdStr":"-1","MemberIdStr":"-1","DimensionId":-1,"MemberId":-1,"Inc":""},"_vena_DYNR_SControleIndelingQRT_BB1_d930880_8d7d382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d7d382c","IsMultiDynamicRange":false,"MultiDynamicRangeID":null,"MultiDynamicCollectionID":null,"SectionName":"ControleIndelingQRT","BlockName":"B1","VenaRangeType":5,"DimensionIdStr":"-1","MemberIdStr":"-1","DimensionId":-1,"MemberId":-1,"Inc":""},"_vena_DYNR_SControleIndelingQRT_BB1_d930880_8dc45a16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dc45a16","IsMultiDynamicRange":false,"MultiDynamicRangeID":null,"MultiDynamicCollectionID":null,"SectionName":"ControleIndelingQRT","BlockName":"B1","VenaRangeType":5,"DimensionIdStr":"-1","MemberIdStr":"-1","DimensionId":-1,"MemberId":-1,"Inc":""},"_vena_DYNR_SControleIndelingQRT_BB1_d930880_8dd56b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dd56b5","IsMultiDynamicRange":false,"MultiDynamicRangeID":null,"MultiDynamicCollectionID":null,"SectionName":"ControleIndelingQRT","BlockName":"B1","VenaRangeType":5,"DimensionIdStr":"-1","MemberIdStr":"-1","DimensionId":-1,"MemberId":-1,"Inc":""},"_vena_DYNR_SControleIndelingQRT_BB1_d930880_8e989826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e989826","IsMultiDynamicRange":false,"MultiDynamicRangeID":null,"MultiDynamicCollectionID":null,"SectionName":"ControleIndelingQRT","BlockName":"B1","VenaRangeType":5,"DimensionIdStr":"-1","MemberIdStr":"-1","DimensionId":-1,"MemberId":-1,"Inc":""},"_vena_DYNR_SControleIndelingQRT_BB1_d930880_8f0dbc45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f0dbc45","IsMultiDynamicRange":false,"MultiDynamicRangeID":null,"MultiDynamicCollectionID":null,"SectionName":"ControleIndelingQRT","BlockName":"B1","VenaRangeType":5,"DimensionIdStr":"-1","MemberIdStr":"-1","DimensionId":-1,"MemberId":-1,"Inc":""},"_vena_DYNR_SControleIndelingQRT_BB1_d930880_8f74e688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8f74e688","IsMultiDynamicRange":false,"MultiDynamicRangeID":null,"MultiDynamicCollectionID":null,"SectionName":"ControleIndelingQRT","BlockName":"B1","VenaRangeType":5,"DimensionIdStr":"-1","MemberIdStr":"-1","DimensionId":-1,"MemberId":-1,"Inc":""},"_vena_DYNR_SControleIndelingQRT_BB1_d930880_9055c127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9055c127","IsMultiDynamicRange":false,"MultiDynamicRangeID":null,"MultiDynamicCollectionID":null,"SectionName":"ControleIndelingQRT","BlockName":"B1","VenaRangeType":5,"DimensionIdStr":"-1","MemberIdStr":"-1","DimensionId":-1,"MemberId":-1,"Inc":""},"_vena_DYNR_SControleIndelingQRT_BB1_d930880_92296c05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92296c05","IsMultiDynamicRange":false,"MultiDynamicRangeID":null,"MultiDynamicCollectionID":null,"SectionName":"ControleIndelingQRT","BlockName":"B1","VenaRangeType":5,"DimensionIdStr":"-1","MemberIdStr":"-1","DimensionId":-1,"MemberId":-1,"Inc":""},"_vena_DYNR_SControleIndelingQRT_BB1_d930880_96fb2ae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96fb2ae1","IsMultiDynamicRange":false,"MultiDynamicRangeID":null,"MultiDynamicCollectionID":null,"SectionName":"ControleIndelingQRT","BlockName":"B1","VenaRangeType":5,"DimensionIdStr":"-1","MemberIdStr":"-1","DimensionId":-1,"MemberId":-1,"Inc":""},"_vena_DYNR_SControleIndelingQRT_BB1_d930880_97082a57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97082a57","IsMultiDynamicRange":false,"MultiDynamicRangeID":null,"MultiDynamicCollectionID":null,"SectionName":"ControleIndelingQRT","BlockName":"B1","VenaRangeType":5,"DimensionIdStr":"-1","MemberIdStr":"-1","DimensionId":-1,"MemberId":-1,"Inc":""},"_vena_DYNR_SControleIndelingQRT_BB1_d930880_98285140":{"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98285140","IsMultiDynamicRange":false,"MultiDynamicRangeID":null,"MultiDynamicCollectionID":null,"SectionName":"ControleIndelingQRT","BlockName":"B1","VenaRangeType":5,"DimensionIdStr":"-1","MemberIdStr":"-1","DimensionId":-1,"MemberId":-1,"Inc":""},"_vena_DYNR_SControleIndelingQRT_BB1_d930880_98955255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98955255","IsMultiDynamicRange":false,"MultiDynamicRangeID":null,"MultiDynamicCollectionID":null,"SectionName":"ControleIndelingQRT","BlockName":"B1","VenaRangeType":5,"DimensionIdStr":"-1","MemberIdStr":"-1","DimensionId":-1,"MemberId":-1,"Inc":""},"_vena_DYNR_SControleIndelingQRT_BB1_d930880_99658bb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99658bb8","IsMultiDynamicRange":false,"MultiDynamicRangeID":null,"MultiDynamicCollectionID":null,"SectionName":"ControleIndelingQRT","BlockName":"B1","VenaRangeType":5,"DimensionIdStr":"-1","MemberIdStr":"-1","DimensionId":-1,"MemberId":-1,"Inc":""},"_vena_DYNR_SControleIndelingQRT_BB1_d930880_9a0baea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a0baeac","IsMultiDynamicRange":false,"MultiDynamicRangeID":null,"MultiDynamicCollectionID":null,"SectionName":"ControleIndelingQRT","BlockName":"B1","VenaRangeType":5,"DimensionIdStr":"-1","MemberIdStr":"-1","DimensionId":-1,"MemberId":-1,"Inc":""},"_vena_DYNR_SControleIndelingQRT_BB1_d930880_9aa1b8f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aa1b8f3","IsMultiDynamicRange":false,"MultiDynamicRangeID":null,"MultiDynamicCollectionID":null,"SectionName":"ControleIndelingQRT","BlockName":"B1","VenaRangeType":5,"DimensionIdStr":"-1","MemberIdStr":"-1","DimensionId":-1,"MemberId":-1,"Inc":""},"_vena_DYNR_SControleIndelingQRT_BB1_d930880_9aa4dae0":{"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aa4dae0","IsMultiDynamicRange":false,"MultiDynamicRangeID":null,"MultiDynamicCollectionID":null,"SectionName":"ControleIndelingQRT","BlockName":"B1","VenaRangeType":5,"DimensionIdStr":"-1","MemberIdStr":"-1","DimensionId":-1,"MemberId":-1,"Inc":""},"_vena_DYNR_SControleIndelingQRT_BB1_d930880_9cc5ec87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cc5ec87","IsMultiDynamicRange":false,"MultiDynamicRangeID":null,"MultiDynamicCollectionID":null,"SectionName":"ControleIndelingQRT","BlockName":"B1","VenaRangeType":5,"DimensionIdStr":"-1","MemberIdStr":"-1","DimensionId":-1,"MemberId":-1,"Inc":""},"_vena_DYNR_SControleIndelingQRT_BB1_d930880_9d75b63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9d75b63","IsMultiDynamicRange":false,"MultiDynamicRangeID":null,"MultiDynamicCollectionID":null,"SectionName":"ControleIndelingQRT","BlockName":"B1","VenaRangeType":5,"DimensionIdStr":"-1","MemberIdStr":"-1","DimensionId":-1,"MemberId":-1,"Inc":""},"_vena_DYNR_SControleIndelingQRT_BB1_d930880_a03ad525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03ad525","IsMultiDynamicRange":false,"MultiDynamicRangeID":null,"MultiDynamicCollectionID":null,"SectionName":"ControleIndelingQRT","BlockName":"B1","VenaRangeType":5,"DimensionIdStr":"-1","MemberIdStr":"-1","DimensionId":-1,"MemberId":-1,"Inc":""},"_vena_DYNR_SControleIndelingQRT_BB1_d930880_a0c316b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0c316bc","IsMultiDynamicRange":false,"MultiDynamicRangeID":null,"MultiDynamicCollectionID":null,"SectionName":"ControleIndelingQRT","BlockName":"B1","VenaRangeType":5,"DimensionIdStr":"-1","MemberIdStr":"-1","DimensionId":-1,"MemberId":-1,"Inc":""},"_vena_DYNR_SControleIndelingQRT_BB1_d930880_a1b87b82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1b87b82","IsMultiDynamicRange":false,"MultiDynamicRangeID":null,"MultiDynamicCollectionID":null,"SectionName":"ControleIndelingQRT","BlockName":"B1","VenaRangeType":5,"DimensionIdStr":"-1","MemberIdStr":"-1","DimensionId":-1,"MemberId":-1,"Inc":""},"_vena_DYNR_SControleIndelingQRT_BB1_d930880_a2256911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2256911","IsMultiDynamicRange":false,"MultiDynamicRangeID":null,"MultiDynamicCollectionID":null,"SectionName":"ControleIndelingQRT","BlockName":"B1","VenaRangeType":5,"DimensionIdStr":"-1","MemberIdStr":"-1","DimensionId":-1,"MemberId":-1,"Inc":""},"_vena_DYNR_SControleIndelingQRT_BB1_d930880_a35bf089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35bf089","IsMultiDynamicRange":false,"MultiDynamicRangeID":null,"MultiDynamicCollectionID":null,"SectionName":"ControleIndelingQRT","BlockName":"B1","VenaRangeType":5,"DimensionIdStr":"-1","MemberIdStr":"-1","DimensionId":-1,"MemberId":-1,"Inc":""},"_vena_DYNR_SControleIndelingQRT_BB1_d930880_a79ebd29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79ebd29","IsMultiDynamicRange":false,"MultiDynamicRangeID":null,"MultiDynamicCollectionID":null,"SectionName":"ControleIndelingQRT","BlockName":"B1","VenaRangeType":5,"DimensionIdStr":"-1","MemberIdStr":"-1","DimensionId":-1,"MemberId":-1,"Inc":""},"_vena_DYNR_SControleIndelingQRT_BB1_d930880_a9504186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9504186","IsMultiDynamicRange":false,"MultiDynamicRangeID":null,"MultiDynamicCollectionID":null,"SectionName":"ControleIndelingQRT","BlockName":"B1","VenaRangeType":5,"DimensionIdStr":"-1","MemberIdStr":"-1","DimensionId":-1,"MemberId":-1,"Inc":""},"_vena_DYNR_SControleIndelingQRT_BB1_d930880_ab7225df":{"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b7225df","IsMultiDynamicRange":false,"MultiDynamicRangeID":null,"MultiDynamicCollectionID":null,"SectionName":"ControleIndelingQRT","BlockName":"B1","VenaRangeType":5,"DimensionIdStr":"-1","MemberIdStr":"-1","DimensionId":-1,"MemberId":-1,"Inc":""},"_vena_DYNR_SControleIndelingQRT_BB1_d930880_ab728978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b728978","IsMultiDynamicRange":false,"MultiDynamicRangeID":null,"MultiDynamicCollectionID":null,"SectionName":"ControleIndelingQRT","BlockName":"B1","VenaRangeType":5,"DimensionIdStr":"-1","MemberIdStr":"-1","DimensionId":-1,"MemberId":-1,"Inc":""},"_vena_DYNR_SControleIndelingQRT_BB1_d930880_ac09a38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c09a38b","IsMultiDynamicRange":false,"MultiDynamicRangeID":null,"MultiDynamicCollectionID":null,"SectionName":"ControleIndelingQRT","BlockName":"B1","VenaRangeType":5,"DimensionIdStr":"-1","MemberIdStr":"-1","DimensionId":-1,"MemberId":-1,"Inc":""},"_vena_DYNR_SControleIndelingQRT_BB1_d930880_ad171ae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d171ae3","IsMultiDynamicRange":false,"MultiDynamicRangeID":null,"MultiDynamicCollectionID":null,"SectionName":"ControleIndelingQRT","BlockName":"B1","VenaRangeType":5,"DimensionIdStr":"-1","MemberIdStr":"-1","DimensionId":-1,"MemberId":-1,"Inc":""},"_vena_DYNR_SControleIndelingQRT_BB1_d930880_aeaf772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aeaf772e","IsMultiDynamicRange":false,"MultiDynamicRangeID":null,"MultiDynamicCollectionID":null,"SectionName":"ControleIndelingQRT","BlockName":"B1","VenaRangeType":5,"DimensionIdStr":"-1","MemberIdStr":"-1","DimensionId":-1,"MemberId":-1,"Inc":""},"_vena_DYNR_SControleIndelingQRT_BB1_d930880_b05f39e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05f39ea","IsMultiDynamicRange":false,"MultiDynamicRangeID":null,"MultiDynamicCollectionID":null,"SectionName":"ControleIndelingQRT","BlockName":"B1","VenaRangeType":5,"DimensionIdStr":"-1","MemberIdStr":"-1","DimensionId":-1,"MemberId":-1,"Inc":""},"_vena_DYNR_SControleIndelingQRT_BB1_d930880_b1459c1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1459c1b","IsMultiDynamicRange":false,"MultiDynamicRangeID":null,"MultiDynamicCollectionID":null,"SectionName":"ControleIndelingQRT","BlockName":"B1","VenaRangeType":5,"DimensionIdStr":"-1","MemberIdStr":"-1","DimensionId":-1,"MemberId":-1,"Inc":""},"_vena_DYNR_SControleIndelingQRT_BB1_d930880_b17fbd61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17fbd61","IsMultiDynamicRange":false,"MultiDynamicRangeID":null,"MultiDynamicCollectionID":null,"SectionName":"ControleIndelingQRT","BlockName":"B1","VenaRangeType":5,"DimensionIdStr":"-1","MemberIdStr":"-1","DimensionId":-1,"MemberId":-1,"Inc":""},"_vena_DYNR_SControleIndelingQRT_BB1_d930880_b460b2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460b2a","IsMultiDynamicRange":false,"MultiDynamicRangeID":null,"MultiDynamicCollectionID":null,"SectionName":"ControleIndelingQRT","BlockName":"B1","VenaRangeType":5,"DimensionIdStr":"-1","MemberIdStr":"-1","DimensionId":-1,"MemberId":-1,"Inc":""},"_vena_DYNR_SControleIndelingQRT_BB1_d930880_b76b04f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76b04f6","IsMultiDynamicRange":false,"MultiDynamicRangeID":null,"MultiDynamicCollectionID":null,"SectionName":"ControleIndelingQRT","BlockName":"B1","VenaRangeType":5,"DimensionIdStr":"-1","MemberIdStr":"-1","DimensionId":-1,"MemberId":-1,"Inc":""},"_vena_DYNR_SControleIndelingQRT_BB1_d930880_ba30b0c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a30b0c1","IsMultiDynamicRange":false,"MultiDynamicRangeID":null,"MultiDynamicCollectionID":null,"SectionName":"ControleIndelingQRT","BlockName":"B1","VenaRangeType":5,"DimensionIdStr":"-1","MemberIdStr":"-1","DimensionId":-1,"MemberId":-1,"Inc":""},"_vena_DYNR_SControleIndelingQRT_BB1_d930880_bc2cf97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c2cf97c","IsMultiDynamicRange":false,"MultiDynamicRangeID":null,"MultiDynamicCollectionID":null,"SectionName":"ControleIndelingQRT","BlockName":"B1","VenaRangeType":5,"DimensionIdStr":"-1","MemberIdStr":"-1","DimensionId":-1,"MemberId":-1,"Inc":""},"_vena_DYNR_SControleIndelingQRT_BB1_d930880_bd92e9e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d92e9e7","IsMultiDynamicRange":false,"MultiDynamicRangeID":null,"MultiDynamicCollectionID":null,"SectionName":"ControleIndelingQRT","BlockName":"B1","VenaRangeType":5,"DimensionIdStr":"-1","MemberIdStr":"-1","DimensionId":-1,"MemberId":-1,"Inc":""},"_vena_DYNR_SControleIndelingQRT_BB1_d930880_bf7e8b8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f7e8b8a","IsMultiDynamicRange":false,"MultiDynamicRangeID":null,"MultiDynamicCollectionID":null,"SectionName":"ControleIndelingQRT","BlockName":"B1","VenaRangeType":5,"DimensionIdStr":"-1","MemberIdStr":"-1","DimensionId":-1,"MemberId":-1,"Inc":""},"_vena_DYNR_SControleIndelingQRT_BB1_d930880_bfbd9a01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bfbd9a01","IsMultiDynamicRange":false,"MultiDynamicRangeID":null,"MultiDynamicCollectionID":null,"SectionName":"ControleIndelingQRT","BlockName":"B1","VenaRangeType":5,"DimensionIdStr":"-1","MemberIdStr":"-1","DimensionId":-1,"MemberId":-1,"Inc":""},"_vena_DYNR_SControleIndelingQRT_BB1_d930880_c55720f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55720f2","IsMultiDynamicRange":false,"MultiDynamicRangeID":null,"MultiDynamicCollectionID":null,"SectionName":"ControleIndelingQRT","BlockName":"B1","VenaRangeType":5,"DimensionIdStr":"-1","MemberIdStr":"-1","DimensionId":-1,"MemberId":-1,"Inc":""},"_vena_DYNR_SControleIndelingQRT_BB1_d930880_c71716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71716e","IsMultiDynamicRange":false,"MultiDynamicRangeID":null,"MultiDynamicCollectionID":null,"SectionName":"ControleIndelingQRT","BlockName":"B1","VenaRangeType":5,"DimensionIdStr":"-1","MemberIdStr":"-1","DimensionId":-1,"MemberId":-1,"Inc":""},"_vena_DYNR_SControleIndelingQRT_BB1_d930880_c99d8bd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99d8bda","IsMultiDynamicRange":false,"MultiDynamicRangeID":null,"MultiDynamicCollectionID":null,"SectionName":"ControleIndelingQRT","BlockName":"B1","VenaRangeType":5,"DimensionIdStr":"-1","MemberIdStr":"-1","DimensionId":-1,"MemberId":-1,"Inc":""},"_vena_DYNR_SControleIndelingQRT_BB1_d930880_ca8ee28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a8ee28e","IsMultiDynamicRange":false,"MultiDynamicRangeID":null,"MultiDynamicCollectionID":null,"SectionName":"ControleIndelingQRT","BlockName":"B1","VenaRangeType":5,"DimensionIdStr":"-1","MemberIdStr":"-1","DimensionId":-1,"MemberId":-1,"Inc":""},"_vena_DYNR_SControleIndelingQRT_BB1_d930880_cb47b006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b47b006","IsMultiDynamicRange":false,"MultiDynamicRangeID":null,"MultiDynamicCollectionID":null,"SectionName":"ControleIndelingQRT","BlockName":"B1","VenaRangeType":5,"DimensionIdStr":"-1","MemberIdStr":"-1","DimensionId":-1,"MemberId":-1,"Inc":""},"_vena_DYNR_SControleIndelingQRT_BB1_d930880_cb635212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b635212","IsMultiDynamicRange":false,"MultiDynamicRangeID":null,"MultiDynamicCollectionID":null,"SectionName":"ControleIndelingQRT","BlockName":"B1","VenaRangeType":5,"DimensionIdStr":"-1","MemberIdStr":"-1","DimensionId":-1,"MemberId":-1,"Inc":""},"_vena_DYNR_SControleIndelingQRT_BB1_d930880_cba2af02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ba2af02","IsMultiDynamicRange":false,"MultiDynamicRangeID":null,"MultiDynamicCollectionID":null,"SectionName":"ControleIndelingQRT","BlockName":"B1","VenaRangeType":5,"DimensionIdStr":"-1","MemberIdStr":"-1","DimensionId":-1,"MemberId":-1,"Inc":""},"_vena_DYNR_SControleIndelingQRT_BB1_d930880_cbd09015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bd09015","IsMultiDynamicRange":false,"MultiDynamicRangeID":null,"MultiDynamicCollectionID":null,"SectionName":"ControleIndelingQRT","BlockName":"B1","VenaRangeType":5,"DimensionIdStr":"-1","MemberIdStr":"-1","DimensionId":-1,"MemberId":-1,"Inc":""},"_vena_DYNR_SControleIndelingQRT_BB1_d930880_cc61b5f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c61b5f6","IsMultiDynamicRange":false,"MultiDynamicRangeID":null,"MultiDynamicCollectionID":null,"SectionName":"ControleIndelingQRT","BlockName":"B1","VenaRangeType":5,"DimensionIdStr":"-1","MemberIdStr":"-1","DimensionId":-1,"MemberId":-1,"Inc":""},"_vena_DYNR_SControleIndelingQRT_BB1_d930880_cc64a1b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c64a1b1","IsMultiDynamicRange":false,"MultiDynamicRangeID":null,"MultiDynamicCollectionID":null,"SectionName":"ControleIndelingQRT","BlockName":"B1","VenaRangeType":5,"DimensionIdStr":"-1","MemberIdStr":"-1","DimensionId":-1,"MemberId":-1,"Inc":""},"_vena_DYNR_SControleIndelingQRT_BB1_d930880_cd8b6ed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d8b6ed6","IsMultiDynamicRange":false,"MultiDynamicRangeID":null,"MultiDynamicCollectionID":null,"SectionName":"ControleIndelingQRT","BlockName":"B1","VenaRangeType":5,"DimensionIdStr":"-1","MemberIdStr":"-1","DimensionId":-1,"MemberId":-1,"Inc":""},"_vena_DYNR_SControleIndelingQRT_BB1_d930880_ce6ffa9f":{"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e6ffa9f","IsMultiDynamicRange":false,"MultiDynamicRangeID":null,"MultiDynamicCollectionID":null,"SectionName":"ControleIndelingQRT","BlockName":"B1","VenaRangeType":5,"DimensionIdStr":"-1","MemberIdStr":"-1","DimensionId":-1,"MemberId":-1,"Inc":""},"_vena_DYNR_SControleIndelingQRT_BB1_d930880_cf412b91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cf412b91","IsMultiDynamicRange":false,"MultiDynamicRangeID":null,"MultiDynamicCollectionID":null,"SectionName":"ControleIndelingQRT","BlockName":"B1","VenaRangeType":5,"DimensionIdStr":"-1","MemberIdStr":"-1","DimensionId":-1,"MemberId":-1,"Inc":""},"_vena_DYNR_SControleIndelingQRT_BB1_d930880_d1f758a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1f758a3","IsMultiDynamicRange":false,"MultiDynamicRangeID":null,"MultiDynamicCollectionID":null,"SectionName":"ControleIndelingQRT","BlockName":"B1","VenaRangeType":5,"DimensionIdStr":"-1","MemberIdStr":"-1","DimensionId":-1,"MemberId":-1,"Inc":""},"_vena_DYNR_SControleIndelingQRT_BB1_d930880_d25f30a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25f30ac","IsMultiDynamicRange":false,"MultiDynamicRangeID":null,"MultiDynamicCollectionID":null,"SectionName":"ControleIndelingQRT","BlockName":"B1","VenaRangeType":5,"DimensionIdStr":"-1","MemberIdStr":"-1","DimensionId":-1,"MemberId":-1,"Inc":""},"_vena_DYNR_SControleIndelingQRT_BB1_d930880_d2964e6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2964e6a","IsMultiDynamicRange":false,"MultiDynamicRangeID":null,"MultiDynamicCollectionID":null,"SectionName":"ControleIndelingQRT","BlockName":"B1","VenaRangeType":5,"DimensionIdStr":"-1","MemberIdStr":"-1","DimensionId":-1,"MemberId":-1,"Inc":""},"_vena_DYNR_SControleIndelingQRT_BB1_d930880_d2a6bf43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2a6bf43","IsMultiDynamicRange":false,"MultiDynamicRangeID":null,"MultiDynamicCollectionID":null,"SectionName":"ControleIndelingQRT","BlockName":"B1","VenaRangeType":5,"DimensionIdStr":"-1","MemberIdStr":"-1","DimensionId":-1,"MemberId":-1,"Inc":""},"_vena_DYNR_SControleIndelingQRT_BB1_d930880_d5e52e3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5e52e3c","IsMultiDynamicRange":false,"MultiDynamicRangeID":null,"MultiDynamicCollectionID":null,"SectionName":"ControleIndelingQRT","BlockName":"B1","VenaRangeType":5,"DimensionIdStr":"-1","MemberIdStr":"-1","DimensionId":-1,"MemberId":-1,"Inc":""},"_vena_DYNR_SControleIndelingQRT_BB1_d930880_d788365d":{"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788365d","IsMultiDynamicRange":false,"MultiDynamicRangeID":null,"MultiDynamicCollectionID":null,"SectionName":"ControleIndelingQRT","BlockName":"B1","VenaRangeType":5,"DimensionIdStr":"-1","MemberIdStr":"-1","DimensionId":-1,"MemberId":-1,"Inc":""},"_vena_DYNR_SControleIndelingQRT_BB1_d930880_d8f19ecc":{"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8f19ecc","IsMultiDynamicRange":false,"MultiDynamicRangeID":null,"MultiDynamicCollectionID":null,"SectionName":"ControleIndelingQRT","BlockName":"B1","VenaRangeType":5,"DimensionIdStr":"-1","MemberIdStr":"-1","DimensionId":-1,"MemberId":-1,"Inc":""},"_vena_DYNR_SControleIndelingQRT_BB1_d930880_d98f1909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98f1909","IsMultiDynamicRange":false,"MultiDynamicRangeID":null,"MultiDynamicCollectionID":null,"SectionName":"ControleIndelingQRT","BlockName":"B1","VenaRangeType":5,"DimensionIdStr":"-1","MemberIdStr":"-1","DimensionId":-1,"MemberId":-1,"Inc":""},"_vena_DYNR_SControleIndelingQRT_BB1_d930880_dbd6a764":{"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bd6a764","IsMultiDynamicRange":false,"MultiDynamicRangeID":null,"MultiDynamicCollectionID":null,"SectionName":"ControleIndelingQRT","BlockName":"B1","VenaRangeType":5,"DimensionIdStr":"-1","MemberIdStr":"-1","DimensionId":-1,"MemberId":-1,"Inc":""},"_vena_DYNR_SControleIndelingQRT_BB1_d930880_dc501ff8":{"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c501ff8","IsMultiDynamicRange":false,"MultiDynamicRangeID":null,"MultiDynamicCollectionID":null,"SectionName":"ControleIndelingQRT","BlockName":"B1","VenaRangeType":5,"DimensionIdStr":"-1","MemberIdStr":"-1","DimensionId":-1,"MemberId":-1,"Inc":""},"_vena_DYNR_SControleIndelingQRT_BB1_d930880_dd3ea869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d3ea869","IsMultiDynamicRange":false,"MultiDynamicRangeID":null,"MultiDynamicCollectionID":null,"SectionName":"ControleIndelingQRT","BlockName":"B1","VenaRangeType":5,"DimensionIdStr":"-1","MemberIdStr":"-1","DimensionId":-1,"MemberId":-1,"Inc":""},"_vena_DYNR_SControleIndelingQRT_BB1_d930880_dee0847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ee0847a","IsMultiDynamicRange":false,"MultiDynamicRangeID":null,"MultiDynamicCollectionID":null,"SectionName":"ControleIndelingQRT","BlockName":"B1","VenaRangeType":5,"DimensionIdStr":"-1","MemberIdStr":"-1","DimensionId":-1,"MemberId":-1,"Inc":""},"_vena_DYNR_SControleIndelingQRT_BB1_d930880_df5c09a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df5c09aa","IsMultiDynamicRange":false,"MultiDynamicRangeID":null,"MultiDynamicCollectionID":null,"SectionName":"ControleIndelingQRT","BlockName":"B1","VenaRangeType":5,"DimensionIdStr":"-1","MemberIdStr":"-1","DimensionId":-1,"MemberId":-1,"Inc":""},"_vena_DYNR_SControleIndelingQRT_BB1_d930880_e01420e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01420e3","IsMultiDynamicRange":false,"MultiDynamicRangeID":null,"MultiDynamicCollectionID":null,"SectionName":"ControleIndelingQRT","BlockName":"B1","VenaRangeType":5,"DimensionIdStr":"-1","MemberIdStr":"-1","DimensionId":-1,"MemberId":-1,"Inc":""},"_vena_DYNR_SControleIndelingQRT_BB1_d930880_e0dd0406":{"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0dd0406","IsMultiDynamicRange":false,"MultiDynamicRangeID":null,"MultiDynamicCollectionID":null,"SectionName":"ControleIndelingQRT","BlockName":"B1","VenaRangeType":5,"DimensionIdStr":"-1","MemberIdStr":"-1","DimensionId":-1,"MemberId":-1,"Inc":""},"_vena_DYNR_SControleIndelingQRT_BB1_d930880_e1a2d5c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1a2d5c2","IsMultiDynamicRange":false,"MultiDynamicRangeID":null,"MultiDynamicCollectionID":null,"SectionName":"ControleIndelingQRT","BlockName":"B1","VenaRangeType":5,"DimensionIdStr":"-1","MemberIdStr":"-1","DimensionId":-1,"MemberId":-1,"Inc":""},"_vena_DYNR_SControleIndelingQRT_BB1_d930880_e283842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283842","IsMultiDynamicRange":false,"MultiDynamicRangeID":null,"MultiDynamicCollectionID":null,"SectionName":"ControleIndelingQRT","BlockName":"B1","VenaRangeType":5,"DimensionIdStr":"-1","MemberIdStr":"-1","DimensionId":-1,"MemberId":-1,"Inc":""},"_vena_DYNR_SControleIndelingQRT_BB1_d930880_e40aadc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40aadc9","IsMultiDynamicRange":false,"MultiDynamicRangeID":null,"MultiDynamicCollectionID":null,"SectionName":"ControleIndelingQRT","BlockName":"B1","VenaRangeType":5,"DimensionIdStr":"-1","MemberIdStr":"-1","DimensionId":-1,"MemberId":-1,"Inc":""},"_vena_DYNR_SControleIndelingQRT_BB1_d930880_e5aea3a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5aea3a2","IsMultiDynamicRange":false,"MultiDynamicRangeID":null,"MultiDynamicCollectionID":null,"SectionName":"ControleIndelingQRT","BlockName":"B1","VenaRangeType":5,"DimensionIdStr":"-1","MemberIdStr":"-1","DimensionId":-1,"MemberId":-1,"Inc":""},"_vena_DYNR_SControleIndelingQRT_BB1_d930880_e5c224c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5c224c5","IsMultiDynamicRange":false,"MultiDynamicRangeID":null,"MultiDynamicCollectionID":null,"SectionName":"ControleIndelingQRT","BlockName":"B1","VenaRangeType":5,"DimensionIdStr":"-1","MemberIdStr":"-1","DimensionId":-1,"MemberId":-1,"Inc":""},"_vena_DYNR_SControleIndelingQRT_BB1_d930880_e5f2c4d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5f2c4d3","IsMultiDynamicRange":false,"MultiDynamicRangeID":null,"MultiDynamicCollectionID":null,"SectionName":"ControleIndelingQRT","BlockName":"B1","VenaRangeType":5,"DimensionIdStr":"-1","MemberIdStr":"-1","DimensionId":-1,"MemberId":-1,"Inc":""},"_vena_DYNR_SControleIndelingQRT_BB1_d930880_e825ab1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825ab1b","IsMultiDynamicRange":false,"MultiDynamicRangeID":null,"MultiDynamicCollectionID":null,"SectionName":"ControleIndelingQRT","BlockName":"B1","VenaRangeType":5,"DimensionIdStr":"-1","MemberIdStr":"-1","DimensionId":-1,"MemberId":-1,"Inc":""},"_vena_DYNR_SControleIndelingQRT_BB1_d930880_e839928a":{"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839928a","IsMultiDynamicRange":false,"MultiDynamicRangeID":null,"MultiDynamicCollectionID":null,"SectionName":"ControleIndelingQRT","BlockName":"B1","VenaRangeType":5,"DimensionIdStr":"-1","MemberIdStr":"-1","DimensionId":-1,"MemberId":-1,"Inc":""},"_vena_DYNR_SControleIndelingQRT_BB1_d930880_e8caaf52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8caaf52","IsMultiDynamicRange":false,"MultiDynamicRangeID":null,"MultiDynamicCollectionID":null,"SectionName":"ControleIndelingQRT","BlockName":"B1","VenaRangeType":5,"DimensionIdStr":"-1","MemberIdStr":"-1","DimensionId":-1,"MemberId":-1,"Inc":""},"_vena_DYNR_SControleIndelingQRT_BB1_d930880_e92237f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92237fb","IsMultiDynamicRange":false,"MultiDynamicRangeID":null,"MultiDynamicCollectionID":null,"SectionName":"ControleIndelingQRT","BlockName":"B1","VenaRangeType":5,"DimensionIdStr":"-1","MemberIdStr":"-1","DimensionId":-1,"MemberId":-1,"Inc":""},"_vena_DYNR_SControleIndelingQRT_BB1_d930880_e97732ad":{"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97732ad","IsMultiDynamicRange":false,"MultiDynamicRangeID":null,"MultiDynamicCollectionID":null,"SectionName":"ControleIndelingQRT","BlockName":"B1","VenaRangeType":5,"DimensionIdStr":"-1","MemberIdStr":"-1","DimensionId":-1,"MemberId":-1,"Inc":""},"_vena_DYNR_SControleIndelingQRT_BB1_d930880_ee219484":{"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e219484","IsMultiDynamicRange":false,"MultiDynamicRangeID":null,"MultiDynamicCollectionID":null,"SectionName":"ControleIndelingQRT","BlockName":"B1","VenaRangeType":5,"DimensionIdStr":"-1","MemberIdStr":"-1","DimensionId":-1,"MemberId":-1,"Inc":""},"_vena_DYNR_SControleIndelingQRT_BB1_d930880_ef143dc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ef143dc1","IsMultiDynamicRange":false,"MultiDynamicRangeID":null,"MultiDynamicCollectionID":null,"SectionName":"ControleIndelingQRT","BlockName":"B1","VenaRangeType":5,"DimensionIdStr":"-1","MemberIdStr":"-1","DimensionId":-1,"MemberId":-1,"Inc":""},"_vena_DYNR_SControleIndelingQRT_BB1_d930880_f072cdbb":{"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072cdbb","IsMultiDynamicRange":false,"MultiDynamicRangeID":null,"MultiDynamicCollectionID":null,"SectionName":"ControleIndelingQRT","BlockName":"B1","VenaRangeType":5,"DimensionIdStr":"-1","MemberIdStr":"-1","DimensionId":-1,"MemberId":-1,"Inc":""},"_vena_DYNR_SControleIndelingQRT_BB1_d930880_f0f94331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0f94331","IsMultiDynamicRange":false,"MultiDynamicRangeID":null,"MultiDynamicCollectionID":null,"SectionName":"ControleIndelingQRT","BlockName":"B1","VenaRangeType":5,"DimensionIdStr":"-1","MemberIdStr":"-1","DimensionId":-1,"MemberId":-1,"Inc":""},"_vena_DYNR_SControleIndelingQRT_BB1_d930880_f1b2580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1b2580e","IsMultiDynamicRange":false,"MultiDynamicRangeID":null,"MultiDynamicCollectionID":null,"SectionName":"ControleIndelingQRT","BlockName":"B1","VenaRangeType":5,"DimensionIdStr":"-1","MemberIdStr":"-1","DimensionId":-1,"MemberId":-1,"Inc":""},"_vena_DYNR_SControleIndelingQRT_BB1_d930880_f21eb5fe":{"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21eb5fe","IsMultiDynamicRange":false,"MultiDynamicRangeID":null,"MultiDynamicCollectionID":null,"SectionName":"ControleIndelingQRT","BlockName":"B1","VenaRangeType":5,"DimensionIdStr":"-1","MemberIdStr":"-1","DimensionId":-1,"MemberId":-1,"Inc":""},"_vena_DYNR_SControleIndelingQRT_BB1_d930880_f3229ef0":{"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3229ef0","IsMultiDynamicRange":false,"MultiDynamicRangeID":null,"MultiDynamicCollectionID":null,"SectionName":"ControleIndelingQRT","BlockName":"B1","VenaRangeType":5,"DimensionIdStr":"-1","MemberIdStr":"-1","DimensionId":-1,"MemberId":-1,"Inc":""},"_vena_DYNR_SControleIndelingQRT_BB1_d930880_f3bd3879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3bd3879","IsMultiDynamicRange":false,"MultiDynamicRangeID":null,"MultiDynamicCollectionID":null,"SectionName":"ControleIndelingQRT","BlockName":"B1","VenaRangeType":5,"DimensionIdStr":"-1","MemberIdStr":"-1","DimensionId":-1,"MemberId":-1,"Inc":""},"_vena_DYNR_SControleIndelingQRT_BB1_d930880_f4434352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4434352","IsMultiDynamicRange":false,"MultiDynamicRangeID":null,"MultiDynamicCollectionID":null,"SectionName":"ControleIndelingQRT","BlockName":"B1","VenaRangeType":5,"DimensionIdStr":"-1","MemberIdStr":"-1","DimensionId":-1,"MemberId":-1,"Inc":""},"_vena_DYNR_SControleIndelingQRT_BB1_d930880_f5bb851":{"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5bb851","IsMultiDynamicRange":false,"MultiDynamicRangeID":null,"MultiDynamicCollectionID":null,"SectionName":"ControleIndelingQRT","BlockName":"B1","VenaRangeType":5,"DimensionIdStr":"-1","MemberIdStr":"-1","DimensionId":-1,"MemberId":-1,"Inc":""},"_vena_DYNR_SControleIndelingQRT_BB1_d930880_f6180b0f":{"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6180b0f","IsMultiDynamicRange":false,"MultiDynamicRangeID":null,"MultiDynamicCollectionID":null,"SectionName":"ControleIndelingQRT","BlockName":"B1","VenaRangeType":5,"DimensionIdStr":"-1","MemberIdStr":"-1","DimensionId":-1,"MemberId":-1,"Inc":""},"_vena_DYNR_SControleIndelingQRT_BB1_d930880_f64148d9":{"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64148d9","IsMultiDynamicRange":false,"MultiDynamicRangeID":null,"MultiDynamicCollectionID":null,"SectionName":"ControleIndelingQRT","BlockName":"B1","VenaRangeType":5,"DimensionIdStr":"-1","MemberIdStr":"-1","DimensionId":-1,"MemberId":-1,"Inc":""},"_vena_DYNR_SControleIndelingQRT_BB1_d930880_f95daa53":{"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95daa53","IsMultiDynamicRange":false,"MultiDynamicRangeID":null,"MultiDynamicCollectionID":null,"SectionName":"ControleIndelingQRT","BlockName":"B1","VenaRangeType":5,"DimensionIdStr":"-1","MemberIdStr":"-1","DimensionId":-1,"MemberId":-1,"Inc":""},"_vena_DYNR_SControleIndelingQRT_BB1_d930880_fae4ff70":{"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ae4ff70","IsMultiDynamicRange":false,"MultiDynamicRangeID":null,"MultiDynamicCollectionID":null,"SectionName":"ControleIndelingQRT","BlockName":"B1","VenaRangeType":5,"DimensionIdStr":"-1","MemberIdStr":"-1","DimensionId":-1,"MemberId":-1,"Inc":""},"_vena_DYNR_SControleIndelingQRT_BB1_d930880_fb49c2e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b49c2e7","IsMultiDynamicRange":false,"MultiDynamicRangeID":null,"MultiDynamicCollectionID":null,"SectionName":"ControleIndelingQRT","BlockName":"B1","VenaRangeType":5,"DimensionIdStr":"-1","MemberIdStr":"-1","DimensionId":-1,"MemberId":-1,"Inc":""},"_vena_DYNR_SControleIndelingQRT_BB1_d930880_fcb7ce12":{"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cb7ce12","IsMultiDynamicRange":false,"MultiDynamicRangeID":null,"MultiDynamicCollectionID":null,"SectionName":"ControleIndelingQRT","BlockName":"B1","VenaRangeType":5,"DimensionIdStr":"-1","MemberIdStr":"-1","DimensionId":-1,"MemberId":-1,"Inc":""},"_vena_DYNR_SControleIndelingQRT_BB1_d930880_fd3819f7":{"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d3819f7","IsMultiDynamicRange":false,"MultiDynamicRangeID":null,"MultiDynamicCollectionID":null,"SectionName":"ControleIndelingQRT","BlockName":"B1","VenaRangeType":5,"DimensionIdStr":"-1","MemberIdStr":"-1","DimensionId":-1,"MemberId":-1,"Inc":""},"_vena_DYNR_SControleIndelingQRT_BB1_d930880_ffff48e5":{"SourceGlobalVariableId":-1,"SourceFormVariableId":"00000000-0000-0000-0000-000000000000","IsPageVariable":false,"IsLineItemDetailEnabled":false,"LineItemDetailOrder":0,"LineItemID":null,"PageVariableSectionReference":"","PageVariableDimensionName":null,"IsDynamicRange":true,"IsDynamicRangeEntry":true,"DynamicRangeID":"d930880","DynamicRangeEntryID":"ffff48e5","IsMultiDynamicRange":false,"MultiDynamicRangeID":null,"MultiDynamicCollectionID":null,"SectionName":"ControleIndelingQRT","BlockName":"B1","VenaRangeType":5,"DimensionIdStr":"-1","MemberIdStr":"-1","DimensionId":-1,"MemberId":-1,"Inc":""},"_vena_DYNR_SControleIndelingQRTSub_BB1_3e6c8fc6":{"SourceGlobalVariableId":-1,"SourceFormVariableId":"00000000-0000-0000-0000-000000000000","IsPageVariable":false,"IsLineItemDetailEnabled":false,"LineItemDetailOrder":0,"LineItemID":null,"PageVariableSectionReference":"","PageVariableDimensionName":null,"IsDynamicRange":true,"IsDynamicRangeEntry":false,"DynamicRangeID":"3e6c8fc6","DynamicRangeEntryID":null,"IsMultiDynamicRange":false,"MultiDynamicRangeID":null,"MultiDynamicCollectionID":null,"SectionName":"ControleIndelingQRTSub","BlockName":"B1","VenaRangeType":5,"DimensionIdStr":"-1","MemberIdStr":"-1","DimensionId":-1,"MemberId":-1,"Inc":""},"_vena_DYNR_SControleIndelingQRTSub_BB1_3e6c8fc6_1020c209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1020c209","IsMultiDynamicRange":false,"MultiDynamicRangeID":null,"MultiDynamicCollectionID":null,"SectionName":"ControleIndelingQRTSub","BlockName":"B1","VenaRangeType":5,"DimensionIdStr":"-1","MemberIdStr":"-1","DimensionId":-1,"MemberId":-1,"Inc":""},"_vena_DYNR_SControleIndelingQRTSub_BB1_3e6c8fc6_14fb1c12":{"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14fb1c12","IsMultiDynamicRange":false,"MultiDynamicRangeID":null,"MultiDynamicCollectionID":null,"SectionName":"ControleIndelingQRTSub","BlockName":"B1","VenaRangeType":5,"DimensionIdStr":"-1","MemberIdStr":"-1","DimensionId":-1,"MemberId":-1,"Inc":""},"_vena_DYNR_SControleIndelingQRTSub_BB1_3e6c8fc6_196affa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196affa9","IsMultiDynamicRange":false,"MultiDynamicRangeID":null,"MultiDynamicCollectionID":null,"SectionName":"ControleIndelingQRTSub","BlockName":"B1","VenaRangeType":5,"DimensionIdStr":"-1","MemberIdStr":"-1","DimensionId":-1,"MemberId":-1,"Inc":""},"_vena_DYNR_SControleIndelingQRTSub_BB1_3e6c8fc6_19b5a4c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19b5a4cb","IsMultiDynamicRange":false,"MultiDynamicRangeID":null,"MultiDynamicCollectionID":null,"SectionName":"ControleIndelingQRTSub","BlockName":"B1","VenaRangeType":5,"DimensionIdStr":"-1","MemberIdStr":"-1","DimensionId":-1,"MemberId":-1,"Inc":""},"_vena_DYNR_SControleIndelingQRTSub_BB1_3e6c8fc6_19d19e33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19d19e33","IsMultiDynamicRange":false,"MultiDynamicRangeID":null,"MultiDynamicCollectionID":null,"SectionName":"ControleIndelingQRTSub","BlockName":"B1","VenaRangeType":5,"DimensionIdStr":"-1","MemberIdStr":"-1","DimensionId":-1,"MemberId":-1,"Inc":""},"_vena_DYNR_SControleIndelingQRTSub_BB1_3e6c8fc6_19d32145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19d32145","IsMultiDynamicRange":false,"MultiDynamicRangeID":null,"MultiDynamicCollectionID":null,"SectionName":"ControleIndelingQRTSub","BlockName":"B1","VenaRangeType":5,"DimensionIdStr":"-1","MemberIdStr":"-1","DimensionId":-1,"MemberId":-1,"Inc":""},"_vena_DYNR_SControleIndelingQRTSub_BB1_3e6c8fc6_1ae13179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ae13179","IsMultiDynamicRange":false,"MultiDynamicRangeID":null,"MultiDynamicCollectionID":null,"SectionName":"ControleIndelingQRTSub","BlockName":"B1","VenaRangeType":5,"DimensionIdStr":"-1","MemberIdStr":"-1","DimensionId":-1,"MemberId":-1,"Inc":""},"_vena_DYNR_SControleIndelingQRTSub_BB1_3e6c8fc6_1aebf35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aebf35","IsMultiDynamicRange":false,"MultiDynamicRangeID":null,"MultiDynamicCollectionID":null,"SectionName":"ControleIndelingQRTSub","BlockName":"B1","VenaRangeType":5,"DimensionIdStr":"-1","MemberIdStr":"-1","DimensionId":-1,"MemberId":-1,"Inc":""},"_vena_DYNR_SControleIndelingQRTSub_BB1_3e6c8fc6_1d05c190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d05c190","IsMultiDynamicRange":false,"MultiDynamicRangeID":null,"MultiDynamicCollectionID":null,"SectionName":"ControleIndelingQRTSub","BlockName":"B1","VenaRangeType":5,"DimensionIdStr":"-1","MemberIdStr":"-1","DimensionId":-1,"MemberId":-1,"Inc":""},"_vena_DYNR_SControleIndelingQRTSub_BB1_3e6c8fc6_1e44704d":{"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e44704d","IsMultiDynamicRange":false,"MultiDynamicRangeID":null,"MultiDynamicCollectionID":null,"SectionName":"ControleIndelingQRTSub","BlockName":"B1","VenaRangeType":5,"DimensionIdStr":"-1","MemberIdStr":"-1","DimensionId":-1,"MemberId":-1,"Inc":""},"_vena_DYNR_SControleIndelingQRTSub_BB1_3e6c8fc6_1e855ef8":{"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1e855ef8","IsMultiDynamicRange":false,"MultiDynamicRangeID":null,"MultiDynamicCollectionID":null,"SectionName":"ControleIndelingQRTSub","BlockName":"B1","VenaRangeType":5,"DimensionIdStr":"-1","MemberIdStr":"-1","DimensionId":-1,"MemberId":-1,"Inc":""},"_vena_DYNR_SControleIndelingQRTSub_BB1_3e6c8fc6_204765c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204765c4","IsMultiDynamicRange":false,"MultiDynamicRangeID":null,"MultiDynamicCollectionID":null,"SectionName":"ControleIndelingQRTSub","BlockName":"B1","VenaRangeType":5,"DimensionIdStr":"-1","MemberIdStr":"-1","DimensionId":-1,"MemberId":-1,"Inc":""},"_vena_DYNR_SControleIndelingQRTSub_BB1_3e6c8fc6_2175bbf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2175bbf9","IsMultiDynamicRange":false,"MultiDynamicRangeID":null,"MultiDynamicCollectionID":null,"SectionName":"ControleIndelingQRTSub","BlockName":"B1","VenaRangeType":5,"DimensionIdStr":"-1","MemberIdStr":"-1","DimensionId":-1,"MemberId":-1,"Inc":""},"_vena_DYNR_SControleIndelingQRTSub_BB1_3e6c8fc6_2211971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2211971","IsMultiDynamicRange":false,"MultiDynamicRangeID":null,"MultiDynamicCollectionID":null,"SectionName":"ControleIndelingQRTSub","BlockName":"B1","VenaRangeType":5,"DimensionIdStr":"-1","MemberIdStr":"-1","DimensionId":-1,"MemberId":-1,"Inc":""},"_vena_DYNR_SControleIndelingQRTSub_BB1_3e6c8fc6_22870963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22870963","IsMultiDynamicRange":false,"MultiDynamicRangeID":null,"MultiDynamicCollectionID":null,"SectionName":"ControleIndelingQRTSub","BlockName":"B1","VenaRangeType":5,"DimensionIdStr":"-1","MemberIdStr":"-1","DimensionId":-1,"MemberId":-1,"Inc":""},"_vena_DYNR_SControleIndelingQRTSub_BB1_3e6c8fc6_230f8e9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230f8e9b","IsMultiDynamicRange":false,"MultiDynamicRangeID":null,"MultiDynamicCollectionID":null,"SectionName":"ControleIndelingQRTSub","BlockName":"B1","VenaRangeType":5,"DimensionIdStr":"-1","MemberIdStr":"-1","DimensionId":-1,"MemberId":-1,"Inc":""},"_vena_DYNR_SControleIndelingQRTSub_BB1_3e6c8fc6_24a700a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24a700a7","IsMultiDynamicRange":false,"MultiDynamicRangeID":null,"MultiDynamicCollectionID":null,"SectionName":"ControleIndelingQRTSub","BlockName":"B1","VenaRangeType":5,"DimensionIdStr":"-1","MemberIdStr":"-1","DimensionId":-1,"MemberId":-1,"Inc":""},"_vena_DYNR_SControleIndelingQRTSub_BB1_3e6c8fc6_25180440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25180440","IsMultiDynamicRange":false,"MultiDynamicRangeID":null,"MultiDynamicCollectionID":null,"SectionName":"ControleIndelingQRTSub","BlockName":"B1","VenaRangeType":5,"DimensionIdStr":"-1","MemberIdStr":"-1","DimensionId":-1,"MemberId":-1,"Inc":""},"_vena_DYNR_SControleIndelingQRTSub_BB1_3e6c8fc6_2818725c":{"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2818725c","IsMultiDynamicRange":false,"MultiDynamicRangeID":null,"MultiDynamicCollectionID":null,"SectionName":"ControleIndelingQRTSub","BlockName":"B1","VenaRangeType":5,"DimensionIdStr":"-1","MemberIdStr":"-1","DimensionId":-1,"MemberId":-1,"Inc":""},"_vena_DYNR_SControleIndelingQRTSub_BB1_3e6c8fc6_287eadd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287eadd0","IsMultiDynamicRange":false,"MultiDynamicRangeID":null,"MultiDynamicCollectionID":null,"SectionName":"ControleIndelingQRTSub","BlockName":"B1","VenaRangeType":5,"DimensionIdStr":"-1","MemberIdStr":"-1","DimensionId":-1,"MemberId":-1,"Inc":""},"_vena_DYNR_SControleIndelingQRTSub_BB1_3e6c8fc6_29a40866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29a40866","IsMultiDynamicRange":false,"MultiDynamicRangeID":null,"MultiDynamicCollectionID":null,"SectionName":"ControleIndelingQRTSub","BlockName":"B1","VenaRangeType":5,"DimensionIdStr":"-1","MemberIdStr":"-1","DimensionId":-1,"MemberId":-1,"Inc":""},"_vena_DYNR_SControleIndelingQRTSub_BB1_3e6c8fc6_2d98dc77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d98dc77","IsMultiDynamicRange":false,"MultiDynamicRangeID":null,"MultiDynamicCollectionID":null,"SectionName":"ControleIndelingQRTSub","BlockName":"B1","VenaRangeType":5,"DimensionIdStr":"-1","MemberIdStr":"-1","DimensionId":-1,"MemberId":-1,"Inc":""},"_vena_DYNR_SControleIndelingQRTSub_BB1_3e6c8fc6_2df27850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df27850","IsMultiDynamicRange":false,"MultiDynamicRangeID":null,"MultiDynamicCollectionID":null,"SectionName":"ControleIndelingQRTSub","BlockName":"B1","VenaRangeType":5,"DimensionIdStr":"-1","MemberIdStr":"-1","DimensionId":-1,"MemberId":-1,"Inc":""},"_vena_DYNR_SControleIndelingQRTSub_BB1_3e6c8fc6_2f2a09d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f2a09d5","IsMultiDynamicRange":false,"MultiDynamicRangeID":null,"MultiDynamicCollectionID":null,"SectionName":"ControleIndelingQRTSub","BlockName":"B1","VenaRangeType":5,"DimensionIdStr":"-1","MemberIdStr":"-1","DimensionId":-1,"MemberId":-1,"Inc":""},"_vena_DYNR_SControleIndelingQRTSub_BB1_3e6c8fc6_2f6e8e4c":{"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2f6e8e4c","IsMultiDynamicRange":false,"MultiDynamicRangeID":null,"MultiDynamicCollectionID":null,"SectionName":"ControleIndelingQRTSub","BlockName":"B1","VenaRangeType":5,"DimensionIdStr":"-1","MemberIdStr":"-1","DimensionId":-1,"MemberId":-1,"Inc":""},"_vena_DYNR_SControleIndelingQRTSub_BB1_3e6c8fc6_3151f169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3151f169","IsMultiDynamicRange":false,"MultiDynamicRangeID":null,"MultiDynamicCollectionID":null,"SectionName":"ControleIndelingQRTSub","BlockName":"B1","VenaRangeType":5,"DimensionIdStr":"-1","MemberIdStr":"-1","DimensionId":-1,"MemberId":-1,"Inc":""},"_vena_DYNR_SControleIndelingQRTSub_BB1_3e6c8fc6_324abc44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324abc44","IsMultiDynamicRange":false,"MultiDynamicRangeID":null,"MultiDynamicCollectionID":null,"SectionName":"ControleIndelingQRTSub","BlockName":"B1","VenaRangeType":5,"DimensionIdStr":"-1","MemberIdStr":"-1","DimensionId":-1,"MemberId":-1,"Inc":""},"_vena_DYNR_SControleIndelingQRTSub_BB1_3e6c8fc6_32d497ed":{"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32d497ed","IsMultiDynamicRange":false,"MultiDynamicRangeID":null,"MultiDynamicCollectionID":null,"SectionName":"ControleIndelingQRTSub","BlockName":"B1","VenaRangeType":5,"DimensionIdStr":"-1","MemberIdStr":"-1","DimensionId":-1,"MemberId":-1,"Inc":""},"_vena_DYNR_SControleIndelingQRTSub_BB1_3e6c8fc6_34885f61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34885f61","IsMultiDynamicRange":false,"MultiDynamicRangeID":null,"MultiDynamicCollectionID":null,"SectionName":"ControleIndelingQRTSub","BlockName":"B1","VenaRangeType":5,"DimensionIdStr":"-1","MemberIdStr":"-1","DimensionId":-1,"MemberId":-1,"Inc":""},"_vena_DYNR_SControleIndelingQRTSub_BB1_3e6c8fc6_36bccca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36bccca4","IsMultiDynamicRange":false,"MultiDynamicRangeID":null,"MultiDynamicCollectionID":null,"SectionName":"ControleIndelingQRTSub","BlockName":"B1","VenaRangeType":5,"DimensionIdStr":"-1","MemberIdStr":"-1","DimensionId":-1,"MemberId":-1,"Inc":""},"_vena_DYNR_SControleIndelingQRTSub_BB1_3e6c8fc6_39e1965c":{"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39e1965c","IsMultiDynamicRange":false,"MultiDynamicRangeID":null,"MultiDynamicCollectionID":null,"SectionName":"ControleIndelingQRTSub","BlockName":"B1","VenaRangeType":5,"DimensionIdStr":"-1","MemberIdStr":"-1","DimensionId":-1,"MemberId":-1,"Inc":""},"_vena_DYNR_SControleIndelingQRTSub_BB1_3e6c8fc6_3aaf3557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aaf3557","IsMultiDynamicRange":false,"MultiDynamicRangeID":null,"MultiDynamicCollectionID":null,"SectionName":"ControleIndelingQRTSub","BlockName":"B1","VenaRangeType":5,"DimensionIdStr":"-1","MemberIdStr":"-1","DimensionId":-1,"MemberId":-1,"Inc":""},"_vena_DYNR_SControleIndelingQRTSub_BB1_3e6c8fc6_3b6e40f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b6e40f9","IsMultiDynamicRange":false,"MultiDynamicRangeID":null,"MultiDynamicCollectionID":null,"SectionName":"ControleIndelingQRTSub","BlockName":"B1","VenaRangeType":5,"DimensionIdStr":"-1","MemberIdStr":"-1","DimensionId":-1,"MemberId":-1,"Inc":""},"_vena_DYNR_SControleIndelingQRTSub_BB1_3e6c8fc6_3b97ff47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b97ff47","IsMultiDynamicRange":false,"MultiDynamicRangeID":null,"MultiDynamicCollectionID":null,"SectionName":"ControleIndelingQRTSub","BlockName":"B1","VenaRangeType":5,"DimensionIdStr":"-1","MemberIdStr":"-1","DimensionId":-1,"MemberId":-1,"Inc":""},"_vena_DYNR_SControleIndelingQRTSub_BB1_3e6c8fc6_3f600324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f600324","IsMultiDynamicRange":false,"MultiDynamicRangeID":null,"MultiDynamicCollectionID":null,"SectionName":"ControleIndelingQRTSub","BlockName":"B1","VenaRangeType":5,"DimensionIdStr":"-1","MemberIdStr":"-1","DimensionId":-1,"MemberId":-1,"Inc":""},"_vena_DYNR_SControleIndelingQRTSub_BB1_3e6c8fc6_3fff8a55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3fff8a55","IsMultiDynamicRange":false,"MultiDynamicRangeID":null,"MultiDynamicCollectionID":null,"SectionName":"ControleIndelingQRTSub","BlockName":"B1","VenaRangeType":5,"DimensionIdStr":"-1","MemberIdStr":"-1","DimensionId":-1,"MemberId":-1,"Inc":""},"_vena_DYNR_SControleIndelingQRTSub_BB1_3e6c8fc6_402da04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402da04b","IsMultiDynamicRange":false,"MultiDynamicRangeID":null,"MultiDynamicCollectionID":null,"SectionName":"ControleIndelingQRTSub","BlockName":"B1","VenaRangeType":5,"DimensionIdStr":"-1","MemberIdStr":"-1","DimensionId":-1,"MemberId":-1,"Inc":""},"_vena_DYNR_SControleIndelingQRTSub_BB1_3e6c8fc6_40919c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40919c1","IsMultiDynamicRange":false,"MultiDynamicRangeID":null,"MultiDynamicCollectionID":null,"SectionName":"ControleIndelingQRTSub","BlockName":"B1","VenaRangeType":5,"DimensionIdStr":"-1","MemberIdStr":"-1","DimensionId":-1,"MemberId":-1,"Inc":""},"_vena_DYNR_SControleIndelingQRTSub_BB1_3e6c8fc6_4309c6e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4309c6eb","IsMultiDynamicRange":false,"MultiDynamicRangeID":null,"MultiDynamicCollectionID":null,"SectionName":"ControleIndelingQRTSub","BlockName":"B1","VenaRangeType":5,"DimensionIdStr":"-1","MemberIdStr":"-1","DimensionId":-1,"MemberId":-1,"Inc":""},"_vena_DYNR_SControleIndelingQRTSub_BB1_3e6c8fc6_4378f41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4378f41e","IsMultiDynamicRange":false,"MultiDynamicRangeID":null,"MultiDynamicCollectionID":null,"SectionName":"ControleIndelingQRTSub","BlockName":"B1","VenaRangeType":5,"DimensionIdStr":"-1","MemberIdStr":"-1","DimensionId":-1,"MemberId":-1,"Inc":""},"_vena_DYNR_SControleIndelingQRTSub_BB1_3e6c8fc6_492ace5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492ace5e","IsMultiDynamicRange":false,"MultiDynamicRangeID":null,"MultiDynamicCollectionID":null,"SectionName":"ControleIndelingQRTSub","BlockName":"B1","VenaRangeType":5,"DimensionIdStr":"-1","MemberIdStr":"-1","DimensionId":-1,"MemberId":-1,"Inc":""},"_vena_DYNR_SControleIndelingQRTSub_BB1_3e6c8fc6_4a07a5b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a07a5ba","IsMultiDynamicRange":false,"MultiDynamicRangeID":null,"MultiDynamicCollectionID":null,"SectionName":"ControleIndelingQRTSub","BlockName":"B1","VenaRangeType":5,"DimensionIdStr":"-1","MemberIdStr":"-1","DimensionId":-1,"MemberId":-1,"Inc":""},"_vena_DYNR_SControleIndelingQRTSub_BB1_3e6c8fc6_4ab4544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ab4544b","IsMultiDynamicRange":false,"MultiDynamicRangeID":null,"MultiDynamicCollectionID":null,"SectionName":"ControleIndelingQRTSub","BlockName":"B1","VenaRangeType":5,"DimensionIdStr":"-1","MemberIdStr":"-1","DimensionId":-1,"MemberId":-1,"Inc":""},"_vena_DYNR_SControleIndelingQRTSub_BB1_3e6c8fc6_4ab5e509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ab5e509","IsMultiDynamicRange":false,"MultiDynamicRangeID":null,"MultiDynamicCollectionID":null,"SectionName":"ControleIndelingQRTSub","BlockName":"B1","VenaRangeType":5,"DimensionIdStr":"-1","MemberIdStr":"-1","DimensionId":-1,"MemberId":-1,"Inc":""},"_vena_DYNR_SControleIndelingQRTSub_BB1_3e6c8fc6_4ae8ced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ae8ced5","IsMultiDynamicRange":false,"MultiDynamicRangeID":null,"MultiDynamicCollectionID":null,"SectionName":"ControleIndelingQRTSub","BlockName":"B1","VenaRangeType":5,"DimensionIdStr":"-1","MemberIdStr":"-1","DimensionId":-1,"MemberId":-1,"Inc":""},"_vena_DYNR_SControleIndelingQRTSub_BB1_3e6c8fc6_4e0b6485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4e0b6485","IsMultiDynamicRange":false,"MultiDynamicRangeID":null,"MultiDynamicCollectionID":null,"SectionName":"ControleIndelingQRTSub","BlockName":"B1","VenaRangeType":5,"DimensionIdStr":"-1","MemberIdStr":"-1","DimensionId":-1,"MemberId":-1,"Inc":""},"_vena_DYNR_SControleIndelingQRTSub_BB1_3e6c8fc6_51b8e2f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51b8e2f1","IsMultiDynamicRange":false,"MultiDynamicRangeID":null,"MultiDynamicCollectionID":null,"SectionName":"ControleIndelingQRTSub","BlockName":"B1","VenaRangeType":5,"DimensionIdStr":"-1","MemberIdStr":"-1","DimensionId":-1,"MemberId":-1,"Inc":""},"_vena_DYNR_SControleIndelingQRTSub_BB1_3e6c8fc6_52c785e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52c785e9","IsMultiDynamicRange":false,"MultiDynamicRangeID":null,"MultiDynamicCollectionID":null,"SectionName":"ControleIndelingQRTSub","BlockName":"B1","VenaRangeType":5,"DimensionIdStr":"-1","MemberIdStr":"-1","DimensionId":-1,"MemberId":-1,"Inc":""},"_vena_DYNR_SControleIndelingQRTSub_BB1_3e6c8fc6_53c05eef":{"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53c05eef","IsMultiDynamicRange":false,"MultiDynamicRangeID":null,"MultiDynamicCollectionID":null,"SectionName":"ControleIndelingQRTSub","BlockName":"B1","VenaRangeType":5,"DimensionIdStr":"-1","MemberIdStr":"-1","DimensionId":-1,"MemberId":-1,"Inc":""},"_vena_DYNR_SControleIndelingQRTSub_BB1_3e6c8fc6_53efa327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53efa327","IsMultiDynamicRange":false,"MultiDynamicRangeID":null,"MultiDynamicCollectionID":null,"SectionName":"ControleIndelingQRTSub","BlockName":"B1","VenaRangeType":5,"DimensionIdStr":"-1","MemberIdStr":"-1","DimensionId":-1,"MemberId":-1,"Inc":""},"_vena_DYNR_SControleIndelingQRTSub_BB1_3e6c8fc6_54b3fa2f":{"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54b3fa2f","IsMultiDynamicRange":false,"MultiDynamicRangeID":null,"MultiDynamicCollectionID":null,"SectionName":"ControleIndelingQRTSub","BlockName":"B1","VenaRangeType":5,"DimensionIdStr":"-1","MemberIdStr":"-1","DimensionId":-1,"MemberId":-1,"Inc":""},"_vena_DYNR_SControleIndelingQRTSub_BB1_3e6c8fc6_592fcf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592fcf9","IsMultiDynamicRange":false,"MultiDynamicRangeID":null,"MultiDynamicCollectionID":null,"SectionName":"ControleIndelingQRTSub","BlockName":"B1","VenaRangeType":5,"DimensionIdStr":"-1","MemberIdStr":"-1","DimensionId":-1,"MemberId":-1,"Inc":""},"_vena_DYNR_SControleIndelingQRTSub_BB1_3e6c8fc6_5cd90b77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cd90b77","IsMultiDynamicRange":false,"MultiDynamicRangeID":null,"MultiDynamicCollectionID":null,"SectionName":"ControleIndelingQRTSub","BlockName":"B1","VenaRangeType":5,"DimensionIdStr":"-1","MemberIdStr":"-1","DimensionId":-1,"MemberId":-1,"Inc":""},"_vena_DYNR_SControleIndelingQRTSub_BB1_3e6c8fc6_5d0da3e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d0da3e6","IsMultiDynamicRange":false,"MultiDynamicRangeID":null,"MultiDynamicCollectionID":null,"SectionName":"ControleIndelingQRTSub","BlockName":"B1","VenaRangeType":5,"DimensionIdStr":"-1","MemberIdStr":"-1","DimensionId":-1,"MemberId":-1,"Inc":""},"_vena_DYNR_SControleIndelingQRTSub_BB1_3e6c8fc6_5d8e6b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d8e6bb","IsMultiDynamicRange":false,"MultiDynamicRangeID":null,"MultiDynamicCollectionID":null,"SectionName":"ControleIndelingQRTSub","BlockName":"B1","VenaRangeType":5,"DimensionIdStr":"-1","MemberIdStr":"-1","DimensionId":-1,"MemberId":-1,"Inc":""},"_vena_DYNR_SControleIndelingQRTSub_BB1_3e6c8fc6_5e37d61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e37d61e","IsMultiDynamicRange":false,"MultiDynamicRangeID":null,"MultiDynamicCollectionID":null,"SectionName":"ControleIndelingQRTSub","BlockName":"B1","VenaRangeType":5,"DimensionIdStr":"-1","MemberIdStr":"-1","DimensionId":-1,"MemberId":-1,"Inc":""},"_vena_DYNR_SControleIndelingQRTSub_BB1_3e6c8fc6_5eda0e97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eda0e97","IsMultiDynamicRange":false,"MultiDynamicRangeID":null,"MultiDynamicCollectionID":null,"SectionName":"ControleIndelingQRTSub","BlockName":"B1","VenaRangeType":5,"DimensionIdStr":"-1","MemberIdStr":"-1","DimensionId":-1,"MemberId":-1,"Inc":""},"_vena_DYNR_SControleIndelingQRTSub_BB1_3e6c8fc6_5ef16902":{"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5ef16902","IsMultiDynamicRange":false,"MultiDynamicRangeID":null,"MultiDynamicCollectionID":null,"SectionName":"ControleIndelingQRTSub","BlockName":"B1","VenaRangeType":5,"DimensionIdStr":"-1","MemberIdStr":"-1","DimensionId":-1,"MemberId":-1,"Inc":""},"_vena_DYNR_SControleIndelingQRTSub_BB1_3e6c8fc6_60747b4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60747b4e","IsMultiDynamicRange":false,"MultiDynamicRangeID":null,"MultiDynamicCollectionID":null,"SectionName":"ControleIndelingQRTSub","BlockName":"B1","VenaRangeType":5,"DimensionIdStr":"-1","MemberIdStr":"-1","DimensionId":-1,"MemberId":-1,"Inc":""},"_vena_DYNR_SControleIndelingQRTSub_BB1_3e6c8fc6_62c1a57d":{"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62c1a57d","IsMultiDynamicRange":false,"MultiDynamicRangeID":null,"MultiDynamicCollectionID":null,"SectionName":"ControleIndelingQRTSub","BlockName":"B1","VenaRangeType":5,"DimensionIdStr":"-1","MemberIdStr":"-1","DimensionId":-1,"MemberId":-1,"Inc":""},"_vena_DYNR_SControleIndelingQRTSub_BB1_3e6c8fc6_63c43c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63c43c6","IsMultiDynamicRange":false,"MultiDynamicRangeID":null,"MultiDynamicCollectionID":null,"SectionName":"ControleIndelingQRTSub","BlockName":"B1","VenaRangeType":5,"DimensionIdStr":"-1","MemberIdStr":"-1","DimensionId":-1,"MemberId":-1,"Inc":""},"_vena_DYNR_SControleIndelingQRTSub_BB1_3e6c8fc6_64b90ab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64b90ab5","IsMultiDynamicRange":false,"MultiDynamicRangeID":null,"MultiDynamicCollectionID":null,"SectionName":"ControleIndelingQRTSub","BlockName":"B1","VenaRangeType":5,"DimensionIdStr":"-1","MemberIdStr":"-1","DimensionId":-1,"MemberId":-1,"Inc":""},"_vena_DYNR_SControleIndelingQRTSub_BB1_3e6c8fc6_666aa664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666aa664","IsMultiDynamicRange":false,"MultiDynamicRangeID":null,"MultiDynamicCollectionID":null,"SectionName":"ControleIndelingQRTSub","BlockName":"B1","VenaRangeType":5,"DimensionIdStr":"-1","MemberIdStr":"-1","DimensionId":-1,"MemberId":-1,"Inc":""},"_vena_DYNR_SControleIndelingQRTSub_BB1_3e6c8fc6_676fd9e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676fd9e6","IsMultiDynamicRange":false,"MultiDynamicRangeID":null,"MultiDynamicCollectionID":null,"SectionName":"ControleIndelingQRTSub","BlockName":"B1","VenaRangeType":5,"DimensionIdStr":"-1","MemberIdStr":"-1","DimensionId":-1,"MemberId":-1,"Inc":""},"_vena_DYNR_SControleIndelingQRTSub_BB1_3e6c8fc6_689f56b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689f56b3","IsMultiDynamicRange":false,"MultiDynamicRangeID":null,"MultiDynamicCollectionID":null,"SectionName":"ControleIndelingQRTSub","BlockName":"B1","VenaRangeType":5,"DimensionIdStr":"-1","MemberIdStr":"-1","DimensionId":-1,"MemberId":-1,"Inc":""},"_vena_DYNR_SControleIndelingQRTSub_BB1_3e6c8fc6_69e6e554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69e6e554","IsMultiDynamicRange":false,"MultiDynamicRangeID":null,"MultiDynamicCollectionID":null,"SectionName":"ControleIndelingQRTSub","BlockName":"B1","VenaRangeType":5,"DimensionIdStr":"-1","MemberIdStr":"-1","DimensionId":-1,"MemberId":-1,"Inc":""},"_vena_DYNR_SControleIndelingQRTSub_BB1_3e6c8fc6_6e03bca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e03bca4","IsMultiDynamicRange":false,"MultiDynamicRangeID":null,"MultiDynamicCollectionID":null,"SectionName":"ControleIndelingQRTSub","BlockName":"B1","VenaRangeType":5,"DimensionIdStr":"-1","MemberIdStr":"-1","DimensionId":-1,"MemberId":-1,"Inc":""},"_vena_DYNR_SControleIndelingQRTSub_BB1_3e6c8fc6_6ed0683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6ed0683","IsMultiDynamicRange":false,"MultiDynamicRangeID":null,"MultiDynamicCollectionID":null,"SectionName":"ControleIndelingQRTSub","BlockName":"B1","VenaRangeType":5,"DimensionIdStr":"-1","MemberIdStr":"-1","DimensionId":-1,"MemberId":-1,"Inc":""},"_vena_DYNR_SControleIndelingQRTSub_BB1_3e6c8fc6_701a8270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701a8270","IsMultiDynamicRange":false,"MultiDynamicRangeID":null,"MultiDynamicCollectionID":null,"SectionName":"ControleIndelingQRTSub","BlockName":"B1","VenaRangeType":5,"DimensionIdStr":"-1","MemberIdStr":"-1","DimensionId":-1,"MemberId":-1,"Inc":""},"_vena_DYNR_SControleIndelingQRTSub_BB1_3e6c8fc6_721166d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721166d7","IsMultiDynamicRange":false,"MultiDynamicRangeID":null,"MultiDynamicCollectionID":null,"SectionName":"ControleIndelingQRTSub","BlockName":"B1","VenaRangeType":5,"DimensionIdStr":"-1","MemberIdStr":"-1","DimensionId":-1,"MemberId":-1,"Inc":""},"_vena_DYNR_SControleIndelingQRTSub_BB1_3e6c8fc6_727869d2":{"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727869d2","IsMultiDynamicRange":false,"MultiDynamicRangeID":null,"MultiDynamicCollectionID":null,"SectionName":"ControleIndelingQRTSub","BlockName":"B1","VenaRangeType":5,"DimensionIdStr":"-1","MemberIdStr":"-1","DimensionId":-1,"MemberId":-1,"Inc":""},"_vena_DYNR_SControleIndelingQRTSub_BB1_3e6c8fc6_730a4876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730a4876","IsMultiDynamicRange":false,"MultiDynamicRangeID":null,"MultiDynamicCollectionID":null,"SectionName":"ControleIndelingQRTSub","BlockName":"B1","VenaRangeType":5,"DimensionIdStr":"-1","MemberIdStr":"-1","DimensionId":-1,"MemberId":-1,"Inc":""},"_vena_DYNR_SControleIndelingQRTSub_BB1_3e6c8fc6_7353c6e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7353c6ee","IsMultiDynamicRange":false,"MultiDynamicRangeID":null,"MultiDynamicCollectionID":null,"SectionName":"ControleIndelingQRTSub","BlockName":"B1","VenaRangeType":5,"DimensionIdStr":"-1","MemberIdStr":"-1","DimensionId":-1,"MemberId":-1,"Inc":""},"_vena_DYNR_SControleIndelingQRTSub_BB1_3e6c8fc6_73b22a83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73b22a83","IsMultiDynamicRange":false,"MultiDynamicRangeID":null,"MultiDynamicCollectionID":null,"SectionName":"ControleIndelingQRTSub","BlockName":"B1","VenaRangeType":5,"DimensionIdStr":"-1","MemberIdStr":"-1","DimensionId":-1,"MemberId":-1,"Inc":""},"_vena_DYNR_SControleIndelingQRTSub_BB1_3e6c8fc6_743916e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743916e4","IsMultiDynamicRange":false,"MultiDynamicRangeID":null,"MultiDynamicCollectionID":null,"SectionName":"ControleIndelingQRTSub","BlockName":"B1","VenaRangeType":5,"DimensionIdStr":"-1","MemberIdStr":"-1","DimensionId":-1,"MemberId":-1,"Inc":""},"_vena_DYNR_SControleIndelingQRTSub_BB1_3e6c8fc6_7467e1a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7467e1a1","IsMultiDynamicRange":false,"MultiDynamicRangeID":null,"MultiDynamicCollectionID":null,"SectionName":"ControleIndelingQRTSub","BlockName":"B1","VenaRangeType":5,"DimensionIdStr":"-1","MemberIdStr":"-1","DimensionId":-1,"MemberId":-1,"Inc":""},"_vena_DYNR_SControleIndelingQRTSub_BB1_3e6c8fc6_76c8b327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76c8b327","IsMultiDynamicRange":false,"MultiDynamicRangeID":null,"MultiDynamicCollectionID":null,"SectionName":"ControleIndelingQRTSub","BlockName":"B1","VenaRangeType":5,"DimensionIdStr":"-1","MemberIdStr":"-1","DimensionId":-1,"MemberId":-1,"Inc":""},"_vena_DYNR_SControleIndelingQRTSub_BB1_3e6c8fc6_78e6cab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78e6cabb","IsMultiDynamicRange":false,"MultiDynamicRangeID":null,"MultiDynamicCollectionID":null,"SectionName":"ControleIndelingQRTSub","BlockName":"B1","VenaRangeType":5,"DimensionIdStr":"-1","MemberIdStr":"-1","DimensionId":-1,"MemberId":-1,"Inc":""},"_vena_DYNR_SControleIndelingQRTSub_BB1_3e6c8fc6_7954b441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7954b441","IsMultiDynamicRange":false,"MultiDynamicRangeID":null,"MultiDynamicCollectionID":null,"SectionName":"ControleIndelingQRTSub","BlockName":"B1","VenaRangeType":5,"DimensionIdStr":"-1","MemberIdStr":"-1","DimensionId":-1,"MemberId":-1,"Inc":""},"_vena_DYNR_SControleIndelingQRTSub_BB1_3e6c8fc6_7aa9c18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aa9c18a","IsMultiDynamicRange":false,"MultiDynamicRangeID":null,"MultiDynamicCollectionID":null,"SectionName":"ControleIndelingQRTSub","BlockName":"B1","VenaRangeType":5,"DimensionIdStr":"-1","MemberIdStr":"-1","DimensionId":-1,"MemberId":-1,"Inc":""},"_vena_DYNR_SControleIndelingQRTSub_BB1_3e6c8fc6_7ac09406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ac09406","IsMultiDynamicRange":false,"MultiDynamicRangeID":null,"MultiDynamicCollectionID":null,"SectionName":"ControleIndelingQRTSub","BlockName":"B1","VenaRangeType":5,"DimensionIdStr":"-1","MemberIdStr":"-1","DimensionId":-1,"MemberId":-1,"Inc":""},"_vena_DYNR_SControleIndelingQRTSub_BB1_3e6c8fc6_7cc437e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cc437e7","IsMultiDynamicRange":false,"MultiDynamicRangeID":null,"MultiDynamicCollectionID":null,"SectionName":"ControleIndelingQRTSub","BlockName":"B1","VenaRangeType":5,"DimensionIdStr":"-1","MemberIdStr":"-1","DimensionId":-1,"MemberId":-1,"Inc":""},"_vena_DYNR_SControleIndelingQRTSub_BB1_3e6c8fc6_7dfb83bf":{"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dfb83bf","IsMultiDynamicRange":false,"MultiDynamicRangeID":null,"MultiDynamicCollectionID":null,"SectionName":"ControleIndelingQRTSub","BlockName":"B1","VenaRangeType":5,"DimensionIdStr":"-1","MemberIdStr":"-1","DimensionId":-1,"MemberId":-1,"Inc":""},"_vena_DYNR_SControleIndelingQRTSub_BB1_3e6c8fc6_7e86bfd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e86bfd1","IsMultiDynamicRange":false,"MultiDynamicRangeID":null,"MultiDynamicCollectionID":null,"SectionName":"ControleIndelingQRTSub","BlockName":"B1","VenaRangeType":5,"DimensionIdStr":"-1","MemberIdStr":"-1","DimensionId":-1,"MemberId":-1,"Inc":""},"_vena_DYNR_SControleIndelingQRTSub_BB1_3e6c8fc6_7fad579f":{"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fad579f","IsMultiDynamicRange":false,"MultiDynamicRangeID":null,"MultiDynamicCollectionID":null,"SectionName":"ControleIndelingQRTSub","BlockName":"B1","VenaRangeType":5,"DimensionIdStr":"-1","MemberIdStr":"-1","DimensionId":-1,"MemberId":-1,"Inc":""},"_vena_DYNR_SControleIndelingQRTSub_BB1_3e6c8fc6_7fe04d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7fe04d7","IsMultiDynamicRange":false,"MultiDynamicRangeID":null,"MultiDynamicCollectionID":null,"SectionName":"ControleIndelingQRTSub","BlockName":"B1","VenaRangeType":5,"DimensionIdStr":"-1","MemberIdStr":"-1","DimensionId":-1,"MemberId":-1,"Inc":""},"_vena_DYNR_SControleIndelingQRTSub_BB1_3e6c8fc6_829e4c44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829e4c44","IsMultiDynamicRange":false,"MultiDynamicRangeID":null,"MultiDynamicCollectionID":null,"SectionName":"ControleIndelingQRTSub","BlockName":"B1","VenaRangeType":5,"DimensionIdStr":"-1","MemberIdStr":"-1","DimensionId":-1,"MemberId":-1,"Inc":""},"_vena_DYNR_SControleIndelingQRTSub_BB1_3e6c8fc6_83bb5299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83bb5299","IsMultiDynamicRange":false,"MultiDynamicRangeID":null,"MultiDynamicCollectionID":null,"SectionName":"ControleIndelingQRTSub","BlockName":"B1","VenaRangeType":5,"DimensionIdStr":"-1","MemberIdStr":"-1","DimensionId":-1,"MemberId":-1,"Inc":""},"_vena_DYNR_SControleIndelingQRTSub_BB1_3e6c8fc6_84201150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84201150","IsMultiDynamicRange":false,"MultiDynamicRangeID":null,"MultiDynamicCollectionID":null,"SectionName":"ControleIndelingQRTSub","BlockName":"B1","VenaRangeType":5,"DimensionIdStr":"-1","MemberIdStr":"-1","DimensionId":-1,"MemberId":-1,"Inc":""},"_vena_DYNR_SControleIndelingQRTSub_BB1_3e6c8fc6_88d2b3f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88d2b3f9","IsMultiDynamicRange":false,"MultiDynamicRangeID":null,"MultiDynamicCollectionID":null,"SectionName":"ControleIndelingQRTSub","BlockName":"B1","VenaRangeType":5,"DimensionIdStr":"-1","MemberIdStr":"-1","DimensionId":-1,"MemberId":-1,"Inc":""},"_vena_DYNR_SControleIndelingQRTSub_BB1_3e6c8fc6_890a0559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890a0559","IsMultiDynamicRange":false,"MultiDynamicRangeID":null,"MultiDynamicCollectionID":null,"SectionName":"ControleIndelingQRTSub","BlockName":"B1","VenaRangeType":5,"DimensionIdStr":"-1","MemberIdStr":"-1","DimensionId":-1,"MemberId":-1,"Inc":""},"_vena_DYNR_SControleIndelingQRTSub_BB1_3e6c8fc6_8cbc311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8cbc311","IsMultiDynamicRange":false,"MultiDynamicRangeID":null,"MultiDynamicCollectionID":null,"SectionName":"ControleIndelingQRTSub","BlockName":"B1","VenaRangeType":5,"DimensionIdStr":"-1","MemberIdStr":"-1","DimensionId":-1,"MemberId":-1,"Inc":""},"_vena_DYNR_SControleIndelingQRTSub_BB1_3e6c8fc6_8dd15993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8dd15993","IsMultiDynamicRange":false,"MultiDynamicRangeID":null,"MultiDynamicCollectionID":null,"SectionName":"ControleIndelingQRTSub","BlockName":"B1","VenaRangeType":5,"DimensionIdStr":"-1","MemberIdStr":"-1","DimensionId":-1,"MemberId":-1,"Inc":""},"_vena_DYNR_SControleIndelingQRTSub_BB1_3e6c8fc6_8fabba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8fabbab","IsMultiDynamicRange":false,"MultiDynamicRangeID":null,"MultiDynamicCollectionID":null,"SectionName":"ControleIndelingQRTSub","BlockName":"B1","VenaRangeType":5,"DimensionIdStr":"-1","MemberIdStr":"-1","DimensionId":-1,"MemberId":-1,"Inc":""},"_vena_DYNR_SControleIndelingQRTSub_BB1_3e6c8fc6_91668624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91668624","IsMultiDynamicRange":false,"MultiDynamicRangeID":null,"MultiDynamicCollectionID":null,"SectionName":"ControleIndelingQRTSub","BlockName":"B1","VenaRangeType":5,"DimensionIdStr":"-1","MemberIdStr":"-1","DimensionId":-1,"MemberId":-1,"Inc":""},"_vena_DYNR_SControleIndelingQRTSub_BB1_3e6c8fc6_91f199a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91f199aa","IsMultiDynamicRange":false,"MultiDynamicRangeID":null,"MultiDynamicCollectionID":null,"SectionName":"ControleIndelingQRTSub","BlockName":"B1","VenaRangeType":5,"DimensionIdStr":"-1","MemberIdStr":"-1","DimensionId":-1,"MemberId":-1,"Inc":""},"_vena_DYNR_SControleIndelingQRTSub_BB1_3e6c8fc6_92534c44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92534c44","IsMultiDynamicRange":false,"MultiDynamicRangeID":null,"MultiDynamicCollectionID":null,"SectionName":"ControleIndelingQRTSub","BlockName":"B1","VenaRangeType":5,"DimensionIdStr":"-1","MemberIdStr":"-1","DimensionId":-1,"MemberId":-1,"Inc":""},"_vena_DYNR_SControleIndelingQRTSub_BB1_3e6c8fc6_92f3b43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92f3b43","IsMultiDynamicRange":false,"MultiDynamicRangeID":null,"MultiDynamicCollectionID":null,"SectionName":"ControleIndelingQRTSub","BlockName":"B1","VenaRangeType":5,"DimensionIdStr":"-1","MemberIdStr":"-1","DimensionId":-1,"MemberId":-1,"Inc":""},"_vena_DYNR_SControleIndelingQRTSub_BB1_3e6c8fc6_943e2e3d":{"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943e2e3d","IsMultiDynamicRange":false,"MultiDynamicRangeID":null,"MultiDynamicCollectionID":null,"SectionName":"ControleIndelingQRTSub","BlockName":"B1","VenaRangeType":5,"DimensionIdStr":"-1","MemberIdStr":"-1","DimensionId":-1,"MemberId":-1,"Inc":""},"_vena_DYNR_SControleIndelingQRTSub_BB1_3e6c8fc6_951c438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951c438a","IsMultiDynamicRange":false,"MultiDynamicRangeID":null,"MultiDynamicCollectionID":null,"SectionName":"ControleIndelingQRTSub","BlockName":"B1","VenaRangeType":5,"DimensionIdStr":"-1","MemberIdStr":"-1","DimensionId":-1,"MemberId":-1,"Inc":""},"_vena_DYNR_SControleIndelingQRTSub_BB1_3e6c8fc6_9626fa28":{"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9626fa28","IsMultiDynamicRange":false,"MultiDynamicRangeID":null,"MultiDynamicCollectionID":null,"SectionName":"ControleIndelingQRTSub","BlockName":"B1","VenaRangeType":5,"DimensionIdStr":"-1","MemberIdStr":"-1","DimensionId":-1,"MemberId":-1,"Inc":""},"_vena_DYNR_SControleIndelingQRTSub_BB1_3e6c8fc6_97294920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97294920","IsMultiDynamicRange":false,"MultiDynamicRangeID":null,"MultiDynamicCollectionID":null,"SectionName":"ControleIndelingQRTSub","BlockName":"B1","VenaRangeType":5,"DimensionIdStr":"-1","MemberIdStr":"-1","DimensionId":-1,"MemberId":-1,"Inc":""},"_vena_DYNR_SControleIndelingQRTSub_BB1_3e6c8fc6_9852a011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9852a011","IsMultiDynamicRange":false,"MultiDynamicRangeID":null,"MultiDynamicCollectionID":null,"SectionName":"ControleIndelingQRTSub","BlockName":"B1","VenaRangeType":5,"DimensionIdStr":"-1","MemberIdStr":"-1","DimensionId":-1,"MemberId":-1,"Inc":""},"_vena_DYNR_SControleIndelingQRTSub_BB1_3e6c8fc6_98f59ff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98f59ffe","IsMultiDynamicRange":false,"MultiDynamicRangeID":null,"MultiDynamicCollectionID":null,"SectionName":"ControleIndelingQRTSub","BlockName":"B1","VenaRangeType":5,"DimensionIdStr":"-1","MemberIdStr":"-1","DimensionId":-1,"MemberId":-1,"Inc":""},"_vena_DYNR_SControleIndelingQRTSub_BB1_3e6c8fc6_9b007567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b007567","IsMultiDynamicRange":false,"MultiDynamicRangeID":null,"MultiDynamicCollectionID":null,"SectionName":"ControleIndelingQRTSub","BlockName":"B1","VenaRangeType":5,"DimensionIdStr":"-1","MemberIdStr":"-1","DimensionId":-1,"MemberId":-1,"Inc":""},"_vena_DYNR_SControleIndelingQRTSub_BB1_3e6c8fc6_9b38ec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b38ec1","IsMultiDynamicRange":false,"MultiDynamicRangeID":null,"MultiDynamicCollectionID":null,"SectionName":"ControleIndelingQRTSub","BlockName":"B1","VenaRangeType":5,"DimensionIdStr":"-1","MemberIdStr":"-1","DimensionId":-1,"MemberId":-1,"Inc":""},"_vena_DYNR_SControleIndelingQRTSub_BB1_3e6c8fc6_9c5e8e4c":{"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c5e8e4c","IsMultiDynamicRange":false,"MultiDynamicRangeID":null,"MultiDynamicCollectionID":null,"SectionName":"ControleIndelingQRTSub","BlockName":"B1","VenaRangeType":5,"DimensionIdStr":"-1","MemberIdStr":"-1","DimensionId":-1,"MemberId":-1,"Inc":""},"_vena_DYNR_SControleIndelingQRTSub_BB1_3e6c8fc6_9d11b3c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d11b3c3","IsMultiDynamicRange":false,"MultiDynamicRangeID":null,"MultiDynamicCollectionID":null,"SectionName":"ControleIndelingQRTSub","BlockName":"B1","VenaRangeType":5,"DimensionIdStr":"-1","MemberIdStr":"-1","DimensionId":-1,"MemberId":-1,"Inc":""},"_vena_DYNR_SControleIndelingQRTSub_BB1_3e6c8fc6_9de7a1d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de7a1d7","IsMultiDynamicRange":false,"MultiDynamicRangeID":null,"MultiDynamicCollectionID":null,"SectionName":"ControleIndelingQRTSub","BlockName":"B1","VenaRangeType":5,"DimensionIdStr":"-1","MemberIdStr":"-1","DimensionId":-1,"MemberId":-1,"Inc":""},"_vena_DYNR_SControleIndelingQRTSub_BB1_3e6c8fc6_9e20e6c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e20e6c9","IsMultiDynamicRange":false,"MultiDynamicRangeID":null,"MultiDynamicCollectionID":null,"SectionName":"ControleIndelingQRTSub","BlockName":"B1","VenaRangeType":5,"DimensionIdStr":"-1","MemberIdStr":"-1","DimensionId":-1,"MemberId":-1,"Inc":""},"_vena_DYNR_SControleIndelingQRTSub_BB1_3e6c8fc6_9e23c46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e23c46e","IsMultiDynamicRange":false,"MultiDynamicRangeID":null,"MultiDynamicCollectionID":null,"SectionName":"ControleIndelingQRTSub","BlockName":"B1","VenaRangeType":5,"DimensionIdStr":"-1","MemberIdStr":"-1","DimensionId":-1,"MemberId":-1,"Inc":""},"_vena_DYNR_SControleIndelingQRTSub_BB1_3e6c8fc6_9f3ef649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9f3ef649","IsMultiDynamicRange":false,"MultiDynamicRangeID":null,"MultiDynamicCollectionID":null,"SectionName":"ControleIndelingQRTSub","BlockName":"B1","VenaRangeType":5,"DimensionIdStr":"-1","MemberIdStr":"-1","DimensionId":-1,"MemberId":-1,"Inc":""},"_vena_DYNR_SControleIndelingQRTSub_BB1_3e6c8fc6_a02433ec":{"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02433ec","IsMultiDynamicRange":false,"MultiDynamicRangeID":null,"MultiDynamicCollectionID":null,"SectionName":"ControleIndelingQRTSub","BlockName":"B1","VenaRangeType":5,"DimensionIdStr":"-1","MemberIdStr":"-1","DimensionId":-1,"MemberId":-1,"Inc":""},"_vena_DYNR_SControleIndelingQRTSub_BB1_3e6c8fc6_a0fff4a8":{"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0fff4a8","IsMultiDynamicRange":false,"MultiDynamicRangeID":null,"MultiDynamicCollectionID":null,"SectionName":"ControleIndelingQRTSub","BlockName":"B1","VenaRangeType":5,"DimensionIdStr":"-1","MemberIdStr":"-1","DimensionId":-1,"MemberId":-1,"Inc":""},"_vena_DYNR_SControleIndelingQRTSub_BB1_3e6c8fc6_a101592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101592a","IsMultiDynamicRange":false,"MultiDynamicRangeID":null,"MultiDynamicCollectionID":null,"SectionName":"ControleIndelingQRTSub","BlockName":"B1","VenaRangeType":5,"DimensionIdStr":"-1","MemberIdStr":"-1","DimensionId":-1,"MemberId":-1,"Inc":""},"_vena_DYNR_SControleIndelingQRTSub_BB1_3e6c8fc6_a127dd53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127dd53","IsMultiDynamicRange":false,"MultiDynamicRangeID":null,"MultiDynamicCollectionID":null,"SectionName":"ControleIndelingQRTSub","BlockName":"B1","VenaRangeType":5,"DimensionIdStr":"-1","MemberIdStr":"-1","DimensionId":-1,"MemberId":-1,"Inc":""},"_vena_DYNR_SControleIndelingQRTSub_BB1_3e6c8fc6_a687c34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687c34b","IsMultiDynamicRange":false,"MultiDynamicRangeID":null,"MultiDynamicCollectionID":null,"SectionName":"ControleIndelingQRTSub","BlockName":"B1","VenaRangeType":5,"DimensionIdStr":"-1","MemberIdStr":"-1","DimensionId":-1,"MemberId":-1,"Inc":""},"_vena_DYNR_SControleIndelingQRTSub_BB1_3e6c8fc6_a7c2b978":{"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7c2b978","IsMultiDynamicRange":false,"MultiDynamicRangeID":null,"MultiDynamicCollectionID":null,"SectionName":"ControleIndelingQRTSub","BlockName":"B1","VenaRangeType":5,"DimensionIdStr":"-1","MemberIdStr":"-1","DimensionId":-1,"MemberId":-1,"Inc":""},"_vena_DYNR_SControleIndelingQRTSub_BB1_3e6c8fc6_a7c7d10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7c7d10","IsMultiDynamicRange":false,"MultiDynamicRangeID":null,"MultiDynamicCollectionID":null,"SectionName":"ControleIndelingQRTSub","BlockName":"B1","VenaRangeType":5,"DimensionIdStr":"-1","MemberIdStr":"-1","DimensionId":-1,"MemberId":-1,"Inc":""},"_vena_DYNR_SControleIndelingQRTSub_BB1_3e6c8fc6_aa05f0df":{"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a05f0df","IsMultiDynamicRange":false,"MultiDynamicRangeID":null,"MultiDynamicCollectionID":null,"SectionName":"ControleIndelingQRTSub","BlockName":"B1","VenaRangeType":5,"DimensionIdStr":"-1","MemberIdStr":"-1","DimensionId":-1,"MemberId":-1,"Inc":""},"_vena_DYNR_SControleIndelingQRTSub_BB1_3e6c8fc6_aad00ec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ad00ec3","IsMultiDynamicRange":false,"MultiDynamicRangeID":null,"MultiDynamicCollectionID":null,"SectionName":"ControleIndelingQRTSub","BlockName":"B1","VenaRangeType":5,"DimensionIdStr":"-1","MemberIdStr":"-1","DimensionId":-1,"MemberId":-1,"Inc":""},"_vena_DYNR_SControleIndelingQRTSub_BB1_3e6c8fc6_aad37e9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ad37e9a","IsMultiDynamicRange":false,"MultiDynamicRangeID":null,"MultiDynamicCollectionID":null,"SectionName":"ControleIndelingQRTSub","BlockName":"B1","VenaRangeType":5,"DimensionIdStr":"-1","MemberIdStr":"-1","DimensionId":-1,"MemberId":-1,"Inc":""},"_vena_DYNR_SControleIndelingQRTSub_BB1_3e6c8fc6_ab0443c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b0443c0","IsMultiDynamicRange":false,"MultiDynamicRangeID":null,"MultiDynamicCollectionID":null,"SectionName":"ControleIndelingQRTSub","BlockName":"B1","VenaRangeType":5,"DimensionIdStr":"-1","MemberIdStr":"-1","DimensionId":-1,"MemberId":-1,"Inc":""},"_vena_DYNR_SControleIndelingQRTSub_BB1_3e6c8fc6_ab74fa15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b74fa15","IsMultiDynamicRange":false,"MultiDynamicRangeID":null,"MultiDynamicCollectionID":null,"SectionName":"ControleIndelingQRTSub","BlockName":"B1","VenaRangeType":5,"DimensionIdStr":"-1","MemberIdStr":"-1","DimensionId":-1,"MemberId":-1,"Inc":""},"_vena_DYNR_SControleIndelingQRTSub_BB1_3e6c8fc6_ad19256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d19256a","IsMultiDynamicRange":false,"MultiDynamicRangeID":null,"MultiDynamicCollectionID":null,"SectionName":"ControleIndelingQRTSub","BlockName":"B1","VenaRangeType":5,"DimensionIdStr":"-1","MemberIdStr":"-1","DimensionId":-1,"MemberId":-1,"Inc":""},"_vena_DYNR_SControleIndelingQRTSub_BB1_3e6c8fc6_ad6ffb13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d6ffb13","IsMultiDynamicRange":false,"MultiDynamicRangeID":null,"MultiDynamicCollectionID":null,"SectionName":"ControleIndelingQRTSub","BlockName":"B1","VenaRangeType":5,"DimensionIdStr":"-1","MemberIdStr":"-1","DimensionId":-1,"MemberId":-1,"Inc":""},"_vena_DYNR_SControleIndelingQRTSub_BB1_3e6c8fc6_ae5b1bdd":{"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e5b1bdd","IsMultiDynamicRange":false,"MultiDynamicRangeID":null,"MultiDynamicCollectionID":null,"SectionName":"ControleIndelingQRTSub","BlockName":"B1","VenaRangeType":5,"DimensionIdStr":"-1","MemberIdStr":"-1","DimensionId":-1,"MemberId":-1,"Inc":""},"_vena_DYNR_SControleIndelingQRTSub_BB1_3e6c8fc6_af5241a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f5241a4","IsMultiDynamicRange":false,"MultiDynamicRangeID":null,"MultiDynamicCollectionID":null,"SectionName":"ControleIndelingQRTSub","BlockName":"B1","VenaRangeType":5,"DimensionIdStr":"-1","MemberIdStr":"-1","DimensionId":-1,"MemberId":-1,"Inc":""},"_vena_DYNR_SControleIndelingQRTSub_BB1_3e6c8fc6_afdb9352":{"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afdb9352","IsMultiDynamicRange":false,"MultiDynamicRangeID":null,"MultiDynamicCollectionID":null,"SectionName":"ControleIndelingQRTSub","BlockName":"B1","VenaRangeType":5,"DimensionIdStr":"-1","MemberIdStr":"-1","DimensionId":-1,"MemberId":-1,"Inc":""},"_vena_DYNR_SControleIndelingQRTSub_BB1_3e6c8fc6_b0977b46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0977b46","IsMultiDynamicRange":false,"MultiDynamicRangeID":null,"MultiDynamicCollectionID":null,"SectionName":"ControleIndelingQRTSub","BlockName":"B1","VenaRangeType":5,"DimensionIdStr":"-1","MemberIdStr":"-1","DimensionId":-1,"MemberId":-1,"Inc":""},"_vena_DYNR_SControleIndelingQRTSub_BB1_3e6c8fc6_b0fb7a5f":{"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0fb7a5f","IsMultiDynamicRange":false,"MultiDynamicRangeID":null,"MultiDynamicCollectionID":null,"SectionName":"ControleIndelingQRTSub","BlockName":"B1","VenaRangeType":5,"DimensionIdStr":"-1","MemberIdStr":"-1","DimensionId":-1,"MemberId":-1,"Inc":""},"_vena_DYNR_SControleIndelingQRTSub_BB1_3e6c8fc6_b1146f2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1146f2e","IsMultiDynamicRange":false,"MultiDynamicRangeID":null,"MultiDynamicCollectionID":null,"SectionName":"ControleIndelingQRTSub","BlockName":"B1","VenaRangeType":5,"DimensionIdStr":"-1","MemberIdStr":"-1","DimensionId":-1,"MemberId":-1,"Inc":""},"_vena_DYNR_SControleIndelingQRTSub_BB1_3e6c8fc6_b66ed15d":{"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66ed15d","IsMultiDynamicRange":false,"MultiDynamicRangeID":null,"MultiDynamicCollectionID":null,"SectionName":"ControleIndelingQRTSub","BlockName":"B1","VenaRangeType":5,"DimensionIdStr":"-1","MemberIdStr":"-1","DimensionId":-1,"MemberId":-1,"Inc":""},"_vena_DYNR_SControleIndelingQRTSub_BB1_3e6c8fc6_b76885b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76885b6","IsMultiDynamicRange":false,"MultiDynamicRangeID":null,"MultiDynamicCollectionID":null,"SectionName":"ControleIndelingQRTSub","BlockName":"B1","VenaRangeType":5,"DimensionIdStr":"-1","MemberIdStr":"-1","DimensionId":-1,"MemberId":-1,"Inc":""},"_vena_DYNR_SControleIndelingQRTSub_BB1_3e6c8fc6_b9a4c1cf":{"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9a4c1cf","IsMultiDynamicRange":false,"MultiDynamicRangeID":null,"MultiDynamicCollectionID":null,"SectionName":"ControleIndelingQRTSub","BlockName":"B1","VenaRangeType":5,"DimensionIdStr":"-1","MemberIdStr":"-1","DimensionId":-1,"MemberId":-1,"Inc":""},"_vena_DYNR_SControleIndelingQRTSub_BB1_3e6c8fc6_bb2acba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b2acba7","IsMultiDynamicRange":false,"MultiDynamicRangeID":null,"MultiDynamicCollectionID":null,"SectionName":"ControleIndelingQRTSub","BlockName":"B1","VenaRangeType":5,"DimensionIdStr":"-1","MemberIdStr":"-1","DimensionId":-1,"MemberId":-1,"Inc":""},"_vena_DYNR_SControleIndelingQRTSub_BB1_3e6c8fc6_bb87e93c":{"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b87e93c","IsMultiDynamicRange":false,"MultiDynamicRangeID":null,"MultiDynamicCollectionID":null,"SectionName":"ControleIndelingQRTSub","BlockName":"B1","VenaRangeType":5,"DimensionIdStr":"-1","MemberIdStr":"-1","DimensionId":-1,"MemberId":-1,"Inc":""},"_vena_DYNR_SControleIndelingQRTSub_BB1_3e6c8fc6_bc1c53f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c1c53f1","IsMultiDynamicRange":false,"MultiDynamicRangeID":null,"MultiDynamicCollectionID":null,"SectionName":"ControleIndelingQRTSub","BlockName":"B1","VenaRangeType":5,"DimensionIdStr":"-1","MemberIdStr":"-1","DimensionId":-1,"MemberId":-1,"Inc":""},"_vena_DYNR_SControleIndelingQRTSub_BB1_3e6c8fc6_bce4cbc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ce4cbc5","IsMultiDynamicRange":false,"MultiDynamicRangeID":null,"MultiDynamicCollectionID":null,"SectionName":"ControleIndelingQRTSub","BlockName":"B1","VenaRangeType":5,"DimensionIdStr":"-1","MemberIdStr":"-1","DimensionId":-1,"MemberId":-1,"Inc":""},"_vena_DYNR_SControleIndelingQRTSub_BB1_3e6c8fc6_bd5d786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d5d786e","IsMultiDynamicRange":false,"MultiDynamicRangeID":null,"MultiDynamicCollectionID":null,"SectionName":"ControleIndelingQRTSub","BlockName":"B1","VenaRangeType":5,"DimensionIdStr":"-1","MemberIdStr":"-1","DimensionId":-1,"MemberId":-1,"Inc":""},"_vena_DYNR_SControleIndelingQRTSub_BB1_3e6c8fc6_bf784bf2":{"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bf784bf2","IsMultiDynamicRange":false,"MultiDynamicRangeID":null,"MultiDynamicCollectionID":null,"SectionName":"ControleIndelingQRTSub","BlockName":"B1","VenaRangeType":5,"DimensionIdStr":"-1","MemberIdStr":"-1","DimensionId":-1,"MemberId":-1,"Inc":""},"_vena_DYNR_SControleIndelingQRTSub_BB1_3e6c8fc6_c169a036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169a036","IsMultiDynamicRange":false,"MultiDynamicRangeID":null,"MultiDynamicCollectionID":null,"SectionName":"ControleIndelingQRTSub","BlockName":"B1","VenaRangeType":5,"DimensionIdStr":"-1","MemberIdStr":"-1","DimensionId":-1,"MemberId":-1,"Inc":""},"_vena_DYNR_SControleIndelingQRTSub_BB1_3e6c8fc6_c2f8b913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2f8b913","IsMultiDynamicRange":false,"MultiDynamicRangeID":null,"MultiDynamicCollectionID":null,"SectionName":"ControleIndelingQRTSub","BlockName":"B1","VenaRangeType":5,"DimensionIdStr":"-1","MemberIdStr":"-1","DimensionId":-1,"MemberId":-1,"Inc":""},"_vena_DYNR_SControleIndelingQRTSub_BB1_3e6c8fc6_c346787d":{"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346787d","IsMultiDynamicRange":false,"MultiDynamicRangeID":null,"MultiDynamicCollectionID":null,"SectionName":"ControleIndelingQRTSub","BlockName":"B1","VenaRangeType":5,"DimensionIdStr":"-1","MemberIdStr":"-1","DimensionId":-1,"MemberId":-1,"Inc":""},"_vena_DYNR_SControleIndelingQRTSub_BB1_3e6c8fc6_c362a542":{"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362a542","IsMultiDynamicRange":false,"MultiDynamicRangeID":null,"MultiDynamicCollectionID":null,"SectionName":"ControleIndelingQRTSub","BlockName":"B1","VenaRangeType":5,"DimensionIdStr":"-1","MemberIdStr":"-1","DimensionId":-1,"MemberId":-1,"Inc":""},"_vena_DYNR_SControleIndelingQRTSub_BB1_3e6c8fc6_c54f5c57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54f5c57","IsMultiDynamicRange":false,"MultiDynamicRangeID":null,"MultiDynamicCollectionID":null,"SectionName":"ControleIndelingQRTSub","BlockName":"B1","VenaRangeType":5,"DimensionIdStr":"-1","MemberIdStr":"-1","DimensionId":-1,"MemberId":-1,"Inc":""},"_vena_DYNR_SControleIndelingQRTSub_BB1_3e6c8fc6_c5b271cc":{"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5b271cc","IsMultiDynamicRange":false,"MultiDynamicRangeID":null,"MultiDynamicCollectionID":null,"SectionName":"ControleIndelingQRTSub","BlockName":"B1","VenaRangeType":5,"DimensionIdStr":"-1","MemberIdStr":"-1","DimensionId":-1,"MemberId":-1,"Inc":""},"_vena_DYNR_SControleIndelingQRTSub_BB1_3e6c8fc6_c708f816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708f816","IsMultiDynamicRange":false,"MultiDynamicRangeID":null,"MultiDynamicCollectionID":null,"SectionName":"ControleIndelingQRTSub","BlockName":"B1","VenaRangeType":5,"DimensionIdStr":"-1","MemberIdStr":"-1","DimensionId":-1,"MemberId":-1,"Inc":""},"_vena_DYNR_SControleIndelingQRTSub_BB1_3e6c8fc6_c8674047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8674047","IsMultiDynamicRange":false,"MultiDynamicRangeID":null,"MultiDynamicCollectionID":null,"SectionName":"ControleIndelingQRTSub","BlockName":"B1","VenaRangeType":5,"DimensionIdStr":"-1","MemberIdStr":"-1","DimensionId":-1,"MemberId":-1,"Inc":""},"_vena_DYNR_SControleIndelingQRTSub_BB1_3e6c8fc6_c8d0c03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8d0c03b","IsMultiDynamicRange":false,"MultiDynamicRangeID":null,"MultiDynamicCollectionID":null,"SectionName":"ControleIndelingQRTSub","BlockName":"B1","VenaRangeType":5,"DimensionIdStr":"-1","MemberIdStr":"-1","DimensionId":-1,"MemberId":-1,"Inc":""},"_vena_DYNR_SControleIndelingQRTSub_BB1_3e6c8fc6_c92cf413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92cf413","IsMultiDynamicRange":false,"MultiDynamicRangeID":null,"MultiDynamicCollectionID":null,"SectionName":"ControleIndelingQRTSub","BlockName":"B1","VenaRangeType":5,"DimensionIdStr":"-1","MemberIdStr":"-1","DimensionId":-1,"MemberId":-1,"Inc":""},"_vena_DYNR_SControleIndelingQRTSub_BB1_3e6c8fc6_ca63e481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a63e481","IsMultiDynamicRange":false,"MultiDynamicRangeID":null,"MultiDynamicCollectionID":null,"SectionName":"ControleIndelingQRTSub","BlockName":"B1","VenaRangeType":5,"DimensionIdStr":"-1","MemberIdStr":"-1","DimensionId":-1,"MemberId":-1,"Inc":""},"_vena_DYNR_SControleIndelingQRTSub_BB1_3e6c8fc6_ca652f29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a652f29","IsMultiDynamicRange":false,"MultiDynamicRangeID":null,"MultiDynamicCollectionID":null,"SectionName":"ControleIndelingQRTSub","BlockName":"B1","VenaRangeType":5,"DimensionIdStr":"-1","MemberIdStr":"-1","DimensionId":-1,"MemberId":-1,"Inc":""},"_vena_DYNR_SControleIndelingQRTSub_BB1_3e6c8fc6_ca8d9eb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a8d9eb0","IsMultiDynamicRange":false,"MultiDynamicRangeID":null,"MultiDynamicCollectionID":null,"SectionName":"ControleIndelingQRTSub","BlockName":"B1","VenaRangeType":5,"DimensionIdStr":"-1","MemberIdStr":"-1","DimensionId":-1,"MemberId":-1,"Inc":""},"_vena_DYNR_SControleIndelingQRTSub_BB1_3e6c8fc6_cad1864f":{"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ad1864f","IsMultiDynamicRange":false,"MultiDynamicRangeID":null,"MultiDynamicCollectionID":null,"SectionName":"ControleIndelingQRTSub","BlockName":"B1","VenaRangeType":5,"DimensionIdStr":"-1","MemberIdStr":"-1","DimensionId":-1,"MemberId":-1,"Inc":""},"_vena_DYNR_SControleIndelingQRTSub_BB1_3e6c8fc6_cadd02d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add02d7","IsMultiDynamicRange":false,"MultiDynamicRangeID":null,"MultiDynamicCollectionID":null,"SectionName":"ControleIndelingQRTSub","BlockName":"B1","VenaRangeType":5,"DimensionIdStr":"-1","MemberIdStr":"-1","DimensionId":-1,"MemberId":-1,"Inc":""},"_vena_DYNR_SControleIndelingQRTSub_BB1_3e6c8fc6_cb1fb4d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b1fb4d5","IsMultiDynamicRange":false,"MultiDynamicRangeID":null,"MultiDynamicCollectionID":null,"SectionName":"ControleIndelingQRTSub","BlockName":"B1","VenaRangeType":5,"DimensionIdStr":"-1","MemberIdStr":"-1","DimensionId":-1,"MemberId":-1,"Inc":""},"_vena_DYNR_SControleIndelingQRTSub_BB1_3e6c8fc6_cb5ca8e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b5ca8ea","IsMultiDynamicRange":false,"MultiDynamicRangeID":null,"MultiDynamicCollectionID":null,"SectionName":"ControleIndelingQRTSub","BlockName":"B1","VenaRangeType":5,"DimensionIdStr":"-1","MemberIdStr":"-1","DimensionId":-1,"MemberId":-1,"Inc":""},"_vena_DYNR_SControleIndelingQRTSub_BB1_3e6c8fc6_cd0d6bd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d0d6bd3","IsMultiDynamicRange":false,"MultiDynamicRangeID":null,"MultiDynamicCollectionID":null,"SectionName":"ControleIndelingQRTSub","BlockName":"B1","VenaRangeType":5,"DimensionIdStr":"-1","MemberIdStr":"-1","DimensionId":-1,"MemberId":-1,"Inc":""},"_vena_DYNR_SControleIndelingQRTSub_BB1_3e6c8fc6_cd3026d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d3026d7","IsMultiDynamicRange":false,"MultiDynamicRangeID":null,"MultiDynamicCollectionID":null,"SectionName":"ControleIndelingQRTSub","BlockName":"B1","VenaRangeType":5,"DimensionIdStr":"-1","MemberIdStr":"-1","DimensionId":-1,"MemberId":-1,"Inc":""},"_vena_DYNR_SControleIndelingQRTSub_BB1_3e6c8fc6_cdb24113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cdb24113","IsMultiDynamicRange":false,"MultiDynamicRangeID":null,"MultiDynamicCollectionID":null,"SectionName":"ControleIndelingQRTSub","BlockName":"B1","VenaRangeType":5,"DimensionIdStr":"-1","MemberIdStr":"-1","DimensionId":-1,"MemberId":-1,"Inc":""},"_vena_DYNR_SControleIndelingQRTSub_BB1_3e6c8fc6_d058d24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058d24a","IsMultiDynamicRange":false,"MultiDynamicRangeID":null,"MultiDynamicCollectionID":null,"SectionName":"ControleIndelingQRTSub","BlockName":"B1","VenaRangeType":5,"DimensionIdStr":"-1","MemberIdStr":"-1","DimensionId":-1,"MemberId":-1,"Inc":""},"_vena_DYNR_SControleIndelingQRTSub_BB1_3e6c8fc6_d07734a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07734ab","IsMultiDynamicRange":false,"MultiDynamicRangeID":null,"MultiDynamicCollectionID":null,"SectionName":"ControleIndelingQRTSub","BlockName":"B1","VenaRangeType":5,"DimensionIdStr":"-1","MemberIdStr":"-1","DimensionId":-1,"MemberId":-1,"Inc":""},"_vena_DYNR_SControleIndelingQRTSub_BB1_3e6c8fc6_d2770487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2770487","IsMultiDynamicRange":false,"MultiDynamicRangeID":null,"MultiDynamicCollectionID":null,"SectionName":"ControleIndelingQRTSub","BlockName":"B1","VenaRangeType":5,"DimensionIdStr":"-1","MemberIdStr":"-1","DimensionId":-1,"MemberId":-1,"Inc":""},"_vena_DYNR_SControleIndelingQRTSub_BB1_3e6c8fc6_d28a3679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28a3679","IsMultiDynamicRange":false,"MultiDynamicRangeID":null,"MultiDynamicCollectionID":null,"SectionName":"ControleIndelingQRTSub","BlockName":"B1","VenaRangeType":5,"DimensionIdStr":"-1","MemberIdStr":"-1","DimensionId":-1,"MemberId":-1,"Inc":""},"_vena_DYNR_SControleIndelingQRTSub_BB1_3e6c8fc6_d43a0b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43a0b9","IsMultiDynamicRange":false,"MultiDynamicRangeID":null,"MultiDynamicCollectionID":null,"SectionName":"ControleIndelingQRTSub","BlockName":"B1","VenaRangeType":5,"DimensionIdStr":"-1","MemberIdStr":"-1","DimensionId":-1,"MemberId":-1,"Inc":""},"_vena_DYNR_SControleIndelingQRTSub_BB1_3e6c8fc6_d5527fe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5527fe4","IsMultiDynamicRange":false,"MultiDynamicRangeID":null,"MultiDynamicCollectionID":null,"SectionName":"ControleIndelingQRTSub","BlockName":"B1","VenaRangeType":5,"DimensionIdStr":"-1","MemberIdStr":"-1","DimensionId":-1,"MemberId":-1,"Inc":""},"_vena_DYNR_SControleIndelingQRTSub_BB1_3e6c8fc6_d5df9c23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5df9c23","IsMultiDynamicRange":false,"MultiDynamicRangeID":null,"MultiDynamicCollectionID":null,"SectionName":"ControleIndelingQRTSub","BlockName":"B1","VenaRangeType":5,"DimensionIdStr":"-1","MemberIdStr":"-1","DimensionId":-1,"MemberId":-1,"Inc":""},"_vena_DYNR_SControleIndelingQRTSub_BB1_3e6c8fc6_d86fb0f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86fb0fb","IsMultiDynamicRange":false,"MultiDynamicRangeID":null,"MultiDynamicCollectionID":null,"SectionName":"ControleIndelingQRTSub","BlockName":"B1","VenaRangeType":5,"DimensionIdStr":"-1","MemberIdStr":"-1","DimensionId":-1,"MemberId":-1,"Inc":""},"_vena_DYNR_SControleIndelingQRTSub_BB1_3e6c8fc6_da26d1b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a26d1b7","IsMultiDynamicRange":false,"MultiDynamicRangeID":null,"MultiDynamicCollectionID":null,"SectionName":"ControleIndelingQRTSub","BlockName":"B1","VenaRangeType":5,"DimensionIdStr":"-1","MemberIdStr":"-1","DimensionId":-1,"MemberId":-1,"Inc":""},"_vena_DYNR_SControleIndelingQRTSub_BB1_3e6c8fc6_da3c0e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a3c0e6","IsMultiDynamicRange":false,"MultiDynamicRangeID":null,"MultiDynamicCollectionID":null,"SectionName":"ControleIndelingQRTSub","BlockName":"B1","VenaRangeType":5,"DimensionIdStr":"-1","MemberIdStr":"-1","DimensionId":-1,"MemberId":-1,"Inc":""},"_vena_DYNR_SControleIndelingQRTSub_BB1_3e6c8fc6_dab3bf2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ab3bf2b","IsMultiDynamicRange":false,"MultiDynamicRangeID":null,"MultiDynamicCollectionID":null,"SectionName":"ControleIndelingQRTSub","BlockName":"B1","VenaRangeType":5,"DimensionIdStr":"-1","MemberIdStr":"-1","DimensionId":-1,"MemberId":-1,"Inc":""},"_vena_DYNR_SControleIndelingQRTSub_BB1_3e6c8fc6_df3cb19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f3cb19","IsMultiDynamicRange":false,"MultiDynamicRangeID":null,"MultiDynamicCollectionID":null,"SectionName":"ControleIndelingQRTSub","BlockName":"B1","VenaRangeType":5,"DimensionIdStr":"-1","MemberIdStr":"-1","DimensionId":-1,"MemberId":-1,"Inc":""},"_vena_DYNR_SControleIndelingQRTSub_BB1_3e6c8fc6_df6e921d":{"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f6e921d","IsMultiDynamicRange":false,"MultiDynamicRangeID":null,"MultiDynamicCollectionID":null,"SectionName":"ControleIndelingQRTSub","BlockName":"B1","VenaRangeType":5,"DimensionIdStr":"-1","MemberIdStr":"-1","DimensionId":-1,"MemberId":-1,"Inc":""},"_vena_DYNR_SControleIndelingQRTSub_BB1_3e6c8fc6_df9fc109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df9fc109","IsMultiDynamicRange":false,"MultiDynamicRangeID":null,"MultiDynamicCollectionID":null,"SectionName":"ControleIndelingQRTSub","BlockName":"B1","VenaRangeType":5,"DimensionIdStr":"-1","MemberIdStr":"-1","DimensionId":-1,"MemberId":-1,"Inc":""},"_vena_DYNR_SControleIndelingQRTSub_BB1_3e6c8fc6_e1c5edf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1c5edf7","IsMultiDynamicRange":false,"MultiDynamicRangeID":null,"MultiDynamicCollectionID":null,"SectionName":"ControleIndelingQRTSub","BlockName":"B1","VenaRangeType":5,"DimensionIdStr":"-1","MemberIdStr":"-1","DimensionId":-1,"MemberId":-1,"Inc":""},"_vena_DYNR_SControleIndelingQRTSub_BB1_3e6c8fc6_e4c44609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4c44609","IsMultiDynamicRange":false,"MultiDynamicRangeID":null,"MultiDynamicCollectionID":null,"SectionName":"ControleIndelingQRTSub","BlockName":"B1","VenaRangeType":5,"DimensionIdStr":"-1","MemberIdStr":"-1","DimensionId":-1,"MemberId":-1,"Inc":""},"_vena_DYNR_SControleIndelingQRTSub_BB1_3e6c8fc6_e53936b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53936b6","IsMultiDynamicRange":false,"MultiDynamicRangeID":null,"MultiDynamicCollectionID":null,"SectionName":"ControleIndelingQRTSub","BlockName":"B1","VenaRangeType":5,"DimensionIdStr":"-1","MemberIdStr":"-1","DimensionId":-1,"MemberId":-1,"Inc":""},"_vena_DYNR_SControleIndelingQRTSub_BB1_3e6c8fc6_e57c1ec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57c1ec9","IsMultiDynamicRange":false,"MultiDynamicRangeID":null,"MultiDynamicCollectionID":null,"SectionName":"ControleIndelingQRTSub","BlockName":"B1","VenaRangeType":5,"DimensionIdStr":"-1","MemberIdStr":"-1","DimensionId":-1,"MemberId":-1,"Inc":""},"_vena_DYNR_SControleIndelingQRTSub_BB1_3e6c8fc6_e66d77b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66d77b5","IsMultiDynamicRange":false,"MultiDynamicRangeID":null,"MultiDynamicCollectionID":null,"SectionName":"ControleIndelingQRTSub","BlockName":"B1","VenaRangeType":5,"DimensionIdStr":"-1","MemberIdStr":"-1","DimensionId":-1,"MemberId":-1,"Inc":""},"_vena_DYNR_SControleIndelingQRTSub_BB1_3e6c8fc6_e7c22ade":{"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7c22ade","IsMultiDynamicRange":false,"MultiDynamicRangeID":null,"MultiDynamicCollectionID":null,"SectionName":"ControleIndelingQRTSub","BlockName":"B1","VenaRangeType":5,"DimensionIdStr":"-1","MemberIdStr":"-1","DimensionId":-1,"MemberId":-1,"Inc":""},"_vena_DYNR_SControleIndelingQRTSub_BB1_3e6c8fc6_eacbcd76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acbcd76","IsMultiDynamicRange":false,"MultiDynamicRangeID":null,"MultiDynamicCollectionID":null,"SectionName":"ControleIndelingQRTSub","BlockName":"B1","VenaRangeType":5,"DimensionIdStr":"-1","MemberIdStr":"-1","DimensionId":-1,"MemberId":-1,"Inc":""},"_vena_DYNR_SControleIndelingQRTSub_BB1_3e6c8fc6_ec1015f":{"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c1015f","IsMultiDynamicRange":false,"MultiDynamicRangeID":null,"MultiDynamicCollectionID":null,"SectionName":"ControleIndelingQRTSub","BlockName":"B1","VenaRangeType":5,"DimensionIdStr":"-1","MemberIdStr":"-1","DimensionId":-1,"MemberId":-1,"Inc":""},"_vena_DYNR_SControleIndelingQRTSub_BB1_3e6c8fc6_ecc5d0c5":{"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cc5d0c5","IsMultiDynamicRange":false,"MultiDynamicRangeID":null,"MultiDynamicCollectionID":null,"SectionName":"ControleIndelingQRTSub","BlockName":"B1","VenaRangeType":5,"DimensionIdStr":"-1","MemberIdStr":"-1","DimensionId":-1,"MemberId":-1,"Inc":""},"_vena_DYNR_SControleIndelingQRTSub_BB1_3e6c8fc6_ed4d6d4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d4d6d4b","IsMultiDynamicRange":false,"MultiDynamicRangeID":null,"MultiDynamicCollectionID":null,"SectionName":"ControleIndelingQRTSub","BlockName":"B1","VenaRangeType":5,"DimensionIdStr":"-1","MemberIdStr":"-1","DimensionId":-1,"MemberId":-1,"Inc":""},"_vena_DYNR_SControleIndelingQRTSub_BB1_3e6c8fc6_eef60ed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ef60ed9","IsMultiDynamicRange":false,"MultiDynamicRangeID":null,"MultiDynamicCollectionID":null,"SectionName":"ControleIndelingQRTSub","BlockName":"B1","VenaRangeType":5,"DimensionIdStr":"-1","MemberIdStr":"-1","DimensionId":-1,"MemberId":-1,"Inc":""},"_vena_DYNR_SControleIndelingQRTSub_BB1_3e6c8fc6_ef0bf5e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ef0bf5e3","IsMultiDynamicRange":false,"MultiDynamicRangeID":null,"MultiDynamicCollectionID":null,"SectionName":"ControleIndelingQRTSub","BlockName":"B1","VenaRangeType":5,"DimensionIdStr":"-1","MemberIdStr":"-1","DimensionId":-1,"MemberId":-1,"Inc":""},"_vena_DYNR_SControleIndelingQRTSub_BB1_3e6c8fc6_f1610181":{"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1610181","IsMultiDynamicRange":false,"MultiDynamicRangeID":null,"MultiDynamicCollectionID":null,"SectionName":"ControleIndelingQRTSub","BlockName":"B1","VenaRangeType":5,"DimensionIdStr":"-1","MemberIdStr":"-1","DimensionId":-1,"MemberId":-1,"Inc":""},"_vena_DYNR_SControleIndelingQRTSub_BB1_3e6c8fc6_f2119a03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2119a03","IsMultiDynamicRange":false,"MultiDynamicRangeID":null,"MultiDynamicCollectionID":null,"SectionName":"ControleIndelingQRTSub","BlockName":"B1","VenaRangeType":5,"DimensionIdStr":"-1","MemberIdStr":"-1","DimensionId":-1,"MemberId":-1,"Inc":""},"_vena_DYNR_SControleIndelingQRTSub_BB1_3e6c8fc6_f3216054":{"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3216054","IsMultiDynamicRange":false,"MultiDynamicRangeID":null,"MultiDynamicCollectionID":null,"SectionName":"ControleIndelingQRTSub","BlockName":"B1","VenaRangeType":5,"DimensionIdStr":"-1","MemberIdStr":"-1","DimensionId":-1,"MemberId":-1,"Inc":""},"_vena_DYNR_SControleIndelingQRTSub_BB1_3e6c8fc6_f37efd23":{"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37efd23","IsMultiDynamicRange":false,"MultiDynamicRangeID":null,"MultiDynamicCollectionID":null,"SectionName":"ControleIndelingQRTSub","BlockName":"B1","VenaRangeType":5,"DimensionIdStr":"-1","MemberIdStr":"-1","DimensionId":-1,"MemberId":-1,"Inc":""},"_vena_DYNR_SControleIndelingQRTSub_BB1_3e6c8fc6_f3b55d62":{"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3b55d62","IsMultiDynamicRange":false,"MultiDynamicRangeID":null,"MultiDynamicCollectionID":null,"SectionName":"ControleIndelingQRTSub","BlockName":"B1","VenaRangeType":5,"DimensionIdStr":"-1","MemberIdStr":"-1","DimensionId":-1,"MemberId":-1,"Inc":""},"_vena_DYNR_SControleIndelingQRTSub_BB1_3e6c8fc6_f4e033d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4e033d9","IsMultiDynamicRange":false,"MultiDynamicRangeID":null,"MultiDynamicCollectionID":null,"SectionName":"ControleIndelingQRTSub","BlockName":"B1","VenaRangeType":5,"DimensionIdStr":"-1","MemberIdStr":"-1","DimensionId":-1,"MemberId":-1,"Inc":""},"_vena_DYNR_SControleIndelingQRTSub_BB1_3e6c8fc6_f535b04b":{"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535b04b","IsMultiDynamicRange":false,"MultiDynamicRangeID":null,"MultiDynamicCollectionID":null,"SectionName":"ControleIndelingQRTSub","BlockName":"B1","VenaRangeType":5,"DimensionIdStr":"-1","MemberIdStr":"-1","DimensionId":-1,"MemberId":-1,"Inc":""},"_vena_DYNR_SControleIndelingQRTSub_BB1_3e6c8fc6_f67f6b29":{"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67f6b29","IsMultiDynamicRange":false,"MultiDynamicRangeID":null,"MultiDynamicCollectionID":null,"SectionName":"ControleIndelingQRTSub","BlockName":"B1","VenaRangeType":5,"DimensionIdStr":"-1","MemberIdStr":"-1","DimensionId":-1,"MemberId":-1,"Inc":""},"_vena_DYNR_SControleIndelingQRTSub_BB1_3e6c8fc6_f84c873c":{"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84c873c","IsMultiDynamicRange":false,"MultiDynamicRangeID":null,"MultiDynamicCollectionID":null,"SectionName":"ControleIndelingQRTSub","BlockName":"B1","VenaRangeType":5,"DimensionIdStr":"-1","MemberIdStr":"-1","DimensionId":-1,"MemberId":-1,"Inc":""},"_vena_DYNR_SControleIndelingQRTSub_BB1_3e6c8fc6_f9c5ee07":{"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9c5ee07","IsMultiDynamicRange":false,"MultiDynamicRangeID":null,"MultiDynamicCollectionID":null,"SectionName":"ControleIndelingQRTSub","BlockName":"B1","VenaRangeType":5,"DimensionIdStr":"-1","MemberIdStr":"-1","DimensionId":-1,"MemberId":-1,"Inc":""},"_vena_DYNR_SControleIndelingQRTSub_BB1_3e6c8fc6_fa6e894a":{"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a6e894a","IsMultiDynamicRange":false,"MultiDynamicRangeID":null,"MultiDynamicCollectionID":null,"SectionName":"ControleIndelingQRTSub","BlockName":"B1","VenaRangeType":5,"DimensionIdStr":"-1","MemberIdStr":"-1","DimensionId":-1,"MemberId":-1,"Inc":""},"_vena_DYNR_SControleIndelingQRTSub_BB1_3e6c8fc6_fc06dbd6":{"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c06dbd6","IsMultiDynamicRange":false,"MultiDynamicRangeID":null,"MultiDynamicCollectionID":null,"SectionName":"ControleIndelingQRTSub","BlockName":"B1","VenaRangeType":5,"DimensionIdStr":"-1","MemberIdStr":"-1","DimensionId":-1,"MemberId":-1,"Inc":""},"_vena_DYNR_SControleIndelingQRTSub_BB1_3e6c8fc6_fd10a10":{"SourceGlobalVariableId":-1,"SourceFormVariableId":"00000000-0000-0000-0000-000000000000","IsPageVariable":false,"IsLineItemDetailEnabled":false,"LineItemDetailOrder":0,"LineItemID":null,"PageVariableSectionReference":"","PageVariableDimensionName":null,"IsDynamicRange":true,"IsDynamicRangeEntry":true,"DynamicRangeID":"3e6c8fc6","DynamicRangeEntryID":"fd10a10","IsMultiDynamicRange":false,"MultiDynamicRangeID":null,"MultiDynamicCollectionID":null,"SectionName":"ControleIndelingQRTSub","BlockName":"B1","VenaRangeType":5,"DimensionIdStr":"-1","MemberIdStr":"-1","DimensionId":-1,"MemberId":-1,"Inc":""},"_vena_DYNR_SControleIndelingQRTSub_BB1_575fcc0f":{"SourceGlobalVariableId":-1,"SourceFormVariableId":"00000000-0000-0000-0000-000000000000","IsPageVariable":false,"IsLineItemDetailEnabled":false,"LineItemDetailOrder":0,"LineItemID":null,"PageVariableSectionReference":"","PageVariableDimensionName":null,"IsDynamicRange":true,"IsDynamicRangeEntry":false,"DynamicRangeID":"575fcc0f","DynamicRangeEntryID":null,"IsMultiDynamicRange":false,"MultiDynamicRangeID":null,"MultiDynamicCollectionID":null,"SectionName":"ControleIndelingQRTSub","BlockName":"B1","VenaRangeType":5,"DimensionIdStr":"-1","MemberIdStr":"-1","DimensionId":-1,"MemberId":-1,"Inc":""},"_vena_DYNR_SControleIndelingQRTSub_BB1_575fcc0f_10c36634":{"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10c36634","IsMultiDynamicRange":false,"MultiDynamicRangeID":null,"MultiDynamicCollectionID":null,"SectionName":"ControleIndelingQRTSub","BlockName":"B1","VenaRangeType":5,"DimensionIdStr":"-1","MemberIdStr":"-1","DimensionId":-1,"MemberId":-1,"Inc":""},"_vena_DYNR_SControleIndelingQRTSub_BB1_575fcc0f_1634a3f6":{"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1634a3f6","IsMultiDynamicRange":false,"MultiDynamicRangeID":null,"MultiDynamicCollectionID":null,"SectionName":"ControleIndelingQRTSub","BlockName":"B1","VenaRangeType":5,"DimensionIdStr":"-1","MemberIdStr":"-1","DimensionId":-1,"MemberId":-1,"Inc":""},"_vena_DYNR_SControleIndelingQRTSub_BB1_575fcc0f_19a743c8":{"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19a743c8","IsMultiDynamicRange":false,"MultiDynamicRangeID":null,"MultiDynamicCollectionID":null,"SectionName":"ControleIndelingQRTSub","BlockName":"B1","VenaRangeType":5,"DimensionIdStr":"-1","MemberIdStr":"-1","DimensionId":-1,"MemberId":-1,"Inc":""},"_vena_DYNR_SControleIndelingQRTSub_BB1_575fcc0f_2198d42c":{"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2198d42c","IsMultiDynamicRange":false,"MultiDynamicRangeID":null,"MultiDynamicCollectionID":null,"SectionName":"ControleIndelingQRTSub","BlockName":"B1","VenaRangeType":5,"DimensionIdStr":"-1","MemberIdStr":"-1","DimensionId":-1,"MemberId":-1,"Inc":""},"_vena_DYNR_SControleIndelingQRTSub_BB1_575fcc0f_21e6e3d6":{"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21e6e3d6","IsMultiDynamicRange":false,"MultiDynamicRangeID":null,"MultiDynamicCollectionID":null,"SectionName":"ControleIndelingQRTSub","BlockName":"B1","VenaRangeType":5,"DimensionIdStr":"-1","MemberIdStr":"-1","DimensionId":-1,"MemberId":-1,"Inc":""},"_vena_DYNR_SControleIndelingQRTSub_BB1_575fcc0f_27ac6099":{"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27ac6099","IsMultiDynamicRange":false,"MultiDynamicRangeID":null,"MultiDynamicCollectionID":null,"SectionName":"ControleIndelingQRTSub","BlockName":"B1","VenaRangeType":5,"DimensionIdStr":"-1","MemberIdStr":"-1","DimensionId":-1,"MemberId":-1,"Inc":""},"_vena_DYNR_SControleIndelingQRTSub_BB1_575fcc0f_2cdcca61":{"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2cdcca61","IsMultiDynamicRange":false,"MultiDynamicRangeID":null,"MultiDynamicCollectionID":null,"SectionName":"ControleIndelingQRTSub","BlockName":"B1","VenaRangeType":5,"DimensionIdStr":"-1","MemberIdStr":"-1","DimensionId":-1,"MemberId":-1,"Inc":""},"_vena_DYNR_SControleIndelingQRTSub_BB1_575fcc0f_30b82fef":{"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30b82fef","IsMultiDynamicRange":false,"MultiDynamicRangeID":null,"MultiDynamicCollectionID":null,"SectionName":"ControleIndelingQRTSub","BlockName":"B1","VenaRangeType":5,"DimensionIdStr":"-1","MemberIdStr":"-1","DimensionId":-1,"MemberId":-1,"Inc":""},"_vena_DYNR_SControleIndelingQRTSub_BB1_575fcc0f_352818c":{"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352818c","IsMultiDynamicRange":false,"MultiDynamicRangeID":null,"MultiDynamicCollectionID":null,"SectionName":"ControleIndelingQRTSub","BlockName":"B1","VenaRangeType":5,"DimensionIdStr":"-1","MemberIdStr":"-1","DimensionId":-1,"MemberId":-1,"Inc":""},"_vena_DYNR_SControleIndelingQRTSub_BB1_575fcc0f_3d30d5fb":{"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3d30d5fb","IsMultiDynamicRange":false,"MultiDynamicRangeID":null,"MultiDynamicCollectionID":null,"SectionName":"ControleIndelingQRTSub","BlockName":"B1","VenaRangeType":5,"DimensionIdStr":"-1","MemberIdStr":"-1","DimensionId":-1,"MemberId":-1,"Inc":""},"_vena_DYNR_SControleIndelingQRTSub_BB1_575fcc0f_3ea909db":{"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3ea909db","IsMultiDynamicRange":false,"MultiDynamicRangeID":null,"MultiDynamicCollectionID":null,"SectionName":"ControleIndelingQRTSub","BlockName":"B1","VenaRangeType":5,"DimensionIdStr":"-1","MemberIdStr":"-1","DimensionId":-1,"MemberId":-1,"Inc":""},"_vena_DYNR_SControleIndelingQRTSub_BB1_575fcc0f_3fceb1b5":{"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3fceb1b5","IsMultiDynamicRange":false,"MultiDynamicRangeID":null,"MultiDynamicCollectionID":null,"SectionName":"ControleIndelingQRTSub","BlockName":"B1","VenaRangeType":5,"DimensionIdStr":"-1","MemberIdStr":"-1","DimensionId":-1,"MemberId":-1,"Inc":""},"_vena_DYNR_SControleIndelingQRTSub_BB1_575fcc0f_4362f2c9":{"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4362f2c9","IsMultiDynamicRange":false,"MultiDynamicRangeID":null,"MultiDynamicCollectionID":null,"SectionName":"ControleIndelingQRTSub","BlockName":"B1","VenaRangeType":5,"DimensionIdStr":"-1","MemberIdStr":"-1","DimensionId":-1,"MemberId":-1,"Inc":""},"_vena_DYNR_SControleIndelingQRTSub_BB1_575fcc0f_458fda26":{"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458fda26","IsMultiDynamicRange":false,"MultiDynamicRangeID":null,"MultiDynamicCollectionID":null,"SectionName":"ControleIndelingQRTSub","BlockName":"B1","VenaRangeType":5,"DimensionIdStr":"-1","MemberIdStr":"-1","DimensionId":-1,"MemberId":-1,"Inc":""},"_vena_DYNR_SControleIndelingQRTSub_BB1_575fcc0f_4693a051":{"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4693a051","IsMultiDynamicRange":false,"MultiDynamicRangeID":null,"MultiDynamicCollectionID":null,"SectionName":"ControleIndelingQRTSub","BlockName":"B1","VenaRangeType":5,"DimensionIdStr":"-1","MemberIdStr":"-1","DimensionId":-1,"MemberId":-1,"Inc":""},"_vena_DYNR_SControleIndelingQRTSub_BB1_575fcc0f_48a3b5e5":{"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48a3b5e5","IsMultiDynamicRange":false,"MultiDynamicRangeID":null,"MultiDynamicCollectionID":null,"SectionName":"ControleIndelingQRTSub","BlockName":"B1","VenaRangeType":5,"DimensionIdStr":"-1","MemberIdStr":"-1","DimensionId":-1,"MemberId":-1,"Inc":""},"_vena_DYNR_SControleIndelingQRTSub_BB1_575fcc0f_528eaffd":{"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528eaffd","IsMultiDynamicRange":false,"MultiDynamicRangeID":null,"MultiDynamicCollectionID":null,"SectionName":"ControleIndelingQRTSub","BlockName":"B1","VenaRangeType":5,"DimensionIdStr":"-1","MemberIdStr":"-1","DimensionId":-1,"MemberId":-1,"Inc":""},"_vena_DYNR_SControleIndelingQRTSub_BB1_575fcc0f_532c88e0":{"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532c88e0","IsMultiDynamicRange":false,"MultiDynamicRangeID":null,"MultiDynamicCollectionID":null,"SectionName":"ControleIndelingQRTSub","BlockName":"B1","VenaRangeType":5,"DimensionIdStr":"-1","MemberIdStr":"-1","DimensionId":-1,"MemberId":-1,"Inc":""},"_vena_DYNR_SControleIndelingQRTSub_BB1_575fcc0f_5e417afb":{"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5e417afb","IsMultiDynamicRange":false,"MultiDynamicRangeID":null,"MultiDynamicCollectionID":null,"SectionName":"ControleIndelingQRTSub","BlockName":"B1","VenaRangeType":5,"DimensionIdStr":"-1","MemberIdStr":"-1","DimensionId":-1,"MemberId":-1,"Inc":""},"_vena_DYNR_SControleIndelingQRTSub_BB1_575fcc0f_65499496":{"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65499496","IsMultiDynamicRange":false,"MultiDynamicRangeID":null,"MultiDynamicCollectionID":null,"SectionName":"ControleIndelingQRTSub","BlockName":"B1","VenaRangeType":5,"DimensionIdStr":"-1","MemberIdStr":"-1","DimensionId":-1,"MemberId":-1,"Inc":""},"_vena_DYNR_SControleIndelingQRTSub_BB1_575fcc0f_6695f733":{"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6695f733","IsMultiDynamicRange":false,"MultiDynamicRangeID":null,"MultiDynamicCollectionID":null,"SectionName":"ControleIndelingQRTSub","BlockName":"B1","VenaRangeType":5,"DimensionIdStr":"-1","MemberIdStr":"-1","DimensionId":-1,"MemberId":-1,"Inc":""},"_vena_DYNR_SControleIndelingQRTSub_BB1_575fcc0f_68e13a63":{"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68e13a63","IsMultiDynamicRange":false,"MultiDynamicRangeID":null,"MultiDynamicCollectionID":null,"SectionName":"ControleIndelingQRTSub","BlockName":"B1","VenaRangeType":5,"DimensionIdStr":"-1","MemberIdStr":"-1","DimensionId":-1,"MemberId":-1,"Inc":""},"_vena_DYNR_SControleIndelingQRTSub_BB1_575fcc0f_6b1863e6":{"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6b1863e6","IsMultiDynamicRange":false,"MultiDynamicRangeID":null,"MultiDynamicCollectionID":null,"SectionName":"ControleIndelingQRTSub","BlockName":"B1","VenaRangeType":5,"DimensionIdStr":"-1","MemberIdStr":"-1","DimensionId":-1,"MemberId":-1,"Inc":""},"_vena_DYNR_SControleIndelingQRTSub_BB1_575fcc0f_6d7edbdd":{"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6d7edbdd","IsMultiDynamicRange":false,"MultiDynamicRangeID":null,"MultiDynamicCollectionID":null,"SectionName":"ControleIndelingQRTSub","BlockName":"B1","VenaRangeType":5,"DimensionIdStr":"-1","MemberIdStr":"-1","DimensionId":-1,"MemberId":-1,"Inc":""},"_vena_DYNR_SControleIndelingQRTSub_BB1_575fcc0f_935b0a9a":{"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935b0a9a","IsMultiDynamicRange":false,"MultiDynamicRangeID":null,"MultiDynamicCollectionID":null,"SectionName":"ControleIndelingQRTSub","BlockName":"B1","VenaRangeType":5,"DimensionIdStr":"-1","MemberIdStr":"-1","DimensionId":-1,"MemberId":-1,"Inc":""},"_vena_DYNR_SControleIndelingQRTSub_BB1_575fcc0f_961e9751":{"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961e9751","IsMultiDynamicRange":false,"MultiDynamicRangeID":null,"MultiDynamicCollectionID":null,"SectionName":"ControleIndelingQRTSub","BlockName":"B1","VenaRangeType":5,"DimensionIdStr":"-1","MemberIdStr":"-1","DimensionId":-1,"MemberId":-1,"Inc":""},"_vena_DYNR_SControleIndelingQRTSub_BB1_575fcc0f_9de3531b":{"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9de3531b","IsMultiDynamicRange":false,"MultiDynamicRangeID":null,"MultiDynamicCollectionID":null,"SectionName":"ControleIndelingQRTSub","BlockName":"B1","VenaRangeType":5,"DimensionIdStr":"-1","MemberIdStr":"-1","DimensionId":-1,"MemberId":-1,"Inc":""},"_vena_DYNR_SControleIndelingQRTSub_BB1_575fcc0f_a10abc60":{"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a10abc60","IsMultiDynamicRange":false,"MultiDynamicRangeID":null,"MultiDynamicCollectionID":null,"SectionName":"ControleIndelingQRTSub","BlockName":"B1","VenaRangeType":5,"DimensionIdStr":"-1","MemberIdStr":"-1","DimensionId":-1,"MemberId":-1,"Inc":""},"_vena_DYNR_SControleIndelingQRTSub_BB1_575fcc0f_a21d1c2a":{"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a21d1c2a","IsMultiDynamicRange":false,"MultiDynamicRangeID":null,"MultiDynamicCollectionID":null,"SectionName":"ControleIndelingQRTSub","BlockName":"B1","VenaRangeType":5,"DimensionIdStr":"-1","MemberIdStr":"-1","DimensionId":-1,"MemberId":-1,"Inc":""},"_vena_DYNR_SControleIndelingQRTSub_BB1_575fcc0f_cb4645b6":{"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cb4645b6","IsMultiDynamicRange":false,"MultiDynamicRangeID":null,"MultiDynamicCollectionID":null,"SectionName":"ControleIndelingQRTSub","BlockName":"B1","VenaRangeType":5,"DimensionIdStr":"-1","MemberIdStr":"-1","DimensionId":-1,"MemberId":-1,"Inc":""},"_vena_DYNR_SControleIndelingQRTSub_BB1_575fcc0f_cf23a773":{"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cf23a773","IsMultiDynamicRange":false,"MultiDynamicRangeID":null,"MultiDynamicCollectionID":null,"SectionName":"ControleIndelingQRTSub","BlockName":"B1","VenaRangeType":5,"DimensionIdStr":"-1","MemberIdStr":"-1","DimensionId":-1,"MemberId":-1,"Inc":""},"_vena_DYNR_SControleIndelingQRTSub_BB1_575fcc0f_d3ebe643":{"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d3ebe643","IsMultiDynamicRange":false,"MultiDynamicRangeID":null,"MultiDynamicCollectionID":null,"SectionName":"ControleIndelingQRTSub","BlockName":"B1","VenaRangeType":5,"DimensionIdStr":"-1","MemberIdStr":"-1","DimensionId":-1,"MemberId":-1,"Inc":""},"_vena_DYNR_SControleIndelingQRTSub_BB1_575fcc0f_d820daf2":{"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d820daf2","IsMultiDynamicRange":false,"MultiDynamicRangeID":null,"MultiDynamicCollectionID":null,"SectionName":"ControleIndelingQRTSub","BlockName":"B1","VenaRangeType":5,"DimensionIdStr":"-1","MemberIdStr":"-1","DimensionId":-1,"MemberId":-1,"Inc":""},"_vena_DYNR_SControleIndelingQRTSub_BB1_575fcc0f_e4035817":{"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e4035817","IsMultiDynamicRange":false,"MultiDynamicRangeID":null,"MultiDynamicCollectionID":null,"SectionName":"ControleIndelingQRTSub","BlockName":"B1","VenaRangeType":5,"DimensionIdStr":"-1","MemberIdStr":"-1","DimensionId":-1,"MemberId":-1,"Inc":""},"_vena_DYNR_SControleIndelingQRTSub_BB1_575fcc0f_ebded686":{"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ebded686","IsMultiDynamicRange":false,"MultiDynamicRangeID":null,"MultiDynamicCollectionID":null,"SectionName":"ControleIndelingQRTSub","BlockName":"B1","VenaRangeType":5,"DimensionIdStr":"-1","MemberIdStr":"-1","DimensionId":-1,"MemberId":-1,"Inc":""},"_vena_DYNR_SControleIndelingQRTSub_BB1_575fcc0f_f3ea7214":{"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f3ea7214","IsMultiDynamicRange":false,"MultiDynamicRangeID":null,"MultiDynamicCollectionID":null,"SectionName":"ControleIndelingQRTSub","BlockName":"B1","VenaRangeType":5,"DimensionIdStr":"-1","MemberIdStr":"-1","DimensionId":-1,"MemberId":-1,"Inc":""},"_vena_DYNR_SControleIndelingQRTSub_BB1_575fcc0f_f46fe958":{"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f46fe958","IsMultiDynamicRange":false,"MultiDynamicRangeID":null,"MultiDynamicCollectionID":null,"SectionName":"ControleIndelingQRTSub","BlockName":"B1","VenaRangeType":5,"DimensionIdStr":"-1","MemberIdStr":"-1","DimensionId":-1,"MemberId":-1,"Inc":""},"_vena_DYNR_SControleIndelingQRTSub_BB1_575fcc0f_f8f4f918":{"SourceGlobalVariableId":-1,"SourceFormVariableId":"00000000-0000-0000-0000-000000000000","IsPageVariable":false,"IsLineItemDetailEnabled":false,"LineItemDetailOrder":0,"LineItemID":null,"PageVariableSectionReference":"","PageVariableDimensionName":null,"IsDynamicRange":true,"IsDynamicRangeEntry":true,"DynamicRangeID":"575fcc0f","DynamicRangeEntryID":"f8f4f918","IsMultiDynamicRange":false,"MultiDynamicRangeID":null,"MultiDynamicCollectionID":null,"SectionName":"ControleIndelingQRTSub","BlockName":"B1","VenaRangeType":5,"DimensionIdStr":"-1","MemberIdStr":"-1","DimensionId":-1,"MemberId":-1,"Inc":""},"_vena_DYNR_SControleIndelingQRTSub_BB1_73e5a69c":{"SourceGlobalVariableId":-1,"SourceFormVariableId":"00000000-0000-0000-0000-000000000000","IsPageVariable":false,"IsLineItemDetailEnabled":false,"LineItemDetailOrder":0,"LineItemID":null,"PageVariableSectionReference":"","PageVariableDimensionName":null,"IsDynamicRange":true,"IsDynamicRangeEntry":false,"DynamicRangeID":"73e5a69c","DynamicRangeEntryID":null,"IsMultiDynamicRange":false,"MultiDynamicRangeID":null,"MultiDynamicCollectionID":null,"SectionName":"ControleIndelingQRTSub","BlockName":"B1","VenaRangeType":5,"DimensionIdStr":"-1","MemberIdStr":"-1","DimensionId":-1,"MemberId":-1,"Inc":""},"_vena_DYNR_SControleIndelingQRTSub_BB1_73e5a69c_152b0c28":{"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152b0c28","IsMultiDynamicRange":false,"MultiDynamicRangeID":null,"MultiDynamicCollectionID":null,"SectionName":"ControleIndelingQRTSub","BlockName":"B1","VenaRangeType":5,"DimensionIdStr":"-1","MemberIdStr":"-1","DimensionId":-1,"MemberId":-1,"Inc":""},"_vena_DYNR_SControleIndelingQRTSub_BB1_73e5a69c_155ef897":{"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155ef897","IsMultiDynamicRange":false,"MultiDynamicRangeID":null,"MultiDynamicCollectionID":null,"SectionName":"ControleIndelingQRTSub","BlockName":"B1","VenaRangeType":5,"DimensionIdStr":"-1","MemberIdStr":"-1","DimensionId":-1,"MemberId":-1,"Inc":""},"_vena_DYNR_SControleIndelingQRTSub_BB1_73e5a69c_18b06d53":{"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18b06d53","IsMultiDynamicRange":false,"MultiDynamicRangeID":null,"MultiDynamicCollectionID":null,"SectionName":"ControleIndelingQRTSub","BlockName":"B1","VenaRangeType":5,"DimensionIdStr":"-1","MemberIdStr":"-1","DimensionId":-1,"MemberId":-1,"Inc":""},"_vena_DYNR_SControleIndelingQRTSub_BB1_73e5a69c_1a55361f":{"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1a55361f","IsMultiDynamicRange":false,"MultiDynamicRangeID":null,"MultiDynamicCollectionID":null,"SectionName":"ControleIndelingQRTSub","BlockName":"B1","VenaRangeType":5,"DimensionIdStr":"-1","MemberIdStr":"-1","DimensionId":-1,"MemberId":-1,"Inc":""},"_vena_DYNR_SControleIndelingQRTSub_BB1_73e5a69c_1afb0c2c":{"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1afb0c2c","IsMultiDynamicRange":false,"MultiDynamicRangeID":null,"MultiDynamicCollectionID":null,"SectionName":"ControleIndelingQRTSub","BlockName":"B1","VenaRangeType":5,"DimensionIdStr":"-1","MemberIdStr":"-1","DimensionId":-1,"MemberId":-1,"Inc":""},"_vena_DYNR_SControleIndelingQRTSub_BB1_73e5a69c_1cf5ce71":{"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1cf5ce71","IsMultiDynamicRange":false,"MultiDynamicRangeID":null,"MultiDynamicCollectionID":null,"SectionName":"ControleIndelingQRTSub","BlockName":"B1","VenaRangeType":5,"DimensionIdStr":"-1","MemberIdStr":"-1","DimensionId":-1,"MemberId":-1,"Inc":""},"_vena_DYNR_SControleIndelingQRTSub_BB1_73e5a69c_1dd8fc6c":{"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1dd8fc6c","IsMultiDynamicRange":false,"MultiDynamicRangeID":null,"MultiDynamicCollectionID":null,"SectionName":"ControleIndelingQRTSub","BlockName":"B1","VenaRangeType":5,"DimensionIdStr":"-1","MemberIdStr":"-1","DimensionId":-1,"MemberId":-1,"Inc":""},"_vena_DYNR_SControleIndelingQRTSub_BB1_73e5a69c_1fe6dd7f":{"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1fe6dd7f","IsMultiDynamicRange":false,"MultiDynamicRangeID":null,"MultiDynamicCollectionID":null,"SectionName":"ControleIndelingQRTSub","BlockName":"B1","VenaRangeType":5,"DimensionIdStr":"-1","MemberIdStr":"-1","DimensionId":-1,"MemberId":-1,"Inc":""},"_vena_DYNR_SControleIndelingQRTSub_BB1_73e5a69c_240162a6":{"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240162a6","IsMultiDynamicRange":false,"MultiDynamicRangeID":null,"MultiDynamicCollectionID":null,"SectionName":"ControleIndelingQRTSub","BlockName":"B1","VenaRangeType":5,"DimensionIdStr":"-1","MemberIdStr":"-1","DimensionId":-1,"MemberId":-1,"Inc":""},"_vena_DYNR_SControleIndelingQRTSub_BB1_73e5a69c_25ea7bc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25ea7bc9","IsMultiDynamicRange":false,"MultiDynamicRangeID":null,"MultiDynamicCollectionID":null,"SectionName":"ControleIndelingQRTSub","BlockName":"B1","VenaRangeType":5,"DimensionIdStr":"-1","MemberIdStr":"-1","DimensionId":-1,"MemberId":-1,"Inc":""},"_vena_DYNR_SControleIndelingQRTSub_BB1_73e5a69c_27183b09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27183b09","IsMultiDynamicRange":false,"MultiDynamicRangeID":null,"MultiDynamicCollectionID":null,"SectionName":"ControleIndelingQRTSub","BlockName":"B1","VenaRangeType":5,"DimensionIdStr":"-1","MemberIdStr":"-1","DimensionId":-1,"MemberId":-1,"Inc":""},"_vena_DYNR_SControleIndelingQRTSub_BB1_73e5a69c_2722dd53":{"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2722dd53","IsMultiDynamicRange":false,"MultiDynamicRangeID":null,"MultiDynamicCollectionID":null,"SectionName":"ControleIndelingQRTSub","BlockName":"B1","VenaRangeType":5,"DimensionIdStr":"-1","MemberIdStr":"-1","DimensionId":-1,"MemberId":-1,"Inc":""},"_vena_DYNR_SControleIndelingQRTSub_BB1_73e5a69c_2d15468f":{"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2d15468f","IsMultiDynamicRange":false,"MultiDynamicRangeID":null,"MultiDynamicCollectionID":null,"SectionName":"ControleIndelingQRTSub","BlockName":"B1","VenaRangeType":5,"DimensionIdStr":"-1","MemberIdStr":"-1","DimensionId":-1,"MemberId":-1,"Inc":""},"_vena_DYNR_SControleIndelingQRTSub_BB1_73e5a69c_2e9898e0":{"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2e9898e0","IsMultiDynamicRange":false,"MultiDynamicRangeID":null,"MultiDynamicCollectionID":null,"SectionName":"ControleIndelingQRTSub","BlockName":"B1","VenaRangeType":5,"DimensionIdStr":"-1","MemberIdStr":"-1","DimensionId":-1,"MemberId":-1,"Inc":""},"_vena_DYNR_SControleIndelingQRTSub_BB1_73e5a69c_312ad704":{"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312ad704","IsMultiDynamicRange":false,"MultiDynamicRangeID":null,"MultiDynamicCollectionID":null,"SectionName":"ControleIndelingQRTSub","BlockName":"B1","VenaRangeType":5,"DimensionIdStr":"-1","MemberIdStr":"-1","DimensionId":-1,"MemberId":-1,"Inc":""},"_vena_DYNR_SControleIndelingQRTSub_BB1_73e5a69c_365e4ed6":{"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365e4ed6","IsMultiDynamicRange":false,"MultiDynamicRangeID":null,"MultiDynamicCollectionID":null,"SectionName":"ControleIndelingQRTSub","BlockName":"B1","VenaRangeType":5,"DimensionIdStr":"-1","MemberIdStr":"-1","DimensionId":-1,"MemberId":-1,"Inc":""},"_vena_DYNR_SControleIndelingQRTSub_BB1_73e5a69c_36af199f":{"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36af199f","IsMultiDynamicRange":false,"MultiDynamicRangeID":null,"MultiDynamicCollectionID":null,"SectionName":"ControleIndelingQRTSub","BlockName":"B1","VenaRangeType":5,"DimensionIdStr":"-1","MemberIdStr":"-1","DimensionId":-1,"MemberId":-1,"Inc":""},"_vena_DYNR_SControleIndelingQRTSub_BB1_73e5a69c_38c6ddd5":{"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38c6ddd5","IsMultiDynamicRange":false,"MultiDynamicRangeID":null,"MultiDynamicCollectionID":null,"SectionName":"ControleIndelingQRTSub","BlockName":"B1","VenaRangeType":5,"DimensionIdStr":"-1","MemberIdStr":"-1","DimensionId":-1,"MemberId":-1,"Inc":""},"_vena_DYNR_SControleIndelingQRTSub_BB1_73e5a69c_3a2bead8":{"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3a2bead8","IsMultiDynamicRange":false,"MultiDynamicRangeID":null,"MultiDynamicCollectionID":null,"SectionName":"ControleIndelingQRTSub","BlockName":"B1","VenaRangeType":5,"DimensionIdStr":"-1","MemberIdStr":"-1","DimensionId":-1,"MemberId":-1,"Inc":""},"_vena_DYNR_SControleIndelingQRTSub_BB1_73e5a69c_3d3afcd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3d3afcd9","IsMultiDynamicRange":false,"MultiDynamicRangeID":null,"MultiDynamicCollectionID":null,"SectionName":"ControleIndelingQRTSub","BlockName":"B1","VenaRangeType":5,"DimensionIdStr":"-1","MemberIdStr":"-1","DimensionId":-1,"MemberId":-1,"Inc":""},"_vena_DYNR_SControleIndelingQRTSub_BB1_73e5a69c_40f11808":{"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40f11808","IsMultiDynamicRange":false,"MultiDynamicRangeID":null,"MultiDynamicCollectionID":null,"SectionName":"ControleIndelingQRTSub","BlockName":"B1","VenaRangeType":5,"DimensionIdStr":"-1","MemberIdStr":"-1","DimensionId":-1,"MemberId":-1,"Inc":""},"_vena_DYNR_SControleIndelingQRTSub_BB1_73e5a69c_42271e05":{"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42271e05","IsMultiDynamicRange":false,"MultiDynamicRangeID":null,"MultiDynamicCollectionID":null,"SectionName":"ControleIndelingQRTSub","BlockName":"B1","VenaRangeType":5,"DimensionIdStr":"-1","MemberIdStr":"-1","DimensionId":-1,"MemberId":-1,"Inc":""},"_vena_DYNR_SControleIndelingQRTSub_BB1_73e5a69c_47e8da72":{"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47e8da72","IsMultiDynamicRange":false,"MultiDynamicRangeID":null,"MultiDynamicCollectionID":null,"SectionName":"ControleIndelingQRTSub","BlockName":"B1","VenaRangeType":5,"DimensionIdStr":"-1","MemberIdStr":"-1","DimensionId":-1,"MemberId":-1,"Inc":""},"_vena_DYNR_SControleIndelingQRTSub_BB1_73e5a69c_4901c310":{"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4901c310","IsMultiDynamicRange":false,"MultiDynamicRangeID":null,"MultiDynamicCollectionID":null,"SectionName":"ControleIndelingQRTSub","BlockName":"B1","VenaRangeType":5,"DimensionIdStr":"-1","MemberIdStr":"-1","DimensionId":-1,"MemberId":-1,"Inc":""},"_vena_DYNR_SControleIndelingQRTSub_BB1_73e5a69c_4c87e6e7":{"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4c87e6e7","IsMultiDynamicRange":false,"MultiDynamicRangeID":null,"MultiDynamicCollectionID":null,"SectionName":"ControleIndelingQRTSub","BlockName":"B1","VenaRangeType":5,"DimensionIdStr":"-1","MemberIdStr":"-1","DimensionId":-1,"MemberId":-1,"Inc":""},"_vena_DYNR_SControleIndelingQRTSub_BB1_73e5a69c_5281090c":{"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5281090c","IsMultiDynamicRange":false,"MultiDynamicRangeID":null,"MultiDynamicCollectionID":null,"SectionName":"ControleIndelingQRTSub","BlockName":"B1","VenaRangeType":5,"DimensionIdStr":"-1","MemberIdStr":"-1","DimensionId":-1,"MemberId":-1,"Inc":""},"_vena_DYNR_SControleIndelingQRTSub_BB1_73e5a69c_530673c2":{"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530673c2","IsMultiDynamicRange":false,"MultiDynamicRangeID":null,"MultiDynamicCollectionID":null,"SectionName":"ControleIndelingQRTSub","BlockName":"B1","VenaRangeType":5,"DimensionIdStr":"-1","MemberIdStr":"-1","DimensionId":-1,"MemberId":-1,"Inc":""},"_vena_DYNR_SControleIndelingQRTSub_BB1_73e5a69c_53dc0f2a":{"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53dc0f2a","IsMultiDynamicRange":false,"MultiDynamicRangeID":null,"MultiDynamicCollectionID":null,"SectionName":"ControleIndelingQRTSub","BlockName":"B1","VenaRangeType":5,"DimensionIdStr":"-1","MemberIdStr":"-1","DimensionId":-1,"MemberId":-1,"Inc":""},"_vena_DYNR_SControleIndelingQRTSub_BB1_73e5a69c_56e3fcdf":{"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56e3fcdf","IsMultiDynamicRange":false,"MultiDynamicRangeID":null,"MultiDynamicCollectionID":null,"SectionName":"ControleIndelingQRTSub","BlockName":"B1","VenaRangeType":5,"DimensionIdStr":"-1","MemberIdStr":"-1","DimensionId":-1,"MemberId":-1,"Inc":""},"_vena_DYNR_SControleIndelingQRTSub_BB1_73e5a69c_5e762fda":{"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5e762fda","IsMultiDynamicRange":false,"MultiDynamicRangeID":null,"MultiDynamicCollectionID":null,"SectionName":"ControleIndelingQRTSub","BlockName":"B1","VenaRangeType":5,"DimensionIdStr":"-1","MemberIdStr":"-1","DimensionId":-1,"MemberId":-1,"Inc":""},"_vena_DYNR_SControleIndelingQRTSub_BB1_73e5a69c_63b5bb49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63b5bb49","IsMultiDynamicRange":false,"MultiDynamicRangeID":null,"MultiDynamicCollectionID":null,"SectionName":"ControleIndelingQRTSub","BlockName":"B1","VenaRangeType":5,"DimensionIdStr":"-1","MemberIdStr":"-1","DimensionId":-1,"MemberId":-1,"Inc":""},"_vena_DYNR_SControleIndelingQRTSub_BB1_73e5a69c_65263f2a":{"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65263f2a","IsMultiDynamicRange":false,"MultiDynamicRangeID":null,"MultiDynamicCollectionID":null,"SectionName":"ControleIndelingQRTSub","BlockName":"B1","VenaRangeType":5,"DimensionIdStr":"-1","MemberIdStr":"-1","DimensionId":-1,"MemberId":-1,"Inc":""},"_vena_DYNR_SControleIndelingQRTSub_BB1_73e5a69c_6b648b0c":{"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6b648b0c","IsMultiDynamicRange":false,"MultiDynamicRangeID":null,"MultiDynamicCollectionID":null,"SectionName":"ControleIndelingQRTSub","BlockName":"B1","VenaRangeType":5,"DimensionIdStr":"-1","MemberIdStr":"-1","DimensionId":-1,"MemberId":-1,"Inc":""},"_vena_DYNR_SControleIndelingQRTSub_BB1_73e5a69c_6ceffb55":{"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6ceffb55","IsMultiDynamicRange":false,"MultiDynamicRangeID":null,"MultiDynamicCollectionID":null,"SectionName":"ControleIndelingQRTSub","BlockName":"B1","VenaRangeType":5,"DimensionIdStr":"-1","MemberIdStr":"-1","DimensionId":-1,"MemberId":-1,"Inc":""},"_vena_DYNR_SControleIndelingQRTSub_BB1_73e5a69c_6d4c7bf5":{"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6d4c7bf5","IsMultiDynamicRange":false,"MultiDynamicRangeID":null,"MultiDynamicCollectionID":null,"SectionName":"ControleIndelingQRTSub","BlockName":"B1","VenaRangeType":5,"DimensionIdStr":"-1","MemberIdStr":"-1","DimensionId":-1,"MemberId":-1,"Inc":""},"_vena_DYNR_SControleIndelingQRTSub_BB1_73e5a69c_75abc31f":{"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75abc31f","IsMultiDynamicRange":false,"MultiDynamicRangeID":null,"MultiDynamicCollectionID":null,"SectionName":"ControleIndelingQRTSub","BlockName":"B1","VenaRangeType":5,"DimensionIdStr":"-1","MemberIdStr":"-1","DimensionId":-1,"MemberId":-1,"Inc":""},"_vena_DYNR_SControleIndelingQRTSub_BB1_73e5a69c_7fe575e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7fe575e9","IsMultiDynamicRange":false,"MultiDynamicRangeID":null,"MultiDynamicCollectionID":null,"SectionName":"ControleIndelingQRTSub","BlockName":"B1","VenaRangeType":5,"DimensionIdStr":"-1","MemberIdStr":"-1","DimensionId":-1,"MemberId":-1,"Inc":""},"_vena_DYNR_SControleIndelingQRTSub_BB1_73e5a69c_819173":{"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819173","IsMultiDynamicRange":false,"MultiDynamicRangeID":null,"MultiDynamicCollectionID":null,"SectionName":"ControleIndelingQRTSub","BlockName":"B1","VenaRangeType":5,"DimensionIdStr":"-1","MemberIdStr":"-1","DimensionId":-1,"MemberId":-1,"Inc":""},"_vena_DYNR_SControleIndelingQRTSub_BB1_73e5a69c_82922c28":{"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82922c28","IsMultiDynamicRange":false,"MultiDynamicRangeID":null,"MultiDynamicCollectionID":null,"SectionName":"ControleIndelingQRTSub","BlockName":"B1","VenaRangeType":5,"DimensionIdStr":"-1","MemberIdStr":"-1","DimensionId":-1,"MemberId":-1,"Inc":""},"_vena_DYNR_SControleIndelingQRTSub_BB1_73e5a69c_833fd690":{"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833fd690","IsMultiDynamicRange":false,"MultiDynamicRangeID":null,"MultiDynamicCollectionID":null,"SectionName":"ControleIndelingQRTSub","BlockName":"B1","VenaRangeType":5,"DimensionIdStr":"-1","MemberIdStr":"-1","DimensionId":-1,"MemberId":-1,"Inc":""},"_vena_DYNR_SControleIndelingQRTSub_BB1_73e5a69c_86056c69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86056c69","IsMultiDynamicRange":false,"MultiDynamicRangeID":null,"MultiDynamicCollectionID":null,"SectionName":"ControleIndelingQRTSub","BlockName":"B1","VenaRangeType":5,"DimensionIdStr":"-1","MemberIdStr":"-1","DimensionId":-1,"MemberId":-1,"Inc":""},"_vena_DYNR_SControleIndelingQRTSub_BB1_73e5a69c_87a5c129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87a5c129","IsMultiDynamicRange":false,"MultiDynamicRangeID":null,"MultiDynamicCollectionID":null,"SectionName":"ControleIndelingQRTSub","BlockName":"B1","VenaRangeType":5,"DimensionIdStr":"-1","MemberIdStr":"-1","DimensionId":-1,"MemberId":-1,"Inc":""},"_vena_DYNR_SControleIndelingQRTSub_BB1_73e5a69c_8a5836d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8a5836d9","IsMultiDynamicRange":false,"MultiDynamicRangeID":null,"MultiDynamicCollectionID":null,"SectionName":"ControleIndelingQRTSub","BlockName":"B1","VenaRangeType":5,"DimensionIdStr":"-1","MemberIdStr":"-1","DimensionId":-1,"MemberId":-1,"Inc":""},"_vena_DYNR_SControleIndelingQRTSub_BB1_73e5a69c_94f01592":{"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94f01592","IsMultiDynamicRange":false,"MultiDynamicRangeID":null,"MultiDynamicCollectionID":null,"SectionName":"ControleIndelingQRTSub","BlockName":"B1","VenaRangeType":5,"DimensionIdStr":"-1","MemberIdStr":"-1","DimensionId":-1,"MemberId":-1,"Inc":""},"_vena_DYNR_SControleIndelingQRTSub_BB1_73e5a69c_978eaa81":{"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978eaa81","IsMultiDynamicRange":false,"MultiDynamicRangeID":null,"MultiDynamicCollectionID":null,"SectionName":"ControleIndelingQRTSub","BlockName":"B1","VenaRangeType":5,"DimensionIdStr":"-1","MemberIdStr":"-1","DimensionId":-1,"MemberId":-1,"Inc":""},"_vena_DYNR_SControleIndelingQRTSub_BB1_73e5a69c_9fa1f583":{"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9fa1f583","IsMultiDynamicRange":false,"MultiDynamicRangeID":null,"MultiDynamicCollectionID":null,"SectionName":"ControleIndelingQRTSub","BlockName":"B1","VenaRangeType":5,"DimensionIdStr":"-1","MemberIdStr":"-1","DimensionId":-1,"MemberId":-1,"Inc":""},"_vena_DYNR_SControleIndelingQRTSub_BB1_73e5a69c_a22b5dfe":{"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a22b5dfe","IsMultiDynamicRange":false,"MultiDynamicRangeID":null,"MultiDynamicCollectionID":null,"SectionName":"ControleIndelingQRTSub","BlockName":"B1","VenaRangeType":5,"DimensionIdStr":"-1","MemberIdStr":"-1","DimensionId":-1,"MemberId":-1,"Inc":""},"_vena_DYNR_SControleIndelingQRTSub_BB1_73e5a69c_a2469df3":{"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a2469df3","IsMultiDynamicRange":false,"MultiDynamicRangeID":null,"MultiDynamicCollectionID":null,"SectionName":"ControleIndelingQRTSub","BlockName":"B1","VenaRangeType":5,"DimensionIdStr":"-1","MemberIdStr":"-1","DimensionId":-1,"MemberId":-1,"Inc":""},"_vena_DYNR_SControleIndelingQRTSub_BB1_73e5a69c_a35c5e8a":{"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a35c5e8a","IsMultiDynamicRange":false,"MultiDynamicRangeID":null,"MultiDynamicCollectionID":null,"SectionName":"ControleIndelingQRTSub","BlockName":"B1","VenaRangeType":5,"DimensionIdStr":"-1","MemberIdStr":"-1","DimensionId":-1,"MemberId":-1,"Inc":""},"_vena_DYNR_SControleIndelingQRTSub_BB1_73e5a69c_a4b53719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a4b53719","IsMultiDynamicRange":false,"MultiDynamicRangeID":null,"MultiDynamicCollectionID":null,"SectionName":"ControleIndelingQRTSub","BlockName":"B1","VenaRangeType":5,"DimensionIdStr":"-1","MemberIdStr":"-1","DimensionId":-1,"MemberId":-1,"Inc":""},"_vena_DYNR_SControleIndelingQRTSub_BB1_73e5a69c_a51a5bc8":{"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a51a5bc8","IsMultiDynamicRange":false,"MultiDynamicRangeID":null,"MultiDynamicCollectionID":null,"SectionName":"ControleIndelingQRTSub","BlockName":"B1","VenaRangeType":5,"DimensionIdStr":"-1","MemberIdStr":"-1","DimensionId":-1,"MemberId":-1,"Inc":""},"_vena_DYNR_SControleIndelingQRTSub_BB1_73e5a69c_a72b35f5":{"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a72b35f5","IsMultiDynamicRange":false,"MultiDynamicRangeID":null,"MultiDynamicCollectionID":null,"SectionName":"ControleIndelingQRTSub","BlockName":"B1","VenaRangeType":5,"DimensionIdStr":"-1","MemberIdStr":"-1","DimensionId":-1,"MemberId":-1,"Inc":""},"_vena_DYNR_SControleIndelingQRTSub_BB1_73e5a69c_a7a035ad":{"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a7a035ad","IsMultiDynamicRange":false,"MultiDynamicRangeID":null,"MultiDynamicCollectionID":null,"SectionName":"ControleIndelingQRTSub","BlockName":"B1","VenaRangeType":5,"DimensionIdStr":"-1","MemberIdStr":"-1","DimensionId":-1,"MemberId":-1,"Inc":""},"_vena_DYNR_SControleIndelingQRTSub_BB1_73e5a69c_acde77e8":{"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acde77e8","IsMultiDynamicRange":false,"MultiDynamicRangeID":null,"MultiDynamicCollectionID":null,"SectionName":"ControleIndelingQRTSub","BlockName":"B1","VenaRangeType":5,"DimensionIdStr":"-1","MemberIdStr":"-1","DimensionId":-1,"MemberId":-1,"Inc":""},"_vena_DYNR_SControleIndelingQRTSub_BB1_73e5a69c_b33305fa":{"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b33305fa","IsMultiDynamicRange":false,"MultiDynamicRangeID":null,"MultiDynamicCollectionID":null,"SectionName":"ControleIndelingQRTSub","BlockName":"B1","VenaRangeType":5,"DimensionIdStr":"-1","MemberIdStr":"-1","DimensionId":-1,"MemberId":-1,"Inc":""},"_vena_DYNR_SControleIndelingQRTSub_BB1_73e5a69c_b3596789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b3596789","IsMultiDynamicRange":false,"MultiDynamicRangeID":null,"MultiDynamicCollectionID":null,"SectionName":"ControleIndelingQRTSub","BlockName":"B1","VenaRangeType":5,"DimensionIdStr":"-1","MemberIdStr":"-1","DimensionId":-1,"MemberId":-1,"Inc":""},"_vena_DYNR_SControleIndelingQRTSub_BB1_73e5a69c_b8637d6e":{"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b8637d6e","IsMultiDynamicRange":false,"MultiDynamicRangeID":null,"MultiDynamicCollectionID":null,"SectionName":"ControleIndelingQRTSub","BlockName":"B1","VenaRangeType":5,"DimensionIdStr":"-1","MemberIdStr":"-1","DimensionId":-1,"MemberId":-1,"Inc":""},"_vena_DYNR_SControleIndelingQRTSub_BB1_73e5a69c_bd82e06c":{"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bd82e06c","IsMultiDynamicRange":false,"MultiDynamicRangeID":null,"MultiDynamicCollectionID":null,"SectionName":"ControleIndelingQRTSub","BlockName":"B1","VenaRangeType":5,"DimensionIdStr":"-1","MemberIdStr":"-1","DimensionId":-1,"MemberId":-1,"Inc":""},"_vena_DYNR_SControleIndelingQRTSub_BB1_73e5a69c_c06a580b":{"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c06a580b","IsMultiDynamicRange":false,"MultiDynamicRangeID":null,"MultiDynamicCollectionID":null,"SectionName":"ControleIndelingQRTSub","BlockName":"B1","VenaRangeType":5,"DimensionIdStr":"-1","MemberIdStr":"-1","DimensionId":-1,"MemberId":-1,"Inc":""},"_vena_DYNR_SControleIndelingQRTSub_BB1_73e5a69c_c7abd268":{"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c7abd268","IsMultiDynamicRange":false,"MultiDynamicRangeID":null,"MultiDynamicCollectionID":null,"SectionName":"ControleIndelingQRTSub","BlockName":"B1","VenaRangeType":5,"DimensionIdStr":"-1","MemberIdStr":"-1","DimensionId":-1,"MemberId":-1,"Inc":""},"_vena_DYNR_SControleIndelingQRTSub_BB1_73e5a69c_c888399a":{"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c888399a","IsMultiDynamicRange":false,"MultiDynamicRangeID":null,"MultiDynamicCollectionID":null,"SectionName":"ControleIndelingQRTSub","BlockName":"B1","VenaRangeType":5,"DimensionIdStr":"-1","MemberIdStr":"-1","DimensionId":-1,"MemberId":-1,"Inc":""},"_vena_DYNR_SControleIndelingQRTSub_BB1_73e5a69c_cb044e64":{"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cb044e64","IsMultiDynamicRange":false,"MultiDynamicRangeID":null,"MultiDynamicCollectionID":null,"SectionName":"ControleIndelingQRTSub","BlockName":"B1","VenaRangeType":5,"DimensionIdStr":"-1","MemberIdStr":"-1","DimensionId":-1,"MemberId":-1,"Inc":""},"_vena_DYNR_SControleIndelingQRTSub_BB1_73e5a69c_cf898830":{"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cf898830","IsMultiDynamicRange":false,"MultiDynamicRangeID":null,"MultiDynamicCollectionID":null,"SectionName":"ControleIndelingQRTSub","BlockName":"B1","VenaRangeType":5,"DimensionIdStr":"-1","MemberIdStr":"-1","DimensionId":-1,"MemberId":-1,"Inc":""},"_vena_DYNR_SControleIndelingQRTSub_BB1_73e5a69c_d4fa426e":{"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d4fa426e","IsMultiDynamicRange":false,"MultiDynamicRangeID":null,"MultiDynamicCollectionID":null,"SectionName":"ControleIndelingQRTSub","BlockName":"B1","VenaRangeType":5,"DimensionIdStr":"-1","MemberIdStr":"-1","DimensionId":-1,"MemberId":-1,"Inc":""},"_vena_DYNR_SControleIndelingQRTSub_BB1_73e5a69c_dfb00bc":{"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dfb00bc","IsMultiDynamicRange":false,"MultiDynamicRangeID":null,"MultiDynamicCollectionID":null,"SectionName":"ControleIndelingQRTSub","BlockName":"B1","VenaRangeType":5,"DimensionIdStr":"-1","MemberIdStr":"-1","DimensionId":-1,"MemberId":-1,"Inc":""},"_vena_DYNR_SControleIndelingQRTSub_BB1_73e5a69c_e079a01":{"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e079a01","IsMultiDynamicRange":false,"MultiDynamicRangeID":null,"MultiDynamicCollectionID":null,"SectionName":"ControleIndelingQRTSub","BlockName":"B1","VenaRangeType":5,"DimensionIdStr":"-1","MemberIdStr":"-1","DimensionId":-1,"MemberId":-1,"Inc":""},"_vena_DYNR_SControleIndelingQRTSub_BB1_73e5a69c_e0fd4fa4":{"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e0fd4fa4","IsMultiDynamicRange":false,"MultiDynamicRangeID":null,"MultiDynamicCollectionID":null,"SectionName":"ControleIndelingQRTSub","BlockName":"B1","VenaRangeType":5,"DimensionIdStr":"-1","MemberIdStr":"-1","DimensionId":-1,"MemberId":-1,"Inc":""},"_vena_DYNR_SControleIndelingQRTSub_BB1_73e5a69c_e7c85426":{"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e7c85426","IsMultiDynamicRange":false,"MultiDynamicRangeID":null,"MultiDynamicCollectionID":null,"SectionName":"ControleIndelingQRTSub","BlockName":"B1","VenaRangeType":5,"DimensionIdStr":"-1","MemberIdStr":"-1","DimensionId":-1,"MemberId":-1,"Inc":""},"_vena_DYNR_SControleIndelingQRTSub_BB1_73e5a69c_e8352fe3":{"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e8352fe3","IsMultiDynamicRange":false,"MultiDynamicRangeID":null,"MultiDynamicCollectionID":null,"SectionName":"ControleIndelingQRTSub","BlockName":"B1","VenaRangeType":5,"DimensionIdStr":"-1","MemberIdStr":"-1","DimensionId":-1,"MemberId":-1,"Inc":""},"_vena_DYNR_SControleIndelingQRTSub_BB1_73e5a69c_e9baea72":{"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e9baea72","IsMultiDynamicRange":false,"MultiDynamicRangeID":null,"MultiDynamicCollectionID":null,"SectionName":"ControleIndelingQRTSub","BlockName":"B1","VenaRangeType":5,"DimensionIdStr":"-1","MemberIdStr":"-1","DimensionId":-1,"MemberId":-1,"Inc":""},"_vena_DYNR_SControleIndelingQRTSub_BB1_73e5a69c_ebd94083":{"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ebd94083","IsMultiDynamicRange":false,"MultiDynamicRangeID":null,"MultiDynamicCollectionID":null,"SectionName":"ControleIndelingQRTSub","BlockName":"B1","VenaRangeType":5,"DimensionIdStr":"-1","MemberIdStr":"-1","DimensionId":-1,"MemberId":-1,"Inc":""},"_vena_DYNR_SControleIndelingQRTSub_BB1_73e5a69c_edce41a6":{"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edce41a6","IsMultiDynamicRange":false,"MultiDynamicRangeID":null,"MultiDynamicCollectionID":null,"SectionName":"ControleIndelingQRTSub","BlockName":"B1","VenaRangeType":5,"DimensionIdStr":"-1","MemberIdStr":"-1","DimensionId":-1,"MemberId":-1,"Inc":""},"_vena_DYNR_SControleIndelingQRTSub_BB1_73e5a69c_ef391587":{"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ef391587","IsMultiDynamicRange":false,"MultiDynamicRangeID":null,"MultiDynamicCollectionID":null,"SectionName":"ControleIndelingQRTSub","BlockName":"B1","VenaRangeType":5,"DimensionIdStr":"-1","MemberIdStr":"-1","DimensionId":-1,"MemberId":-1,"Inc":""},"_vena_DYNR_SControleIndelingQRTSub_BB1_73e5a69c_f53c98ab":{"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f53c98ab","IsMultiDynamicRange":false,"MultiDynamicRangeID":null,"MultiDynamicCollectionID":null,"SectionName":"ControleIndelingQRTSub","BlockName":"B1","VenaRangeType":5,"DimensionIdStr":"-1","MemberIdStr":"-1","DimensionId":-1,"MemberId":-1,"Inc":""},"_vena_DYNR_SControleIndelingQRTSub_BB1_73e5a69c_f8ae3e37":{"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f8ae3e37","IsMultiDynamicRange":false,"MultiDynamicRangeID":null,"MultiDynamicCollectionID":null,"SectionName":"ControleIndelingQRTSub","BlockName":"B1","VenaRangeType":5,"DimensionIdStr":"-1","MemberIdStr":"-1","DimensionId":-1,"MemberId":-1,"Inc":""},"_vena_DYNR_SControleIndelingQRTSub_BB1_73e5a69c_f97b02ba":{"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f97b02ba","IsMultiDynamicRange":false,"MultiDynamicRangeID":null,"MultiDynamicCollectionID":null,"SectionName":"ControleIndelingQRTSub","BlockName":"B1","VenaRangeType":5,"DimensionIdStr":"-1","MemberIdStr":"-1","DimensionId":-1,"MemberId":-1,"Inc":""},"_vena_DYNR_SControleIndelingQRTSub_BB1_73e5a69c_f9da927":{"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f9da927","IsMultiDynamicRange":false,"MultiDynamicRangeID":null,"MultiDynamicCollectionID":null,"SectionName":"ControleIndelingQRTSub","BlockName":"B1","VenaRangeType":5,"DimensionIdStr":"-1","MemberIdStr":"-1","DimensionId":-1,"MemberId":-1,"Inc":""},"_vena_DYNR_SControleIndelingQRTSub_BB1_73e5a69c_fd874e70":{"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fd874e70","IsMultiDynamicRange":false,"MultiDynamicRangeID":null,"MultiDynamicCollectionID":null,"SectionName":"ControleIndelingQRTSub","BlockName":"B1","VenaRangeType":5,"DimensionIdStr":"-1","MemberIdStr":"-1","DimensionId":-1,"MemberId":-1,"Inc":""},"_vena_DYNR_SControleIndelingQRTSub_BB1_73e5a69c_fee90669":{"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fee90669","IsMultiDynamicRange":false,"MultiDynamicRangeID":null,"MultiDynamicCollectionID":null,"SectionName":"ControleIndelingQRTSub","BlockName":"B1","VenaRangeType":5,"DimensionIdStr":"-1","MemberIdStr":"-1","DimensionId":-1,"MemberId":-1,"Inc":""},"_vena_DYNR_SControleIndelingQRTSub_BB1_73e5a69c_ff5a5d02":{"SourceGlobalVariableId":-1,"SourceFormVariableId":"00000000-0000-0000-0000-000000000000","IsPageVariable":false,"IsLineItemDetailEnabled":false,"LineItemDetailOrder":0,"LineItemID":null,"PageVariableSectionReference":"","PageVariableDimensionName":null,"IsDynamicRange":true,"IsDynamicRangeEntry":true,"DynamicRangeID":"73e5a69c","DynamicRangeEntryID":"ff5a5d02","IsMultiDynamicRange":false,"MultiDynamicRangeID":null,"MultiDynamicCollectionID":null,"SectionName":"ControleIndelingQRTSub","BlockName":"B1","VenaRangeType":5,"DimensionIdStr":"-1","MemberIdStr":"-1","DimensionId":-1,"MemberId":-1,"Inc":""},"_vena_DYNR_SControleIndelingQRTSub_BB1_93d18bb6":{"SourceGlobalVariableId":-1,"SourceFormVariableId":"00000000-0000-0000-0000-000000000000","IsPageVariable":false,"IsLineItemDetailEnabled":false,"LineItemDetailOrder":0,"LineItemID":null,"PageVariableSectionReference":"","PageVariableDimensionName":null,"IsDynamicRange":true,"IsDynamicRangeEntry":false,"DynamicRangeID":"93d18bb6","DynamicRangeEntryID":null,"IsMultiDynamicRange":false,"MultiDynamicRangeID":null,"MultiDynamicCollectionID":null,"SectionName":"ControleIndelingQRTSub","BlockName":"B1","VenaRangeType":5,"DimensionIdStr":"-1","MemberIdStr":"-1","DimensionId":-1,"MemberId":-1,"Inc":""},"_vena_DYNR_SControleIndelingQRTSub_BB1_93d18bb6_638bb6e5":{"SourceGlobalVariableId":-1,"SourceFormVariableId":"00000000-0000-0000-0000-000000000000","IsPageVariable":false,"IsLineItemDetailEnabled":false,"LineItemDetailOrder":0,"LineItemID":null,"PageVariableSectionReference":"","PageVariableDimensionName":null,"IsDynamicRange":true,"IsDynamicRangeEntry":true,"DynamicRangeID":"93d18bb6","DynamicRangeEntryID":"638bb6e5","IsMultiDynamicRange":false,"MultiDynamicRangeID":null,"MultiDynamicCollectionID":null,"SectionName":"ControleIndelingQRTSub","BlockName":"B1","VenaRangeType":5,"DimensionIdStr":"-1","MemberIdStr":"-1","DimensionId":-1,"MemberId":-1,"Inc":""},"_vena_DYNR_SControleIndelingQRTSub_BB1_93d18bb6_a89be8d9":{"SourceGlobalVariableId":-1,"SourceFormVariableId":"00000000-0000-0000-0000-000000000000","IsPageVariable":false,"IsLineItemDetailEnabled":false,"LineItemDetailOrder":0,"LineItemID":null,"PageVariableSectionReference":"","PageVariableDimensionName":null,"IsDynamicRange":true,"IsDynamicRangeEntry":true,"DynamicRangeID":"93d18bb6","DynamicRangeEntryID":"a89be8d9","IsMultiDynamicRange":false,"MultiDynamicRangeID":null,"MultiDynamicCollectionID":null,"SectionName":"ControleIndelingQRTSub","BlockName":"B1","VenaRangeType":5,"DimensionIdStr":"-1","MemberIdStr":"-1","DimensionId":-1,"MemberId":-1,"Inc":""},"_vena_DYNR_SControleIndelingQRTSub_BB1_ef97b077":{"SourceGlobalVariableId":-1,"SourceFormVariableId":"00000000-0000-0000-0000-000000000000","IsPageVariable":false,"IsLineItemDetailEnabled":false,"LineItemDetailOrder":0,"LineItemID":null,"PageVariableSectionReference":"","PageVariableDimensionName":null,"IsDynamicRange":true,"IsDynamicRangeEntry":false,"DynamicRangeID":"ef97b077","DynamicRangeEntryID":null,"IsMultiDynamicRange":false,"MultiDynamicRangeID":null,"MultiDynamicCollectionID":null,"SectionName":"ControleIndelingQRTSub","BlockName":"B1","VenaRangeType":5,"DimensionIdStr":"-1","MemberIdStr":"-1","DimensionId":-1,"MemberId":-1,"Inc":""},"_vena_DYNR_SControleIndelingQRTSub_BB1_ef97b077_14ba3aaa":{"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14ba3aaa","IsMultiDynamicRange":false,"MultiDynamicRangeID":null,"MultiDynamicCollectionID":null,"SectionName":"ControleIndelingQRTSub","BlockName":"B1","VenaRangeType":5,"DimensionIdStr":"-1","MemberIdStr":"-1","DimensionId":-1,"MemberId":-1,"Inc":""},"_vena_DYNR_SControleIndelingQRTSub_BB1_ef97b077_2440368":{"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2440368","IsMultiDynamicRange":false,"MultiDynamicRangeID":null,"MultiDynamicCollectionID":null,"SectionName":"ControleIndelingQRTSub","BlockName":"B1","VenaRangeType":5,"DimensionIdStr":"-1","MemberIdStr":"-1","DimensionId":-1,"MemberId":-1,"Inc":""},"_vena_DYNR_SControleIndelingQRTSub_BB1_ef97b077_2897029e":{"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2897029e","IsMultiDynamicRange":false,"MultiDynamicRangeID":null,"MultiDynamicCollectionID":null,"SectionName":"ControleIndelingQRTSub","BlockName":"B1","VenaRangeType":5,"DimensionIdStr":"-1","MemberIdStr":"-1","DimensionId":-1,"MemberId":-1,"Inc":""},"_vena_DYNR_SControleIndelingQRTSub_BB1_ef97b077_2d3de437":{"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2d3de437","IsMultiDynamicRange":false,"MultiDynamicRangeID":null,"MultiDynamicCollectionID":null,"SectionName":"ControleIndelingQRTSub","BlockName":"B1","VenaRangeType":5,"DimensionIdStr":"-1","MemberIdStr":"-1","DimensionId":-1,"MemberId":-1,"Inc":""},"_vena_DYNR_SControleIndelingQRTSub_BB1_ef97b077_2d6bab":{"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2d6bab","IsMultiDynamicRange":false,"MultiDynamicRangeID":null,"MultiDynamicCollectionID":null,"SectionName":"ControleIndelingQRTSub","BlockName":"B1","VenaRangeType":5,"DimensionIdStr":"-1","MemberIdStr":"-1","DimensionId":-1,"MemberId":-1,"Inc":""},"_vena_DYNR_SControleIndelingQRTSub_BB1_ef97b077_322b19c2":{"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322b19c2","IsMultiDynamicRange":false,"MultiDynamicRangeID":null,"MultiDynamicCollectionID":null,"SectionName":"ControleIndelingQRTSub","BlockName":"B1","VenaRangeType":5,"DimensionIdStr":"-1","MemberIdStr":"-1","DimensionId":-1,"MemberId":-1,"Inc":""},"_vena_DYNR_SControleIndelingQRTSub_BB1_ef97b077_3be2c596":{"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3be2c596","IsMultiDynamicRange":false,"MultiDynamicRangeID":null,"MultiDynamicCollectionID":null,"SectionName":"ControleIndelingQRTSub","BlockName":"B1","VenaRangeType":5,"DimensionIdStr":"-1","MemberIdStr":"-1","DimensionId":-1,"MemberId":-1,"Inc":""},"_vena_DYNR_SControleIndelingQRTSub_BB1_ef97b077_3dc19cb0":{"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3dc19cb0","IsMultiDynamicRange":false,"MultiDynamicRangeID":null,"MultiDynamicCollectionID":null,"SectionName":"ControleIndelingQRTSub","BlockName":"B1","VenaRangeType":5,"DimensionIdStr":"-1","MemberIdStr":"-1","DimensionId":-1,"MemberId":-1,"Inc":""},"_vena_DYNR_SControleIndelingQRTSub_BB1_ef97b077_40bed74e":{"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40bed74e","IsMultiDynamicRange":false,"MultiDynamicRangeID":null,"MultiDynamicCollectionID":null,"SectionName":"ControleIndelingQRTSub","BlockName":"B1","VenaRangeType":5,"DimensionIdStr":"-1","MemberIdStr":"-1","DimensionId":-1,"MemberId":-1,"Inc":""},"_vena_DYNR_SControleIndelingQRTSub_BB1_ef97b077_426bc939":{"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426bc939","IsMultiDynamicRange":false,"MultiDynamicRangeID":null,"MultiDynamicCollectionID":null,"SectionName":"ControleIndelingQRTSub","BlockName":"B1","VenaRangeType":5,"DimensionIdStr":"-1","MemberIdStr":"-1","DimensionId":-1,"MemberId":-1,"Inc":""},"_vena_DYNR_SControleIndelingQRTSub_BB1_ef97b077_45b36316":{"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45b36316","IsMultiDynamicRange":false,"MultiDynamicRangeID":null,"MultiDynamicCollectionID":null,"SectionName":"ControleIndelingQRTSub","BlockName":"B1","VenaRangeType":5,"DimensionIdStr":"-1","MemberIdStr":"-1","DimensionId":-1,"MemberId":-1,"Inc":""},"_vena_DYNR_SControleIndelingQRTSub_BB1_ef97b077_4d8d290d":{"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4d8d290d","IsMultiDynamicRange":false,"MultiDynamicRangeID":null,"MultiDynamicCollectionID":null,"SectionName":"ControleIndelingQRTSub","BlockName":"B1","VenaRangeType":5,"DimensionIdStr":"-1","MemberIdStr":"-1","DimensionId":-1,"MemberId":-1,"Inc":""},"_vena_DYNR_SControleIndelingQRTSub_BB1_ef97b077_4e177656":{"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4e177656","IsMultiDynamicRange":false,"MultiDynamicRangeID":null,"MultiDynamicCollectionID":null,"SectionName":"ControleIndelingQRTSub","BlockName":"B1","VenaRangeType":5,"DimensionIdStr":"-1","MemberIdStr":"-1","DimensionId":-1,"MemberId":-1,"Inc":""},"_vena_DYNR_SControleIndelingQRTSub_BB1_ef97b077_5ac64a40":{"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5ac64a40","IsMultiDynamicRange":false,"MultiDynamicRangeID":null,"MultiDynamicCollectionID":null,"SectionName":"ControleIndelingQRTSub","BlockName":"B1","VenaRangeType":5,"DimensionIdStr":"-1","MemberIdStr":"-1","DimensionId":-1,"MemberId":-1,"Inc":""},"_vena_DYNR_SControleIndelingQRTSub_BB1_ef97b077_6d709e6e":{"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6d709e6e","IsMultiDynamicRange":false,"MultiDynamicRangeID":null,"MultiDynamicCollectionID":null,"SectionName":"ControleIndelingQRTSub","BlockName":"B1","VenaRangeType":5,"DimensionIdStr":"-1","MemberIdStr":"-1","DimensionId":-1,"MemberId":-1,"Inc":""},"_vena_DYNR_SControleIndelingQRTSub_BB1_ef97b077_6f73b04f":{"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6f73b04f","IsMultiDynamicRange":false,"MultiDynamicRangeID":null,"MultiDynamicCollectionID":null,"SectionName":"ControleIndelingQRTSub","BlockName":"B1","VenaRangeType":5,"DimensionIdStr":"-1","MemberIdStr":"-1","DimensionId":-1,"MemberId":-1,"Inc":""},"_vena_DYNR_SControleIndelingQRTSub_BB1_ef97b077_7471da9b":{"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7471da9b","IsMultiDynamicRange":false,"MultiDynamicRangeID":null,"MultiDynamicCollectionID":null,"SectionName":"ControleIndelingQRTSub","BlockName":"B1","VenaRangeType":5,"DimensionIdStr":"-1","MemberIdStr":"-1","DimensionId":-1,"MemberId":-1,"Inc":""},"_vena_DYNR_SControleIndelingQRTSub_BB1_ef97b077_779b83da":{"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779b83da","IsMultiDynamicRange":false,"MultiDynamicRangeID":null,"MultiDynamicCollectionID":null,"SectionName":"ControleIndelingQRTSub","BlockName":"B1","VenaRangeType":5,"DimensionIdStr":"-1","MemberIdStr":"-1","DimensionId":-1,"MemberId":-1,"Inc":""},"_vena_DYNR_SControleIndelingQRTSub_BB1_ef97b077_7b0b0cbd":{"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7b0b0cbd","IsMultiDynamicRange":false,"MultiDynamicRangeID":null,"MultiDynamicCollectionID":null,"SectionName":"ControleIndelingQRTSub","BlockName":"B1","VenaRangeType":5,"DimensionIdStr":"-1","MemberIdStr":"-1","DimensionId":-1,"MemberId":-1,"Inc":""},"_vena_DYNR_SControleIndelingQRTSub_BB1_ef97b077_80672c79":{"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80672c79","IsMultiDynamicRange":false,"MultiDynamicRangeID":null,"MultiDynamicCollectionID":null,"SectionName":"ControleIndelingQRTSub","BlockName":"B1","VenaRangeType":5,"DimensionIdStr":"-1","MemberIdStr":"-1","DimensionId":-1,"MemberId":-1,"Inc":""},"_vena_DYNR_SControleIndelingQRTSub_BB1_ef97b077_81f9e769":{"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81f9e769","IsMultiDynamicRange":false,"MultiDynamicRangeID":null,"MultiDynamicCollectionID":null,"SectionName":"ControleIndelingQRTSub","BlockName":"B1","VenaRangeType":5,"DimensionIdStr":"-1","MemberIdStr":"-1","DimensionId":-1,"MemberId":-1,"Inc":""},"_vena_DYNR_SControleIndelingQRTSub_BB1_ef97b077_869be74d":{"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869be74d","IsMultiDynamicRange":false,"MultiDynamicRangeID":null,"MultiDynamicCollectionID":null,"SectionName":"ControleIndelingQRTSub","BlockName":"B1","VenaRangeType":5,"DimensionIdStr":"-1","MemberIdStr":"-1","DimensionId":-1,"MemberId":-1,"Inc":""},"_vena_DYNR_SControleIndelingQRTSub_BB1_ef97b077_872b8a78":{"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872b8a78","IsMultiDynamicRange":false,"MultiDynamicRangeID":null,"MultiDynamicCollectionID":null,"SectionName":"ControleIndelingQRTSub","BlockName":"B1","VenaRangeType":5,"DimensionIdStr":"-1","MemberIdStr":"-1","DimensionId":-1,"MemberId":-1,"Inc":""},"_vena_DYNR_SControleIndelingQRTSub_BB1_ef97b077_a766180e":{"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a766180e","IsMultiDynamicRange":false,"MultiDynamicRangeID":null,"MultiDynamicCollectionID":null,"SectionName":"ControleIndelingQRTSub","BlockName":"B1","VenaRangeType":5,"DimensionIdStr":"-1","MemberIdStr":"-1","DimensionId":-1,"MemberId":-1,"Inc":""},"_vena_DYNR_SControleIndelingQRTSub_BB1_ef97b077_a972a980":{"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a972a980","IsMultiDynamicRange":false,"MultiDynamicRangeID":null,"MultiDynamicCollectionID":null,"SectionName":"ControleIndelingQRTSub","BlockName":"B1","VenaRangeType":5,"DimensionIdStr":"-1","MemberIdStr":"-1","DimensionId":-1,"MemberId":-1,"Inc":""},"_vena_DYNR_SControleIndelingQRTSub_BB1_ef97b077_b009750b":{"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b009750b","IsMultiDynamicRange":false,"MultiDynamicRangeID":null,"MultiDynamicCollectionID":null,"SectionName":"ControleIndelingQRTSub","BlockName":"B1","VenaRangeType":5,"DimensionIdStr":"-1","MemberIdStr":"-1","DimensionId":-1,"MemberId":-1,"Inc":""},"_vena_DYNR_SControleIndelingQRTSub_BB1_ef97b077_de87f421":{"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de87f421","IsMultiDynamicRange":false,"MultiDynamicRangeID":null,"MultiDynamicCollectionID":null,"SectionName":"ControleIndelingQRTSub","BlockName":"B1","VenaRangeType":5,"DimensionIdStr":"-1","MemberIdStr":"-1","DimensionId":-1,"MemberId":-1,"Inc":""},"_vena_DYNR_SControleIndelingQRTSub_BB1_ef97b077_f286b0d":{"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f286b0d","IsMultiDynamicRange":false,"MultiDynamicRangeID":null,"MultiDynamicCollectionID":null,"SectionName":"ControleIndelingQRTSub","BlockName":"B1","VenaRangeType":5,"DimensionIdStr":"-1","MemberIdStr":"-1","DimensionId":-1,"MemberId":-1,"Inc":""},"_vena_DYNR_SControleIndelingQRTSub_BB1_ef97b077_f353d6e6":{"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f353d6e6","IsMultiDynamicRange":false,"MultiDynamicRangeID":null,"MultiDynamicCollectionID":null,"SectionName":"ControleIndelingQRTSub","BlockName":"B1","VenaRangeType":5,"DimensionIdStr":"-1","MemberIdStr":"-1","DimensionId":-1,"MemberId":-1,"Inc":""},"_vena_DYNR_SControleIndelingQRTSub_BB1_ef97b077_f7561244":{"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f7561244","IsMultiDynamicRange":false,"MultiDynamicRangeID":null,"MultiDynamicCollectionID":null,"SectionName":"ControleIndelingQRTSub","BlockName":"B1","VenaRangeType":5,"DimensionIdStr":"-1","MemberIdStr":"-1","DimensionId":-1,"MemberId":-1,"Inc":""},"_vena_DYNR_SControleIndelingQRTSub_BB1_ef97b077_f9a1b0f9":{"SourceGlobalVariableId":-1,"SourceFormVariableId":"00000000-0000-0000-0000-000000000000","IsPageVariable":false,"IsLineItemDetailEnabled":false,"LineItemDetailOrder":0,"LineItemID":null,"PageVariableSectionReference":"","PageVariableDimensionName":null,"IsDynamicRange":true,"IsDynamicRangeEntry":true,"DynamicRangeID":"ef97b077","DynamicRangeEntryID":"f9a1b0f9","IsMultiDynamicRange":false,"MultiDynamicRangeID":null,"MultiDynamicCollectionID":null,"SectionName":"ControleIndelingQRTSub","BlockName":"B1","VenaRangeType":5,"DimensionIdStr":"-1","MemberIdStr":"-1","DimensionId":-1,"MemberId":-1,"Inc":""},"_vena_DYNR_SInputModelpuntInfo1_BB1_7af2b78c":{"SourceGlobalVariableId":-1,"SourceFormVariableId":"00000000-0000-0000-0000-000000000000","IsPageVariable":false,"IsLineItemDetailEnabled":false,"LineItemDetailOrder":0,"LineItemID":null,"PageVariableSectionReference":"","PageVariableDimensionName":null,"IsDynamicRange":true,"IsDynamicRangeEntry":false,"DynamicRangeID":"7af2b78c","DynamicRangeEntryID":null,"IsMultiDynamicRange":false,"MultiDynamicRangeID":null,"MultiDynamicCollectionID":null,"SectionName":"InputModelpuntInfo1","BlockName":"B1","VenaRangeType":5,"DimensionIdStr":"-1","MemberIdStr":"-1","DimensionId":-1,"MemberId":-1,"Inc":""},"_vena_DYNR_SInputModelpuntInfo1_BB1_7af2b78c_10376c69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10376c69","IsMultiDynamicRange":false,"MultiDynamicRangeID":null,"MultiDynamicCollectionID":null,"SectionName":"InputModelpuntInfo1","BlockName":"B1","VenaRangeType":5,"DimensionIdStr":"-1","MemberIdStr":"-1","DimensionId":-1,"MemberId":-1,"Inc":""},"_vena_DYNR_SInputModelpuntInfo1_BB1_7af2b78c_1066315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1066315c","IsMultiDynamicRange":false,"MultiDynamicRangeID":null,"MultiDynamicCollectionID":null,"SectionName":"InputModelpuntInfo1","BlockName":"B1","VenaRangeType":5,"DimensionIdStr":"-1","MemberIdStr":"-1","DimensionId":-1,"MemberId":-1,"Inc":""},"_vena_DYNR_SInputModelpuntInfo1_BB1_7af2b78c_122c4455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122c4455","IsMultiDynamicRange":false,"MultiDynamicRangeID":null,"MultiDynamicCollectionID":null,"SectionName":"InputModelpuntInfo1","BlockName":"B1","VenaRangeType":5,"DimensionIdStr":"-1","MemberIdStr":"-1","DimensionId":-1,"MemberId":-1,"Inc":""},"_vena_DYNR_SInputModelpuntInfo1_BB1_7af2b78c_124b40a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124b40ac","IsMultiDynamicRange":false,"MultiDynamicRangeID":null,"MultiDynamicCollectionID":null,"SectionName":"InputModelpuntInfo1","BlockName":"B1","VenaRangeType":5,"DimensionIdStr":"-1","MemberIdStr":"-1","DimensionId":-1,"MemberId":-1,"Inc":""},"_vena_DYNR_SInputModelpuntInfo1_BB1_7af2b78c_13223c9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13223c9a","IsMultiDynamicRange":false,"MultiDynamicRangeID":null,"MultiDynamicCollectionID":null,"SectionName":"InputModelpuntInfo1","BlockName":"B1","VenaRangeType":5,"DimensionIdStr":"-1","MemberIdStr":"-1","DimensionId":-1,"MemberId":-1,"Inc":""},"_vena_DYNR_SInputModelpuntInfo1_BB1_7af2b78c_13d6ec96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13d6ec96","IsMultiDynamicRange":false,"MultiDynamicRangeID":null,"MultiDynamicCollectionID":null,"SectionName":"InputModelpuntInfo1","BlockName":"B1","VenaRangeType":5,"DimensionIdStr":"-1","MemberIdStr":"-1","DimensionId":-1,"MemberId":-1,"Inc":""},"_vena_DYNR_SInputModelpuntInfo1_BB1_7af2b78c_141c1f5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141c1f5d","IsMultiDynamicRange":false,"MultiDynamicRangeID":null,"MultiDynamicCollectionID":null,"SectionName":"InputModelpuntInfo1","BlockName":"B1","VenaRangeType":5,"DimensionIdStr":"-1","MemberIdStr":"-1","DimensionId":-1,"MemberId":-1,"Inc":""},"_vena_DYNR_SInputModelpuntInfo1_BB1_7af2b78c_14b9563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14b9563c","IsMultiDynamicRange":false,"MultiDynamicRangeID":null,"MultiDynamicCollectionID":null,"SectionName":"InputModelpuntInfo1","BlockName":"B1","VenaRangeType":5,"DimensionIdStr":"-1","MemberIdStr":"-1","DimensionId":-1,"MemberId":-1,"Inc":""},"_vena_DYNR_SInputModelpuntInfo1_BB1_7af2b78c_1527227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1527227","IsMultiDynamicRange":false,"MultiDynamicRangeID":null,"MultiDynamicCollectionID":null,"SectionName":"InputModelpuntInfo1","BlockName":"B1","VenaRangeType":5,"DimensionIdStr":"-1","MemberIdStr":"-1","DimensionId":-1,"MemberId":-1,"Inc":""},"_vena_DYNR_SInputModelpuntInfo1_BB1_7af2b78c_156511d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156511d8","IsMultiDynamicRange":false,"MultiDynamicRangeID":null,"MultiDynamicCollectionID":null,"SectionName":"InputModelpuntInfo1","BlockName":"B1","VenaRangeType":5,"DimensionIdStr":"-1","MemberIdStr":"-1","DimensionId":-1,"MemberId":-1,"Inc":""},"_vena_DYNR_SInputModelpuntInfo1_BB1_7af2b78c_158fa84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158fa84e","IsMultiDynamicRange":false,"MultiDynamicRangeID":null,"MultiDynamicCollectionID":null,"SectionName":"InputModelpuntInfo1","BlockName":"B1","VenaRangeType":5,"DimensionIdStr":"-1","MemberIdStr":"-1","DimensionId":-1,"MemberId":-1,"Inc":""},"_vena_DYNR_SInputModelpuntInfo1_BB1_7af2b78c_15a05a59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15a05a59","IsMultiDynamicRange":false,"MultiDynamicRangeID":null,"MultiDynamicCollectionID":null,"SectionName":"InputModelpuntInfo1","BlockName":"B1","VenaRangeType":5,"DimensionIdStr":"-1","MemberIdStr":"-1","DimensionId":-1,"MemberId":-1,"Inc":""},"_vena_DYNR_SInputModelpuntInfo1_BB1_7af2b78c_15fa60b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15fa60b8","IsMultiDynamicRange":false,"MultiDynamicRangeID":null,"MultiDynamicCollectionID":null,"SectionName":"InputModelpuntInfo1","BlockName":"B1","VenaRangeType":5,"DimensionIdStr":"-1","MemberIdStr":"-1","DimensionId":-1,"MemberId":-1,"Inc":""},"_vena_DYNR_SInputModelpuntInfo1_BB1_7af2b78c_163ff544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163ff544","IsMultiDynamicRange":false,"MultiDynamicRangeID":null,"MultiDynamicCollectionID":null,"SectionName":"InputModelpuntInfo1","BlockName":"B1","VenaRangeType":5,"DimensionIdStr":"-1","MemberIdStr":"-1","DimensionId":-1,"MemberId":-1,"Inc":""},"_vena_DYNR_SInputModelpuntInfo1_BB1_7af2b78c_16e70cf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16e70cfd","IsMultiDynamicRange":false,"MultiDynamicRangeID":null,"MultiDynamicCollectionID":null,"SectionName":"InputModelpuntInfo1","BlockName":"B1","VenaRangeType":5,"DimensionIdStr":"-1","MemberIdStr":"-1","DimensionId":-1,"MemberId":-1,"Inc":""},"_vena_DYNR_SInputModelpuntInfo1_BB1_7af2b78c_16ec5366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16ec5366","IsMultiDynamicRange":false,"MultiDynamicRangeID":null,"MultiDynamicCollectionID":null,"SectionName":"InputModelpuntInfo1","BlockName":"B1","VenaRangeType":5,"DimensionIdStr":"-1","MemberIdStr":"-1","DimensionId":-1,"MemberId":-1,"Inc":""},"_vena_DYNR_SInputModelpuntInfo1_BB1_7af2b78c_19a73b4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19a73b4e","IsMultiDynamicRange":false,"MultiDynamicRangeID":null,"MultiDynamicCollectionID":null,"SectionName":"InputModelpuntInfo1","BlockName":"B1","VenaRangeType":5,"DimensionIdStr":"-1","MemberIdStr":"-1","DimensionId":-1,"MemberId":-1,"Inc":""},"_vena_DYNR_SInputModelpuntInfo1_BB1_7af2b78c_1a3ffb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a3ffb1","IsMultiDynamicRange":false,"MultiDynamicRangeID":null,"MultiDynamicCollectionID":null,"SectionName":"InputModelpuntInfo1","BlockName":"B1","VenaRangeType":5,"DimensionIdStr":"-1","MemberIdStr":"-1","DimensionId":-1,"MemberId":-1,"Inc":""},"_vena_DYNR_SInputModelpuntInfo1_BB1_7af2b78c_1a4bd38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a4bd38c","IsMultiDynamicRange":false,"MultiDynamicRangeID":null,"MultiDynamicCollectionID":null,"SectionName":"InputModelpuntInfo1","BlockName":"B1","VenaRangeType":5,"DimensionIdStr":"-1","MemberIdStr":"-1","DimensionId":-1,"MemberId":-1,"Inc":""},"_vena_DYNR_SInputModelpuntInfo1_BB1_7af2b78c_1a950041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a950041","IsMultiDynamicRange":false,"MultiDynamicRangeID":null,"MultiDynamicCollectionID":null,"SectionName":"InputModelpuntInfo1","BlockName":"B1","VenaRangeType":5,"DimensionIdStr":"-1","MemberIdStr":"-1","DimensionId":-1,"MemberId":-1,"Inc":""},"_vena_DYNR_SInputModelpuntInfo1_BB1_7af2b78c_1b17b281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b17b281","IsMultiDynamicRange":false,"MultiDynamicRangeID":null,"MultiDynamicCollectionID":null,"SectionName":"InputModelpuntInfo1","BlockName":"B1","VenaRangeType":5,"DimensionIdStr":"-1","MemberIdStr":"-1","DimensionId":-1,"MemberId":-1,"Inc":""},"_vena_DYNR_SInputModelpuntInfo1_BB1_7af2b78c_1b761964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b761964","IsMultiDynamicRange":false,"MultiDynamicRangeID":null,"MultiDynamicCollectionID":null,"SectionName":"InputModelpuntInfo1","BlockName":"B1","VenaRangeType":5,"DimensionIdStr":"-1","MemberIdStr":"-1","DimensionId":-1,"MemberId":-1,"Inc":""},"_vena_DYNR_SInputModelpuntInfo1_BB1_7af2b78c_1cf792d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cf792d0","IsMultiDynamicRange":false,"MultiDynamicRangeID":null,"MultiDynamicCollectionID":null,"SectionName":"InputModelpuntInfo1","BlockName":"B1","VenaRangeType":5,"DimensionIdStr":"-1","MemberIdStr":"-1","DimensionId":-1,"MemberId":-1,"Inc":""},"_vena_DYNR_SInputModelpuntInfo1_BB1_7af2b78c_1d2aac38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d2aac38","IsMultiDynamicRange":false,"MultiDynamicRangeID":null,"MultiDynamicCollectionID":null,"SectionName":"InputModelpuntInfo1","BlockName":"B1","VenaRangeType":5,"DimensionIdStr":"-1","MemberIdStr":"-1","DimensionId":-1,"MemberId":-1,"Inc":""},"_vena_DYNR_SInputModelpuntInfo1_BB1_7af2b78c_1d6f7f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d6f7f8","IsMultiDynamicRange":false,"MultiDynamicRangeID":null,"MultiDynamicCollectionID":null,"SectionName":"InputModelpuntInfo1","BlockName":"B1","VenaRangeType":5,"DimensionIdStr":"-1","MemberIdStr":"-1","DimensionId":-1,"MemberId":-1,"Inc":""},"_vena_DYNR_SInputModelpuntInfo1_BB1_7af2b78c_1d705d07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d705d07","IsMultiDynamicRange":false,"MultiDynamicRangeID":null,"MultiDynamicCollectionID":null,"SectionName":"InputModelpuntInfo1","BlockName":"B1","VenaRangeType":5,"DimensionIdStr":"-1","MemberIdStr":"-1","DimensionId":-1,"MemberId":-1,"Inc":""},"_vena_DYNR_SInputModelpuntInfo1_BB1_7af2b78c_1d73c11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d73c11f","IsMultiDynamicRange":false,"MultiDynamicRangeID":null,"MultiDynamicCollectionID":null,"SectionName":"InputModelpuntInfo1","BlockName":"B1","VenaRangeType":5,"DimensionIdStr":"-1","MemberIdStr":"-1","DimensionId":-1,"MemberId":-1,"Inc":""},"_vena_DYNR_SInputModelpuntInfo1_BB1_7af2b78c_1de07466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de07466","IsMultiDynamicRange":false,"MultiDynamicRangeID":null,"MultiDynamicCollectionID":null,"SectionName":"InputModelpuntInfo1","BlockName":"B1","VenaRangeType":5,"DimensionIdStr":"-1","MemberIdStr":"-1","DimensionId":-1,"MemberId":-1,"Inc":""},"_vena_DYNR_SInputModelpuntInfo1_BB1_7af2b78c_1e26a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e26ad","IsMultiDynamicRange":false,"MultiDynamicRangeID":null,"MultiDynamicCollectionID":null,"SectionName":"InputModelpuntInfo1","BlockName":"B1","VenaRangeType":5,"DimensionIdStr":"-1","MemberIdStr":"-1","DimensionId":-1,"MemberId":-1,"Inc":""},"_vena_DYNR_SInputModelpuntInfo1_BB1_7af2b78c_1e282bf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e282bf9","IsMultiDynamicRange":false,"MultiDynamicRangeID":null,"MultiDynamicCollectionID":null,"SectionName":"InputModelpuntInfo1","BlockName":"B1","VenaRangeType":5,"DimensionIdStr":"-1","MemberIdStr":"-1","DimensionId":-1,"MemberId":-1,"Inc":""},"_vena_DYNR_SInputModelpuntInfo1_BB1_7af2b78c_1fd3daf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1fd3daf3","IsMultiDynamicRange":false,"MultiDynamicRangeID":null,"MultiDynamicCollectionID":null,"SectionName":"InputModelpuntInfo1","BlockName":"B1","VenaRangeType":5,"DimensionIdStr":"-1","MemberIdStr":"-1","DimensionId":-1,"MemberId":-1,"Inc":""},"_vena_DYNR_SInputModelpuntInfo1_BB1_7af2b78c_20c87a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20c87ab","IsMultiDynamicRange":false,"MultiDynamicRangeID":null,"MultiDynamicCollectionID":null,"SectionName":"InputModelpuntInfo1","BlockName":"B1","VenaRangeType":5,"DimensionIdStr":"-1","MemberIdStr":"-1","DimensionId":-1,"MemberId":-1,"Inc":""},"_vena_DYNR_SInputModelpuntInfo1_BB1_7af2b78c_20e8067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20e8067e","IsMultiDynamicRange":false,"MultiDynamicRangeID":null,"MultiDynamicCollectionID":null,"SectionName":"InputModelpuntInfo1","BlockName":"B1","VenaRangeType":5,"DimensionIdStr":"-1","MemberIdStr":"-1","DimensionId":-1,"MemberId":-1,"Inc":""},"_vena_DYNR_SInputModelpuntInfo1_BB1_7af2b78c_217040a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217040ae","IsMultiDynamicRange":false,"MultiDynamicRangeID":null,"MultiDynamicCollectionID":null,"SectionName":"InputModelpuntInfo1","BlockName":"B1","VenaRangeType":5,"DimensionIdStr":"-1","MemberIdStr":"-1","DimensionId":-1,"MemberId":-1,"Inc":""},"_vena_DYNR_SInputModelpuntInfo1_BB1_7af2b78c_21b23683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21b23683","IsMultiDynamicRange":false,"MultiDynamicRangeID":null,"MultiDynamicCollectionID":null,"SectionName":"InputModelpuntInfo1","BlockName":"B1","VenaRangeType":5,"DimensionIdStr":"-1","MemberIdStr":"-1","DimensionId":-1,"MemberId":-1,"Inc":""},"_vena_DYNR_SInputModelpuntInfo1_BB1_7af2b78c_21c0aa3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21c0aa3a","IsMultiDynamicRange":false,"MultiDynamicRangeID":null,"MultiDynamicCollectionID":null,"SectionName":"InputModelpuntInfo1","BlockName":"B1","VenaRangeType":5,"DimensionIdStr":"-1","MemberIdStr":"-1","DimensionId":-1,"MemberId":-1,"Inc":""},"_vena_DYNR_SInputModelpuntInfo1_BB1_7af2b78c_21f098f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21f098f2","IsMultiDynamicRange":false,"MultiDynamicRangeID":null,"MultiDynamicCollectionID":null,"SectionName":"InputModelpuntInfo1","BlockName":"B1","VenaRangeType":5,"DimensionIdStr":"-1","MemberIdStr":"-1","DimensionId":-1,"MemberId":-1,"Inc":""},"_vena_DYNR_SInputModelpuntInfo1_BB1_7af2b78c_2238c42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2238c42e","IsMultiDynamicRange":false,"MultiDynamicRangeID":null,"MultiDynamicCollectionID":null,"SectionName":"InputModelpuntInfo1","BlockName":"B1","VenaRangeType":5,"DimensionIdStr":"-1","MemberIdStr":"-1","DimensionId":-1,"MemberId":-1,"Inc":""},"_vena_DYNR_SInputModelpuntInfo1_BB1_7af2b78c_2315a54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2315a54e","IsMultiDynamicRange":false,"MultiDynamicRangeID":null,"MultiDynamicCollectionID":null,"SectionName":"InputModelpuntInfo1","BlockName":"B1","VenaRangeType":5,"DimensionIdStr":"-1","MemberIdStr":"-1","DimensionId":-1,"MemberId":-1,"Inc":""},"_vena_DYNR_SInputModelpuntInfo1_BB1_7af2b78c_235da68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235da68e","IsMultiDynamicRange":false,"MultiDynamicRangeID":null,"MultiDynamicCollectionID":null,"SectionName":"InputModelpuntInfo1","BlockName":"B1","VenaRangeType":5,"DimensionIdStr":"-1","MemberIdStr":"-1","DimensionId":-1,"MemberId":-1,"Inc":""},"_vena_DYNR_SInputModelpuntInfo1_BB1_7af2b78c_2426c1f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2426c1f9","IsMultiDynamicRange":false,"MultiDynamicRangeID":null,"MultiDynamicCollectionID":null,"SectionName":"InputModelpuntInfo1","BlockName":"B1","VenaRangeType":5,"DimensionIdStr":"-1","MemberIdStr":"-1","DimensionId":-1,"MemberId":-1,"Inc":""},"_vena_DYNR_SInputModelpuntInfo1_BB1_7af2b78c_25b66b07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25b66b07","IsMultiDynamicRange":false,"MultiDynamicRangeID":null,"MultiDynamicCollectionID":null,"SectionName":"InputModelpuntInfo1","BlockName":"B1","VenaRangeType":5,"DimensionIdStr":"-1","MemberIdStr":"-1","DimensionId":-1,"MemberId":-1,"Inc":""},"_vena_DYNR_SInputModelpuntInfo1_BB1_7af2b78c_263444c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263444c0","IsMultiDynamicRange":false,"MultiDynamicRangeID":null,"MultiDynamicCollectionID":null,"SectionName":"InputModelpuntInfo1","BlockName":"B1","VenaRangeType":5,"DimensionIdStr":"-1","MemberIdStr":"-1","DimensionId":-1,"MemberId":-1,"Inc":""},"_vena_DYNR_SInputModelpuntInfo1_BB1_7af2b78c_26fc4bf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26fc4bf3","IsMultiDynamicRange":false,"MultiDynamicRangeID":null,"MultiDynamicCollectionID":null,"SectionName":"InputModelpuntInfo1","BlockName":"B1","VenaRangeType":5,"DimensionIdStr":"-1","MemberIdStr":"-1","DimensionId":-1,"MemberId":-1,"Inc":""},"_vena_DYNR_SInputModelpuntInfo1_BB1_7af2b78c_27c86560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27c86560","IsMultiDynamicRange":false,"MultiDynamicRangeID":null,"MultiDynamicCollectionID":null,"SectionName":"InputModelpuntInfo1","BlockName":"B1","VenaRangeType":5,"DimensionIdStr":"-1","MemberIdStr":"-1","DimensionId":-1,"MemberId":-1,"Inc":""},"_vena_DYNR_SInputModelpuntInfo1_BB1_7af2b78c_2806efb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2806efb2","IsMultiDynamicRange":false,"MultiDynamicRangeID":null,"MultiDynamicCollectionID":null,"SectionName":"InputModelpuntInfo1","BlockName":"B1","VenaRangeType":5,"DimensionIdStr":"-1","MemberIdStr":"-1","DimensionId":-1,"MemberId":-1,"Inc":""},"_vena_DYNR_SInputModelpuntInfo1_BB1_7af2b78c_28799135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28799135","IsMultiDynamicRange":false,"MultiDynamicRangeID":null,"MultiDynamicCollectionID":null,"SectionName":"InputModelpuntInfo1","BlockName":"B1","VenaRangeType":5,"DimensionIdStr":"-1","MemberIdStr":"-1","DimensionId":-1,"MemberId":-1,"Inc":""},"_vena_DYNR_SInputModelpuntInfo1_BB1_7af2b78c_297ece07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297ece07","IsMultiDynamicRange":false,"MultiDynamicRangeID":null,"MultiDynamicCollectionID":null,"SectionName":"InputModelpuntInfo1","BlockName":"B1","VenaRangeType":5,"DimensionIdStr":"-1","MemberIdStr":"-1","DimensionId":-1,"MemberId":-1,"Inc":""},"_vena_DYNR_SInputModelpuntInfo1_BB1_7af2b78c_299b4dd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299b4dd2","IsMultiDynamicRange":false,"MultiDynamicRangeID":null,"MultiDynamicCollectionID":null,"SectionName":"InputModelpuntInfo1","BlockName":"B1","VenaRangeType":5,"DimensionIdStr":"-1","MemberIdStr":"-1","DimensionId":-1,"MemberId":-1,"Inc":""},"_vena_DYNR_SInputModelpuntInfo1_BB1_7af2b78c_2a1d1b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a1d1b8","IsMultiDynamicRange":false,"MultiDynamicRangeID":null,"MultiDynamicCollectionID":null,"SectionName":"InputModelpuntInfo1","BlockName":"B1","VenaRangeType":5,"DimensionIdStr":"-1","MemberIdStr":"-1","DimensionId":-1,"MemberId":-1,"Inc":""},"_vena_DYNR_SInputModelpuntInfo1_BB1_7af2b78c_2a2433b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a2433ba","IsMultiDynamicRange":false,"MultiDynamicRangeID":null,"MultiDynamicCollectionID":null,"SectionName":"InputModelpuntInfo1","BlockName":"B1","VenaRangeType":5,"DimensionIdStr":"-1","MemberIdStr":"-1","DimensionId":-1,"MemberId":-1,"Inc":""},"_vena_DYNR_SInputModelpuntInfo1_BB1_7af2b78c_2b4e96a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b4e96af","IsMultiDynamicRange":false,"MultiDynamicRangeID":null,"MultiDynamicCollectionID":null,"SectionName":"InputModelpuntInfo1","BlockName":"B1","VenaRangeType":5,"DimensionIdStr":"-1","MemberIdStr":"-1","DimensionId":-1,"MemberId":-1,"Inc":""},"_vena_DYNR_SInputModelpuntInfo1_BB1_7af2b78c_2b9d2055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b9d2055","IsMultiDynamicRange":false,"MultiDynamicRangeID":null,"MultiDynamicCollectionID":null,"SectionName":"InputModelpuntInfo1","BlockName":"B1","VenaRangeType":5,"DimensionIdStr":"-1","MemberIdStr":"-1","DimensionId":-1,"MemberId":-1,"Inc":""},"_vena_DYNR_SInputModelpuntInfo1_BB1_7af2b78c_2bc9f73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bc9f73a","IsMultiDynamicRange":false,"MultiDynamicRangeID":null,"MultiDynamicCollectionID":null,"SectionName":"InputModelpuntInfo1","BlockName":"B1","VenaRangeType":5,"DimensionIdStr":"-1","MemberIdStr":"-1","DimensionId":-1,"MemberId":-1,"Inc":""},"_vena_DYNR_SInputModelpuntInfo1_BB1_7af2b78c_2c096a73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c096a73","IsMultiDynamicRange":false,"MultiDynamicRangeID":null,"MultiDynamicCollectionID":null,"SectionName":"InputModelpuntInfo1","BlockName":"B1","VenaRangeType":5,"DimensionIdStr":"-1","MemberIdStr":"-1","DimensionId":-1,"MemberId":-1,"Inc":""},"_vena_DYNR_SInputModelpuntInfo1_BB1_7af2b78c_2c5062b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c5062b2","IsMultiDynamicRange":false,"MultiDynamicRangeID":null,"MultiDynamicCollectionID":null,"SectionName":"InputModelpuntInfo1","BlockName":"B1","VenaRangeType":5,"DimensionIdStr":"-1","MemberIdStr":"-1","DimensionId":-1,"MemberId":-1,"Inc":""},"_vena_DYNR_SInputModelpuntInfo1_BB1_7af2b78c_2d453a75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d453a75","IsMultiDynamicRange":false,"MultiDynamicRangeID":null,"MultiDynamicCollectionID":null,"SectionName":"InputModelpuntInfo1","BlockName":"B1","VenaRangeType":5,"DimensionIdStr":"-1","MemberIdStr":"-1","DimensionId":-1,"MemberId":-1,"Inc":""},"_vena_DYNR_SInputModelpuntInfo1_BB1_7af2b78c_2dad6510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dad6510","IsMultiDynamicRange":false,"MultiDynamicRangeID":null,"MultiDynamicCollectionID":null,"SectionName":"InputModelpuntInfo1","BlockName":"B1","VenaRangeType":5,"DimensionIdStr":"-1","MemberIdStr":"-1","DimensionId":-1,"MemberId":-1,"Inc":""},"_vena_DYNR_SInputModelpuntInfo1_BB1_7af2b78c_2dc82052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dc82052","IsMultiDynamicRange":false,"MultiDynamicRangeID":null,"MultiDynamicCollectionID":null,"SectionName":"InputModelpuntInfo1","BlockName":"B1","VenaRangeType":5,"DimensionIdStr":"-1","MemberIdStr":"-1","DimensionId":-1,"MemberId":-1,"Inc":""},"_vena_DYNR_SInputModelpuntInfo1_BB1_7af2b78c_2eec074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2eec074b","IsMultiDynamicRange":false,"MultiDynamicRangeID":null,"MultiDynamicCollectionID":null,"SectionName":"InputModelpuntInfo1","BlockName":"B1","VenaRangeType":5,"DimensionIdStr":"-1","MemberIdStr":"-1","DimensionId":-1,"MemberId":-1,"Inc":""},"_vena_DYNR_SInputModelpuntInfo1_BB1_7af2b78c_303f13e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303f13e7","IsMultiDynamicRange":false,"MultiDynamicRangeID":null,"MultiDynamicCollectionID":null,"SectionName":"InputModelpuntInfo1","BlockName":"B1","VenaRangeType":5,"DimensionIdStr":"-1","MemberIdStr":"-1","DimensionId":-1,"MemberId":-1,"Inc":""},"_vena_DYNR_SInputModelpuntInfo1_BB1_7af2b78c_30a6f92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30a6f92f","IsMultiDynamicRange":false,"MultiDynamicRangeID":null,"MultiDynamicCollectionID":null,"SectionName":"InputModelpuntInfo1","BlockName":"B1","VenaRangeType":5,"DimensionIdStr":"-1","MemberIdStr":"-1","DimensionId":-1,"MemberId":-1,"Inc":""},"_vena_DYNR_SInputModelpuntInfo1_BB1_7af2b78c_316e0057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316e0057","IsMultiDynamicRange":false,"MultiDynamicRangeID":null,"MultiDynamicCollectionID":null,"SectionName":"InputModelpuntInfo1","BlockName":"B1","VenaRangeType":5,"DimensionIdStr":"-1","MemberIdStr":"-1","DimensionId":-1,"MemberId":-1,"Inc":""},"_vena_DYNR_SInputModelpuntInfo1_BB1_7af2b78c_3276edc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3276edc4","IsMultiDynamicRange":false,"MultiDynamicRangeID":null,"MultiDynamicCollectionID":null,"SectionName":"InputModelpuntInfo1","BlockName":"B1","VenaRangeType":5,"DimensionIdStr":"-1","MemberIdStr":"-1","DimensionId":-1,"MemberId":-1,"Inc":""},"_vena_DYNR_SInputModelpuntInfo1_BB1_7af2b78c_3323737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3323737","IsMultiDynamicRange":false,"MultiDynamicRangeID":null,"MultiDynamicCollectionID":null,"SectionName":"InputModelpuntInfo1","BlockName":"B1","VenaRangeType":5,"DimensionIdStr":"-1","MemberIdStr":"-1","DimensionId":-1,"MemberId":-1,"Inc":""},"_vena_DYNR_SInputModelpuntInfo1_BB1_7af2b78c_332a0793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332a0793","IsMultiDynamicRange":false,"MultiDynamicRangeID":null,"MultiDynamicCollectionID":null,"SectionName":"InputModelpuntInfo1","BlockName":"B1","VenaRangeType":5,"DimensionIdStr":"-1","MemberIdStr":"-1","DimensionId":-1,"MemberId":-1,"Inc":""},"_vena_DYNR_SInputModelpuntInfo1_BB1_7af2b78c_33f1571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33f1571e","IsMultiDynamicRange":false,"MultiDynamicRangeID":null,"MultiDynamicCollectionID":null,"SectionName":"InputModelpuntInfo1","BlockName":"B1","VenaRangeType":5,"DimensionIdStr":"-1","MemberIdStr":"-1","DimensionId":-1,"MemberId":-1,"Inc":""},"_vena_DYNR_SInputModelpuntInfo1_BB1_7af2b78c_3509869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3509869b","IsMultiDynamicRange":false,"MultiDynamicRangeID":null,"MultiDynamicCollectionID":null,"SectionName":"InputModelpuntInfo1","BlockName":"B1","VenaRangeType":5,"DimensionIdStr":"-1","MemberIdStr":"-1","DimensionId":-1,"MemberId":-1,"Inc":""},"_vena_DYNR_SInputModelpuntInfo1_BB1_7af2b78c_357f2a9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357f2a9b","IsMultiDynamicRange":false,"MultiDynamicRangeID":null,"MultiDynamicCollectionID":null,"SectionName":"InputModelpuntInfo1","BlockName":"B1","VenaRangeType":5,"DimensionIdStr":"-1","MemberIdStr":"-1","DimensionId":-1,"MemberId":-1,"Inc":""},"_vena_DYNR_SInputModelpuntInfo1_BB1_7af2b78c_358b6202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358b6202","IsMultiDynamicRange":false,"MultiDynamicRangeID":null,"MultiDynamicCollectionID":null,"SectionName":"InputModelpuntInfo1","BlockName":"B1","VenaRangeType":5,"DimensionIdStr":"-1","MemberIdStr":"-1","DimensionId":-1,"MemberId":-1,"Inc":""},"_vena_DYNR_SInputModelpuntInfo1_BB1_7af2b78c_3617e6b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3617e6bd","IsMultiDynamicRange":false,"MultiDynamicRangeID":null,"MultiDynamicCollectionID":null,"SectionName":"InputModelpuntInfo1","BlockName":"B1","VenaRangeType":5,"DimensionIdStr":"-1","MemberIdStr":"-1","DimensionId":-1,"MemberId":-1,"Inc":""},"_vena_DYNR_SInputModelpuntInfo1_BB1_7af2b78c_375c6ce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375c6ce9","IsMultiDynamicRange":false,"MultiDynamicRangeID":null,"MultiDynamicCollectionID":null,"SectionName":"InputModelpuntInfo1","BlockName":"B1","VenaRangeType":5,"DimensionIdStr":"-1","MemberIdStr":"-1","DimensionId":-1,"MemberId":-1,"Inc":""},"_vena_DYNR_SInputModelpuntInfo1_BB1_7af2b78c_39730f21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39730f21","IsMultiDynamicRange":false,"MultiDynamicRangeID":null,"MultiDynamicCollectionID":null,"SectionName":"InputModelpuntInfo1","BlockName":"B1","VenaRangeType":5,"DimensionIdStr":"-1","MemberIdStr":"-1","DimensionId":-1,"MemberId":-1,"Inc":""},"_vena_DYNR_SInputModelpuntInfo1_BB1_7af2b78c_3a23ae4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a23ae4f","IsMultiDynamicRange":false,"MultiDynamicRangeID":null,"MultiDynamicCollectionID":null,"SectionName":"InputModelpuntInfo1","BlockName":"B1","VenaRangeType":5,"DimensionIdStr":"-1","MemberIdStr":"-1","DimensionId":-1,"MemberId":-1,"Inc":""},"_vena_DYNR_SInputModelpuntInfo1_BB1_7af2b78c_3ac0f2c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ac0f2c4","IsMultiDynamicRange":false,"MultiDynamicRangeID":null,"MultiDynamicCollectionID":null,"SectionName":"InputModelpuntInfo1","BlockName":"B1","VenaRangeType":5,"DimensionIdStr":"-1","MemberIdStr":"-1","DimensionId":-1,"MemberId":-1,"Inc":""},"_vena_DYNR_SInputModelpuntInfo1_BB1_7af2b78c_3b5826d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b5826dd","IsMultiDynamicRange":false,"MultiDynamicRangeID":null,"MultiDynamicCollectionID":null,"SectionName":"InputModelpuntInfo1","BlockName":"B1","VenaRangeType":5,"DimensionIdStr":"-1","MemberIdStr":"-1","DimensionId":-1,"MemberId":-1,"Inc":""},"_vena_DYNR_SInputModelpuntInfo1_BB1_7af2b78c_3f7f8780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3f7f8780","IsMultiDynamicRange":false,"MultiDynamicRangeID":null,"MultiDynamicCollectionID":null,"SectionName":"InputModelpuntInfo1","BlockName":"B1","VenaRangeType":5,"DimensionIdStr":"-1","MemberIdStr":"-1","DimensionId":-1,"MemberId":-1,"Inc":""},"_vena_DYNR_SInputModelpuntInfo1_BB1_7af2b78c_408d9e8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408d9e8a","IsMultiDynamicRange":false,"MultiDynamicRangeID":null,"MultiDynamicCollectionID":null,"SectionName":"InputModelpuntInfo1","BlockName":"B1","VenaRangeType":5,"DimensionIdStr":"-1","MemberIdStr":"-1","DimensionId":-1,"MemberId":-1,"Inc":""},"_vena_DYNR_SInputModelpuntInfo1_BB1_7af2b78c_40e2aa9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40e2aa9e","IsMultiDynamicRange":false,"MultiDynamicRangeID":null,"MultiDynamicCollectionID":null,"SectionName":"InputModelpuntInfo1","BlockName":"B1","VenaRangeType":5,"DimensionIdStr":"-1","MemberIdStr":"-1","DimensionId":-1,"MemberId":-1,"Inc":""},"_vena_DYNR_SInputModelpuntInfo1_BB1_7af2b78c_41447330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41447330","IsMultiDynamicRange":false,"MultiDynamicRangeID":null,"MultiDynamicCollectionID":null,"SectionName":"InputModelpuntInfo1","BlockName":"B1","VenaRangeType":5,"DimensionIdStr":"-1","MemberIdStr":"-1","DimensionId":-1,"MemberId":-1,"Inc":""},"_vena_DYNR_SInputModelpuntInfo1_BB1_7af2b78c_417b0609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417b0609","IsMultiDynamicRange":false,"MultiDynamicRangeID":null,"MultiDynamicCollectionID":null,"SectionName":"InputModelpuntInfo1","BlockName":"B1","VenaRangeType":5,"DimensionIdStr":"-1","MemberIdStr":"-1","DimensionId":-1,"MemberId":-1,"Inc":""},"_vena_DYNR_SInputModelpuntInfo1_BB1_7af2b78c_41d9db88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41d9db88","IsMultiDynamicRange":false,"MultiDynamicRangeID":null,"MultiDynamicCollectionID":null,"SectionName":"InputModelpuntInfo1","BlockName":"B1","VenaRangeType":5,"DimensionIdStr":"-1","MemberIdStr":"-1","DimensionId":-1,"MemberId":-1,"Inc":""},"_vena_DYNR_SInputModelpuntInfo1_BB1_7af2b78c_4219ef74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4219ef74","IsMultiDynamicRange":false,"MultiDynamicRangeID":null,"MultiDynamicCollectionID":null,"SectionName":"InputModelpuntInfo1","BlockName":"B1","VenaRangeType":5,"DimensionIdStr":"-1","MemberIdStr":"-1","DimensionId":-1,"MemberId":-1,"Inc":""},"_vena_DYNR_SInputModelpuntInfo1_BB1_7af2b78c_4233fc7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4233fc7c","IsMultiDynamicRange":false,"MultiDynamicRangeID":null,"MultiDynamicCollectionID":null,"SectionName":"InputModelpuntInfo1","BlockName":"B1","VenaRangeType":5,"DimensionIdStr":"-1","MemberIdStr":"-1","DimensionId":-1,"MemberId":-1,"Inc":""},"_vena_DYNR_SInputModelpuntInfo1_BB1_7af2b78c_42db50a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42db50a9","IsMultiDynamicRange":false,"MultiDynamicRangeID":null,"MultiDynamicCollectionID":null,"SectionName":"InputModelpuntInfo1","BlockName":"B1","VenaRangeType":5,"DimensionIdStr":"-1","MemberIdStr":"-1","DimensionId":-1,"MemberId":-1,"Inc":""},"_vena_DYNR_SInputModelpuntInfo1_BB1_7af2b78c_43abef9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43abef9e","IsMultiDynamicRange":false,"MultiDynamicRangeID":null,"MultiDynamicCollectionID":null,"SectionName":"InputModelpuntInfo1","BlockName":"B1","VenaRangeType":5,"DimensionIdStr":"-1","MemberIdStr":"-1","DimensionId":-1,"MemberId":-1,"Inc":""},"_vena_DYNR_SInputModelpuntInfo1_BB1_7af2b78c_43ef4016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43ef4016","IsMultiDynamicRange":false,"MultiDynamicRangeID":null,"MultiDynamicCollectionID":null,"SectionName":"InputModelpuntInfo1","BlockName":"B1","VenaRangeType":5,"DimensionIdStr":"-1","MemberIdStr":"-1","DimensionId":-1,"MemberId":-1,"Inc":""},"_vena_DYNR_SInputModelpuntInfo1_BB1_7af2b78c_44531216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44531216","IsMultiDynamicRange":false,"MultiDynamicRangeID":null,"MultiDynamicCollectionID":null,"SectionName":"InputModelpuntInfo1","BlockName":"B1","VenaRangeType":5,"DimensionIdStr":"-1","MemberIdStr":"-1","DimensionId":-1,"MemberId":-1,"Inc":""},"_vena_DYNR_SInputModelpuntInfo1_BB1_7af2b78c_447362f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447362f3","IsMultiDynamicRange":false,"MultiDynamicRangeID":null,"MultiDynamicCollectionID":null,"SectionName":"InputModelpuntInfo1","BlockName":"B1","VenaRangeType":5,"DimensionIdStr":"-1","MemberIdStr":"-1","DimensionId":-1,"MemberId":-1,"Inc":""},"_vena_DYNR_SInputModelpuntInfo1_BB1_7af2b78c_44a949a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44a949ae","IsMultiDynamicRange":false,"MultiDynamicRangeID":null,"MultiDynamicCollectionID":null,"SectionName":"InputModelpuntInfo1","BlockName":"B1","VenaRangeType":5,"DimensionIdStr":"-1","MemberIdStr":"-1","DimensionId":-1,"MemberId":-1,"Inc":""},"_vena_DYNR_SInputModelpuntInfo1_BB1_7af2b78c_45aebe13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45aebe13","IsMultiDynamicRange":false,"MultiDynamicRangeID":null,"MultiDynamicCollectionID":null,"SectionName":"InputModelpuntInfo1","BlockName":"B1","VenaRangeType":5,"DimensionIdStr":"-1","MemberIdStr":"-1","DimensionId":-1,"MemberId":-1,"Inc":""},"_vena_DYNR_SInputModelpuntInfo1_BB1_7af2b78c_46d64a03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46d64a03","IsMultiDynamicRange":false,"MultiDynamicRangeID":null,"MultiDynamicCollectionID":null,"SectionName":"InputModelpuntInfo1","BlockName":"B1","VenaRangeType":5,"DimensionIdStr":"-1","MemberIdStr":"-1","DimensionId":-1,"MemberId":-1,"Inc":""},"_vena_DYNR_SInputModelpuntInfo1_BB1_7af2b78c_480b3647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480b3647","IsMultiDynamicRange":false,"MultiDynamicRangeID":null,"MultiDynamicCollectionID":null,"SectionName":"InputModelpuntInfo1","BlockName":"B1","VenaRangeType":5,"DimensionIdStr":"-1","MemberIdStr":"-1","DimensionId":-1,"MemberId":-1,"Inc":""},"_vena_DYNR_SInputModelpuntInfo1_BB1_7af2b78c_489f3b22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489f3b22","IsMultiDynamicRange":false,"MultiDynamicRangeID":null,"MultiDynamicCollectionID":null,"SectionName":"InputModelpuntInfo1","BlockName":"B1","VenaRangeType":5,"DimensionIdStr":"-1","MemberIdStr":"-1","DimensionId":-1,"MemberId":-1,"Inc":""},"_vena_DYNR_SInputModelpuntInfo1_BB1_7af2b78c_490bf570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490bf570","IsMultiDynamicRange":false,"MultiDynamicRangeID":null,"MultiDynamicCollectionID":null,"SectionName":"InputModelpuntInfo1","BlockName":"B1","VenaRangeType":5,"DimensionIdStr":"-1","MemberIdStr":"-1","DimensionId":-1,"MemberId":-1,"Inc":""},"_vena_DYNR_SInputModelpuntInfo1_BB1_7af2b78c_49ac311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49ac311f","IsMultiDynamicRange":false,"MultiDynamicRangeID":null,"MultiDynamicCollectionID":null,"SectionName":"InputModelpuntInfo1","BlockName":"B1","VenaRangeType":5,"DimensionIdStr":"-1","MemberIdStr":"-1","DimensionId":-1,"MemberId":-1,"Inc":""},"_vena_DYNR_SInputModelpuntInfo1_BB1_7af2b78c_4a726d7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a726d7b","IsMultiDynamicRange":false,"MultiDynamicRangeID":null,"MultiDynamicCollectionID":null,"SectionName":"InputModelpuntInfo1","BlockName":"B1","VenaRangeType":5,"DimensionIdStr":"-1","MemberIdStr":"-1","DimensionId":-1,"MemberId":-1,"Inc":""},"_vena_DYNR_SInputModelpuntInfo1_BB1_7af2b78c_4b9ff0d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b9ff0df","IsMultiDynamicRange":false,"MultiDynamicRangeID":null,"MultiDynamicCollectionID":null,"SectionName":"InputModelpuntInfo1","BlockName":"B1","VenaRangeType":5,"DimensionIdStr":"-1","MemberIdStr":"-1","DimensionId":-1,"MemberId":-1,"Inc":""},"_vena_DYNR_SInputModelpuntInfo1_BB1_7af2b78c_4bec3792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bec3792","IsMultiDynamicRange":false,"MultiDynamicRangeID":null,"MultiDynamicCollectionID":null,"SectionName":"InputModelpuntInfo1","BlockName":"B1","VenaRangeType":5,"DimensionIdStr":"-1","MemberIdStr":"-1","DimensionId":-1,"MemberId":-1,"Inc":""},"_vena_DYNR_SInputModelpuntInfo1_BB1_7af2b78c_4c4c7c17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c4c7c17","IsMultiDynamicRange":false,"MultiDynamicRangeID":null,"MultiDynamicCollectionID":null,"SectionName":"InputModelpuntInfo1","BlockName":"B1","VenaRangeType":5,"DimensionIdStr":"-1","MemberIdStr":"-1","DimensionId":-1,"MemberId":-1,"Inc":""},"_vena_DYNR_SInputModelpuntInfo1_BB1_7af2b78c_4d4de08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d4de08f","IsMultiDynamicRange":false,"MultiDynamicRangeID":null,"MultiDynamicCollectionID":null,"SectionName":"InputModelpuntInfo1","BlockName":"B1","VenaRangeType":5,"DimensionIdStr":"-1","MemberIdStr":"-1","DimensionId":-1,"MemberId":-1,"Inc":""},"_vena_DYNR_SInputModelpuntInfo1_BB1_7af2b78c_4da14c1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da14c1c","IsMultiDynamicRange":false,"MultiDynamicRangeID":null,"MultiDynamicCollectionID":null,"SectionName":"InputModelpuntInfo1","BlockName":"B1","VenaRangeType":5,"DimensionIdStr":"-1","MemberIdStr":"-1","DimensionId":-1,"MemberId":-1,"Inc":""},"_vena_DYNR_SInputModelpuntInfo1_BB1_7af2b78c_4eb5f380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eb5f380","IsMultiDynamicRange":false,"MultiDynamicRangeID":null,"MultiDynamicCollectionID":null,"SectionName":"InputModelpuntInfo1","BlockName":"B1","VenaRangeType":5,"DimensionIdStr":"-1","MemberIdStr":"-1","DimensionId":-1,"MemberId":-1,"Inc":""},"_vena_DYNR_SInputModelpuntInfo1_BB1_7af2b78c_4ed321f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ed321f3","IsMultiDynamicRange":false,"MultiDynamicRangeID":null,"MultiDynamicCollectionID":null,"SectionName":"InputModelpuntInfo1","BlockName":"B1","VenaRangeType":5,"DimensionIdStr":"-1","MemberIdStr":"-1","DimensionId":-1,"MemberId":-1,"Inc":""},"_vena_DYNR_SInputModelpuntInfo1_BB1_7af2b78c_4f3a8059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4f3a8059","IsMultiDynamicRange":false,"MultiDynamicRangeID":null,"MultiDynamicCollectionID":null,"SectionName":"InputModelpuntInfo1","BlockName":"B1","VenaRangeType":5,"DimensionIdStr":"-1","MemberIdStr":"-1","DimensionId":-1,"MemberId":-1,"Inc":""},"_vena_DYNR_SInputModelpuntInfo1_BB1_7af2b78c_50044a1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50044a1e","IsMultiDynamicRange":false,"MultiDynamicRangeID":null,"MultiDynamicCollectionID":null,"SectionName":"InputModelpuntInfo1","BlockName":"B1","VenaRangeType":5,"DimensionIdStr":"-1","MemberIdStr":"-1","DimensionId":-1,"MemberId":-1,"Inc":""},"_vena_DYNR_SInputModelpuntInfo1_BB1_7af2b78c_50106431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50106431","IsMultiDynamicRange":false,"MultiDynamicRangeID":null,"MultiDynamicCollectionID":null,"SectionName":"InputModelpuntInfo1","BlockName":"B1","VenaRangeType":5,"DimensionIdStr":"-1","MemberIdStr":"-1","DimensionId":-1,"MemberId":-1,"Inc":""},"_vena_DYNR_SInputModelpuntInfo1_BB1_7af2b78c_514baca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514bacac","IsMultiDynamicRange":false,"MultiDynamicRangeID":null,"MultiDynamicCollectionID":null,"SectionName":"InputModelpuntInfo1","BlockName":"B1","VenaRangeType":5,"DimensionIdStr":"-1","MemberIdStr":"-1","DimensionId":-1,"MemberId":-1,"Inc":""},"_vena_DYNR_SInputModelpuntInfo1_BB1_7af2b78c_517cb76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517cb76f","IsMultiDynamicRange":false,"MultiDynamicRangeID":null,"MultiDynamicCollectionID":null,"SectionName":"InputModelpuntInfo1","BlockName":"B1","VenaRangeType":5,"DimensionIdStr":"-1","MemberIdStr":"-1","DimensionId":-1,"MemberId":-1,"Inc":""},"_vena_DYNR_SInputModelpuntInfo1_BB1_7af2b78c_51e4ffd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51e4ffd6","IsMultiDynamicRange":false,"MultiDynamicRangeID":null,"MultiDynamicCollectionID":null,"SectionName":"InputModelpuntInfo1","BlockName":"B1","VenaRangeType":5,"DimensionIdStr":"-1","MemberIdStr":"-1","DimensionId":-1,"MemberId":-1,"Inc":""},"_vena_DYNR_SInputModelpuntInfo1_BB1_7af2b78c_5202a54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5202a54b","IsMultiDynamicRange":false,"MultiDynamicRangeID":null,"MultiDynamicCollectionID":null,"SectionName":"InputModelpuntInfo1","BlockName":"B1","VenaRangeType":5,"DimensionIdStr":"-1","MemberIdStr":"-1","DimensionId":-1,"MemberId":-1,"Inc":""},"_vena_DYNR_SInputModelpuntInfo1_BB1_7af2b78c_52066165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52066165","IsMultiDynamicRange":false,"MultiDynamicRangeID":null,"MultiDynamicCollectionID":null,"SectionName":"InputModelpuntInfo1","BlockName":"B1","VenaRangeType":5,"DimensionIdStr":"-1","MemberIdStr":"-1","DimensionId":-1,"MemberId":-1,"Inc":""},"_vena_DYNR_SInputModelpuntInfo1_BB1_7af2b78c_5241bdc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5241bdc4","IsMultiDynamicRange":false,"MultiDynamicRangeID":null,"MultiDynamicCollectionID":null,"SectionName":"InputModelpuntInfo1","BlockName":"B1","VenaRangeType":5,"DimensionIdStr":"-1","MemberIdStr":"-1","DimensionId":-1,"MemberId":-1,"Inc":""},"_vena_DYNR_SInputModelpuntInfo1_BB1_7af2b78c_53936284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53936284","IsMultiDynamicRange":false,"MultiDynamicRangeID":null,"MultiDynamicCollectionID":null,"SectionName":"InputModelpuntInfo1","BlockName":"B1","VenaRangeType":5,"DimensionIdStr":"-1","MemberIdStr":"-1","DimensionId":-1,"MemberId":-1,"Inc":""},"_vena_DYNR_SInputModelpuntInfo1_BB1_7af2b78c_5448a1c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5448a1cc","IsMultiDynamicRange":false,"MultiDynamicRangeID":null,"MultiDynamicCollectionID":null,"SectionName":"InputModelpuntInfo1","BlockName":"B1","VenaRangeType":5,"DimensionIdStr":"-1","MemberIdStr":"-1","DimensionId":-1,"MemberId":-1,"Inc":""},"_vena_DYNR_SInputModelpuntInfo1_BB1_7af2b78c_54a92ab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54a92ab4","IsMultiDynamicRange":false,"MultiDynamicRangeID":null,"MultiDynamicCollectionID":null,"SectionName":"InputModelpuntInfo1","BlockName":"B1","VenaRangeType":5,"DimensionIdStr":"-1","MemberIdStr":"-1","DimensionId":-1,"MemberId":-1,"Inc":""},"_vena_DYNR_SInputModelpuntInfo1_BB1_7af2b78c_54f7c132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54f7c132","IsMultiDynamicRange":false,"MultiDynamicRangeID":null,"MultiDynamicCollectionID":null,"SectionName":"InputModelpuntInfo1","BlockName":"B1","VenaRangeType":5,"DimensionIdStr":"-1","MemberIdStr":"-1","DimensionId":-1,"MemberId":-1,"Inc":""},"_vena_DYNR_SInputModelpuntInfo1_BB1_7af2b78c_57d61be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57d61be9","IsMultiDynamicRange":false,"MultiDynamicRangeID":null,"MultiDynamicCollectionID":null,"SectionName":"InputModelpuntInfo1","BlockName":"B1","VenaRangeType":5,"DimensionIdStr":"-1","MemberIdStr":"-1","DimensionId":-1,"MemberId":-1,"Inc":""},"_vena_DYNR_SInputModelpuntInfo1_BB1_7af2b78c_5838bce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5838bce3","IsMultiDynamicRange":false,"MultiDynamicRangeID":null,"MultiDynamicCollectionID":null,"SectionName":"InputModelpuntInfo1","BlockName":"B1","VenaRangeType":5,"DimensionIdStr":"-1","MemberIdStr":"-1","DimensionId":-1,"MemberId":-1,"Inc":""},"_vena_DYNR_SInputModelpuntInfo1_BB1_7af2b78c_58515432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58515432","IsMultiDynamicRange":false,"MultiDynamicRangeID":null,"MultiDynamicCollectionID":null,"SectionName":"InputModelpuntInfo1","BlockName":"B1","VenaRangeType":5,"DimensionIdStr":"-1","MemberIdStr":"-1","DimensionId":-1,"MemberId":-1,"Inc":""},"_vena_DYNR_SInputModelpuntInfo1_BB1_7af2b78c_5ab3375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ab3375","IsMultiDynamicRange":false,"MultiDynamicRangeID":null,"MultiDynamicCollectionID":null,"SectionName":"InputModelpuntInfo1","BlockName":"B1","VenaRangeType":5,"DimensionIdStr":"-1","MemberIdStr":"-1","DimensionId":-1,"MemberId":-1,"Inc":""},"_vena_DYNR_SInputModelpuntInfo1_BB1_7af2b78c_5b2a9532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b2a9532","IsMultiDynamicRange":false,"MultiDynamicRangeID":null,"MultiDynamicCollectionID":null,"SectionName":"InputModelpuntInfo1","BlockName":"B1","VenaRangeType":5,"DimensionIdStr":"-1","MemberIdStr":"-1","DimensionId":-1,"MemberId":-1,"Inc":""},"_vena_DYNR_SInputModelpuntInfo1_BB1_7af2b78c_5bd6cc25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bd6cc25","IsMultiDynamicRange":false,"MultiDynamicRangeID":null,"MultiDynamicCollectionID":null,"SectionName":"InputModelpuntInfo1","BlockName":"B1","VenaRangeType":5,"DimensionIdStr":"-1","MemberIdStr":"-1","DimensionId":-1,"MemberId":-1,"Inc":""},"_vena_DYNR_SInputModelpuntInfo1_BB1_7af2b78c_5c62c123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c62c123","IsMultiDynamicRange":false,"MultiDynamicRangeID":null,"MultiDynamicCollectionID":null,"SectionName":"InputModelpuntInfo1","BlockName":"B1","VenaRangeType":5,"DimensionIdStr":"-1","MemberIdStr":"-1","DimensionId":-1,"MemberId":-1,"Inc":""},"_vena_DYNR_SInputModelpuntInfo1_BB1_7af2b78c_5c6c5f8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c6c5f8e","IsMultiDynamicRange":false,"MultiDynamicRangeID":null,"MultiDynamicCollectionID":null,"SectionName":"InputModelpuntInfo1","BlockName":"B1","VenaRangeType":5,"DimensionIdStr":"-1","MemberIdStr":"-1","DimensionId":-1,"MemberId":-1,"Inc":""},"_vena_DYNR_SInputModelpuntInfo1_BB1_7af2b78c_5d064de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d064de5","IsMultiDynamicRange":false,"MultiDynamicRangeID":null,"MultiDynamicCollectionID":null,"SectionName":"InputModelpuntInfo1","BlockName":"B1","VenaRangeType":5,"DimensionIdStr":"-1","MemberIdStr":"-1","DimensionId":-1,"MemberId":-1,"Inc":""},"_vena_DYNR_SInputModelpuntInfo1_BB1_7af2b78c_5da8136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da8136b","IsMultiDynamicRange":false,"MultiDynamicRangeID":null,"MultiDynamicCollectionID":null,"SectionName":"InputModelpuntInfo1","BlockName":"B1","VenaRangeType":5,"DimensionIdStr":"-1","MemberIdStr":"-1","DimensionId":-1,"MemberId":-1,"Inc":""},"_vena_DYNR_SInputModelpuntInfo1_BB1_7af2b78c_5dc40ff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dc40ff7","IsMultiDynamicRange":false,"MultiDynamicRangeID":null,"MultiDynamicCollectionID":null,"SectionName":"InputModelpuntInfo1","BlockName":"B1","VenaRangeType":5,"DimensionIdStr":"-1","MemberIdStr":"-1","DimensionId":-1,"MemberId":-1,"Inc":""},"_vena_DYNR_SInputModelpuntInfo1_BB1_7af2b78c_5e2433d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e2433d2","IsMultiDynamicRange":false,"MultiDynamicRangeID":null,"MultiDynamicCollectionID":null,"SectionName":"InputModelpuntInfo1","BlockName":"B1","VenaRangeType":5,"DimensionIdStr":"-1","MemberIdStr":"-1","DimensionId":-1,"MemberId":-1,"Inc":""},"_vena_DYNR_SInputModelpuntInfo1_BB1_7af2b78c_5f23a7f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f23a7f3","IsMultiDynamicRange":false,"MultiDynamicRangeID":null,"MultiDynamicCollectionID":null,"SectionName":"InputModelpuntInfo1","BlockName":"B1","VenaRangeType":5,"DimensionIdStr":"-1","MemberIdStr":"-1","DimensionId":-1,"MemberId":-1,"Inc":""},"_vena_DYNR_SInputModelpuntInfo1_BB1_7af2b78c_5f6430c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5f6430c8","IsMultiDynamicRange":false,"MultiDynamicRangeID":null,"MultiDynamicCollectionID":null,"SectionName":"InputModelpuntInfo1","BlockName":"B1","VenaRangeType":5,"DimensionIdStr":"-1","MemberIdStr":"-1","DimensionId":-1,"MemberId":-1,"Inc":""},"_vena_DYNR_SInputModelpuntInfo1_BB1_7af2b78c_6073e441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6073e441","IsMultiDynamicRange":false,"MultiDynamicRangeID":null,"MultiDynamicCollectionID":null,"SectionName":"InputModelpuntInfo1","BlockName":"B1","VenaRangeType":5,"DimensionIdStr":"-1","MemberIdStr":"-1","DimensionId":-1,"MemberId":-1,"Inc":""},"_vena_DYNR_SInputModelpuntInfo1_BB1_7af2b78c_607bf028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607bf028","IsMultiDynamicRange":false,"MultiDynamicRangeID":null,"MultiDynamicCollectionID":null,"SectionName":"InputModelpuntInfo1","BlockName":"B1","VenaRangeType":5,"DimensionIdStr":"-1","MemberIdStr":"-1","DimensionId":-1,"MemberId":-1,"Inc":""},"_vena_DYNR_SInputModelpuntInfo1_BB1_7af2b78c_607f922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607f922e","IsMultiDynamicRange":false,"MultiDynamicRangeID":null,"MultiDynamicCollectionID":null,"SectionName":"InputModelpuntInfo1","BlockName":"B1","VenaRangeType":5,"DimensionIdStr":"-1","MemberIdStr":"-1","DimensionId":-1,"MemberId":-1,"Inc":""},"_vena_DYNR_SInputModelpuntInfo1_BB1_7af2b78c_60c7ef80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60c7ef80","IsMultiDynamicRange":false,"MultiDynamicRangeID":null,"MultiDynamicCollectionID":null,"SectionName":"InputModelpuntInfo1","BlockName":"B1","VenaRangeType":5,"DimensionIdStr":"-1","MemberIdStr":"-1","DimensionId":-1,"MemberId":-1,"Inc":""},"_vena_DYNR_SInputModelpuntInfo1_BB1_7af2b78c_62741998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62741998","IsMultiDynamicRange":false,"MultiDynamicRangeID":null,"MultiDynamicCollectionID":null,"SectionName":"InputModelpuntInfo1","BlockName":"B1","VenaRangeType":5,"DimensionIdStr":"-1","MemberIdStr":"-1","DimensionId":-1,"MemberId":-1,"Inc":""},"_vena_DYNR_SInputModelpuntInfo1_BB1_7af2b78c_63196644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63196644","IsMultiDynamicRange":false,"MultiDynamicRangeID":null,"MultiDynamicCollectionID":null,"SectionName":"InputModelpuntInfo1","BlockName":"B1","VenaRangeType":5,"DimensionIdStr":"-1","MemberIdStr":"-1","DimensionId":-1,"MemberId":-1,"Inc":""},"_vena_DYNR_SInputModelpuntInfo1_BB1_7af2b78c_6343145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6343145c","IsMultiDynamicRange":false,"MultiDynamicRangeID":null,"MultiDynamicCollectionID":null,"SectionName":"InputModelpuntInfo1","BlockName":"B1","VenaRangeType":5,"DimensionIdStr":"-1","MemberIdStr":"-1","DimensionId":-1,"MemberId":-1,"Inc":""},"_vena_DYNR_SInputModelpuntInfo1_BB1_7af2b78c_64c0efd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64c0efdb","IsMultiDynamicRange":false,"MultiDynamicRangeID":null,"MultiDynamicCollectionID":null,"SectionName":"InputModelpuntInfo1","BlockName":"B1","VenaRangeType":5,"DimensionIdStr":"-1","MemberIdStr":"-1","DimensionId":-1,"MemberId":-1,"Inc":""},"_vena_DYNR_SInputModelpuntInfo1_BB1_7af2b78c_65fcc7c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65fcc7c8","IsMultiDynamicRange":false,"MultiDynamicRangeID":null,"MultiDynamicCollectionID":null,"SectionName":"InputModelpuntInfo1","BlockName":"B1","VenaRangeType":5,"DimensionIdStr":"-1","MemberIdStr":"-1","DimensionId":-1,"MemberId":-1,"Inc":""},"_vena_DYNR_SInputModelpuntInfo1_BB1_7af2b78c_668364f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668364fa","IsMultiDynamicRange":false,"MultiDynamicRangeID":null,"MultiDynamicCollectionID":null,"SectionName":"InputModelpuntInfo1","BlockName":"B1","VenaRangeType":5,"DimensionIdStr":"-1","MemberIdStr":"-1","DimensionId":-1,"MemberId":-1,"Inc":""},"_vena_DYNR_SInputModelpuntInfo1_BB1_7af2b78c_66ba24b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66ba24b7","IsMultiDynamicRange":false,"MultiDynamicRangeID":null,"MultiDynamicCollectionID":null,"SectionName":"InputModelpuntInfo1","BlockName":"B1","VenaRangeType":5,"DimensionIdStr":"-1","MemberIdStr":"-1","DimensionId":-1,"MemberId":-1,"Inc":""},"_vena_DYNR_SInputModelpuntInfo1_BB1_7af2b78c_66c9b79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66c9b79","IsMultiDynamicRange":false,"MultiDynamicRangeID":null,"MultiDynamicCollectionID":null,"SectionName":"InputModelpuntInfo1","BlockName":"B1","VenaRangeType":5,"DimensionIdStr":"-1","MemberIdStr":"-1","DimensionId":-1,"MemberId":-1,"Inc":""},"_vena_DYNR_SInputModelpuntInfo1_BB1_7af2b78c_673734e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673734e6","IsMultiDynamicRange":false,"MultiDynamicRangeID":null,"MultiDynamicCollectionID":null,"SectionName":"InputModelpuntInfo1","BlockName":"B1","VenaRangeType":5,"DimensionIdStr":"-1","MemberIdStr":"-1","DimensionId":-1,"MemberId":-1,"Inc":""},"_vena_DYNR_SInputModelpuntInfo1_BB1_7af2b78c_69107471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69107471","IsMultiDynamicRange":false,"MultiDynamicRangeID":null,"MultiDynamicCollectionID":null,"SectionName":"InputModelpuntInfo1","BlockName":"B1","VenaRangeType":5,"DimensionIdStr":"-1","MemberIdStr":"-1","DimensionId":-1,"MemberId":-1,"Inc":""},"_vena_DYNR_SInputModelpuntInfo1_BB1_7af2b78c_6965660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6965660c","IsMultiDynamicRange":false,"MultiDynamicRangeID":null,"MultiDynamicCollectionID":null,"SectionName":"InputModelpuntInfo1","BlockName":"B1","VenaRangeType":5,"DimensionIdStr":"-1","MemberIdStr":"-1","DimensionId":-1,"MemberId":-1,"Inc":""},"_vena_DYNR_SInputModelpuntInfo1_BB1_7af2b78c_6a72fe3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a72fe3e","IsMultiDynamicRange":false,"MultiDynamicRangeID":null,"MultiDynamicCollectionID":null,"SectionName":"InputModelpuntInfo1","BlockName":"B1","VenaRangeType":5,"DimensionIdStr":"-1","MemberIdStr":"-1","DimensionId":-1,"MemberId":-1,"Inc":""},"_vena_DYNR_SInputModelpuntInfo1_BB1_7af2b78c_6bd2c477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bd2c477","IsMultiDynamicRange":false,"MultiDynamicRangeID":null,"MultiDynamicCollectionID":null,"SectionName":"InputModelpuntInfo1","BlockName":"B1","VenaRangeType":5,"DimensionIdStr":"-1","MemberIdStr":"-1","DimensionId":-1,"MemberId":-1,"Inc":""},"_vena_DYNR_SInputModelpuntInfo1_BB1_7af2b78c_6bf1f88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bf1f88d","IsMultiDynamicRange":false,"MultiDynamicRangeID":null,"MultiDynamicCollectionID":null,"SectionName":"InputModelpuntInfo1","BlockName":"B1","VenaRangeType":5,"DimensionIdStr":"-1","MemberIdStr":"-1","DimensionId":-1,"MemberId":-1,"Inc":""},"_vena_DYNR_SInputModelpuntInfo1_BB1_7af2b78c_6c6f5f8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c6f5f8c","IsMultiDynamicRange":false,"MultiDynamicRangeID":null,"MultiDynamicCollectionID":null,"SectionName":"InputModelpuntInfo1","BlockName":"B1","VenaRangeType":5,"DimensionIdStr":"-1","MemberIdStr":"-1","DimensionId":-1,"MemberId":-1,"Inc":""},"_vena_DYNR_SInputModelpuntInfo1_BB1_7af2b78c_6ca35fe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ca35fe9","IsMultiDynamicRange":false,"MultiDynamicRangeID":null,"MultiDynamicCollectionID":null,"SectionName":"InputModelpuntInfo1","BlockName":"B1","VenaRangeType":5,"DimensionIdStr":"-1","MemberIdStr":"-1","DimensionId":-1,"MemberId":-1,"Inc":""},"_vena_DYNR_SInputModelpuntInfo1_BB1_7af2b78c_6d92e96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d92e96e","IsMultiDynamicRange":false,"MultiDynamicRangeID":null,"MultiDynamicCollectionID":null,"SectionName":"InputModelpuntInfo1","BlockName":"B1","VenaRangeType":5,"DimensionIdStr":"-1","MemberIdStr":"-1","DimensionId":-1,"MemberId":-1,"Inc":""},"_vena_DYNR_SInputModelpuntInfo1_BB1_7af2b78c_6e36f813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e36f813","IsMultiDynamicRange":false,"MultiDynamicRangeID":null,"MultiDynamicCollectionID":null,"SectionName":"InputModelpuntInfo1","BlockName":"B1","VenaRangeType":5,"DimensionIdStr":"-1","MemberIdStr":"-1","DimensionId":-1,"MemberId":-1,"Inc":""},"_vena_DYNR_SInputModelpuntInfo1_BB1_7af2b78c_6e459a87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e459a87","IsMultiDynamicRange":false,"MultiDynamicRangeID":null,"MultiDynamicCollectionID":null,"SectionName":"InputModelpuntInfo1","BlockName":"B1","VenaRangeType":5,"DimensionIdStr":"-1","MemberIdStr":"-1","DimensionId":-1,"MemberId":-1,"Inc":""},"_vena_DYNR_SInputModelpuntInfo1_BB1_7af2b78c_6f390871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f390871","IsMultiDynamicRange":false,"MultiDynamicRangeID":null,"MultiDynamicCollectionID":null,"SectionName":"InputModelpuntInfo1","BlockName":"B1","VenaRangeType":5,"DimensionIdStr":"-1","MemberIdStr":"-1","DimensionId":-1,"MemberId":-1,"Inc":""},"_vena_DYNR_SInputModelpuntInfo1_BB1_7af2b78c_6fcdfa84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6fcdfa84","IsMultiDynamicRange":false,"MultiDynamicRangeID":null,"MultiDynamicCollectionID":null,"SectionName":"InputModelpuntInfo1","BlockName":"B1","VenaRangeType":5,"DimensionIdStr":"-1","MemberIdStr":"-1","DimensionId":-1,"MemberId":-1,"Inc":""},"_vena_DYNR_SInputModelpuntInfo1_BB1_7af2b78c_706972e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706972e7","IsMultiDynamicRange":false,"MultiDynamicRangeID":null,"MultiDynamicCollectionID":null,"SectionName":"InputModelpuntInfo1","BlockName":"B1","VenaRangeType":5,"DimensionIdStr":"-1","MemberIdStr":"-1","DimensionId":-1,"MemberId":-1,"Inc":""},"_vena_DYNR_SInputModelpuntInfo1_BB1_7af2b78c_7078e9f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7078e9fe","IsMultiDynamicRange":false,"MultiDynamicRangeID":null,"MultiDynamicCollectionID":null,"SectionName":"InputModelpuntInfo1","BlockName":"B1","VenaRangeType":5,"DimensionIdStr":"-1","MemberIdStr":"-1","DimensionId":-1,"MemberId":-1,"Inc":""},"_vena_DYNR_SInputModelpuntInfo1_BB1_7af2b78c_718a6846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718a6846","IsMultiDynamicRange":false,"MultiDynamicRangeID":null,"MultiDynamicCollectionID":null,"SectionName":"InputModelpuntInfo1","BlockName":"B1","VenaRangeType":5,"DimensionIdStr":"-1","MemberIdStr":"-1","DimensionId":-1,"MemberId":-1,"Inc":""},"_vena_DYNR_SInputModelpuntInfo1_BB1_7af2b78c_719a244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719a244d","IsMultiDynamicRange":false,"MultiDynamicRangeID":null,"MultiDynamicCollectionID":null,"SectionName":"InputModelpuntInfo1","BlockName":"B1","VenaRangeType":5,"DimensionIdStr":"-1","MemberIdStr":"-1","DimensionId":-1,"MemberId":-1,"Inc":""},"_vena_DYNR_SInputModelpuntInfo1_BB1_7af2b78c_74e86412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74e86412","IsMultiDynamicRange":false,"MultiDynamicRangeID":null,"MultiDynamicCollectionID":null,"SectionName":"InputModelpuntInfo1","BlockName":"B1","VenaRangeType":5,"DimensionIdStr":"-1","MemberIdStr":"-1","DimensionId":-1,"MemberId":-1,"Inc":""},"_vena_DYNR_SInputModelpuntInfo1_BB1_7af2b78c_7574af6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7574af6c","IsMultiDynamicRange":false,"MultiDynamicRangeID":null,"MultiDynamicCollectionID":null,"SectionName":"InputModelpuntInfo1","BlockName":"B1","VenaRangeType":5,"DimensionIdStr":"-1","MemberIdStr":"-1","DimensionId":-1,"MemberId":-1,"Inc":""},"_vena_DYNR_SInputModelpuntInfo1_BB1_7af2b78c_7587d742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7587d742","IsMultiDynamicRange":false,"MultiDynamicRangeID":null,"MultiDynamicCollectionID":null,"SectionName":"InputModelpuntInfo1","BlockName":"B1","VenaRangeType":5,"DimensionIdStr":"-1","MemberIdStr":"-1","DimensionId":-1,"MemberId":-1,"Inc":""},"_vena_DYNR_SInputModelpuntInfo1_BB1_7af2b78c_76be75e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76be75e7","IsMultiDynamicRange":false,"MultiDynamicRangeID":null,"MultiDynamicCollectionID":null,"SectionName":"InputModelpuntInfo1","BlockName":"B1","VenaRangeType":5,"DimensionIdStr":"-1","MemberIdStr":"-1","DimensionId":-1,"MemberId":-1,"Inc":""},"_vena_DYNR_SInputModelpuntInfo1_BB1_7af2b78c_776ae59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776ae59a","IsMultiDynamicRange":false,"MultiDynamicRangeID":null,"MultiDynamicCollectionID":null,"SectionName":"InputModelpuntInfo1","BlockName":"B1","VenaRangeType":5,"DimensionIdStr":"-1","MemberIdStr":"-1","DimensionId":-1,"MemberId":-1,"Inc":""},"_vena_DYNR_SInputModelpuntInfo1_BB1_7af2b78c_7777dd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7777dd0","IsMultiDynamicRange":false,"MultiDynamicRangeID":null,"MultiDynamicCollectionID":null,"SectionName":"InputModelpuntInfo1","BlockName":"B1","VenaRangeType":5,"DimensionIdStr":"-1","MemberIdStr":"-1","DimensionId":-1,"MemberId":-1,"Inc":""},"_vena_DYNR_SInputModelpuntInfo1_BB1_7af2b78c_78207bc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78207bca","IsMultiDynamicRange":false,"MultiDynamicRangeID":null,"MultiDynamicCollectionID":null,"SectionName":"InputModelpuntInfo1","BlockName":"B1","VenaRangeType":5,"DimensionIdStr":"-1","MemberIdStr":"-1","DimensionId":-1,"MemberId":-1,"Inc":""},"_vena_DYNR_SInputModelpuntInfo1_BB1_7af2b78c_78e12b64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78e12b64","IsMultiDynamicRange":false,"MultiDynamicRangeID":null,"MultiDynamicCollectionID":null,"SectionName":"InputModelpuntInfo1","BlockName":"B1","VenaRangeType":5,"DimensionIdStr":"-1","MemberIdStr":"-1","DimensionId":-1,"MemberId":-1,"Inc":""},"_vena_DYNR_SInputModelpuntInfo1_BB1_7af2b78c_7985c8d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7985c8d9","IsMultiDynamicRange":false,"MultiDynamicRangeID":null,"MultiDynamicCollectionID":null,"SectionName":"InputModelpuntInfo1","BlockName":"B1","VenaRangeType":5,"DimensionIdStr":"-1","MemberIdStr":"-1","DimensionId":-1,"MemberId":-1,"Inc":""},"_vena_DYNR_SInputModelpuntInfo1_BB1_7af2b78c_79f5f729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79f5f729","IsMultiDynamicRange":false,"MultiDynamicRangeID":null,"MultiDynamicCollectionID":null,"SectionName":"InputModelpuntInfo1","BlockName":"B1","VenaRangeType":5,"DimensionIdStr":"-1","MemberIdStr":"-1","DimensionId":-1,"MemberId":-1,"Inc":""},"_vena_DYNR_SInputModelpuntInfo1_BB1_7af2b78c_7acabcf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acabcf0","IsMultiDynamicRange":false,"MultiDynamicRangeID":null,"MultiDynamicCollectionID":null,"SectionName":"InputModelpuntInfo1","BlockName":"B1","VenaRangeType":5,"DimensionIdStr":"-1","MemberIdStr":"-1","DimensionId":-1,"MemberId":-1,"Inc":""},"_vena_DYNR_SInputModelpuntInfo1_BB1_7af2b78c_7b8bb425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b8bb425","IsMultiDynamicRange":false,"MultiDynamicRangeID":null,"MultiDynamicCollectionID":null,"SectionName":"InputModelpuntInfo1","BlockName":"B1","VenaRangeType":5,"DimensionIdStr":"-1","MemberIdStr":"-1","DimensionId":-1,"MemberId":-1,"Inc":""},"_vena_DYNR_SInputModelpuntInfo1_BB1_7af2b78c_7bb5d0c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bb5d0cf","IsMultiDynamicRange":false,"MultiDynamicRangeID":null,"MultiDynamicCollectionID":null,"SectionName":"InputModelpuntInfo1","BlockName":"B1","VenaRangeType":5,"DimensionIdStr":"-1","MemberIdStr":"-1","DimensionId":-1,"MemberId":-1,"Inc":""},"_vena_DYNR_SInputModelpuntInfo1_BB1_7af2b78c_7ce69b47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ce69b47","IsMultiDynamicRange":false,"MultiDynamicRangeID":null,"MultiDynamicCollectionID":null,"SectionName":"InputModelpuntInfo1","BlockName":"B1","VenaRangeType":5,"DimensionIdStr":"-1","MemberIdStr":"-1","DimensionId":-1,"MemberId":-1,"Inc":""},"_vena_DYNR_SInputModelpuntInfo1_BB1_7af2b78c_7ddcdee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ddcdee9","IsMultiDynamicRange":false,"MultiDynamicRangeID":null,"MultiDynamicCollectionID":null,"SectionName":"InputModelpuntInfo1","BlockName":"B1","VenaRangeType":5,"DimensionIdStr":"-1","MemberIdStr":"-1","DimensionId":-1,"MemberId":-1,"Inc":""},"_vena_DYNR_SInputModelpuntInfo1_BB1_7af2b78c_7eb0329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eb0329c","IsMultiDynamicRange":false,"MultiDynamicRangeID":null,"MultiDynamicCollectionID":null,"SectionName":"InputModelpuntInfo1","BlockName":"B1","VenaRangeType":5,"DimensionIdStr":"-1","MemberIdStr":"-1","DimensionId":-1,"MemberId":-1,"Inc":""},"_vena_DYNR_SInputModelpuntInfo1_BB1_7af2b78c_7f2ff8f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f2ff8f7","IsMultiDynamicRange":false,"MultiDynamicRangeID":null,"MultiDynamicCollectionID":null,"SectionName":"InputModelpuntInfo1","BlockName":"B1","VenaRangeType":5,"DimensionIdStr":"-1","MemberIdStr":"-1","DimensionId":-1,"MemberId":-1,"Inc":""},"_vena_DYNR_SInputModelpuntInfo1_BB1_7af2b78c_7f9440d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f9440d6","IsMultiDynamicRange":false,"MultiDynamicRangeID":null,"MultiDynamicCollectionID":null,"SectionName":"InputModelpuntInfo1","BlockName":"B1","VenaRangeType":5,"DimensionIdStr":"-1","MemberIdStr":"-1","DimensionId":-1,"MemberId":-1,"Inc":""},"_vena_DYNR_SInputModelpuntInfo1_BB1_7af2b78c_7fe2819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7fe2819c","IsMultiDynamicRange":false,"MultiDynamicRangeID":null,"MultiDynamicCollectionID":null,"SectionName":"InputModelpuntInfo1","BlockName":"B1","VenaRangeType":5,"DimensionIdStr":"-1","MemberIdStr":"-1","DimensionId":-1,"MemberId":-1,"Inc":""},"_vena_DYNR_SInputModelpuntInfo1_BB1_7af2b78c_8165a140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8165a140","IsMultiDynamicRange":false,"MultiDynamicRangeID":null,"MultiDynamicCollectionID":null,"SectionName":"InputModelpuntInfo1","BlockName":"B1","VenaRangeType":5,"DimensionIdStr":"-1","MemberIdStr":"-1","DimensionId":-1,"MemberId":-1,"Inc":""},"_vena_DYNR_SInputModelpuntInfo1_BB1_7af2b78c_82155a84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82155a84","IsMultiDynamicRange":false,"MultiDynamicRangeID":null,"MultiDynamicCollectionID":null,"SectionName":"InputModelpuntInfo1","BlockName":"B1","VenaRangeType":5,"DimensionIdStr":"-1","MemberIdStr":"-1","DimensionId":-1,"MemberId":-1,"Inc":""},"_vena_DYNR_SInputModelpuntInfo1_BB1_7af2b78c_83864706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83864706","IsMultiDynamicRange":false,"MultiDynamicRangeID":null,"MultiDynamicCollectionID":null,"SectionName":"InputModelpuntInfo1","BlockName":"B1","VenaRangeType":5,"DimensionIdStr":"-1","MemberIdStr":"-1","DimensionId":-1,"MemberId":-1,"Inc":""},"_vena_DYNR_SInputModelpuntInfo1_BB1_7af2b78c_8437574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8437574b","IsMultiDynamicRange":false,"MultiDynamicRangeID":null,"MultiDynamicCollectionID":null,"SectionName":"InputModelpuntInfo1","BlockName":"B1","VenaRangeType":5,"DimensionIdStr":"-1","MemberIdStr":"-1","DimensionId":-1,"MemberId":-1,"Inc":""},"_vena_DYNR_SInputModelpuntInfo1_BB1_7af2b78c_84b5aca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84b5aca8","IsMultiDynamicRange":false,"MultiDynamicRangeID":null,"MultiDynamicCollectionID":null,"SectionName":"InputModelpuntInfo1","BlockName":"B1","VenaRangeType":5,"DimensionIdStr":"-1","MemberIdStr":"-1","DimensionId":-1,"MemberId":-1,"Inc":""},"_vena_DYNR_SInputModelpuntInfo1_BB1_7af2b78c_84d4e67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84d4e67d","IsMultiDynamicRange":false,"MultiDynamicRangeID":null,"MultiDynamicCollectionID":null,"SectionName":"InputModelpuntInfo1","BlockName":"B1","VenaRangeType":5,"DimensionIdStr":"-1","MemberIdStr":"-1","DimensionId":-1,"MemberId":-1,"Inc":""},"_vena_DYNR_SInputModelpuntInfo1_BB1_7af2b78c_84e04f33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84e04f33","IsMultiDynamicRange":false,"MultiDynamicRangeID":null,"MultiDynamicCollectionID":null,"SectionName":"InputModelpuntInfo1","BlockName":"B1","VenaRangeType":5,"DimensionIdStr":"-1","MemberIdStr":"-1","DimensionId":-1,"MemberId":-1,"Inc":""},"_vena_DYNR_SInputModelpuntInfo1_BB1_7af2b78c_863bf9b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863bf9b5","IsMultiDynamicRange":false,"MultiDynamicRangeID":null,"MultiDynamicCollectionID":null,"SectionName":"InputModelpuntInfo1","BlockName":"B1","VenaRangeType":5,"DimensionIdStr":"-1","MemberIdStr":"-1","DimensionId":-1,"MemberId":-1,"Inc":""},"_vena_DYNR_SInputModelpuntInfo1_BB1_7af2b78c_8681d1a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8681d1a7","IsMultiDynamicRange":false,"MultiDynamicRangeID":null,"MultiDynamicCollectionID":null,"SectionName":"InputModelpuntInfo1","BlockName":"B1","VenaRangeType":5,"DimensionIdStr":"-1","MemberIdStr":"-1","DimensionId":-1,"MemberId":-1,"Inc":""},"_vena_DYNR_SInputModelpuntInfo1_BB1_7af2b78c_8688aa29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8688aa29","IsMultiDynamicRange":false,"MultiDynamicRangeID":null,"MultiDynamicCollectionID":null,"SectionName":"InputModelpuntInfo1","BlockName":"B1","VenaRangeType":5,"DimensionIdStr":"-1","MemberIdStr":"-1","DimensionId":-1,"MemberId":-1,"Inc":""},"_vena_DYNR_SInputModelpuntInfo1_BB1_7af2b78c_87070f9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87070f9f","IsMultiDynamicRange":false,"MultiDynamicRangeID":null,"MultiDynamicCollectionID":null,"SectionName":"InputModelpuntInfo1","BlockName":"B1","VenaRangeType":5,"DimensionIdStr":"-1","MemberIdStr":"-1","DimensionId":-1,"MemberId":-1,"Inc":""},"_vena_DYNR_SInputModelpuntInfo1_BB1_7af2b78c_872058d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872058de","IsMultiDynamicRange":false,"MultiDynamicRangeID":null,"MultiDynamicCollectionID":null,"SectionName":"InputModelpuntInfo1","BlockName":"B1","VenaRangeType":5,"DimensionIdStr":"-1","MemberIdStr":"-1","DimensionId":-1,"MemberId":-1,"Inc":""},"_vena_DYNR_SInputModelpuntInfo1_BB1_7af2b78c_89503044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89503044","IsMultiDynamicRange":false,"MultiDynamicRangeID":null,"MultiDynamicCollectionID":null,"SectionName":"InputModelpuntInfo1","BlockName":"B1","VenaRangeType":5,"DimensionIdStr":"-1","MemberIdStr":"-1","DimensionId":-1,"MemberId":-1,"Inc":""},"_vena_DYNR_SInputModelpuntInfo1_BB1_7af2b78c_8990ea9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8990ea9a","IsMultiDynamicRange":false,"MultiDynamicRangeID":null,"MultiDynamicCollectionID":null,"SectionName":"InputModelpuntInfo1","BlockName":"B1","VenaRangeType":5,"DimensionIdStr":"-1","MemberIdStr":"-1","DimensionId":-1,"MemberId":-1,"Inc":""},"_vena_DYNR_SInputModelpuntInfo1_BB1_7af2b78c_89c2026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89c2026f","IsMultiDynamicRange":false,"MultiDynamicRangeID":null,"MultiDynamicCollectionID":null,"SectionName":"InputModelpuntInfo1","BlockName":"B1","VenaRangeType":5,"DimensionIdStr":"-1","MemberIdStr":"-1","DimensionId":-1,"MemberId":-1,"Inc":""},"_vena_DYNR_SInputModelpuntInfo1_BB1_7af2b78c_89d8276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89d8276f","IsMultiDynamicRange":false,"MultiDynamicRangeID":null,"MultiDynamicCollectionID":null,"SectionName":"InputModelpuntInfo1","BlockName":"B1","VenaRangeType":5,"DimensionIdStr":"-1","MemberIdStr":"-1","DimensionId":-1,"MemberId":-1,"Inc":""},"_vena_DYNR_SInputModelpuntInfo1_BB1_7af2b78c_8a0b9a72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a0b9a72","IsMultiDynamicRange":false,"MultiDynamicRangeID":null,"MultiDynamicCollectionID":null,"SectionName":"InputModelpuntInfo1","BlockName":"B1","VenaRangeType":5,"DimensionIdStr":"-1","MemberIdStr":"-1","DimensionId":-1,"MemberId":-1,"Inc":""},"_vena_DYNR_SInputModelpuntInfo1_BB1_7af2b78c_8b2b5c54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b2b5c54","IsMultiDynamicRange":false,"MultiDynamicRangeID":null,"MultiDynamicCollectionID":null,"SectionName":"InputModelpuntInfo1","BlockName":"B1","VenaRangeType":5,"DimensionIdStr":"-1","MemberIdStr":"-1","DimensionId":-1,"MemberId":-1,"Inc":""},"_vena_DYNR_SInputModelpuntInfo1_BB1_7af2b78c_8b7b818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b7b818a","IsMultiDynamicRange":false,"MultiDynamicRangeID":null,"MultiDynamicCollectionID":null,"SectionName":"InputModelpuntInfo1","BlockName":"B1","VenaRangeType":5,"DimensionIdStr":"-1","MemberIdStr":"-1","DimensionId":-1,"MemberId":-1,"Inc":""},"_vena_DYNR_SInputModelpuntInfo1_BB1_7af2b78c_8c1a27a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c1a27aa","IsMultiDynamicRange":false,"MultiDynamicRangeID":null,"MultiDynamicCollectionID":null,"SectionName":"InputModelpuntInfo1","BlockName":"B1","VenaRangeType":5,"DimensionIdStr":"-1","MemberIdStr":"-1","DimensionId":-1,"MemberId":-1,"Inc":""},"_vena_DYNR_SInputModelpuntInfo1_BB1_7af2b78c_8d34825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d34825d","IsMultiDynamicRange":false,"MultiDynamicRangeID":null,"MultiDynamicCollectionID":null,"SectionName":"InputModelpuntInfo1","BlockName":"B1","VenaRangeType":5,"DimensionIdStr":"-1","MemberIdStr":"-1","DimensionId":-1,"MemberId":-1,"Inc":""},"_vena_DYNR_SInputModelpuntInfo1_BB1_7af2b78c_8de453f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de453f5","IsMultiDynamicRange":false,"MultiDynamicRangeID":null,"MultiDynamicCollectionID":null,"SectionName":"InputModelpuntInfo1","BlockName":"B1","VenaRangeType":5,"DimensionIdStr":"-1","MemberIdStr":"-1","DimensionId":-1,"MemberId":-1,"Inc":""},"_vena_DYNR_SInputModelpuntInfo1_BB1_7af2b78c_8e57c3b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e57c3be","IsMultiDynamicRange":false,"MultiDynamicRangeID":null,"MultiDynamicCollectionID":null,"SectionName":"InputModelpuntInfo1","BlockName":"B1","VenaRangeType":5,"DimensionIdStr":"-1","MemberIdStr":"-1","DimensionId":-1,"MemberId":-1,"Inc":""},"_vena_DYNR_SInputModelpuntInfo1_BB1_7af2b78c_8fb6878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fb6878e","IsMultiDynamicRange":false,"MultiDynamicRangeID":null,"MultiDynamicCollectionID":null,"SectionName":"InputModelpuntInfo1","BlockName":"B1","VenaRangeType":5,"DimensionIdStr":"-1","MemberIdStr":"-1","DimensionId":-1,"MemberId":-1,"Inc":""},"_vena_DYNR_SInputModelpuntInfo1_BB1_7af2b78c_8fe50313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8fe50313","IsMultiDynamicRange":false,"MultiDynamicRangeID":null,"MultiDynamicCollectionID":null,"SectionName":"InputModelpuntInfo1","BlockName":"B1","VenaRangeType":5,"DimensionIdStr":"-1","MemberIdStr":"-1","DimensionId":-1,"MemberId":-1,"Inc":""},"_vena_DYNR_SInputModelpuntInfo1_BB1_7af2b78c_90087e5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90087e5f","IsMultiDynamicRange":false,"MultiDynamicRangeID":null,"MultiDynamicCollectionID":null,"SectionName":"InputModelpuntInfo1","BlockName":"B1","VenaRangeType":5,"DimensionIdStr":"-1","MemberIdStr":"-1","DimensionId":-1,"MemberId":-1,"Inc":""},"_vena_DYNR_SInputModelpuntInfo1_BB1_7af2b78c_90f3840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90f3840c","IsMultiDynamicRange":false,"MultiDynamicRangeID":null,"MultiDynamicCollectionID":null,"SectionName":"InputModelpuntInfo1","BlockName":"B1","VenaRangeType":5,"DimensionIdStr":"-1","MemberIdStr":"-1","DimensionId":-1,"MemberId":-1,"Inc":""},"_vena_DYNR_SInputModelpuntInfo1_BB1_7af2b78c_92dac029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92dac029","IsMultiDynamicRange":false,"MultiDynamicRangeID":null,"MultiDynamicCollectionID":null,"SectionName":"InputModelpuntInfo1","BlockName":"B1","VenaRangeType":5,"DimensionIdStr":"-1","MemberIdStr":"-1","DimensionId":-1,"MemberId":-1,"Inc":""},"_vena_DYNR_SInputModelpuntInfo1_BB1_7af2b78c_92f7e0a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92f7e0a1","IsMultiDynamicRange":false,"MultiDynamicRangeID":null,"MultiDynamicCollectionID":null,"SectionName":"InputModelpuntInfo1","BlockName":"B1","VenaRangeType":5,"DimensionIdStr":"-1","MemberIdStr":"-1","DimensionId":-1,"MemberId":-1,"Inc":""},"_vena_DYNR_SInputModelpuntInfo1_BB1_7af2b78c_94263657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94263657","IsMultiDynamicRange":false,"MultiDynamicRangeID":null,"MultiDynamicCollectionID":null,"SectionName":"InputModelpuntInfo1","BlockName":"B1","VenaRangeType":5,"DimensionIdStr":"-1","MemberIdStr":"-1","DimensionId":-1,"MemberId":-1,"Inc":""},"_vena_DYNR_SInputModelpuntInfo1_BB1_7af2b78c_94975d12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94975d12","IsMultiDynamicRange":false,"MultiDynamicRangeID":null,"MultiDynamicCollectionID":null,"SectionName":"InputModelpuntInfo1","BlockName":"B1","VenaRangeType":5,"DimensionIdStr":"-1","MemberIdStr":"-1","DimensionId":-1,"MemberId":-1,"Inc":""},"_vena_DYNR_SInputModelpuntInfo1_BB1_7af2b78c_94d06a50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94d06a50","IsMultiDynamicRange":false,"MultiDynamicRangeID":null,"MultiDynamicCollectionID":null,"SectionName":"InputModelpuntInfo1","BlockName":"B1","VenaRangeType":5,"DimensionIdStr":"-1","MemberIdStr":"-1","DimensionId":-1,"MemberId":-1,"Inc":""},"_vena_DYNR_SInputModelpuntInfo1_BB1_7af2b78c_95eaa4c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95eaa4c8","IsMultiDynamicRange":false,"MultiDynamicRangeID":null,"MultiDynamicCollectionID":null,"SectionName":"InputModelpuntInfo1","BlockName":"B1","VenaRangeType":5,"DimensionIdStr":"-1","MemberIdStr":"-1","DimensionId":-1,"MemberId":-1,"Inc":""},"_vena_DYNR_SInputModelpuntInfo1_BB1_7af2b78c_961c3d2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961c3d2e","IsMultiDynamicRange":false,"MultiDynamicRangeID":null,"MultiDynamicCollectionID":null,"SectionName":"InputModelpuntInfo1","BlockName":"B1","VenaRangeType":5,"DimensionIdStr":"-1","MemberIdStr":"-1","DimensionId":-1,"MemberId":-1,"Inc":""},"_vena_DYNR_SInputModelpuntInfo1_BB1_7af2b78c_9887b7c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9887b7c5","IsMultiDynamicRange":false,"MultiDynamicRangeID":null,"MultiDynamicCollectionID":null,"SectionName":"InputModelpuntInfo1","BlockName":"B1","VenaRangeType":5,"DimensionIdStr":"-1","MemberIdStr":"-1","DimensionId":-1,"MemberId":-1,"Inc":""},"_vena_DYNR_SInputModelpuntInfo1_BB1_7af2b78c_98bada2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98bada2d","IsMultiDynamicRange":false,"MultiDynamicRangeID":null,"MultiDynamicCollectionID":null,"SectionName":"InputModelpuntInfo1","BlockName":"B1","VenaRangeType":5,"DimensionIdStr":"-1","MemberIdStr":"-1","DimensionId":-1,"MemberId":-1,"Inc":""},"_vena_DYNR_SInputModelpuntInfo1_BB1_7af2b78c_992ee22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992ee22e","IsMultiDynamicRange":false,"MultiDynamicRangeID":null,"MultiDynamicCollectionID":null,"SectionName":"InputModelpuntInfo1","BlockName":"B1","VenaRangeType":5,"DimensionIdStr":"-1","MemberIdStr":"-1","DimensionId":-1,"MemberId":-1,"Inc":""},"_vena_DYNR_SInputModelpuntInfo1_BB1_7af2b78c_9a08e31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a08e31a","IsMultiDynamicRange":false,"MultiDynamicRangeID":null,"MultiDynamicCollectionID":null,"SectionName":"InputModelpuntInfo1","BlockName":"B1","VenaRangeType":5,"DimensionIdStr":"-1","MemberIdStr":"-1","DimensionId":-1,"MemberId":-1,"Inc":""},"_vena_DYNR_SInputModelpuntInfo1_BB1_7af2b78c_9aaa71d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aaa71d1","IsMultiDynamicRange":false,"MultiDynamicRangeID":null,"MultiDynamicCollectionID":null,"SectionName":"InputModelpuntInfo1","BlockName":"B1","VenaRangeType":5,"DimensionIdStr":"-1","MemberIdStr":"-1","DimensionId":-1,"MemberId":-1,"Inc":""},"_vena_DYNR_SInputModelpuntInfo1_BB1_7af2b78c_9b251217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b251217","IsMultiDynamicRange":false,"MultiDynamicRangeID":null,"MultiDynamicCollectionID":null,"SectionName":"InputModelpuntInfo1","BlockName":"B1","VenaRangeType":5,"DimensionIdStr":"-1","MemberIdStr":"-1","DimensionId":-1,"MemberId":-1,"Inc":""},"_vena_DYNR_SInputModelpuntInfo1_BB1_7af2b78c_9e0c4a29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e0c4a29","IsMultiDynamicRange":false,"MultiDynamicRangeID":null,"MultiDynamicCollectionID":null,"SectionName":"InputModelpuntInfo1","BlockName":"B1","VenaRangeType":5,"DimensionIdStr":"-1","MemberIdStr":"-1","DimensionId":-1,"MemberId":-1,"Inc":""},"_vena_DYNR_SInputModelpuntInfo1_BB1_7af2b78c_9e118e61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e118e61","IsMultiDynamicRange":false,"MultiDynamicRangeID":null,"MultiDynamicCollectionID":null,"SectionName":"InputModelpuntInfo1","BlockName":"B1","VenaRangeType":5,"DimensionIdStr":"-1","MemberIdStr":"-1","DimensionId":-1,"MemberId":-1,"Inc":""},"_vena_DYNR_SInputModelpuntInfo1_BB1_7af2b78c_9e43d3f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e43d3fa","IsMultiDynamicRange":false,"MultiDynamicRangeID":null,"MultiDynamicCollectionID":null,"SectionName":"InputModelpuntInfo1","BlockName":"B1","VenaRangeType":5,"DimensionIdStr":"-1","MemberIdStr":"-1","DimensionId":-1,"MemberId":-1,"Inc":""},"_vena_DYNR_SInputModelpuntInfo1_BB1_7af2b78c_9f507f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f507f6","IsMultiDynamicRange":false,"MultiDynamicRangeID":null,"MultiDynamicCollectionID":null,"SectionName":"InputModelpuntInfo1","BlockName":"B1","VenaRangeType":5,"DimensionIdStr":"-1","MemberIdStr":"-1","DimensionId":-1,"MemberId":-1,"Inc":""},"_vena_DYNR_SInputModelpuntInfo1_BB1_7af2b78c_9fd4d485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9fd4d485","IsMultiDynamicRange":false,"MultiDynamicRangeID":null,"MultiDynamicCollectionID":null,"SectionName":"InputModelpuntInfo1","BlockName":"B1","VenaRangeType":5,"DimensionIdStr":"-1","MemberIdStr":"-1","DimensionId":-1,"MemberId":-1,"Inc":""},"_vena_DYNR_SInputModelpuntInfo1_BB1_7af2b78c_a0a08b14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0a08b14","IsMultiDynamicRange":false,"MultiDynamicRangeID":null,"MultiDynamicCollectionID":null,"SectionName":"InputModelpuntInfo1","BlockName":"B1","VenaRangeType":5,"DimensionIdStr":"-1","MemberIdStr":"-1","DimensionId":-1,"MemberId":-1,"Inc":""},"_vena_DYNR_SInputModelpuntInfo1_BB1_7af2b78c_a2073278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2073278","IsMultiDynamicRange":false,"MultiDynamicRangeID":null,"MultiDynamicCollectionID":null,"SectionName":"InputModelpuntInfo1","BlockName":"B1","VenaRangeType":5,"DimensionIdStr":"-1","MemberIdStr":"-1","DimensionId":-1,"MemberId":-1,"Inc":""},"_vena_DYNR_SInputModelpuntInfo1_BB1_7af2b78c_a36dc68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36dc68d","IsMultiDynamicRange":false,"MultiDynamicRangeID":null,"MultiDynamicCollectionID":null,"SectionName":"InputModelpuntInfo1","BlockName":"B1","VenaRangeType":5,"DimensionIdStr":"-1","MemberIdStr":"-1","DimensionId":-1,"MemberId":-1,"Inc":""},"_vena_DYNR_SInputModelpuntInfo1_BB1_7af2b78c_a4022a1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4022a1f","IsMultiDynamicRange":false,"MultiDynamicRangeID":null,"MultiDynamicCollectionID":null,"SectionName":"InputModelpuntInfo1","BlockName":"B1","VenaRangeType":5,"DimensionIdStr":"-1","MemberIdStr":"-1","DimensionId":-1,"MemberId":-1,"Inc":""},"_vena_DYNR_SInputModelpuntInfo1_BB1_7af2b78c_a43c6937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43c6937","IsMultiDynamicRange":false,"MultiDynamicRangeID":null,"MultiDynamicCollectionID":null,"SectionName":"InputModelpuntInfo1","BlockName":"B1","VenaRangeType":5,"DimensionIdStr":"-1","MemberIdStr":"-1","DimensionId":-1,"MemberId":-1,"Inc":""},"_vena_DYNR_SInputModelpuntInfo1_BB1_7af2b78c_a448abc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448abc3","IsMultiDynamicRange":false,"MultiDynamicRangeID":null,"MultiDynamicCollectionID":null,"SectionName":"InputModelpuntInfo1","BlockName":"B1","VenaRangeType":5,"DimensionIdStr":"-1","MemberIdStr":"-1","DimensionId":-1,"MemberId":-1,"Inc":""},"_vena_DYNR_SInputModelpuntInfo1_BB1_7af2b78c_a63bfd6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63bfd6e","IsMultiDynamicRange":false,"MultiDynamicRangeID":null,"MultiDynamicCollectionID":null,"SectionName":"InputModelpuntInfo1","BlockName":"B1","VenaRangeType":5,"DimensionIdStr":"-1","MemberIdStr":"-1","DimensionId":-1,"MemberId":-1,"Inc":""},"_vena_DYNR_SInputModelpuntInfo1_BB1_7af2b78c_a768938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768938a","IsMultiDynamicRange":false,"MultiDynamicRangeID":null,"MultiDynamicCollectionID":null,"SectionName":"InputModelpuntInfo1","BlockName":"B1","VenaRangeType":5,"DimensionIdStr":"-1","MemberIdStr":"-1","DimensionId":-1,"MemberId":-1,"Inc":""},"_vena_DYNR_SInputModelpuntInfo1_BB1_7af2b78c_a863fc91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863fc91","IsMultiDynamicRange":false,"MultiDynamicRangeID":null,"MultiDynamicCollectionID":null,"SectionName":"InputModelpuntInfo1","BlockName":"B1","VenaRangeType":5,"DimensionIdStr":"-1","MemberIdStr":"-1","DimensionId":-1,"MemberId":-1,"Inc":""},"_vena_DYNR_SInputModelpuntInfo1_BB1_7af2b78c_a8e01e72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8e01e72","IsMultiDynamicRange":false,"MultiDynamicRangeID":null,"MultiDynamicCollectionID":null,"SectionName":"InputModelpuntInfo1","BlockName":"B1","VenaRangeType":5,"DimensionIdStr":"-1","MemberIdStr":"-1","DimensionId":-1,"MemberId":-1,"Inc":""},"_vena_DYNR_SInputModelpuntInfo1_BB1_7af2b78c_a9526704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9526704","IsMultiDynamicRange":false,"MultiDynamicRangeID":null,"MultiDynamicCollectionID":null,"SectionName":"InputModelpuntInfo1","BlockName":"B1","VenaRangeType":5,"DimensionIdStr":"-1","MemberIdStr":"-1","DimensionId":-1,"MemberId":-1,"Inc":""},"_vena_DYNR_SInputModelpuntInfo1_BB1_7af2b78c_a9aa0943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9aa0943","IsMultiDynamicRange":false,"MultiDynamicRangeID":null,"MultiDynamicCollectionID":null,"SectionName":"InputModelpuntInfo1","BlockName":"B1","VenaRangeType":5,"DimensionIdStr":"-1","MemberIdStr":"-1","DimensionId":-1,"MemberId":-1,"Inc":""},"_vena_DYNR_SInputModelpuntInfo1_BB1_7af2b78c_aaa11f8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aa11f8c","IsMultiDynamicRange":false,"MultiDynamicRangeID":null,"MultiDynamicCollectionID":null,"SectionName":"InputModelpuntInfo1","BlockName":"B1","VenaRangeType":5,"DimensionIdStr":"-1","MemberIdStr":"-1","DimensionId":-1,"MemberId":-1,"Inc":""},"_vena_DYNR_SInputModelpuntInfo1_BB1_7af2b78c_aaf75d8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af75d8a","IsMultiDynamicRange":false,"MultiDynamicRangeID":null,"MultiDynamicCollectionID":null,"SectionName":"InputModelpuntInfo1","BlockName":"B1","VenaRangeType":5,"DimensionIdStr":"-1","MemberIdStr":"-1","DimensionId":-1,"MemberId":-1,"Inc":""},"_vena_DYNR_SInputModelpuntInfo1_BB1_7af2b78c_ab6b4b4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b6b4b4d","IsMultiDynamicRange":false,"MultiDynamicRangeID":null,"MultiDynamicCollectionID":null,"SectionName":"InputModelpuntInfo1","BlockName":"B1","VenaRangeType":5,"DimensionIdStr":"-1","MemberIdStr":"-1","DimensionId":-1,"MemberId":-1,"Inc":""},"_vena_DYNR_SInputModelpuntInfo1_BB1_7af2b78c_ac2196b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c2196ba","IsMultiDynamicRange":false,"MultiDynamicRangeID":null,"MultiDynamicCollectionID":null,"SectionName":"InputModelpuntInfo1","BlockName":"B1","VenaRangeType":5,"DimensionIdStr":"-1","MemberIdStr":"-1","DimensionId":-1,"MemberId":-1,"Inc":""},"_vena_DYNR_SInputModelpuntInfo1_BB1_7af2b78c_acb1bbf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cb1bbf2","IsMultiDynamicRange":false,"MultiDynamicRangeID":null,"MultiDynamicCollectionID":null,"SectionName":"InputModelpuntInfo1","BlockName":"B1","VenaRangeType":5,"DimensionIdStr":"-1","MemberIdStr":"-1","DimensionId":-1,"MemberId":-1,"Inc":""},"_vena_DYNR_SInputModelpuntInfo1_BB1_7af2b78c_aea002b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ea002b9","IsMultiDynamicRange":false,"MultiDynamicRangeID":null,"MultiDynamicCollectionID":null,"SectionName":"InputModelpuntInfo1","BlockName":"B1","VenaRangeType":5,"DimensionIdStr":"-1","MemberIdStr":"-1","DimensionId":-1,"MemberId":-1,"Inc":""},"_vena_DYNR_SInputModelpuntInfo1_BB1_7af2b78c_aefd14c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efd14cc","IsMultiDynamicRange":false,"MultiDynamicRangeID":null,"MultiDynamicCollectionID":null,"SectionName":"InputModelpuntInfo1","BlockName":"B1","VenaRangeType":5,"DimensionIdStr":"-1","MemberIdStr":"-1","DimensionId":-1,"MemberId":-1,"Inc":""},"_vena_DYNR_SInputModelpuntInfo1_BB1_7af2b78c_af8f8d7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f8f8d7e","IsMultiDynamicRange":false,"MultiDynamicRangeID":null,"MultiDynamicCollectionID":null,"SectionName":"InputModelpuntInfo1","BlockName":"B1","VenaRangeType":5,"DimensionIdStr":"-1","MemberIdStr":"-1","DimensionId":-1,"MemberId":-1,"Inc":""},"_vena_DYNR_SInputModelpuntInfo1_BB1_7af2b78c_afbf6232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afbf6232","IsMultiDynamicRange":false,"MultiDynamicRangeID":null,"MultiDynamicCollectionID":null,"SectionName":"InputModelpuntInfo1","BlockName":"B1","VenaRangeType":5,"DimensionIdStr":"-1","MemberIdStr":"-1","DimensionId":-1,"MemberId":-1,"Inc":""},"_vena_DYNR_SInputModelpuntInfo1_BB1_7af2b78c_b023a6c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023a6c2","IsMultiDynamicRange":false,"MultiDynamicRangeID":null,"MultiDynamicCollectionID":null,"SectionName":"InputModelpuntInfo1","BlockName":"B1","VenaRangeType":5,"DimensionIdStr":"-1","MemberIdStr":"-1","DimensionId":-1,"MemberId":-1,"Inc":""},"_vena_DYNR_SInputModelpuntInfo1_BB1_7af2b78c_b0569b86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0569b86","IsMultiDynamicRange":false,"MultiDynamicRangeID":null,"MultiDynamicCollectionID":null,"SectionName":"InputModelpuntInfo1","BlockName":"B1","VenaRangeType":5,"DimensionIdStr":"-1","MemberIdStr":"-1","DimensionId":-1,"MemberId":-1,"Inc":""},"_vena_DYNR_SInputModelpuntInfo1_BB1_7af2b78c_b0a507c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0a507cf","IsMultiDynamicRange":false,"MultiDynamicRangeID":null,"MultiDynamicCollectionID":null,"SectionName":"InputModelpuntInfo1","BlockName":"B1","VenaRangeType":5,"DimensionIdStr":"-1","MemberIdStr":"-1","DimensionId":-1,"MemberId":-1,"Inc":""},"_vena_DYNR_SInputModelpuntInfo1_BB1_7af2b78c_b1074170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1074170","IsMultiDynamicRange":false,"MultiDynamicRangeID":null,"MultiDynamicCollectionID":null,"SectionName":"InputModelpuntInfo1","BlockName":"B1","VenaRangeType":5,"DimensionIdStr":"-1","MemberIdStr":"-1","DimensionId":-1,"MemberId":-1,"Inc":""},"_vena_DYNR_SInputModelpuntInfo1_BB1_7af2b78c_b1ebd66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1ebd66","IsMultiDynamicRange":false,"MultiDynamicRangeID":null,"MultiDynamicCollectionID":null,"SectionName":"InputModelpuntInfo1","BlockName":"B1","VenaRangeType":5,"DimensionIdStr":"-1","MemberIdStr":"-1","DimensionId":-1,"MemberId":-1,"Inc":""},"_vena_DYNR_SInputModelpuntInfo1_BB1_7af2b78c_b25c4de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25c4dee","IsMultiDynamicRange":false,"MultiDynamicRangeID":null,"MultiDynamicCollectionID":null,"SectionName":"InputModelpuntInfo1","BlockName":"B1","VenaRangeType":5,"DimensionIdStr":"-1","MemberIdStr":"-1","DimensionId":-1,"MemberId":-1,"Inc":""},"_vena_DYNR_SInputModelpuntInfo1_BB1_7af2b78c_b31f22a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31f22a1","IsMultiDynamicRange":false,"MultiDynamicRangeID":null,"MultiDynamicCollectionID":null,"SectionName":"InputModelpuntInfo1","BlockName":"B1","VenaRangeType":5,"DimensionIdStr":"-1","MemberIdStr":"-1","DimensionId":-1,"MemberId":-1,"Inc":""},"_vena_DYNR_SInputModelpuntInfo1_BB1_7af2b78c_b376fc80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376fc80","IsMultiDynamicRange":false,"MultiDynamicRangeID":null,"MultiDynamicCollectionID":null,"SectionName":"InputModelpuntInfo1","BlockName":"B1","VenaRangeType":5,"DimensionIdStr":"-1","MemberIdStr":"-1","DimensionId":-1,"MemberId":-1,"Inc":""},"_vena_DYNR_SInputModelpuntInfo1_BB1_7af2b78c_b3891c4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3891c4b","IsMultiDynamicRange":false,"MultiDynamicRangeID":null,"MultiDynamicCollectionID":null,"SectionName":"InputModelpuntInfo1","BlockName":"B1","VenaRangeType":5,"DimensionIdStr":"-1","MemberIdStr":"-1","DimensionId":-1,"MemberId":-1,"Inc":""},"_vena_DYNR_SInputModelpuntInfo1_BB1_7af2b78c_b42a42d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42a42d0","IsMultiDynamicRange":false,"MultiDynamicRangeID":null,"MultiDynamicCollectionID":null,"SectionName":"InputModelpuntInfo1","BlockName":"B1","VenaRangeType":5,"DimensionIdStr":"-1","MemberIdStr":"-1","DimensionId":-1,"MemberId":-1,"Inc":""},"_vena_DYNR_SInputModelpuntInfo1_BB1_7af2b78c_b493ae26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493ae26","IsMultiDynamicRange":false,"MultiDynamicRangeID":null,"MultiDynamicCollectionID":null,"SectionName":"InputModelpuntInfo1","BlockName":"B1","VenaRangeType":5,"DimensionIdStr":"-1","MemberIdStr":"-1","DimensionId":-1,"MemberId":-1,"Inc":""},"_vena_DYNR_SInputModelpuntInfo1_BB1_7af2b78c_b6c9e72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6c9e72a","IsMultiDynamicRange":false,"MultiDynamicRangeID":null,"MultiDynamicCollectionID":null,"SectionName":"InputModelpuntInfo1","BlockName":"B1","VenaRangeType":5,"DimensionIdStr":"-1","MemberIdStr":"-1","DimensionId":-1,"MemberId":-1,"Inc":""},"_vena_DYNR_SInputModelpuntInfo1_BB1_7af2b78c_b84f7f0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84f7f0a","IsMultiDynamicRange":false,"MultiDynamicRangeID":null,"MultiDynamicCollectionID":null,"SectionName":"InputModelpuntInfo1","BlockName":"B1","VenaRangeType":5,"DimensionIdStr":"-1","MemberIdStr":"-1","DimensionId":-1,"MemberId":-1,"Inc":""},"_vena_DYNR_SInputModelpuntInfo1_BB1_7af2b78c_b937344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937344d","IsMultiDynamicRange":false,"MultiDynamicRangeID":null,"MultiDynamicCollectionID":null,"SectionName":"InputModelpuntInfo1","BlockName":"B1","VenaRangeType":5,"DimensionIdStr":"-1","MemberIdStr":"-1","DimensionId":-1,"MemberId":-1,"Inc":""},"_vena_DYNR_SInputModelpuntInfo1_BB1_7af2b78c_bb23214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b23214c","IsMultiDynamicRange":false,"MultiDynamicRangeID":null,"MultiDynamicCollectionID":null,"SectionName":"InputModelpuntInfo1","BlockName":"B1","VenaRangeType":5,"DimensionIdStr":"-1","MemberIdStr":"-1","DimensionId":-1,"MemberId":-1,"Inc":""},"_vena_DYNR_SInputModelpuntInfo1_BB1_7af2b78c_bc1bb7f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c1bb7f7","IsMultiDynamicRange":false,"MultiDynamicRangeID":null,"MultiDynamicCollectionID":null,"SectionName":"InputModelpuntInfo1","BlockName":"B1","VenaRangeType":5,"DimensionIdStr":"-1","MemberIdStr":"-1","DimensionId":-1,"MemberId":-1,"Inc":""},"_vena_DYNR_SInputModelpuntInfo1_BB1_7af2b78c_be878c9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e878c9e","IsMultiDynamicRange":false,"MultiDynamicRangeID":null,"MultiDynamicCollectionID":null,"SectionName":"InputModelpuntInfo1","BlockName":"B1","VenaRangeType":5,"DimensionIdStr":"-1","MemberIdStr":"-1","DimensionId":-1,"MemberId":-1,"Inc":""},"_vena_DYNR_SInputModelpuntInfo1_BB1_7af2b78c_bf39eb34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f39eb34","IsMultiDynamicRange":false,"MultiDynamicRangeID":null,"MultiDynamicCollectionID":null,"SectionName":"InputModelpuntInfo1","BlockName":"B1","VenaRangeType":5,"DimensionIdStr":"-1","MemberIdStr":"-1","DimensionId":-1,"MemberId":-1,"Inc":""},"_vena_DYNR_SInputModelpuntInfo1_BB1_7af2b78c_bf518299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f518299","IsMultiDynamicRange":false,"MultiDynamicRangeID":null,"MultiDynamicCollectionID":null,"SectionName":"InputModelpuntInfo1","BlockName":"B1","VenaRangeType":5,"DimensionIdStr":"-1","MemberIdStr":"-1","DimensionId":-1,"MemberId":-1,"Inc":""},"_vena_DYNR_SInputModelpuntInfo1_BB1_7af2b78c_bfa45c19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fa45c19","IsMultiDynamicRange":false,"MultiDynamicRangeID":null,"MultiDynamicCollectionID":null,"SectionName":"InputModelpuntInfo1","BlockName":"B1","VenaRangeType":5,"DimensionIdStr":"-1","MemberIdStr":"-1","DimensionId":-1,"MemberId":-1,"Inc":""},"_vena_DYNR_SInputModelpuntInfo1_BB1_7af2b78c_bfdf4eb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bfdf4eb3","IsMultiDynamicRange":false,"MultiDynamicRangeID":null,"MultiDynamicCollectionID":null,"SectionName":"InputModelpuntInfo1","BlockName":"B1","VenaRangeType":5,"DimensionIdStr":"-1","MemberIdStr":"-1","DimensionId":-1,"MemberId":-1,"Inc":""},"_vena_DYNR_SInputModelpuntInfo1_BB1_7af2b78c_c06d383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06d383f","IsMultiDynamicRange":false,"MultiDynamicRangeID":null,"MultiDynamicCollectionID":null,"SectionName":"InputModelpuntInfo1","BlockName":"B1","VenaRangeType":5,"DimensionIdStr":"-1","MemberIdStr":"-1","DimensionId":-1,"MemberId":-1,"Inc":""},"_vena_DYNR_SInputModelpuntInfo1_BB1_7af2b78c_c0d18a33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0d18a33","IsMultiDynamicRange":false,"MultiDynamicRangeID":null,"MultiDynamicCollectionID":null,"SectionName":"InputModelpuntInfo1","BlockName":"B1","VenaRangeType":5,"DimensionIdStr":"-1","MemberIdStr":"-1","DimensionId":-1,"MemberId":-1,"Inc":""},"_vena_DYNR_SInputModelpuntInfo1_BB1_7af2b78c_c0ea6a2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0ea6a2d","IsMultiDynamicRange":false,"MultiDynamicRangeID":null,"MultiDynamicCollectionID":null,"SectionName":"InputModelpuntInfo1","BlockName":"B1","VenaRangeType":5,"DimensionIdStr":"-1","MemberIdStr":"-1","DimensionId":-1,"MemberId":-1,"Inc":""},"_vena_DYNR_SInputModelpuntInfo1_BB1_7af2b78c_c2948888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2948888","IsMultiDynamicRange":false,"MultiDynamicRangeID":null,"MultiDynamicCollectionID":null,"SectionName":"InputModelpuntInfo1","BlockName":"B1","VenaRangeType":5,"DimensionIdStr":"-1","MemberIdStr":"-1","DimensionId":-1,"MemberId":-1,"Inc":""},"_vena_DYNR_SInputModelpuntInfo1_BB1_7af2b78c_c3e68276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3e68276","IsMultiDynamicRange":false,"MultiDynamicRangeID":null,"MultiDynamicCollectionID":null,"SectionName":"InputModelpuntInfo1","BlockName":"B1","VenaRangeType":5,"DimensionIdStr":"-1","MemberIdStr":"-1","DimensionId":-1,"MemberId":-1,"Inc":""},"_vena_DYNR_SInputModelpuntInfo1_BB1_7af2b78c_c3f9a6c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3f9a6c5","IsMultiDynamicRange":false,"MultiDynamicRangeID":null,"MultiDynamicCollectionID":null,"SectionName":"InputModelpuntInfo1","BlockName":"B1","VenaRangeType":5,"DimensionIdStr":"-1","MemberIdStr":"-1","DimensionId":-1,"MemberId":-1,"Inc":""},"_vena_DYNR_SInputModelpuntInfo1_BB1_7af2b78c_c519d0a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519d0a3","IsMultiDynamicRange":false,"MultiDynamicRangeID":null,"MultiDynamicCollectionID":null,"SectionName":"InputModelpuntInfo1","BlockName":"B1","VenaRangeType":5,"DimensionIdStr":"-1","MemberIdStr":"-1","DimensionId":-1,"MemberId":-1,"Inc":""},"_vena_DYNR_SInputModelpuntInfo1_BB1_7af2b78c_c6a8cf4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6a8cf4d","IsMultiDynamicRange":false,"MultiDynamicRangeID":null,"MultiDynamicCollectionID":null,"SectionName":"InputModelpuntInfo1","BlockName":"B1","VenaRangeType":5,"DimensionIdStr":"-1","MemberIdStr":"-1","DimensionId":-1,"MemberId":-1,"Inc":""},"_vena_DYNR_SInputModelpuntInfo1_BB1_7af2b78c_c6db1ec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6db1ec6","IsMultiDynamicRange":false,"MultiDynamicRangeID":null,"MultiDynamicCollectionID":null,"SectionName":"InputModelpuntInfo1","BlockName":"B1","VenaRangeType":5,"DimensionIdStr":"-1","MemberIdStr":"-1","DimensionId":-1,"MemberId":-1,"Inc":""},"_vena_DYNR_SInputModelpuntInfo1_BB1_7af2b78c_c7071616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7071616","IsMultiDynamicRange":false,"MultiDynamicRangeID":null,"MultiDynamicCollectionID":null,"SectionName":"InputModelpuntInfo1","BlockName":"B1","VenaRangeType":5,"DimensionIdStr":"-1","MemberIdStr":"-1","DimensionId":-1,"MemberId":-1,"Inc":""},"_vena_DYNR_SInputModelpuntInfo1_BB1_7af2b78c_c79afc1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79afc1e","IsMultiDynamicRange":false,"MultiDynamicRangeID":null,"MultiDynamicCollectionID":null,"SectionName":"InputModelpuntInfo1","BlockName":"B1","VenaRangeType":5,"DimensionIdStr":"-1","MemberIdStr":"-1","DimensionId":-1,"MemberId":-1,"Inc":""},"_vena_DYNR_SInputModelpuntInfo1_BB1_7af2b78c_c7f707f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7f707f4","IsMultiDynamicRange":false,"MultiDynamicRangeID":null,"MultiDynamicCollectionID":null,"SectionName":"InputModelpuntInfo1","BlockName":"B1","VenaRangeType":5,"DimensionIdStr":"-1","MemberIdStr":"-1","DimensionId":-1,"MemberId":-1,"Inc":""},"_vena_DYNR_SInputModelpuntInfo1_BB1_7af2b78c_c8ba9cc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8ba9cca","IsMultiDynamicRange":false,"MultiDynamicRangeID":null,"MultiDynamicCollectionID":null,"SectionName":"InputModelpuntInfo1","BlockName":"B1","VenaRangeType":5,"DimensionIdStr":"-1","MemberIdStr":"-1","DimensionId":-1,"MemberId":-1,"Inc":""},"_vena_DYNR_SInputModelpuntInfo1_BB1_7af2b78c_c9879db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9879dbb","IsMultiDynamicRange":false,"MultiDynamicRangeID":null,"MultiDynamicCollectionID":null,"SectionName":"InputModelpuntInfo1","BlockName":"B1","VenaRangeType":5,"DimensionIdStr":"-1","MemberIdStr":"-1","DimensionId":-1,"MemberId":-1,"Inc":""},"_vena_DYNR_SInputModelpuntInfo1_BB1_7af2b78c_c9b7af9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9b7af9b","IsMultiDynamicRange":false,"MultiDynamicRangeID":null,"MultiDynamicCollectionID":null,"SectionName":"InputModelpuntInfo1","BlockName":"B1","VenaRangeType":5,"DimensionIdStr":"-1","MemberIdStr":"-1","DimensionId":-1,"MemberId":-1,"Inc":""},"_vena_DYNR_SInputModelpuntInfo1_BB1_7af2b78c_ca0f71e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a0f71ef","IsMultiDynamicRange":false,"MultiDynamicRangeID":null,"MultiDynamicCollectionID":null,"SectionName":"InputModelpuntInfo1","BlockName":"B1","VenaRangeType":5,"DimensionIdStr":"-1","MemberIdStr":"-1","DimensionId":-1,"MemberId":-1,"Inc":""},"_vena_DYNR_SInputModelpuntInfo1_BB1_7af2b78c_ca68ec66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a68ec66","IsMultiDynamicRange":false,"MultiDynamicRangeID":null,"MultiDynamicCollectionID":null,"SectionName":"InputModelpuntInfo1","BlockName":"B1","VenaRangeType":5,"DimensionIdStr":"-1","MemberIdStr":"-1","DimensionId":-1,"MemberId":-1,"Inc":""},"_vena_DYNR_SInputModelpuntInfo1_BB1_7af2b78c_caade14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aade14d","IsMultiDynamicRange":false,"MultiDynamicRangeID":null,"MultiDynamicCollectionID":null,"SectionName":"InputModelpuntInfo1","BlockName":"B1","VenaRangeType":5,"DimensionIdStr":"-1","MemberIdStr":"-1","DimensionId":-1,"MemberId":-1,"Inc":""},"_vena_DYNR_SInputModelpuntInfo1_BB1_7af2b78c_cc2d9ac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c2d9ac8","IsMultiDynamicRange":false,"MultiDynamicRangeID":null,"MultiDynamicCollectionID":null,"SectionName":"InputModelpuntInfo1","BlockName":"B1","VenaRangeType":5,"DimensionIdStr":"-1","MemberIdStr":"-1","DimensionId":-1,"MemberId":-1,"Inc":""},"_vena_DYNR_SInputModelpuntInfo1_BB1_7af2b78c_cc30c35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c30c35","IsMultiDynamicRange":false,"MultiDynamicRangeID":null,"MultiDynamicCollectionID":null,"SectionName":"InputModelpuntInfo1","BlockName":"B1","VenaRangeType":5,"DimensionIdStr":"-1","MemberIdStr":"-1","DimensionId":-1,"MemberId":-1,"Inc":""},"_vena_DYNR_SInputModelpuntInfo1_BB1_7af2b78c_cd1435f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d1435f4","IsMultiDynamicRange":false,"MultiDynamicRangeID":null,"MultiDynamicCollectionID":null,"SectionName":"InputModelpuntInfo1","BlockName":"B1","VenaRangeType":5,"DimensionIdStr":"-1","MemberIdStr":"-1","DimensionId":-1,"MemberId":-1,"Inc":""},"_vena_DYNR_SInputModelpuntInfo1_BB1_7af2b78c_cd290d11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d290d11","IsMultiDynamicRange":false,"MultiDynamicRangeID":null,"MultiDynamicCollectionID":null,"SectionName":"InputModelpuntInfo1","BlockName":"B1","VenaRangeType":5,"DimensionIdStr":"-1","MemberIdStr":"-1","DimensionId":-1,"MemberId":-1,"Inc":""},"_vena_DYNR_SInputModelpuntInfo1_BB1_7af2b78c_ce3c5813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e3c5813","IsMultiDynamicRange":false,"MultiDynamicRangeID":null,"MultiDynamicCollectionID":null,"SectionName":"InputModelpuntInfo1","BlockName":"B1","VenaRangeType":5,"DimensionIdStr":"-1","MemberIdStr":"-1","DimensionId":-1,"MemberId":-1,"Inc":""},"_vena_DYNR_SInputModelpuntInfo1_BB1_7af2b78c_ce820e87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e820e87","IsMultiDynamicRange":false,"MultiDynamicRangeID":null,"MultiDynamicCollectionID":null,"SectionName":"InputModelpuntInfo1","BlockName":"B1","VenaRangeType":5,"DimensionIdStr":"-1","MemberIdStr":"-1","DimensionId":-1,"MemberId":-1,"Inc":""},"_vena_DYNR_SInputModelpuntInfo1_BB1_7af2b78c_cf4961f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f4961f5","IsMultiDynamicRange":false,"MultiDynamicRangeID":null,"MultiDynamicCollectionID":null,"SectionName":"InputModelpuntInfo1","BlockName":"B1","VenaRangeType":5,"DimensionIdStr":"-1","MemberIdStr":"-1","DimensionId":-1,"MemberId":-1,"Inc":""},"_vena_DYNR_SInputModelpuntInfo1_BB1_7af2b78c_cff79ab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cff79abb","IsMultiDynamicRange":false,"MultiDynamicRangeID":null,"MultiDynamicCollectionID":null,"SectionName":"InputModelpuntInfo1","BlockName":"B1","VenaRangeType":5,"DimensionIdStr":"-1","MemberIdStr":"-1","DimensionId":-1,"MemberId":-1,"Inc":""},"_vena_DYNR_SInputModelpuntInfo1_BB1_7af2b78c_d0c4b187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0c4b187","IsMultiDynamicRange":false,"MultiDynamicRangeID":null,"MultiDynamicCollectionID":null,"SectionName":"InputModelpuntInfo1","BlockName":"B1","VenaRangeType":5,"DimensionIdStr":"-1","MemberIdStr":"-1","DimensionId":-1,"MemberId":-1,"Inc":""},"_vena_DYNR_SInputModelpuntInfo1_BB1_7af2b78c_d1ad3cb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1ad3cb5","IsMultiDynamicRange":false,"MultiDynamicRangeID":null,"MultiDynamicCollectionID":null,"SectionName":"InputModelpuntInfo1","BlockName":"B1","VenaRangeType":5,"DimensionIdStr":"-1","MemberIdStr":"-1","DimensionId":-1,"MemberId":-1,"Inc":""},"_vena_DYNR_SInputModelpuntInfo1_BB1_7af2b78c_d24b2a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24b2a7","IsMultiDynamicRange":false,"MultiDynamicRangeID":null,"MultiDynamicCollectionID":null,"SectionName":"InputModelpuntInfo1","BlockName":"B1","VenaRangeType":5,"DimensionIdStr":"-1","MemberIdStr":"-1","DimensionId":-1,"MemberId":-1,"Inc":""},"_vena_DYNR_SInputModelpuntInfo1_BB1_7af2b78c_d4f65764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4f65764","IsMultiDynamicRange":false,"MultiDynamicRangeID":null,"MultiDynamicCollectionID":null,"SectionName":"InputModelpuntInfo1","BlockName":"B1","VenaRangeType":5,"DimensionIdStr":"-1","MemberIdStr":"-1","DimensionId":-1,"MemberId":-1,"Inc":""},"_vena_DYNR_SInputModelpuntInfo1_BB1_7af2b78c_d707bf36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707bf36","IsMultiDynamicRange":false,"MultiDynamicRangeID":null,"MultiDynamicCollectionID":null,"SectionName":"InputModelpuntInfo1","BlockName":"B1","VenaRangeType":5,"DimensionIdStr":"-1","MemberIdStr":"-1","DimensionId":-1,"MemberId":-1,"Inc":""},"_vena_DYNR_SInputModelpuntInfo1_BB1_7af2b78c_d7b2926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7b2926","IsMultiDynamicRange":false,"MultiDynamicRangeID":null,"MultiDynamicCollectionID":null,"SectionName":"InputModelpuntInfo1","BlockName":"B1","VenaRangeType":5,"DimensionIdStr":"-1","MemberIdStr":"-1","DimensionId":-1,"MemberId":-1,"Inc":""},"_vena_DYNR_SInputModelpuntInfo1_BB1_7af2b78c_d84bfb4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84bfb4a","IsMultiDynamicRange":false,"MultiDynamicRangeID":null,"MultiDynamicCollectionID":null,"SectionName":"InputModelpuntInfo1","BlockName":"B1","VenaRangeType":5,"DimensionIdStr":"-1","MemberIdStr":"-1","DimensionId":-1,"MemberId":-1,"Inc":""},"_vena_DYNR_SInputModelpuntInfo1_BB1_7af2b78c_d87f2c2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87f2c2c","IsMultiDynamicRange":false,"MultiDynamicRangeID":null,"MultiDynamicCollectionID":null,"SectionName":"InputModelpuntInfo1","BlockName":"B1","VenaRangeType":5,"DimensionIdStr":"-1","MemberIdStr":"-1","DimensionId":-1,"MemberId":-1,"Inc":""},"_vena_DYNR_SInputModelpuntInfo1_BB1_7af2b78c_d8b5073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8b5073d","IsMultiDynamicRange":false,"MultiDynamicRangeID":null,"MultiDynamicCollectionID":null,"SectionName":"InputModelpuntInfo1","BlockName":"B1","VenaRangeType":5,"DimensionIdStr":"-1","MemberIdStr":"-1","DimensionId":-1,"MemberId":-1,"Inc":""},"_vena_DYNR_SInputModelpuntInfo1_BB1_7af2b78c_db4b08c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b4b08c4","IsMultiDynamicRange":false,"MultiDynamicRangeID":null,"MultiDynamicCollectionID":null,"SectionName":"InputModelpuntInfo1","BlockName":"B1","VenaRangeType":5,"DimensionIdStr":"-1","MemberIdStr":"-1","DimensionId":-1,"MemberId":-1,"Inc":""},"_vena_DYNR_SInputModelpuntInfo1_BB1_7af2b78c_dbcc043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bcc043b","IsMultiDynamicRange":false,"MultiDynamicRangeID":null,"MultiDynamicCollectionID":null,"SectionName":"InputModelpuntInfo1","BlockName":"B1","VenaRangeType":5,"DimensionIdStr":"-1","MemberIdStr":"-1","DimensionId":-1,"MemberId":-1,"Inc":""},"_vena_DYNR_SInputModelpuntInfo1_BB1_7af2b78c_dc2c5ae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c2c5ae5","IsMultiDynamicRange":false,"MultiDynamicRangeID":null,"MultiDynamicCollectionID":null,"SectionName":"InputModelpuntInfo1","BlockName":"B1","VenaRangeType":5,"DimensionIdStr":"-1","MemberIdStr":"-1","DimensionId":-1,"MemberId":-1,"Inc":""},"_vena_DYNR_SInputModelpuntInfo1_BB1_7af2b78c_dd110e8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d110e8e","IsMultiDynamicRange":false,"MultiDynamicRangeID":null,"MultiDynamicCollectionID":null,"SectionName":"InputModelpuntInfo1","BlockName":"B1","VenaRangeType":5,"DimensionIdStr":"-1","MemberIdStr":"-1","DimensionId":-1,"MemberId":-1,"Inc":""},"_vena_DYNR_SInputModelpuntInfo1_BB1_7af2b78c_de422e5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e422e5a","IsMultiDynamicRange":false,"MultiDynamicRangeID":null,"MultiDynamicCollectionID":null,"SectionName":"InputModelpuntInfo1","BlockName":"B1","VenaRangeType":5,"DimensionIdStr":"-1","MemberIdStr":"-1","DimensionId":-1,"MemberId":-1,"Inc":""},"_vena_DYNR_SInputModelpuntInfo1_BB1_7af2b78c_de604b7c":{"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e604b7c","IsMultiDynamicRange":false,"MultiDynamicRangeID":null,"MultiDynamicCollectionID":null,"SectionName":"InputModelpuntInfo1","BlockName":"B1","VenaRangeType":5,"DimensionIdStr":"-1","MemberIdStr":"-1","DimensionId":-1,"MemberId":-1,"Inc":""},"_vena_DYNR_SInputModelpuntInfo1_BB1_7af2b78c_df5f80f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f5f80f5","IsMultiDynamicRange":false,"MultiDynamicRangeID":null,"MultiDynamicCollectionID":null,"SectionName":"InputModelpuntInfo1","BlockName":"B1","VenaRangeType":5,"DimensionIdStr":"-1","MemberIdStr":"-1","DimensionId":-1,"MemberId":-1,"Inc":""},"_vena_DYNR_SInputModelpuntInfo1_BB1_7af2b78c_df9e34a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f9e34a1","IsMultiDynamicRange":false,"MultiDynamicRangeID":null,"MultiDynamicCollectionID":null,"SectionName":"InputModelpuntInfo1","BlockName":"B1","VenaRangeType":5,"DimensionIdStr":"-1","MemberIdStr":"-1","DimensionId":-1,"MemberId":-1,"Inc":""},"_vena_DYNR_SInputModelpuntInfo1_BB1_7af2b78c_df9fc99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df9fc99","IsMultiDynamicRange":false,"MultiDynamicRangeID":null,"MultiDynamicCollectionID":null,"SectionName":"InputModelpuntInfo1","BlockName":"B1","VenaRangeType":5,"DimensionIdStr":"-1","MemberIdStr":"-1","DimensionId":-1,"MemberId":-1,"Inc":""},"_vena_DYNR_SInputModelpuntInfo1_BB1_7af2b78c_e03573e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03573ef","IsMultiDynamicRange":false,"MultiDynamicRangeID":null,"MultiDynamicCollectionID":null,"SectionName":"InputModelpuntInfo1","BlockName":"B1","VenaRangeType":5,"DimensionIdStr":"-1","MemberIdStr":"-1","DimensionId":-1,"MemberId":-1,"Inc":""},"_vena_DYNR_SInputModelpuntInfo1_BB1_7af2b78c_e0736506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0736506","IsMultiDynamicRange":false,"MultiDynamicRangeID":null,"MultiDynamicCollectionID":null,"SectionName":"InputModelpuntInfo1","BlockName":"B1","VenaRangeType":5,"DimensionIdStr":"-1","MemberIdStr":"-1","DimensionId":-1,"MemberId":-1,"Inc":""},"_vena_DYNR_SInputModelpuntInfo1_BB1_7af2b78c_e0b24cc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0b24ccd","IsMultiDynamicRange":false,"MultiDynamicRangeID":null,"MultiDynamicCollectionID":null,"SectionName":"InputModelpuntInfo1","BlockName":"B1","VenaRangeType":5,"DimensionIdStr":"-1","MemberIdStr":"-1","DimensionId":-1,"MemberId":-1,"Inc":""},"_vena_DYNR_SInputModelpuntInfo1_BB1_7af2b78c_e1336ac4":{"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1336ac4","IsMultiDynamicRange":false,"MultiDynamicRangeID":null,"MultiDynamicCollectionID":null,"SectionName":"InputModelpuntInfo1","BlockName":"B1","VenaRangeType":5,"DimensionIdStr":"-1","MemberIdStr":"-1","DimensionId":-1,"MemberId":-1,"Inc":""},"_vena_DYNR_SInputModelpuntInfo1_BB1_7af2b78c_e13ee5b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13ee5b7","IsMultiDynamicRange":false,"MultiDynamicRangeID":null,"MultiDynamicCollectionID":null,"SectionName":"InputModelpuntInfo1","BlockName":"B1","VenaRangeType":5,"DimensionIdStr":"-1","MemberIdStr":"-1","DimensionId":-1,"MemberId":-1,"Inc":""},"_vena_DYNR_SInputModelpuntInfo1_BB1_7af2b78c_e38974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38974e","IsMultiDynamicRange":false,"MultiDynamicRangeID":null,"MultiDynamicCollectionID":null,"SectionName":"InputModelpuntInfo1","BlockName":"B1","VenaRangeType":5,"DimensionIdStr":"-1","MemberIdStr":"-1","DimensionId":-1,"MemberId":-1,"Inc":""},"_vena_DYNR_SInputModelpuntInfo1_BB1_7af2b78c_e45d18a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45d18ad","IsMultiDynamicRange":false,"MultiDynamicRangeID":null,"MultiDynamicCollectionID":null,"SectionName":"InputModelpuntInfo1","BlockName":"B1","VenaRangeType":5,"DimensionIdStr":"-1","MemberIdStr":"-1","DimensionId":-1,"MemberId":-1,"Inc":""},"_vena_DYNR_SInputModelpuntInfo1_BB1_7af2b78c_e5981f71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5981f71","IsMultiDynamicRange":false,"MultiDynamicRangeID":null,"MultiDynamicCollectionID":null,"SectionName":"InputModelpuntInfo1","BlockName":"B1","VenaRangeType":5,"DimensionIdStr":"-1","MemberIdStr":"-1","DimensionId":-1,"MemberId":-1,"Inc":""},"_vena_DYNR_SInputModelpuntInfo1_BB1_7af2b78c_e5a66195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5a66195","IsMultiDynamicRange":false,"MultiDynamicRangeID":null,"MultiDynamicCollectionID":null,"SectionName":"InputModelpuntInfo1","BlockName":"B1","VenaRangeType":5,"DimensionIdStr":"-1","MemberIdStr":"-1","DimensionId":-1,"MemberId":-1,"Inc":""},"_vena_DYNR_SInputModelpuntInfo1_BB1_7af2b78c_e5de7eb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5de7eb1","IsMultiDynamicRange":false,"MultiDynamicRangeID":null,"MultiDynamicCollectionID":null,"SectionName":"InputModelpuntInfo1","BlockName":"B1","VenaRangeType":5,"DimensionIdStr":"-1","MemberIdStr":"-1","DimensionId":-1,"MemberId":-1,"Inc":""},"_vena_DYNR_SInputModelpuntInfo1_BB1_7af2b78c_e7d3fe00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7d3fe00","IsMultiDynamicRange":false,"MultiDynamicRangeID":null,"MultiDynamicCollectionID":null,"SectionName":"InputModelpuntInfo1","BlockName":"B1","VenaRangeType":5,"DimensionIdStr":"-1","MemberIdStr":"-1","DimensionId":-1,"MemberId":-1,"Inc":""},"_vena_DYNR_SInputModelpuntInfo1_BB1_7af2b78c_e8c4c2f6":{"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8c4c2f6","IsMultiDynamicRange":false,"MultiDynamicRangeID":null,"MultiDynamicCollectionID":null,"SectionName":"InputModelpuntInfo1","BlockName":"B1","VenaRangeType":5,"DimensionIdStr":"-1","MemberIdStr":"-1","DimensionId":-1,"MemberId":-1,"Inc":""},"_vena_DYNR_SInputModelpuntInfo1_BB1_7af2b78c_ec2df56a":{"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c2df56a","IsMultiDynamicRange":false,"MultiDynamicRangeID":null,"MultiDynamicCollectionID":null,"SectionName":"InputModelpuntInfo1","BlockName":"B1","VenaRangeType":5,"DimensionIdStr":"-1","MemberIdStr":"-1","DimensionId":-1,"MemberId":-1,"Inc":""},"_vena_DYNR_SInputModelpuntInfo1_BB1_7af2b78c_ed2cf09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d2cf09","IsMultiDynamicRange":false,"MultiDynamicRangeID":null,"MultiDynamicCollectionID":null,"SectionName":"InputModelpuntInfo1","BlockName":"B1","VenaRangeType":5,"DimensionIdStr":"-1","MemberIdStr":"-1","DimensionId":-1,"MemberId":-1,"Inc":""},"_vena_DYNR_SInputModelpuntInfo1_BB1_7af2b78c_ed7d225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d7d225f","IsMultiDynamicRange":false,"MultiDynamicRangeID":null,"MultiDynamicCollectionID":null,"SectionName":"InputModelpuntInfo1","BlockName":"B1","VenaRangeType":5,"DimensionIdStr":"-1","MemberIdStr":"-1","DimensionId":-1,"MemberId":-1,"Inc":""},"_vena_DYNR_SInputModelpuntInfo1_BB1_7af2b78c_ef208b30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f208b30","IsMultiDynamicRange":false,"MultiDynamicRangeID":null,"MultiDynamicCollectionID":null,"SectionName":"InputModelpuntInfo1","BlockName":"B1","VenaRangeType":5,"DimensionIdStr":"-1","MemberIdStr":"-1","DimensionId":-1,"MemberId":-1,"Inc":""},"_vena_DYNR_SInputModelpuntInfo1_BB1_7af2b78c_ef258a61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ef258a61","IsMultiDynamicRange":false,"MultiDynamicRangeID":null,"MultiDynamicCollectionID":null,"SectionName":"InputModelpuntInfo1","BlockName":"B1","VenaRangeType":5,"DimensionIdStr":"-1","MemberIdStr":"-1","DimensionId":-1,"MemberId":-1,"Inc":""},"_vena_DYNR_SInputModelpuntInfo1_BB1_7af2b78c_f07ca9c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07ca9c3","IsMultiDynamicRange":false,"MultiDynamicRangeID":null,"MultiDynamicCollectionID":null,"SectionName":"InputModelpuntInfo1","BlockName":"B1","VenaRangeType":5,"DimensionIdStr":"-1","MemberIdStr":"-1","DimensionId":-1,"MemberId":-1,"Inc":""},"_vena_DYNR_SInputModelpuntInfo1_BB1_7af2b78c_f0e94bdb":{"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0e94bdb","IsMultiDynamicRange":false,"MultiDynamicRangeID":null,"MultiDynamicCollectionID":null,"SectionName":"InputModelpuntInfo1","BlockName":"B1","VenaRangeType":5,"DimensionIdStr":"-1","MemberIdStr":"-1","DimensionId":-1,"MemberId":-1,"Inc":""},"_vena_DYNR_SInputModelpuntInfo1_BB1_7af2b78c_f10c3d29":{"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10c3d29","IsMultiDynamicRange":false,"MultiDynamicRangeID":null,"MultiDynamicCollectionID":null,"SectionName":"InputModelpuntInfo1","BlockName":"B1","VenaRangeType":5,"DimensionIdStr":"-1","MemberIdStr":"-1","DimensionId":-1,"MemberId":-1,"Inc":""},"_vena_DYNR_SInputModelpuntInfo1_BB1_7af2b78c_f2484443":{"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2484443","IsMultiDynamicRange":false,"MultiDynamicRangeID":null,"MultiDynamicCollectionID":null,"SectionName":"InputModelpuntInfo1","BlockName":"B1","VenaRangeType":5,"DimensionIdStr":"-1","MemberIdStr":"-1","DimensionId":-1,"MemberId":-1,"Inc":""},"_vena_DYNR_SInputModelpuntInfo1_BB1_7af2b78c_f389ebd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389ebd7","IsMultiDynamicRange":false,"MultiDynamicRangeID":null,"MultiDynamicCollectionID":null,"SectionName":"InputModelpuntInfo1","BlockName":"B1","VenaRangeType":5,"DimensionIdStr":"-1","MemberIdStr":"-1","DimensionId":-1,"MemberId":-1,"Inc":""},"_vena_DYNR_SInputModelpuntInfo1_BB1_7af2b78c_f448d1c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448d1c0","IsMultiDynamicRange":false,"MultiDynamicRangeID":null,"MultiDynamicCollectionID":null,"SectionName":"InputModelpuntInfo1","BlockName":"B1","VenaRangeType":5,"DimensionIdStr":"-1","MemberIdStr":"-1","DimensionId":-1,"MemberId":-1,"Inc":""},"_vena_DYNR_SInputModelpuntInfo1_BB1_7af2b78c_f59f9aa5":{"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59f9aa5","IsMultiDynamicRange":false,"MultiDynamicRangeID":null,"MultiDynamicCollectionID":null,"SectionName":"InputModelpuntInfo1","BlockName":"B1","VenaRangeType":5,"DimensionIdStr":"-1","MemberIdStr":"-1","DimensionId":-1,"MemberId":-1,"Inc":""},"_vena_DYNR_SInputModelpuntInfo1_BB1_7af2b78c_f5da4a7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5da4a7d","IsMultiDynamicRange":false,"MultiDynamicRangeID":null,"MultiDynamicCollectionID":null,"SectionName":"InputModelpuntInfo1","BlockName":"B1","VenaRangeType":5,"DimensionIdStr":"-1","MemberIdStr":"-1","DimensionId":-1,"MemberId":-1,"Inc":""},"_vena_DYNR_SInputModelpuntInfo1_BB1_7af2b78c_f5f558b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5f558b0","IsMultiDynamicRange":false,"MultiDynamicRangeID":null,"MultiDynamicCollectionID":null,"SectionName":"InputModelpuntInfo1","BlockName":"B1","VenaRangeType":5,"DimensionIdStr":"-1","MemberIdStr":"-1","DimensionId":-1,"MemberId":-1,"Inc":""},"_vena_DYNR_SInputModelpuntInfo1_BB1_7af2b78c_f67ecf2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67ecf2e","IsMultiDynamicRange":false,"MultiDynamicRangeID":null,"MultiDynamicCollectionID":null,"SectionName":"InputModelpuntInfo1","BlockName":"B1","VenaRangeType":5,"DimensionIdStr":"-1","MemberIdStr":"-1","DimensionId":-1,"MemberId":-1,"Inc":""},"_vena_DYNR_SInputModelpuntInfo1_BB1_7af2b78c_f72594f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72594fd","IsMultiDynamicRange":false,"MultiDynamicRangeID":null,"MultiDynamicCollectionID":null,"SectionName":"InputModelpuntInfo1","BlockName":"B1","VenaRangeType":5,"DimensionIdStr":"-1","MemberIdStr":"-1","DimensionId":-1,"MemberId":-1,"Inc":""},"_vena_DYNR_SInputModelpuntInfo1_BB1_7af2b78c_f742dde":{"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742dde","IsMultiDynamicRange":false,"MultiDynamicRangeID":null,"MultiDynamicCollectionID":null,"SectionName":"InputModelpuntInfo1","BlockName":"B1","VenaRangeType":5,"DimensionIdStr":"-1","MemberIdStr":"-1","DimensionId":-1,"MemberId":-1,"Inc":""},"_vena_DYNR_SInputModelpuntInfo1_BB1_7af2b78c_f74e77d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74e77d1","IsMultiDynamicRange":false,"MultiDynamicRangeID":null,"MultiDynamicCollectionID":null,"SectionName":"InputModelpuntInfo1","BlockName":"B1","VenaRangeType":5,"DimensionIdStr":"-1","MemberIdStr":"-1","DimensionId":-1,"MemberId":-1,"Inc":""},"_vena_DYNR_SInputModelpuntInfo1_BB1_7af2b78c_f84e01b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84e01bf","IsMultiDynamicRange":false,"MultiDynamicRangeID":null,"MultiDynamicCollectionID":null,"SectionName":"InputModelpuntInfo1","BlockName":"B1","VenaRangeType":5,"DimensionIdStr":"-1","MemberIdStr":"-1","DimensionId":-1,"MemberId":-1,"Inc":""},"_vena_DYNR_SInputModelpuntInfo1_BB1_7af2b78c_f9214420":{"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9214420","IsMultiDynamicRange":false,"MultiDynamicRangeID":null,"MultiDynamicCollectionID":null,"SectionName":"InputModelpuntInfo1","BlockName":"B1","VenaRangeType":5,"DimensionIdStr":"-1","MemberIdStr":"-1","DimensionId":-1,"MemberId":-1,"Inc":""},"_vena_DYNR_SInputModelpuntInfo1_BB1_7af2b78c_f9cf3832":{"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9cf3832","IsMultiDynamicRange":false,"MultiDynamicRangeID":null,"MultiDynamicCollectionID":null,"SectionName":"InputModelpuntInfo1","BlockName":"B1","VenaRangeType":5,"DimensionIdStr":"-1","MemberIdStr":"-1","DimensionId":-1,"MemberId":-1,"Inc":""},"_vena_DYNR_SInputModelpuntInfo1_BB1_7af2b78c_faa2bb07":{"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aa2bb07","IsMultiDynamicRange":false,"MultiDynamicRangeID":null,"MultiDynamicCollectionID":null,"SectionName":"InputModelpuntInfo1","BlockName":"B1","VenaRangeType":5,"DimensionIdStr":"-1","MemberIdStr":"-1","DimensionId":-1,"MemberId":-1,"Inc":""},"_vena_DYNR_SInputModelpuntInfo1_BB1_7af2b78c_fad1dbed":{"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ad1dbed","IsMultiDynamicRange":false,"MultiDynamicRangeID":null,"MultiDynamicCollectionID":null,"SectionName":"InputModelpuntInfo1","BlockName":"B1","VenaRangeType":5,"DimensionIdStr":"-1","MemberIdStr":"-1","DimensionId":-1,"MemberId":-1,"Inc":""},"_vena_DYNR_SInputModelpuntInfo1_BB1_7af2b78c_fb730b98":{"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b730b98","IsMultiDynamicRange":false,"MultiDynamicRangeID":null,"MultiDynamicCollectionID":null,"SectionName":"InputModelpuntInfo1","BlockName":"B1","VenaRangeType":5,"DimensionIdStr":"-1","MemberIdStr":"-1","DimensionId":-1,"MemberId":-1,"Inc":""},"_vena_DYNR_SInputModelpuntInfo1_BB1_7af2b78c_fc669361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c669361","IsMultiDynamicRange":false,"MultiDynamicRangeID":null,"MultiDynamicCollectionID":null,"SectionName":"InputModelpuntInfo1","BlockName":"B1","VenaRangeType":5,"DimensionIdStr":"-1","MemberIdStr":"-1","DimensionId":-1,"MemberId":-1,"Inc":""},"_vena_DYNR_SInputModelpuntInfo1_BB1_7af2b78c_fe0e41":{"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e0e41","IsMultiDynamicRange":false,"MultiDynamicRangeID":null,"MultiDynamicCollectionID":null,"SectionName":"InputModelpuntInfo1","BlockName":"B1","VenaRangeType":5,"DimensionIdStr":"-1","MemberIdStr":"-1","DimensionId":-1,"MemberId":-1,"Inc":""},"_vena_DYNR_SInputModelpuntInfo1_BB1_7af2b78c_fed3f6af":{"SourceGlobalVariableId":-1,"SourceFormVariableId":"00000000-0000-0000-0000-000000000000","IsPageVariable":false,"IsLineItemDetailEnabled":false,"LineItemDetailOrder":0,"LineItemID":null,"PageVariableSectionReference":"","PageVariableDimensionName":null,"IsDynamicRange":true,"IsDynamicRangeEntry":true,"DynamicRangeID":"7af2b78c","DynamicRangeEntryID":"fed3f6af","IsMultiDynamicRange":false,"MultiDynamicRangeID":null,"MultiDynamicCollectionID":null,"SectionName":"InputModelpuntInfo1","BlockName":"B1","VenaRangeType":5,"DimensionIdStr":"-1","MemberIdStr":"-1","DimensionId":-1,"MemberId":-1,"Inc":""},"_vena_InputModelpuntInfo1_B1_C_6_720393359609823232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720393359609823232","DimensionId":6,"MemberId":720393359609823232,"Inc":""},"_vena_InputModelpuntInfo1_B1_C_6_720393359609823234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720393359609823234","DimensionId":6,"MemberId":720393359609823234,"Inc":""},"_vena_InputModelpuntInfo1_B1_C_6_720393359614017537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720393359614017537","DimensionId":6,"MemberId":720393359614017537,"Inc":""},"_vena_InputModelpuntInfo1_B1_C_6_720393359614017539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720393359614017539","DimensionId":6,"MemberId":720393359614017539,"Inc":""},"_vena_InputModelpuntInfo1_B1_C_6_720665202280235008_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720665202280235008","DimensionId":6,"MemberId":720665202280235008,"Inc":"1"},"_vena_InputModelpuntInfo1_B1_C_6_720665299868581888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720665299868581888","DimensionId":6,"MemberId":720665299868581888,"Inc":""},"_vena_InputModelpuntInfo1_B1_C_6_720665407972573184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720665407972573184","DimensionId":6,"MemberId":720665407972573184,"Inc":""},"_vena_InputModelpuntInfo1_B1_C_6_720691950702952448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720691950702952448","DimensionId":6,"MemberId":720691950702952448,"Inc":""},"_vena_InputModelpuntInfo1_B1_C_6_720731102261411840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720731102261411840","DimensionId":6,"MemberId":720731102261411840,"Inc":""},"_vena_InputModelpuntInfo1_B1_C_6_735971751968899072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735971751968899072","DimensionId":6,"MemberId":735971751968899072,"Inc":""},"_vena_InputModelpuntInfo1_B1_C_6_736286423456546816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736286423456546816","DimensionId":6,"MemberId":736286423456546816,"Inc":""},"_vena_InputModelpuntInfo1_B1_C_6_737484536015486980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737484536015486980","DimensionId":6,"MemberId":737484536015486980,"Inc":""},"_vena_InputModelpuntInfo1_B1_C_6_737485107493208064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737485107493208064","DimensionId":6,"MemberId":737485107493208064,"Inc":""},"_vena_InputModelpuntInfo1_B1_C_6_737485363800178688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737485363800178688","DimensionId":6,"MemberId":737485363800178688,"Inc":""},"_vena_InputModelpuntInfo1_B1_C_6_737485530494664704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737485530494664704","DimensionId":6,"MemberId":737485530494664704,"Inc":""},"_vena_InputModelpuntInfo1_B1_C_6_737485666981380096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737485666981380096","DimensionId":6,"MemberId":737485666981380096,"Inc":""},"_vena_InputModelpuntInfo1_B1_C_6_738099557837045839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738099557837045839","DimensionId":6,"MemberId":738099557837045839,"Inc":""},"_vena_InputModelpuntInfo1_B1_C_6_738100703410520079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738100703410520079","DimensionId":6,"MemberId":738100703410520079,"Inc":""},"_vena_InputModelpuntInfo1_B1_C_6_787067506727583744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787067506727583744","DimensionId":6,"MemberId":787067506727583744,"Inc":""},"_vena_InputModelpuntInfo1_B1_C_6_787067506777915394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2,"DimensionIdStr":"6","MemberIdStr":"787067506777915394","DimensionId":6,"MemberId":787067506777915394,"Inc":""},"_vena_InputModelpuntInfo1_B1_R_3_1015700822930489354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1015700822930489354","DimensionId":3,"MemberId":1015700822930489354,"Inc":""},"_vena_InputModelpuntInfo1_B1_R_3_1015700822968238094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1015700822968238094","DimensionId":3,"MemberId":1015700822968238094,"Inc":""},"_vena_InputModelpuntInfo1_B1_R_3_718947653497389058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718947653497389058","DimensionId":3,"MemberId":718947653497389058,"Inc":""},"_vena_InputModelpuntInfo1_B1_R_3_718947653505777666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718947653505777666","DimensionId":3,"MemberId":718947653505777666,"Inc":""},"_vena_InputModelpuntInfo1_B1_R_3_718947653509971971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718947653509971971","DimensionId":3,"MemberId":718947653509971971,"Inc":""},"_vena_InputModelpuntInfo1_B1_R_3_718949073356980224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718949073356980224","DimensionId":3,"MemberId":718949073356980224,"Inc":""},"_vena_InputModelpuntInfo1_B1_R_3_718949073365368832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718949073365368832","DimensionId":3,"MemberId":718949073365368832,"Inc":""},"_vena_InputModelpuntInfo1_B1_R_3_718949073369563137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718949073369563137","DimensionId":3,"MemberId":718949073369563137,"Inc":""},"_vena_InputModelpuntInfo1_B1_R_3_718949073373757441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718949073373757441","DimensionId":3,"MemberId":718949073373757441,"Inc":""},"_vena_InputModelpuntInfo1_B1_R_3_718949073373757443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718949073373757443","DimensionId":3,"MemberId":718949073373757443,"Inc":""},"_vena_InputModelpuntInfo1_B1_R_3_718949073377951745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718949073377951745","DimensionId":3,"MemberId":718949073377951745,"Inc":""},"_vena_InputModelpuntInfo1_B1_R_3_718949073382146049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718949073382146049","DimensionId":3,"MemberId":718949073382146049,"Inc":""},"_vena_InputModelpuntInfo1_B1_R_3_718949073382146051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718949073382146051","DimensionId":3,"MemberId":718949073382146051,"Inc":""},"_vena_InputModelpuntInfo1_B1_R_3_718949073386340353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718949073386340353","DimensionId":3,"MemberId":718949073386340353,"Inc":""},"_vena_InputModelpuntInfo1_B1_R_3_718949073390534657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718949073390534657","DimensionId":3,"MemberId":718949073390534657,"Inc":""},"_vena_InputModelpuntInfo1_B1_R_3_718949073394728961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718949073394728961","DimensionId":3,"MemberId":718949073394728961,"Inc":""},"_vena_InputModelpuntInfo1_B1_R_3_718949073394728963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718949073394728963","DimensionId":3,"MemberId":718949073394728963,"Inc":""},"_vena_InputModelpuntInfo1_B1_R_3_718949073398923265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718949073398923265","DimensionId":3,"MemberId":718949073398923265,"Inc":""},"_vena_InputModelpuntInfo1_B1_R_3_718949073403117569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718949073403117569","DimensionId":3,"MemberId":718949073403117569,"Inc":""},"_vena_InputModelpuntInfo1_B1_R_3_718949073407311872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718949073407311872","DimensionId":3,"MemberId":718949073407311872,"Inc":""},"_vena_InputModelpuntInfo1_B1_R_3_718949073411506177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718949073411506177","DimensionId":3,"MemberId":718949073411506177,"Inc":""},"_vena_InputModelpuntInfo1_B1_R_3_718949073415700481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718949073415700481","DimensionId":3,"MemberId":718949073415700481,"Inc":""},"_vena_InputModelpuntInfo1_B1_R_3_718949073415700483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718949073415700483","DimensionId":3,"MemberId":718949073415700483,"Inc":""},"_vena_InputModelpuntInfo1_B1_R_3_718949073419894785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718949073419894785","DimensionId":3,"MemberId":718949073419894785,"Inc":""},"_vena_InputModelpuntInfo1_B1_R_3_718949073424089089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718949073424089089","DimensionId":3,"MemberId":718949073424089089,"Inc":""},"_vena_InputModelpuntInfo1_B1_R_3_718949073424089091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718949073424089091","DimensionId":3,"MemberId":718949073424089091,"Inc":""},"_vena_InputModelpuntInfo1_B1_R_3_718949073428283393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718949073428283393","DimensionId":3,"MemberId":718949073428283393,"Inc":""},"_vena_InputModelpuntInfo1_B1_R_3_718949073432477697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718949073432477697","DimensionId":3,"MemberId":718949073432477697,"Inc":""},"_vena_InputModelpuntInfo1_B1_R_3_718949073432477699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718949073432477699","DimensionId":3,"MemberId":718949073432477699,"Inc":""},"_vena_InputModelpuntInfo1_B1_R_3_718949073436672001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718949073436672001","DimensionId":3,"MemberId":718949073436672001,"Inc":""},"_vena_InputModelpuntInfo1_B1_R_3_718949073440866305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718949073440866305","DimensionId":3,"MemberId":718949073440866305,"Inc":""},"_vena_InputModelpuntInfo1_B1_R_3_718949073440866307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718949073440866307","DimensionId":3,"MemberId":718949073440866307,"Inc":""},"_vena_InputModelpuntInfo1_B1_R_3_718949073445060609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718949073445060609","DimensionId":3,"MemberId":718949073445060609,"Inc":""},"_vena_InputModelpuntInfo1_B1_R_3_718949073449254913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718949073449254913","DimensionId":3,"MemberId":718949073449254913,"Inc":""},"_vena_InputModelpuntInfo1_B1_R_3_718949073453449218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718949073453449218","DimensionId":3,"MemberId":718949073453449218,"Inc":""},"_vena_InputModelpuntInfo1_B1_R_3_718949073457643521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718949073457643521","DimensionId":3,"MemberId":718949073457643521,"Inc":""},"_vena_InputModelpuntInfo1_B1_R_3_718949073457643523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718949073457643523","DimensionId":3,"MemberId":718949073457643523,"Inc":""},"_vena_InputModelpuntInfo1_B1_R_3_718949073461837825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718949073461837825","DimensionId":3,"MemberId":718949073461837825,"Inc":""},"_vena_InputModelpuntInfo1_B1_R_3_718949073466032129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718949073466032129","DimensionId":3,"MemberId":718949073466032129,"Inc":""},"_vena_InputModelpuntInfo1_B1_R_3_718949073466032131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718949073466032131","DimensionId":3,"MemberId":718949073466032131,"Inc":""},"_vena_InputModelpuntInfo1_B1_R_3_718949073470226433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718949073470226433","DimensionId":3,"MemberId":718949073470226433,"Inc":""},"_vena_InputModelpuntInfo1_B1_R_3_718949073474420737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718949073474420737","DimensionId":3,"MemberId":718949073474420737,"Inc":""},"_vena_InputModelpuntInfo1_B1_R_3_718949073478615041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718949073478615041","DimensionId":3,"MemberId":718949073478615041,"Inc":""},"_vena_InputModelpuntInfo1_B1_R_3_718949073478615043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718949073478615043","DimensionId":3,"MemberId":718949073478615043,"Inc":""},"_vena_InputModelpuntInfo1_B1_R_3_718949073482809345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718949073482809345","DimensionId":3,"MemberId":718949073482809345,"Inc":""},"_vena_InputModelpuntInfo1_B1_R_3_718949073487003649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718949073487003649","DimensionId":3,"MemberId":718949073487003649,"Inc":""},"_vena_InputModelpuntInfo1_B1_R_3_718949073487003651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718949073487003651","DimensionId":3,"MemberId":718949073487003651,"Inc":""},"_vena_InputModelpuntInfo1_B1_R_3_718949073491197953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718949073491197953","DimensionId":3,"MemberId":718949073491197953,"Inc":""},"_vena_InputModelpuntInfo1_B1_R_3_718949073499586560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718949073499586560","DimensionId":3,"MemberId":718949073499586560,"Inc":""},"_vena_InputModelpuntInfo1_B1_R_3_718949073499586562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718949073499586562","DimensionId":3,"MemberId":718949073499586562,"Inc":""},"_vena_InputModelpuntInfo1_B1_R_3_718949073503780865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718949073503780865","DimensionId":3,"MemberId":718949073503780865,"Inc":""},"_vena_InputModelpuntInfo1_B1_R_3_718949073507975169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718949073507975169","DimensionId":3,"MemberId":718949073507975169,"Inc":""},"_vena_InputModelpuntInfo1_B1_R_3_718949073507975171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718949073507975171","DimensionId":3,"MemberId":718949073507975171,"Inc":""},"_vena_InputModelpuntInfo1_B1_R_3_718949073512169473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718949073512169473","DimensionId":3,"MemberId":718949073512169473,"Inc":""},"_vena_InputModelpuntInfo1_B1_R_3_718949073516363777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718949073516363777","DimensionId":3,"MemberId":718949073516363777,"Inc":""},"_vena_InputModelpuntInfo1_B1_R_3_718949073520558081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718949073520558081","DimensionId":3,"MemberId":718949073520558081,"Inc":""},"_vena_InputModelpuntInfo1_B1_R_3_718949073520558083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718949073520558083","DimensionId":3,"MemberId":718949073520558083,"Inc":""},"_vena_InputModelpuntInfo1_B1_R_3_718949073524752385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718949073524752385","DimensionId":3,"MemberId":718949073524752385,"Inc":""},"_vena_InputModelpuntInfo1_B1_R_3_718949073528946689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718949073528946689","DimensionId":3,"MemberId":718949073528946689,"Inc":""},"_vena_InputModelpuntInfo1_B1_R_3_718949073528946691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718949073528946691","DimensionId":3,"MemberId":718949073528946691,"Inc":""},"_vena_InputModelpuntInfo1_B1_R_3_718949073533140993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718949073533140993","DimensionId":3,"MemberId":718949073533140993,"Inc":""},"_vena_InputModelpuntInfo1_B1_R_3_718949073537335297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718949073537335297","DimensionId":3,"MemberId":718949073537335297,"Inc":""},"_vena_InputModelpuntInfo1_B1_R_3_718949073537335299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718949073537335299","DimensionId":3,"MemberId":718949073537335299,"Inc":""},"_vena_InputModelpuntInfo1_B1_R_3_718949073541529601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718949073541529601","DimensionId":3,"MemberId":718949073541529601,"Inc":""},"_vena_InputModelpuntInfo1_B1_R_3_718949073545723905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718949073545723905","DimensionId":3,"MemberId":718949073545723905,"Inc":""},"_vena_InputModelpuntInfo1_B1_R_3_718949073549918209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718949073549918209","DimensionId":3,"MemberId":718949073549918209,"Inc":""},"_vena_InputModelpuntInfo1_B1_R_3_718949073558306816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718949073558306816","DimensionId":3,"MemberId":718949073558306816,"Inc":""},"_vena_InputModelpuntInfo1_B1_R_3_718949073558306818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718949073558306818","DimensionId":3,"MemberId":718949073558306818,"Inc":""},"_vena_InputModelpuntInfo1_B1_R_3_718949073566695424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718949073566695424","DimensionId":3,"MemberId":718949073566695424,"Inc":""},"_vena_InputModelpuntInfo1_B1_R_3_718949073566695426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718949073566695426","DimensionId":3,"MemberId":718949073566695426,"Inc":""},"_vena_InputModelpuntInfo1_B1_R_3_718949073575084032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718949073575084032","DimensionId":3,"MemberId":718949073575084032,"Inc":""},"_vena_InputModelpuntInfo1_B1_R_3_718949073575084034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718949073575084034","DimensionId":3,"MemberId":718949073575084034,"Inc":""},"_vena_InputModelpuntInfo1_B1_R_3_718949073579278337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718949073579278337","DimensionId":3,"MemberId":718949073579278337,"Inc":""},"_vena_InputModelpuntInfo1_B1_R_3_718949073583472641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718949073583472641","DimensionId":3,"MemberId":718949073583472641,"Inc":""},"_vena_InputModelpuntInfo1_B1_R_3_718949073583472643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718949073583472643","DimensionId":3,"MemberId":718949073583472643,"Inc":""},"_vena_InputModelpuntInfo1_B1_R_3_718949073591861248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718949073591861248","DimensionId":3,"MemberId":718949073591861248,"Inc":""},"_vena_InputModelpuntInfo1_B1_R_3_718949073596055552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718949073596055552","DimensionId":3,"MemberId":718949073596055552,"Inc":""},"_vena_InputModelpuntInfo1_B1_R_3_718949073600249857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718949073600249857","DimensionId":3,"MemberId":718949073600249857,"Inc":""},"_vena_InputModelpuntInfo1_B1_R_3_718949073608638464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718949073608638464","DimensionId":3,"MemberId":718949073608638464,"Inc":""},"_vena_InputModelpuntInfo1_B1_R_3_718949073608638466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718949073608638466","DimensionId":3,"MemberId":718949073608638466,"Inc":""},"_vena_InputModelpuntInfo1_B1_R_3_718949073612832769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718949073612832769","DimensionId":3,"MemberId":718949073612832769,"Inc":""},"_vena_InputModelpuntInfo1_B1_R_3_718949073617027073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718949073617027073","DimensionId":3,"MemberId":718949073617027073,"Inc":""},"_vena_InputModelpuntInfo1_B1_R_3_718949073621221376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718949073621221376","DimensionId":3,"MemberId":718949073621221376,"Inc":""},"_vena_InputModelpuntInfo1_B1_R_3_718949073625415681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718949073625415681","DimensionId":3,"MemberId":718949073625415681,"Inc":""},"_vena_InputModelpuntInfo1_B1_R_3_718949073629609985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718949073629609985","DimensionId":3,"MemberId":718949073629609985,"Inc":""},"_vena_InputModelpuntInfo1_B1_R_3_718949073633804289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718949073633804289","DimensionId":3,"MemberId":718949073633804289,"Inc":""},"_vena_InputModelpuntInfo1_B1_R_3_718949073637998593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718949073637998593","DimensionId":3,"MemberId":718949073637998593,"Inc":""},"_vena_InputModelpuntInfo1_B1_R_3_718949073637998595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718949073637998595","DimensionId":3,"MemberId":718949073637998595,"Inc":""},"_vena_InputModelpuntInfo1_B1_R_3_718949073642192897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718949073642192897","DimensionId":3,"MemberId":718949073642192897,"Inc":""},"_vena_InputModelpuntInfo1_B1_R_3_718949073646387201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718949073646387201","DimensionId":3,"MemberId":718949073646387201,"Inc":""},"_vena_InputModelpuntInfo1_B1_R_3_718949073650581505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718949073650581505","DimensionId":3,"MemberId":718949073650581505,"Inc":""},"_vena_InputModelpuntInfo1_B1_R_3_718949073654775809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718949073654775809","DimensionId":3,"MemberId":718949073654775809,"Inc":""},"_vena_InputModelpuntInfo1_B1_R_3_718949073654775811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718949073654775811","DimensionId":3,"MemberId":718949073654775811,"Inc":""},"_vena_InputModelpuntInfo1_B1_R_3_718949073658970113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718949073658970113","DimensionId":3,"MemberId":718949073658970113,"Inc":""},"_vena_InputModelpuntInfo1_B1_R_3_718949073663164417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718949073663164417","DimensionId":3,"MemberId":718949073663164417,"Inc":""},"_vena_InputModelpuntInfo1_B1_R_3_718949073667358721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718949073667358721","DimensionId":3,"MemberId":718949073667358721,"Inc":""},"_vena_InputModelpuntInfo1_B1_R_3_718949073667358723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718949073667358723","DimensionId":3,"MemberId":718949073667358723,"Inc":""},"_vena_InputModelpuntInfo1_B1_R_3_718949073671553025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718949073671553025","DimensionId":3,"MemberId":718949073671553025,"Inc":""},"_vena_InputModelpuntInfo1_B1_R_3_718949073675747329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718949073675747329","DimensionId":3,"MemberId":718949073675747329,"Inc":""},"_vena_InputModelpuntInfo1_B1_R_3_718949073679941633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718949073679941633","DimensionId":3,"MemberId":718949073679941633,"Inc":""},"_vena_InputModelpuntInfo1_B1_R_3_718949073684135937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718949073684135937","DimensionId":3,"MemberId":718949073684135937,"Inc":""},"_vena_InputModelpuntInfo1_B1_R_3_718949073684135939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718949073684135939","DimensionId":3,"MemberId":718949073684135939,"Inc":""},"_vena_InputModelpuntInfo1_B1_R_3_718949073688330241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718949073688330241","DimensionId":3,"MemberId":718949073688330241,"Inc":""},"_vena_InputModelpuntInfo1_B1_R_3_718949073692524545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718949073692524545","DimensionId":3,"MemberId":718949073692524545,"Inc":""},"_vena_InputModelpuntInfo1_B1_R_3_718949073696718849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718949073696718849","DimensionId":3,"MemberId":718949073696718849,"Inc":""},"_vena_InputModelpuntInfo1_B1_R_3_718949073696718851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718949073696718851","DimensionId":3,"MemberId":718949073696718851,"Inc":""},"_vena_InputModelpuntInfo1_B1_R_3_718949073700913153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718949073700913153","DimensionId":3,"MemberId":718949073700913153,"Inc":""},"_vena_InputModelpuntInfo1_B1_R_3_718949073705107457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718949073705107457","DimensionId":3,"MemberId":718949073705107457,"Inc":""},"_vena_InputModelpuntInfo1_B1_R_3_718949073705107459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718949073705107459","DimensionId":3,"MemberId":718949073705107459,"Inc":""},"_vena_InputModelpuntInfo1_B1_R_3_718949073709301761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718949073709301761","DimensionId":3,"MemberId":718949073709301761,"Inc":""},"_vena_InputModelpuntInfo1_B1_R_3_718949073713496065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718949073713496065","DimensionId":3,"MemberId":718949073713496065,"Inc":""},"_vena_InputModelpuntInfo1_B1_R_3_718949073713496067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718949073713496067","DimensionId":3,"MemberId":718949073713496067,"Inc":""},"_vena_InputModelpuntInfo1_B1_R_3_718949073717690369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718949073717690369","DimensionId":3,"MemberId":718949073717690369,"Inc":""},"_vena_InputModelpuntInfo1_B1_R_3_718949073721884673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718949073721884673","DimensionId":3,"MemberId":718949073721884673,"Inc":""},"_vena_InputModelpuntInfo1_B1_R_3_718949073726078977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718949073726078977","DimensionId":3,"MemberId":718949073726078977,"Inc":""},"_vena_InputModelpuntInfo1_B1_R_3_718949073726078979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718949073726078979","DimensionId":3,"MemberId":718949073726078979,"Inc":""},"_vena_InputModelpuntInfo1_B1_R_3_718949073730273281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718949073730273281","DimensionId":3,"MemberId":718949073730273281,"Inc":""},"_vena_InputModelpuntInfo1_B1_R_3_718949073734467585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718949073734467585","DimensionId":3,"MemberId":718949073734467585,"Inc":""},"_vena_InputModelpuntInfo1_B1_R_3_718949073734467587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718949073734467587","DimensionId":3,"MemberId":718949073734467587,"Inc":""},"_vena_InputModelpuntInfo1_B1_R_3_718949073738661889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718949073738661889","DimensionId":3,"MemberId":718949073738661889,"Inc":""},"_vena_InputModelpuntInfo1_B1_R_3_718949073742856193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718949073742856193","DimensionId":3,"MemberId":718949073742856193,"Inc":""},"_vena_InputModelpuntInfo1_B1_R_3_718949073747050497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718949073747050497","DimensionId":3,"MemberId":718949073747050497,"Inc":""},"_vena_InputModelpuntInfo1_B1_R_3_718949073751244801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718949073751244801","DimensionId":3,"MemberId":718949073751244801,"Inc":""},"_vena_InputModelpuntInfo1_B1_R_3_718949073759633408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718949073759633408","DimensionId":3,"MemberId":718949073759633408,"Inc":""},"_vena_InputModelpuntInfo1_B1_R_3_718949073763827713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718949073763827713","DimensionId":3,"MemberId":718949073763827713,"Inc":""},"_vena_InputModelpuntInfo1_B1_R_3_718949073768022016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718949073768022016","DimensionId":3,"MemberId":718949073768022016,"Inc":""},"_vena_InputModelpuntInfo1_B1_R_3_718949073772216321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718949073772216321","DimensionId":3,"MemberId":718949073772216321,"Inc":""},"_vena_InputModelpuntInfo1_B1_R_3_718949073776410624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718949073776410624","DimensionId":3,"MemberId":718949073776410624,"Inc":""},"_vena_InputModelpuntInfo1_B1_R_3_718949073780604928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718949073780604928","DimensionId":3,"MemberId":718949073780604928,"Inc":""},"_vena_InputModelpuntInfo1_B1_R_3_718949073784799233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718949073784799233","DimensionId":3,"MemberId":718949073784799233,"Inc":""},"_vena_InputModelpuntInfo1_B1_R_3_718949073788993536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718949073788993536","DimensionId":3,"MemberId":718949073788993536,"Inc":""},"_vena_InputModelpuntInfo1_B1_R_3_718949073788993538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718949073788993538","DimensionId":3,"MemberId":718949073788993538,"Inc":""},"_vena_InputModelpuntInfo1_B1_R_3_718949073793187841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718949073793187841","DimensionId":3,"MemberId":718949073793187841,"Inc":""},"_vena_InputModelpuntInfo1_B1_R_3_718949073797382145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718949073797382145","DimensionId":3,"MemberId":718949073797382145,"Inc":""},"_vena_InputModelpuntInfo1_B1_R_3_718949073801576449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718949073801576449","DimensionId":3,"MemberId":718949073801576449,"Inc":""},"_vena_InputModelpuntInfo1_B1_R_3_718949073805770753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718949073805770753","DimensionId":3,"MemberId":718949073805770753,"Inc":""},"_vena_InputModelpuntInfo1_B1_R_3_718949073809965057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718949073809965057","DimensionId":3,"MemberId":718949073809965057,"Inc":""},"_vena_InputModelpuntInfo1_B1_R_3_718949073809965059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718949073809965059","DimensionId":3,"MemberId":718949073809965059,"Inc":""},"_vena_InputModelpuntInfo1_B1_R_3_718949073818353664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718949073818353664","DimensionId":3,"MemberId":718949073818353664,"Inc":""},"_vena_InputModelpuntInfo1_B1_R_3_718949073822547969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718949073822547969","DimensionId":3,"MemberId":718949073822547969,"Inc":""},"_vena_InputModelpuntInfo1_B1_R_3_718949073826742273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718949073826742273","DimensionId":3,"MemberId":718949073826742273,"Inc":""},"_vena_InputModelpuntInfo1_B1_R_3_718949073830936577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718949073830936577","DimensionId":3,"MemberId":718949073830936577,"Inc":""},"_vena_InputModelpuntInfo1_B1_R_3_718949073835130881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718949073835130881","DimensionId":3,"MemberId":718949073835130881,"Inc":""},"_vena_InputModelpuntInfo1_B1_R_3_718949073839325185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718949073839325185","DimensionId":3,"MemberId":718949073839325185,"Inc":""},"_vena_InputModelpuntInfo1_B1_R_3_718949073839325187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718949073839325187","DimensionId":3,"MemberId":718949073839325187,"Inc":""},"_vena_InputModelpuntInfo1_B1_R_3_718949073843519489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718949073843519489","DimensionId":3,"MemberId":718949073843519489,"Inc":""},"_vena_InputModelpuntInfo1_B1_R_3_718949073847713793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718949073847713793","DimensionId":3,"MemberId":718949073847713793,"Inc":""},"_vena_InputModelpuntInfo1_B1_R_3_718949073851908096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718949073851908096","DimensionId":3,"MemberId":718949073851908096,"Inc":""},"_vena_InputModelpuntInfo1_B1_R_3_718949073856102401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718949073856102401","DimensionId":3,"MemberId":718949073856102401,"Inc":""},"_vena_InputModelpuntInfo1_B1_R_3_718949073860296705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718949073860296705","DimensionId":3,"MemberId":718949073860296705,"Inc":""},"_vena_InputModelpuntInfo1_B1_R_3_718949073860296707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718949073860296707","DimensionId":3,"MemberId":718949073860296707,"Inc":""},"_vena_InputModelpuntInfo1_B1_R_3_718949073864491009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718949073864491009","DimensionId":3,"MemberId":718949073864491009,"Inc":""},"_vena_InputModelpuntInfo1_B1_R_3_718949073868685313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718949073868685313","DimensionId":3,"MemberId":718949073868685313,"Inc":""},"_vena_InputModelpuntInfo1_B1_R_3_718949073868685315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718949073868685315","DimensionId":3,"MemberId":718949073868685315,"Inc":""},"_vena_InputModelpuntInfo1_B1_R_3_718949073872879617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718949073872879617","DimensionId":3,"MemberId":718949073872879617,"Inc":""},"_vena_InputModelpuntInfo1_B1_R_3_718949073877073921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718949073877073921","DimensionId":3,"MemberId":718949073877073921,"Inc":""},"_vena_InputModelpuntInfo1_B1_R_3_718949073881268225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718949073881268225","DimensionId":3,"MemberId":718949073881268225,"Inc":""},"_vena_InputModelpuntInfo1_B1_R_3_718949073881268227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718949073881268227","DimensionId":3,"MemberId":718949073881268227,"Inc":""},"_vena_InputModelpuntInfo1_B1_R_3_718949073885462529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718949073885462529","DimensionId":3,"MemberId":718949073885462529,"Inc":""},"_vena_InputModelpuntInfo1_B1_R_3_718949073889656833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718949073889656833","DimensionId":3,"MemberId":718949073889656833,"Inc":""},"_vena_InputModelpuntInfo1_B1_R_3_718949073893851137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718949073893851137","DimensionId":3,"MemberId":718949073893851137,"Inc":""},"_vena_InputModelpuntInfo1_B1_R_3_718949073893851139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718949073893851139","DimensionId":3,"MemberId":718949073893851139,"Inc":""},"_vena_InputModelpuntInfo1_B1_R_3_718949073898045441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718949073898045441","DimensionId":3,"MemberId":718949073898045441,"Inc":""},"_vena_InputModelpuntInfo1_B1_R_3_718949073902239745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718949073902239745","DimensionId":3,"MemberId":718949073902239745,"Inc":""},"_vena_InputModelpuntInfo1_B1_R_3_718949073902239747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718949073902239747","DimensionId":3,"MemberId":718949073902239747,"Inc":""},"_vena_InputModelpuntInfo1_B1_R_3_718949073906434049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718949073906434049","DimensionId":3,"MemberId":718949073906434049,"Inc":""},"_vena_InputModelpuntInfo1_B1_R_3_718949073910628353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718949073910628353","DimensionId":3,"MemberId":718949073910628353,"Inc":""},"_vena_InputModelpuntInfo1_B1_R_3_718949073914822657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718949073914822657","DimensionId":3,"MemberId":718949073914822657,"Inc":""},"_vena_InputModelpuntInfo1_B1_R_3_718949073914822659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718949073914822659","DimensionId":3,"MemberId":718949073914822659,"Inc":""},"_vena_InputModelpuntInfo1_B1_R_3_718949073919016961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718949073919016961","DimensionId":3,"MemberId":718949073919016961,"Inc":""},"_vena_InputModelpuntInfo1_B1_R_3_718949073923211265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718949073923211265","DimensionId":3,"MemberId":718949073923211265,"Inc":""},"_vena_InputModelpuntInfo1_B1_R_3_718949073923211267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718949073923211267","DimensionId":3,"MemberId":718949073923211267,"Inc":""},"_vena_InputModelpuntInfo1_B1_R_3_718949073927405569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718949073927405569","DimensionId":3,"MemberId":718949073927405569,"Inc":""},"_vena_InputModelpuntInfo1_B1_R_3_718949073931599873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718949073931599873","DimensionId":3,"MemberId":718949073931599873,"Inc":""},"_vena_InputModelpuntInfo1_B1_R_3_718949073935794176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718949073935794176","DimensionId":3,"MemberId":718949073935794176,"Inc":""},"_vena_InputModelpuntInfo1_B1_R_3_718949073935794178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718949073935794178","DimensionId":3,"MemberId":718949073935794178,"Inc":""},"_vena_InputModelpuntInfo1_B1_R_3_718949073939988481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718949073939988481","DimensionId":3,"MemberId":718949073939988481,"Inc":""},"_vena_InputModelpuntInfo1_B1_R_3_718949073944182785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718949073944182785","DimensionId":3,"MemberId":718949073944182785,"Inc":""},"_vena_InputModelpuntInfo1_B1_R_3_718949073944182787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718949073944182787","DimensionId":3,"MemberId":718949073944182787,"Inc":""},"_vena_InputModelpuntInfo1_B1_R_3_718949073948377089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718949073948377089","DimensionId":3,"MemberId":718949073948377089,"Inc":""},"_vena_InputModelpuntInfo1_B1_R_3_718949073952571393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718949073952571393","DimensionId":3,"MemberId":718949073952571393,"Inc":""},"_vena_InputModelpuntInfo1_B1_R_3_718949073952571395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718949073952571395","DimensionId":3,"MemberId":718949073952571395,"Inc":""},"_vena_InputModelpuntInfo1_B1_R_3_718949073956765697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718949073956765697","DimensionId":3,"MemberId":718949073956765697,"Inc":""},"_vena_InputModelpuntInfo1_B1_R_3_718949073960960001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718949073960960001","DimensionId":3,"MemberId":718949073960960001,"Inc":""},"_vena_InputModelpuntInfo1_B1_R_3_718949073965154304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718949073965154304","DimensionId":3,"MemberId":718949073965154304,"Inc":""},"_vena_InputModelpuntInfo1_B1_R_3_718949073965154306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718949073965154306","DimensionId":3,"MemberId":718949073965154306,"Inc":""},"_vena_InputModelpuntInfo1_B1_R_3_718949073969348609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718949073969348609","DimensionId":3,"MemberId":718949073969348609,"Inc":""},"_vena_InputModelpuntInfo1_B1_R_3_718949073973542913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718949073973542913","DimensionId":3,"MemberId":718949073973542913,"Inc":""},"_vena_InputModelpuntInfo1_B1_R_3_718949073973542915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718949073973542915","DimensionId":3,"MemberId":718949073973542915,"Inc":""},"_vena_InputModelpuntInfo1_B1_R_3_718949073977737217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718949073977737217","DimensionId":3,"MemberId":718949073977737217,"Inc":""},"_vena_InputModelpuntInfo1_B1_R_3_718949073981931521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718949073981931521","DimensionId":3,"MemberId":718949073981931521,"Inc":""},"_vena_InputModelpuntInfo1_B1_R_3_718949073986125824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718949073986125824","DimensionId":3,"MemberId":718949073986125824,"Inc":""},"_vena_InputModelpuntInfo1_B1_R_3_718949073990320129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718949073990320129","DimensionId":3,"MemberId":718949073990320129,"Inc":""},"_vena_InputModelpuntInfo1_B1_R_3_718949073994514432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718949073994514432","DimensionId":3,"MemberId":718949073994514432,"Inc":""},"_vena_InputModelpuntInfo1_B1_R_3_718949073998708737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718949073998708737","DimensionId":3,"MemberId":718949073998708737,"Inc":""},"_vena_InputModelpuntInfo1_B1_R_3_718949073998708739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718949073998708739","DimensionId":3,"MemberId":718949073998708739,"Inc":""},"_vena_InputModelpuntInfo1_B1_R_3_718949074002903041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718949074002903041","DimensionId":3,"MemberId":718949074002903041,"Inc":""},"_vena_InputModelpuntInfo1_B1_R_3_718949074007097345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718949074007097345","DimensionId":3,"MemberId":718949074007097345,"Inc":""},"_vena_InputModelpuntInfo1_B1_R_3_718949074011291649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718949074011291649","DimensionId":3,"MemberId":718949074011291649,"Inc":""},"_vena_InputModelpuntInfo1_B1_R_3_718949074011291651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718949074011291651","DimensionId":3,"MemberId":718949074011291651,"Inc":""},"_vena_InputModelpuntInfo1_B1_R_3_718949074015485953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718949074015485953","DimensionId":3,"MemberId":718949074015485953,"Inc":""},"_vena_InputModelpuntInfo1_B1_R_3_718949074019680257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718949074019680257","DimensionId":3,"MemberId":718949074019680257,"Inc":""},"_vena_InputModelpuntInfo1_B1_R_3_718949074019680259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718949074019680259","DimensionId":3,"MemberId":718949074019680259,"Inc":""},"_vena_InputModelpuntInfo1_B1_R_3_718949074023874561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718949074023874561","DimensionId":3,"MemberId":718949074023874561,"Inc":""},"_vena_InputModelpuntInfo1_B1_R_3_718949074028068865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718949074028068865","DimensionId":3,"MemberId":718949074028068865,"Inc":""},"_vena_InputModelpuntInfo1_B1_R_3_718949074028068867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718949074028068867","DimensionId":3,"MemberId":718949074028068867,"Inc":""},"_vena_InputModelpuntInfo1_B1_R_3_718949074032263169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718949074032263169","DimensionId":3,"MemberId":718949074032263169,"Inc":""},"_vena_InputModelpuntInfo1_B1_R_3_718949074036457473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718949074036457473","DimensionId":3,"MemberId":718949074036457473,"Inc":""},"_vena_InputModelpuntInfo1_B1_R_3_718949074036457475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718949074036457475","DimensionId":3,"MemberId":718949074036457475,"Inc":""},"_vena_InputModelpuntInfo1_B1_R_3_718949074040651777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718949074040651777","DimensionId":3,"MemberId":718949074040651777,"Inc":""},"_vena_InputModelpuntInfo1_B1_R_3_718949074044846081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718949074044846081","DimensionId":3,"MemberId":718949074044846081,"Inc":""},"_vena_InputModelpuntInfo1_B1_R_3_718949074049040385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718949074049040385","DimensionId":3,"MemberId":718949074049040385,"Inc":""},"_vena_InputModelpuntInfo1_B1_R_3_718949074049040387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718949074049040387","DimensionId":3,"MemberId":718949074049040387,"Inc":""},"_vena_InputModelpuntInfo1_B1_R_3_718949074053234689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718949074053234689","DimensionId":3,"MemberId":718949074053234689,"Inc":""},"_vena_InputModelpuntInfo1_B1_R_3_718949074057428993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718949074057428993","DimensionId":3,"MemberId":718949074057428993,"Inc":""},"_vena_InputModelpuntInfo1_B1_R_3_718949074057428995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718949074057428995","DimensionId":3,"MemberId":718949074057428995,"Inc":""},"_vena_InputModelpuntInfo1_B1_R_3_718949074061623297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718949074061623297","DimensionId":3,"MemberId":718949074061623297,"Inc":""},"_vena_InputModelpuntInfo1_B1_R_3_718949074065817601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718949074065817601","DimensionId":3,"MemberId":718949074065817601,"Inc":""},"_vena_InputModelpuntInfo1_B1_R_3_718949074065817603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718949074065817603","DimensionId":3,"MemberId":718949074065817603,"Inc":""},"_vena_InputModelpuntInfo1_B1_R_3_718949074070011905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718949074070011905","DimensionId":3,"MemberId":718949074070011905,"Inc":""},"_vena_InputModelpuntInfo1_B1_R_3_718949074074206209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718949074074206209","DimensionId":3,"MemberId":718949074074206209,"Inc":""},"_vena_InputModelpuntInfo1_B1_R_3_718949074078400513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718949074078400513","DimensionId":3,"MemberId":718949074078400513,"Inc":""},"_vena_InputModelpuntInfo1_B1_R_3_718949074078400515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718949074078400515","DimensionId":3,"MemberId":718949074078400515,"Inc":""},"_vena_InputModelpuntInfo1_B1_R_3_718949074082594817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718949074082594817","DimensionId":3,"MemberId":718949074082594817,"Inc":""},"_vena_InputModelpuntInfo1_B1_R_3_718949074086789121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718949074086789121","DimensionId":3,"MemberId":718949074086789121,"Inc":""},"_vena_InputModelpuntInfo1_B1_R_3_718949074086789123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718949074086789123","DimensionId":3,"MemberId":718949074086789123,"Inc":""},"_vena_InputModelpuntInfo1_B1_R_3_718949074090983425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718949074090983425","DimensionId":3,"MemberId":718949074090983425,"Inc":""},"_vena_InputModelpuntInfo1_B1_R_3_718949074095177729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718949074095177729","DimensionId":3,"MemberId":718949074095177729,"Inc":""},"_vena_InputModelpuntInfo1_B1_R_3_718949074095177731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718949074095177731","DimensionId":3,"MemberId":718949074095177731,"Inc":""},"_vena_InputModelpuntInfo1_B1_R_3_718949074099372033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718949074099372033","DimensionId":3,"MemberId":718949074099372033,"Inc":""},"_vena_InputModelpuntInfo1_B1_R_3_718949074103566337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718949074103566337","DimensionId":3,"MemberId":718949074103566337,"Inc":""},"_vena_InputModelpuntInfo1_B1_R_3_718949074103566339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718949074103566339","DimensionId":3,"MemberId":718949074103566339,"Inc":""},"_vena_InputModelpuntInfo1_B1_R_3_718949074111954944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718949074111954944","DimensionId":3,"MemberId":718949074111954944,"Inc":""},"_vena_InputModelpuntInfo1_B1_R_3_718949074111954946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718949074111954946","DimensionId":3,"MemberId":718949074111954946,"Inc":""},"_vena_InputModelpuntInfo1_B1_R_3_718949074116149249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718949074116149249","DimensionId":3,"MemberId":718949074116149249,"Inc":""},"_vena_InputModelpuntInfo1_B1_R_3_718949074120343553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718949074120343553","DimensionId":3,"MemberId":718949074120343553,"Inc":""},"_vena_InputModelpuntInfo1_B1_R_3_718949074124537857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718949074124537857","DimensionId":3,"MemberId":718949074124537857,"Inc":""},"_vena_InputModelpuntInfo1_B1_R_3_718949074124537859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718949074124537859","DimensionId":3,"MemberId":718949074124537859,"Inc":""},"_vena_InputModelpuntInfo1_B1_R_3_718949074128732161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718949074128732161","DimensionId":3,"MemberId":718949074128732161,"Inc":""},"_vena_InputModelpuntInfo1_B1_R_3_718949074132926465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718949074132926465","DimensionId":3,"MemberId":718949074132926465,"Inc":""},"_vena_InputModelpuntInfo1_B1_R_3_718949074132926467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718949074132926467","DimensionId":3,"MemberId":718949074132926467,"Inc":""},"_vena_InputModelpuntInfo1_B1_R_3_718949074137120769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718949074137120769","DimensionId":3,"MemberId":718949074137120769,"Inc":""},"_vena_InputModelpuntInfo1_B1_R_3_718949074141315073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718949074141315073","DimensionId":3,"MemberId":718949074141315073,"Inc":""},"_vena_InputModelpuntInfo1_B1_R_3_718949074141315075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718949074141315075","DimensionId":3,"MemberId":718949074141315075,"Inc":""},"_vena_InputModelpuntInfo1_B1_R_3_718949074145509377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718949074145509377","DimensionId":3,"MemberId":718949074145509377,"Inc":""},"_vena_InputModelpuntInfo1_B1_R_3_718949074149703681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718949074149703681","DimensionId":3,"MemberId":718949074149703681,"Inc":""},"_vena_InputModelpuntInfo1_B1_R_3_718949074153897985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718949074153897985","DimensionId":3,"MemberId":718949074153897985,"Inc":""},"_vena_InputModelpuntInfo1_B1_R_3_718949074153897987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718949074153897987","DimensionId":3,"MemberId":718949074153897987,"Inc":""},"_vena_InputModelpuntInfo1_B1_R_3_718949074158092289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718949074158092289","DimensionId":3,"MemberId":718949074158092289,"Inc":""},"_vena_InputModelpuntInfo1_B1_R_3_718949074162286593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718949074162286593","DimensionId":3,"MemberId":718949074162286593,"Inc":""},"_vena_InputModelpuntInfo1_B1_R_3_718949074162286595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718949074162286595","DimensionId":3,"MemberId":718949074162286595,"Inc":""},"_vena_InputModelpuntInfo1_B1_R_3_718949074166480897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718949074166480897","DimensionId":3,"MemberId":718949074166480897,"Inc":""},"_vena_InputModelpuntInfo1_B1_R_3_718949074170675201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718949074170675201","DimensionId":3,"MemberId":718949074170675201,"Inc":""},"_vena_InputModelpuntInfo1_B1_R_3_718949074170675203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718949074170675203","DimensionId":3,"MemberId":718949074170675203,"Inc":""},"_vena_InputModelpuntInfo1_B1_R_3_718949074174869505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718949074174869505","DimensionId":3,"MemberId":718949074174869505,"Inc":""},"_vena_InputModelpuntInfo1_B1_R_3_718949074179063809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718949074179063809","DimensionId":3,"MemberId":718949074179063809,"Inc":""},"_vena_InputModelpuntInfo1_B1_R_3_718949074179063811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718949074179063811","DimensionId":3,"MemberId":718949074179063811,"Inc":""},"_vena_InputModelpuntInfo1_B1_R_3_718949074183258113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718949074183258113","DimensionId":3,"MemberId":718949074183258113,"Inc":""},"_vena_InputModelpuntInfo1_B1_R_3_718949074187452417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718949074187452417","DimensionId":3,"MemberId":718949074187452417,"Inc":""},"_vena_InputModelpuntInfo1_B1_R_3_718949074191646721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718949074191646721","DimensionId":3,"MemberId":718949074191646721,"Inc":""},"_vena_InputModelpuntInfo1_B1_R_3_718949074191646723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718949074191646723","DimensionId":3,"MemberId":718949074191646723,"Inc":""},"_vena_InputModelpuntInfo1_B1_R_3_718949074195841025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718949074195841025","DimensionId":3,"MemberId":718949074195841025,"Inc":""},"_vena_InputModelpuntInfo1_B1_R_3_718949074200035329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718949074200035329","DimensionId":3,"MemberId":718949074200035329,"Inc":""},"_vena_InputModelpuntInfo1_B1_R_3_718949074200035331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718949074200035331","DimensionId":3,"MemberId":718949074200035331,"Inc":""},"_vena_InputModelpuntInfo1_B1_R_3_718949074204229633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718949074204229633","DimensionId":3,"MemberId":718949074204229633,"Inc":""},"_vena_InputModelpuntInfo1_B1_R_3_718949074208423937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718949074208423937","DimensionId":3,"MemberId":718949074208423937,"Inc":""},"_vena_InputModelpuntInfo1_B1_R_3_718949074212618241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718949074212618241","DimensionId":3,"MemberId":718949074212618241,"Inc":""},"_vena_InputModelpuntInfo1_B1_R_3_718949074212618243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718949074212618243","DimensionId":3,"MemberId":718949074212618243,"Inc":""},"_vena_InputModelpuntInfo1_B1_R_3_718949074221006848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718949074221006848","DimensionId":3,"MemberId":718949074221006848,"Inc":""},"_vena_InputModelpuntInfo1_B1_R_3_718949074221006851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718949074221006851","DimensionId":3,"MemberId":718949074221006851,"Inc":""},"_vena_InputModelpuntInfo1_B1_R_3_718949074225201153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718949074225201153","DimensionId":3,"MemberId":718949074225201153,"Inc":""},"_vena_InputModelpuntInfo1_B1_R_3_718949074229395457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718949074229395457","DimensionId":3,"MemberId":718949074229395457,"Inc":""},"_vena_InputModelpuntInfo1_B1_R_3_718949074229395459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718949074229395459","DimensionId":3,"MemberId":718949074229395459,"Inc":""},"_vena_InputModelpuntInfo1_B1_R_3_718949074233589761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718949074233589761","DimensionId":3,"MemberId":718949074233589761,"Inc":""},"_vena_InputModelpuntInfo1_B1_R_3_718949074237784065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718949074237784065","DimensionId":3,"MemberId":718949074237784065,"Inc":""},"_vena_InputModelpuntInfo1_B1_R_3_718949074237784067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718949074237784067","DimensionId":3,"MemberId":718949074237784067,"Inc":""},"_vena_InputModelpuntInfo1_B1_R_3_718949074241978369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718949074241978369","DimensionId":3,"MemberId":718949074241978369,"Inc":""},"_vena_InputModelpuntInfo1_B1_R_3_718949074246172673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718949074246172673","DimensionId":3,"MemberId":718949074246172673,"Inc":""},"_vena_InputModelpuntInfo1_B1_R_3_718949074246172675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718949074246172675","DimensionId":3,"MemberId":718949074246172675,"Inc":""},"_vena_InputModelpuntInfo1_B1_R_3_718949074250366977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718949074250366977","DimensionId":3,"MemberId":718949074250366977,"Inc":""},"_vena_InputModelpuntInfo1_B1_R_3_718949074254561281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718949074254561281","DimensionId":3,"MemberId":718949074254561281,"Inc":""},"_vena_InputModelpuntInfo1_B1_R_3_718949074258755585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718949074258755585","DimensionId":3,"MemberId":718949074258755585,"Inc":""},"_vena_InputModelpuntInfo1_B1_R_3_718949074258755587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718949074258755587","DimensionId":3,"MemberId":718949074258755587,"Inc":""},"_vena_InputModelpuntInfo1_B1_R_3_718949074262949889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718949074262949889","DimensionId":3,"MemberId":718949074262949889,"Inc":""},"_vena_InputModelpuntInfo1_B1_R_3_718949074267144193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718949074267144193","DimensionId":3,"MemberId":718949074267144193,"Inc":""},"_vena_InputModelpuntInfo1_B1_R_3_718949074267144195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718949074267144195","DimensionId":3,"MemberId":718949074267144195,"Inc":""},"_vena_InputModelpuntInfo1_B1_R_3_718949074271338497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718949074271338497","DimensionId":3,"MemberId":718949074271338497,"Inc":""},"_vena_InputModelpuntInfo1_B1_R_3_733406386659655682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733406386659655682","DimensionId":3,"MemberId":733406386659655682,"Inc":""},"_vena_InputModelpuntInfo1_B1_R_3_738101605178277888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738101605178277888","DimensionId":3,"MemberId":738101605178277888,"Inc":""},"_vena_InputModelpuntInfo1_B1_R_3_738101643779637251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738101643779637251","DimensionId":3,"MemberId":738101643779637251,"Inc":""},"_vena_InputModelpuntInfo1_B1_R_3_738101800095187049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738101800095187049","DimensionId":3,"MemberId":738101800095187049,"Inc":""},"_vena_InputModelpuntInfo1_B1_R_3_741036978346524672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741036978346524672","DimensionId":3,"MemberId":741036978346524672,"Inc":""},"_vena_InputModelpuntInfo1_B1_R_3_741036978350718977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741036978350718977","DimensionId":3,"MemberId":741036978350718977,"Inc":""},"_vena_InputModelpuntInfo1_B1_R_3_741036978350718979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741036978350718979","DimensionId":3,"MemberId":741036978350718979,"Inc":""},"_vena_InputModelpuntInfo1_B1_R_3_741036978354913281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741036978354913281","DimensionId":3,"MemberId":741036978354913281,"Inc":""},"_vena_InputModelpuntInfo1_B1_R_3_741036978354913283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741036978354913283","DimensionId":3,"MemberId":741036978354913283,"Inc":""},"_vena_InputModelpuntInfo1_B1_R_3_741036978354913285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741036978354913285","DimensionId":3,"MemberId":741036978354913285,"Inc":""},"_vena_InputModelpuntInfo1_B1_R_3_741036978359107585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741036978359107585","DimensionId":3,"MemberId":741036978359107585,"Inc":""},"_vena_InputModelpuntInfo1_B1_R_3_741036978359107587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741036978359107587","DimensionId":3,"MemberId":741036978359107587,"Inc":""},"_vena_InputModelpuntInfo1_B1_R_3_741036978359107589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741036978359107589","DimensionId":3,"MemberId":741036978359107589,"Inc":""},"_vena_InputModelpuntInfo1_B1_R_3_741036978363301889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741036978363301889","DimensionId":3,"MemberId":741036978363301889,"Inc":""},"_vena_InputModelpuntInfo1_B1_R_3_741036978363301891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741036978363301891","DimensionId":3,"MemberId":741036978363301891,"Inc":""},"_vena_InputModelpuntInfo1_B1_R_3_741036978367496193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741036978367496193","DimensionId":3,"MemberId":741036978367496193,"Inc":""},"_vena_InputModelpuntInfo1_B1_R_3_741036978367496195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741036978367496195","DimensionId":3,"MemberId":741036978367496195,"Inc":""},"_vena_InputModelpuntInfo1_B1_R_3_741036978367496197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741036978367496197","DimensionId":3,"MemberId":741036978367496197,"Inc":""},"_vena_InputModelpuntInfo1_B1_R_3_741036978371690497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741036978371690497","DimensionId":3,"MemberId":741036978371690497,"Inc":""},"_vena_InputModelpuntInfo1_B1_R_3_741036978371690499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741036978371690499","DimensionId":3,"MemberId":741036978371690499,"Inc":""},"_vena_InputModelpuntInfo1_B1_R_3_741036978375884801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741036978375884801","DimensionId":3,"MemberId":741036978375884801,"Inc":""},"_vena_InputModelpuntInfo1_B1_R_3_741036978375884803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741036978375884803","DimensionId":3,"MemberId":741036978375884803,"Inc":""},"_vena_InputModelpuntInfo1_B1_R_3_741036978375884805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741036978375884805","DimensionId":3,"MemberId":741036978375884805,"Inc":""},"_vena_InputModelpuntInfo1_B1_R_3_741036978380079105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741036978380079105","DimensionId":3,"MemberId":741036978380079105,"Inc":""},"_vena_InputModelpuntInfo1_B1_R_3_741036978380079107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741036978380079107","DimensionId":3,"MemberId":741036978380079107,"Inc":""},"_vena_InputModelpuntInfo1_B1_R_3_741036978380079109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741036978380079109","DimensionId":3,"MemberId":741036978380079109,"Inc":""},"_vena_InputModelpuntInfo1_B1_R_3_741036978384273409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741036978384273409","DimensionId":3,"MemberId":741036978384273409,"Inc":""},"_vena_InputModelpuntInfo1_B1_R_3_741036978384273411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741036978384273411","DimensionId":3,"MemberId":741036978384273411,"Inc":""},"_vena_InputModelpuntInfo1_B1_R_3_741036978384273413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741036978384273413","DimensionId":3,"MemberId":741036978384273413,"Inc":""},"_vena_InputModelpuntInfo1_B1_R_3_741036978388467713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741036978388467713","DimensionId":3,"MemberId":741036978388467713,"Inc":""},"_vena_InputModelpuntInfo1_B1_R_3_741036978388467715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741036978388467715","DimensionId":3,"MemberId":741036978388467715,"Inc":""},"_vena_InputModelpuntInfo1_B1_R_3_741036978392662016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741036978392662016","DimensionId":3,"MemberId":741036978392662016,"Inc":""},"_vena_InputModelpuntInfo1_B1_R_3_745374605280018432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745374605280018432","DimensionId":3,"MemberId":745374605280018432,"Inc":""},"_vena_InputModelpuntInfo1_B1_R_3_745375016732721152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745375016732721152","DimensionId":3,"MemberId":745375016732721152,"Inc":""},"_vena_InputModelpuntInfo1_B1_R_3_745375106469593088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745375106469593088","DimensionId":3,"MemberId":745375106469593088,"Inc":""},"_vena_InputModelpuntInfo1_B1_R_3_787067506366873601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787067506366873601","DimensionId":3,"MemberId":787067506366873601,"Inc":""},"_vena_InputModelpuntInfo1_B1_R_3_787067506375262209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787067506375262209","DimensionId":3,"MemberId":787067506375262209,"Inc":""},"_vena_InputModelpuntInfo1_B1_R_3_787067506396233730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787067506396233730","DimensionId":3,"MemberId":787067506396233730,"Inc":""},"_vena_InputModelpuntInfo1_B1_R_3_787067506400428033":{"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787067506400428033","DimensionId":3,"MemberId":787067506400428033,"Inc":""},"_vena_InputModelpuntInfo1_B1_R_3_787067506425593862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787067506425593862","DimensionId":3,"MemberId":787067506425593862,"Inc":""},"_vena_InputModelpuntInfo1_B1_R_3_787067506429788172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787067506429788172","DimensionId":3,"MemberId":787067506429788172,"Inc":""},"_vena_InputModelpuntInfo1_B1_R_3_787067506442371085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787067506442371085","DimensionId":3,"MemberId":787067506442371085,"Inc":""},"_vena_InputModelpuntInfo1_B1_R_3_787067506459148326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787067506459148326","DimensionId":3,"MemberId":787067506459148326,"Inc":""},"_vena_InputModelpuntInfo1_B1_R_3_787067506467536902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787067506467536902","DimensionId":3,"MemberId":787067506467536902,"Inc":""},"_vena_InputModelpuntInfo1_B1_R_3_787067506484314126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787067506484314126","DimensionId":3,"MemberId":787067506484314126,"Inc":""},"_vena_InputModelpuntInfo1_B1_R_3_787067506509479942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787067506509479942","DimensionId":3,"MemberId":787067506509479942,"Inc":""},"_vena_InputModelpuntInfo1_B1_R_3_787067506526257152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787067506526257152","DimensionId":3,"MemberId":787067506526257152,"Inc":""},"_vena_InputModelpuntInfo1_B1_R_3_848292094858231812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848292094858231812","DimensionId":3,"MemberId":848292094858231812,"Inc":""},"_vena_InputModelpuntInfo1_B1_R_3_947147459226107910":{"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947147459226107910","DimensionId":3,"MemberId":947147459226107910,"Inc":""},"_vena_InputModelpuntInfo1_B1_R_3_947147459238690817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947147459238690817","DimensionId":3,"MemberId":947147459238690817,"Inc":""},"_vena_InputModelpuntInfo1_B1_R_3_947147459259662336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947147459259662336","DimensionId":3,"MemberId":947147459259662336,"Inc":""},"_vena_InputModelpuntInfo1_B1_R_3_947147459272245252":{"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947147459272245252","DimensionId":3,"MemberId":947147459272245252,"Inc":""},"_vena_InputModelpuntInfo1_B1_R_3_947147459276439554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947147459276439554","DimensionId":3,"MemberId":947147459276439554,"Inc":""},"_vena_InputModelpuntInfo1_B1_R_3_947147459284828166":{"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947147459284828166","DimensionId":3,"MemberId":947147459284828166,"Inc":""},"_vena_InputModelpuntInfo1_B1_R_3_947147459297411075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947147459297411075","DimensionId":3,"MemberId":947147459297411075,"Inc":""},"_vena_InputModelpuntInfo1_B1_R_3_947147459318382595":{"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947147459318382595","DimensionId":3,"MemberId":947147459318382595,"Inc":""},"_vena_InputModelpuntInfo1_B1_R_3_947147459322576897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947147459322576897","DimensionId":3,"MemberId":947147459322576897,"Inc":""},"_vena_InputModelpuntInfo1_B1_R_3_947147459377102859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947147459377102859","DimensionId":3,"MemberId":947147459377102859,"Inc":""},"_vena_InputModelpuntInfo1_B1_R_3_947147459385491457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947147459385491457","DimensionId":3,"MemberId":947147459385491457,"Inc":""},"_vena_InputModelpuntInfo1_B1_R_3_982737416803450901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982737416803450901","DimensionId":3,"MemberId":982737416803450901,"Inc":""},"_vena_InputModelpuntInfo1_B1_R_3_982737416811839488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982737416811839488","DimensionId":3,"MemberId":982737416811839488,"Inc":""},"_vena_InputModelpuntInfo1_B1_R_3_982737416862171137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B1","VenaRangeType":1,"DimensionIdStr":"3","MemberIdStr":"982737416862171137","DimensionId":3,"MemberId":982737416862171137,"Inc":""},"_vena_InputModelpuntInfo1_P_4_718931129058590721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VenaRangeType":0,"DimensionIdStr":"4","MemberIdStr":"718931129058590721","DimensionId":4,"MemberId":718931129058590721,"Inc":""},"_vena_InputModelpuntInfo1_P_5_718931142656917509":{"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VenaRangeType":0,"DimensionIdStr":"5","MemberIdStr":"718931142656917509","DimensionId":5,"MemberId":718931142656917509,"Inc":""},"_vena_InputModelpuntInfo1_P_7_720673044374355968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VenaRangeType":0,"DimensionIdStr":"7","MemberIdStr":"720673044374355968","DimensionId":7,"MemberId":720673044374355968,"Inc":""},"_vena_InputModelpuntInfo1_P_FV_18833718d1654aadbc8e26067c178bd5":{"SourceGlobalVariableId":-1,"SourceFormVariableId":"18833718-d165-4aad-bc8e-26067c178bd5","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VenaRangeType":0,"DimensionIdStr":"FV","MemberIdStr":"18833718d1654aadbc8e26067c178bd5","DimensionId":-1,"MemberId":-1,"Inc":""},"_vena_InputModelpuntInfo1_P_FV_a29e5bcf45ca496da8833af34d35696d":{"SourceGlobalVariableId":-1,"SourceFormVariableId":"a29e5bcf-45ca-496d-a883-3af34d35696d","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1","BlockName":"","VenaRangeType":0,"DimensionIdStr":"FV","MemberIdStr":"a29e5bcf45ca496da8833af34d35696d","DimensionId":-1,"MemberId":-1,"Inc":""},"_vena_InputModelpuntInfo2_B1_C_FV_5d39d27143854b42aac3e80e185356a2":{"SourceGlobalVariableId":-1,"SourceFormVariableId":"5d39d271-4385-4b42-aac3-e80e185356a2","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B1","VenaRangeType":2,"DimensionIdStr":"FV","MemberIdStr":"5d39d27143854b42aac3e80e185356a2","DimensionId":-1,"MemberId":-1,"Inc":""},"_vena_InputModelpuntInfo2_B1_R_6_733092863753191424":{"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B1","VenaRangeType":1,"DimensionIdStr":"6","MemberIdStr":"733092863753191424","DimensionId":6,"MemberId":733092863753191424,"Inc":""},"_vena_InputModelpuntInfo2_B1_R_6_733092908485705728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B1","VenaRangeType":1,"DimensionIdStr":"6","MemberIdStr":"733092908485705728","DimensionId":6,"MemberId":733092908485705728,"Inc":""},"_vena_InputModelpuntInfo2_B1_R_6_735209071112224768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B1","VenaRangeType":1,"DimensionIdStr":"6","MemberIdStr":"735209071112224768","DimensionId":6,"MemberId":735209071112224768,"Inc":""},"_vena_InputModelpuntInfo2_B1_R_6_735209262570405888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B1","VenaRangeType":1,"DimensionIdStr":"6","MemberIdStr":"735209262570405888","DimensionId":6,"MemberId":735209262570405888,"Inc":""},"_vena_InputModelpuntInfo2_P_3_718931117436043267":{"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VenaRangeType":0,"DimensionIdStr":"3","MemberIdStr":"718931117436043267","DimensionId":3,"MemberId":718931117436043267,"Inc":""},"_vena_InputModelpuntInfo2_P_4_718931129058590721":{"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VenaRangeType":0,"DimensionIdStr":"4","MemberIdStr":"718931129058590721","DimensionId":4,"MemberId":718931129058590721,"Inc":""},"_vena_InputModelpuntInfo2_P_7_720673044374355968":{"SourceGlobalVariableId":-1,"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VenaRangeType":0,"DimensionIdStr":"7","MemberIdStr":"720673044374355968","DimensionId":7,"MemberId":720673044374355968,"Inc":""},"_vena_InputModelpuntInfo2_P_FV_18833718d1654aadbc8e26067c178bd5":{"SourceGlobalVariableId":-1,"SourceFormVariableId":"18833718-d165-4aad-bc8e-26067c178bd5","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VenaRangeType":0,"DimensionIdStr":"FV","MemberIdStr":"18833718d1654aadbc8e26067c178bd5","DimensionId":-1,"MemberId":-1,"Inc":""},"_vena_InputModelpuntInfo2_P_FV_a29e5bcf45ca496da8833af34d35696d":{"SourceGlobalVariableId":-1,"SourceFormVariableId":"a29e5bcf-45ca-496d-a883-3af34d35696d","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InputModelpuntInfo2","BlockName":"","VenaRangeType":0,"DimensionIdStr":"FV","MemberIdStr":"a29e5bcf45ca496da8833af34d35696d","DimensionId":-1,"MemberId":-1,"Inc":""},"_vena_Selectie_P_GV_720667124808679427":{"SourceGlobalVariableId":720667124808679427,"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Selectie","BlockName":"","VenaRangeType":0,"DimensionIdStr":"GV","MemberIdStr":"720667124808679427","DimensionId":-1,"MemberId":-1,"Inc":""},"_vena_Selectie_P_GV_720667363321839617":{"SourceGlobalVariableId":720667363321839617,"SourceFormVariableId":"00000000-0000-0000-0000-000000000000","IsPageVariable":false,"IsLineItemDetailEnabled":false,"LineItemDetailOrder":0,"LineItemID":null,"PageVariableSectionReference":"","PageVariableDimensionName":null,"IsDynamicRange":false,"IsDynamicRangeEntry":false,"DynamicRangeID":null,"DynamicRangeEntryID":null,"IsMultiDynamicRange":false,"MultiDynamicRangeID":null,"MultiDynamicCollectionID":null,"SectionName":"Selectie","BlockName":"","VenaRangeType":0,"DimensionIdStr":"GV","MemberIdStr":"720667363321839617","DimensionId":-1,"MemberId":-1,"Inc":""}},"DynamicRangeStoreData":{"7af2b78c":{"guid":"7af2b78c","dimension":3,"member":718955783412252672,"filter":5,"referenceGlobalVariable":false,"globalVaribleId":"00000000-0000-0000-0000-000000000000","globalVaribleSnowflake":-1,"referenceFormVariable":false,"formVaribleId":"00000000-0000-0000-0000-000000000000","sorted":true,"dynamicExpression":null,"DynamicExpressionObject":null,"staticPageMembers":null},"31c2b3f0":{"guid":"31c2b3f0","dimension":3,"member":718955783458390017,"filter":5,"referenceGlobalVariable":false,"globalVaribleId":"00000000-0000-0000-0000-000000000000","globalVaribleSnowflake":-1,"referenceFormVariable":false,"formVaribleId":"00000000-0000-0000-0000-000000000000","sorted":true,"dynamicExpression":null,"DynamicExpressionObject":null,"staticPageMembers":null},"e5895445":{"guid":"e5895445","dimension":3,"member":718955783454195712,"filter":5,"referenceGlobalVariable":false,"globalVaribleId":"00000000-0000-0000-0000-000000000000","globalVaribleSnowflake":-1,"referenceFormVariable":false,"formVaribleId":"00000000-0000-0000-0000-000000000000","sorted":true,"dynamicExpression":null,"DynamicExpressionObject":null,"staticPageMembers":null},"ca9762f6":{"guid":"ca9762f6","dimension":3,"member":718955783450001409,"filter":5,"referenceGlobalVariable":false,"globalVaribleId":"00000000-0000-0000-0000-000000000000","globalVaribleSnowflake":-1,"referenceFormVariable":false,"formVaribleId":"00000000-0000-0000-0000-000000000000","sorted":true,"dynamicExpression":null,"DynamicExpressionObject":null,"staticPageMembers":null},"99b26d84":{"guid":"99b26d84","dimension":3,"member":718955783458390019,"filter":5,"referenceGlobalVariable":false,"globalVaribleId":"00000000-0000-0000-0000-000000000000","globalVaribleSnowflake":-1,"referenceFormVariable":false,"formVaribleId":"00000000-0000-0000-0000-000000000000","sorted":true,"dynamicExpression":null,"DynamicExpressionObject":null,"staticPageMembers":null},"ba48134c":{"guid":"ba48134c","dimension":3,"member":718955783462584321,"filter":5,"referenceGlobalVariable":false,"globalVaribleId":"00000000-0000-0000-0000-000000000000","globalVaribleSnowflake":-1,"referenceFormVariable":false,"formVaribleId":"00000000-0000-0000-0000-000000000000","sorted":true,"dynamicExpression":null,"DynamicExpressionObject":null,"staticPageMembers":null},"6c2f193e":{"guid":"6c2f193e","dimension":3,"member":718955783466778625,"filter":5,"referenceGlobalVariable":false,"globalVaribleId":"00000000-0000-0000-0000-000000000000","globalVaribleSnowflake":-1,"referenceFormVariable":false,"formVaribleId":"00000000-0000-0000-0000-000000000000","sorted":true,"dynamicExpression":null,"DynamicExpressionObject":null,"staticPageMembers":null},"90d5ac30":{"guid":"90d5ac30","dimension":3,"member":718955783466778638,"filter":5,"referenceGlobalVariable":false,"globalVaribleId":"00000000-0000-0000-0000-000000000000","globalVaribleSnowflake":-1,"referenceFormVariable":false,"formVaribleId":"00000000-0000-0000-0000-000000000000","sorted":true,"dynamicExpression":null,"DynamicExpressionObject":null,"staticPageMembers":null},"306b4125":{"guid":"306b4125","dimension":3,"member":718955783470972929,"filter":5,"referenceGlobalVariable":false,"globalVaribleId":"00000000-0000-0000-0000-000000000000","globalVaribleSnowflake":-1,"referenceFormVariable":false,"formVaribleId":"00000000-0000-0000-0000-000000000000","sorted":true,"dynamicExpression":null,"DynamicExpressionObject":null,"staticPageMembers":null},"b66b522c":{"guid":"b66b522c","dimension":3,"member":718955783475167233,"filter":5,"referenceGlobalVariable":false,"globalVaribleId":"00000000-0000-0000-0000-000000000000","globalVaribleSnowflake":-1,"referenceFormVariable":false,"formVaribleId":"00000000-0000-0000-0000-000000000000","sorted":true,"dynamicExpression":null,"DynamicExpressionObject":null,"staticPageMembers":null},"7054dad3":{"guid":"7054dad3","dimension":3,"member":718955783479361537,"filter":5,"referenceGlobalVariable":false,"globalVaribleId":"00000000-0000-0000-0000-000000000000","globalVaribleSnowflake":-1,"referenceFormVariable":false,"formVaribleId":"00000000-0000-0000-0000-000000000000","sorted":true,"dynamicExpression":null,"DynamicExpressionObject":null,"staticPageMembers":null},"fc651ccf":{"guid":"fc651ccf","dimension":3,"member":718955783483555840,"filter":5,"referenceGlobalVariable":false,"globalVaribleId":"00000000-0000-0000-0000-000000000000","globalVaribleSnowflake":-1,"referenceFormVariable":false,"formVaribleId":"00000000-0000-0000-0000-000000000000","sorted":true,"dynamicExpression":null,"DynamicExpressionObject":null,"staticPageMembers":null},"28bbe9d6":{"guid":"28bbe9d6","dimension":3,"member":718955783487750145,"filter":5,"referenceGlobalVariable":false,"globalVaribleId":"00000000-0000-0000-0000-000000000000","globalVaribleSnowflake":-1,"referenceFormVariable":false,"formVaribleId":"00000000-0000-0000-0000-000000000000","sorted":true,"dynamicExpression":null,"DynamicExpressionObject":null,"staticPageMembers":null},"41482e21":{"guid":"41482e21","dimension":3,"member":718955783487750147,"filter":5,"referenceGlobalVariable":false,"globalVaribleId":"00000000-0000-0000-0000-000000000000","globalVaribleSnowflake":-1,"referenceFormVariable":false,"formVaribleId":"00000000-0000-0000-0000-000000000000","sorted":true,"dynamicExpression":null,"DynamicExpressionObject":null,"staticPageMembers":null},"63742b08":{"guid":"63742b08","dimension":3,"member":718955783491944449,"filter":5,"referenceGlobalVariable":false,"globalVaribleId":"00000000-0000-0000-0000-000000000000","globalVaribleSnowflake":-1,"referenceFormVariable":false,"formVaribleId":"00000000-0000-0000-0000-000000000000","sorted":true,"dynamicExpression":null,"DynamicExpressionObject":null,"staticPageMembers":null},"71718613":{"guid":"71718613","dimension":3,"member":718955783496138753,"filter":5,"referenceGlobalVariable":false,"globalVaribleId":"00000000-0000-0000-0000-000000000000","globalVaribleSnowflake":-1,"referenceFormVariable":false,"formVaribleId":"00000000-0000-0000-0000-000000000000","sorted":true,"dynamicExpression":null,"DynamicExpressionObject":null,"staticPageMembers":null},"4235a38":{"guid":"4235a38","dimension":3,"member":718955783496138755,"filter":5,"referenceGlobalVariable":false,"globalVaribleId":"00000000-0000-0000-0000-000000000000","globalVaribleSnowflake":-1,"referenceFormVariable":false,"formVaribleId":"00000000-0000-0000-0000-000000000000","sorted":true,"dynamicExpression":null,"DynamicExpressionObject":null,"staticPageMembers":null},"b359501":{"guid":"b359501","dimension":3,"member":718955783500333057,"filter":5,"referenceGlobalVariable":false,"globalVaribleId":"00000000-0000-0000-0000-000000000000","globalVaribleSnowflake":-1,"referenceFormVariable":false,"formVaribleId":"00000000-0000-0000-0000-000000000000","sorted":true,"dynamicExpression":null,"DynamicExpressionObject":null,"staticPageMembers":null},"83fbd2a7":{"guid":"83fbd2a7","dimension":3,"member":718955783504527361,"filter":5,"referenceGlobalVariable":false,"globalVaribleId":"00000000-0000-0000-0000-000000000000","globalVaribleSnowflake":-1,"referenceFormVariable":false,"formVaribleId":"00000000-0000-0000-0000-000000000000","sorted":true,"dynamicExpression":null,"DynamicExpressionObject":null,"staticPageMembers":null},"6cb6327":{"guid":"6cb6327","dimension":3,"member":718955783508721665,"filter":5,"referenceGlobalVariable":false,"globalVaribleId":"00000000-0000-0000-0000-000000000000","globalVaribleSnowflake":-1,"referenceFormVariable":false,"formVaribleId":"00000000-0000-0000-0000-000000000000","sorted":true,"dynamicExpression":null,"DynamicExpressionObject":null,"staticPageMembers":null},"9dbc3d7b":{"guid":"9dbc3d7b","dimension":3,"member":718955783508721667,"filter":5,"referenceGlobalVariable":false,"globalVaribleId":"00000000-0000-0000-0000-000000000000","globalVaribleSnowflake":-1,"referenceFormVariable":false,"formVaribleId":"00000000-0000-0000-0000-000000000000","sorted":true,"dynamicExpression":null,"DynamicExpressionObject":null,"staticPageMembers":null},"94d8432c":{"guid":"94d8432c","dimension":3,"member":718955783512915969,"filter":5,"referenceGlobalVariable":false,"globalVaribleId":"00000000-0000-0000-0000-000000000000","globalVaribleSnowflake":-1,"referenceFormVariable":false,"formVaribleId":"00000000-0000-0000-0000-000000000000","sorted":true,"dynamicExpression":null,"DynamicExpressionObject":null,"staticPageMembers":null},"37716b4":{"guid":"37716b4","dimension":3,"member":718955783517110273,"filter":5,"referenceGlobalVariable":false,"globalVaribleId":"00000000-0000-0000-0000-000000000000","globalVaribleSnowflake":-1,"referenceFormVariable":false,"formVaribleId":"00000000-0000-0000-0000-000000000000","sorted":true,"dynamicExpression":null,"DynamicExpressionObject":null,"staticPageMembers":null},"1cc39456":{"guid":"1cc39456","dimension":3,"member":718955783521304577,"filter":5,"referenceGlobalVariable":false,"globalVaribleId":"00000000-0000-0000-0000-000000000000","globalVaribleSnowflake":-1,"referenceFormVariable":false,"formVaribleId":"00000000-0000-0000-0000-000000000000","sorted":true,"dynamicExpression":null,"DynamicExpressionObject":null,"staticPageMembers":null},"d4e1fb0d":{"guid":"d4e1fb0d","dimension":3,"member":718955783525498881,"filter":5,"referenceGlobalVariable":false,"globalVaribleId":"00000000-0000-0000-0000-000000000000","globalVaribleSnowflake":-1,"referenceFormVariable":false,"formVaribleId":"00000000-0000-0000-0000-000000000000","sorted":true,"dynamicExpression":null,"DynamicExpressionObject":null,"staticPageMembers":null},"265c482c":{"guid":"265c482c","dimension":3,"member":718955783525498883,"filter":5,"referenceGlobalVariable":false,"globalVaribleId":"00000000-0000-0000-0000-000000000000","globalVaribleSnowflake":-1,"referenceFormVariable":false,"formVaribleId":"00000000-0000-0000-0000-000000000000","sorted":true,"dynamicExpression":null,"DynamicExpressionObject":null,"staticPageMembers":null},"80216a58":{"guid":"80216a58","dimension":3,"member":718955783529693185,"filter":5,"referenceGlobalVariable":false,"globalVaribleId":"00000000-0000-0000-0000-000000000000","globalVaribleSnowflake":-1,"referenceFormVariable":false,"formVaribleId":"00000000-0000-0000-0000-000000000000","sorted":true,"dynamicExpression":null,"DynamicExpressionObject":null,"staticPageMembers":null},"183a5d0f":{"guid":"183a5d0f","dimension":3,"member":718955783533887489,"filter":5,"referenceGlobalVariable":false,"globalVaribleId":"00000000-0000-0000-0000-000000000000","globalVaribleSnowflake":-1,"referenceFormVariable":false,"formVaribleId":"00000000-0000-0000-0000-000000000000","sorted":true,"dynamicExpression":null,"DynamicExpressionObject":null,"staticPageMembers":null},"d55acb59":{"guid":"d55acb59","dimension":3,"member":718955783533887491,"filter":5,"referenceGlobalVariable":false,"globalVaribleId":"00000000-0000-0000-0000-000000000000","globalVaribleSnowflake":-1,"referenceFormVariable":false,"formVaribleId":"00000000-0000-0000-0000-000000000000","sorted":true,"dynamicExpression":null,"DynamicExpressionObject":null,"staticPageMembers":null},"a20f3d4f":{"guid":"a20f3d4f","dimension":3,"member":718955783429029889,"filter":5,"referenceGlobalVariable":false,"globalVaribleId":"00000000-0000-0000-0000-000000000000","globalVaribleSnowflake":-1,"referenceFormVariable":false,"formVaribleId":"00000000-0000-0000-0000-000000000000","sorted":true,"dynamicExpression":null,"DynamicExpressionObject":null,"staticPageMembers":null},"c49935c7":{"guid":"c49935c7","dimension":3,"member":718955783433224193,"filter":5,"referenceGlobalVariable":false,"globalVaribleId":"00000000-0000-0000-0000-000000000000","globalVaribleSnowflake":-1,"referenceFormVariable":false,"formVaribleId":"00000000-0000-0000-0000-000000000000","sorted":true,"dynamicExpression":null,"DynamicExpressionObject":null,"staticPageMembers":null},"8de5a235":{"guid":"8de5a235","dimension":3,"member":718955783437418497,"filter":5,"referenceGlobalVariable":false,"globalVaribleId":"00000000-0000-0000-0000-000000000000","globalVaribleSnowflake":-1,"referenceFormVariable":false,"formVaribleId":"00000000-0000-0000-0000-000000000000","sorted":true,"dynamicExpression":null,"DynamicExpressionObject":null,"staticPageMembers":null},"c182ae31":{"guid":"c182ae31","dimension":3,"member":718955783441612801,"filter":5,"referenceGlobalVariable":false,"globalVaribleId":"00000000-0000-0000-0000-000000000000","globalVaribleSnowflake":-1,"referenceFormVariable":false,"formVaribleId":"00000000-0000-0000-0000-000000000000","sorted":true,"dynamicExpression":null,"DynamicExpressionObject":null,"staticPageMembers":null},"334d2cd1":{"guid":"334d2cd1","dimension":3,"member":718955783445807105,"filter":5,"referenceGlobalVariable":false,"globalVaribleId":"00000000-0000-0000-0000-000000000000","globalVaribleSnowflake":-1,"referenceFormVariable":false,"formVaribleId":"00000000-0000-0000-0000-000000000000","sorted":true,"dynamicExpression":null,"DynamicExpressionObject":null,"staticPageMembers":null},"25ef9d23":{"guid":"25ef9d23","dimension":3,"member":718955783416446977,"filter":5,"referenceGlobalVariable":false,"globalVaribleId":"00000000-0000-0000-0000-000000000000","globalVaribleSnowflake":-1,"referenceFormVariable":false,"formVaribleId":"00000000-0000-0000-0000-000000000000","sorted":true,"dynamicExpression":null,"DynamicExpressionObject":null,"staticPageMembers":null},"47da86a8":{"guid":"47da86a8","dimension":3,"member":718955783420641281,"filter":5,"referenceGlobalVariable":false,"globalVaribleId":"00000000-0000-0000-0000-000000000000","globalVaribleSnowflake":-1,"referenceFormVariable":false,"formVaribleId":"00000000-0000-0000-0000-000000000000","sorted":true,"dynamicExpression":null,"DynamicExpressionObject":null,"staticPageMembers":null},"9b1becb2":{"guid":"9b1becb2","dimension":3,"member":718955783424835585,"filter":5,"referenceGlobalVariable":false,"globalVaribleId":"00000000-0000-0000-0000-000000000000","globalVaribleSnowflake":-1,"referenceFormVariable":false,"formVaribleId":"00000000-0000-0000-0000-000000000000","sorted":true,"dynamicExpression":null,"DynamicExpressionObject":null,"staticPageMembers":null},"f8b5799c":{"guid":"f8b5799c","dimension":3,"member":718947653489000451,"filter":5,"referenceGlobalVariable":false,"globalVaribleId":"00000000-0000-0000-0000-000000000000","globalVaribleSnowflake":-1,"referenceFormVariable":false,"formVaribleId":"00000000-0000-0000-0000-000000000000","sorted":true,"dynamicExpression":null,"DynamicExpressionObject":null,"staticPageMembers":null},"3e6c8fc6":{"guid":"3e6c8fc6","dimension":3,"member":718949528779096065,"filter":5,"referenceGlobalVariable":false,"globalVaribleId":"00000000-0000-0000-0000-000000000000","globalVaribleSnowflake":-1,"referenceFormVariable":false,"formVaribleId":"00000000-0000-0000-0000-000000000000","sorted":true,"dynamicExpression":null,"DynamicExpressionObject":null,"staticPageMembers":null},"575fcc0f":{"guid":"575fcc0f","dimension":3,"member":718949528795873280,"filter":5,"referenceGlobalVariable":false,"globalVaribleId":"00000000-0000-0000-0000-000000000000","globalVaribleSnowflake":-1,"referenceFormVariable":false,"formVaribleId":"00000000-0000-0000-0000-000000000000","sorted":true,"dynamicExpression":null,"DynamicExpressionObject":null,"staticPageMembers":null},"ef97b077":{"guid":"ef97b077","dimension":3,"member":718949528787484672,"filter":5,"referenceGlobalVariable":false,"globalVaribleId":"00000000-0000-0000-0000-000000000000","globalVaribleSnowflake":-1,"referenceFormVariable":false,"formVaribleId":"00000000-0000-0000-0000-000000000000","sorted":true,"dynamicExpression":null,"DynamicExpressionObject":null,"staticPageMembers":null},"73e5a69c":{"guid":"73e5a69c","dimension":3,"member":718949528808456192,"filter":5,"referenceGlobalVariable":false,"globalVaribleId":"00000000-0000-0000-0000-000000000000","globalVaribleSnowflake":-1,"referenceFormVariable":false,"formVaribleId":"00000000-0000-0000-0000-000000000000","sorted":true,"dynamicExpression":null,"DynamicExpressionObject":null,"staticPageMembers":null},"93d18bb6":{"guid":"93d18bb6","dimension":3,"member":718949528800067585,"filter":5,"referenceGlobalVariable":false,"globalVaribleId":"00000000-0000-0000-0000-000000000000","globalVaribleSnowflake":-1,"referenceFormVariable":false,"formVaribleId":"00000000-0000-0000-0000-000000000000","sorted":true,"dynamicExpression":null,"DynamicExpressionObject":null,"staticPageMembers":null},"d930880":{"guid":"d930880","dimension":3,"member":718949528770707456,"filter":5,"referenceGlobalVariable":false,"globalVaribleId":"00000000-0000-0000-0000-000000000000","globalVaribleSnowflake":-1,"referenceFormVariable":false,"formVaribleId":"00000000-0000-0000-0000-000000000000","sorted":true,"dynamicExpression":null,"DynamicExpressionObject":null,"staticPageMembers":null},"a479d30a":{"guid":"a479d30a","dimension":3,"member":718949528774901761,"filter":5,"referenceGlobalVariable":false,"globalVaribleId":"00000000-0000-0000-0000-000000000000","globalVaribleSnowflake":-1,"referenceFormVariable":false,"formVaribleId":"00000000-0000-0000-0000-000000000000","sorted":true,"dynamicExpression":null,"DynamicExpressionObject":null,"staticPageMembers":null},"764b2148":{"guid":"764b2148","dimension":3,"member":718949528774901763,"filter":5,"referenceGlobalVariable":false,"globalVaribleId":"00000000-0000-0000-0000-000000000000","globalVaribleSnowflake":-1,"referenceFormVariable":false,"formVaribleId":"00000000-0000-0000-0000-000000000000","sorted":true,"dynamicExpression":null,"DynamicExpressionObject":null,"staticPageMembers":null}},"FormVariables":{"GroupMembers":{},"Groups":{"18833718-d165-4aad-bc8e-26067c178bd5":{"Name":"*fvJaar","DynamicMemberType":6,"DynamicMatchField":3,"DynamicMemberDimensionId":1,"DynamicMemberDimensionMemberId":718945599621693440,"DataModelId":717815505662246912,"Id":"18833718-d165-4aad-bc8e-26067c178bd5"},"a29e5bcf-45ca-496d-a883-3af34d35696d":{"Name":"*fvPeriode","DynamicMemberType":6,"DynamicMatchField":3,"DynamicMemberDimensionId":2,"DynamicMemberDimensionMemberId":718947118358200320,"DataModelId":717815505662246912,"Id":"a29e5bcf-45ca-496d-a883-3af34d35696d"},"948b600b-deae-4397-ad4d-6b11d986fa63":{"Name":"*fvNiveau","DynamicMemberType":6,"DynamicMatchField":3,"DynamicMemberDimensionId":3,"DynamicMemberDimensionMemberId":718947653484806146,"DataModelId":717815505662246912,"Id":"948b600b-deae-4397-ad4d-6b11d986fa63"},"4f9b9429-8ee7-4bf7-a866-3f60c97a5de2":{"Name":"*fvRun","DynamicMemberType":6,"DynamicMatchField":3,"DynamicMemberDimensionId":4,"DynamicMemberDimensionMemberId":718947118500806657,"DataModelId":717815505662246912,"Id":"4f9b9429-8ee7-4bf7-a866-3f60c97a5de2"},"5d39d271-4385-4b42-aac3-e80e185356a2":{"Name":"*fvScenario","DynamicMemberType":6,"DynamicMatchField":3,"DynamicMemberDimensionId":5,"DynamicMemberDimensionMemberId":720741147862761472,"DataModelId":717815505662246912,"Id":"5d39d271-4385-4b42-aac3-e80e185356a2"},"69a604c5-e0cf-4574-ab3d-200c07fe24fc":{"Name":"*fvVariabele","DynamicMemberType":6,"DynamicMatchField":3,"DynamicMemberDimensionId":6,"DynamicMemberDimensionMemberId":720393359572074496,"DataModelId":717815505662246912,"Id":"69a604c5-e0cf-4574-ab3d-200c07fe24fc"},"1c926f2e-b428-4371-8b34-ab07fff943da":{"Name":"*fvProjectie","DynamicMemberType":6,"DynamicMatchField":3,"DynamicMemberDimensionId":7,"DynamicMemberDimensionMemberId":718947119138340867,"DataModelId":717815505662246912,"Id":"1c926f2e-b428-4371-8b34-ab07fff943da"}}},"LoadedDataModels":[717815505662246912],"DefaultDataModel":null,"DynamicBindingStoreDataList":{"BindList":[]},"LineItemEnabledSectionBlockPairs":null,"LineItemDetailsRowMap":{},"VenaWorkbookSettings":{"PerBlockRefreshNodes":{},"FullRefreshAfterPerBlockList":false,"LoadedSuccessfully":true,"FastChooseEnabled":false,"FastFormulaScanEnabled":false,"CheckProtectedOverride":false,"RibbonButtonMap":{"WorkOffline":{"TagId":"WorkOffline","ManagerHidden":false,"ContributorHidden":false},"Cascade":{"TagId":"Cascade","ManagerHidden":false,"ContributorHidden":false},"InsertLID":{"TagId":"InsertLID","ManagerHidden":false,"ContributorHidden":false},"RemoveLID":{"TagId":"RemoveLID","ManagerHidden":false,"ContributorHidden":false},"MultiInsertLID":{"TagId":"MultiInsertLID","ManagerHidden":false,"ContributorHidden":false},"SelectLID":{"TagId":"SelectLID","ManagerHidden":false,"ContributorHidden":false},"MoveLID":{"TagId":"MoveLID","ManagerHidden":false,"ContributorHidden":false},"DrillMenu":{"TagId":"DrillMenu","ManagerHidden":false,"ContributorHidden":false},"AuditTrail":{"TagId":"AuditTrail","ManagerHidden":false,"ContributorHidden":false},"Comments":{"TagId":"Comments","ManagerHidden":false,"ContributorHidden":false},"IntersectionFiles":{"TagId":"IntersectionFiles","ManagerHidden":false,"ContributorHidden":false},"MyFunctions":{"TagId":"MyFunctions","ManagerHidden":false,"ContributorHidden":false},"KeyInfo":{"TagId":"KeyInfo","ManagerHidden":false,"ContributorHidden":false},"ZoomOut":{"TagId":"ZoomOut","ManagerHidden":false,"ContributorHidden":false},"ZoomIn":{"TagId":"ZoomIn","ManagerHidden":false,"ContributorHidden":false}},"RibbonButtons":[{"TagId":"WorkOffline","ManagerHidden":false,"ContributorHidden":false},{"TagId":"Cascade","ManagerHidden":false,"ContributorHidden":false},{"TagId":"InsertLID","ManagerHidden":false,"ContributorHidden":false},{"TagId":"RemoveLID","ManagerHidden":false,"ContributorHidden":false},{"TagId":"MultiInsertLID","ManagerHidden":false,"ContributorHidden":false},{"TagId":"SelectLID","ManagerHidden":false,"ContributorHidden":false},{"TagId":"MoveLID","ManagerHidden":false,"ContributorHidden":false},{"TagId":"DrillMenu","ManagerHidden":false,"ContributorHidden":false},{"TagId":"AuditTrail","ManagerHidden":false,"ContributorHidden":false},{"TagId":"Comments","ManagerHidden":false,"ContributorHidden":false},{"TagId":"IntersectionFiles","ManagerHidden":false,"ContributorHidden":false},{"TagId":"MyFunctions","ManagerHidden":false,"ContributorHidden":false},{"TagId":"KeyInfo","ManagerHidden":false,"ContributorHidden":false},{"TagId":"ZoomOut","ManagerHidden":false,"ContributorHidden":false},{"TagId":"ZoomIn","ManagerHidden":false,"ContributorHidden":false}],"DisableClearingBrokenFVIntersections":false,"HideDynamicsOnSaveTemplate":false,"MaximumColumnsBeforeWarning":1000,"MaximumRowsBeforeWarning":10000,"PreventBrokenFVDoubleRefresh":false,"ExternalDataSourceURL":null,"UpdateStaticMappings":false,"UseTextFormatForDrillTransaction":false,"AllowMultiChoose":false,"PreventCellReferenceUpdatesOnCascade":false,"MDRRowInsertSectionName":"Select combination for data entry","CollapseChooseBoxMembers":false,"UISettings":{"ManagerMappingScreenSize":"1000,600","ManagerMappingBlock":null,"ManagerMappingSection":null}},"VenaSqlQueries":null}</venadatastore>
</file>

<file path=customXml/item4.xml><?xml version="1.0" encoding="utf-8"?>
<venadatastore xmlns="http://venasolutions.com/VenaSPMAddin/ServerSideBlobV2"/>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xml version="1.0" encoding="utf-8"?>
<venadatastore xmlns="http://venasolutions.com/VenaSPMAddin/VenaWorkbookProperties">{"LoadedSuccessfully":false,"ConnectionContext":null,"Replay":false,"OfflineGuid":"00000000-0000-0000-0000-000000000000","ServiceUrl":null,"WorkbookIsOffline":false,"DocPropertiesJson":null,"Filename":null,"WP":null,"Subdomain":null}</venadatastore>
</file>

<file path=customXml/item7.xml><?xml version="1.0" encoding="utf-8"?>
<?mso-contentType ?>
<FormTemplates xmlns="http://schemas.microsoft.com/sharepoint/v3/contenttype/forms">
  <Display>DocumentLibraryForm</Display>
  <Edit>DocumentLibraryForm</Edit>
  <New>DocumentLibraryForm</New>
</FormTemplates>
</file>

<file path=customXml/item8.xml><?xml version="1.0" encoding="utf-8"?>
<ct:contentTypeSchema xmlns:ct="http://schemas.microsoft.com/office/2006/metadata/contentType" xmlns:ma="http://schemas.microsoft.com/office/2006/metadata/properties/metaAttributes" ct:_="" ma:_="" ma:contentTypeName="Document" ma:contentTypeID="0x01010039E2C7A683396D4CBDFAB91B33EC65D2" ma:contentTypeVersion="9" ma:contentTypeDescription="Create a new document." ma:contentTypeScope="" ma:versionID="35cb72708c7626efd383ff3f1891bbcf">
  <xsd:schema xmlns:xsd="http://www.w3.org/2001/XMLSchema" xmlns:xs="http://www.w3.org/2001/XMLSchema" xmlns:p="http://schemas.microsoft.com/office/2006/metadata/properties" xmlns:ns2="746818e7-171f-43cb-99a4-4b35303167b0" xmlns:ns3="bf8e6a59-8887-400e-bd32-f41b965d62ae" targetNamespace="http://schemas.microsoft.com/office/2006/metadata/properties" ma:root="true" ma:fieldsID="c1230978bea52b3333a3058cb1274a2a" ns2:_="" ns3:_="">
    <xsd:import namespace="746818e7-171f-43cb-99a4-4b35303167b0"/>
    <xsd:import namespace="bf8e6a59-8887-400e-bd32-f41b965d62a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6818e7-171f-43cb-99a4-4b35303167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f8e6a59-8887-400e-bd32-f41b965d62ae"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xml version="1.0" encoding="utf-8"?>
<venadatastore xmlns="http://venasolutions.com/VenaSPMAddin/DataModelSectionStore_V1">{"Selectie":{"Id":717815505662246912,"Name":"ECAP Dev"},"InputHandinvoer1":{"Id":717815505662246912,"Name":"ECAP Dev"},"InputHandinvoer2":{"Id":717815505662246912,"Name":"ECAP Dev"},"InputModelpuntInfo":{"Id":717815505662246912,"Name":"ECAP Dev"},"InputModelpuntInfo1":{"Id":717815505662246912,"Name":"_ECAP_Dev"},"InputModelpuntInfo2":{"Id":717815505662246912,"Name":"_ECAP_Dev"},"ControleActueleMPs":{"Id":717815505662246912,"Name":"_ECAP_Dev"},"ControleIndelingHRG":{"Id":717815505662246912,"Name":"_ECAP_Dev"},"ControleIndelingPLNomUL":{"Id":717815505662246912,"Name":"_ECAP_Dev"},"ControleIndelingPL":{"Id":717815505662246912,"Name":"_ECAP_Dev"},"ControleIndelingEPR":{"Id":717815505662246912,"Name":"_ECAP_Dev"},"ControleIndelingQRTSub":{"Id":717815505662246912,"Name":"_ECAP_Dev"},"ControleIndelingQRT":{"Id":717815505662246912,"Name":"_ECAP_Dev"}}</venadatastore>
</file>

<file path=customXml/itemProps1.xml><?xml version="1.0" encoding="utf-8"?>
<ds:datastoreItem xmlns:ds="http://schemas.openxmlformats.org/officeDocument/2006/customXml" ds:itemID="{9E77A786-C51B-4EE1-B385-EC74D449DE25}">
  <ds:schemaRefs>
    <ds:schemaRef ds:uri="http://venasolutions.com/VenaSPMAddin/ExcelCustomMultiDynamicCollectionStore_V1"/>
  </ds:schemaRefs>
</ds:datastoreItem>
</file>

<file path=customXml/itemProps2.xml><?xml version="1.0" encoding="utf-8"?>
<ds:datastoreItem xmlns:ds="http://schemas.openxmlformats.org/officeDocument/2006/customXml" ds:itemID="{B93F6CAE-A1F7-41CD-AC7E-113A9030D46A}">
  <ds:schemaRefs>
    <ds:schemaRef ds:uri="http://venasolutions.com/VenaTemplate/SolutionPackageMetadata/V1"/>
  </ds:schemaRefs>
</ds:datastoreItem>
</file>

<file path=customXml/itemProps3.xml><?xml version="1.0" encoding="utf-8"?>
<ds:datastoreItem xmlns:ds="http://schemas.openxmlformats.org/officeDocument/2006/customXml" ds:itemID="{107255D0-8CFE-487A-9B59-825DB2970407}">
  <ds:schemaRefs>
    <ds:schemaRef ds:uri="http://venasolutions.com/VenaSPMAddin/ServerSideBlobV1"/>
  </ds:schemaRefs>
</ds:datastoreItem>
</file>

<file path=customXml/itemProps4.xml><?xml version="1.0" encoding="utf-8"?>
<ds:datastoreItem xmlns:ds="http://schemas.openxmlformats.org/officeDocument/2006/customXml" ds:itemID="{59D1FFC9-BA23-4E14-8E56-DD7FC1642E15}">
  <ds:schemaRefs>
    <ds:schemaRef ds:uri="http://venasolutions.com/VenaSPMAddin/ServerSideBlobV2"/>
  </ds:schemaRefs>
</ds:datastoreItem>
</file>

<file path=customXml/itemProps5.xml><?xml version="1.0" encoding="utf-8"?>
<ds:datastoreItem xmlns:ds="http://schemas.openxmlformats.org/officeDocument/2006/customXml" ds:itemID="{EE3F7709-5EB6-4453-AF8C-9F7D54635C75}">
  <ds:schemaRefs>
    <ds:schemaRef ds:uri="http://schemas.microsoft.com/office/2006/metadata/properties"/>
    <ds:schemaRef ds:uri="http://schemas.microsoft.com/office/infopath/2007/PartnerControls"/>
  </ds:schemaRefs>
</ds:datastoreItem>
</file>

<file path=customXml/itemProps6.xml><?xml version="1.0" encoding="utf-8"?>
<ds:datastoreItem xmlns:ds="http://schemas.openxmlformats.org/officeDocument/2006/customXml" ds:itemID="{018A6DEE-CEBB-4988-B0C0-7F99E15911D8}">
  <ds:schemaRefs>
    <ds:schemaRef ds:uri="http://venasolutions.com/VenaSPMAddin/VenaWorkbookProperties"/>
  </ds:schemaRefs>
</ds:datastoreItem>
</file>

<file path=customXml/itemProps7.xml><?xml version="1.0" encoding="utf-8"?>
<ds:datastoreItem xmlns:ds="http://schemas.openxmlformats.org/officeDocument/2006/customXml" ds:itemID="{15061EB3-70FE-457F-981A-FE80D6786371}">
  <ds:schemaRefs>
    <ds:schemaRef ds:uri="http://schemas.microsoft.com/sharepoint/v3/contenttype/forms"/>
  </ds:schemaRefs>
</ds:datastoreItem>
</file>

<file path=customXml/itemProps8.xml><?xml version="1.0" encoding="utf-8"?>
<ds:datastoreItem xmlns:ds="http://schemas.openxmlformats.org/officeDocument/2006/customXml" ds:itemID="{340E2797-91E0-47D8-908F-E8E6C621F7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6818e7-171f-43cb-99a4-4b35303167b0"/>
    <ds:schemaRef ds:uri="bf8e6a59-8887-400e-bd32-f41b965d62a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AD1E5381-F864-45A9-96F9-370414B3F587}">
  <ds:schemaRefs>
    <ds:schemaRef ds:uri="http://venasolutions.com/VenaSPMAddin/DataModelSectionStore_V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19</vt:i4>
      </vt:variant>
      <vt:variant>
        <vt:lpstr>Benoemde bereiken</vt:lpstr>
      </vt:variant>
      <vt:variant>
        <vt:i4>4343</vt:i4>
      </vt:variant>
    </vt:vector>
  </HeadingPairs>
  <TitlesOfParts>
    <vt:vector size="4362" baseType="lpstr">
      <vt:lpstr>Voorblad</vt:lpstr>
      <vt:lpstr>Toelichting</vt:lpstr>
      <vt:lpstr>Versiebeheer</vt:lpstr>
      <vt:lpstr>Selectie</vt:lpstr>
      <vt:lpstr>Invoer</vt:lpstr>
      <vt:lpstr>MP Controle Recap</vt:lpstr>
      <vt:lpstr>ModelpuntInfo</vt:lpstr>
      <vt:lpstr>Controle aanwezigheid MP</vt:lpstr>
      <vt:lpstr>Controle Indeling HRG</vt:lpstr>
      <vt:lpstr>Controle Indeling PLNomUL</vt:lpstr>
      <vt:lpstr>Controle Indeling Productlijn</vt:lpstr>
      <vt:lpstr>Controle Indeling EPR</vt:lpstr>
      <vt:lpstr>Controle Indeling QRT Subniveau</vt:lpstr>
      <vt:lpstr>Controle Indeling QRT Niveau</vt:lpstr>
      <vt:lpstr>LoC Recap</vt:lpstr>
      <vt:lpstr>ModelpuntenInfoOSM</vt:lpstr>
      <vt:lpstr>LoC ModelpuntenInfoOSM</vt:lpstr>
      <vt:lpstr>Overview MP Life</vt:lpstr>
      <vt:lpstr>LoC Overview MP Life</vt:lpstr>
      <vt:lpstr>_vena_ControleIndelingEPR_B1_C_FV_18833718d1654aadbc8e26067c178bd5</vt:lpstr>
      <vt:lpstr>_vena_ControleIndelingEPR_B1_C_FV_a29e5bcf45ca496da8833af34d35696d</vt:lpstr>
      <vt:lpstr>_vena_ControleIndelingEPR_B1_R_3_718947653497389058</vt:lpstr>
      <vt:lpstr>_vena_ControleIndelingEPR_B1_R_3_718947653505777666</vt:lpstr>
      <vt:lpstr>_vena_ControleIndelingEPR_B1_R_3_718947653509971971</vt:lpstr>
      <vt:lpstr>_vena_ControleIndelingEPR_B1_R_3_738101868229296142</vt:lpstr>
      <vt:lpstr>_vena_ControleIndelingEPR_B1_R_3_741036978375884803</vt:lpstr>
      <vt:lpstr>_vena_ControleIndelingEPR_B1_R_3_848292094858231812</vt:lpstr>
      <vt:lpstr>_vena_ControleIndelingEPR_P_4_718931129058590721</vt:lpstr>
      <vt:lpstr>_vena_ControleIndelingEPR_P_5_718931142656917509</vt:lpstr>
      <vt:lpstr>_vena_ControleIndelingEPR_P_6_730565783391305729</vt:lpstr>
      <vt:lpstr>_vena_ControleIndelingEPR_P_7_720673044374355968</vt:lpstr>
      <vt:lpstr>_vena_ControleIndelingHRG_B1_C_FV_18833718d1654aadbc8e26067c178bd5</vt:lpstr>
      <vt:lpstr>_vena_ControleIndelingHRG_B1_C_FV_a29e5bcf45ca496da8833af34d35696d</vt:lpstr>
      <vt:lpstr>_vena_ControleIndelingHRG_B1_R_3_1015700822930489354</vt:lpstr>
      <vt:lpstr>_vena_ControleIndelingHRG_B1_R_3_1015700822968238094</vt:lpstr>
      <vt:lpstr>_vena_ControleIndelingHRG_B1_R_3_1051217086871765008</vt:lpstr>
      <vt:lpstr>_vena_ControleIndelingHRG_B1_R_3_718947653497389058</vt:lpstr>
      <vt:lpstr>_vena_ControleIndelingHRG_B1_R_3_718947653505777666</vt:lpstr>
      <vt:lpstr>_vena_ControleIndelingHRG_B1_R_3_718947653509971971</vt:lpstr>
      <vt:lpstr>_vena_ControleIndelingHRG_B1_R_3_718949073356980224</vt:lpstr>
      <vt:lpstr>_vena_ControleIndelingHRG_B1_R_3_718949073365368832</vt:lpstr>
      <vt:lpstr>_vena_ControleIndelingHRG_B1_R_3_718949073369563137</vt:lpstr>
      <vt:lpstr>_vena_ControleIndelingHRG_B1_R_3_718949073373757441</vt:lpstr>
      <vt:lpstr>_vena_ControleIndelingHRG_B1_R_3_718949073373757443</vt:lpstr>
      <vt:lpstr>_vena_ControleIndelingHRG_B1_R_3_718949073377951745</vt:lpstr>
      <vt:lpstr>_vena_ControleIndelingHRG_B1_R_3_718949073382146049</vt:lpstr>
      <vt:lpstr>_vena_ControleIndelingHRG_B1_R_3_718949073382146051</vt:lpstr>
      <vt:lpstr>_vena_ControleIndelingHRG_B1_R_3_718949073386340353</vt:lpstr>
      <vt:lpstr>_vena_ControleIndelingHRG_B1_R_3_718949073390534657</vt:lpstr>
      <vt:lpstr>_vena_ControleIndelingHRG_B1_R_3_718949073394728961</vt:lpstr>
      <vt:lpstr>_vena_ControleIndelingHRG_B1_R_3_718949073394728963</vt:lpstr>
      <vt:lpstr>_vena_ControleIndelingHRG_B1_R_3_718949073398923265</vt:lpstr>
      <vt:lpstr>_vena_ControleIndelingHRG_B1_R_3_718949073403117569</vt:lpstr>
      <vt:lpstr>_vena_ControleIndelingHRG_B1_R_3_718949073407311872</vt:lpstr>
      <vt:lpstr>_vena_ControleIndelingHRG_B1_R_3_718949073411506177</vt:lpstr>
      <vt:lpstr>_vena_ControleIndelingHRG_B1_R_3_718949073415700481</vt:lpstr>
      <vt:lpstr>_vena_ControleIndelingHRG_B1_R_3_718949073415700483</vt:lpstr>
      <vt:lpstr>_vena_ControleIndelingHRG_B1_R_3_718949073419894785</vt:lpstr>
      <vt:lpstr>_vena_ControleIndelingHRG_B1_R_3_718949073424089089</vt:lpstr>
      <vt:lpstr>_vena_ControleIndelingHRG_B1_R_3_718949073424089091</vt:lpstr>
      <vt:lpstr>_vena_ControleIndelingHRG_B1_R_3_718949073428283393</vt:lpstr>
      <vt:lpstr>_vena_ControleIndelingHRG_B1_R_3_718949073432477697</vt:lpstr>
      <vt:lpstr>_vena_ControleIndelingHRG_B1_R_3_718949073432477699</vt:lpstr>
      <vt:lpstr>_vena_ControleIndelingHRG_B1_R_3_718949073436672001</vt:lpstr>
      <vt:lpstr>_vena_ControleIndelingHRG_B1_R_3_718949073440866305</vt:lpstr>
      <vt:lpstr>_vena_ControleIndelingHRG_B1_R_3_718949073440866307</vt:lpstr>
      <vt:lpstr>_vena_ControleIndelingHRG_B1_R_3_718949073445060609</vt:lpstr>
      <vt:lpstr>_vena_ControleIndelingHRG_B1_R_3_718949073449254913</vt:lpstr>
      <vt:lpstr>_vena_ControleIndelingHRG_B1_R_3_718949073453449218</vt:lpstr>
      <vt:lpstr>_vena_ControleIndelingHRG_B1_R_3_718949073457643521</vt:lpstr>
      <vt:lpstr>_vena_ControleIndelingHRG_B1_R_3_718949073457643523</vt:lpstr>
      <vt:lpstr>_vena_ControleIndelingHRG_B1_R_3_718949073461837825</vt:lpstr>
      <vt:lpstr>_vena_ControleIndelingHRG_B1_R_3_718949073466032129</vt:lpstr>
      <vt:lpstr>_vena_ControleIndelingHRG_B1_R_3_718949073466032131</vt:lpstr>
      <vt:lpstr>_vena_ControleIndelingHRG_B1_R_3_718949073470226433</vt:lpstr>
      <vt:lpstr>_vena_ControleIndelingHRG_B1_R_3_718949073474420737</vt:lpstr>
      <vt:lpstr>_vena_ControleIndelingHRG_B1_R_3_718949073478615041</vt:lpstr>
      <vt:lpstr>_vena_ControleIndelingHRG_B1_R_3_718949073478615043</vt:lpstr>
      <vt:lpstr>_vena_ControleIndelingHRG_B1_R_3_718949073482809345</vt:lpstr>
      <vt:lpstr>_vena_ControleIndelingHRG_B1_R_3_718949073487003649</vt:lpstr>
      <vt:lpstr>_vena_ControleIndelingHRG_B1_R_3_718949073487003651</vt:lpstr>
      <vt:lpstr>_vena_ControleIndelingHRG_B1_R_3_718949073491197953</vt:lpstr>
      <vt:lpstr>_vena_ControleIndelingHRG_B1_R_3_718949073499586560</vt:lpstr>
      <vt:lpstr>_vena_ControleIndelingHRG_B1_R_3_718949073499586562</vt:lpstr>
      <vt:lpstr>_vena_ControleIndelingHRG_B1_R_3_718949073503780865</vt:lpstr>
      <vt:lpstr>_vena_ControleIndelingHRG_B1_R_3_718949073507975169</vt:lpstr>
      <vt:lpstr>_vena_ControleIndelingHRG_B1_R_3_718949073507975171</vt:lpstr>
      <vt:lpstr>_vena_ControleIndelingHRG_B1_R_3_718949073512169473</vt:lpstr>
      <vt:lpstr>_vena_ControleIndelingHRG_B1_R_3_718949073516363777</vt:lpstr>
      <vt:lpstr>_vena_ControleIndelingHRG_B1_R_3_718949073520558081</vt:lpstr>
      <vt:lpstr>_vena_ControleIndelingHRG_B1_R_3_718949073520558083</vt:lpstr>
      <vt:lpstr>_vena_ControleIndelingHRG_B1_R_3_718949073524752385</vt:lpstr>
      <vt:lpstr>_vena_ControleIndelingHRG_B1_R_3_718949073528946689</vt:lpstr>
      <vt:lpstr>_vena_ControleIndelingHRG_B1_R_3_718949073528946691</vt:lpstr>
      <vt:lpstr>_vena_ControleIndelingHRG_B1_R_3_718949073533140993</vt:lpstr>
      <vt:lpstr>_vena_ControleIndelingHRG_B1_R_3_718949073537335297</vt:lpstr>
      <vt:lpstr>_vena_ControleIndelingHRG_B1_R_3_718949073537335299</vt:lpstr>
      <vt:lpstr>_vena_ControleIndelingHRG_B1_R_3_718949073541529601</vt:lpstr>
      <vt:lpstr>_vena_ControleIndelingHRG_B1_R_3_718949073545723905</vt:lpstr>
      <vt:lpstr>_vena_ControleIndelingHRG_B1_R_3_718949073549918209</vt:lpstr>
      <vt:lpstr>_vena_ControleIndelingHRG_B1_R_3_718949073558306816</vt:lpstr>
      <vt:lpstr>_vena_ControleIndelingHRG_B1_R_3_718949073558306818</vt:lpstr>
      <vt:lpstr>_vena_ControleIndelingHRG_B1_R_3_718949073566695424</vt:lpstr>
      <vt:lpstr>_vena_ControleIndelingHRG_B1_R_3_718949073566695426</vt:lpstr>
      <vt:lpstr>_vena_ControleIndelingHRG_B1_R_3_718949073575084032</vt:lpstr>
      <vt:lpstr>_vena_ControleIndelingHRG_B1_R_3_718949073575084034</vt:lpstr>
      <vt:lpstr>_vena_ControleIndelingHRG_B1_R_3_718949073579278337</vt:lpstr>
      <vt:lpstr>_vena_ControleIndelingHRG_B1_R_3_718949073583472641</vt:lpstr>
      <vt:lpstr>_vena_ControleIndelingHRG_B1_R_3_718949073583472643</vt:lpstr>
      <vt:lpstr>_vena_ControleIndelingHRG_B1_R_3_718949073591861248</vt:lpstr>
      <vt:lpstr>_vena_ControleIndelingHRG_B1_R_3_718949073596055552</vt:lpstr>
      <vt:lpstr>_vena_ControleIndelingHRG_B1_R_3_718949073600249857</vt:lpstr>
      <vt:lpstr>_vena_ControleIndelingHRG_B1_R_3_718949073608638464</vt:lpstr>
      <vt:lpstr>_vena_ControleIndelingHRG_B1_R_3_718949073608638466</vt:lpstr>
      <vt:lpstr>_vena_ControleIndelingHRG_B1_R_3_718949073612832769</vt:lpstr>
      <vt:lpstr>_vena_ControleIndelingHRG_B1_R_3_718949073617027073</vt:lpstr>
      <vt:lpstr>_vena_ControleIndelingHRG_B1_R_3_718949073621221376</vt:lpstr>
      <vt:lpstr>_vena_ControleIndelingHRG_B1_R_3_718949073625415681</vt:lpstr>
      <vt:lpstr>_vena_ControleIndelingHRG_B1_R_3_718949073629609985</vt:lpstr>
      <vt:lpstr>_vena_ControleIndelingHRG_B1_R_3_718949073633804289</vt:lpstr>
      <vt:lpstr>_vena_ControleIndelingHRG_B1_R_3_718949073637998593</vt:lpstr>
      <vt:lpstr>_vena_ControleIndelingHRG_B1_R_3_718949073637998595</vt:lpstr>
      <vt:lpstr>_vena_ControleIndelingHRG_B1_R_3_718949073642192897</vt:lpstr>
      <vt:lpstr>_vena_ControleIndelingHRG_B1_R_3_718949073646387201</vt:lpstr>
      <vt:lpstr>_vena_ControleIndelingHRG_B1_R_3_718949073650581505</vt:lpstr>
      <vt:lpstr>_vena_ControleIndelingHRG_B1_R_3_718949073654775809</vt:lpstr>
      <vt:lpstr>_vena_ControleIndelingHRG_B1_R_3_718949073654775811</vt:lpstr>
      <vt:lpstr>_vena_ControleIndelingHRG_B1_R_3_718949073658970113</vt:lpstr>
      <vt:lpstr>_vena_ControleIndelingHRG_B1_R_3_718949073663164417</vt:lpstr>
      <vt:lpstr>_vena_ControleIndelingHRG_B1_R_3_718949073667358721</vt:lpstr>
      <vt:lpstr>_vena_ControleIndelingHRG_B1_R_3_718949073667358723</vt:lpstr>
      <vt:lpstr>_vena_ControleIndelingHRG_B1_R_3_718949073671553025</vt:lpstr>
      <vt:lpstr>_vena_ControleIndelingHRG_B1_R_3_718949073675747329</vt:lpstr>
      <vt:lpstr>_vena_ControleIndelingHRG_B1_R_3_718949073679941633</vt:lpstr>
      <vt:lpstr>_vena_ControleIndelingHRG_B1_R_3_718949073684135937</vt:lpstr>
      <vt:lpstr>_vena_ControleIndelingHRG_B1_R_3_718949073684135939</vt:lpstr>
      <vt:lpstr>_vena_ControleIndelingHRG_B1_R_3_718949073688330241</vt:lpstr>
      <vt:lpstr>_vena_ControleIndelingHRG_B1_R_3_718949073692524545</vt:lpstr>
      <vt:lpstr>_vena_ControleIndelingHRG_B1_R_3_718949073696718849</vt:lpstr>
      <vt:lpstr>_vena_ControleIndelingHRG_B1_R_3_718949073696718851</vt:lpstr>
      <vt:lpstr>_vena_ControleIndelingHRG_B1_R_3_718949073700913153</vt:lpstr>
      <vt:lpstr>_vena_ControleIndelingHRG_B1_R_3_718949073705107457</vt:lpstr>
      <vt:lpstr>_vena_ControleIndelingHRG_B1_R_3_718949073705107459</vt:lpstr>
      <vt:lpstr>_vena_ControleIndelingHRG_B1_R_3_718949073709301761</vt:lpstr>
      <vt:lpstr>_vena_ControleIndelingHRG_B1_R_3_718949073713496065</vt:lpstr>
      <vt:lpstr>_vena_ControleIndelingHRG_B1_R_3_718949073713496067</vt:lpstr>
      <vt:lpstr>_vena_ControleIndelingHRG_B1_R_3_718949073717690369</vt:lpstr>
      <vt:lpstr>_vena_ControleIndelingHRG_B1_R_3_718949073721884673</vt:lpstr>
      <vt:lpstr>_vena_ControleIndelingHRG_B1_R_3_718949073726078977</vt:lpstr>
      <vt:lpstr>_vena_ControleIndelingHRG_B1_R_3_718949073726078979</vt:lpstr>
      <vt:lpstr>_vena_ControleIndelingHRG_B1_R_3_718949073730273281</vt:lpstr>
      <vt:lpstr>_vena_ControleIndelingHRG_B1_R_3_718949073734467585</vt:lpstr>
      <vt:lpstr>_vena_ControleIndelingHRG_B1_R_3_718949073734467587</vt:lpstr>
      <vt:lpstr>_vena_ControleIndelingHRG_B1_R_3_718949073738661889</vt:lpstr>
      <vt:lpstr>_vena_ControleIndelingHRG_B1_R_3_718949073742856193</vt:lpstr>
      <vt:lpstr>_vena_ControleIndelingHRG_B1_R_3_718949073747050497</vt:lpstr>
      <vt:lpstr>_vena_ControleIndelingHRG_B1_R_3_718949073751244801</vt:lpstr>
      <vt:lpstr>_vena_ControleIndelingHRG_B1_R_3_718949073759633408</vt:lpstr>
      <vt:lpstr>_vena_ControleIndelingHRG_B1_R_3_718949073763827713</vt:lpstr>
      <vt:lpstr>_vena_ControleIndelingHRG_B1_R_3_718949073768022016</vt:lpstr>
      <vt:lpstr>_vena_ControleIndelingHRG_B1_R_3_718949073772216321</vt:lpstr>
      <vt:lpstr>_vena_ControleIndelingHRG_B1_R_3_718949073776410624</vt:lpstr>
      <vt:lpstr>_vena_ControleIndelingHRG_B1_R_3_718949073780604928</vt:lpstr>
      <vt:lpstr>_vena_ControleIndelingHRG_B1_R_3_718949073784799233</vt:lpstr>
      <vt:lpstr>_vena_ControleIndelingHRG_B1_R_3_718949073788993536</vt:lpstr>
      <vt:lpstr>_vena_ControleIndelingHRG_B1_R_3_718949073788993538</vt:lpstr>
      <vt:lpstr>_vena_ControleIndelingHRG_B1_R_3_718949073793187841</vt:lpstr>
      <vt:lpstr>_vena_ControleIndelingHRG_B1_R_3_718949073797382145</vt:lpstr>
      <vt:lpstr>_vena_ControleIndelingHRG_B1_R_3_718949073801576449</vt:lpstr>
      <vt:lpstr>_vena_ControleIndelingHRG_B1_R_3_718949073805770753</vt:lpstr>
      <vt:lpstr>_vena_ControleIndelingHRG_B1_R_3_718949073809965057</vt:lpstr>
      <vt:lpstr>_vena_ControleIndelingHRG_B1_R_3_718949073809965059</vt:lpstr>
      <vt:lpstr>_vena_ControleIndelingHRG_B1_R_3_718949073818353664</vt:lpstr>
      <vt:lpstr>_vena_ControleIndelingHRG_B1_R_3_718949073822547969</vt:lpstr>
      <vt:lpstr>_vena_ControleIndelingHRG_B1_R_3_718949073826742273</vt:lpstr>
      <vt:lpstr>_vena_ControleIndelingHRG_B1_R_3_718949073830936577</vt:lpstr>
      <vt:lpstr>_vena_ControleIndelingHRG_B1_R_3_718949073835130881</vt:lpstr>
      <vt:lpstr>_vena_ControleIndelingHRG_B1_R_3_718949073839325185</vt:lpstr>
      <vt:lpstr>_vena_ControleIndelingHRG_B1_R_3_718949073839325187</vt:lpstr>
      <vt:lpstr>_vena_ControleIndelingHRG_B1_R_3_718949073843519489</vt:lpstr>
      <vt:lpstr>_vena_ControleIndelingHRG_B1_R_3_718949073847713793</vt:lpstr>
      <vt:lpstr>_vena_ControleIndelingHRG_B1_R_3_718949073851908096</vt:lpstr>
      <vt:lpstr>_vena_ControleIndelingHRG_B1_R_3_718949073856102401</vt:lpstr>
      <vt:lpstr>_vena_ControleIndelingHRG_B1_R_3_718949073860296705</vt:lpstr>
      <vt:lpstr>_vena_ControleIndelingHRG_B1_R_3_718949073860296707</vt:lpstr>
      <vt:lpstr>_vena_ControleIndelingHRG_B1_R_3_718949073864491009</vt:lpstr>
      <vt:lpstr>_vena_ControleIndelingHRG_B1_R_3_718949073868685313</vt:lpstr>
      <vt:lpstr>_vena_ControleIndelingHRG_B1_R_3_718949073868685315</vt:lpstr>
      <vt:lpstr>_vena_ControleIndelingHRG_B1_R_3_718949073872879617</vt:lpstr>
      <vt:lpstr>_vena_ControleIndelingHRG_B1_R_3_718949073877073921</vt:lpstr>
      <vt:lpstr>_vena_ControleIndelingHRG_B1_R_3_718949073881268225</vt:lpstr>
      <vt:lpstr>_vena_ControleIndelingHRG_B1_R_3_718949073881268227</vt:lpstr>
      <vt:lpstr>_vena_ControleIndelingHRG_B1_R_3_718949073885462529</vt:lpstr>
      <vt:lpstr>_vena_ControleIndelingHRG_B1_R_3_718949073889656833</vt:lpstr>
      <vt:lpstr>_vena_ControleIndelingHRG_B1_R_3_718949073893851137</vt:lpstr>
      <vt:lpstr>_vena_ControleIndelingHRG_B1_R_3_718949073893851139</vt:lpstr>
      <vt:lpstr>_vena_ControleIndelingHRG_B1_R_3_718949073898045441</vt:lpstr>
      <vt:lpstr>_vena_ControleIndelingHRG_B1_R_3_718949073902239745</vt:lpstr>
      <vt:lpstr>_vena_ControleIndelingHRG_B1_R_3_718949073902239747</vt:lpstr>
      <vt:lpstr>_vena_ControleIndelingHRG_B1_R_3_718949073906434049</vt:lpstr>
      <vt:lpstr>_vena_ControleIndelingHRG_B1_R_3_718949073910628353</vt:lpstr>
      <vt:lpstr>_vena_ControleIndelingHRG_B1_R_3_718949073914822657</vt:lpstr>
      <vt:lpstr>_vena_ControleIndelingHRG_B1_R_3_718949073914822659</vt:lpstr>
      <vt:lpstr>_vena_ControleIndelingHRG_B1_R_3_718949073919016961</vt:lpstr>
      <vt:lpstr>_vena_ControleIndelingHRG_B1_R_3_718949073923211265</vt:lpstr>
      <vt:lpstr>_vena_ControleIndelingHRG_B1_R_3_718949073923211267</vt:lpstr>
      <vt:lpstr>_vena_ControleIndelingHRG_B1_R_3_718949073927405569</vt:lpstr>
      <vt:lpstr>_vena_ControleIndelingHRG_B1_R_3_718949073931599873</vt:lpstr>
      <vt:lpstr>_vena_ControleIndelingHRG_B1_R_3_718949073935794176</vt:lpstr>
      <vt:lpstr>_vena_ControleIndelingHRG_B1_R_3_718949073935794178</vt:lpstr>
      <vt:lpstr>_vena_ControleIndelingHRG_B1_R_3_718949073939988481</vt:lpstr>
      <vt:lpstr>_vena_ControleIndelingHRG_B1_R_3_718949073944182785</vt:lpstr>
      <vt:lpstr>_vena_ControleIndelingHRG_B1_R_3_718949073944182787</vt:lpstr>
      <vt:lpstr>_vena_ControleIndelingHRG_B1_R_3_718949073948377089</vt:lpstr>
      <vt:lpstr>_vena_ControleIndelingHRG_B1_R_3_718949073952571393</vt:lpstr>
      <vt:lpstr>_vena_ControleIndelingHRG_B1_R_3_718949073952571395</vt:lpstr>
      <vt:lpstr>_vena_ControleIndelingHRG_B1_R_3_718949073956765697</vt:lpstr>
      <vt:lpstr>_vena_ControleIndelingHRG_B1_R_3_718949073960960001</vt:lpstr>
      <vt:lpstr>_vena_ControleIndelingHRG_B1_R_3_718949073965154304</vt:lpstr>
      <vt:lpstr>_vena_ControleIndelingHRG_B1_R_3_718949073965154306</vt:lpstr>
      <vt:lpstr>_vena_ControleIndelingHRG_B1_R_3_718949073969348609</vt:lpstr>
      <vt:lpstr>_vena_ControleIndelingHRG_B1_R_3_718949073973542913</vt:lpstr>
      <vt:lpstr>_vena_ControleIndelingHRG_B1_R_3_718949073973542915</vt:lpstr>
      <vt:lpstr>_vena_ControleIndelingHRG_B1_R_3_718949073977737217</vt:lpstr>
      <vt:lpstr>_vena_ControleIndelingHRG_B1_R_3_718949073981931521</vt:lpstr>
      <vt:lpstr>_vena_ControleIndelingHRG_B1_R_3_718949073986125824</vt:lpstr>
      <vt:lpstr>_vena_ControleIndelingHRG_B1_R_3_718949073990320129</vt:lpstr>
      <vt:lpstr>_vena_ControleIndelingHRG_B1_R_3_718949073994514432</vt:lpstr>
      <vt:lpstr>_vena_ControleIndelingHRG_B1_R_3_718949073998708737</vt:lpstr>
      <vt:lpstr>_vena_ControleIndelingHRG_B1_R_3_718949073998708739</vt:lpstr>
      <vt:lpstr>_vena_ControleIndelingHRG_B1_R_3_718949074002903041</vt:lpstr>
      <vt:lpstr>_vena_ControleIndelingHRG_B1_R_3_718949074007097345</vt:lpstr>
      <vt:lpstr>_vena_ControleIndelingHRG_B1_R_3_718949074011291649</vt:lpstr>
      <vt:lpstr>_vena_ControleIndelingHRG_B1_R_3_718949074011291651</vt:lpstr>
      <vt:lpstr>_vena_ControleIndelingHRG_B1_R_3_718949074015485953</vt:lpstr>
      <vt:lpstr>_vena_ControleIndelingHRG_B1_R_3_718949074019680257</vt:lpstr>
      <vt:lpstr>_vena_ControleIndelingHRG_B1_R_3_718949074019680259</vt:lpstr>
      <vt:lpstr>_vena_ControleIndelingHRG_B1_R_3_718949074023874561</vt:lpstr>
      <vt:lpstr>_vena_ControleIndelingHRG_B1_R_3_718949074028068865</vt:lpstr>
      <vt:lpstr>_vena_ControleIndelingHRG_B1_R_3_718949074028068867</vt:lpstr>
      <vt:lpstr>_vena_ControleIndelingHRG_B1_R_3_718949074032263169</vt:lpstr>
      <vt:lpstr>_vena_ControleIndelingHRG_B1_R_3_718949074036457473</vt:lpstr>
      <vt:lpstr>_vena_ControleIndelingHRG_B1_R_3_718949074036457475</vt:lpstr>
      <vt:lpstr>_vena_ControleIndelingHRG_B1_R_3_718949074040651777</vt:lpstr>
      <vt:lpstr>_vena_ControleIndelingHRG_B1_R_3_718949074044846081</vt:lpstr>
      <vt:lpstr>_vena_ControleIndelingHRG_B1_R_3_718949074049040385</vt:lpstr>
      <vt:lpstr>_vena_ControleIndelingHRG_B1_R_3_718949074049040387</vt:lpstr>
      <vt:lpstr>_vena_ControleIndelingHRG_B1_R_3_718949074053234689</vt:lpstr>
      <vt:lpstr>_vena_ControleIndelingHRG_B1_R_3_718949074057428993</vt:lpstr>
      <vt:lpstr>_vena_ControleIndelingHRG_B1_R_3_718949074057428995</vt:lpstr>
      <vt:lpstr>_vena_ControleIndelingHRG_B1_R_3_718949074061623297</vt:lpstr>
      <vt:lpstr>_vena_ControleIndelingHRG_B1_R_3_718949074065817601</vt:lpstr>
      <vt:lpstr>_vena_ControleIndelingHRG_B1_R_3_718949074065817603</vt:lpstr>
      <vt:lpstr>_vena_ControleIndelingHRG_B1_R_3_718949074070011905</vt:lpstr>
      <vt:lpstr>_vena_ControleIndelingHRG_B1_R_3_718949074074206209</vt:lpstr>
      <vt:lpstr>_vena_ControleIndelingHRG_B1_R_3_718949074078400513</vt:lpstr>
      <vt:lpstr>_vena_ControleIndelingHRG_B1_R_3_718949074078400515</vt:lpstr>
      <vt:lpstr>_vena_ControleIndelingHRG_B1_R_3_718949074082594817</vt:lpstr>
      <vt:lpstr>_vena_ControleIndelingHRG_B1_R_3_718949074086789121</vt:lpstr>
      <vt:lpstr>_vena_ControleIndelingHRG_B1_R_3_718949074086789123</vt:lpstr>
      <vt:lpstr>_vena_ControleIndelingHRG_B1_R_3_718949074090983425</vt:lpstr>
      <vt:lpstr>_vena_ControleIndelingHRG_B1_R_3_718949074095177729</vt:lpstr>
      <vt:lpstr>_vena_ControleIndelingHRG_B1_R_3_718949074095177731</vt:lpstr>
      <vt:lpstr>_vena_ControleIndelingHRG_B1_R_3_718949074099372033</vt:lpstr>
      <vt:lpstr>_vena_ControleIndelingHRG_B1_R_3_718949074103566337</vt:lpstr>
      <vt:lpstr>_vena_ControleIndelingHRG_B1_R_3_718949074103566339</vt:lpstr>
      <vt:lpstr>_vena_ControleIndelingHRG_B1_R_3_718949074111954944</vt:lpstr>
      <vt:lpstr>_vena_ControleIndelingHRG_B1_R_3_718949074111954946</vt:lpstr>
      <vt:lpstr>_vena_ControleIndelingHRG_B1_R_3_718949074116149249</vt:lpstr>
      <vt:lpstr>_vena_ControleIndelingHRG_B1_R_3_718949074120343553</vt:lpstr>
      <vt:lpstr>_vena_ControleIndelingHRG_B1_R_3_718949074124537857</vt:lpstr>
      <vt:lpstr>_vena_ControleIndelingHRG_B1_R_3_718949074124537859</vt:lpstr>
      <vt:lpstr>_vena_ControleIndelingHRG_B1_R_3_718949074128732161</vt:lpstr>
      <vt:lpstr>_vena_ControleIndelingHRG_B1_R_3_718949074132926465</vt:lpstr>
      <vt:lpstr>_vena_ControleIndelingHRG_B1_R_3_718949074132926467</vt:lpstr>
      <vt:lpstr>_vena_ControleIndelingHRG_B1_R_3_718949074137120769</vt:lpstr>
      <vt:lpstr>_vena_ControleIndelingHRG_B1_R_3_718949074141315073</vt:lpstr>
      <vt:lpstr>_vena_ControleIndelingHRG_B1_R_3_718949074141315075</vt:lpstr>
      <vt:lpstr>_vena_ControleIndelingHRG_B1_R_3_718949074145509377</vt:lpstr>
      <vt:lpstr>_vena_ControleIndelingHRG_B1_R_3_718949074149703681</vt:lpstr>
      <vt:lpstr>_vena_ControleIndelingHRG_B1_R_3_718949074153897985</vt:lpstr>
      <vt:lpstr>_vena_ControleIndelingHRG_B1_R_3_718949074153897987</vt:lpstr>
      <vt:lpstr>_vena_ControleIndelingHRG_B1_R_3_718949074158092289</vt:lpstr>
      <vt:lpstr>_vena_ControleIndelingHRG_B1_R_3_718949074162286593</vt:lpstr>
      <vt:lpstr>_vena_ControleIndelingHRG_B1_R_3_718949074162286595</vt:lpstr>
      <vt:lpstr>_vena_ControleIndelingHRG_B1_R_3_718949074166480897</vt:lpstr>
      <vt:lpstr>_vena_ControleIndelingHRG_B1_R_3_718949074170675201</vt:lpstr>
      <vt:lpstr>_vena_ControleIndelingHRG_B1_R_3_718949074170675203</vt:lpstr>
      <vt:lpstr>_vena_ControleIndelingHRG_B1_R_3_718949074174869505</vt:lpstr>
      <vt:lpstr>_vena_ControleIndelingHRG_B1_R_3_718949074179063809</vt:lpstr>
      <vt:lpstr>_vena_ControleIndelingHRG_B1_R_3_718949074179063811</vt:lpstr>
      <vt:lpstr>_vena_ControleIndelingHRG_B1_R_3_718949074183258113</vt:lpstr>
      <vt:lpstr>_vena_ControleIndelingHRG_B1_R_3_718949074187452417</vt:lpstr>
      <vt:lpstr>_vena_ControleIndelingHRG_B1_R_3_718949074191646721</vt:lpstr>
      <vt:lpstr>_vena_ControleIndelingHRG_B1_R_3_718949074191646723</vt:lpstr>
      <vt:lpstr>_vena_ControleIndelingHRG_B1_R_3_718949074195841025</vt:lpstr>
      <vt:lpstr>_vena_ControleIndelingHRG_B1_R_3_718949074200035329</vt:lpstr>
      <vt:lpstr>_vena_ControleIndelingHRG_B1_R_3_718949074200035331</vt:lpstr>
      <vt:lpstr>_vena_ControleIndelingHRG_B1_R_3_718949074204229633</vt:lpstr>
      <vt:lpstr>_vena_ControleIndelingHRG_B1_R_3_718949074208423937</vt:lpstr>
      <vt:lpstr>_vena_ControleIndelingHRG_B1_R_3_718949074212618241</vt:lpstr>
      <vt:lpstr>_vena_ControleIndelingHRG_B1_R_3_718949074212618243</vt:lpstr>
      <vt:lpstr>_vena_ControleIndelingHRG_B1_R_3_718949074221006848</vt:lpstr>
      <vt:lpstr>_vena_ControleIndelingHRG_B1_R_3_718949074221006851</vt:lpstr>
      <vt:lpstr>_vena_ControleIndelingHRG_B1_R_3_718949074225201153</vt:lpstr>
      <vt:lpstr>_vena_ControleIndelingHRG_B1_R_3_718949074229395457</vt:lpstr>
      <vt:lpstr>_vena_ControleIndelingHRG_B1_R_3_718949074229395459</vt:lpstr>
      <vt:lpstr>_vena_ControleIndelingHRG_B1_R_3_718949074233589761</vt:lpstr>
      <vt:lpstr>_vena_ControleIndelingHRG_B1_R_3_718949074237784065</vt:lpstr>
      <vt:lpstr>_vena_ControleIndelingHRG_B1_R_3_718949074237784067</vt:lpstr>
      <vt:lpstr>_vena_ControleIndelingHRG_B1_R_3_718949074241978369</vt:lpstr>
      <vt:lpstr>_vena_ControleIndelingHRG_B1_R_3_718949074246172673</vt:lpstr>
      <vt:lpstr>_vena_ControleIndelingHRG_B1_R_3_718949074246172675</vt:lpstr>
      <vt:lpstr>_vena_ControleIndelingHRG_B1_R_3_718949074250366977</vt:lpstr>
      <vt:lpstr>_vena_ControleIndelingHRG_B1_R_3_718949074254561281</vt:lpstr>
      <vt:lpstr>_vena_ControleIndelingHRG_B1_R_3_718949074258755585</vt:lpstr>
      <vt:lpstr>_vena_ControleIndelingHRG_B1_R_3_718949074258755587</vt:lpstr>
      <vt:lpstr>_vena_ControleIndelingHRG_B1_R_3_718949074262949889</vt:lpstr>
      <vt:lpstr>_vena_ControleIndelingHRG_B1_R_3_718949074267144193</vt:lpstr>
      <vt:lpstr>_vena_ControleIndelingHRG_B1_R_3_718949074267144195</vt:lpstr>
      <vt:lpstr>_vena_ControleIndelingHRG_B1_R_3_718949074271338497</vt:lpstr>
      <vt:lpstr>_vena_ControleIndelingHRG_B1_R_3_741036978346524672</vt:lpstr>
      <vt:lpstr>_vena_ControleIndelingHRG_B1_R_3_741036978350718977</vt:lpstr>
      <vt:lpstr>_vena_ControleIndelingHRG_B1_R_3_741036978350718979</vt:lpstr>
      <vt:lpstr>_vena_ControleIndelingHRG_B1_R_3_741036978354913281</vt:lpstr>
      <vt:lpstr>_vena_ControleIndelingHRG_B1_R_3_741036978354913283</vt:lpstr>
      <vt:lpstr>_vena_ControleIndelingHRG_B1_R_3_741036978354913285</vt:lpstr>
      <vt:lpstr>_vena_ControleIndelingHRG_B1_R_3_741036978359107585</vt:lpstr>
      <vt:lpstr>_vena_ControleIndelingHRG_B1_R_3_741036978359107587</vt:lpstr>
      <vt:lpstr>_vena_ControleIndelingHRG_B1_R_3_741036978359107589</vt:lpstr>
      <vt:lpstr>_vena_ControleIndelingHRG_B1_R_3_741036978363301889</vt:lpstr>
      <vt:lpstr>_vena_ControleIndelingHRG_B1_R_3_741036978363301891</vt:lpstr>
      <vt:lpstr>_vena_ControleIndelingHRG_B1_R_3_741036978367496193</vt:lpstr>
      <vt:lpstr>_vena_ControleIndelingHRG_B1_R_3_741036978367496195</vt:lpstr>
      <vt:lpstr>_vena_ControleIndelingHRG_B1_R_3_741036978367496197</vt:lpstr>
      <vt:lpstr>_vena_ControleIndelingHRG_B1_R_3_741036978371690497</vt:lpstr>
      <vt:lpstr>_vena_ControleIndelingHRG_B1_R_3_741036978371690499</vt:lpstr>
      <vt:lpstr>_vena_ControleIndelingHRG_B1_R_3_741036978375884801</vt:lpstr>
      <vt:lpstr>_vena_ControleIndelingHRG_B1_R_3_741036978375884803</vt:lpstr>
      <vt:lpstr>_vena_ControleIndelingHRG_B1_R_3_741036978375884805</vt:lpstr>
      <vt:lpstr>_vena_ControleIndelingHRG_B1_R_3_741036978380079105</vt:lpstr>
      <vt:lpstr>_vena_ControleIndelingHRG_B1_R_3_741036978380079107</vt:lpstr>
      <vt:lpstr>_vena_ControleIndelingHRG_B1_R_3_741036978380079109</vt:lpstr>
      <vt:lpstr>_vena_ControleIndelingHRG_B1_R_3_741036978384273409</vt:lpstr>
      <vt:lpstr>_vena_ControleIndelingHRG_B1_R_3_741036978384273411</vt:lpstr>
      <vt:lpstr>_vena_ControleIndelingHRG_B1_R_3_741036978384273413</vt:lpstr>
      <vt:lpstr>_vena_ControleIndelingHRG_B1_R_3_741036978388467713</vt:lpstr>
      <vt:lpstr>_vena_ControleIndelingHRG_B1_R_3_741036978388467715</vt:lpstr>
      <vt:lpstr>_vena_ControleIndelingHRG_B1_R_3_741036978392662016</vt:lpstr>
      <vt:lpstr>_vena_ControleIndelingHRG_B1_R_3_745374605280018432</vt:lpstr>
      <vt:lpstr>_vena_ControleIndelingHRG_B1_R_3_745375016732721152</vt:lpstr>
      <vt:lpstr>_vena_ControleIndelingHRG_B1_R_3_745375106469593088</vt:lpstr>
      <vt:lpstr>_vena_ControleIndelingHRG_B1_R_3_787067506366873601</vt:lpstr>
      <vt:lpstr>_vena_ControleIndelingHRG_B1_R_3_787067506375262209</vt:lpstr>
      <vt:lpstr>_vena_ControleIndelingHRG_B1_R_3_787067506396233730</vt:lpstr>
      <vt:lpstr>_vena_ControleIndelingHRG_B1_R_3_787067506400428033</vt:lpstr>
      <vt:lpstr>_vena_ControleIndelingHRG_B1_R_3_787067506425593862</vt:lpstr>
      <vt:lpstr>_vena_ControleIndelingHRG_B1_R_3_787067506429788172</vt:lpstr>
      <vt:lpstr>_vena_ControleIndelingHRG_B1_R_3_787067506442371085</vt:lpstr>
      <vt:lpstr>_vena_ControleIndelingHRG_B1_R_3_787067506459148326</vt:lpstr>
      <vt:lpstr>_vena_ControleIndelingHRG_B1_R_3_787067506467536902</vt:lpstr>
      <vt:lpstr>_vena_ControleIndelingHRG_B1_R_3_787067506484314126</vt:lpstr>
      <vt:lpstr>_vena_ControleIndelingHRG_B1_R_3_787067506509479942</vt:lpstr>
      <vt:lpstr>_vena_ControleIndelingHRG_B1_R_3_787067506526257152</vt:lpstr>
      <vt:lpstr>_vena_ControleIndelingHRG_B1_R_3_848292094858231812</vt:lpstr>
      <vt:lpstr>_vena_ControleIndelingHRG_B1_R_3_947147459226107910</vt:lpstr>
      <vt:lpstr>_vena_ControleIndelingHRG_B1_R_3_947147459238690817</vt:lpstr>
      <vt:lpstr>_vena_ControleIndelingHRG_B1_R_3_947147459259662336</vt:lpstr>
      <vt:lpstr>_vena_ControleIndelingHRG_B1_R_3_947147459272245252</vt:lpstr>
      <vt:lpstr>_vena_ControleIndelingHRG_B1_R_3_947147459276439554</vt:lpstr>
      <vt:lpstr>_vena_ControleIndelingHRG_B1_R_3_947147459284828166</vt:lpstr>
      <vt:lpstr>_vena_ControleIndelingHRG_B1_R_3_947147459297411075</vt:lpstr>
      <vt:lpstr>_vena_ControleIndelingHRG_B1_R_3_947147459318382595</vt:lpstr>
      <vt:lpstr>_vena_ControleIndelingHRG_B1_R_3_947147459322576897</vt:lpstr>
      <vt:lpstr>_vena_ControleIndelingHRG_B1_R_3_947147459377102859</vt:lpstr>
      <vt:lpstr>_vena_ControleIndelingHRG_B1_R_3_947147459385491457</vt:lpstr>
      <vt:lpstr>_vena_ControleIndelingHRG_B1_R_3_982737416803450901</vt:lpstr>
      <vt:lpstr>_vena_ControleIndelingHRG_B1_R_3_982737416811839488</vt:lpstr>
      <vt:lpstr>_vena_ControleIndelingHRG_B1_R_3_982737416862171137</vt:lpstr>
      <vt:lpstr>_vena_ControleIndelingHRG_P_4_718931129058590721</vt:lpstr>
      <vt:lpstr>_vena_ControleIndelingHRG_P_5_718931142656917509</vt:lpstr>
      <vt:lpstr>_vena_ControleIndelingHRG_P_6_730565783391305729</vt:lpstr>
      <vt:lpstr>_vena_ControleIndelingHRG_P_7_720673044374355968</vt:lpstr>
      <vt:lpstr>_vena_ControleIndelingPL_B1_C_FV_18833718d1654aadbc8e26067c178bd5</vt:lpstr>
      <vt:lpstr>_vena_ControleIndelingPL_B1_C_FV_a29e5bcf45ca496da8833af34d35696d</vt:lpstr>
      <vt:lpstr>_vena_ControleIndelingPL_B1_R_3_1015700822930489354</vt:lpstr>
      <vt:lpstr>_vena_ControleIndelingPL_B1_R_3_1015700822968238094</vt:lpstr>
      <vt:lpstr>_vena_ControleIndelingPL_B1_R_3_1051217086871765008</vt:lpstr>
      <vt:lpstr>_vena_ControleIndelingPL_B1_R_3_718947653497389058</vt:lpstr>
      <vt:lpstr>_vena_ControleIndelingPL_B1_R_3_718947653505777666</vt:lpstr>
      <vt:lpstr>_vena_ControleIndelingPL_B1_R_3_718947653509971971</vt:lpstr>
      <vt:lpstr>_vena_ControleIndelingPL_B1_R_3_718949073356980224</vt:lpstr>
      <vt:lpstr>_vena_ControleIndelingPL_B1_R_3_718949073365368832</vt:lpstr>
      <vt:lpstr>_vena_ControleIndelingPL_B1_R_3_718949073369563137</vt:lpstr>
      <vt:lpstr>_vena_ControleIndelingPL_B1_R_3_718949073373757441</vt:lpstr>
      <vt:lpstr>_vena_ControleIndelingPL_B1_R_3_718949073373757443</vt:lpstr>
      <vt:lpstr>_vena_ControleIndelingPL_B1_R_3_718949073377951745</vt:lpstr>
      <vt:lpstr>_vena_ControleIndelingPL_B1_R_3_718949073382146049</vt:lpstr>
      <vt:lpstr>_vena_ControleIndelingPL_B1_R_3_718949073382146051</vt:lpstr>
      <vt:lpstr>_vena_ControleIndelingPL_B1_R_3_718949073386340353</vt:lpstr>
      <vt:lpstr>_vena_ControleIndelingPL_B1_R_3_718949073390534657</vt:lpstr>
      <vt:lpstr>_vena_ControleIndelingPL_B1_R_3_718949073394728961</vt:lpstr>
      <vt:lpstr>_vena_ControleIndelingPL_B1_R_3_718949073394728963</vt:lpstr>
      <vt:lpstr>_vena_ControleIndelingPL_B1_R_3_718949073398923265</vt:lpstr>
      <vt:lpstr>_vena_ControleIndelingPL_B1_R_3_718949073403117569</vt:lpstr>
      <vt:lpstr>_vena_ControleIndelingPL_B1_R_3_718949073407311872</vt:lpstr>
      <vt:lpstr>_vena_ControleIndelingPL_B1_R_3_718949073411506177</vt:lpstr>
      <vt:lpstr>_vena_ControleIndelingPL_B1_R_3_718949073415700481</vt:lpstr>
      <vt:lpstr>_vena_ControleIndelingPL_B1_R_3_718949073415700483</vt:lpstr>
      <vt:lpstr>_vena_ControleIndelingPL_B1_R_3_718949073419894785</vt:lpstr>
      <vt:lpstr>_vena_ControleIndelingPL_B1_R_3_718949073424089089</vt:lpstr>
      <vt:lpstr>_vena_ControleIndelingPL_B1_R_3_718949073424089091</vt:lpstr>
      <vt:lpstr>_vena_ControleIndelingPL_B1_R_3_718949073428283393</vt:lpstr>
      <vt:lpstr>_vena_ControleIndelingPL_B1_R_3_718949073432477697</vt:lpstr>
      <vt:lpstr>_vena_ControleIndelingPL_B1_R_3_718949073432477699</vt:lpstr>
      <vt:lpstr>_vena_ControleIndelingPL_B1_R_3_718949073436672001</vt:lpstr>
      <vt:lpstr>_vena_ControleIndelingPL_B1_R_3_718949073440866305</vt:lpstr>
      <vt:lpstr>_vena_ControleIndelingPL_B1_R_3_718949073440866307</vt:lpstr>
      <vt:lpstr>_vena_ControleIndelingPL_B1_R_3_718949073445060609</vt:lpstr>
      <vt:lpstr>_vena_ControleIndelingPL_B1_R_3_718949073449254913</vt:lpstr>
      <vt:lpstr>_vena_ControleIndelingPL_B1_R_3_718949073453449218</vt:lpstr>
      <vt:lpstr>_vena_ControleIndelingPL_B1_R_3_718949073457643521</vt:lpstr>
      <vt:lpstr>_vena_ControleIndelingPL_B1_R_3_718949073457643523</vt:lpstr>
      <vt:lpstr>_vena_ControleIndelingPL_B1_R_3_718949073461837825</vt:lpstr>
      <vt:lpstr>_vena_ControleIndelingPL_B1_R_3_718949073466032129</vt:lpstr>
      <vt:lpstr>_vena_ControleIndelingPL_B1_R_3_718949073466032131</vt:lpstr>
      <vt:lpstr>_vena_ControleIndelingPL_B1_R_3_718949073470226433</vt:lpstr>
      <vt:lpstr>_vena_ControleIndelingPL_B1_R_3_718949073474420737</vt:lpstr>
      <vt:lpstr>_vena_ControleIndelingPL_B1_R_3_718949073478615041</vt:lpstr>
      <vt:lpstr>_vena_ControleIndelingPL_B1_R_3_718949073478615043</vt:lpstr>
      <vt:lpstr>_vena_ControleIndelingPL_B1_R_3_718949073482809345</vt:lpstr>
      <vt:lpstr>_vena_ControleIndelingPL_B1_R_3_718949073487003649</vt:lpstr>
      <vt:lpstr>_vena_ControleIndelingPL_B1_R_3_718949073487003651</vt:lpstr>
      <vt:lpstr>_vena_ControleIndelingPL_B1_R_3_718949073491197953</vt:lpstr>
      <vt:lpstr>_vena_ControleIndelingPL_B1_R_3_718949073499586560</vt:lpstr>
      <vt:lpstr>_vena_ControleIndelingPL_B1_R_3_718949073499586562</vt:lpstr>
      <vt:lpstr>_vena_ControleIndelingPL_B1_R_3_718949073503780865</vt:lpstr>
      <vt:lpstr>_vena_ControleIndelingPL_B1_R_3_718949073507975169</vt:lpstr>
      <vt:lpstr>_vena_ControleIndelingPL_B1_R_3_718949073507975171</vt:lpstr>
      <vt:lpstr>_vena_ControleIndelingPL_B1_R_3_718949073512169473</vt:lpstr>
      <vt:lpstr>_vena_ControleIndelingPL_B1_R_3_718949073516363777</vt:lpstr>
      <vt:lpstr>_vena_ControleIndelingPL_B1_R_3_718949073520558081</vt:lpstr>
      <vt:lpstr>_vena_ControleIndelingPL_B1_R_3_718949073520558083</vt:lpstr>
      <vt:lpstr>_vena_ControleIndelingPL_B1_R_3_718949073524752385</vt:lpstr>
      <vt:lpstr>_vena_ControleIndelingPL_B1_R_3_718949073528946689</vt:lpstr>
      <vt:lpstr>_vena_ControleIndelingPL_B1_R_3_718949073528946691</vt:lpstr>
      <vt:lpstr>_vena_ControleIndelingPL_B1_R_3_718949073533140993</vt:lpstr>
      <vt:lpstr>_vena_ControleIndelingPL_B1_R_3_718949073537335297</vt:lpstr>
      <vt:lpstr>_vena_ControleIndelingPL_B1_R_3_718949073537335299</vt:lpstr>
      <vt:lpstr>_vena_ControleIndelingPL_B1_R_3_718949073541529601</vt:lpstr>
      <vt:lpstr>_vena_ControleIndelingPL_B1_R_3_718949073545723905</vt:lpstr>
      <vt:lpstr>_vena_ControleIndelingPL_B1_R_3_718949073549918209</vt:lpstr>
      <vt:lpstr>_vena_ControleIndelingPL_B1_R_3_718949073558306816</vt:lpstr>
      <vt:lpstr>_vena_ControleIndelingPL_B1_R_3_718949073558306818</vt:lpstr>
      <vt:lpstr>_vena_ControleIndelingPL_B1_R_3_718949073566695424</vt:lpstr>
      <vt:lpstr>_vena_ControleIndelingPL_B1_R_3_718949073566695426</vt:lpstr>
      <vt:lpstr>_vena_ControleIndelingPL_B1_R_3_718949073575084032</vt:lpstr>
      <vt:lpstr>_vena_ControleIndelingPL_B1_R_3_718949073575084034</vt:lpstr>
      <vt:lpstr>_vena_ControleIndelingPL_B1_R_3_718949073579278337</vt:lpstr>
      <vt:lpstr>_vena_ControleIndelingPL_B1_R_3_718949073583472641</vt:lpstr>
      <vt:lpstr>_vena_ControleIndelingPL_B1_R_3_718949073583472643</vt:lpstr>
      <vt:lpstr>_vena_ControleIndelingPL_B1_R_3_718949073591861248</vt:lpstr>
      <vt:lpstr>_vena_ControleIndelingPL_B1_R_3_718949073596055552</vt:lpstr>
      <vt:lpstr>_vena_ControleIndelingPL_B1_R_3_718949073600249857</vt:lpstr>
      <vt:lpstr>_vena_ControleIndelingPL_B1_R_3_718949073608638464</vt:lpstr>
      <vt:lpstr>_vena_ControleIndelingPL_B1_R_3_718949073608638466</vt:lpstr>
      <vt:lpstr>_vena_ControleIndelingPL_B1_R_3_718949073612832769</vt:lpstr>
      <vt:lpstr>_vena_ControleIndelingPL_B1_R_3_718949073617027073</vt:lpstr>
      <vt:lpstr>_vena_ControleIndelingPL_B1_R_3_718949073621221376</vt:lpstr>
      <vt:lpstr>_vena_ControleIndelingPL_B1_R_3_718949073625415681</vt:lpstr>
      <vt:lpstr>_vena_ControleIndelingPL_B1_R_3_718949073629609985</vt:lpstr>
      <vt:lpstr>_vena_ControleIndelingPL_B1_R_3_718949073633804289</vt:lpstr>
      <vt:lpstr>_vena_ControleIndelingPL_B1_R_3_718949073637998593</vt:lpstr>
      <vt:lpstr>_vena_ControleIndelingPL_B1_R_3_718949073637998595</vt:lpstr>
      <vt:lpstr>_vena_ControleIndelingPL_B1_R_3_718949073642192897</vt:lpstr>
      <vt:lpstr>_vena_ControleIndelingPL_B1_R_3_718949073646387201</vt:lpstr>
      <vt:lpstr>_vena_ControleIndelingPL_B1_R_3_718949073650581505</vt:lpstr>
      <vt:lpstr>_vena_ControleIndelingPL_B1_R_3_718949073654775809</vt:lpstr>
      <vt:lpstr>_vena_ControleIndelingPL_B1_R_3_718949073654775811</vt:lpstr>
      <vt:lpstr>_vena_ControleIndelingPL_B1_R_3_718949073658970113</vt:lpstr>
      <vt:lpstr>_vena_ControleIndelingPL_B1_R_3_718949073663164417</vt:lpstr>
      <vt:lpstr>_vena_ControleIndelingPL_B1_R_3_718949073667358721</vt:lpstr>
      <vt:lpstr>_vena_ControleIndelingPL_B1_R_3_718949073667358723</vt:lpstr>
      <vt:lpstr>_vena_ControleIndelingPL_B1_R_3_718949073671553025</vt:lpstr>
      <vt:lpstr>_vena_ControleIndelingPL_B1_R_3_718949073675747329</vt:lpstr>
      <vt:lpstr>_vena_ControleIndelingPL_B1_R_3_718949073679941633</vt:lpstr>
      <vt:lpstr>_vena_ControleIndelingPL_B1_R_3_718949073684135937</vt:lpstr>
      <vt:lpstr>_vena_ControleIndelingPL_B1_R_3_718949073684135939</vt:lpstr>
      <vt:lpstr>_vena_ControleIndelingPL_B1_R_3_718949073688330241</vt:lpstr>
      <vt:lpstr>_vena_ControleIndelingPL_B1_R_3_718949073692524545</vt:lpstr>
      <vt:lpstr>_vena_ControleIndelingPL_B1_R_3_718949073696718849</vt:lpstr>
      <vt:lpstr>_vena_ControleIndelingPL_B1_R_3_718949073696718851</vt:lpstr>
      <vt:lpstr>_vena_ControleIndelingPL_B1_R_3_718949073700913153</vt:lpstr>
      <vt:lpstr>_vena_ControleIndelingPL_B1_R_3_718949073705107457</vt:lpstr>
      <vt:lpstr>_vena_ControleIndelingPL_B1_R_3_718949073705107459</vt:lpstr>
      <vt:lpstr>_vena_ControleIndelingPL_B1_R_3_718949073709301761</vt:lpstr>
      <vt:lpstr>_vena_ControleIndelingPL_B1_R_3_718949073713496065</vt:lpstr>
      <vt:lpstr>_vena_ControleIndelingPL_B1_R_3_718949073713496067</vt:lpstr>
      <vt:lpstr>_vena_ControleIndelingPL_B1_R_3_718949073717690369</vt:lpstr>
      <vt:lpstr>_vena_ControleIndelingPL_B1_R_3_718949073721884673</vt:lpstr>
      <vt:lpstr>_vena_ControleIndelingPL_B1_R_3_718949073726078977</vt:lpstr>
      <vt:lpstr>_vena_ControleIndelingPL_B1_R_3_718949073726078979</vt:lpstr>
      <vt:lpstr>_vena_ControleIndelingPL_B1_R_3_718949073730273281</vt:lpstr>
      <vt:lpstr>_vena_ControleIndelingPL_B1_R_3_718949073734467585</vt:lpstr>
      <vt:lpstr>_vena_ControleIndelingPL_B1_R_3_718949073734467587</vt:lpstr>
      <vt:lpstr>_vena_ControleIndelingPL_B1_R_3_718949073738661889</vt:lpstr>
      <vt:lpstr>_vena_ControleIndelingPL_B1_R_3_718949073742856193</vt:lpstr>
      <vt:lpstr>_vena_ControleIndelingPL_B1_R_3_718949073747050497</vt:lpstr>
      <vt:lpstr>_vena_ControleIndelingPL_B1_R_3_718949073751244801</vt:lpstr>
      <vt:lpstr>_vena_ControleIndelingPL_B1_R_3_718949073759633408</vt:lpstr>
      <vt:lpstr>_vena_ControleIndelingPL_B1_R_3_718949073763827713</vt:lpstr>
      <vt:lpstr>_vena_ControleIndelingPL_B1_R_3_718949073768022016</vt:lpstr>
      <vt:lpstr>_vena_ControleIndelingPL_B1_R_3_718949073772216321</vt:lpstr>
      <vt:lpstr>_vena_ControleIndelingPL_B1_R_3_718949073776410624</vt:lpstr>
      <vt:lpstr>_vena_ControleIndelingPL_B1_R_3_718949073780604928</vt:lpstr>
      <vt:lpstr>_vena_ControleIndelingPL_B1_R_3_718949073784799233</vt:lpstr>
      <vt:lpstr>_vena_ControleIndelingPL_B1_R_3_718949073788993536</vt:lpstr>
      <vt:lpstr>_vena_ControleIndelingPL_B1_R_3_718949073788993538</vt:lpstr>
      <vt:lpstr>_vena_ControleIndelingPL_B1_R_3_718949073793187841</vt:lpstr>
      <vt:lpstr>_vena_ControleIndelingPL_B1_R_3_718949073797382145</vt:lpstr>
      <vt:lpstr>_vena_ControleIndelingPL_B1_R_3_718949073801576449</vt:lpstr>
      <vt:lpstr>_vena_ControleIndelingPL_B1_R_3_718949073805770753</vt:lpstr>
      <vt:lpstr>_vena_ControleIndelingPL_B1_R_3_718949073809965057</vt:lpstr>
      <vt:lpstr>_vena_ControleIndelingPL_B1_R_3_718949073809965059</vt:lpstr>
      <vt:lpstr>_vena_ControleIndelingPL_B1_R_3_718949073818353664</vt:lpstr>
      <vt:lpstr>_vena_ControleIndelingPL_B1_R_3_718949073822547969</vt:lpstr>
      <vt:lpstr>_vena_ControleIndelingPL_B1_R_3_718949073826742273</vt:lpstr>
      <vt:lpstr>_vena_ControleIndelingPL_B1_R_3_718949073830936577</vt:lpstr>
      <vt:lpstr>_vena_ControleIndelingPL_B1_R_3_718949073835130881</vt:lpstr>
      <vt:lpstr>_vena_ControleIndelingPL_B1_R_3_718949073839325185</vt:lpstr>
      <vt:lpstr>_vena_ControleIndelingPL_B1_R_3_718949073839325187</vt:lpstr>
      <vt:lpstr>_vena_ControleIndelingPL_B1_R_3_718949073843519489</vt:lpstr>
      <vt:lpstr>_vena_ControleIndelingPL_B1_R_3_718949073847713793</vt:lpstr>
      <vt:lpstr>_vena_ControleIndelingPL_B1_R_3_718949073851908096</vt:lpstr>
      <vt:lpstr>_vena_ControleIndelingPL_B1_R_3_718949073856102401</vt:lpstr>
      <vt:lpstr>_vena_ControleIndelingPL_B1_R_3_718949073860296705</vt:lpstr>
      <vt:lpstr>_vena_ControleIndelingPL_B1_R_3_718949073860296707</vt:lpstr>
      <vt:lpstr>_vena_ControleIndelingPL_B1_R_3_718949073864491009</vt:lpstr>
      <vt:lpstr>_vena_ControleIndelingPL_B1_R_3_718949073868685313</vt:lpstr>
      <vt:lpstr>_vena_ControleIndelingPL_B1_R_3_718949073868685315</vt:lpstr>
      <vt:lpstr>_vena_ControleIndelingPL_B1_R_3_718949073872879617</vt:lpstr>
      <vt:lpstr>_vena_ControleIndelingPL_B1_R_3_718949073877073921</vt:lpstr>
      <vt:lpstr>_vena_ControleIndelingPL_B1_R_3_718949073881268225</vt:lpstr>
      <vt:lpstr>_vena_ControleIndelingPL_B1_R_3_718949073881268227</vt:lpstr>
      <vt:lpstr>_vena_ControleIndelingPL_B1_R_3_718949073885462529</vt:lpstr>
      <vt:lpstr>_vena_ControleIndelingPL_B1_R_3_718949073889656833</vt:lpstr>
      <vt:lpstr>_vena_ControleIndelingPL_B1_R_3_718949073893851137</vt:lpstr>
      <vt:lpstr>_vena_ControleIndelingPL_B1_R_3_718949073893851139</vt:lpstr>
      <vt:lpstr>_vena_ControleIndelingPL_B1_R_3_718949073898045441</vt:lpstr>
      <vt:lpstr>_vena_ControleIndelingPL_B1_R_3_718949073902239745</vt:lpstr>
      <vt:lpstr>_vena_ControleIndelingPL_B1_R_3_718949073902239747</vt:lpstr>
      <vt:lpstr>_vena_ControleIndelingPL_B1_R_3_718949073906434049</vt:lpstr>
      <vt:lpstr>_vena_ControleIndelingPL_B1_R_3_718949073910628353</vt:lpstr>
      <vt:lpstr>_vena_ControleIndelingPL_B1_R_3_718949073914822657</vt:lpstr>
      <vt:lpstr>_vena_ControleIndelingPL_B1_R_3_718949073914822659</vt:lpstr>
      <vt:lpstr>_vena_ControleIndelingPL_B1_R_3_718949073919016961</vt:lpstr>
      <vt:lpstr>_vena_ControleIndelingPL_B1_R_3_718949073923211265</vt:lpstr>
      <vt:lpstr>_vena_ControleIndelingPL_B1_R_3_718949073923211267</vt:lpstr>
      <vt:lpstr>_vena_ControleIndelingPL_B1_R_3_718949073927405569</vt:lpstr>
      <vt:lpstr>_vena_ControleIndelingPL_B1_R_3_718949073931599873</vt:lpstr>
      <vt:lpstr>_vena_ControleIndelingPL_B1_R_3_718949073935794176</vt:lpstr>
      <vt:lpstr>_vena_ControleIndelingPL_B1_R_3_718949073935794178</vt:lpstr>
      <vt:lpstr>_vena_ControleIndelingPL_B1_R_3_718949073939988481</vt:lpstr>
      <vt:lpstr>_vena_ControleIndelingPL_B1_R_3_718949073944182785</vt:lpstr>
      <vt:lpstr>_vena_ControleIndelingPL_B1_R_3_718949073944182787</vt:lpstr>
      <vt:lpstr>_vena_ControleIndelingPL_B1_R_3_718949073948377089</vt:lpstr>
      <vt:lpstr>_vena_ControleIndelingPL_B1_R_3_718949073952571393</vt:lpstr>
      <vt:lpstr>_vena_ControleIndelingPL_B1_R_3_718949073952571395</vt:lpstr>
      <vt:lpstr>_vena_ControleIndelingPL_B1_R_3_718949073956765697</vt:lpstr>
      <vt:lpstr>_vena_ControleIndelingPL_B1_R_3_718949073960960001</vt:lpstr>
      <vt:lpstr>_vena_ControleIndelingPL_B1_R_3_718949073965154304</vt:lpstr>
      <vt:lpstr>_vena_ControleIndelingPL_B1_R_3_718949073965154306</vt:lpstr>
      <vt:lpstr>_vena_ControleIndelingPL_B1_R_3_718949073969348609</vt:lpstr>
      <vt:lpstr>_vena_ControleIndelingPL_B1_R_3_718949073973542913</vt:lpstr>
      <vt:lpstr>_vena_ControleIndelingPL_B1_R_3_718949073973542915</vt:lpstr>
      <vt:lpstr>_vena_ControleIndelingPL_B1_R_3_718949073977737217</vt:lpstr>
      <vt:lpstr>_vena_ControleIndelingPL_B1_R_3_718949073981931521</vt:lpstr>
      <vt:lpstr>_vena_ControleIndelingPL_B1_R_3_718949073986125824</vt:lpstr>
      <vt:lpstr>_vena_ControleIndelingPL_B1_R_3_718949073990320129</vt:lpstr>
      <vt:lpstr>_vena_ControleIndelingPL_B1_R_3_718949073994514432</vt:lpstr>
      <vt:lpstr>_vena_ControleIndelingPL_B1_R_3_718949073998708737</vt:lpstr>
      <vt:lpstr>_vena_ControleIndelingPL_B1_R_3_718949073998708739</vt:lpstr>
      <vt:lpstr>_vena_ControleIndelingPL_B1_R_3_718949074002903041</vt:lpstr>
      <vt:lpstr>_vena_ControleIndelingPL_B1_R_3_718949074007097345</vt:lpstr>
      <vt:lpstr>_vena_ControleIndelingPL_B1_R_3_718949074011291649</vt:lpstr>
      <vt:lpstr>_vena_ControleIndelingPL_B1_R_3_718949074011291651</vt:lpstr>
      <vt:lpstr>_vena_ControleIndelingPL_B1_R_3_718949074015485953</vt:lpstr>
      <vt:lpstr>_vena_ControleIndelingPL_B1_R_3_718949074019680257</vt:lpstr>
      <vt:lpstr>_vena_ControleIndelingPL_B1_R_3_718949074019680259</vt:lpstr>
      <vt:lpstr>_vena_ControleIndelingPL_B1_R_3_718949074023874561</vt:lpstr>
      <vt:lpstr>_vena_ControleIndelingPL_B1_R_3_718949074028068865</vt:lpstr>
      <vt:lpstr>_vena_ControleIndelingPL_B1_R_3_718949074028068867</vt:lpstr>
      <vt:lpstr>_vena_ControleIndelingPL_B1_R_3_718949074032263169</vt:lpstr>
      <vt:lpstr>_vena_ControleIndelingPL_B1_R_3_718949074036457473</vt:lpstr>
      <vt:lpstr>_vena_ControleIndelingPL_B1_R_3_718949074036457475</vt:lpstr>
      <vt:lpstr>_vena_ControleIndelingPL_B1_R_3_718949074040651777</vt:lpstr>
      <vt:lpstr>_vena_ControleIndelingPL_B1_R_3_718949074044846081</vt:lpstr>
      <vt:lpstr>_vena_ControleIndelingPL_B1_R_3_718949074049040385</vt:lpstr>
      <vt:lpstr>_vena_ControleIndelingPL_B1_R_3_718949074049040387</vt:lpstr>
      <vt:lpstr>_vena_ControleIndelingPL_B1_R_3_718949074053234689</vt:lpstr>
      <vt:lpstr>_vena_ControleIndelingPL_B1_R_3_718949074057428993</vt:lpstr>
      <vt:lpstr>_vena_ControleIndelingPL_B1_R_3_718949074057428995</vt:lpstr>
      <vt:lpstr>_vena_ControleIndelingPL_B1_R_3_718949074061623297</vt:lpstr>
      <vt:lpstr>_vena_ControleIndelingPL_B1_R_3_718949074065817601</vt:lpstr>
      <vt:lpstr>_vena_ControleIndelingPL_B1_R_3_718949074065817603</vt:lpstr>
      <vt:lpstr>_vena_ControleIndelingPL_B1_R_3_718949074070011905</vt:lpstr>
      <vt:lpstr>_vena_ControleIndelingPL_B1_R_3_718949074074206209</vt:lpstr>
      <vt:lpstr>_vena_ControleIndelingPL_B1_R_3_718949074078400513</vt:lpstr>
      <vt:lpstr>_vena_ControleIndelingPL_B1_R_3_718949074078400515</vt:lpstr>
      <vt:lpstr>_vena_ControleIndelingPL_B1_R_3_718949074082594817</vt:lpstr>
      <vt:lpstr>_vena_ControleIndelingPL_B1_R_3_718949074086789121</vt:lpstr>
      <vt:lpstr>_vena_ControleIndelingPL_B1_R_3_718949074086789123</vt:lpstr>
      <vt:lpstr>_vena_ControleIndelingPL_B1_R_3_718949074090983425</vt:lpstr>
      <vt:lpstr>_vena_ControleIndelingPL_B1_R_3_718949074095177729</vt:lpstr>
      <vt:lpstr>_vena_ControleIndelingPL_B1_R_3_718949074095177731</vt:lpstr>
      <vt:lpstr>_vena_ControleIndelingPL_B1_R_3_718949074099372033</vt:lpstr>
      <vt:lpstr>_vena_ControleIndelingPL_B1_R_3_718949074103566337</vt:lpstr>
      <vt:lpstr>_vena_ControleIndelingPL_B1_R_3_718949074103566339</vt:lpstr>
      <vt:lpstr>_vena_ControleIndelingPL_B1_R_3_718949074111954944</vt:lpstr>
      <vt:lpstr>_vena_ControleIndelingPL_B1_R_3_718949074111954946</vt:lpstr>
      <vt:lpstr>_vena_ControleIndelingPL_B1_R_3_718949074116149249</vt:lpstr>
      <vt:lpstr>_vena_ControleIndelingPL_B1_R_3_718949074120343553</vt:lpstr>
      <vt:lpstr>_vena_ControleIndelingPL_B1_R_3_718949074124537857</vt:lpstr>
      <vt:lpstr>_vena_ControleIndelingPL_B1_R_3_718949074124537859</vt:lpstr>
      <vt:lpstr>_vena_ControleIndelingPL_B1_R_3_718949074128732161</vt:lpstr>
      <vt:lpstr>_vena_ControleIndelingPL_B1_R_3_718949074132926465</vt:lpstr>
      <vt:lpstr>_vena_ControleIndelingPL_B1_R_3_718949074132926467</vt:lpstr>
      <vt:lpstr>_vena_ControleIndelingPL_B1_R_3_718949074137120769</vt:lpstr>
      <vt:lpstr>_vena_ControleIndelingPL_B1_R_3_718949074141315073</vt:lpstr>
      <vt:lpstr>_vena_ControleIndelingPL_B1_R_3_718949074141315075</vt:lpstr>
      <vt:lpstr>_vena_ControleIndelingPL_B1_R_3_718949074145509377</vt:lpstr>
      <vt:lpstr>_vena_ControleIndelingPL_B1_R_3_718949074149703681</vt:lpstr>
      <vt:lpstr>_vena_ControleIndelingPL_B1_R_3_718949074153897985</vt:lpstr>
      <vt:lpstr>_vena_ControleIndelingPL_B1_R_3_718949074153897987</vt:lpstr>
      <vt:lpstr>_vena_ControleIndelingPL_B1_R_3_718949074158092289</vt:lpstr>
      <vt:lpstr>_vena_ControleIndelingPL_B1_R_3_718949074162286593</vt:lpstr>
      <vt:lpstr>_vena_ControleIndelingPL_B1_R_3_718949074162286595</vt:lpstr>
      <vt:lpstr>_vena_ControleIndelingPL_B1_R_3_718949074166480897</vt:lpstr>
      <vt:lpstr>_vena_ControleIndelingPL_B1_R_3_718949074170675201</vt:lpstr>
      <vt:lpstr>_vena_ControleIndelingPL_B1_R_3_718949074170675203</vt:lpstr>
      <vt:lpstr>_vena_ControleIndelingPL_B1_R_3_718949074174869505</vt:lpstr>
      <vt:lpstr>_vena_ControleIndelingPL_B1_R_3_718949074179063809</vt:lpstr>
      <vt:lpstr>_vena_ControleIndelingPL_B1_R_3_718949074179063811</vt:lpstr>
      <vt:lpstr>_vena_ControleIndelingPL_B1_R_3_718949074183258113</vt:lpstr>
      <vt:lpstr>_vena_ControleIndelingPL_B1_R_3_718949074187452417</vt:lpstr>
      <vt:lpstr>_vena_ControleIndelingPL_B1_R_3_718949074191646721</vt:lpstr>
      <vt:lpstr>_vena_ControleIndelingPL_B1_R_3_718949074191646723</vt:lpstr>
      <vt:lpstr>_vena_ControleIndelingPL_B1_R_3_718949074195841025</vt:lpstr>
      <vt:lpstr>_vena_ControleIndelingPL_B1_R_3_718949074200035329</vt:lpstr>
      <vt:lpstr>_vena_ControleIndelingPL_B1_R_3_718949074200035331</vt:lpstr>
      <vt:lpstr>_vena_ControleIndelingPL_B1_R_3_718949074204229633</vt:lpstr>
      <vt:lpstr>_vena_ControleIndelingPL_B1_R_3_718949074208423937</vt:lpstr>
      <vt:lpstr>_vena_ControleIndelingPL_B1_R_3_718949074212618241</vt:lpstr>
      <vt:lpstr>_vena_ControleIndelingPL_B1_R_3_718949074212618243</vt:lpstr>
      <vt:lpstr>_vena_ControleIndelingPL_B1_R_3_718949074221006848</vt:lpstr>
      <vt:lpstr>_vena_ControleIndelingPL_B1_R_3_718949074221006851</vt:lpstr>
      <vt:lpstr>_vena_ControleIndelingPL_B1_R_3_718949074225201153</vt:lpstr>
      <vt:lpstr>_vena_ControleIndelingPL_B1_R_3_718949074229395457</vt:lpstr>
      <vt:lpstr>_vena_ControleIndelingPL_B1_R_3_718949074229395459</vt:lpstr>
      <vt:lpstr>_vena_ControleIndelingPL_B1_R_3_718949074233589761</vt:lpstr>
      <vt:lpstr>_vena_ControleIndelingPL_B1_R_3_718949074237784065</vt:lpstr>
      <vt:lpstr>_vena_ControleIndelingPL_B1_R_3_718949074237784067</vt:lpstr>
      <vt:lpstr>_vena_ControleIndelingPL_B1_R_3_718949074241978369</vt:lpstr>
      <vt:lpstr>_vena_ControleIndelingPL_B1_R_3_718949074246172673</vt:lpstr>
      <vt:lpstr>_vena_ControleIndelingPL_B1_R_3_718949074246172675</vt:lpstr>
      <vt:lpstr>_vena_ControleIndelingPL_B1_R_3_718949074250366977</vt:lpstr>
      <vt:lpstr>_vena_ControleIndelingPL_B1_R_3_718949074254561281</vt:lpstr>
      <vt:lpstr>_vena_ControleIndelingPL_B1_R_3_718949074258755585</vt:lpstr>
      <vt:lpstr>_vena_ControleIndelingPL_B1_R_3_718949074258755587</vt:lpstr>
      <vt:lpstr>_vena_ControleIndelingPL_B1_R_3_718949074262949889</vt:lpstr>
      <vt:lpstr>_vena_ControleIndelingPL_B1_R_3_718949074267144193</vt:lpstr>
      <vt:lpstr>_vena_ControleIndelingPL_B1_R_3_718949074267144195</vt:lpstr>
      <vt:lpstr>_vena_ControleIndelingPL_B1_R_3_718949074271338497</vt:lpstr>
      <vt:lpstr>_vena_ControleIndelingPL_B1_R_3_738101605178277888</vt:lpstr>
      <vt:lpstr>_vena_ControleIndelingPL_B1_R_3_738101643779637251</vt:lpstr>
      <vt:lpstr>_vena_ControleIndelingPL_B1_R_3_738101800095187049</vt:lpstr>
      <vt:lpstr>_vena_ControleIndelingPL_B1_R_3_741036978346524672</vt:lpstr>
      <vt:lpstr>_vena_ControleIndelingPL_B1_R_3_741036978350718977</vt:lpstr>
      <vt:lpstr>_vena_ControleIndelingPL_B1_R_3_741036978350718979</vt:lpstr>
      <vt:lpstr>_vena_ControleIndelingPL_B1_R_3_741036978354913281</vt:lpstr>
      <vt:lpstr>_vena_ControleIndelingPL_B1_R_3_741036978354913283</vt:lpstr>
      <vt:lpstr>_vena_ControleIndelingPL_B1_R_3_741036978354913285</vt:lpstr>
      <vt:lpstr>_vena_ControleIndelingPL_B1_R_3_741036978359107585</vt:lpstr>
      <vt:lpstr>_vena_ControleIndelingPL_B1_R_3_741036978359107587</vt:lpstr>
      <vt:lpstr>_vena_ControleIndelingPL_B1_R_3_741036978359107589</vt:lpstr>
      <vt:lpstr>_vena_ControleIndelingPL_B1_R_3_741036978363301889</vt:lpstr>
      <vt:lpstr>_vena_ControleIndelingPL_B1_R_3_741036978363301891</vt:lpstr>
      <vt:lpstr>_vena_ControleIndelingPL_B1_R_3_741036978367496193</vt:lpstr>
      <vt:lpstr>_vena_ControleIndelingPL_B1_R_3_741036978367496195</vt:lpstr>
      <vt:lpstr>_vena_ControleIndelingPL_B1_R_3_741036978367496197</vt:lpstr>
      <vt:lpstr>_vena_ControleIndelingPL_B1_R_3_741036978371690497</vt:lpstr>
      <vt:lpstr>_vena_ControleIndelingPL_B1_R_3_741036978371690499</vt:lpstr>
      <vt:lpstr>_vena_ControleIndelingPL_B1_R_3_741036978375884801</vt:lpstr>
      <vt:lpstr>_vena_ControleIndelingPL_B1_R_3_741036978375884803</vt:lpstr>
      <vt:lpstr>_vena_ControleIndelingPL_B1_R_3_741036978375884805</vt:lpstr>
      <vt:lpstr>_vena_ControleIndelingPL_B1_R_3_741036978380079105</vt:lpstr>
      <vt:lpstr>_vena_ControleIndelingPL_B1_R_3_741036978380079107</vt:lpstr>
      <vt:lpstr>_vena_ControleIndelingPL_B1_R_3_741036978380079109</vt:lpstr>
      <vt:lpstr>_vena_ControleIndelingPL_B1_R_3_741036978384273409</vt:lpstr>
      <vt:lpstr>_vena_ControleIndelingPL_B1_R_3_741036978384273411</vt:lpstr>
      <vt:lpstr>_vena_ControleIndelingPL_B1_R_3_741036978384273413</vt:lpstr>
      <vt:lpstr>_vena_ControleIndelingPL_B1_R_3_741036978388467713</vt:lpstr>
      <vt:lpstr>_vena_ControleIndelingPL_B1_R_3_741036978388467715</vt:lpstr>
      <vt:lpstr>_vena_ControleIndelingPL_B1_R_3_741036978392662016</vt:lpstr>
      <vt:lpstr>_vena_ControleIndelingPL_B1_R_3_745374605280018432</vt:lpstr>
      <vt:lpstr>_vena_ControleIndelingPL_B1_R_3_745375016732721152</vt:lpstr>
      <vt:lpstr>_vena_ControleIndelingPL_B1_R_3_745375106469593088</vt:lpstr>
      <vt:lpstr>_vena_ControleIndelingPL_B1_R_3_787067506366873601</vt:lpstr>
      <vt:lpstr>_vena_ControleIndelingPL_B1_R_3_787067506375262209</vt:lpstr>
      <vt:lpstr>_vena_ControleIndelingPL_B1_R_3_787067506396233730</vt:lpstr>
      <vt:lpstr>_vena_ControleIndelingPL_B1_R_3_787067506400428033</vt:lpstr>
      <vt:lpstr>_vena_ControleIndelingPL_B1_R_3_787067506425593862</vt:lpstr>
      <vt:lpstr>_vena_ControleIndelingPL_B1_R_3_787067506429788172</vt:lpstr>
      <vt:lpstr>_vena_ControleIndelingPL_B1_R_3_787067506442371085</vt:lpstr>
      <vt:lpstr>_vena_ControleIndelingPL_B1_R_3_787067506459148326</vt:lpstr>
      <vt:lpstr>_vena_ControleIndelingPL_B1_R_3_787067506467536902</vt:lpstr>
      <vt:lpstr>_vena_ControleIndelingPL_B1_R_3_787067506484314126</vt:lpstr>
      <vt:lpstr>_vena_ControleIndelingPL_B1_R_3_787067506509479942</vt:lpstr>
      <vt:lpstr>_vena_ControleIndelingPL_B1_R_3_787067506526257152</vt:lpstr>
      <vt:lpstr>_vena_ControleIndelingPL_B1_R_3_848292094858231812</vt:lpstr>
      <vt:lpstr>_vena_ControleIndelingPL_B1_R_3_947147459226107910</vt:lpstr>
      <vt:lpstr>_vena_ControleIndelingPL_B1_R_3_947147459238690817</vt:lpstr>
      <vt:lpstr>_vena_ControleIndelingPL_B1_R_3_947147459259662336</vt:lpstr>
      <vt:lpstr>_vena_ControleIndelingPL_B1_R_3_947147459272245252</vt:lpstr>
      <vt:lpstr>_vena_ControleIndelingPL_B1_R_3_947147459276439554</vt:lpstr>
      <vt:lpstr>_vena_ControleIndelingPL_B1_R_3_947147459284828166</vt:lpstr>
      <vt:lpstr>_vena_ControleIndelingPL_B1_R_3_947147459297411075</vt:lpstr>
      <vt:lpstr>_vena_ControleIndelingPL_B1_R_3_947147459318382595</vt:lpstr>
      <vt:lpstr>_vena_ControleIndelingPL_B1_R_3_947147459322576897</vt:lpstr>
      <vt:lpstr>_vena_ControleIndelingPL_B1_R_3_947147459377102859</vt:lpstr>
      <vt:lpstr>_vena_ControleIndelingPL_B1_R_3_947147459385491457</vt:lpstr>
      <vt:lpstr>_vena_ControleIndelingPL_B1_R_3_982737416803450901</vt:lpstr>
      <vt:lpstr>_vena_ControleIndelingPL_B1_R_3_982737416811839488</vt:lpstr>
      <vt:lpstr>_vena_ControleIndelingPL_B1_R_3_982737416862171137</vt:lpstr>
      <vt:lpstr>_vena_ControleIndelingPL_P_4_718931129058590721</vt:lpstr>
      <vt:lpstr>_vena_ControleIndelingPL_P_5_718931142656917509</vt:lpstr>
      <vt:lpstr>_vena_ControleIndelingPL_P_6_730565783391305729</vt:lpstr>
      <vt:lpstr>_vena_ControleIndelingPL_P_7_720673044374355968</vt:lpstr>
      <vt:lpstr>_vena_ControleIndelingPLNomUL_B1_C_FV_18833718d1654aadbc8e26067c178bd5</vt:lpstr>
      <vt:lpstr>_vena_ControleIndelingPLNomUL_B1_C_FV_a29e5bcf45ca496da8833af34d35696d</vt:lpstr>
      <vt:lpstr>_vena_ControleIndelingPLNomUL_B1_R_3_1015700822930489354</vt:lpstr>
      <vt:lpstr>_vena_ControleIndelingPLNomUL_B1_R_3_1015700822968238094</vt:lpstr>
      <vt:lpstr>_vena_ControleIndelingPLNomUL_B1_R_3_1051217086871765008</vt:lpstr>
      <vt:lpstr>_vena_ControleIndelingPLNomUL_B1_R_3_718947653497389058</vt:lpstr>
      <vt:lpstr>_vena_ControleIndelingPLNomUL_B1_R_3_718947653505777666</vt:lpstr>
      <vt:lpstr>_vena_ControleIndelingPLNomUL_B1_R_3_718947653509971971</vt:lpstr>
      <vt:lpstr>_vena_ControleIndelingPLNomUL_B1_R_3_718949073356980224</vt:lpstr>
      <vt:lpstr>_vena_ControleIndelingPLNomUL_B1_R_3_718949073365368832</vt:lpstr>
      <vt:lpstr>_vena_ControleIndelingPLNomUL_B1_R_3_718949073369563137</vt:lpstr>
      <vt:lpstr>_vena_ControleIndelingPLNomUL_B1_R_3_718949073373757441</vt:lpstr>
      <vt:lpstr>_vena_ControleIndelingPLNomUL_B1_R_3_718949073373757443</vt:lpstr>
      <vt:lpstr>_vena_ControleIndelingPLNomUL_B1_R_3_718949073377951745</vt:lpstr>
      <vt:lpstr>_vena_ControleIndelingPLNomUL_B1_R_3_718949073382146049</vt:lpstr>
      <vt:lpstr>_vena_ControleIndelingPLNomUL_B1_R_3_718949073382146051</vt:lpstr>
      <vt:lpstr>_vena_ControleIndelingPLNomUL_B1_R_3_718949073386340353</vt:lpstr>
      <vt:lpstr>_vena_ControleIndelingPLNomUL_B1_R_3_718949073390534657</vt:lpstr>
      <vt:lpstr>_vena_ControleIndelingPLNomUL_B1_R_3_718949073394728961</vt:lpstr>
      <vt:lpstr>_vena_ControleIndelingPLNomUL_B1_R_3_718949073394728963</vt:lpstr>
      <vt:lpstr>_vena_ControleIndelingPLNomUL_B1_R_3_718949073398923265</vt:lpstr>
      <vt:lpstr>_vena_ControleIndelingPLNomUL_B1_R_3_718949073403117569</vt:lpstr>
      <vt:lpstr>_vena_ControleIndelingPLNomUL_B1_R_3_718949073407311872</vt:lpstr>
      <vt:lpstr>_vena_ControleIndelingPLNomUL_B1_R_3_718949073411506177</vt:lpstr>
      <vt:lpstr>_vena_ControleIndelingPLNomUL_B1_R_3_718949073415700481</vt:lpstr>
      <vt:lpstr>_vena_ControleIndelingPLNomUL_B1_R_3_718949073415700483</vt:lpstr>
      <vt:lpstr>_vena_ControleIndelingPLNomUL_B1_R_3_718949073419894785</vt:lpstr>
      <vt:lpstr>_vena_ControleIndelingPLNomUL_B1_R_3_718949073424089089</vt:lpstr>
      <vt:lpstr>_vena_ControleIndelingPLNomUL_B1_R_3_718949073424089091</vt:lpstr>
      <vt:lpstr>_vena_ControleIndelingPLNomUL_B1_R_3_718949073428283393</vt:lpstr>
      <vt:lpstr>_vena_ControleIndelingPLNomUL_B1_R_3_718949073432477697</vt:lpstr>
      <vt:lpstr>_vena_ControleIndelingPLNomUL_B1_R_3_718949073432477699</vt:lpstr>
      <vt:lpstr>_vena_ControleIndelingPLNomUL_B1_R_3_718949073436672001</vt:lpstr>
      <vt:lpstr>_vena_ControleIndelingPLNomUL_B1_R_3_718949073440866305</vt:lpstr>
      <vt:lpstr>_vena_ControleIndelingPLNomUL_B1_R_3_718949073440866307</vt:lpstr>
      <vt:lpstr>_vena_ControleIndelingPLNomUL_B1_R_3_718949073445060609</vt:lpstr>
      <vt:lpstr>_vena_ControleIndelingPLNomUL_B1_R_3_718949073449254913</vt:lpstr>
      <vt:lpstr>_vena_ControleIndelingPLNomUL_B1_R_3_718949073453449218</vt:lpstr>
      <vt:lpstr>_vena_ControleIndelingPLNomUL_B1_R_3_718949073457643521</vt:lpstr>
      <vt:lpstr>_vena_ControleIndelingPLNomUL_B1_R_3_718949073457643523</vt:lpstr>
      <vt:lpstr>_vena_ControleIndelingPLNomUL_B1_R_3_718949073461837825</vt:lpstr>
      <vt:lpstr>_vena_ControleIndelingPLNomUL_B1_R_3_718949073466032129</vt:lpstr>
      <vt:lpstr>_vena_ControleIndelingPLNomUL_B1_R_3_718949073466032131</vt:lpstr>
      <vt:lpstr>_vena_ControleIndelingPLNomUL_B1_R_3_718949073470226433</vt:lpstr>
      <vt:lpstr>_vena_ControleIndelingPLNomUL_B1_R_3_718949073474420737</vt:lpstr>
      <vt:lpstr>_vena_ControleIndelingPLNomUL_B1_R_3_718949073478615041</vt:lpstr>
      <vt:lpstr>_vena_ControleIndelingPLNomUL_B1_R_3_718949073478615043</vt:lpstr>
      <vt:lpstr>_vena_ControleIndelingPLNomUL_B1_R_3_718949073482809345</vt:lpstr>
      <vt:lpstr>_vena_ControleIndelingPLNomUL_B1_R_3_718949073487003649</vt:lpstr>
      <vt:lpstr>_vena_ControleIndelingPLNomUL_B1_R_3_718949073487003651</vt:lpstr>
      <vt:lpstr>_vena_ControleIndelingPLNomUL_B1_R_3_718949073491197953</vt:lpstr>
      <vt:lpstr>_vena_ControleIndelingPLNomUL_B1_R_3_718949073499586560</vt:lpstr>
      <vt:lpstr>_vena_ControleIndelingPLNomUL_B1_R_3_718949073499586562</vt:lpstr>
      <vt:lpstr>_vena_ControleIndelingPLNomUL_B1_R_3_718949073503780865</vt:lpstr>
      <vt:lpstr>_vena_ControleIndelingPLNomUL_B1_R_3_718949073507975169</vt:lpstr>
      <vt:lpstr>_vena_ControleIndelingPLNomUL_B1_R_3_718949073507975171</vt:lpstr>
      <vt:lpstr>_vena_ControleIndelingPLNomUL_B1_R_3_718949073512169473</vt:lpstr>
      <vt:lpstr>_vena_ControleIndelingPLNomUL_B1_R_3_718949073516363777</vt:lpstr>
      <vt:lpstr>_vena_ControleIndelingPLNomUL_B1_R_3_718949073520558081</vt:lpstr>
      <vt:lpstr>_vena_ControleIndelingPLNomUL_B1_R_3_718949073520558083</vt:lpstr>
      <vt:lpstr>_vena_ControleIndelingPLNomUL_B1_R_3_718949073524752385</vt:lpstr>
      <vt:lpstr>_vena_ControleIndelingPLNomUL_B1_R_3_718949073528946689</vt:lpstr>
      <vt:lpstr>_vena_ControleIndelingPLNomUL_B1_R_3_718949073528946691</vt:lpstr>
      <vt:lpstr>_vena_ControleIndelingPLNomUL_B1_R_3_718949073533140993</vt:lpstr>
      <vt:lpstr>_vena_ControleIndelingPLNomUL_B1_R_3_718949073537335297</vt:lpstr>
      <vt:lpstr>_vena_ControleIndelingPLNomUL_B1_R_3_718949073537335299</vt:lpstr>
      <vt:lpstr>_vena_ControleIndelingPLNomUL_B1_R_3_718949073541529601</vt:lpstr>
      <vt:lpstr>_vena_ControleIndelingPLNomUL_B1_R_3_718949073545723905</vt:lpstr>
      <vt:lpstr>_vena_ControleIndelingPLNomUL_B1_R_3_718949073549918209</vt:lpstr>
      <vt:lpstr>_vena_ControleIndelingPLNomUL_B1_R_3_718949073558306816</vt:lpstr>
      <vt:lpstr>_vena_ControleIndelingPLNomUL_B1_R_3_718949073558306818</vt:lpstr>
      <vt:lpstr>_vena_ControleIndelingPLNomUL_B1_R_3_718949073566695424</vt:lpstr>
      <vt:lpstr>_vena_ControleIndelingPLNomUL_B1_R_3_718949073566695426</vt:lpstr>
      <vt:lpstr>_vena_ControleIndelingPLNomUL_B1_R_3_718949073575084032</vt:lpstr>
      <vt:lpstr>_vena_ControleIndelingPLNomUL_B1_R_3_718949073575084034</vt:lpstr>
      <vt:lpstr>_vena_ControleIndelingPLNomUL_B1_R_3_718949073579278337</vt:lpstr>
      <vt:lpstr>_vena_ControleIndelingPLNomUL_B1_R_3_718949073583472641</vt:lpstr>
      <vt:lpstr>_vena_ControleIndelingPLNomUL_B1_R_3_718949073583472643</vt:lpstr>
      <vt:lpstr>_vena_ControleIndelingPLNomUL_B1_R_3_718949073591861248</vt:lpstr>
      <vt:lpstr>_vena_ControleIndelingPLNomUL_B1_R_3_718949073596055552</vt:lpstr>
      <vt:lpstr>_vena_ControleIndelingPLNomUL_B1_R_3_718949073600249857</vt:lpstr>
      <vt:lpstr>_vena_ControleIndelingPLNomUL_B1_R_3_718949073608638464</vt:lpstr>
      <vt:lpstr>_vena_ControleIndelingPLNomUL_B1_R_3_718949073608638466</vt:lpstr>
      <vt:lpstr>_vena_ControleIndelingPLNomUL_B1_R_3_718949073612832769</vt:lpstr>
      <vt:lpstr>_vena_ControleIndelingPLNomUL_B1_R_3_718949073617027073</vt:lpstr>
      <vt:lpstr>_vena_ControleIndelingPLNomUL_B1_R_3_718949073621221376</vt:lpstr>
      <vt:lpstr>_vena_ControleIndelingPLNomUL_B1_R_3_718949073625415681</vt:lpstr>
      <vt:lpstr>_vena_ControleIndelingPLNomUL_B1_R_3_718949073629609985</vt:lpstr>
      <vt:lpstr>_vena_ControleIndelingPLNomUL_B1_R_3_718949073633804289</vt:lpstr>
      <vt:lpstr>_vena_ControleIndelingPLNomUL_B1_R_3_718949073637998593</vt:lpstr>
      <vt:lpstr>_vena_ControleIndelingPLNomUL_B1_R_3_718949073637998595</vt:lpstr>
      <vt:lpstr>_vena_ControleIndelingPLNomUL_B1_R_3_718949073642192897</vt:lpstr>
      <vt:lpstr>_vena_ControleIndelingPLNomUL_B1_R_3_718949073646387201</vt:lpstr>
      <vt:lpstr>_vena_ControleIndelingPLNomUL_B1_R_3_718949073650581505</vt:lpstr>
      <vt:lpstr>_vena_ControleIndelingPLNomUL_B1_R_3_718949073654775809</vt:lpstr>
      <vt:lpstr>_vena_ControleIndelingPLNomUL_B1_R_3_718949073654775811</vt:lpstr>
      <vt:lpstr>_vena_ControleIndelingPLNomUL_B1_R_3_718949073658970113</vt:lpstr>
      <vt:lpstr>_vena_ControleIndelingPLNomUL_B1_R_3_718949073663164417</vt:lpstr>
      <vt:lpstr>_vena_ControleIndelingPLNomUL_B1_R_3_718949073667358721</vt:lpstr>
      <vt:lpstr>_vena_ControleIndelingPLNomUL_B1_R_3_718949073667358723</vt:lpstr>
      <vt:lpstr>_vena_ControleIndelingPLNomUL_B1_R_3_718949073671553025</vt:lpstr>
      <vt:lpstr>_vena_ControleIndelingPLNomUL_B1_R_3_718949073675747329</vt:lpstr>
      <vt:lpstr>_vena_ControleIndelingPLNomUL_B1_R_3_718949073679941633</vt:lpstr>
      <vt:lpstr>_vena_ControleIndelingPLNomUL_B1_R_3_718949073684135937</vt:lpstr>
      <vt:lpstr>_vena_ControleIndelingPLNomUL_B1_R_3_718949073684135939</vt:lpstr>
      <vt:lpstr>_vena_ControleIndelingPLNomUL_B1_R_3_718949073688330241</vt:lpstr>
      <vt:lpstr>_vena_ControleIndelingPLNomUL_B1_R_3_718949073692524545</vt:lpstr>
      <vt:lpstr>_vena_ControleIndelingPLNomUL_B1_R_3_718949073696718849</vt:lpstr>
      <vt:lpstr>_vena_ControleIndelingPLNomUL_B1_R_3_718949073696718851</vt:lpstr>
      <vt:lpstr>_vena_ControleIndelingPLNomUL_B1_R_3_718949073700913153</vt:lpstr>
      <vt:lpstr>_vena_ControleIndelingPLNomUL_B1_R_3_718949073705107457</vt:lpstr>
      <vt:lpstr>_vena_ControleIndelingPLNomUL_B1_R_3_718949073705107459</vt:lpstr>
      <vt:lpstr>_vena_ControleIndelingPLNomUL_B1_R_3_718949073709301761</vt:lpstr>
      <vt:lpstr>_vena_ControleIndelingPLNomUL_B1_R_3_718949073713496065</vt:lpstr>
      <vt:lpstr>_vena_ControleIndelingPLNomUL_B1_R_3_718949073713496067</vt:lpstr>
      <vt:lpstr>_vena_ControleIndelingPLNomUL_B1_R_3_718949073717690369</vt:lpstr>
      <vt:lpstr>_vena_ControleIndelingPLNomUL_B1_R_3_718949073721884673</vt:lpstr>
      <vt:lpstr>_vena_ControleIndelingPLNomUL_B1_R_3_718949073726078977</vt:lpstr>
      <vt:lpstr>_vena_ControleIndelingPLNomUL_B1_R_3_718949073726078979</vt:lpstr>
      <vt:lpstr>_vena_ControleIndelingPLNomUL_B1_R_3_718949073730273281</vt:lpstr>
      <vt:lpstr>_vena_ControleIndelingPLNomUL_B1_R_3_718949073734467585</vt:lpstr>
      <vt:lpstr>_vena_ControleIndelingPLNomUL_B1_R_3_718949073734467587</vt:lpstr>
      <vt:lpstr>_vena_ControleIndelingPLNomUL_B1_R_3_718949073738661889</vt:lpstr>
      <vt:lpstr>_vena_ControleIndelingPLNomUL_B1_R_3_718949073742856193</vt:lpstr>
      <vt:lpstr>_vena_ControleIndelingPLNomUL_B1_R_3_718949073747050497</vt:lpstr>
      <vt:lpstr>_vena_ControleIndelingPLNomUL_B1_R_3_718949073751244801</vt:lpstr>
      <vt:lpstr>_vena_ControleIndelingPLNomUL_B1_R_3_718949073759633408</vt:lpstr>
      <vt:lpstr>_vena_ControleIndelingPLNomUL_B1_R_3_718949073763827713</vt:lpstr>
      <vt:lpstr>_vena_ControleIndelingPLNomUL_B1_R_3_718949073768022016</vt:lpstr>
      <vt:lpstr>_vena_ControleIndelingPLNomUL_B1_R_3_718949073772216321</vt:lpstr>
      <vt:lpstr>_vena_ControleIndelingPLNomUL_B1_R_3_718949073776410624</vt:lpstr>
      <vt:lpstr>_vena_ControleIndelingPLNomUL_B1_R_3_718949073780604928</vt:lpstr>
      <vt:lpstr>_vena_ControleIndelingPLNomUL_B1_R_3_718949073784799233</vt:lpstr>
      <vt:lpstr>_vena_ControleIndelingPLNomUL_B1_R_3_718949073788993536</vt:lpstr>
      <vt:lpstr>_vena_ControleIndelingPLNomUL_B1_R_3_718949073788993538</vt:lpstr>
      <vt:lpstr>_vena_ControleIndelingPLNomUL_B1_R_3_718949073793187841</vt:lpstr>
      <vt:lpstr>_vena_ControleIndelingPLNomUL_B1_R_3_718949073797382145</vt:lpstr>
      <vt:lpstr>_vena_ControleIndelingPLNomUL_B1_R_3_718949073801576449</vt:lpstr>
      <vt:lpstr>_vena_ControleIndelingPLNomUL_B1_R_3_718949073805770753</vt:lpstr>
      <vt:lpstr>_vena_ControleIndelingPLNomUL_B1_R_3_718949073809965057</vt:lpstr>
      <vt:lpstr>_vena_ControleIndelingPLNomUL_B1_R_3_718949073809965059</vt:lpstr>
      <vt:lpstr>_vena_ControleIndelingPLNomUL_B1_R_3_718949073818353664</vt:lpstr>
      <vt:lpstr>_vena_ControleIndelingPLNomUL_B1_R_3_718949073822547969</vt:lpstr>
      <vt:lpstr>_vena_ControleIndelingPLNomUL_B1_R_3_718949073826742273</vt:lpstr>
      <vt:lpstr>_vena_ControleIndelingPLNomUL_B1_R_3_718949073830936577</vt:lpstr>
      <vt:lpstr>_vena_ControleIndelingPLNomUL_B1_R_3_718949073835130881</vt:lpstr>
      <vt:lpstr>_vena_ControleIndelingPLNomUL_B1_R_3_718949073839325185</vt:lpstr>
      <vt:lpstr>_vena_ControleIndelingPLNomUL_B1_R_3_718949073839325187</vt:lpstr>
      <vt:lpstr>_vena_ControleIndelingPLNomUL_B1_R_3_718949073843519489</vt:lpstr>
      <vt:lpstr>_vena_ControleIndelingPLNomUL_B1_R_3_718949073847713793</vt:lpstr>
      <vt:lpstr>_vena_ControleIndelingPLNomUL_B1_R_3_718949073851908096</vt:lpstr>
      <vt:lpstr>_vena_ControleIndelingPLNomUL_B1_R_3_718949073856102401</vt:lpstr>
      <vt:lpstr>_vena_ControleIndelingPLNomUL_B1_R_3_718949073860296705</vt:lpstr>
      <vt:lpstr>_vena_ControleIndelingPLNomUL_B1_R_3_718949073860296707</vt:lpstr>
      <vt:lpstr>_vena_ControleIndelingPLNomUL_B1_R_3_718949073864491009</vt:lpstr>
      <vt:lpstr>_vena_ControleIndelingPLNomUL_B1_R_3_718949073868685313</vt:lpstr>
      <vt:lpstr>_vena_ControleIndelingPLNomUL_B1_R_3_718949073868685315</vt:lpstr>
      <vt:lpstr>_vena_ControleIndelingPLNomUL_B1_R_3_718949073872879617</vt:lpstr>
      <vt:lpstr>_vena_ControleIndelingPLNomUL_B1_R_3_718949073877073921</vt:lpstr>
      <vt:lpstr>_vena_ControleIndelingPLNomUL_B1_R_3_718949073881268225</vt:lpstr>
      <vt:lpstr>_vena_ControleIndelingPLNomUL_B1_R_3_718949073881268227</vt:lpstr>
      <vt:lpstr>_vena_ControleIndelingPLNomUL_B1_R_3_718949073885462529</vt:lpstr>
      <vt:lpstr>_vena_ControleIndelingPLNomUL_B1_R_3_718949073889656833</vt:lpstr>
      <vt:lpstr>_vena_ControleIndelingPLNomUL_B1_R_3_718949073893851137</vt:lpstr>
      <vt:lpstr>_vena_ControleIndelingPLNomUL_B1_R_3_718949073893851139</vt:lpstr>
      <vt:lpstr>_vena_ControleIndelingPLNomUL_B1_R_3_718949073898045441</vt:lpstr>
      <vt:lpstr>_vena_ControleIndelingPLNomUL_B1_R_3_718949073902239745</vt:lpstr>
      <vt:lpstr>_vena_ControleIndelingPLNomUL_B1_R_3_718949073902239747</vt:lpstr>
      <vt:lpstr>_vena_ControleIndelingPLNomUL_B1_R_3_718949073906434049</vt:lpstr>
      <vt:lpstr>_vena_ControleIndelingPLNomUL_B1_R_3_718949073910628353</vt:lpstr>
      <vt:lpstr>_vena_ControleIndelingPLNomUL_B1_R_3_718949073914822657</vt:lpstr>
      <vt:lpstr>_vena_ControleIndelingPLNomUL_B1_R_3_718949073914822659</vt:lpstr>
      <vt:lpstr>_vena_ControleIndelingPLNomUL_B1_R_3_718949073919016961</vt:lpstr>
      <vt:lpstr>_vena_ControleIndelingPLNomUL_B1_R_3_718949073923211265</vt:lpstr>
      <vt:lpstr>_vena_ControleIndelingPLNomUL_B1_R_3_718949073923211267</vt:lpstr>
      <vt:lpstr>_vena_ControleIndelingPLNomUL_B1_R_3_718949073927405569</vt:lpstr>
      <vt:lpstr>_vena_ControleIndelingPLNomUL_B1_R_3_718949073931599873</vt:lpstr>
      <vt:lpstr>_vena_ControleIndelingPLNomUL_B1_R_3_718949073935794176</vt:lpstr>
      <vt:lpstr>_vena_ControleIndelingPLNomUL_B1_R_3_718949073935794178</vt:lpstr>
      <vt:lpstr>_vena_ControleIndelingPLNomUL_B1_R_3_718949073939988481</vt:lpstr>
      <vt:lpstr>_vena_ControleIndelingPLNomUL_B1_R_3_718949073944182785</vt:lpstr>
      <vt:lpstr>_vena_ControleIndelingPLNomUL_B1_R_3_718949073944182787</vt:lpstr>
      <vt:lpstr>_vena_ControleIndelingPLNomUL_B1_R_3_718949073948377089</vt:lpstr>
      <vt:lpstr>_vena_ControleIndelingPLNomUL_B1_R_3_718949073952571393</vt:lpstr>
      <vt:lpstr>_vena_ControleIndelingPLNomUL_B1_R_3_718949073952571395</vt:lpstr>
      <vt:lpstr>_vena_ControleIndelingPLNomUL_B1_R_3_718949073956765697</vt:lpstr>
      <vt:lpstr>_vena_ControleIndelingPLNomUL_B1_R_3_718949073960960001</vt:lpstr>
      <vt:lpstr>_vena_ControleIndelingPLNomUL_B1_R_3_718949073965154304</vt:lpstr>
      <vt:lpstr>_vena_ControleIndelingPLNomUL_B1_R_3_718949073965154306</vt:lpstr>
      <vt:lpstr>_vena_ControleIndelingPLNomUL_B1_R_3_718949073969348609</vt:lpstr>
      <vt:lpstr>_vena_ControleIndelingPLNomUL_B1_R_3_718949073973542913</vt:lpstr>
      <vt:lpstr>_vena_ControleIndelingPLNomUL_B1_R_3_718949073973542915</vt:lpstr>
      <vt:lpstr>_vena_ControleIndelingPLNomUL_B1_R_3_718949073977737217</vt:lpstr>
      <vt:lpstr>_vena_ControleIndelingPLNomUL_B1_R_3_718949073981931521</vt:lpstr>
      <vt:lpstr>_vena_ControleIndelingPLNomUL_B1_R_3_718949073986125824</vt:lpstr>
      <vt:lpstr>_vena_ControleIndelingPLNomUL_B1_R_3_718949073990320129</vt:lpstr>
      <vt:lpstr>_vena_ControleIndelingPLNomUL_B1_R_3_718949073994514432</vt:lpstr>
      <vt:lpstr>_vena_ControleIndelingPLNomUL_B1_R_3_718949073998708737</vt:lpstr>
      <vt:lpstr>_vena_ControleIndelingPLNomUL_B1_R_3_718949073998708739</vt:lpstr>
      <vt:lpstr>_vena_ControleIndelingPLNomUL_B1_R_3_718949074002903041</vt:lpstr>
      <vt:lpstr>_vena_ControleIndelingPLNomUL_B1_R_3_718949074007097345</vt:lpstr>
      <vt:lpstr>_vena_ControleIndelingPLNomUL_B1_R_3_718949074011291649</vt:lpstr>
      <vt:lpstr>_vena_ControleIndelingPLNomUL_B1_R_3_718949074011291651</vt:lpstr>
      <vt:lpstr>_vena_ControleIndelingPLNomUL_B1_R_3_718949074015485953</vt:lpstr>
      <vt:lpstr>_vena_ControleIndelingPLNomUL_B1_R_3_718949074019680257</vt:lpstr>
      <vt:lpstr>_vena_ControleIndelingPLNomUL_B1_R_3_718949074019680259</vt:lpstr>
      <vt:lpstr>_vena_ControleIndelingPLNomUL_B1_R_3_718949074023874561</vt:lpstr>
      <vt:lpstr>_vena_ControleIndelingPLNomUL_B1_R_3_718949074028068865</vt:lpstr>
      <vt:lpstr>_vena_ControleIndelingPLNomUL_B1_R_3_718949074028068867</vt:lpstr>
      <vt:lpstr>_vena_ControleIndelingPLNomUL_B1_R_3_718949074032263169</vt:lpstr>
      <vt:lpstr>_vena_ControleIndelingPLNomUL_B1_R_3_718949074036457473</vt:lpstr>
      <vt:lpstr>_vena_ControleIndelingPLNomUL_B1_R_3_718949074036457475</vt:lpstr>
      <vt:lpstr>_vena_ControleIndelingPLNomUL_B1_R_3_718949074040651777</vt:lpstr>
      <vt:lpstr>_vena_ControleIndelingPLNomUL_B1_R_3_718949074044846081</vt:lpstr>
      <vt:lpstr>_vena_ControleIndelingPLNomUL_B1_R_3_718949074049040385</vt:lpstr>
      <vt:lpstr>_vena_ControleIndelingPLNomUL_B1_R_3_718949074049040387</vt:lpstr>
      <vt:lpstr>_vena_ControleIndelingPLNomUL_B1_R_3_718949074053234689</vt:lpstr>
      <vt:lpstr>_vena_ControleIndelingPLNomUL_B1_R_3_718949074057428993</vt:lpstr>
      <vt:lpstr>_vena_ControleIndelingPLNomUL_B1_R_3_718949074057428995</vt:lpstr>
      <vt:lpstr>_vena_ControleIndelingPLNomUL_B1_R_3_718949074061623297</vt:lpstr>
      <vt:lpstr>_vena_ControleIndelingPLNomUL_B1_R_3_718949074065817601</vt:lpstr>
      <vt:lpstr>_vena_ControleIndelingPLNomUL_B1_R_3_718949074065817603</vt:lpstr>
      <vt:lpstr>_vena_ControleIndelingPLNomUL_B1_R_3_718949074070011905</vt:lpstr>
      <vt:lpstr>_vena_ControleIndelingPLNomUL_B1_R_3_718949074074206209</vt:lpstr>
      <vt:lpstr>_vena_ControleIndelingPLNomUL_B1_R_3_718949074078400513</vt:lpstr>
      <vt:lpstr>_vena_ControleIndelingPLNomUL_B1_R_3_718949074078400515</vt:lpstr>
      <vt:lpstr>_vena_ControleIndelingPLNomUL_B1_R_3_718949074082594817</vt:lpstr>
      <vt:lpstr>_vena_ControleIndelingPLNomUL_B1_R_3_718949074086789121</vt:lpstr>
      <vt:lpstr>_vena_ControleIndelingPLNomUL_B1_R_3_718949074086789123</vt:lpstr>
      <vt:lpstr>_vena_ControleIndelingPLNomUL_B1_R_3_718949074090983425</vt:lpstr>
      <vt:lpstr>_vena_ControleIndelingPLNomUL_B1_R_3_718949074095177729</vt:lpstr>
      <vt:lpstr>_vena_ControleIndelingPLNomUL_B1_R_3_718949074095177731</vt:lpstr>
      <vt:lpstr>_vena_ControleIndelingPLNomUL_B1_R_3_718949074099372033</vt:lpstr>
      <vt:lpstr>_vena_ControleIndelingPLNomUL_B1_R_3_718949074103566337</vt:lpstr>
      <vt:lpstr>_vena_ControleIndelingPLNomUL_B1_R_3_718949074103566339</vt:lpstr>
      <vt:lpstr>_vena_ControleIndelingPLNomUL_B1_R_3_718949074111954944</vt:lpstr>
      <vt:lpstr>_vena_ControleIndelingPLNomUL_B1_R_3_718949074111954946</vt:lpstr>
      <vt:lpstr>_vena_ControleIndelingPLNomUL_B1_R_3_718949074116149249</vt:lpstr>
      <vt:lpstr>_vena_ControleIndelingPLNomUL_B1_R_3_718949074120343553</vt:lpstr>
      <vt:lpstr>_vena_ControleIndelingPLNomUL_B1_R_3_718949074124537857</vt:lpstr>
      <vt:lpstr>_vena_ControleIndelingPLNomUL_B1_R_3_718949074124537859</vt:lpstr>
      <vt:lpstr>_vena_ControleIndelingPLNomUL_B1_R_3_718949074128732161</vt:lpstr>
      <vt:lpstr>_vena_ControleIndelingPLNomUL_B1_R_3_718949074132926465</vt:lpstr>
      <vt:lpstr>_vena_ControleIndelingPLNomUL_B1_R_3_718949074132926467</vt:lpstr>
      <vt:lpstr>_vena_ControleIndelingPLNomUL_B1_R_3_718949074137120769</vt:lpstr>
      <vt:lpstr>_vena_ControleIndelingPLNomUL_B1_R_3_718949074141315073</vt:lpstr>
      <vt:lpstr>_vena_ControleIndelingPLNomUL_B1_R_3_718949074141315075</vt:lpstr>
      <vt:lpstr>_vena_ControleIndelingPLNomUL_B1_R_3_718949074145509377</vt:lpstr>
      <vt:lpstr>_vena_ControleIndelingPLNomUL_B1_R_3_718949074149703681</vt:lpstr>
      <vt:lpstr>_vena_ControleIndelingPLNomUL_B1_R_3_718949074153897985</vt:lpstr>
      <vt:lpstr>_vena_ControleIndelingPLNomUL_B1_R_3_718949074153897987</vt:lpstr>
      <vt:lpstr>_vena_ControleIndelingPLNomUL_B1_R_3_718949074158092289</vt:lpstr>
      <vt:lpstr>_vena_ControleIndelingPLNomUL_B1_R_3_718949074162286593</vt:lpstr>
      <vt:lpstr>_vena_ControleIndelingPLNomUL_B1_R_3_718949074162286595</vt:lpstr>
      <vt:lpstr>_vena_ControleIndelingPLNomUL_B1_R_3_718949074166480897</vt:lpstr>
      <vt:lpstr>_vena_ControleIndelingPLNomUL_B1_R_3_718949074170675201</vt:lpstr>
      <vt:lpstr>_vena_ControleIndelingPLNomUL_B1_R_3_718949074170675203</vt:lpstr>
      <vt:lpstr>_vena_ControleIndelingPLNomUL_B1_R_3_718949074174869505</vt:lpstr>
      <vt:lpstr>_vena_ControleIndelingPLNomUL_B1_R_3_718949074179063809</vt:lpstr>
      <vt:lpstr>_vena_ControleIndelingPLNomUL_B1_R_3_718949074179063811</vt:lpstr>
      <vt:lpstr>_vena_ControleIndelingPLNomUL_B1_R_3_718949074183258113</vt:lpstr>
      <vt:lpstr>_vena_ControleIndelingPLNomUL_B1_R_3_718949074187452417</vt:lpstr>
      <vt:lpstr>_vena_ControleIndelingPLNomUL_B1_R_3_718949074191646721</vt:lpstr>
      <vt:lpstr>_vena_ControleIndelingPLNomUL_B1_R_3_718949074191646723</vt:lpstr>
      <vt:lpstr>_vena_ControleIndelingPLNomUL_B1_R_3_718949074195841025</vt:lpstr>
      <vt:lpstr>_vena_ControleIndelingPLNomUL_B1_R_3_718949074200035329</vt:lpstr>
      <vt:lpstr>_vena_ControleIndelingPLNomUL_B1_R_3_718949074200035331</vt:lpstr>
      <vt:lpstr>_vena_ControleIndelingPLNomUL_B1_R_3_718949074204229633</vt:lpstr>
      <vt:lpstr>_vena_ControleIndelingPLNomUL_B1_R_3_718949074208423937</vt:lpstr>
      <vt:lpstr>_vena_ControleIndelingPLNomUL_B1_R_3_718949074212618241</vt:lpstr>
      <vt:lpstr>_vena_ControleIndelingPLNomUL_B1_R_3_718949074212618243</vt:lpstr>
      <vt:lpstr>_vena_ControleIndelingPLNomUL_B1_R_3_718949074221006848</vt:lpstr>
      <vt:lpstr>_vena_ControleIndelingPLNomUL_B1_R_3_718949074221006851</vt:lpstr>
      <vt:lpstr>_vena_ControleIndelingPLNomUL_B1_R_3_718949074225201153</vt:lpstr>
      <vt:lpstr>_vena_ControleIndelingPLNomUL_B1_R_3_718949074229395457</vt:lpstr>
      <vt:lpstr>_vena_ControleIndelingPLNomUL_B1_R_3_718949074229395459</vt:lpstr>
      <vt:lpstr>_vena_ControleIndelingPLNomUL_B1_R_3_718949074233589761</vt:lpstr>
      <vt:lpstr>_vena_ControleIndelingPLNomUL_B1_R_3_718949074237784065</vt:lpstr>
      <vt:lpstr>_vena_ControleIndelingPLNomUL_B1_R_3_718949074237784067</vt:lpstr>
      <vt:lpstr>_vena_ControleIndelingPLNomUL_B1_R_3_718949074241978369</vt:lpstr>
      <vt:lpstr>_vena_ControleIndelingPLNomUL_B1_R_3_718949074246172673</vt:lpstr>
      <vt:lpstr>_vena_ControleIndelingPLNomUL_B1_R_3_718949074246172675</vt:lpstr>
      <vt:lpstr>_vena_ControleIndelingPLNomUL_B1_R_3_718949074250366977</vt:lpstr>
      <vt:lpstr>_vena_ControleIndelingPLNomUL_B1_R_3_718949074254561281</vt:lpstr>
      <vt:lpstr>_vena_ControleIndelingPLNomUL_B1_R_3_718949074258755585</vt:lpstr>
      <vt:lpstr>_vena_ControleIndelingPLNomUL_B1_R_3_718949074258755587</vt:lpstr>
      <vt:lpstr>_vena_ControleIndelingPLNomUL_B1_R_3_718949074262949889</vt:lpstr>
      <vt:lpstr>_vena_ControleIndelingPLNomUL_B1_R_3_718949074267144193</vt:lpstr>
      <vt:lpstr>_vena_ControleIndelingPLNomUL_B1_R_3_718949074267144195</vt:lpstr>
      <vt:lpstr>_vena_ControleIndelingPLNomUL_B1_R_3_718949074271338497</vt:lpstr>
      <vt:lpstr>_vena_ControleIndelingPLNomUL_B1_R_3_741036978346524672</vt:lpstr>
      <vt:lpstr>_vena_ControleIndelingPLNomUL_B1_R_3_741036978350718977</vt:lpstr>
      <vt:lpstr>_vena_ControleIndelingPLNomUL_B1_R_3_741036978350718979</vt:lpstr>
      <vt:lpstr>_vena_ControleIndelingPLNomUL_B1_R_3_741036978354913281</vt:lpstr>
      <vt:lpstr>_vena_ControleIndelingPLNomUL_B1_R_3_741036978354913283</vt:lpstr>
      <vt:lpstr>_vena_ControleIndelingPLNomUL_B1_R_3_741036978354913285</vt:lpstr>
      <vt:lpstr>_vena_ControleIndelingPLNomUL_B1_R_3_741036978359107585</vt:lpstr>
      <vt:lpstr>_vena_ControleIndelingPLNomUL_B1_R_3_741036978359107587</vt:lpstr>
      <vt:lpstr>_vena_ControleIndelingPLNomUL_B1_R_3_741036978359107589</vt:lpstr>
      <vt:lpstr>_vena_ControleIndelingPLNomUL_B1_R_3_741036978363301889</vt:lpstr>
      <vt:lpstr>_vena_ControleIndelingPLNomUL_B1_R_3_741036978363301891</vt:lpstr>
      <vt:lpstr>_vena_ControleIndelingPLNomUL_B1_R_3_741036978367496193</vt:lpstr>
      <vt:lpstr>_vena_ControleIndelingPLNomUL_B1_R_3_741036978367496195</vt:lpstr>
      <vt:lpstr>_vena_ControleIndelingPLNomUL_B1_R_3_741036978367496197</vt:lpstr>
      <vt:lpstr>_vena_ControleIndelingPLNomUL_B1_R_3_741036978371690497</vt:lpstr>
      <vt:lpstr>_vena_ControleIndelingPLNomUL_B1_R_3_741036978371690499</vt:lpstr>
      <vt:lpstr>_vena_ControleIndelingPLNomUL_B1_R_3_741036978375884801</vt:lpstr>
      <vt:lpstr>_vena_ControleIndelingPLNomUL_B1_R_3_741036978375884803</vt:lpstr>
      <vt:lpstr>_vena_ControleIndelingPLNomUL_B1_R_3_741036978375884805</vt:lpstr>
      <vt:lpstr>_vena_ControleIndelingPLNomUL_B1_R_3_741036978380079105</vt:lpstr>
      <vt:lpstr>_vena_ControleIndelingPLNomUL_B1_R_3_741036978380079107</vt:lpstr>
      <vt:lpstr>_vena_ControleIndelingPLNomUL_B1_R_3_741036978380079109</vt:lpstr>
      <vt:lpstr>_vena_ControleIndelingPLNomUL_B1_R_3_741036978384273409</vt:lpstr>
      <vt:lpstr>_vena_ControleIndelingPLNomUL_B1_R_3_741036978384273411</vt:lpstr>
      <vt:lpstr>_vena_ControleIndelingPLNomUL_B1_R_3_741036978384273413</vt:lpstr>
      <vt:lpstr>_vena_ControleIndelingPLNomUL_B1_R_3_741036978388467713</vt:lpstr>
      <vt:lpstr>_vena_ControleIndelingPLNomUL_B1_R_3_741036978388467715</vt:lpstr>
      <vt:lpstr>_vena_ControleIndelingPLNomUL_B1_R_3_741036978392662016</vt:lpstr>
      <vt:lpstr>_vena_ControleIndelingPLNomUL_B1_R_3_745374605280018432</vt:lpstr>
      <vt:lpstr>_vena_ControleIndelingPLNomUL_B1_R_3_745375016732721152</vt:lpstr>
      <vt:lpstr>_vena_ControleIndelingPLNomUL_B1_R_3_745375106469593088</vt:lpstr>
      <vt:lpstr>_vena_ControleIndelingPLNomUL_B1_R_3_787067506366873601</vt:lpstr>
      <vt:lpstr>_vena_ControleIndelingPLNomUL_B1_R_3_787067506375262209</vt:lpstr>
      <vt:lpstr>_vena_ControleIndelingPLNomUL_B1_R_3_787067506396233730</vt:lpstr>
      <vt:lpstr>_vena_ControleIndelingPLNomUL_B1_R_3_787067506400428033</vt:lpstr>
      <vt:lpstr>_vena_ControleIndelingPLNomUL_B1_R_3_787067506425593862</vt:lpstr>
      <vt:lpstr>_vena_ControleIndelingPLNomUL_B1_R_3_787067506429788172</vt:lpstr>
      <vt:lpstr>_vena_ControleIndelingPLNomUL_B1_R_3_787067506442371085</vt:lpstr>
      <vt:lpstr>_vena_ControleIndelingPLNomUL_B1_R_3_787067506459148326</vt:lpstr>
      <vt:lpstr>_vena_ControleIndelingPLNomUL_B1_R_3_787067506467536902</vt:lpstr>
      <vt:lpstr>_vena_ControleIndelingPLNomUL_B1_R_3_787067506484314126</vt:lpstr>
      <vt:lpstr>_vena_ControleIndelingPLNomUL_B1_R_3_787067506509479942</vt:lpstr>
      <vt:lpstr>_vena_ControleIndelingPLNomUL_B1_R_3_787067506526257152</vt:lpstr>
      <vt:lpstr>_vena_ControleIndelingPLNomUL_B1_R_3_848292094858231812</vt:lpstr>
      <vt:lpstr>_vena_ControleIndelingPLNomUL_B1_R_3_947147459226107910</vt:lpstr>
      <vt:lpstr>_vena_ControleIndelingPLNomUL_B1_R_3_947147459238690817</vt:lpstr>
      <vt:lpstr>_vena_ControleIndelingPLNomUL_B1_R_3_947147459259662336</vt:lpstr>
      <vt:lpstr>_vena_ControleIndelingPLNomUL_B1_R_3_947147459272245252</vt:lpstr>
      <vt:lpstr>_vena_ControleIndelingPLNomUL_B1_R_3_947147459276439554</vt:lpstr>
      <vt:lpstr>_vena_ControleIndelingPLNomUL_B1_R_3_947147459284828166</vt:lpstr>
      <vt:lpstr>_vena_ControleIndelingPLNomUL_B1_R_3_947147459297411075</vt:lpstr>
      <vt:lpstr>_vena_ControleIndelingPLNomUL_B1_R_3_947147459318382595</vt:lpstr>
      <vt:lpstr>_vena_ControleIndelingPLNomUL_B1_R_3_947147459322576897</vt:lpstr>
      <vt:lpstr>_vena_ControleIndelingPLNomUL_B1_R_3_947147459377102859</vt:lpstr>
      <vt:lpstr>_vena_ControleIndelingPLNomUL_B1_R_3_947147459385491457</vt:lpstr>
      <vt:lpstr>_vena_ControleIndelingPLNomUL_B1_R_3_982737416803450901</vt:lpstr>
      <vt:lpstr>_vena_ControleIndelingPLNomUL_B1_R_3_982737416811839488</vt:lpstr>
      <vt:lpstr>_vena_ControleIndelingPLNomUL_B1_R_3_982737416862171137</vt:lpstr>
      <vt:lpstr>_vena_ControleIndelingPLNomUL_P_4_718931129058590721</vt:lpstr>
      <vt:lpstr>_vena_ControleIndelingPLNomUL_P_5_718931142656917509</vt:lpstr>
      <vt:lpstr>_vena_ControleIndelingPLNomUL_P_6_730565783391305729</vt:lpstr>
      <vt:lpstr>_vena_ControleIndelingPLNomUL_P_7_720673044374355968</vt:lpstr>
      <vt:lpstr>_vena_ControleIndelingQRT_B1_C_FV_18833718d1654aadbc8e26067c178bd5</vt:lpstr>
      <vt:lpstr>_vena_ControleIndelingQRT_B1_C_FV_a29e5bcf45ca496da8833af34d35696d</vt:lpstr>
      <vt:lpstr>_vena_ControleIndelingQRT_B1_R_3_1015700822930489354</vt:lpstr>
      <vt:lpstr>_vena_ControleIndelingQRT_B1_R_3_1015700822968238094</vt:lpstr>
      <vt:lpstr>_vena_ControleIndelingQRT_B1_R_3_1015700823039541261</vt:lpstr>
      <vt:lpstr>_vena_ControleIndelingQRT_B1_R_3_1015700823043735555</vt:lpstr>
      <vt:lpstr>_vena_ControleIndelingQRT_B1_R_3_1015700823056318487</vt:lpstr>
      <vt:lpstr>_vena_ControleIndelingQRT_B1_R_3_1015700823068901376</vt:lpstr>
      <vt:lpstr>_vena_ControleIndelingQRT_B1_R_3_1015700823081484316</vt:lpstr>
      <vt:lpstr>_vena_ControleIndelingQRT_B1_R_3_1051217086871765008</vt:lpstr>
      <vt:lpstr>_vena_ControleIndelingQRT_B1_R_3_718947653497389058</vt:lpstr>
      <vt:lpstr>_vena_ControleIndelingQRT_B1_R_3_718947653505777666</vt:lpstr>
      <vt:lpstr>_vena_ControleIndelingQRT_B1_R_3_718947653509971971</vt:lpstr>
      <vt:lpstr>_vena_ControleIndelingQRT_B1_R_3_718949073356980224</vt:lpstr>
      <vt:lpstr>_vena_ControleIndelingQRT_B1_R_3_718949073365368832</vt:lpstr>
      <vt:lpstr>_vena_ControleIndelingQRT_B1_R_3_718949073369563137</vt:lpstr>
      <vt:lpstr>_vena_ControleIndelingQRT_B1_R_3_718949073373757441</vt:lpstr>
      <vt:lpstr>_vena_ControleIndelingQRT_B1_R_3_718949073373757443</vt:lpstr>
      <vt:lpstr>_vena_ControleIndelingQRT_B1_R_3_718949073377951745</vt:lpstr>
      <vt:lpstr>_vena_ControleIndelingQRT_B1_R_3_718949073382146049</vt:lpstr>
      <vt:lpstr>_vena_ControleIndelingQRT_B1_R_3_718949073382146051</vt:lpstr>
      <vt:lpstr>_vena_ControleIndelingQRT_B1_R_3_718949073386340353</vt:lpstr>
      <vt:lpstr>_vena_ControleIndelingQRT_B1_R_3_718949073390534657</vt:lpstr>
      <vt:lpstr>_vena_ControleIndelingQRT_B1_R_3_718949073394728961</vt:lpstr>
      <vt:lpstr>_vena_ControleIndelingQRT_B1_R_3_718949073394728963</vt:lpstr>
      <vt:lpstr>_vena_ControleIndelingQRT_B1_R_3_718949073398923265</vt:lpstr>
      <vt:lpstr>_vena_ControleIndelingQRT_B1_R_3_718949073403117569</vt:lpstr>
      <vt:lpstr>_vena_ControleIndelingQRT_B1_R_3_718949073407311872</vt:lpstr>
      <vt:lpstr>_vena_ControleIndelingQRT_B1_R_3_718949073411506177</vt:lpstr>
      <vt:lpstr>_vena_ControleIndelingQRT_B1_R_3_718949073415700481</vt:lpstr>
      <vt:lpstr>_vena_ControleIndelingQRT_B1_R_3_718949073415700483</vt:lpstr>
      <vt:lpstr>_vena_ControleIndelingQRT_B1_R_3_718949073419894785</vt:lpstr>
      <vt:lpstr>_vena_ControleIndelingQRT_B1_R_3_718949073424089089</vt:lpstr>
      <vt:lpstr>_vena_ControleIndelingQRT_B1_R_3_718949073424089091</vt:lpstr>
      <vt:lpstr>_vena_ControleIndelingQRT_B1_R_3_718949073428283393</vt:lpstr>
      <vt:lpstr>_vena_ControleIndelingQRT_B1_R_3_718949073432477697</vt:lpstr>
      <vt:lpstr>_vena_ControleIndelingQRT_B1_R_3_718949073432477699</vt:lpstr>
      <vt:lpstr>_vena_ControleIndelingQRT_B1_R_3_718949073436672001</vt:lpstr>
      <vt:lpstr>_vena_ControleIndelingQRT_B1_R_3_718949073440866305</vt:lpstr>
      <vt:lpstr>_vena_ControleIndelingQRT_B1_R_3_718949073440866307</vt:lpstr>
      <vt:lpstr>_vena_ControleIndelingQRT_B1_R_3_718949073445060609</vt:lpstr>
      <vt:lpstr>_vena_ControleIndelingQRT_B1_R_3_718949073449254913</vt:lpstr>
      <vt:lpstr>_vena_ControleIndelingQRT_B1_R_3_718949073453449218</vt:lpstr>
      <vt:lpstr>_vena_ControleIndelingQRT_B1_R_3_718949073457643521</vt:lpstr>
      <vt:lpstr>_vena_ControleIndelingQRT_B1_R_3_718949073457643523</vt:lpstr>
      <vt:lpstr>_vena_ControleIndelingQRT_B1_R_3_718949073461837825</vt:lpstr>
      <vt:lpstr>_vena_ControleIndelingQRT_B1_R_3_718949073466032129</vt:lpstr>
      <vt:lpstr>_vena_ControleIndelingQRT_B1_R_3_718949073466032131</vt:lpstr>
      <vt:lpstr>_vena_ControleIndelingQRT_B1_R_3_718949073470226433</vt:lpstr>
      <vt:lpstr>_vena_ControleIndelingQRT_B1_R_3_718949073474420737</vt:lpstr>
      <vt:lpstr>_vena_ControleIndelingQRT_B1_R_3_718949073478615041</vt:lpstr>
      <vt:lpstr>_vena_ControleIndelingQRT_B1_R_3_718949073478615043</vt:lpstr>
      <vt:lpstr>_vena_ControleIndelingQRT_B1_R_3_718949073482809345</vt:lpstr>
      <vt:lpstr>_vena_ControleIndelingQRT_B1_R_3_718949073487003649</vt:lpstr>
      <vt:lpstr>_vena_ControleIndelingQRT_B1_R_3_718949073487003651</vt:lpstr>
      <vt:lpstr>_vena_ControleIndelingQRT_B1_R_3_718949073491197953</vt:lpstr>
      <vt:lpstr>_vena_ControleIndelingQRT_B1_R_3_718949073499586560</vt:lpstr>
      <vt:lpstr>_vena_ControleIndelingQRT_B1_R_3_718949073499586562</vt:lpstr>
      <vt:lpstr>_vena_ControleIndelingQRT_B1_R_3_718949073503780865</vt:lpstr>
      <vt:lpstr>_vena_ControleIndelingQRT_B1_R_3_718949073507975169</vt:lpstr>
      <vt:lpstr>_vena_ControleIndelingQRT_B1_R_3_718949073507975171</vt:lpstr>
      <vt:lpstr>_vena_ControleIndelingQRT_B1_R_3_718949073512169473</vt:lpstr>
      <vt:lpstr>_vena_ControleIndelingQRT_B1_R_3_718949073516363777</vt:lpstr>
      <vt:lpstr>_vena_ControleIndelingQRT_B1_R_3_718949073520558081</vt:lpstr>
      <vt:lpstr>_vena_ControleIndelingQRT_B1_R_3_718949073520558083</vt:lpstr>
      <vt:lpstr>_vena_ControleIndelingQRT_B1_R_3_718949073524752385</vt:lpstr>
      <vt:lpstr>_vena_ControleIndelingQRT_B1_R_3_718949073528946689</vt:lpstr>
      <vt:lpstr>_vena_ControleIndelingQRT_B1_R_3_718949073528946691</vt:lpstr>
      <vt:lpstr>_vena_ControleIndelingQRT_B1_R_3_718949073533140993</vt:lpstr>
      <vt:lpstr>_vena_ControleIndelingQRT_B1_R_3_718949073537335297</vt:lpstr>
      <vt:lpstr>_vena_ControleIndelingQRT_B1_R_3_718949073537335299</vt:lpstr>
      <vt:lpstr>_vena_ControleIndelingQRT_B1_R_3_718949073541529601</vt:lpstr>
      <vt:lpstr>_vena_ControleIndelingQRT_B1_R_3_718949073545723905</vt:lpstr>
      <vt:lpstr>_vena_ControleIndelingQRT_B1_R_3_718949073549918209</vt:lpstr>
      <vt:lpstr>_vena_ControleIndelingQRT_B1_R_3_718949073558306816</vt:lpstr>
      <vt:lpstr>_vena_ControleIndelingQRT_B1_R_3_718949073558306818</vt:lpstr>
      <vt:lpstr>_vena_ControleIndelingQRT_B1_R_3_718949073566695424</vt:lpstr>
      <vt:lpstr>_vena_ControleIndelingQRT_B1_R_3_718949073566695426</vt:lpstr>
      <vt:lpstr>_vena_ControleIndelingQRT_B1_R_3_718949073575084032</vt:lpstr>
      <vt:lpstr>_vena_ControleIndelingQRT_B1_R_3_718949073575084034</vt:lpstr>
      <vt:lpstr>_vena_ControleIndelingQRT_B1_R_3_718949073579278337</vt:lpstr>
      <vt:lpstr>_vena_ControleIndelingQRT_B1_R_3_718949073583472641</vt:lpstr>
      <vt:lpstr>_vena_ControleIndelingQRT_B1_R_3_718949073583472643</vt:lpstr>
      <vt:lpstr>_vena_ControleIndelingQRT_B1_R_3_718949073591861248</vt:lpstr>
      <vt:lpstr>_vena_ControleIndelingQRT_B1_R_3_718949073596055552</vt:lpstr>
      <vt:lpstr>_vena_ControleIndelingQRT_B1_R_3_718949073600249857</vt:lpstr>
      <vt:lpstr>_vena_ControleIndelingQRT_B1_R_3_718949073608638464</vt:lpstr>
      <vt:lpstr>_vena_ControleIndelingQRT_B1_R_3_718949073608638466</vt:lpstr>
      <vt:lpstr>_vena_ControleIndelingQRT_B1_R_3_718949073612832769</vt:lpstr>
      <vt:lpstr>_vena_ControleIndelingQRT_B1_R_3_718949073617027073</vt:lpstr>
      <vt:lpstr>_vena_ControleIndelingQRT_B1_R_3_718949073621221376</vt:lpstr>
      <vt:lpstr>_vena_ControleIndelingQRT_B1_R_3_718949073625415681</vt:lpstr>
      <vt:lpstr>_vena_ControleIndelingQRT_B1_R_3_718949073629609985</vt:lpstr>
      <vt:lpstr>_vena_ControleIndelingQRT_B1_R_3_718949073633804289</vt:lpstr>
      <vt:lpstr>_vena_ControleIndelingQRT_B1_R_3_718949073637998593</vt:lpstr>
      <vt:lpstr>_vena_ControleIndelingQRT_B1_R_3_718949073637998595</vt:lpstr>
      <vt:lpstr>_vena_ControleIndelingQRT_B1_R_3_718949073642192897</vt:lpstr>
      <vt:lpstr>_vena_ControleIndelingQRT_B1_R_3_718949073646387201</vt:lpstr>
      <vt:lpstr>_vena_ControleIndelingQRT_B1_R_3_718949073650581505</vt:lpstr>
      <vt:lpstr>_vena_ControleIndelingQRT_B1_R_3_718949073654775809</vt:lpstr>
      <vt:lpstr>_vena_ControleIndelingQRT_B1_R_3_718949073654775811</vt:lpstr>
      <vt:lpstr>_vena_ControleIndelingQRT_B1_R_3_718949073658970113</vt:lpstr>
      <vt:lpstr>_vena_ControleIndelingQRT_B1_R_3_718949073663164417</vt:lpstr>
      <vt:lpstr>_vena_ControleIndelingQRT_B1_R_3_718949073667358721</vt:lpstr>
      <vt:lpstr>_vena_ControleIndelingQRT_B1_R_3_718949073667358723</vt:lpstr>
      <vt:lpstr>_vena_ControleIndelingQRT_B1_R_3_718949073671553025</vt:lpstr>
      <vt:lpstr>_vena_ControleIndelingQRT_B1_R_3_718949073675747329</vt:lpstr>
      <vt:lpstr>_vena_ControleIndelingQRT_B1_R_3_718949073679941633</vt:lpstr>
      <vt:lpstr>_vena_ControleIndelingQRT_B1_R_3_718949073684135937</vt:lpstr>
      <vt:lpstr>_vena_ControleIndelingQRT_B1_R_3_718949073684135939</vt:lpstr>
      <vt:lpstr>_vena_ControleIndelingQRT_B1_R_3_718949073688330241</vt:lpstr>
      <vt:lpstr>_vena_ControleIndelingQRT_B1_R_3_718949073692524545</vt:lpstr>
      <vt:lpstr>_vena_ControleIndelingQRT_B1_R_3_718949073696718849</vt:lpstr>
      <vt:lpstr>_vena_ControleIndelingQRT_B1_R_3_718949073696718851</vt:lpstr>
      <vt:lpstr>_vena_ControleIndelingQRT_B1_R_3_718949073700913153</vt:lpstr>
      <vt:lpstr>_vena_ControleIndelingQRT_B1_R_3_718949073705107457</vt:lpstr>
      <vt:lpstr>_vena_ControleIndelingQRT_B1_R_3_718949073705107459</vt:lpstr>
      <vt:lpstr>_vena_ControleIndelingQRT_B1_R_3_718949073709301761</vt:lpstr>
      <vt:lpstr>_vena_ControleIndelingQRT_B1_R_3_718949073713496065</vt:lpstr>
      <vt:lpstr>_vena_ControleIndelingQRT_B1_R_3_718949073713496067</vt:lpstr>
      <vt:lpstr>_vena_ControleIndelingQRT_B1_R_3_718949073717690369</vt:lpstr>
      <vt:lpstr>_vena_ControleIndelingQRT_B1_R_3_718949073721884673</vt:lpstr>
      <vt:lpstr>_vena_ControleIndelingQRT_B1_R_3_718949073726078977</vt:lpstr>
      <vt:lpstr>_vena_ControleIndelingQRT_B1_R_3_718949073726078979</vt:lpstr>
      <vt:lpstr>_vena_ControleIndelingQRT_B1_R_3_718949073730273281</vt:lpstr>
      <vt:lpstr>_vena_ControleIndelingQRT_B1_R_3_718949073734467585</vt:lpstr>
      <vt:lpstr>_vena_ControleIndelingQRT_B1_R_3_718949073734467587</vt:lpstr>
      <vt:lpstr>_vena_ControleIndelingQRT_B1_R_3_718949073738661889</vt:lpstr>
      <vt:lpstr>_vena_ControleIndelingQRT_B1_R_3_718949073742856193</vt:lpstr>
      <vt:lpstr>_vena_ControleIndelingQRT_B1_R_3_718949073747050497</vt:lpstr>
      <vt:lpstr>_vena_ControleIndelingQRT_B1_R_3_718949073751244801</vt:lpstr>
      <vt:lpstr>_vena_ControleIndelingQRT_B1_R_3_718949073759633408</vt:lpstr>
      <vt:lpstr>_vena_ControleIndelingQRT_B1_R_3_718949073763827713</vt:lpstr>
      <vt:lpstr>_vena_ControleIndelingQRT_B1_R_3_718949073768022016</vt:lpstr>
      <vt:lpstr>_vena_ControleIndelingQRT_B1_R_3_718949073772216321</vt:lpstr>
      <vt:lpstr>_vena_ControleIndelingQRT_B1_R_3_718949073776410624</vt:lpstr>
      <vt:lpstr>_vena_ControleIndelingQRT_B1_R_3_718949073780604928</vt:lpstr>
      <vt:lpstr>_vena_ControleIndelingQRT_B1_R_3_718949073784799233</vt:lpstr>
      <vt:lpstr>_vena_ControleIndelingQRT_B1_R_3_718949073788993536</vt:lpstr>
      <vt:lpstr>_vena_ControleIndelingQRT_B1_R_3_718949073788993538</vt:lpstr>
      <vt:lpstr>_vena_ControleIndelingQRT_B1_R_3_718949073793187841</vt:lpstr>
      <vt:lpstr>_vena_ControleIndelingQRT_B1_R_3_718949073797382145</vt:lpstr>
      <vt:lpstr>_vena_ControleIndelingQRT_B1_R_3_718949073801576449</vt:lpstr>
      <vt:lpstr>_vena_ControleIndelingQRT_B1_R_3_718949073805770753</vt:lpstr>
      <vt:lpstr>_vena_ControleIndelingQRT_B1_R_3_718949073809965057</vt:lpstr>
      <vt:lpstr>_vena_ControleIndelingQRT_B1_R_3_718949073809965059</vt:lpstr>
      <vt:lpstr>_vena_ControleIndelingQRT_B1_R_3_718949073818353664</vt:lpstr>
      <vt:lpstr>_vena_ControleIndelingQRT_B1_R_3_718949073822547969</vt:lpstr>
      <vt:lpstr>_vena_ControleIndelingQRT_B1_R_3_718949073826742273</vt:lpstr>
      <vt:lpstr>_vena_ControleIndelingQRT_B1_R_3_718949073830936577</vt:lpstr>
      <vt:lpstr>_vena_ControleIndelingQRT_B1_R_3_718949073835130881</vt:lpstr>
      <vt:lpstr>_vena_ControleIndelingQRT_B1_R_3_718949073839325185</vt:lpstr>
      <vt:lpstr>_vena_ControleIndelingQRT_B1_R_3_718949073839325187</vt:lpstr>
      <vt:lpstr>_vena_ControleIndelingQRT_B1_R_3_718949073843519489</vt:lpstr>
      <vt:lpstr>_vena_ControleIndelingQRT_B1_R_3_718949073847713793</vt:lpstr>
      <vt:lpstr>_vena_ControleIndelingQRT_B1_R_3_718949073851908096</vt:lpstr>
      <vt:lpstr>_vena_ControleIndelingQRT_B1_R_3_718949073856102401</vt:lpstr>
      <vt:lpstr>_vena_ControleIndelingQRT_B1_R_3_718949073860296705</vt:lpstr>
      <vt:lpstr>_vena_ControleIndelingQRT_B1_R_3_718949073860296707</vt:lpstr>
      <vt:lpstr>_vena_ControleIndelingQRT_B1_R_3_718949073864491009</vt:lpstr>
      <vt:lpstr>_vena_ControleIndelingQRT_B1_R_3_718949073868685313</vt:lpstr>
      <vt:lpstr>_vena_ControleIndelingQRT_B1_R_3_718949073868685315</vt:lpstr>
      <vt:lpstr>_vena_ControleIndelingQRT_B1_R_3_718949073872879617</vt:lpstr>
      <vt:lpstr>_vena_ControleIndelingQRT_B1_R_3_718949073877073921</vt:lpstr>
      <vt:lpstr>_vena_ControleIndelingQRT_B1_R_3_718949073881268225</vt:lpstr>
      <vt:lpstr>_vena_ControleIndelingQRT_B1_R_3_718949073881268227</vt:lpstr>
      <vt:lpstr>_vena_ControleIndelingQRT_B1_R_3_718949073885462529</vt:lpstr>
      <vt:lpstr>_vena_ControleIndelingQRT_B1_R_3_718949073889656833</vt:lpstr>
      <vt:lpstr>_vena_ControleIndelingQRT_B1_R_3_718949073893851137</vt:lpstr>
      <vt:lpstr>_vena_ControleIndelingQRT_B1_R_3_718949073893851139</vt:lpstr>
      <vt:lpstr>_vena_ControleIndelingQRT_B1_R_3_718949073898045441</vt:lpstr>
      <vt:lpstr>_vena_ControleIndelingQRT_B1_R_3_718949073902239745</vt:lpstr>
      <vt:lpstr>_vena_ControleIndelingQRT_B1_R_3_718949073902239747</vt:lpstr>
      <vt:lpstr>_vena_ControleIndelingQRT_B1_R_3_718949073906434049</vt:lpstr>
      <vt:lpstr>_vena_ControleIndelingQRT_B1_R_3_718949073910628353</vt:lpstr>
      <vt:lpstr>_vena_ControleIndelingQRT_B1_R_3_718949073914822657</vt:lpstr>
      <vt:lpstr>_vena_ControleIndelingQRT_B1_R_3_718949073914822659</vt:lpstr>
      <vt:lpstr>_vena_ControleIndelingQRT_B1_R_3_718949073919016961</vt:lpstr>
      <vt:lpstr>_vena_ControleIndelingQRT_B1_R_3_718949073923211265</vt:lpstr>
      <vt:lpstr>_vena_ControleIndelingQRT_B1_R_3_718949073923211267</vt:lpstr>
      <vt:lpstr>_vena_ControleIndelingQRT_B1_R_3_718949073927405569</vt:lpstr>
      <vt:lpstr>_vena_ControleIndelingQRT_B1_R_3_718949073931599873</vt:lpstr>
      <vt:lpstr>_vena_ControleIndelingQRT_B1_R_3_718949073935794176</vt:lpstr>
      <vt:lpstr>_vena_ControleIndelingQRT_B1_R_3_718949073935794178</vt:lpstr>
      <vt:lpstr>_vena_ControleIndelingQRT_B1_R_3_718949073939988481</vt:lpstr>
      <vt:lpstr>_vena_ControleIndelingQRT_B1_R_3_718949073944182785</vt:lpstr>
      <vt:lpstr>_vena_ControleIndelingQRT_B1_R_3_718949073944182787</vt:lpstr>
      <vt:lpstr>_vena_ControleIndelingQRT_B1_R_3_718949073948377089</vt:lpstr>
      <vt:lpstr>_vena_ControleIndelingQRT_B1_R_3_718949073952571393</vt:lpstr>
      <vt:lpstr>_vena_ControleIndelingQRT_B1_R_3_718949073952571395</vt:lpstr>
      <vt:lpstr>_vena_ControleIndelingQRT_B1_R_3_718949073956765697</vt:lpstr>
      <vt:lpstr>_vena_ControleIndelingQRT_B1_R_3_718949073960960001</vt:lpstr>
      <vt:lpstr>_vena_ControleIndelingQRT_B1_R_3_718949073965154304</vt:lpstr>
      <vt:lpstr>_vena_ControleIndelingQRT_B1_R_3_718949073965154306</vt:lpstr>
      <vt:lpstr>_vena_ControleIndelingQRT_B1_R_3_718949073969348609</vt:lpstr>
      <vt:lpstr>_vena_ControleIndelingQRT_B1_R_3_718949073973542913</vt:lpstr>
      <vt:lpstr>_vena_ControleIndelingQRT_B1_R_3_718949073973542915</vt:lpstr>
      <vt:lpstr>_vena_ControleIndelingQRT_B1_R_3_718949073977737217</vt:lpstr>
      <vt:lpstr>_vena_ControleIndelingQRT_B1_R_3_718949073981931521</vt:lpstr>
      <vt:lpstr>_vena_ControleIndelingQRT_B1_R_3_718949073986125824</vt:lpstr>
      <vt:lpstr>_vena_ControleIndelingQRT_B1_R_3_718949073990320129</vt:lpstr>
      <vt:lpstr>_vena_ControleIndelingQRT_B1_R_3_718949073994514432</vt:lpstr>
      <vt:lpstr>_vena_ControleIndelingQRT_B1_R_3_718949073998708737</vt:lpstr>
      <vt:lpstr>_vena_ControleIndelingQRT_B1_R_3_718949073998708739</vt:lpstr>
      <vt:lpstr>_vena_ControleIndelingQRT_B1_R_3_718949074002903041</vt:lpstr>
      <vt:lpstr>_vena_ControleIndelingQRT_B1_R_3_718949074007097345</vt:lpstr>
      <vt:lpstr>_vena_ControleIndelingQRT_B1_R_3_718949074011291649</vt:lpstr>
      <vt:lpstr>_vena_ControleIndelingQRT_B1_R_3_718949074011291651</vt:lpstr>
      <vt:lpstr>_vena_ControleIndelingQRT_B1_R_3_718949074015485953</vt:lpstr>
      <vt:lpstr>_vena_ControleIndelingQRT_B1_R_3_718949074019680257</vt:lpstr>
      <vt:lpstr>_vena_ControleIndelingQRT_B1_R_3_718949074019680259</vt:lpstr>
      <vt:lpstr>_vena_ControleIndelingQRT_B1_R_3_718949074023874561</vt:lpstr>
      <vt:lpstr>_vena_ControleIndelingQRT_B1_R_3_718949074028068865</vt:lpstr>
      <vt:lpstr>_vena_ControleIndelingQRT_B1_R_3_718949074028068867</vt:lpstr>
      <vt:lpstr>_vena_ControleIndelingQRT_B1_R_3_718949074032263169</vt:lpstr>
      <vt:lpstr>_vena_ControleIndelingQRT_B1_R_3_718949074036457473</vt:lpstr>
      <vt:lpstr>_vena_ControleIndelingQRT_B1_R_3_718949074036457475</vt:lpstr>
      <vt:lpstr>_vena_ControleIndelingQRT_B1_R_3_718949074040651777</vt:lpstr>
      <vt:lpstr>_vena_ControleIndelingQRT_B1_R_3_718949074044846081</vt:lpstr>
      <vt:lpstr>_vena_ControleIndelingQRT_B1_R_3_718949074049040385</vt:lpstr>
      <vt:lpstr>_vena_ControleIndelingQRT_B1_R_3_718949074049040387</vt:lpstr>
      <vt:lpstr>_vena_ControleIndelingQRT_B1_R_3_718949074053234689</vt:lpstr>
      <vt:lpstr>_vena_ControleIndelingQRT_B1_R_3_718949074057428993</vt:lpstr>
      <vt:lpstr>_vena_ControleIndelingQRT_B1_R_3_718949074057428995</vt:lpstr>
      <vt:lpstr>_vena_ControleIndelingQRT_B1_R_3_718949074061623297</vt:lpstr>
      <vt:lpstr>_vena_ControleIndelingQRT_B1_R_3_718949074065817601</vt:lpstr>
      <vt:lpstr>_vena_ControleIndelingQRT_B1_R_3_718949074065817603</vt:lpstr>
      <vt:lpstr>_vena_ControleIndelingQRT_B1_R_3_718949074070011905</vt:lpstr>
      <vt:lpstr>_vena_ControleIndelingQRT_B1_R_3_718949074074206209</vt:lpstr>
      <vt:lpstr>_vena_ControleIndelingQRT_B1_R_3_718949074078400513</vt:lpstr>
      <vt:lpstr>_vena_ControleIndelingQRT_B1_R_3_718949074078400515</vt:lpstr>
      <vt:lpstr>_vena_ControleIndelingQRT_B1_R_3_718949074082594817</vt:lpstr>
      <vt:lpstr>_vena_ControleIndelingQRT_B1_R_3_718949074086789121</vt:lpstr>
      <vt:lpstr>_vena_ControleIndelingQRT_B1_R_3_718949074086789123</vt:lpstr>
      <vt:lpstr>_vena_ControleIndelingQRT_B1_R_3_718949074090983425</vt:lpstr>
      <vt:lpstr>_vena_ControleIndelingQRT_B1_R_3_718949074095177729</vt:lpstr>
      <vt:lpstr>_vena_ControleIndelingQRT_B1_R_3_718949074095177731</vt:lpstr>
      <vt:lpstr>_vena_ControleIndelingQRT_B1_R_3_718949074099372033</vt:lpstr>
      <vt:lpstr>_vena_ControleIndelingQRT_B1_R_3_718949074103566337</vt:lpstr>
      <vt:lpstr>_vena_ControleIndelingQRT_B1_R_3_718949074103566339</vt:lpstr>
      <vt:lpstr>_vena_ControleIndelingQRT_B1_R_3_718949074111954944</vt:lpstr>
      <vt:lpstr>_vena_ControleIndelingQRT_B1_R_3_718949074111954946</vt:lpstr>
      <vt:lpstr>_vena_ControleIndelingQRT_B1_R_3_718949074116149249</vt:lpstr>
      <vt:lpstr>_vena_ControleIndelingQRT_B1_R_3_718949074120343553</vt:lpstr>
      <vt:lpstr>_vena_ControleIndelingQRT_B1_R_3_718949074124537857</vt:lpstr>
      <vt:lpstr>_vena_ControleIndelingQRT_B1_R_3_718949074124537859</vt:lpstr>
      <vt:lpstr>_vena_ControleIndelingQRT_B1_R_3_718949074128732161</vt:lpstr>
      <vt:lpstr>_vena_ControleIndelingQRT_B1_R_3_718949074132926465</vt:lpstr>
      <vt:lpstr>_vena_ControleIndelingQRT_B1_R_3_718949074132926467</vt:lpstr>
      <vt:lpstr>_vena_ControleIndelingQRT_B1_R_3_718949074137120769</vt:lpstr>
      <vt:lpstr>_vena_ControleIndelingQRT_B1_R_3_718949074141315073</vt:lpstr>
      <vt:lpstr>_vena_ControleIndelingQRT_B1_R_3_718949074141315075</vt:lpstr>
      <vt:lpstr>_vena_ControleIndelingQRT_B1_R_3_718949074145509377</vt:lpstr>
      <vt:lpstr>_vena_ControleIndelingQRT_B1_R_3_718949074149703681</vt:lpstr>
      <vt:lpstr>_vena_ControleIndelingQRT_B1_R_3_718949074153897985</vt:lpstr>
      <vt:lpstr>_vena_ControleIndelingQRT_B1_R_3_718949074153897987</vt:lpstr>
      <vt:lpstr>_vena_ControleIndelingQRT_B1_R_3_718949074158092289</vt:lpstr>
      <vt:lpstr>_vena_ControleIndelingQRT_B1_R_3_718949074162286593</vt:lpstr>
      <vt:lpstr>_vena_ControleIndelingQRT_B1_R_3_718949074162286595</vt:lpstr>
      <vt:lpstr>_vena_ControleIndelingQRT_B1_R_3_718949074166480897</vt:lpstr>
      <vt:lpstr>_vena_ControleIndelingQRT_B1_R_3_718949074170675201</vt:lpstr>
      <vt:lpstr>_vena_ControleIndelingQRT_B1_R_3_718949074170675203</vt:lpstr>
      <vt:lpstr>_vena_ControleIndelingQRT_B1_R_3_718949074174869505</vt:lpstr>
      <vt:lpstr>_vena_ControleIndelingQRT_B1_R_3_718949074179063809</vt:lpstr>
      <vt:lpstr>_vena_ControleIndelingQRT_B1_R_3_718949074179063811</vt:lpstr>
      <vt:lpstr>_vena_ControleIndelingQRT_B1_R_3_718949074183258113</vt:lpstr>
      <vt:lpstr>_vena_ControleIndelingQRT_B1_R_3_718949074187452417</vt:lpstr>
      <vt:lpstr>_vena_ControleIndelingQRT_B1_R_3_718949074191646721</vt:lpstr>
      <vt:lpstr>_vena_ControleIndelingQRT_B1_R_3_718949074191646723</vt:lpstr>
      <vt:lpstr>_vena_ControleIndelingQRT_B1_R_3_718949074195841025</vt:lpstr>
      <vt:lpstr>_vena_ControleIndelingQRT_B1_R_3_718949074200035329</vt:lpstr>
      <vt:lpstr>_vena_ControleIndelingQRT_B1_R_3_718949074200035331</vt:lpstr>
      <vt:lpstr>_vena_ControleIndelingQRT_B1_R_3_718949074204229633</vt:lpstr>
      <vt:lpstr>_vena_ControleIndelingQRT_B1_R_3_718949074208423937</vt:lpstr>
      <vt:lpstr>_vena_ControleIndelingQRT_B1_R_3_718949074212618241</vt:lpstr>
      <vt:lpstr>_vena_ControleIndelingQRT_B1_R_3_718949074212618243</vt:lpstr>
      <vt:lpstr>_vena_ControleIndelingQRT_B1_R_3_718949074221006848</vt:lpstr>
      <vt:lpstr>_vena_ControleIndelingQRT_B1_R_3_718949074221006851</vt:lpstr>
      <vt:lpstr>_vena_ControleIndelingQRT_B1_R_3_718949074225201153</vt:lpstr>
      <vt:lpstr>_vena_ControleIndelingQRT_B1_R_3_718949074229395457</vt:lpstr>
      <vt:lpstr>_vena_ControleIndelingQRT_B1_R_3_718949074229395459</vt:lpstr>
      <vt:lpstr>_vena_ControleIndelingQRT_B1_R_3_718949074233589761</vt:lpstr>
      <vt:lpstr>_vena_ControleIndelingQRT_B1_R_3_718949074237784065</vt:lpstr>
      <vt:lpstr>_vena_ControleIndelingQRT_B1_R_3_718949074237784067</vt:lpstr>
      <vt:lpstr>_vena_ControleIndelingQRT_B1_R_3_718949074241978369</vt:lpstr>
      <vt:lpstr>_vena_ControleIndelingQRT_B1_R_3_718949074246172673</vt:lpstr>
      <vt:lpstr>_vena_ControleIndelingQRT_B1_R_3_718949074246172675</vt:lpstr>
      <vt:lpstr>_vena_ControleIndelingQRT_B1_R_3_718949074250366977</vt:lpstr>
      <vt:lpstr>_vena_ControleIndelingQRT_B1_R_3_718949074254561281</vt:lpstr>
      <vt:lpstr>_vena_ControleIndelingQRT_B1_R_3_718949074258755585</vt:lpstr>
      <vt:lpstr>_vena_ControleIndelingQRT_B1_R_3_718949074258755587</vt:lpstr>
      <vt:lpstr>_vena_ControleIndelingQRT_B1_R_3_718949074262949889</vt:lpstr>
      <vt:lpstr>_vena_ControleIndelingQRT_B1_R_3_718949074267144193</vt:lpstr>
      <vt:lpstr>_vena_ControleIndelingQRT_B1_R_3_718949074267144195</vt:lpstr>
      <vt:lpstr>_vena_ControleIndelingQRT_B1_R_3_718949074271338497</vt:lpstr>
      <vt:lpstr>_vena_ControleIndelingQRT_B1_R_3_725369226873012224</vt:lpstr>
      <vt:lpstr>_vena_ControleIndelingQRT_B1_R_3_741036978346524672</vt:lpstr>
      <vt:lpstr>_vena_ControleIndelingQRT_B1_R_3_741036978350718977</vt:lpstr>
      <vt:lpstr>_vena_ControleIndelingQRT_B1_R_3_741036978350718979</vt:lpstr>
      <vt:lpstr>_vena_ControleIndelingQRT_B1_R_3_741036978354913281</vt:lpstr>
      <vt:lpstr>_vena_ControleIndelingQRT_B1_R_3_741036978354913283</vt:lpstr>
      <vt:lpstr>_vena_ControleIndelingQRT_B1_R_3_741036978354913285</vt:lpstr>
      <vt:lpstr>_vena_ControleIndelingQRT_B1_R_3_741036978359107585</vt:lpstr>
      <vt:lpstr>_vena_ControleIndelingQRT_B1_R_3_741036978359107587</vt:lpstr>
      <vt:lpstr>_vena_ControleIndelingQRT_B1_R_3_741036978359107589</vt:lpstr>
      <vt:lpstr>_vena_ControleIndelingQRT_B1_R_3_741036978363301889</vt:lpstr>
      <vt:lpstr>_vena_ControleIndelingQRT_B1_R_3_741036978363301891</vt:lpstr>
      <vt:lpstr>_vena_ControleIndelingQRT_B1_R_3_741036978367496193</vt:lpstr>
      <vt:lpstr>_vena_ControleIndelingQRT_B1_R_3_741036978367496195</vt:lpstr>
      <vt:lpstr>_vena_ControleIndelingQRT_B1_R_3_741036978367496197</vt:lpstr>
      <vt:lpstr>_vena_ControleIndelingQRT_B1_R_3_741036978371690497</vt:lpstr>
      <vt:lpstr>_vena_ControleIndelingQRT_B1_R_3_741036978371690499</vt:lpstr>
      <vt:lpstr>_vena_ControleIndelingQRT_B1_R_3_741036978375884801</vt:lpstr>
      <vt:lpstr>_vena_ControleIndelingQRT_B1_R_3_741036978375884803</vt:lpstr>
      <vt:lpstr>_vena_ControleIndelingQRT_B1_R_3_741036978375884805</vt:lpstr>
      <vt:lpstr>_vena_ControleIndelingQRT_B1_R_3_741036978380079105</vt:lpstr>
      <vt:lpstr>_vena_ControleIndelingQRT_B1_R_3_741036978380079107</vt:lpstr>
      <vt:lpstr>_vena_ControleIndelingQRT_B1_R_3_741036978380079109</vt:lpstr>
      <vt:lpstr>_vena_ControleIndelingQRT_B1_R_3_741036978384273409</vt:lpstr>
      <vt:lpstr>_vena_ControleIndelingQRT_B1_R_3_741036978384273411</vt:lpstr>
      <vt:lpstr>_vena_ControleIndelingQRT_B1_R_3_741036978384273413</vt:lpstr>
      <vt:lpstr>_vena_ControleIndelingQRT_B1_R_3_741036978388467713</vt:lpstr>
      <vt:lpstr>_vena_ControleIndelingQRT_B1_R_3_741036978388467715</vt:lpstr>
      <vt:lpstr>_vena_ControleIndelingQRT_B1_R_3_741036978392662016</vt:lpstr>
      <vt:lpstr>_vena_ControleIndelingQRT_B1_R_3_745374605280018432</vt:lpstr>
      <vt:lpstr>_vena_ControleIndelingQRT_B1_R_3_745375016732721152</vt:lpstr>
      <vt:lpstr>_vena_ControleIndelingQRT_B1_R_3_745375106469593088</vt:lpstr>
      <vt:lpstr>_vena_ControleIndelingQRT_B1_R_3_787067506366873601</vt:lpstr>
      <vt:lpstr>_vena_ControleIndelingQRT_B1_R_3_787067506375262209</vt:lpstr>
      <vt:lpstr>_vena_ControleIndelingQRT_B1_R_3_787067506396233730</vt:lpstr>
      <vt:lpstr>_vena_ControleIndelingQRT_B1_R_3_787067506400428033</vt:lpstr>
      <vt:lpstr>_vena_ControleIndelingQRT_B1_R_3_787067506425593862</vt:lpstr>
      <vt:lpstr>_vena_ControleIndelingQRT_B1_R_3_787067506429788172</vt:lpstr>
      <vt:lpstr>_vena_ControleIndelingQRT_B1_R_3_787067506442371085</vt:lpstr>
      <vt:lpstr>_vena_ControleIndelingQRT_B1_R_3_787067506459148326</vt:lpstr>
      <vt:lpstr>_vena_ControleIndelingQRT_B1_R_3_787067506467536902</vt:lpstr>
      <vt:lpstr>_vena_ControleIndelingQRT_B1_R_3_787067506484314126</vt:lpstr>
      <vt:lpstr>_vena_ControleIndelingQRT_B1_R_3_787067506509479942</vt:lpstr>
      <vt:lpstr>_vena_ControleIndelingQRT_B1_R_3_787067506526257152</vt:lpstr>
      <vt:lpstr>_vena_ControleIndelingQRT_B1_R_3_848292094858231812</vt:lpstr>
      <vt:lpstr>_vena_ControleIndelingQRT_B1_R_3_947147459226107910</vt:lpstr>
      <vt:lpstr>_vena_ControleIndelingQRT_B1_R_3_947147459238690817</vt:lpstr>
      <vt:lpstr>_vena_ControleIndelingQRT_B1_R_3_947147459259662336</vt:lpstr>
      <vt:lpstr>_vena_ControleIndelingQRT_B1_R_3_947147459272245252</vt:lpstr>
      <vt:lpstr>_vena_ControleIndelingQRT_B1_R_3_947147459276439554</vt:lpstr>
      <vt:lpstr>_vena_ControleIndelingQRT_B1_R_3_947147459284828166</vt:lpstr>
      <vt:lpstr>_vena_ControleIndelingQRT_B1_R_3_947147459297411075</vt:lpstr>
      <vt:lpstr>_vena_ControleIndelingQRT_B1_R_3_947147459318382595</vt:lpstr>
      <vt:lpstr>_vena_ControleIndelingQRT_B1_R_3_947147459322576897</vt:lpstr>
      <vt:lpstr>_vena_ControleIndelingQRT_B1_R_3_947147459377102859</vt:lpstr>
      <vt:lpstr>_vena_ControleIndelingQRT_B1_R_3_947147459385491457</vt:lpstr>
      <vt:lpstr>_vena_ControleIndelingQRT_B1_R_3_982737416803450901</vt:lpstr>
      <vt:lpstr>_vena_ControleIndelingQRT_B1_R_3_982737416811839488</vt:lpstr>
      <vt:lpstr>_vena_ControleIndelingQRT_B1_R_3_982737416862171137</vt:lpstr>
      <vt:lpstr>_vena_ControleIndelingQRT_P_4_718931129058590721</vt:lpstr>
      <vt:lpstr>_vena_ControleIndelingQRT_P_5_718931142656917509</vt:lpstr>
      <vt:lpstr>_vena_ControleIndelingQRT_P_6_730565783391305729</vt:lpstr>
      <vt:lpstr>_vena_ControleIndelingQRT_P_7_720673044374355968</vt:lpstr>
      <vt:lpstr>_vena_ControleIndelingQRTSub_B1_C_FV_18833718d1654aadbc8e26067c178bd5</vt:lpstr>
      <vt:lpstr>_vena_ControleIndelingQRTSub_B1_C_FV_a29e5bcf45ca496da8833af34d35696d</vt:lpstr>
      <vt:lpstr>_vena_ControleIndelingQRTSub_B1_R_3_1015700822930489354</vt:lpstr>
      <vt:lpstr>_vena_ControleIndelingQRTSub_B1_R_3_1015700822968238094</vt:lpstr>
      <vt:lpstr>_vena_ControleIndelingQRTSub_B1_R_3_1015700823039541261</vt:lpstr>
      <vt:lpstr>_vena_ControleIndelingQRTSub_B1_R_3_1015700823043735555</vt:lpstr>
      <vt:lpstr>_vena_ControleIndelingQRTSub_B1_R_3_1015700823056318487</vt:lpstr>
      <vt:lpstr>_vena_ControleIndelingQRTSub_B1_R_3_1015700823068901376</vt:lpstr>
      <vt:lpstr>_vena_ControleIndelingQRTSub_B1_R_3_1015700823081484316</vt:lpstr>
      <vt:lpstr>_vena_ControleIndelingQRTSub_B1_R_3_1051217086871765008</vt:lpstr>
      <vt:lpstr>_vena_ControleIndelingQRTSub_B1_R_3_718947653497389058</vt:lpstr>
      <vt:lpstr>_vena_ControleIndelingQRTSub_B1_R_3_718947653505777666</vt:lpstr>
      <vt:lpstr>_vena_ControleIndelingQRTSub_B1_R_3_718947653509971971</vt:lpstr>
      <vt:lpstr>_vena_ControleIndelingQRTSub_B1_R_3_718949073356980224</vt:lpstr>
      <vt:lpstr>_vena_ControleIndelingQRTSub_B1_R_3_718949073365368832</vt:lpstr>
      <vt:lpstr>_vena_ControleIndelingQRTSub_B1_R_3_718949073369563137</vt:lpstr>
      <vt:lpstr>_vena_ControleIndelingQRTSub_B1_R_3_718949073373757441</vt:lpstr>
      <vt:lpstr>_vena_ControleIndelingQRTSub_B1_R_3_718949073373757443</vt:lpstr>
      <vt:lpstr>_vena_ControleIndelingQRTSub_B1_R_3_718949073377951745</vt:lpstr>
      <vt:lpstr>_vena_ControleIndelingQRTSub_B1_R_3_718949073382146049</vt:lpstr>
      <vt:lpstr>_vena_ControleIndelingQRTSub_B1_R_3_718949073382146051</vt:lpstr>
      <vt:lpstr>_vena_ControleIndelingQRTSub_B1_R_3_718949073386340353</vt:lpstr>
      <vt:lpstr>_vena_ControleIndelingQRTSub_B1_R_3_718949073390534657</vt:lpstr>
      <vt:lpstr>_vena_ControleIndelingQRTSub_B1_R_3_718949073394728961</vt:lpstr>
      <vt:lpstr>_vena_ControleIndelingQRTSub_B1_R_3_718949073394728963</vt:lpstr>
      <vt:lpstr>_vena_ControleIndelingQRTSub_B1_R_3_718949073398923265</vt:lpstr>
      <vt:lpstr>_vena_ControleIndelingQRTSub_B1_R_3_718949073403117569</vt:lpstr>
      <vt:lpstr>_vena_ControleIndelingQRTSub_B1_R_3_718949073407311872</vt:lpstr>
      <vt:lpstr>_vena_ControleIndelingQRTSub_B1_R_3_718949073411506177</vt:lpstr>
      <vt:lpstr>_vena_ControleIndelingQRTSub_B1_R_3_718949073415700481</vt:lpstr>
      <vt:lpstr>_vena_ControleIndelingQRTSub_B1_R_3_718949073415700483</vt:lpstr>
      <vt:lpstr>_vena_ControleIndelingQRTSub_B1_R_3_718949073419894785</vt:lpstr>
      <vt:lpstr>_vena_ControleIndelingQRTSub_B1_R_3_718949073424089089</vt:lpstr>
      <vt:lpstr>_vena_ControleIndelingQRTSub_B1_R_3_718949073424089091</vt:lpstr>
      <vt:lpstr>_vena_ControleIndelingQRTSub_B1_R_3_718949073428283393</vt:lpstr>
      <vt:lpstr>_vena_ControleIndelingQRTSub_B1_R_3_718949073432477697</vt:lpstr>
      <vt:lpstr>_vena_ControleIndelingQRTSub_B1_R_3_718949073432477699</vt:lpstr>
      <vt:lpstr>_vena_ControleIndelingQRTSub_B1_R_3_718949073436672001</vt:lpstr>
      <vt:lpstr>_vena_ControleIndelingQRTSub_B1_R_3_718949073440866305</vt:lpstr>
      <vt:lpstr>_vena_ControleIndelingQRTSub_B1_R_3_718949073440866307</vt:lpstr>
      <vt:lpstr>_vena_ControleIndelingQRTSub_B1_R_3_718949073445060609</vt:lpstr>
      <vt:lpstr>_vena_ControleIndelingQRTSub_B1_R_3_718949073449254913</vt:lpstr>
      <vt:lpstr>_vena_ControleIndelingQRTSub_B1_R_3_718949073453449218</vt:lpstr>
      <vt:lpstr>_vena_ControleIndelingQRTSub_B1_R_3_718949073457643521</vt:lpstr>
      <vt:lpstr>_vena_ControleIndelingQRTSub_B1_R_3_718949073457643523</vt:lpstr>
      <vt:lpstr>_vena_ControleIndelingQRTSub_B1_R_3_718949073461837825</vt:lpstr>
      <vt:lpstr>_vena_ControleIndelingQRTSub_B1_R_3_718949073466032129</vt:lpstr>
      <vt:lpstr>_vena_ControleIndelingQRTSub_B1_R_3_718949073466032131</vt:lpstr>
      <vt:lpstr>_vena_ControleIndelingQRTSub_B1_R_3_718949073470226433</vt:lpstr>
      <vt:lpstr>_vena_ControleIndelingQRTSub_B1_R_3_718949073474420737</vt:lpstr>
      <vt:lpstr>_vena_ControleIndelingQRTSub_B1_R_3_718949073478615041</vt:lpstr>
      <vt:lpstr>_vena_ControleIndelingQRTSub_B1_R_3_718949073478615043</vt:lpstr>
      <vt:lpstr>_vena_ControleIndelingQRTSub_B1_R_3_718949073482809345</vt:lpstr>
      <vt:lpstr>_vena_ControleIndelingQRTSub_B1_R_3_718949073487003649</vt:lpstr>
      <vt:lpstr>_vena_ControleIndelingQRTSub_B1_R_3_718949073487003651</vt:lpstr>
      <vt:lpstr>_vena_ControleIndelingQRTSub_B1_R_3_718949073491197953</vt:lpstr>
      <vt:lpstr>_vena_ControleIndelingQRTSub_B1_R_3_718949073499586560</vt:lpstr>
      <vt:lpstr>_vena_ControleIndelingQRTSub_B1_R_3_718949073499586562</vt:lpstr>
      <vt:lpstr>_vena_ControleIndelingQRTSub_B1_R_3_718949073503780865</vt:lpstr>
      <vt:lpstr>_vena_ControleIndelingQRTSub_B1_R_3_718949073507975169</vt:lpstr>
      <vt:lpstr>_vena_ControleIndelingQRTSub_B1_R_3_718949073507975171</vt:lpstr>
      <vt:lpstr>_vena_ControleIndelingQRTSub_B1_R_3_718949073512169473</vt:lpstr>
      <vt:lpstr>_vena_ControleIndelingQRTSub_B1_R_3_718949073516363777</vt:lpstr>
      <vt:lpstr>_vena_ControleIndelingQRTSub_B1_R_3_718949073520558081</vt:lpstr>
      <vt:lpstr>_vena_ControleIndelingQRTSub_B1_R_3_718949073520558083</vt:lpstr>
      <vt:lpstr>_vena_ControleIndelingQRTSub_B1_R_3_718949073524752385</vt:lpstr>
      <vt:lpstr>_vena_ControleIndelingQRTSub_B1_R_3_718949073528946689</vt:lpstr>
      <vt:lpstr>_vena_ControleIndelingQRTSub_B1_R_3_718949073528946691</vt:lpstr>
      <vt:lpstr>_vena_ControleIndelingQRTSub_B1_R_3_718949073533140993</vt:lpstr>
      <vt:lpstr>_vena_ControleIndelingQRTSub_B1_R_3_718949073537335297</vt:lpstr>
      <vt:lpstr>_vena_ControleIndelingQRTSub_B1_R_3_718949073537335299</vt:lpstr>
      <vt:lpstr>_vena_ControleIndelingQRTSub_B1_R_3_718949073541529601</vt:lpstr>
      <vt:lpstr>_vena_ControleIndelingQRTSub_B1_R_3_718949073545723905</vt:lpstr>
      <vt:lpstr>_vena_ControleIndelingQRTSub_B1_R_3_718949073549918209</vt:lpstr>
      <vt:lpstr>_vena_ControleIndelingQRTSub_B1_R_3_718949073558306816</vt:lpstr>
      <vt:lpstr>_vena_ControleIndelingQRTSub_B1_R_3_718949073558306818</vt:lpstr>
      <vt:lpstr>_vena_ControleIndelingQRTSub_B1_R_3_718949073566695424</vt:lpstr>
      <vt:lpstr>_vena_ControleIndelingQRTSub_B1_R_3_718949073566695426</vt:lpstr>
      <vt:lpstr>_vena_ControleIndelingQRTSub_B1_R_3_718949073575084032</vt:lpstr>
      <vt:lpstr>_vena_ControleIndelingQRTSub_B1_R_3_718949073575084034</vt:lpstr>
      <vt:lpstr>_vena_ControleIndelingQRTSub_B1_R_3_718949073579278337</vt:lpstr>
      <vt:lpstr>_vena_ControleIndelingQRTSub_B1_R_3_718949073583472641</vt:lpstr>
      <vt:lpstr>_vena_ControleIndelingQRTSub_B1_R_3_718949073583472643</vt:lpstr>
      <vt:lpstr>_vena_ControleIndelingQRTSub_B1_R_3_718949073591861248</vt:lpstr>
      <vt:lpstr>_vena_ControleIndelingQRTSub_B1_R_3_718949073596055552</vt:lpstr>
      <vt:lpstr>_vena_ControleIndelingQRTSub_B1_R_3_718949073600249857</vt:lpstr>
      <vt:lpstr>_vena_ControleIndelingQRTSub_B1_R_3_718949073608638464</vt:lpstr>
      <vt:lpstr>_vena_ControleIndelingQRTSub_B1_R_3_718949073608638466</vt:lpstr>
      <vt:lpstr>_vena_ControleIndelingQRTSub_B1_R_3_718949073612832769</vt:lpstr>
      <vt:lpstr>_vena_ControleIndelingQRTSub_B1_R_3_718949073617027073</vt:lpstr>
      <vt:lpstr>_vena_ControleIndelingQRTSub_B1_R_3_718949073621221376</vt:lpstr>
      <vt:lpstr>_vena_ControleIndelingQRTSub_B1_R_3_718949073625415681</vt:lpstr>
      <vt:lpstr>_vena_ControleIndelingQRTSub_B1_R_3_718949073629609985</vt:lpstr>
      <vt:lpstr>_vena_ControleIndelingQRTSub_B1_R_3_718949073633804289</vt:lpstr>
      <vt:lpstr>_vena_ControleIndelingQRTSub_B1_R_3_718949073637998593</vt:lpstr>
      <vt:lpstr>_vena_ControleIndelingQRTSub_B1_R_3_718949073637998595</vt:lpstr>
      <vt:lpstr>_vena_ControleIndelingQRTSub_B1_R_3_718949073642192897</vt:lpstr>
      <vt:lpstr>_vena_ControleIndelingQRTSub_B1_R_3_718949073646387201</vt:lpstr>
      <vt:lpstr>_vena_ControleIndelingQRTSub_B1_R_3_718949073650581505</vt:lpstr>
      <vt:lpstr>_vena_ControleIndelingQRTSub_B1_R_3_718949073654775809</vt:lpstr>
      <vt:lpstr>_vena_ControleIndelingQRTSub_B1_R_3_718949073654775811</vt:lpstr>
      <vt:lpstr>_vena_ControleIndelingQRTSub_B1_R_3_718949073658970113</vt:lpstr>
      <vt:lpstr>_vena_ControleIndelingQRTSub_B1_R_3_718949073663164417</vt:lpstr>
      <vt:lpstr>_vena_ControleIndelingQRTSub_B1_R_3_718949073667358721</vt:lpstr>
      <vt:lpstr>_vena_ControleIndelingQRTSub_B1_R_3_718949073667358723</vt:lpstr>
      <vt:lpstr>_vena_ControleIndelingQRTSub_B1_R_3_718949073671553025</vt:lpstr>
      <vt:lpstr>_vena_ControleIndelingQRTSub_B1_R_3_718949073675747329</vt:lpstr>
      <vt:lpstr>_vena_ControleIndelingQRTSub_B1_R_3_718949073679941633</vt:lpstr>
      <vt:lpstr>_vena_ControleIndelingQRTSub_B1_R_3_718949073684135937</vt:lpstr>
      <vt:lpstr>_vena_ControleIndelingQRTSub_B1_R_3_718949073684135939</vt:lpstr>
      <vt:lpstr>_vena_ControleIndelingQRTSub_B1_R_3_718949073688330241</vt:lpstr>
      <vt:lpstr>_vena_ControleIndelingQRTSub_B1_R_3_718949073692524545</vt:lpstr>
      <vt:lpstr>_vena_ControleIndelingQRTSub_B1_R_3_718949073696718849</vt:lpstr>
      <vt:lpstr>_vena_ControleIndelingQRTSub_B1_R_3_718949073696718851</vt:lpstr>
      <vt:lpstr>_vena_ControleIndelingQRTSub_B1_R_3_718949073700913153</vt:lpstr>
      <vt:lpstr>_vena_ControleIndelingQRTSub_B1_R_3_718949073705107457</vt:lpstr>
      <vt:lpstr>_vena_ControleIndelingQRTSub_B1_R_3_718949073705107459</vt:lpstr>
      <vt:lpstr>_vena_ControleIndelingQRTSub_B1_R_3_718949073709301761</vt:lpstr>
      <vt:lpstr>_vena_ControleIndelingQRTSub_B1_R_3_718949073713496065</vt:lpstr>
      <vt:lpstr>_vena_ControleIndelingQRTSub_B1_R_3_718949073713496067</vt:lpstr>
      <vt:lpstr>_vena_ControleIndelingQRTSub_B1_R_3_718949073717690369</vt:lpstr>
      <vt:lpstr>_vena_ControleIndelingQRTSub_B1_R_3_718949073721884673</vt:lpstr>
      <vt:lpstr>_vena_ControleIndelingQRTSub_B1_R_3_718949073726078977</vt:lpstr>
      <vt:lpstr>_vena_ControleIndelingQRTSub_B1_R_3_718949073726078979</vt:lpstr>
      <vt:lpstr>_vena_ControleIndelingQRTSub_B1_R_3_718949073730273281</vt:lpstr>
      <vt:lpstr>_vena_ControleIndelingQRTSub_B1_R_3_718949073734467585</vt:lpstr>
      <vt:lpstr>_vena_ControleIndelingQRTSub_B1_R_3_718949073734467587</vt:lpstr>
      <vt:lpstr>_vena_ControleIndelingQRTSub_B1_R_3_718949073738661889</vt:lpstr>
      <vt:lpstr>_vena_ControleIndelingQRTSub_B1_R_3_718949073742856193</vt:lpstr>
      <vt:lpstr>_vena_ControleIndelingQRTSub_B1_R_3_718949073747050497</vt:lpstr>
      <vt:lpstr>_vena_ControleIndelingQRTSub_B1_R_3_718949073751244801</vt:lpstr>
      <vt:lpstr>_vena_ControleIndelingQRTSub_B1_R_3_718949073759633408</vt:lpstr>
      <vt:lpstr>_vena_ControleIndelingQRTSub_B1_R_3_718949073763827713</vt:lpstr>
      <vt:lpstr>_vena_ControleIndelingQRTSub_B1_R_3_718949073768022016</vt:lpstr>
      <vt:lpstr>_vena_ControleIndelingQRTSub_B1_R_3_718949073772216321</vt:lpstr>
      <vt:lpstr>_vena_ControleIndelingQRTSub_B1_R_3_718949073776410624</vt:lpstr>
      <vt:lpstr>_vena_ControleIndelingQRTSub_B1_R_3_718949073780604928</vt:lpstr>
      <vt:lpstr>_vena_ControleIndelingQRTSub_B1_R_3_718949073784799233</vt:lpstr>
      <vt:lpstr>_vena_ControleIndelingQRTSub_B1_R_3_718949073788993536</vt:lpstr>
      <vt:lpstr>_vena_ControleIndelingQRTSub_B1_R_3_718949073788993538</vt:lpstr>
      <vt:lpstr>_vena_ControleIndelingQRTSub_B1_R_3_718949073793187841</vt:lpstr>
      <vt:lpstr>_vena_ControleIndelingQRTSub_B1_R_3_718949073797382145</vt:lpstr>
      <vt:lpstr>_vena_ControleIndelingQRTSub_B1_R_3_718949073801576449</vt:lpstr>
      <vt:lpstr>_vena_ControleIndelingQRTSub_B1_R_3_718949073805770753</vt:lpstr>
      <vt:lpstr>_vena_ControleIndelingQRTSub_B1_R_3_718949073809965057</vt:lpstr>
      <vt:lpstr>_vena_ControleIndelingQRTSub_B1_R_3_718949073809965059</vt:lpstr>
      <vt:lpstr>_vena_ControleIndelingQRTSub_B1_R_3_718949073818353664</vt:lpstr>
      <vt:lpstr>_vena_ControleIndelingQRTSub_B1_R_3_718949073822547969</vt:lpstr>
      <vt:lpstr>_vena_ControleIndelingQRTSub_B1_R_3_718949073826742273</vt:lpstr>
      <vt:lpstr>_vena_ControleIndelingQRTSub_B1_R_3_718949073830936577</vt:lpstr>
      <vt:lpstr>_vena_ControleIndelingQRTSub_B1_R_3_718949073835130881</vt:lpstr>
      <vt:lpstr>_vena_ControleIndelingQRTSub_B1_R_3_718949073839325185</vt:lpstr>
      <vt:lpstr>_vena_ControleIndelingQRTSub_B1_R_3_718949073839325187</vt:lpstr>
      <vt:lpstr>_vena_ControleIndelingQRTSub_B1_R_3_718949073843519489</vt:lpstr>
      <vt:lpstr>_vena_ControleIndelingQRTSub_B1_R_3_718949073847713793</vt:lpstr>
      <vt:lpstr>_vena_ControleIndelingQRTSub_B1_R_3_718949073851908096</vt:lpstr>
      <vt:lpstr>_vena_ControleIndelingQRTSub_B1_R_3_718949073856102401</vt:lpstr>
      <vt:lpstr>_vena_ControleIndelingQRTSub_B1_R_3_718949073860296705</vt:lpstr>
      <vt:lpstr>_vena_ControleIndelingQRTSub_B1_R_3_718949073860296707</vt:lpstr>
      <vt:lpstr>_vena_ControleIndelingQRTSub_B1_R_3_718949073864491009</vt:lpstr>
      <vt:lpstr>_vena_ControleIndelingQRTSub_B1_R_3_718949073868685313</vt:lpstr>
      <vt:lpstr>_vena_ControleIndelingQRTSub_B1_R_3_718949073868685315</vt:lpstr>
      <vt:lpstr>_vena_ControleIndelingQRTSub_B1_R_3_718949073872879617</vt:lpstr>
      <vt:lpstr>_vena_ControleIndelingQRTSub_B1_R_3_718949073877073921</vt:lpstr>
      <vt:lpstr>_vena_ControleIndelingQRTSub_B1_R_3_718949073881268225</vt:lpstr>
      <vt:lpstr>_vena_ControleIndelingQRTSub_B1_R_3_718949073881268227</vt:lpstr>
      <vt:lpstr>_vena_ControleIndelingQRTSub_B1_R_3_718949073885462529</vt:lpstr>
      <vt:lpstr>_vena_ControleIndelingQRTSub_B1_R_3_718949073889656833</vt:lpstr>
      <vt:lpstr>_vena_ControleIndelingQRTSub_B1_R_3_718949073893851137</vt:lpstr>
      <vt:lpstr>_vena_ControleIndelingQRTSub_B1_R_3_718949073893851139</vt:lpstr>
      <vt:lpstr>_vena_ControleIndelingQRTSub_B1_R_3_718949073898045441</vt:lpstr>
      <vt:lpstr>_vena_ControleIndelingQRTSub_B1_R_3_718949073902239745</vt:lpstr>
      <vt:lpstr>_vena_ControleIndelingQRTSub_B1_R_3_718949073902239747</vt:lpstr>
      <vt:lpstr>_vena_ControleIndelingQRTSub_B1_R_3_718949073906434049</vt:lpstr>
      <vt:lpstr>_vena_ControleIndelingQRTSub_B1_R_3_718949073910628353</vt:lpstr>
      <vt:lpstr>_vena_ControleIndelingQRTSub_B1_R_3_718949073914822657</vt:lpstr>
      <vt:lpstr>_vena_ControleIndelingQRTSub_B1_R_3_718949073914822659</vt:lpstr>
      <vt:lpstr>_vena_ControleIndelingQRTSub_B1_R_3_718949073919016961</vt:lpstr>
      <vt:lpstr>_vena_ControleIndelingQRTSub_B1_R_3_718949073923211265</vt:lpstr>
      <vt:lpstr>_vena_ControleIndelingQRTSub_B1_R_3_718949073923211267</vt:lpstr>
      <vt:lpstr>_vena_ControleIndelingQRTSub_B1_R_3_718949073927405569</vt:lpstr>
      <vt:lpstr>_vena_ControleIndelingQRTSub_B1_R_3_718949073931599873</vt:lpstr>
      <vt:lpstr>_vena_ControleIndelingQRTSub_B1_R_3_718949073935794176</vt:lpstr>
      <vt:lpstr>_vena_ControleIndelingQRTSub_B1_R_3_718949073935794178</vt:lpstr>
      <vt:lpstr>_vena_ControleIndelingQRTSub_B1_R_3_718949073939988481</vt:lpstr>
      <vt:lpstr>_vena_ControleIndelingQRTSub_B1_R_3_718949073944182785</vt:lpstr>
      <vt:lpstr>_vena_ControleIndelingQRTSub_B1_R_3_718949073944182787</vt:lpstr>
      <vt:lpstr>_vena_ControleIndelingQRTSub_B1_R_3_718949073948377089</vt:lpstr>
      <vt:lpstr>_vena_ControleIndelingQRTSub_B1_R_3_718949073952571393</vt:lpstr>
      <vt:lpstr>_vena_ControleIndelingQRTSub_B1_R_3_718949073952571395</vt:lpstr>
      <vt:lpstr>_vena_ControleIndelingQRTSub_B1_R_3_718949073956765697</vt:lpstr>
      <vt:lpstr>_vena_ControleIndelingQRTSub_B1_R_3_718949073960960001</vt:lpstr>
      <vt:lpstr>_vena_ControleIndelingQRTSub_B1_R_3_718949073965154304</vt:lpstr>
      <vt:lpstr>_vena_ControleIndelingQRTSub_B1_R_3_718949073965154306</vt:lpstr>
      <vt:lpstr>_vena_ControleIndelingQRTSub_B1_R_3_718949073969348609</vt:lpstr>
      <vt:lpstr>_vena_ControleIndelingQRTSub_B1_R_3_718949073973542913</vt:lpstr>
      <vt:lpstr>_vena_ControleIndelingQRTSub_B1_R_3_718949073973542915</vt:lpstr>
      <vt:lpstr>_vena_ControleIndelingQRTSub_B1_R_3_718949073977737217</vt:lpstr>
      <vt:lpstr>_vena_ControleIndelingQRTSub_B1_R_3_718949073981931521</vt:lpstr>
      <vt:lpstr>_vena_ControleIndelingQRTSub_B1_R_3_718949073986125824</vt:lpstr>
      <vt:lpstr>_vena_ControleIndelingQRTSub_B1_R_3_718949073990320129</vt:lpstr>
      <vt:lpstr>_vena_ControleIndelingQRTSub_B1_R_3_718949073994514432</vt:lpstr>
      <vt:lpstr>_vena_ControleIndelingQRTSub_B1_R_3_718949073998708737</vt:lpstr>
      <vt:lpstr>_vena_ControleIndelingQRTSub_B1_R_3_718949073998708739</vt:lpstr>
      <vt:lpstr>_vena_ControleIndelingQRTSub_B1_R_3_718949074002903041</vt:lpstr>
      <vt:lpstr>_vena_ControleIndelingQRTSub_B1_R_3_718949074007097345</vt:lpstr>
      <vt:lpstr>_vena_ControleIndelingQRTSub_B1_R_3_718949074011291649</vt:lpstr>
      <vt:lpstr>_vena_ControleIndelingQRTSub_B1_R_3_718949074011291651</vt:lpstr>
      <vt:lpstr>_vena_ControleIndelingQRTSub_B1_R_3_718949074015485953</vt:lpstr>
      <vt:lpstr>_vena_ControleIndelingQRTSub_B1_R_3_718949074019680257</vt:lpstr>
      <vt:lpstr>_vena_ControleIndelingQRTSub_B1_R_3_718949074019680259</vt:lpstr>
      <vt:lpstr>_vena_ControleIndelingQRTSub_B1_R_3_718949074023874561</vt:lpstr>
      <vt:lpstr>_vena_ControleIndelingQRTSub_B1_R_3_718949074028068865</vt:lpstr>
      <vt:lpstr>_vena_ControleIndelingQRTSub_B1_R_3_718949074028068867</vt:lpstr>
      <vt:lpstr>_vena_ControleIndelingQRTSub_B1_R_3_718949074032263169</vt:lpstr>
      <vt:lpstr>_vena_ControleIndelingQRTSub_B1_R_3_718949074036457473</vt:lpstr>
      <vt:lpstr>_vena_ControleIndelingQRTSub_B1_R_3_718949074036457475</vt:lpstr>
      <vt:lpstr>_vena_ControleIndelingQRTSub_B1_R_3_718949074040651777</vt:lpstr>
      <vt:lpstr>_vena_ControleIndelingQRTSub_B1_R_3_718949074044846081</vt:lpstr>
      <vt:lpstr>_vena_ControleIndelingQRTSub_B1_R_3_718949074049040385</vt:lpstr>
      <vt:lpstr>_vena_ControleIndelingQRTSub_B1_R_3_718949074049040387</vt:lpstr>
      <vt:lpstr>_vena_ControleIndelingQRTSub_B1_R_3_718949074053234689</vt:lpstr>
      <vt:lpstr>_vena_ControleIndelingQRTSub_B1_R_3_718949074057428993</vt:lpstr>
      <vt:lpstr>_vena_ControleIndelingQRTSub_B1_R_3_718949074057428995</vt:lpstr>
      <vt:lpstr>_vena_ControleIndelingQRTSub_B1_R_3_718949074061623297</vt:lpstr>
      <vt:lpstr>_vena_ControleIndelingQRTSub_B1_R_3_718949074065817601</vt:lpstr>
      <vt:lpstr>_vena_ControleIndelingQRTSub_B1_R_3_718949074065817603</vt:lpstr>
      <vt:lpstr>_vena_ControleIndelingQRTSub_B1_R_3_718949074070011905</vt:lpstr>
      <vt:lpstr>_vena_ControleIndelingQRTSub_B1_R_3_718949074074206209</vt:lpstr>
      <vt:lpstr>_vena_ControleIndelingQRTSub_B1_R_3_718949074078400513</vt:lpstr>
      <vt:lpstr>_vena_ControleIndelingQRTSub_B1_R_3_718949074078400515</vt:lpstr>
      <vt:lpstr>_vena_ControleIndelingQRTSub_B1_R_3_718949074082594817</vt:lpstr>
      <vt:lpstr>_vena_ControleIndelingQRTSub_B1_R_3_718949074086789121</vt:lpstr>
      <vt:lpstr>_vena_ControleIndelingQRTSub_B1_R_3_718949074086789123</vt:lpstr>
      <vt:lpstr>_vena_ControleIndelingQRTSub_B1_R_3_718949074090983425</vt:lpstr>
      <vt:lpstr>_vena_ControleIndelingQRTSub_B1_R_3_718949074095177729</vt:lpstr>
      <vt:lpstr>_vena_ControleIndelingQRTSub_B1_R_3_718949074095177731</vt:lpstr>
      <vt:lpstr>_vena_ControleIndelingQRTSub_B1_R_3_718949074099372033</vt:lpstr>
      <vt:lpstr>_vena_ControleIndelingQRTSub_B1_R_3_718949074103566337</vt:lpstr>
      <vt:lpstr>_vena_ControleIndelingQRTSub_B1_R_3_718949074103566339</vt:lpstr>
      <vt:lpstr>_vena_ControleIndelingQRTSub_B1_R_3_718949074111954944</vt:lpstr>
      <vt:lpstr>_vena_ControleIndelingQRTSub_B1_R_3_718949074111954946</vt:lpstr>
      <vt:lpstr>_vena_ControleIndelingQRTSub_B1_R_3_718949074116149249</vt:lpstr>
      <vt:lpstr>_vena_ControleIndelingQRTSub_B1_R_3_718949074120343553</vt:lpstr>
      <vt:lpstr>_vena_ControleIndelingQRTSub_B1_R_3_718949074124537857</vt:lpstr>
      <vt:lpstr>_vena_ControleIndelingQRTSub_B1_R_3_718949074124537859</vt:lpstr>
      <vt:lpstr>_vena_ControleIndelingQRTSub_B1_R_3_718949074128732161</vt:lpstr>
      <vt:lpstr>_vena_ControleIndelingQRTSub_B1_R_3_718949074132926465</vt:lpstr>
      <vt:lpstr>_vena_ControleIndelingQRTSub_B1_R_3_718949074132926467</vt:lpstr>
      <vt:lpstr>_vena_ControleIndelingQRTSub_B1_R_3_718949074137120769</vt:lpstr>
      <vt:lpstr>_vena_ControleIndelingQRTSub_B1_R_3_718949074141315073</vt:lpstr>
      <vt:lpstr>_vena_ControleIndelingQRTSub_B1_R_3_718949074141315075</vt:lpstr>
      <vt:lpstr>_vena_ControleIndelingQRTSub_B1_R_3_718949074145509377</vt:lpstr>
      <vt:lpstr>_vena_ControleIndelingQRTSub_B1_R_3_718949074149703681</vt:lpstr>
      <vt:lpstr>_vena_ControleIndelingQRTSub_B1_R_3_718949074153897985</vt:lpstr>
      <vt:lpstr>_vena_ControleIndelingQRTSub_B1_R_3_718949074153897987</vt:lpstr>
      <vt:lpstr>_vena_ControleIndelingQRTSub_B1_R_3_718949074158092289</vt:lpstr>
      <vt:lpstr>_vena_ControleIndelingQRTSub_B1_R_3_718949074162286593</vt:lpstr>
      <vt:lpstr>_vena_ControleIndelingQRTSub_B1_R_3_718949074162286595</vt:lpstr>
      <vt:lpstr>_vena_ControleIndelingQRTSub_B1_R_3_718949074166480897</vt:lpstr>
      <vt:lpstr>_vena_ControleIndelingQRTSub_B1_R_3_718949074170675201</vt:lpstr>
      <vt:lpstr>_vena_ControleIndelingQRTSub_B1_R_3_718949074170675203</vt:lpstr>
      <vt:lpstr>_vena_ControleIndelingQRTSub_B1_R_3_718949074174869505</vt:lpstr>
      <vt:lpstr>_vena_ControleIndelingQRTSub_B1_R_3_718949074179063809</vt:lpstr>
      <vt:lpstr>_vena_ControleIndelingQRTSub_B1_R_3_718949074179063811</vt:lpstr>
      <vt:lpstr>_vena_ControleIndelingQRTSub_B1_R_3_718949074183258113</vt:lpstr>
      <vt:lpstr>_vena_ControleIndelingQRTSub_B1_R_3_718949074187452417</vt:lpstr>
      <vt:lpstr>_vena_ControleIndelingQRTSub_B1_R_3_718949074191646721</vt:lpstr>
      <vt:lpstr>_vena_ControleIndelingQRTSub_B1_R_3_718949074191646723</vt:lpstr>
      <vt:lpstr>_vena_ControleIndelingQRTSub_B1_R_3_718949074195841025</vt:lpstr>
      <vt:lpstr>_vena_ControleIndelingQRTSub_B1_R_3_718949074200035329</vt:lpstr>
      <vt:lpstr>_vena_ControleIndelingQRTSub_B1_R_3_718949074200035331</vt:lpstr>
      <vt:lpstr>_vena_ControleIndelingQRTSub_B1_R_3_718949074204229633</vt:lpstr>
      <vt:lpstr>_vena_ControleIndelingQRTSub_B1_R_3_718949074208423937</vt:lpstr>
      <vt:lpstr>_vena_ControleIndelingQRTSub_B1_R_3_718949074212618241</vt:lpstr>
      <vt:lpstr>_vena_ControleIndelingQRTSub_B1_R_3_718949074212618243</vt:lpstr>
      <vt:lpstr>_vena_ControleIndelingQRTSub_B1_R_3_718949074221006848</vt:lpstr>
      <vt:lpstr>_vena_ControleIndelingQRTSub_B1_R_3_718949074221006851</vt:lpstr>
      <vt:lpstr>_vena_ControleIndelingQRTSub_B1_R_3_718949074225201153</vt:lpstr>
      <vt:lpstr>_vena_ControleIndelingQRTSub_B1_R_3_718949074229395457</vt:lpstr>
      <vt:lpstr>_vena_ControleIndelingQRTSub_B1_R_3_718949074229395459</vt:lpstr>
      <vt:lpstr>_vena_ControleIndelingQRTSub_B1_R_3_718949074233589761</vt:lpstr>
      <vt:lpstr>_vena_ControleIndelingQRTSub_B1_R_3_718949074237784065</vt:lpstr>
      <vt:lpstr>_vena_ControleIndelingQRTSub_B1_R_3_718949074237784067</vt:lpstr>
      <vt:lpstr>_vena_ControleIndelingQRTSub_B1_R_3_718949074241978369</vt:lpstr>
      <vt:lpstr>_vena_ControleIndelingQRTSub_B1_R_3_718949074246172673</vt:lpstr>
      <vt:lpstr>_vena_ControleIndelingQRTSub_B1_R_3_718949074246172675</vt:lpstr>
      <vt:lpstr>_vena_ControleIndelingQRTSub_B1_R_3_718949074250366977</vt:lpstr>
      <vt:lpstr>_vena_ControleIndelingQRTSub_B1_R_3_718949074254561281</vt:lpstr>
      <vt:lpstr>_vena_ControleIndelingQRTSub_B1_R_3_718949074258755585</vt:lpstr>
      <vt:lpstr>_vena_ControleIndelingQRTSub_B1_R_3_718949074258755587</vt:lpstr>
      <vt:lpstr>_vena_ControleIndelingQRTSub_B1_R_3_718949074262949889</vt:lpstr>
      <vt:lpstr>_vena_ControleIndelingQRTSub_B1_R_3_718949074267144193</vt:lpstr>
      <vt:lpstr>_vena_ControleIndelingQRTSub_B1_R_3_718949074267144195</vt:lpstr>
      <vt:lpstr>_vena_ControleIndelingQRTSub_B1_R_3_718949074271338497</vt:lpstr>
      <vt:lpstr>_vena_ControleIndelingQRTSub_B1_R_3_725369226873012224</vt:lpstr>
      <vt:lpstr>_vena_ControleIndelingQRTSub_B1_R_3_741036978346524672</vt:lpstr>
      <vt:lpstr>_vena_ControleIndelingQRTSub_B1_R_3_741036978350718977</vt:lpstr>
      <vt:lpstr>_vena_ControleIndelingQRTSub_B1_R_3_741036978350718979</vt:lpstr>
      <vt:lpstr>_vena_ControleIndelingQRTSub_B1_R_3_741036978354913281</vt:lpstr>
      <vt:lpstr>_vena_ControleIndelingQRTSub_B1_R_3_741036978354913283</vt:lpstr>
      <vt:lpstr>_vena_ControleIndelingQRTSub_B1_R_3_741036978354913285</vt:lpstr>
      <vt:lpstr>_vena_ControleIndelingQRTSub_B1_R_3_741036978359107585</vt:lpstr>
      <vt:lpstr>_vena_ControleIndelingQRTSub_B1_R_3_741036978359107587</vt:lpstr>
      <vt:lpstr>_vena_ControleIndelingQRTSub_B1_R_3_741036978359107589</vt:lpstr>
      <vt:lpstr>_vena_ControleIndelingQRTSub_B1_R_3_741036978363301889</vt:lpstr>
      <vt:lpstr>_vena_ControleIndelingQRTSub_B1_R_3_741036978363301891</vt:lpstr>
      <vt:lpstr>_vena_ControleIndelingQRTSub_B1_R_3_741036978367496193</vt:lpstr>
      <vt:lpstr>_vena_ControleIndelingQRTSub_B1_R_3_741036978367496195</vt:lpstr>
      <vt:lpstr>_vena_ControleIndelingQRTSub_B1_R_3_741036978367496197</vt:lpstr>
      <vt:lpstr>_vena_ControleIndelingQRTSub_B1_R_3_741036978371690497</vt:lpstr>
      <vt:lpstr>_vena_ControleIndelingQRTSub_B1_R_3_741036978371690499</vt:lpstr>
      <vt:lpstr>_vena_ControleIndelingQRTSub_B1_R_3_741036978375884801</vt:lpstr>
      <vt:lpstr>_vena_ControleIndelingQRTSub_B1_R_3_741036978375884803</vt:lpstr>
      <vt:lpstr>_vena_ControleIndelingQRTSub_B1_R_3_741036978375884805</vt:lpstr>
      <vt:lpstr>_vena_ControleIndelingQRTSub_B1_R_3_741036978380079105</vt:lpstr>
      <vt:lpstr>_vena_ControleIndelingQRTSub_B1_R_3_741036978380079107</vt:lpstr>
      <vt:lpstr>_vena_ControleIndelingQRTSub_B1_R_3_741036978380079109</vt:lpstr>
      <vt:lpstr>_vena_ControleIndelingQRTSub_B1_R_3_741036978384273409</vt:lpstr>
      <vt:lpstr>_vena_ControleIndelingQRTSub_B1_R_3_741036978384273411</vt:lpstr>
      <vt:lpstr>_vena_ControleIndelingQRTSub_B1_R_3_741036978384273413</vt:lpstr>
      <vt:lpstr>_vena_ControleIndelingQRTSub_B1_R_3_741036978388467713</vt:lpstr>
      <vt:lpstr>_vena_ControleIndelingQRTSub_B1_R_3_741036978388467715</vt:lpstr>
      <vt:lpstr>_vena_ControleIndelingQRTSub_B1_R_3_741036978392662016</vt:lpstr>
      <vt:lpstr>_vena_ControleIndelingQRTSub_B1_R_3_745374605280018432</vt:lpstr>
      <vt:lpstr>_vena_ControleIndelingQRTSub_B1_R_3_745375016732721152</vt:lpstr>
      <vt:lpstr>_vena_ControleIndelingQRTSub_B1_R_3_745375106469593088</vt:lpstr>
      <vt:lpstr>_vena_ControleIndelingQRTSub_B1_R_3_787067506366873601</vt:lpstr>
      <vt:lpstr>_vena_ControleIndelingQRTSub_B1_R_3_787067506375262209</vt:lpstr>
      <vt:lpstr>_vena_ControleIndelingQRTSub_B1_R_3_787067506396233730</vt:lpstr>
      <vt:lpstr>_vena_ControleIndelingQRTSub_B1_R_3_787067506400428033</vt:lpstr>
      <vt:lpstr>_vena_ControleIndelingQRTSub_B1_R_3_787067506425593862</vt:lpstr>
      <vt:lpstr>_vena_ControleIndelingQRTSub_B1_R_3_787067506429788172</vt:lpstr>
      <vt:lpstr>_vena_ControleIndelingQRTSub_B1_R_3_787067506442371085</vt:lpstr>
      <vt:lpstr>_vena_ControleIndelingQRTSub_B1_R_3_787067506459148326</vt:lpstr>
      <vt:lpstr>_vena_ControleIndelingQRTSub_B1_R_3_787067506467536902</vt:lpstr>
      <vt:lpstr>_vena_ControleIndelingQRTSub_B1_R_3_787067506484314126</vt:lpstr>
      <vt:lpstr>_vena_ControleIndelingQRTSub_B1_R_3_787067506509479942</vt:lpstr>
      <vt:lpstr>_vena_ControleIndelingQRTSub_B1_R_3_787067506526257152</vt:lpstr>
      <vt:lpstr>_vena_ControleIndelingQRTSub_B1_R_3_848292094858231812</vt:lpstr>
      <vt:lpstr>_vena_ControleIndelingQRTSub_B1_R_3_947147459226107910</vt:lpstr>
      <vt:lpstr>_vena_ControleIndelingQRTSub_B1_R_3_947147459238690817</vt:lpstr>
      <vt:lpstr>_vena_ControleIndelingQRTSub_B1_R_3_947147459259662336</vt:lpstr>
      <vt:lpstr>_vena_ControleIndelingQRTSub_B1_R_3_947147459272245252</vt:lpstr>
      <vt:lpstr>_vena_ControleIndelingQRTSub_B1_R_3_947147459276439554</vt:lpstr>
      <vt:lpstr>_vena_ControleIndelingQRTSub_B1_R_3_947147459284828166</vt:lpstr>
      <vt:lpstr>_vena_ControleIndelingQRTSub_B1_R_3_947147459297411075</vt:lpstr>
      <vt:lpstr>_vena_ControleIndelingQRTSub_B1_R_3_947147459318382595</vt:lpstr>
      <vt:lpstr>_vena_ControleIndelingQRTSub_B1_R_3_947147459322576897</vt:lpstr>
      <vt:lpstr>_vena_ControleIndelingQRTSub_B1_R_3_947147459377102859</vt:lpstr>
      <vt:lpstr>_vena_ControleIndelingQRTSub_B1_R_3_947147459385491457</vt:lpstr>
      <vt:lpstr>_vena_ControleIndelingQRTSub_B1_R_3_982737416803450901</vt:lpstr>
      <vt:lpstr>_vena_ControleIndelingQRTSub_B1_R_3_982737416811839488</vt:lpstr>
      <vt:lpstr>_vena_ControleIndelingQRTSub_B1_R_3_982737416862171137</vt:lpstr>
      <vt:lpstr>_vena_ControleIndelingQRTSub_P_4_718931129058590721</vt:lpstr>
      <vt:lpstr>_vena_ControleIndelingQRTSub_P_5_718931142656917509</vt:lpstr>
      <vt:lpstr>_vena_ControleIndelingQRTSub_P_6_730565783391305729</vt:lpstr>
      <vt:lpstr>_vena_ControleIndelingQRTSub_P_7_720673044374355968</vt:lpstr>
      <vt:lpstr>_vena_DYNR_SControleIndelingEPR_BB1_f8b5799c</vt:lpstr>
      <vt:lpstr>_vena_DYNR_SControleIndelingEPR_BB1_f8b5799c_3e711acd</vt:lpstr>
      <vt:lpstr>_vena_DYNR_SControleIndelingEPR_BB1_f8b5799c_82beed20</vt:lpstr>
      <vt:lpstr>_vena_DYNR_SControleIndelingEPR_BB1_f8b5799c_95645131</vt:lpstr>
      <vt:lpstr>_vena_DYNR_SControleIndelingEPR_BB1_f8b5799c_a7bc0dcd</vt:lpstr>
      <vt:lpstr>_vena_DYNR_SControleIndelingEPR_BB1_f8b5799c_a8271f4c</vt:lpstr>
      <vt:lpstr>_vena_DYNR_SControleIndelingEPR_BB1_f8b5799c_f0df2242</vt:lpstr>
      <vt:lpstr>_vena_DYNR_SControleIndelingHRG_BB1_183a5d0f</vt:lpstr>
      <vt:lpstr>_vena_DYNR_SControleIndelingHRG_BB1_183a5d0f_15734136</vt:lpstr>
      <vt:lpstr>_vena_DYNR_SControleIndelingHRG_BB1_183a5d0f_3456bc71</vt:lpstr>
      <vt:lpstr>_vena_DYNR_SControleIndelingHRG_BB1_183a5d0f_5314df43</vt:lpstr>
      <vt:lpstr>_vena_DYNR_SControleIndelingHRG_BB1_183a5d0f_5cb92276</vt:lpstr>
      <vt:lpstr>_vena_DYNR_SControleIndelingHRG_BB1_183a5d0f_61a8ed04</vt:lpstr>
      <vt:lpstr>_vena_DYNR_SControleIndelingHRG_BB1_183a5d0f_8cd1f626</vt:lpstr>
      <vt:lpstr>_vena_DYNR_SControleIndelingHRG_BB1_183a5d0f_8dc11b88</vt:lpstr>
      <vt:lpstr>_vena_DYNR_SControleIndelingHRG_BB1_183a5d0f_900b468d</vt:lpstr>
      <vt:lpstr>_vena_DYNR_SControleIndelingHRG_BB1_183a5d0f_d0ff11d4</vt:lpstr>
      <vt:lpstr>_vena_DYNR_SControleIndelingHRG_BB1_183a5d0f_d9e1395b</vt:lpstr>
      <vt:lpstr>_vena_DYNR_SControleIndelingHRG_BB1_183a5d0f_e2ce121f</vt:lpstr>
      <vt:lpstr>_vena_DYNR_SControleIndelingHRG_BB1_183a5d0f_f80d6f0c</vt:lpstr>
      <vt:lpstr>_vena_DYNR_SControleIndelingHRG_BB1_1cc39456</vt:lpstr>
      <vt:lpstr>_vena_DYNR_SControleIndelingHRG_BB1_1cc39456_d56df079</vt:lpstr>
      <vt:lpstr>_vena_DYNR_SControleIndelingHRG_BB1_265c482c</vt:lpstr>
      <vt:lpstr>_vena_DYNR_SControleIndelingHRG_BB1_265c482c_343645d1</vt:lpstr>
      <vt:lpstr>_vena_DYNR_SControleIndelingHRG_BB1_265c482c_84fb83a0</vt:lpstr>
      <vt:lpstr>_vena_DYNR_SControleIndelingHRG_BB1_265c482c_88ec08c2</vt:lpstr>
      <vt:lpstr>_vena_DYNR_SControleIndelingHRG_BB1_265c482c_92833aff</vt:lpstr>
      <vt:lpstr>_vena_DYNR_SControleIndelingHRG_BB1_265c482c_daec520b</vt:lpstr>
      <vt:lpstr>_vena_DYNR_SControleIndelingHRG_BB1_265c482c_e36d6313</vt:lpstr>
      <vt:lpstr>_vena_DYNR_SControleIndelingHRG_BB1_28bbe9d6</vt:lpstr>
      <vt:lpstr>_vena_DYNR_SControleIndelingHRG_BB1_28bbe9d6_1566a0eb</vt:lpstr>
      <vt:lpstr>_vena_DYNR_SControleIndelingHRG_BB1_28bbe9d6_22d7de3f</vt:lpstr>
      <vt:lpstr>_vena_DYNR_SControleIndelingHRG_BB1_28bbe9d6_239f227f</vt:lpstr>
      <vt:lpstr>_vena_DYNR_SControleIndelingHRG_BB1_28bbe9d6_6389642f</vt:lpstr>
      <vt:lpstr>_vena_DYNR_SControleIndelingHRG_BB1_28bbe9d6_75de8273</vt:lpstr>
      <vt:lpstr>_vena_DYNR_SControleIndelingHRG_BB1_28bbe9d6_82f7c71</vt:lpstr>
      <vt:lpstr>_vena_DYNR_SControleIndelingHRG_BB1_28bbe9d6_8bdf1f44</vt:lpstr>
      <vt:lpstr>_vena_DYNR_SControleIndelingHRG_BB1_28bbe9d6_8f8b1bf3</vt:lpstr>
      <vt:lpstr>_vena_DYNR_SControleIndelingHRG_BB1_28bbe9d6_92a7ad53</vt:lpstr>
      <vt:lpstr>_vena_DYNR_SControleIndelingHRG_BB1_28bbe9d6_97b2fdd1</vt:lpstr>
      <vt:lpstr>_vena_DYNR_SControleIndelingHRG_BB1_28bbe9d6_99d65b0c</vt:lpstr>
      <vt:lpstr>_vena_DYNR_SControleIndelingHRG_BB1_28bbe9d6_c42058d4</vt:lpstr>
      <vt:lpstr>_vena_DYNR_SControleIndelingHRG_BB1_28bbe9d6_cb3f5ac8</vt:lpstr>
      <vt:lpstr>_vena_DYNR_SControleIndelingHRG_BB1_28bbe9d6_d6ba0135</vt:lpstr>
      <vt:lpstr>_vena_DYNR_SControleIndelingHRG_BB1_28bbe9d6_d9c86f54</vt:lpstr>
      <vt:lpstr>_vena_DYNR_SControleIndelingHRG_BB1_28bbe9d6_da3d3e6c</vt:lpstr>
      <vt:lpstr>_vena_DYNR_SControleIndelingHRG_BB1_28bbe9d6_dcb5e11e</vt:lpstr>
      <vt:lpstr>_vena_DYNR_SControleIndelingHRG_BB1_28bbe9d6_df9db812</vt:lpstr>
      <vt:lpstr>_vena_DYNR_SControleIndelingHRG_BB1_28bbe9d6_f73a0596</vt:lpstr>
      <vt:lpstr>_vena_DYNR_SControleIndelingHRG_BB1_28bbe9d6_fa75d312</vt:lpstr>
      <vt:lpstr>_vena_DYNR_SControleIndelingHRG_BB1_306b4125</vt:lpstr>
      <vt:lpstr>_vena_DYNR_SControleIndelingHRG_BB1_306b4125_309a0f6d</vt:lpstr>
      <vt:lpstr>_vena_DYNR_SControleIndelingHRG_BB1_306b4125_4f8a9c3b</vt:lpstr>
      <vt:lpstr>_vena_DYNR_SControleIndelingHRG_BB1_306b4125_54f7d22f</vt:lpstr>
      <vt:lpstr>_vena_DYNR_SControleIndelingHRG_BB1_306b4125_62029ea2</vt:lpstr>
      <vt:lpstr>_vena_DYNR_SControleIndelingHRG_BB1_306b4125_cc502b5a</vt:lpstr>
      <vt:lpstr>_vena_DYNR_SControleIndelingHRG_BB1_306b4125_f1996a4a</vt:lpstr>
      <vt:lpstr>_vena_DYNR_SControleIndelingHRG_BB1_31c2b3f0</vt:lpstr>
      <vt:lpstr>_vena_DYNR_SControleIndelingHRG_BB1_31c2b3f0_45ff9de9</vt:lpstr>
      <vt:lpstr>_vena_DYNR_SControleIndelingHRG_BB1_31c2b3f0_893aca30</vt:lpstr>
      <vt:lpstr>_vena_DYNR_SControleIndelingHRG_BB1_31c2b3f0_a75a8bf7</vt:lpstr>
      <vt:lpstr>_vena_DYNR_SControleIndelingHRG_BB1_31c2b3f0_aaaa1170</vt:lpstr>
      <vt:lpstr>_vena_DYNR_SControleIndelingHRG_BB1_37716b4</vt:lpstr>
      <vt:lpstr>_vena_DYNR_SControleIndelingHRG_BB1_37716b4_72b6d41c</vt:lpstr>
      <vt:lpstr>_vena_DYNR_SControleIndelingHRG_BB1_37716b4_b16f3547</vt:lpstr>
      <vt:lpstr>_vena_DYNR_SControleIndelingHRG_BB1_37716b4_f33f9016</vt:lpstr>
      <vt:lpstr>_vena_DYNR_SControleIndelingHRG_BB1_41482e21</vt:lpstr>
      <vt:lpstr>_vena_DYNR_SControleIndelingHRG_BB1_41482e21_1c85db98</vt:lpstr>
      <vt:lpstr>_vena_DYNR_SControleIndelingHRG_BB1_41482e21_31aa8b3</vt:lpstr>
      <vt:lpstr>_vena_DYNR_SControleIndelingHRG_BB1_41482e21_3c712d13</vt:lpstr>
      <vt:lpstr>_vena_DYNR_SControleIndelingHRG_BB1_41482e21_576abc92</vt:lpstr>
      <vt:lpstr>_vena_DYNR_SControleIndelingHRG_BB1_41482e21_6319d0a</vt:lpstr>
      <vt:lpstr>_vena_DYNR_SControleIndelingHRG_BB1_41482e21_740965bf</vt:lpstr>
      <vt:lpstr>_vena_DYNR_SControleIndelingHRG_BB1_41482e21_9ee9b17b</vt:lpstr>
      <vt:lpstr>_vena_DYNR_SControleIndelingHRG_BB1_41482e21_a14705b0</vt:lpstr>
      <vt:lpstr>_vena_DYNR_SControleIndelingHRG_BB1_41482e21_ab0ccda6</vt:lpstr>
      <vt:lpstr>_vena_DYNR_SControleIndelingHRG_BB1_41482e21_be9ebacb</vt:lpstr>
      <vt:lpstr>_vena_DYNR_SControleIndelingHRG_BB1_41482e21_c4d66542</vt:lpstr>
      <vt:lpstr>_vena_DYNR_SControleIndelingHRG_BB1_41482e21_d20b59a</vt:lpstr>
      <vt:lpstr>_vena_DYNR_SControleIndelingHRG_BB1_41482e21_e2af3efd</vt:lpstr>
      <vt:lpstr>_vena_DYNR_SControleIndelingHRG_BB1_4235a38</vt:lpstr>
      <vt:lpstr>_vena_DYNR_SControleIndelingHRG_BB1_4235a38_142983c7</vt:lpstr>
      <vt:lpstr>_vena_DYNR_SControleIndelingHRG_BB1_4235a38_6bfb2ff6</vt:lpstr>
      <vt:lpstr>_vena_DYNR_SControleIndelingHRG_BB1_4235a38_8d03c1f9</vt:lpstr>
      <vt:lpstr>_vena_DYNR_SControleIndelingHRG_BB1_4235a38_9e5931ab</vt:lpstr>
      <vt:lpstr>_vena_DYNR_SControleIndelingHRG_BB1_4235a38_b81db32d</vt:lpstr>
      <vt:lpstr>_vena_DYNR_SControleIndelingHRG_BB1_4235a38_c62a5869</vt:lpstr>
      <vt:lpstr>_vena_DYNR_SControleIndelingHRG_BB1_4235a38_f216cbf</vt:lpstr>
      <vt:lpstr>_vena_DYNR_SControleIndelingHRG_BB1_63742b08</vt:lpstr>
      <vt:lpstr>_vena_DYNR_SControleIndelingHRG_BB1_63742b08_372c83a6</vt:lpstr>
      <vt:lpstr>_vena_DYNR_SControleIndelingHRG_BB1_63742b08_47d1eeee</vt:lpstr>
      <vt:lpstr>_vena_DYNR_SControleIndelingHRG_BB1_63742b08_72d97c15</vt:lpstr>
      <vt:lpstr>_vena_DYNR_SControleIndelingHRG_BB1_63742b08_825fab4a</vt:lpstr>
      <vt:lpstr>_vena_DYNR_SControleIndelingHRG_BB1_63742b08_8d59834b</vt:lpstr>
      <vt:lpstr>_vena_DYNR_SControleIndelingHRG_BB1_63742b08_9015ed27</vt:lpstr>
      <vt:lpstr>_vena_DYNR_SControleIndelingHRG_BB1_63742b08_945a94c8</vt:lpstr>
      <vt:lpstr>_vena_DYNR_SControleIndelingHRG_BB1_63742b08_9f8bc2ac</vt:lpstr>
      <vt:lpstr>_vena_DYNR_SControleIndelingHRG_BB1_63742b08_a419b1a4</vt:lpstr>
      <vt:lpstr>_vena_DYNR_SControleIndelingHRG_BB1_63742b08_b8d1ada4</vt:lpstr>
      <vt:lpstr>_vena_DYNR_SControleIndelingHRG_BB1_63742b08_e1854116</vt:lpstr>
      <vt:lpstr>_vena_DYNR_SControleIndelingHRG_BB1_63742b08_ed3d850c</vt:lpstr>
      <vt:lpstr>_vena_DYNR_SControleIndelingHRG_BB1_6c2f193e</vt:lpstr>
      <vt:lpstr>_vena_DYNR_SControleIndelingHRG_BB1_6c2f193e_287298c6</vt:lpstr>
      <vt:lpstr>_vena_DYNR_SControleIndelingHRG_BB1_6c2f193e_3ed4ab34</vt:lpstr>
      <vt:lpstr>_vena_DYNR_SControleIndelingHRG_BB1_6c2f193e_7878b3b1</vt:lpstr>
      <vt:lpstr>_vena_DYNR_SControleIndelingHRG_BB1_6c2f193e_a6dd7593</vt:lpstr>
      <vt:lpstr>_vena_DYNR_SControleIndelingHRG_BB1_6c2f193e_c63c9b88</vt:lpstr>
      <vt:lpstr>_vena_DYNR_SControleIndelingHRG_BB1_6c2f193e_ca4f5be</vt:lpstr>
      <vt:lpstr>_vena_DYNR_SControleIndelingHRG_BB1_6c2f193e_e64f54f7</vt:lpstr>
      <vt:lpstr>_vena_DYNR_SControleIndelingHRG_BB1_6c2f193e_f0e6e0df</vt:lpstr>
      <vt:lpstr>_vena_DYNR_SControleIndelingHRG_BB1_6c2f193e_f8eb7bd0</vt:lpstr>
      <vt:lpstr>_vena_DYNR_SControleIndelingHRG_BB1_6cb6327</vt:lpstr>
      <vt:lpstr>_vena_DYNR_SControleIndelingHRG_BB1_6cb6327_159e8cb6</vt:lpstr>
      <vt:lpstr>_vena_DYNR_SControleIndelingHRG_BB1_6cb6327_17ce69d0</vt:lpstr>
      <vt:lpstr>_vena_DYNR_SControleIndelingHRG_BB1_6cb6327_1a6417df</vt:lpstr>
      <vt:lpstr>_vena_DYNR_SControleIndelingHRG_BB1_6cb6327_2582221f</vt:lpstr>
      <vt:lpstr>_vena_DYNR_SControleIndelingHRG_BB1_6cb6327_266965d2</vt:lpstr>
      <vt:lpstr>_vena_DYNR_SControleIndelingHRG_BB1_6cb6327_30e88050</vt:lpstr>
      <vt:lpstr>_vena_DYNR_SControleIndelingHRG_BB1_6cb6327_30fd4d45</vt:lpstr>
      <vt:lpstr>_vena_DYNR_SControleIndelingHRG_BB1_6cb6327_325afaab</vt:lpstr>
      <vt:lpstr>_vena_DYNR_SControleIndelingHRG_BB1_6cb6327_339a92be</vt:lpstr>
      <vt:lpstr>_vena_DYNR_SControleIndelingHRG_BB1_6cb6327_33c59c2</vt:lpstr>
      <vt:lpstr>_vena_DYNR_SControleIndelingHRG_BB1_6cb6327_35633bf</vt:lpstr>
      <vt:lpstr>_vena_DYNR_SControleIndelingHRG_BB1_6cb6327_44138c15</vt:lpstr>
      <vt:lpstr>_vena_DYNR_SControleIndelingHRG_BB1_6cb6327_446f96af</vt:lpstr>
      <vt:lpstr>_vena_DYNR_SControleIndelingHRG_BB1_6cb6327_472e2cf2</vt:lpstr>
      <vt:lpstr>_vena_DYNR_SControleIndelingHRG_BB1_6cb6327_47c73b5d</vt:lpstr>
      <vt:lpstr>_vena_DYNR_SControleIndelingHRG_BB1_6cb6327_4d0c70ac</vt:lpstr>
      <vt:lpstr>_vena_DYNR_SControleIndelingHRG_BB1_6cb6327_54d86eef</vt:lpstr>
      <vt:lpstr>_vena_DYNR_SControleIndelingHRG_BB1_6cb6327_58350e9b</vt:lpstr>
      <vt:lpstr>_vena_DYNR_SControleIndelingHRG_BB1_6cb6327_5edd8736</vt:lpstr>
      <vt:lpstr>_vena_DYNR_SControleIndelingHRG_BB1_6cb6327_617e691d</vt:lpstr>
      <vt:lpstr>_vena_DYNR_SControleIndelingHRG_BB1_6cb6327_61a3b099</vt:lpstr>
      <vt:lpstr>_vena_DYNR_SControleIndelingHRG_BB1_6cb6327_673f684</vt:lpstr>
      <vt:lpstr>_vena_DYNR_SControleIndelingHRG_BB1_6cb6327_69883d34</vt:lpstr>
      <vt:lpstr>_vena_DYNR_SControleIndelingHRG_BB1_6cb6327_772317f9</vt:lpstr>
      <vt:lpstr>_vena_DYNR_SControleIndelingHRG_BB1_6cb6327_7bb86fb</vt:lpstr>
      <vt:lpstr>_vena_DYNR_SControleIndelingHRG_BB1_6cb6327_7f40b5f5</vt:lpstr>
      <vt:lpstr>_vena_DYNR_SControleIndelingHRG_BB1_6cb6327_81670bbd</vt:lpstr>
      <vt:lpstr>_vena_DYNR_SControleIndelingHRG_BB1_6cb6327_86e2f887</vt:lpstr>
      <vt:lpstr>_vena_DYNR_SControleIndelingHRG_BB1_6cb6327_88f0be4d</vt:lpstr>
      <vt:lpstr>_vena_DYNR_SControleIndelingHRG_BB1_6cb6327_8d89e56d</vt:lpstr>
      <vt:lpstr>_vena_DYNR_SControleIndelingHRG_BB1_6cb6327_8e23acdd</vt:lpstr>
      <vt:lpstr>_vena_DYNR_SControleIndelingHRG_BB1_6cb6327_8ed3ef36</vt:lpstr>
      <vt:lpstr>_vena_DYNR_SControleIndelingHRG_BB1_6cb6327_911abb6c</vt:lpstr>
      <vt:lpstr>_vena_DYNR_SControleIndelingHRG_BB1_6cb6327_9439847b</vt:lpstr>
      <vt:lpstr>_vena_DYNR_SControleIndelingHRG_BB1_6cb6327_9684a85d</vt:lpstr>
      <vt:lpstr>_vena_DYNR_SControleIndelingHRG_BB1_6cb6327_98321e20</vt:lpstr>
      <vt:lpstr>_vena_DYNR_SControleIndelingHRG_BB1_6cb6327_993b783c</vt:lpstr>
      <vt:lpstr>_vena_DYNR_SControleIndelingHRG_BB1_6cb6327_a64edf98</vt:lpstr>
      <vt:lpstr>_vena_DYNR_SControleIndelingHRG_BB1_6cb6327_ab8bb01</vt:lpstr>
      <vt:lpstr>_vena_DYNR_SControleIndelingHRG_BB1_6cb6327_b0e7cc1b</vt:lpstr>
      <vt:lpstr>_vena_DYNR_SControleIndelingHRG_BB1_6cb6327_b20b7386</vt:lpstr>
      <vt:lpstr>_vena_DYNR_SControleIndelingHRG_BB1_6cb6327_b2844e03</vt:lpstr>
      <vt:lpstr>_vena_DYNR_SControleIndelingHRG_BB1_6cb6327_b9507135</vt:lpstr>
      <vt:lpstr>_vena_DYNR_SControleIndelingHRG_BB1_6cb6327_bafdcbd8</vt:lpstr>
      <vt:lpstr>_vena_DYNR_SControleIndelingHRG_BB1_6cb6327_bbd0cea7</vt:lpstr>
      <vt:lpstr>_vena_DYNR_SControleIndelingHRG_BB1_6cb6327_bcedc7f9</vt:lpstr>
      <vt:lpstr>_vena_DYNR_SControleIndelingHRG_BB1_6cb6327_bd0b00e9</vt:lpstr>
      <vt:lpstr>_vena_DYNR_SControleIndelingHRG_BB1_6cb6327_bdcc99b0</vt:lpstr>
      <vt:lpstr>_vena_DYNR_SControleIndelingHRG_BB1_6cb6327_bdf4143</vt:lpstr>
      <vt:lpstr>_vena_DYNR_SControleIndelingHRG_BB1_6cb6327_c060325d</vt:lpstr>
      <vt:lpstr>_vena_DYNR_SControleIndelingHRG_BB1_6cb6327_c56c0ae</vt:lpstr>
      <vt:lpstr>_vena_DYNR_SControleIndelingHRG_BB1_6cb6327_c95a91b1</vt:lpstr>
      <vt:lpstr>_vena_DYNR_SControleIndelingHRG_BB1_6cb6327_cbc0581d</vt:lpstr>
      <vt:lpstr>_vena_DYNR_SControleIndelingHRG_BB1_6cb6327_cc770c65</vt:lpstr>
      <vt:lpstr>_vena_DYNR_SControleIndelingHRG_BB1_6cb6327_d03273f</vt:lpstr>
      <vt:lpstr>_vena_DYNR_SControleIndelingHRG_BB1_6cb6327_d17b09a7</vt:lpstr>
      <vt:lpstr>_vena_DYNR_SControleIndelingHRG_BB1_6cb6327_d25d30d6</vt:lpstr>
      <vt:lpstr>_vena_DYNR_SControleIndelingHRG_BB1_6cb6327_d8b4aada</vt:lpstr>
      <vt:lpstr>_vena_DYNR_SControleIndelingHRG_BB1_6cb6327_e3165403</vt:lpstr>
      <vt:lpstr>_vena_DYNR_SControleIndelingHRG_BB1_6cb6327_f18b6485</vt:lpstr>
      <vt:lpstr>_vena_DYNR_SControleIndelingHRG_BB1_6cb6327_f42a6255</vt:lpstr>
      <vt:lpstr>_vena_DYNR_SControleIndelingHRG_BB1_6cb6327_f6044cb6</vt:lpstr>
      <vt:lpstr>_vena_DYNR_SControleIndelingHRG_BB1_6cb6327_f653a76e</vt:lpstr>
      <vt:lpstr>_vena_DYNR_SControleIndelingHRG_BB1_6cb6327_fac68f60</vt:lpstr>
      <vt:lpstr>_vena_DYNR_SControleIndelingHRG_BB1_7054dad3</vt:lpstr>
      <vt:lpstr>_vena_DYNR_SControleIndelingHRG_BB1_7054dad3_68233e6d</vt:lpstr>
      <vt:lpstr>_vena_DYNR_SControleIndelingHRG_BB1_7054dad3_8f1251f6</vt:lpstr>
      <vt:lpstr>_vena_DYNR_SControleIndelingHRG_BB1_7054dad3_b1bdc13b</vt:lpstr>
      <vt:lpstr>_vena_DYNR_SControleIndelingHRG_BB1_7054dad3_c3ac09af</vt:lpstr>
      <vt:lpstr>_vena_DYNR_SControleIndelingHRG_BB1_7054dad3_f50f221f</vt:lpstr>
      <vt:lpstr>_vena_DYNR_SControleIndelingHRG_BB1_71718613</vt:lpstr>
      <vt:lpstr>_vena_DYNR_SControleIndelingHRG_BB1_71718613_2abd6f61</vt:lpstr>
      <vt:lpstr>_vena_DYNR_SControleIndelingHRG_BB1_71718613_418ff862</vt:lpstr>
      <vt:lpstr>_vena_DYNR_SControleIndelingHRG_BB1_71718613_53cb3f38</vt:lpstr>
      <vt:lpstr>_vena_DYNR_SControleIndelingHRG_BB1_71718613_7084a08c</vt:lpstr>
      <vt:lpstr>_vena_DYNR_SControleIndelingHRG_BB1_71718613_b07eb8e6</vt:lpstr>
      <vt:lpstr>_vena_DYNR_SControleIndelingHRG_BB1_71718613_c6020fff</vt:lpstr>
      <vt:lpstr>_vena_DYNR_SControleIndelingHRG_BB1_71718613_cfb491d0</vt:lpstr>
      <vt:lpstr>_vena_DYNR_SControleIndelingHRG_BB1_80216a58</vt:lpstr>
      <vt:lpstr>_vena_DYNR_SControleIndelingHRG_BB1_80216a58_374a3842</vt:lpstr>
      <vt:lpstr>_vena_DYNR_SControleIndelingHRG_BB1_80216a58_40a3a0c4</vt:lpstr>
      <vt:lpstr>_vena_DYNR_SControleIndelingHRG_BB1_80216a58_861ddeff</vt:lpstr>
      <vt:lpstr>_vena_DYNR_SControleIndelingHRG_BB1_83fbd2a7</vt:lpstr>
      <vt:lpstr>_vena_DYNR_SControleIndelingHRG_BB1_83fbd2a7_343cc20e</vt:lpstr>
      <vt:lpstr>_vena_DYNR_SControleIndelingHRG_BB1_83fbd2a7_4e086953</vt:lpstr>
      <vt:lpstr>_vena_DYNR_SControleIndelingHRG_BB1_83fbd2a7_5929f5b5</vt:lpstr>
      <vt:lpstr>_vena_DYNR_SControleIndelingHRG_BB1_83fbd2a7_be79fd0f</vt:lpstr>
      <vt:lpstr>_vena_DYNR_SControleIndelingHRG_BB1_83fbd2a7_c9967d52</vt:lpstr>
      <vt:lpstr>_vena_DYNR_SControleIndelingHRG_BB1_90d5ac30</vt:lpstr>
      <vt:lpstr>_vena_DYNR_SControleIndelingHRG_BB1_90d5ac30_4bc604d1</vt:lpstr>
      <vt:lpstr>_vena_DYNR_SControleIndelingHRG_BB1_90d5ac30_5f935071</vt:lpstr>
      <vt:lpstr>_vena_DYNR_SControleIndelingHRG_BB1_90d5ac30_6162d906</vt:lpstr>
      <vt:lpstr>_vena_DYNR_SControleIndelingHRG_BB1_90d5ac30_7589eff7</vt:lpstr>
      <vt:lpstr>_vena_DYNR_SControleIndelingHRG_BB1_90d5ac30_7bcd5306</vt:lpstr>
      <vt:lpstr>_vena_DYNR_SControleIndelingHRG_BB1_90d5ac30_7e33e879</vt:lpstr>
      <vt:lpstr>_vena_DYNR_SControleIndelingHRG_BB1_90d5ac30_7fdc768c</vt:lpstr>
      <vt:lpstr>_vena_DYNR_SControleIndelingHRG_BB1_90d5ac30_98ca4368</vt:lpstr>
      <vt:lpstr>_vena_DYNR_SControleIndelingHRG_BB1_90d5ac30_abfdba55</vt:lpstr>
      <vt:lpstr>_vena_DYNR_SControleIndelingHRG_BB1_90d5ac30_d7b12127</vt:lpstr>
      <vt:lpstr>_vena_DYNR_SControleIndelingHRG_BB1_90d5ac30_efa6e15a</vt:lpstr>
      <vt:lpstr>_vena_DYNR_SControleIndelingHRG_BB1_90d5ac30_f3e4a5cd</vt:lpstr>
      <vt:lpstr>_vena_DYNR_SControleIndelingHRG_BB1_94d8432c</vt:lpstr>
      <vt:lpstr>_vena_DYNR_SControleIndelingHRG_BB1_94d8432c_15566e18</vt:lpstr>
      <vt:lpstr>_vena_DYNR_SControleIndelingHRG_BB1_94d8432c_2e486b78</vt:lpstr>
      <vt:lpstr>_vena_DYNR_SControleIndelingHRG_BB1_94d8432c_739bfceb</vt:lpstr>
      <vt:lpstr>_vena_DYNR_SControleIndelingHRG_BB1_94d8432c_ada7b8af</vt:lpstr>
      <vt:lpstr>_vena_DYNR_SControleIndelingHRG_BB1_94d8432c_b8ebc444</vt:lpstr>
      <vt:lpstr>_vena_DYNR_SControleIndelingHRG_BB1_99b26d84</vt:lpstr>
      <vt:lpstr>_vena_DYNR_SControleIndelingHRG_BB1_99b26d84_29b8f53b</vt:lpstr>
      <vt:lpstr>_vena_DYNR_SControleIndelingHRG_BB1_99b26d84_2fdd954c</vt:lpstr>
      <vt:lpstr>_vena_DYNR_SControleIndelingHRG_BB1_99b26d84_3561776a</vt:lpstr>
      <vt:lpstr>_vena_DYNR_SControleIndelingHRG_BB1_99b26d84_3948a512</vt:lpstr>
      <vt:lpstr>_vena_DYNR_SControleIndelingHRG_BB1_99b26d84_70736a1b</vt:lpstr>
      <vt:lpstr>_vena_DYNR_SControleIndelingHRG_BB1_99b26d84_79de8dd2</vt:lpstr>
      <vt:lpstr>_vena_DYNR_SControleIndelingHRG_BB1_99b26d84_a12ed933</vt:lpstr>
      <vt:lpstr>_vena_DYNR_SControleIndelingHRG_BB1_99b26d84_b87c127d</vt:lpstr>
      <vt:lpstr>_vena_DYNR_SControleIndelingHRG_BB1_99b26d84_c719a5d3</vt:lpstr>
      <vt:lpstr>_vena_DYNR_SControleIndelingHRG_BB1_99b26d84_eab3c175</vt:lpstr>
      <vt:lpstr>_vena_DYNR_SControleIndelingHRG_BB1_99b26d84_ee7a479b</vt:lpstr>
      <vt:lpstr>_vena_DYNR_SControleIndelingHRG_BB1_9dbc3d7b</vt:lpstr>
      <vt:lpstr>_vena_DYNR_SControleIndelingHRG_BB1_9dbc3d7b_46c52434</vt:lpstr>
      <vt:lpstr>_vena_DYNR_SControleIndelingHRG_BB1_9dbc3d7b_5ea59bb9</vt:lpstr>
      <vt:lpstr>_vena_DYNR_SControleIndelingHRG_BB1_9dbc3d7b_a58dc478</vt:lpstr>
      <vt:lpstr>_vena_DYNR_SControleIndelingHRG_BB1_9dbc3d7b_fb0fcb7b</vt:lpstr>
      <vt:lpstr>_vena_DYNR_SControleIndelingHRG_BB1_b359501</vt:lpstr>
      <vt:lpstr>_vena_DYNR_SControleIndelingHRG_BB1_b359501_10548901</vt:lpstr>
      <vt:lpstr>_vena_DYNR_SControleIndelingHRG_BB1_b359501_15b9b618</vt:lpstr>
      <vt:lpstr>_vena_DYNR_SControleIndelingHRG_BB1_b359501_16f757b</vt:lpstr>
      <vt:lpstr>_vena_DYNR_SControleIndelingHRG_BB1_b359501_1dd3c9d4</vt:lpstr>
      <vt:lpstr>_vena_DYNR_SControleIndelingHRG_BB1_b359501_1f9d5ed2</vt:lpstr>
      <vt:lpstr>_vena_DYNR_SControleIndelingHRG_BB1_b359501_21ab3694</vt:lpstr>
      <vt:lpstr>_vena_DYNR_SControleIndelingHRG_BB1_b359501_26957368</vt:lpstr>
      <vt:lpstr>_vena_DYNR_SControleIndelingHRG_BB1_b359501_2808bc08</vt:lpstr>
      <vt:lpstr>_vena_DYNR_SControleIndelingHRG_BB1_b359501_2ceb15a1</vt:lpstr>
      <vt:lpstr>_vena_DYNR_SControleIndelingHRG_BB1_b359501_2df46d72</vt:lpstr>
      <vt:lpstr>_vena_DYNR_SControleIndelingHRG_BB1_b359501_2eb63fe</vt:lpstr>
      <vt:lpstr>_vena_DYNR_SControleIndelingHRG_BB1_b359501_3bd789e9</vt:lpstr>
      <vt:lpstr>_vena_DYNR_SControleIndelingHRG_BB1_b359501_3c0b6d20</vt:lpstr>
      <vt:lpstr>_vena_DYNR_SControleIndelingHRG_BB1_b359501_47a07994</vt:lpstr>
      <vt:lpstr>_vena_DYNR_SControleIndelingHRG_BB1_b359501_4aa2fd6f</vt:lpstr>
      <vt:lpstr>_vena_DYNR_SControleIndelingHRG_BB1_b359501_54a1f8fe</vt:lpstr>
      <vt:lpstr>_vena_DYNR_SControleIndelingHRG_BB1_b359501_59c6b2a3</vt:lpstr>
      <vt:lpstr>_vena_DYNR_SControleIndelingHRG_BB1_b359501_5e5c3bf7</vt:lpstr>
      <vt:lpstr>_vena_DYNR_SControleIndelingHRG_BB1_b359501_5f57e3de</vt:lpstr>
      <vt:lpstr>_vena_DYNR_SControleIndelingHRG_BB1_b359501_600a9f0f</vt:lpstr>
      <vt:lpstr>_vena_DYNR_SControleIndelingHRG_BB1_b359501_649d3b01</vt:lpstr>
      <vt:lpstr>_vena_DYNR_SControleIndelingHRG_BB1_b359501_65b01ba9</vt:lpstr>
      <vt:lpstr>_vena_DYNR_SControleIndelingHRG_BB1_b359501_66e76224</vt:lpstr>
      <vt:lpstr>_vena_DYNR_SControleIndelingHRG_BB1_b359501_6b09a8fc</vt:lpstr>
      <vt:lpstr>_vena_DYNR_SControleIndelingHRG_BB1_b359501_6d82d29f</vt:lpstr>
      <vt:lpstr>_vena_DYNR_SControleIndelingHRG_BB1_b359501_6ea30732</vt:lpstr>
      <vt:lpstr>_vena_DYNR_SControleIndelingHRG_BB1_b359501_7b6e0db9</vt:lpstr>
      <vt:lpstr>_vena_DYNR_SControleIndelingHRG_BB1_b359501_7c54461c</vt:lpstr>
      <vt:lpstr>_vena_DYNR_SControleIndelingHRG_BB1_b359501_7e2dde83</vt:lpstr>
      <vt:lpstr>_vena_DYNR_SControleIndelingHRG_BB1_b359501_8393cf5c</vt:lpstr>
      <vt:lpstr>_vena_DYNR_SControleIndelingHRG_BB1_b359501_878ae49b</vt:lpstr>
      <vt:lpstr>_vena_DYNR_SControleIndelingHRG_BB1_b359501_8c9e0392</vt:lpstr>
      <vt:lpstr>_vena_DYNR_SControleIndelingHRG_BB1_b359501_9736c626</vt:lpstr>
      <vt:lpstr>_vena_DYNR_SControleIndelingHRG_BB1_b359501_97eb101a</vt:lpstr>
      <vt:lpstr>_vena_DYNR_SControleIndelingHRG_BB1_b359501_9b1eb2ac</vt:lpstr>
      <vt:lpstr>_vena_DYNR_SControleIndelingHRG_BB1_b359501_a754203a</vt:lpstr>
      <vt:lpstr>_vena_DYNR_SControleIndelingHRG_BB1_b359501_b09f0074</vt:lpstr>
      <vt:lpstr>_vena_DYNR_SControleIndelingHRG_BB1_b359501_b3ce1e84</vt:lpstr>
      <vt:lpstr>_vena_DYNR_SControleIndelingHRG_BB1_b359501_b8f595ef</vt:lpstr>
      <vt:lpstr>_vena_DYNR_SControleIndelingHRG_BB1_b359501_c46d3463</vt:lpstr>
      <vt:lpstr>_vena_DYNR_SControleIndelingHRG_BB1_b359501_c5f9d493</vt:lpstr>
      <vt:lpstr>_vena_DYNR_SControleIndelingHRG_BB1_b359501_c6423743</vt:lpstr>
      <vt:lpstr>_vena_DYNR_SControleIndelingHRG_BB1_b359501_cf88b606</vt:lpstr>
      <vt:lpstr>_vena_DYNR_SControleIndelingHRG_BB1_b359501_e0a3d841</vt:lpstr>
      <vt:lpstr>_vena_DYNR_SControleIndelingHRG_BB1_b359501_e539a990</vt:lpstr>
      <vt:lpstr>_vena_DYNR_SControleIndelingHRG_BB1_b359501_e7be93e3</vt:lpstr>
      <vt:lpstr>_vena_DYNR_SControleIndelingHRG_BB1_b359501_e89fbcbb</vt:lpstr>
      <vt:lpstr>_vena_DYNR_SControleIndelingHRG_BB1_b359501_ed3a4c8b</vt:lpstr>
      <vt:lpstr>_vena_DYNR_SControleIndelingHRG_BB1_b359501_eeff843e</vt:lpstr>
      <vt:lpstr>_vena_DYNR_SControleIndelingHRG_BB1_b359501_fc7086a6</vt:lpstr>
      <vt:lpstr>_vena_DYNR_SControleIndelingHRG_BB1_b359501_fd5b8db3</vt:lpstr>
      <vt:lpstr>_vena_DYNR_SControleIndelingHRG_BB1_b66b522c</vt:lpstr>
      <vt:lpstr>_vena_DYNR_SControleIndelingHRG_BB1_b66b522c_11545634</vt:lpstr>
      <vt:lpstr>_vena_DYNR_SControleIndelingHRG_BB1_b66b522c_23b27469</vt:lpstr>
      <vt:lpstr>_vena_DYNR_SControleIndelingHRG_BB1_b66b522c_254e6418</vt:lpstr>
      <vt:lpstr>_vena_DYNR_SControleIndelingHRG_BB1_b66b522c_25672366</vt:lpstr>
      <vt:lpstr>_vena_DYNR_SControleIndelingHRG_BB1_b66b522c_2a6146f5</vt:lpstr>
      <vt:lpstr>_vena_DYNR_SControleIndelingHRG_BB1_b66b522c_2c14969</vt:lpstr>
      <vt:lpstr>_vena_DYNR_SControleIndelingHRG_BB1_b66b522c_32d45776</vt:lpstr>
      <vt:lpstr>_vena_DYNR_SControleIndelingHRG_BB1_b66b522c_35f66908</vt:lpstr>
      <vt:lpstr>_vena_DYNR_SControleIndelingHRG_BB1_b66b522c_74876adf</vt:lpstr>
      <vt:lpstr>_vena_DYNR_SControleIndelingHRG_BB1_b66b522c_7c448a53</vt:lpstr>
      <vt:lpstr>_vena_DYNR_SControleIndelingHRG_BB1_b66b522c_851996f8</vt:lpstr>
      <vt:lpstr>_vena_DYNR_SControleIndelingHRG_BB1_b66b522c_8c8a062e</vt:lpstr>
      <vt:lpstr>_vena_DYNR_SControleIndelingHRG_BB1_b66b522c_955270c9</vt:lpstr>
      <vt:lpstr>_vena_DYNR_SControleIndelingHRG_BB1_b66b522c_9f563107</vt:lpstr>
      <vt:lpstr>_vena_DYNR_SControleIndelingHRG_BB1_b66b522c_b85f72ba</vt:lpstr>
      <vt:lpstr>_vena_DYNR_SControleIndelingHRG_BB1_b66b522c_b8af6636</vt:lpstr>
      <vt:lpstr>_vena_DYNR_SControleIndelingHRG_BB1_b66b522c_bfba9f6f</vt:lpstr>
      <vt:lpstr>_vena_DYNR_SControleIndelingHRG_BB1_b66b522c_ccda89ac</vt:lpstr>
      <vt:lpstr>_vena_DYNR_SControleIndelingHRG_BB1_b66b522c_ce74f562</vt:lpstr>
      <vt:lpstr>_vena_DYNR_SControleIndelingHRG_BB1_b66b522c_d3175caa</vt:lpstr>
      <vt:lpstr>_vena_DYNR_SControleIndelingHRG_BB1_b66b522c_d6459d6b</vt:lpstr>
      <vt:lpstr>_vena_DYNR_SControleIndelingHRG_BB1_b66b522c_d9885ecf</vt:lpstr>
      <vt:lpstr>_vena_DYNR_SControleIndelingHRG_BB1_b66b522c_dd3b8ac3</vt:lpstr>
      <vt:lpstr>_vena_DYNR_SControleIndelingHRG_BB1_b66b522c_f225ae8f</vt:lpstr>
      <vt:lpstr>_vena_DYNR_SControleIndelingHRG_BB1_b66b522c_f569fb4d</vt:lpstr>
      <vt:lpstr>_vena_DYNR_SControleIndelingHRG_BB1_ba48134c</vt:lpstr>
      <vt:lpstr>_vena_DYNR_SControleIndelingHRG_BB1_ba48134c_3f079b32</vt:lpstr>
      <vt:lpstr>_vena_DYNR_SControleIndelingHRG_BB1_ba48134c_42608d1f</vt:lpstr>
      <vt:lpstr>_vena_DYNR_SControleIndelingHRG_BB1_ba48134c_59951191</vt:lpstr>
      <vt:lpstr>_vena_DYNR_SControleIndelingHRG_BB1_ba48134c_692208cd</vt:lpstr>
      <vt:lpstr>_vena_DYNR_SControleIndelingHRG_BB1_ba48134c_9f6e06ac</vt:lpstr>
      <vt:lpstr>_vena_DYNR_SControleIndelingHRG_BB1_ba48134c_a22a74ba</vt:lpstr>
      <vt:lpstr>_vena_DYNR_SControleIndelingHRG_BB1_ba48134c_bab9ccc6</vt:lpstr>
      <vt:lpstr>_vena_DYNR_SControleIndelingHRG_BB1_ba48134c_ca42d3dd</vt:lpstr>
      <vt:lpstr>_vena_DYNR_SControleIndelingHRG_BB1_ba48134c_d8d5f3bc</vt:lpstr>
      <vt:lpstr>_vena_DYNR_SControleIndelingHRG_BB1_ba48134c_dcbb6d63</vt:lpstr>
      <vt:lpstr>_vena_DYNR_SControleIndelingHRG_BB1_ba48134c_e2f016c0</vt:lpstr>
      <vt:lpstr>_vena_DYNR_SControleIndelingHRG_BB1_ba48134c_ed28d5c3</vt:lpstr>
      <vt:lpstr>_vena_DYNR_SControleIndelingHRG_BB1_ca9762f6</vt:lpstr>
      <vt:lpstr>_vena_DYNR_SControleIndelingHRG_BB1_ca9762f6_4d64560d</vt:lpstr>
      <vt:lpstr>_vena_DYNR_SControleIndelingHRG_BB1_ca9762f6_a4e2e3ca</vt:lpstr>
      <vt:lpstr>_vena_DYNR_SControleIndelingHRG_BB1_d4e1fb0d</vt:lpstr>
      <vt:lpstr>_vena_DYNR_SControleIndelingHRG_BB1_d4e1fb0d_6710154f</vt:lpstr>
      <vt:lpstr>_vena_DYNR_SControleIndelingHRG_BB1_d4e1fb0d_b65af1dc</vt:lpstr>
      <vt:lpstr>_vena_DYNR_SControleIndelingHRG_BB1_d4e1fb0d_c9d79bd</vt:lpstr>
      <vt:lpstr>_vena_DYNR_SControleIndelingHRG_BB1_d4e1fb0d_f542202e</vt:lpstr>
      <vt:lpstr>_vena_DYNR_SControleIndelingHRG_BB1_d4e1fb0d_ffb4e5a3</vt:lpstr>
      <vt:lpstr>_vena_DYNR_SControleIndelingHRG_BB1_d55acb59</vt:lpstr>
      <vt:lpstr>_vena_DYNR_SControleIndelingHRG_BB1_d55acb59_50c606b4</vt:lpstr>
      <vt:lpstr>_vena_DYNR_SControleIndelingHRG_BB1_d55acb59_5b681115</vt:lpstr>
      <vt:lpstr>_vena_DYNR_SControleIndelingHRG_BB1_d55acb59_97f28d3f</vt:lpstr>
      <vt:lpstr>_vena_DYNR_SControleIndelingHRG_BB1_e5895445</vt:lpstr>
      <vt:lpstr>_vena_DYNR_SControleIndelingHRG_BB1_e5895445_12128d66</vt:lpstr>
      <vt:lpstr>_vena_DYNR_SControleIndelingHRG_BB1_e5895445_45ee197f</vt:lpstr>
      <vt:lpstr>_vena_DYNR_SControleIndelingHRG_BB1_e5895445_465baa8</vt:lpstr>
      <vt:lpstr>_vena_DYNR_SControleIndelingHRG_BB1_e5895445_80be3f9</vt:lpstr>
      <vt:lpstr>_vena_DYNR_SControleIndelingHRG_BB1_e5895445_98872a3c</vt:lpstr>
      <vt:lpstr>_vena_DYNR_SControleIndelingHRG_BB1_e5895445_a9461cc8</vt:lpstr>
      <vt:lpstr>_vena_DYNR_SControleIndelingHRG_BB1_e5895445_a9d745df</vt:lpstr>
      <vt:lpstr>_vena_DYNR_SControleIndelingHRG_BB1_e5895445_b911fb6</vt:lpstr>
      <vt:lpstr>_vena_DYNR_SControleIndelingHRG_BB1_e5895445_bc9d8c8a</vt:lpstr>
      <vt:lpstr>_vena_DYNR_SControleIndelingHRG_BB1_e5895445_c424ae54</vt:lpstr>
      <vt:lpstr>_vena_DYNR_SControleIndelingHRG_BB1_e5895445_e3e1547a</vt:lpstr>
      <vt:lpstr>_vena_DYNR_SControleIndelingHRG_BB1_e5895445_fd542416</vt:lpstr>
      <vt:lpstr>_vena_DYNR_SControleIndelingHRG_BB1_fc651ccf</vt:lpstr>
      <vt:lpstr>_vena_DYNR_SControleIndelingHRG_BB1_fc651ccf_130e7f41</vt:lpstr>
      <vt:lpstr>_vena_DYNR_SControleIndelingHRG_BB1_fc651ccf_15be477a</vt:lpstr>
      <vt:lpstr>_vena_DYNR_SControleIndelingHRG_BB1_fc651ccf_18935a49</vt:lpstr>
      <vt:lpstr>_vena_DYNR_SControleIndelingHRG_BB1_fc651ccf_23b017ab</vt:lpstr>
      <vt:lpstr>_vena_DYNR_SControleIndelingHRG_BB1_fc651ccf_2c3134d</vt:lpstr>
      <vt:lpstr>_vena_DYNR_SControleIndelingHRG_BB1_fc651ccf_2c7ff007</vt:lpstr>
      <vt:lpstr>_vena_DYNR_SControleIndelingHRG_BB1_fc651ccf_3296395a</vt:lpstr>
      <vt:lpstr>_vena_DYNR_SControleIndelingHRG_BB1_fc651ccf_41b04d88</vt:lpstr>
      <vt:lpstr>_vena_DYNR_SControleIndelingHRG_BB1_fc651ccf_42bbe6a8</vt:lpstr>
      <vt:lpstr>_vena_DYNR_SControleIndelingHRG_BB1_fc651ccf_4bf07d5c</vt:lpstr>
      <vt:lpstr>_vena_DYNR_SControleIndelingHRG_BB1_fc651ccf_4f4efcaf</vt:lpstr>
      <vt:lpstr>_vena_DYNR_SControleIndelingHRG_BB1_fc651ccf_522b48a0</vt:lpstr>
      <vt:lpstr>_vena_DYNR_SControleIndelingHRG_BB1_fc651ccf_5aec8f47</vt:lpstr>
      <vt:lpstr>_vena_DYNR_SControleIndelingHRG_BB1_fc651ccf_5b3507fc</vt:lpstr>
      <vt:lpstr>_vena_DYNR_SControleIndelingHRG_BB1_fc651ccf_62ecc976</vt:lpstr>
      <vt:lpstr>_vena_DYNR_SControleIndelingHRG_BB1_fc651ccf_85ab145a</vt:lpstr>
      <vt:lpstr>_vena_DYNR_SControleIndelingHRG_BB1_fc651ccf_8f27958d</vt:lpstr>
      <vt:lpstr>_vena_DYNR_SControleIndelingHRG_BB1_fc651ccf_93945297</vt:lpstr>
      <vt:lpstr>_vena_DYNR_SControleIndelingHRG_BB1_fc651ccf_95651bbe</vt:lpstr>
      <vt:lpstr>_vena_DYNR_SControleIndelingHRG_BB1_fc651ccf_a0dae22c</vt:lpstr>
      <vt:lpstr>_vena_DYNR_SControleIndelingHRG_BB1_fc651ccf_bb796219</vt:lpstr>
      <vt:lpstr>_vena_DYNR_SControleIndelingHRG_BB1_fc651ccf_c1e27e70</vt:lpstr>
      <vt:lpstr>_vena_DYNR_SControleIndelingHRG_BB1_fc651ccf_cb6cd9d6</vt:lpstr>
      <vt:lpstr>_vena_DYNR_SControleIndelingHRG_BB1_fc651ccf_d6eabec6</vt:lpstr>
      <vt:lpstr>_vena_DYNR_SControleIndelingHRG_BB1_fc651ccf_dd74ffad</vt:lpstr>
      <vt:lpstr>_vena_DYNR_SControleIndelingHRG_BB1_fc651ccf_fa252285</vt:lpstr>
      <vt:lpstr>_vena_DYNR_SControleIndelingHRG_BB1_fc651ccf_fded1f0</vt:lpstr>
      <vt:lpstr>_vena_DYNR_SControleIndelingPL_BB1_25ef9d23</vt:lpstr>
      <vt:lpstr>_vena_DYNR_SControleIndelingPL_BB1_25ef9d23_132d1ed3</vt:lpstr>
      <vt:lpstr>_vena_DYNR_SControleIndelingPL_BB1_25ef9d23_1365d7cb</vt:lpstr>
      <vt:lpstr>_vena_DYNR_SControleIndelingPL_BB1_25ef9d23_1396fc3e</vt:lpstr>
      <vt:lpstr>_vena_DYNR_SControleIndelingPL_BB1_25ef9d23_14a8adb4</vt:lpstr>
      <vt:lpstr>_vena_DYNR_SControleIndelingPL_BB1_25ef9d23_16c2641c</vt:lpstr>
      <vt:lpstr>_vena_DYNR_SControleIndelingPL_BB1_25ef9d23_1a73c28f</vt:lpstr>
      <vt:lpstr>_vena_DYNR_SControleIndelingPL_BB1_25ef9d23_1bf7e354</vt:lpstr>
      <vt:lpstr>_vena_DYNR_SControleIndelingPL_BB1_25ef9d23_22a0fa71</vt:lpstr>
      <vt:lpstr>_vena_DYNR_SControleIndelingPL_BB1_25ef9d23_2494de37</vt:lpstr>
      <vt:lpstr>_vena_DYNR_SControleIndelingPL_BB1_25ef9d23_29ec28ec</vt:lpstr>
      <vt:lpstr>_vena_DYNR_SControleIndelingPL_BB1_25ef9d23_2b55fe24</vt:lpstr>
      <vt:lpstr>_vena_DYNR_SControleIndelingPL_BB1_25ef9d23_315bdfcc</vt:lpstr>
      <vt:lpstr>_vena_DYNR_SControleIndelingPL_BB1_25ef9d23_33884434</vt:lpstr>
      <vt:lpstr>_vena_DYNR_SControleIndelingPL_BB1_25ef9d23_3898d1ea</vt:lpstr>
      <vt:lpstr>_vena_DYNR_SControleIndelingPL_BB1_25ef9d23_3f1213cd</vt:lpstr>
      <vt:lpstr>_vena_DYNR_SControleIndelingPL_BB1_25ef9d23_3fe6cd14</vt:lpstr>
      <vt:lpstr>_vena_DYNR_SControleIndelingPL_BB1_25ef9d23_4198d886</vt:lpstr>
      <vt:lpstr>_vena_DYNR_SControleIndelingPL_BB1_25ef9d23_4d945f43</vt:lpstr>
      <vt:lpstr>_vena_DYNR_SControleIndelingPL_BB1_25ef9d23_5df0cfc2</vt:lpstr>
      <vt:lpstr>_vena_DYNR_SControleIndelingPL_BB1_25ef9d23_612a1304</vt:lpstr>
      <vt:lpstr>_vena_DYNR_SControleIndelingPL_BB1_25ef9d23_6633963f</vt:lpstr>
      <vt:lpstr>_vena_DYNR_SControleIndelingPL_BB1_25ef9d23_6a5d6877</vt:lpstr>
      <vt:lpstr>_vena_DYNR_SControleIndelingPL_BB1_25ef9d23_8332e5e4</vt:lpstr>
      <vt:lpstr>_vena_DYNR_SControleIndelingPL_BB1_25ef9d23_835c2d7a</vt:lpstr>
      <vt:lpstr>_vena_DYNR_SControleIndelingPL_BB1_25ef9d23_924b18ee</vt:lpstr>
      <vt:lpstr>_vena_DYNR_SControleIndelingPL_BB1_25ef9d23_973accf2</vt:lpstr>
      <vt:lpstr>_vena_DYNR_SControleIndelingPL_BB1_25ef9d23_9825190e</vt:lpstr>
      <vt:lpstr>_vena_DYNR_SControleIndelingPL_BB1_25ef9d23_ab4ee611</vt:lpstr>
      <vt:lpstr>_vena_DYNR_SControleIndelingPL_BB1_25ef9d23_af7c68d2</vt:lpstr>
      <vt:lpstr>_vena_DYNR_SControleIndelingPL_BB1_25ef9d23_b1224e1b</vt:lpstr>
      <vt:lpstr>_vena_DYNR_SControleIndelingPL_BB1_25ef9d23_b1f72483</vt:lpstr>
      <vt:lpstr>_vena_DYNR_SControleIndelingPL_BB1_25ef9d23_b3936cc5</vt:lpstr>
      <vt:lpstr>_vena_DYNR_SControleIndelingPL_BB1_25ef9d23_b6050730</vt:lpstr>
      <vt:lpstr>_vena_DYNR_SControleIndelingPL_BB1_25ef9d23_c15371fc</vt:lpstr>
      <vt:lpstr>_vena_DYNR_SControleIndelingPL_BB1_25ef9d23_c912e02e</vt:lpstr>
      <vt:lpstr>_vena_DYNR_SControleIndelingPL_BB1_25ef9d23_cfa0054a</vt:lpstr>
      <vt:lpstr>_vena_DYNR_SControleIndelingPL_BB1_25ef9d23_d41a636b</vt:lpstr>
      <vt:lpstr>_vena_DYNR_SControleIndelingPL_BB1_25ef9d23_d5f668d6</vt:lpstr>
      <vt:lpstr>_vena_DYNR_SControleIndelingPL_BB1_25ef9d23_d6979ac1</vt:lpstr>
      <vt:lpstr>_vena_DYNR_SControleIndelingPL_BB1_25ef9d23_dd5e9b53</vt:lpstr>
      <vt:lpstr>_vena_DYNR_SControleIndelingPL_BB1_25ef9d23_dfe08ab2</vt:lpstr>
      <vt:lpstr>_vena_DYNR_SControleIndelingPL_BB1_25ef9d23_e32272b</vt:lpstr>
      <vt:lpstr>_vena_DYNR_SControleIndelingPL_BB1_25ef9d23_e4acacf0</vt:lpstr>
      <vt:lpstr>_vena_DYNR_SControleIndelingPL_BB1_25ef9d23_e62b23d7</vt:lpstr>
      <vt:lpstr>_vena_DYNR_SControleIndelingPL_BB1_25ef9d23_e9a8b690</vt:lpstr>
      <vt:lpstr>_vena_DYNR_SControleIndelingPL_BB1_25ef9d23_ed9852ff</vt:lpstr>
      <vt:lpstr>_vena_DYNR_SControleIndelingPL_BB1_25ef9d23_ee7c3a77</vt:lpstr>
      <vt:lpstr>_vena_DYNR_SControleIndelingPL_BB1_25ef9d23_f25e7842</vt:lpstr>
      <vt:lpstr>_vena_DYNR_SControleIndelingPL_BB1_25ef9d23_f463bf5f</vt:lpstr>
      <vt:lpstr>_vena_DYNR_SControleIndelingPL_BB1_25ef9d23_f53d8d3c</vt:lpstr>
      <vt:lpstr>_vena_DYNR_SControleIndelingPL_BB1_25ef9d23_fc9f2c20</vt:lpstr>
      <vt:lpstr>_vena_DYNR_SControleIndelingPL_BB1_47da86a8</vt:lpstr>
      <vt:lpstr>_vena_DYNR_SControleIndelingPL_BB1_47da86a8_1006dfa</vt:lpstr>
      <vt:lpstr>_vena_DYNR_SControleIndelingPL_BB1_47da86a8_11e732a4</vt:lpstr>
      <vt:lpstr>_vena_DYNR_SControleIndelingPL_BB1_47da86a8_1a5b7a2a</vt:lpstr>
      <vt:lpstr>_vena_DYNR_SControleIndelingPL_BB1_47da86a8_1ccc7808</vt:lpstr>
      <vt:lpstr>_vena_DYNR_SControleIndelingPL_BB1_47da86a8_1d256c16</vt:lpstr>
      <vt:lpstr>_vena_DYNR_SControleIndelingPL_BB1_47da86a8_1d3ba36b</vt:lpstr>
      <vt:lpstr>_vena_DYNR_SControleIndelingPL_BB1_47da86a8_2475dd84</vt:lpstr>
      <vt:lpstr>_vena_DYNR_SControleIndelingPL_BB1_47da86a8_25796b6e</vt:lpstr>
      <vt:lpstr>_vena_DYNR_SControleIndelingPL_BB1_47da86a8_2696ced6</vt:lpstr>
      <vt:lpstr>_vena_DYNR_SControleIndelingPL_BB1_47da86a8_2a9d1968</vt:lpstr>
      <vt:lpstr>_vena_DYNR_SControleIndelingPL_BB1_47da86a8_2bb2cfcf</vt:lpstr>
      <vt:lpstr>_vena_DYNR_SControleIndelingPL_BB1_47da86a8_2c56be10</vt:lpstr>
      <vt:lpstr>_vena_DYNR_SControleIndelingPL_BB1_47da86a8_2e34881e</vt:lpstr>
      <vt:lpstr>_vena_DYNR_SControleIndelingPL_BB1_47da86a8_2e935df</vt:lpstr>
      <vt:lpstr>_vena_DYNR_SControleIndelingPL_BB1_47da86a8_2f83a5e3</vt:lpstr>
      <vt:lpstr>_vena_DYNR_SControleIndelingPL_BB1_47da86a8_330eeaa7</vt:lpstr>
      <vt:lpstr>_vena_DYNR_SControleIndelingPL_BB1_47da86a8_33b153d1</vt:lpstr>
      <vt:lpstr>_vena_DYNR_SControleIndelingPL_BB1_47da86a8_3412d7bf</vt:lpstr>
      <vt:lpstr>_vena_DYNR_SControleIndelingPL_BB1_47da86a8_398ef041</vt:lpstr>
      <vt:lpstr>_vena_DYNR_SControleIndelingPL_BB1_47da86a8_3ce539b</vt:lpstr>
      <vt:lpstr>_vena_DYNR_SControleIndelingPL_BB1_47da86a8_40ce708e</vt:lpstr>
      <vt:lpstr>_vena_DYNR_SControleIndelingPL_BB1_47da86a8_40db675e</vt:lpstr>
      <vt:lpstr>_vena_DYNR_SControleIndelingPL_BB1_47da86a8_42cf77e3</vt:lpstr>
      <vt:lpstr>_vena_DYNR_SControleIndelingPL_BB1_47da86a8_4744ad67</vt:lpstr>
      <vt:lpstr>_vena_DYNR_SControleIndelingPL_BB1_47da86a8_48deabd0</vt:lpstr>
      <vt:lpstr>_vena_DYNR_SControleIndelingPL_BB1_47da86a8_4a43ff99</vt:lpstr>
      <vt:lpstr>_vena_DYNR_SControleIndelingPL_BB1_47da86a8_4be1322c</vt:lpstr>
      <vt:lpstr>_vena_DYNR_SControleIndelingPL_BB1_47da86a8_4c6016b4</vt:lpstr>
      <vt:lpstr>_vena_DYNR_SControleIndelingPL_BB1_47da86a8_4dfa05</vt:lpstr>
      <vt:lpstr>_vena_DYNR_SControleIndelingPL_BB1_47da86a8_5064624e</vt:lpstr>
      <vt:lpstr>_vena_DYNR_SControleIndelingPL_BB1_47da86a8_52d73eca</vt:lpstr>
      <vt:lpstr>_vena_DYNR_SControleIndelingPL_BB1_47da86a8_5420e647</vt:lpstr>
      <vt:lpstr>_vena_DYNR_SControleIndelingPL_BB1_47da86a8_5505eded</vt:lpstr>
      <vt:lpstr>_vena_DYNR_SControleIndelingPL_BB1_47da86a8_5644f8ac</vt:lpstr>
      <vt:lpstr>_vena_DYNR_SControleIndelingPL_BB1_47da86a8_56798669</vt:lpstr>
      <vt:lpstr>_vena_DYNR_SControleIndelingPL_BB1_47da86a8_597405e9</vt:lpstr>
      <vt:lpstr>_vena_DYNR_SControleIndelingPL_BB1_47da86a8_5c382235</vt:lpstr>
      <vt:lpstr>_vena_DYNR_SControleIndelingPL_BB1_47da86a8_5d110b4d</vt:lpstr>
      <vt:lpstr>_vena_DYNR_SControleIndelingPL_BB1_47da86a8_5dba251c</vt:lpstr>
      <vt:lpstr>_vena_DYNR_SControleIndelingPL_BB1_47da86a8_5dd05f7</vt:lpstr>
      <vt:lpstr>_vena_DYNR_SControleIndelingPL_BB1_47da86a8_5e5eca61</vt:lpstr>
      <vt:lpstr>_vena_DYNR_SControleIndelingPL_BB1_47da86a8_5e8f96ed</vt:lpstr>
      <vt:lpstr>_vena_DYNR_SControleIndelingPL_BB1_47da86a8_6073b3ee</vt:lpstr>
      <vt:lpstr>_vena_DYNR_SControleIndelingPL_BB1_47da86a8_6235adf1</vt:lpstr>
      <vt:lpstr>_vena_DYNR_SControleIndelingPL_BB1_47da86a8_62979007</vt:lpstr>
      <vt:lpstr>_vena_DYNR_SControleIndelingPL_BB1_47da86a8_62af1a71</vt:lpstr>
      <vt:lpstr>_vena_DYNR_SControleIndelingPL_BB1_47da86a8_62d04369</vt:lpstr>
      <vt:lpstr>_vena_DYNR_SControleIndelingPL_BB1_47da86a8_635a11bd</vt:lpstr>
      <vt:lpstr>_vena_DYNR_SControleIndelingPL_BB1_47da86a8_650c3b10</vt:lpstr>
      <vt:lpstr>_vena_DYNR_SControleIndelingPL_BB1_47da86a8_67b47601</vt:lpstr>
      <vt:lpstr>_vena_DYNR_SControleIndelingPL_BB1_47da86a8_6921d689</vt:lpstr>
      <vt:lpstr>_vena_DYNR_SControleIndelingPL_BB1_47da86a8_6a847cd5</vt:lpstr>
      <vt:lpstr>_vena_DYNR_SControleIndelingPL_BB1_47da86a8_6aff37f9</vt:lpstr>
      <vt:lpstr>_vena_DYNR_SControleIndelingPL_BB1_47da86a8_6cecb4df</vt:lpstr>
      <vt:lpstr>_vena_DYNR_SControleIndelingPL_BB1_47da86a8_702ba94f</vt:lpstr>
      <vt:lpstr>_vena_DYNR_SControleIndelingPL_BB1_47da86a8_70b62142</vt:lpstr>
      <vt:lpstr>_vena_DYNR_SControleIndelingPL_BB1_47da86a8_7124ffa6</vt:lpstr>
      <vt:lpstr>_vena_DYNR_SControleIndelingPL_BB1_47da86a8_77af7fdc</vt:lpstr>
      <vt:lpstr>_vena_DYNR_SControleIndelingPL_BB1_47da86a8_77f086fc</vt:lpstr>
      <vt:lpstr>_vena_DYNR_SControleIndelingPL_BB1_47da86a8_7928650c</vt:lpstr>
      <vt:lpstr>_vena_DYNR_SControleIndelingPL_BB1_47da86a8_7c4b6aac</vt:lpstr>
      <vt:lpstr>_vena_DYNR_SControleIndelingPL_BB1_47da86a8_7ce06103</vt:lpstr>
      <vt:lpstr>_vena_DYNR_SControleIndelingPL_BB1_47da86a8_7cfbf0ac</vt:lpstr>
      <vt:lpstr>_vena_DYNR_SControleIndelingPL_BB1_47da86a8_7d60de0a</vt:lpstr>
      <vt:lpstr>_vena_DYNR_SControleIndelingPL_BB1_47da86a8_7ebeac45</vt:lpstr>
      <vt:lpstr>_vena_DYNR_SControleIndelingPL_BB1_47da86a8_7ed22f28</vt:lpstr>
      <vt:lpstr>_vena_DYNR_SControleIndelingPL_BB1_47da86a8_828f6f83</vt:lpstr>
      <vt:lpstr>_vena_DYNR_SControleIndelingPL_BB1_47da86a8_8398b280</vt:lpstr>
      <vt:lpstr>_vena_DYNR_SControleIndelingPL_BB1_47da86a8_8411988e</vt:lpstr>
      <vt:lpstr>_vena_DYNR_SControleIndelingPL_BB1_47da86a8_845e2c42</vt:lpstr>
      <vt:lpstr>_vena_DYNR_SControleIndelingPL_BB1_47da86a8_85c17e44</vt:lpstr>
      <vt:lpstr>_vena_DYNR_SControleIndelingPL_BB1_47da86a8_8aa888ab</vt:lpstr>
      <vt:lpstr>_vena_DYNR_SControleIndelingPL_BB1_47da86a8_8effdc1b</vt:lpstr>
      <vt:lpstr>_vena_DYNR_SControleIndelingPL_BB1_47da86a8_90e17f9d</vt:lpstr>
      <vt:lpstr>_vena_DYNR_SControleIndelingPL_BB1_47da86a8_97249e98</vt:lpstr>
      <vt:lpstr>_vena_DYNR_SControleIndelingPL_BB1_47da86a8_99e86d2d</vt:lpstr>
      <vt:lpstr>_vena_DYNR_SControleIndelingPL_BB1_47da86a8_9af4e0ad</vt:lpstr>
      <vt:lpstr>_vena_DYNR_SControleIndelingPL_BB1_47da86a8_a005a095</vt:lpstr>
      <vt:lpstr>_vena_DYNR_SControleIndelingPL_BB1_47da86a8_a0b9a982</vt:lpstr>
      <vt:lpstr>_vena_DYNR_SControleIndelingPL_BB1_47da86a8_a0e2771a</vt:lpstr>
      <vt:lpstr>_vena_DYNR_SControleIndelingPL_BB1_47da86a8_a1b05e47</vt:lpstr>
      <vt:lpstr>_vena_DYNR_SControleIndelingPL_BB1_47da86a8_a2a8f819</vt:lpstr>
      <vt:lpstr>_vena_DYNR_SControleIndelingPL_BB1_47da86a8_a7f95b9f</vt:lpstr>
      <vt:lpstr>_vena_DYNR_SControleIndelingPL_BB1_47da86a8_a824172b</vt:lpstr>
      <vt:lpstr>_vena_DYNR_SControleIndelingPL_BB1_47da86a8_a9da81bf</vt:lpstr>
      <vt:lpstr>_vena_DYNR_SControleIndelingPL_BB1_47da86a8_ad21ef4d</vt:lpstr>
      <vt:lpstr>_vena_DYNR_SControleIndelingPL_BB1_47da86a8_b13ef8de</vt:lpstr>
      <vt:lpstr>_vena_DYNR_SControleIndelingPL_BB1_47da86a8_b1745016</vt:lpstr>
      <vt:lpstr>_vena_DYNR_SControleIndelingPL_BB1_47da86a8_b1d48916</vt:lpstr>
      <vt:lpstr>_vena_DYNR_SControleIndelingPL_BB1_47da86a8_b2a1a182</vt:lpstr>
      <vt:lpstr>_vena_DYNR_SControleIndelingPL_BB1_47da86a8_b4ac6948</vt:lpstr>
      <vt:lpstr>_vena_DYNR_SControleIndelingPL_BB1_47da86a8_b528aaac</vt:lpstr>
      <vt:lpstr>_vena_DYNR_SControleIndelingPL_BB1_47da86a8_b7a8a49a</vt:lpstr>
      <vt:lpstr>_vena_DYNR_SControleIndelingPL_BB1_47da86a8_bcb27ee6</vt:lpstr>
      <vt:lpstr>_vena_DYNR_SControleIndelingPL_BB1_47da86a8_be8886cd</vt:lpstr>
      <vt:lpstr>_vena_DYNR_SControleIndelingPL_BB1_47da86a8_becaecf6</vt:lpstr>
      <vt:lpstr>_vena_DYNR_SControleIndelingPL_BB1_47da86a8_bf8a08e3</vt:lpstr>
      <vt:lpstr>_vena_DYNR_SControleIndelingPL_BB1_47da86a8_c0d2af9a</vt:lpstr>
      <vt:lpstr>_vena_DYNR_SControleIndelingPL_BB1_47da86a8_c2f8212b</vt:lpstr>
      <vt:lpstr>_vena_DYNR_SControleIndelingPL_BB1_47da86a8_c435dbca</vt:lpstr>
      <vt:lpstr>_vena_DYNR_SControleIndelingPL_BB1_47da86a8_c4a2f3c</vt:lpstr>
      <vt:lpstr>_vena_DYNR_SControleIndelingPL_BB1_47da86a8_c6f75dbc</vt:lpstr>
      <vt:lpstr>_vena_DYNR_SControleIndelingPL_BB1_47da86a8_ca60fe7c</vt:lpstr>
      <vt:lpstr>_vena_DYNR_SControleIndelingPL_BB1_47da86a8_cc0091ec</vt:lpstr>
      <vt:lpstr>_vena_DYNR_SControleIndelingPL_BB1_47da86a8_cc3215e8</vt:lpstr>
      <vt:lpstr>_vena_DYNR_SControleIndelingPL_BB1_47da86a8_cc562626</vt:lpstr>
      <vt:lpstr>_vena_DYNR_SControleIndelingPL_BB1_47da86a8_cf3af75f</vt:lpstr>
      <vt:lpstr>_vena_DYNR_SControleIndelingPL_BB1_47da86a8_d1e9a5c</vt:lpstr>
      <vt:lpstr>_vena_DYNR_SControleIndelingPL_BB1_47da86a8_d406ede0</vt:lpstr>
      <vt:lpstr>_vena_DYNR_SControleIndelingPL_BB1_47da86a8_d4cd5014</vt:lpstr>
      <vt:lpstr>_vena_DYNR_SControleIndelingPL_BB1_47da86a8_d4d77256</vt:lpstr>
      <vt:lpstr>_vena_DYNR_SControleIndelingPL_BB1_47da86a8_d737dfe9</vt:lpstr>
      <vt:lpstr>_vena_DYNR_SControleIndelingPL_BB1_47da86a8_d7f8faf0</vt:lpstr>
      <vt:lpstr>_vena_DYNR_SControleIndelingPL_BB1_47da86a8_d8aec696</vt:lpstr>
      <vt:lpstr>_vena_DYNR_SControleIndelingPL_BB1_47da86a8_d961fee1</vt:lpstr>
      <vt:lpstr>_vena_DYNR_SControleIndelingPL_BB1_47da86a8_db353240</vt:lpstr>
      <vt:lpstr>_vena_DYNR_SControleIndelingPL_BB1_47da86a8_dda2413c</vt:lpstr>
      <vt:lpstr>_vena_DYNR_SControleIndelingPL_BB1_47da86a8_ded6e27e</vt:lpstr>
      <vt:lpstr>_vena_DYNR_SControleIndelingPL_BB1_47da86a8_e09dd42c</vt:lpstr>
      <vt:lpstr>_vena_DYNR_SControleIndelingPL_BB1_47da86a8_e7bfb29e</vt:lpstr>
      <vt:lpstr>_vena_DYNR_SControleIndelingPL_BB1_47da86a8_ed5c582f</vt:lpstr>
      <vt:lpstr>_vena_DYNR_SControleIndelingPL_BB1_47da86a8_edd566a5</vt:lpstr>
      <vt:lpstr>_vena_DYNR_SControleIndelingPL_BB1_47da86a8_ee39f38c</vt:lpstr>
      <vt:lpstr>_vena_DYNR_SControleIndelingPL_BB1_47da86a8_efa72c09</vt:lpstr>
      <vt:lpstr>_vena_DYNR_SControleIndelingPL_BB1_47da86a8_f23ff73e</vt:lpstr>
      <vt:lpstr>_vena_DYNR_SControleIndelingPL_BB1_47da86a8_f3571051</vt:lpstr>
      <vt:lpstr>_vena_DYNR_SControleIndelingPL_BB1_47da86a8_f4be7594</vt:lpstr>
      <vt:lpstr>_vena_DYNR_SControleIndelingPL_BB1_47da86a8_f5b01ad9</vt:lpstr>
      <vt:lpstr>_vena_DYNR_SControleIndelingPL_BB1_47da86a8_f63968ca</vt:lpstr>
      <vt:lpstr>_vena_DYNR_SControleIndelingPL_BB1_47da86a8_f6c9fc03</vt:lpstr>
      <vt:lpstr>_vena_DYNR_SControleIndelingPL_BB1_47da86a8_f83df5a1</vt:lpstr>
      <vt:lpstr>_vena_DYNR_SControleIndelingPL_BB1_47da86a8_fa5d35b9</vt:lpstr>
      <vt:lpstr>_vena_DYNR_SControleIndelingPL_BB1_47da86a8_fdc14e1</vt:lpstr>
      <vt:lpstr>_vena_DYNR_SControleIndelingPL_BB1_47da86a8_fe56e423</vt:lpstr>
      <vt:lpstr>_vena_DYNR_SControleIndelingPL_BB1_47da86a8_fe8fda8f</vt:lpstr>
      <vt:lpstr>_vena_DYNR_SControleIndelingPL_BB1_9b1becb2</vt:lpstr>
      <vt:lpstr>_vena_DYNR_SControleIndelingPL_BB1_9b1becb2_1758edfa</vt:lpstr>
      <vt:lpstr>_vena_DYNR_SControleIndelingPL_BB1_9b1becb2_18c174a7</vt:lpstr>
      <vt:lpstr>_vena_DYNR_SControleIndelingPL_BB1_9b1becb2_21fb1051</vt:lpstr>
      <vt:lpstr>_vena_DYNR_SControleIndelingPL_BB1_9b1becb2_225460cf</vt:lpstr>
      <vt:lpstr>_vena_DYNR_SControleIndelingPL_BB1_9b1becb2_241967bf</vt:lpstr>
      <vt:lpstr>_vena_DYNR_SControleIndelingPL_BB1_9b1becb2_24789bc2</vt:lpstr>
      <vt:lpstr>_vena_DYNR_SControleIndelingPL_BB1_9b1becb2_2c31ad8c</vt:lpstr>
      <vt:lpstr>_vena_DYNR_SControleIndelingPL_BB1_9b1becb2_2f9e7758</vt:lpstr>
      <vt:lpstr>_vena_DYNR_SControleIndelingPL_BB1_9b1becb2_2fbac48e</vt:lpstr>
      <vt:lpstr>_vena_DYNR_SControleIndelingPL_BB1_9b1becb2_304aedc</vt:lpstr>
      <vt:lpstr>_vena_DYNR_SControleIndelingPL_BB1_9b1becb2_30d8753f</vt:lpstr>
      <vt:lpstr>_vena_DYNR_SControleIndelingPL_BB1_9b1becb2_31e0e1e6</vt:lpstr>
      <vt:lpstr>_vena_DYNR_SControleIndelingPL_BB1_9b1becb2_320c6786</vt:lpstr>
      <vt:lpstr>_vena_DYNR_SControleIndelingPL_BB1_9b1becb2_356c8631</vt:lpstr>
      <vt:lpstr>_vena_DYNR_SControleIndelingPL_BB1_9b1becb2_36a1f0f</vt:lpstr>
      <vt:lpstr>_vena_DYNR_SControleIndelingPL_BB1_9b1becb2_36bad773</vt:lpstr>
      <vt:lpstr>_vena_DYNR_SControleIndelingPL_BB1_9b1becb2_36eba84e</vt:lpstr>
      <vt:lpstr>_vena_DYNR_SControleIndelingPL_BB1_9b1becb2_37a6c851</vt:lpstr>
      <vt:lpstr>_vena_DYNR_SControleIndelingPL_BB1_9b1becb2_39e3838d</vt:lpstr>
      <vt:lpstr>_vena_DYNR_SControleIndelingPL_BB1_9b1becb2_3a5bf465</vt:lpstr>
      <vt:lpstr>_vena_DYNR_SControleIndelingPL_BB1_9b1becb2_3a8ca668</vt:lpstr>
      <vt:lpstr>_vena_DYNR_SControleIndelingPL_BB1_9b1becb2_3b010640</vt:lpstr>
      <vt:lpstr>_vena_DYNR_SControleIndelingPL_BB1_9b1becb2_3b048253</vt:lpstr>
      <vt:lpstr>_vena_DYNR_SControleIndelingPL_BB1_9b1becb2_3c889730</vt:lpstr>
      <vt:lpstr>_vena_DYNR_SControleIndelingPL_BB1_9b1becb2_3cb1639</vt:lpstr>
      <vt:lpstr>_vena_DYNR_SControleIndelingPL_BB1_9b1becb2_3cefdb0d</vt:lpstr>
      <vt:lpstr>_vena_DYNR_SControleIndelingPL_BB1_9b1becb2_409bddf1</vt:lpstr>
      <vt:lpstr>_vena_DYNR_SControleIndelingPL_BB1_9b1becb2_43b383c0</vt:lpstr>
      <vt:lpstr>_vena_DYNR_SControleIndelingPL_BB1_9b1becb2_451a0d19</vt:lpstr>
      <vt:lpstr>_vena_DYNR_SControleIndelingPL_BB1_9b1becb2_471fa2ba</vt:lpstr>
      <vt:lpstr>_vena_DYNR_SControleIndelingPL_BB1_9b1becb2_4918612b</vt:lpstr>
      <vt:lpstr>_vena_DYNR_SControleIndelingPL_BB1_9b1becb2_4bdb44a6</vt:lpstr>
      <vt:lpstr>_vena_DYNR_SControleIndelingPL_BB1_9b1becb2_54babcc8</vt:lpstr>
      <vt:lpstr>_vena_DYNR_SControleIndelingPL_BB1_9b1becb2_567b3d0a</vt:lpstr>
      <vt:lpstr>_vena_DYNR_SControleIndelingPL_BB1_9b1becb2_5913e91c</vt:lpstr>
      <vt:lpstr>_vena_DYNR_SControleIndelingPL_BB1_9b1becb2_59d3f316</vt:lpstr>
      <vt:lpstr>_vena_DYNR_SControleIndelingPL_BB1_9b1becb2_5af1ba07</vt:lpstr>
      <vt:lpstr>_vena_DYNR_SControleIndelingPL_BB1_9b1becb2_5b239eff</vt:lpstr>
      <vt:lpstr>_vena_DYNR_SControleIndelingPL_BB1_9b1becb2_5cdf24de</vt:lpstr>
      <vt:lpstr>_vena_DYNR_SControleIndelingPL_BB1_9b1becb2_5d3cfac7</vt:lpstr>
      <vt:lpstr>_vena_DYNR_SControleIndelingPL_BB1_9b1becb2_5e535e30</vt:lpstr>
      <vt:lpstr>_vena_DYNR_SControleIndelingPL_BB1_9b1becb2_5f958214</vt:lpstr>
      <vt:lpstr>_vena_DYNR_SControleIndelingPL_BB1_9b1becb2_62c7ee47</vt:lpstr>
      <vt:lpstr>_vena_DYNR_SControleIndelingPL_BB1_9b1becb2_66364521</vt:lpstr>
      <vt:lpstr>_vena_DYNR_SControleIndelingPL_BB1_9b1becb2_665a8636</vt:lpstr>
      <vt:lpstr>_vena_DYNR_SControleIndelingPL_BB1_9b1becb2_6674d001</vt:lpstr>
      <vt:lpstr>_vena_DYNR_SControleIndelingPL_BB1_9b1becb2_6852ce22</vt:lpstr>
      <vt:lpstr>_vena_DYNR_SControleIndelingPL_BB1_9b1becb2_6865fb6e</vt:lpstr>
      <vt:lpstr>_vena_DYNR_SControleIndelingPL_BB1_9b1becb2_6af814bc</vt:lpstr>
      <vt:lpstr>_vena_DYNR_SControleIndelingPL_BB1_9b1becb2_6bc615ab</vt:lpstr>
      <vt:lpstr>_vena_DYNR_SControleIndelingPL_BB1_9b1becb2_6c0e1659</vt:lpstr>
      <vt:lpstr>_vena_DYNR_SControleIndelingPL_BB1_9b1becb2_6cc8ef4a</vt:lpstr>
      <vt:lpstr>_vena_DYNR_SControleIndelingPL_BB1_9b1becb2_6cf5d4cd</vt:lpstr>
      <vt:lpstr>_vena_DYNR_SControleIndelingPL_BB1_9b1becb2_6e66ed5b</vt:lpstr>
      <vt:lpstr>_vena_DYNR_SControleIndelingPL_BB1_9b1becb2_6ff417f3</vt:lpstr>
      <vt:lpstr>_vena_DYNR_SControleIndelingPL_BB1_9b1becb2_704ac63c</vt:lpstr>
      <vt:lpstr>_vena_DYNR_SControleIndelingPL_BB1_9b1becb2_70d4b545</vt:lpstr>
      <vt:lpstr>_vena_DYNR_SControleIndelingPL_BB1_9b1becb2_7480cf3</vt:lpstr>
      <vt:lpstr>_vena_DYNR_SControleIndelingPL_BB1_9b1becb2_7704dd85</vt:lpstr>
      <vt:lpstr>_vena_DYNR_SControleIndelingPL_BB1_9b1becb2_7889e6a5</vt:lpstr>
      <vt:lpstr>_vena_DYNR_SControleIndelingPL_BB1_9b1becb2_79df2183</vt:lpstr>
      <vt:lpstr>_vena_DYNR_SControleIndelingPL_BB1_9b1becb2_7a3be74c</vt:lpstr>
      <vt:lpstr>_vena_DYNR_SControleIndelingPL_BB1_9b1becb2_7baa089f</vt:lpstr>
      <vt:lpstr>_vena_DYNR_SControleIndelingPL_BB1_9b1becb2_7bbb330d</vt:lpstr>
      <vt:lpstr>_vena_DYNR_SControleIndelingPL_BB1_9b1becb2_7beefe05</vt:lpstr>
      <vt:lpstr>_vena_DYNR_SControleIndelingPL_BB1_9b1becb2_7cc51dff</vt:lpstr>
      <vt:lpstr>_vena_DYNR_SControleIndelingPL_BB1_9b1becb2_7f6040ca</vt:lpstr>
      <vt:lpstr>_vena_DYNR_SControleIndelingPL_BB1_9b1becb2_7fa2b87d</vt:lpstr>
      <vt:lpstr>_vena_DYNR_SControleIndelingPL_BB1_9b1becb2_80408f0</vt:lpstr>
      <vt:lpstr>_vena_DYNR_SControleIndelingPL_BB1_9b1becb2_815c7752</vt:lpstr>
      <vt:lpstr>_vena_DYNR_SControleIndelingPL_BB1_9b1becb2_84582e1d</vt:lpstr>
      <vt:lpstr>_vena_DYNR_SControleIndelingPL_BB1_9b1becb2_858e44b2</vt:lpstr>
      <vt:lpstr>_vena_DYNR_SControleIndelingPL_BB1_9b1becb2_8ae6721</vt:lpstr>
      <vt:lpstr>_vena_DYNR_SControleIndelingPL_BB1_9b1becb2_8e20e027</vt:lpstr>
      <vt:lpstr>_vena_DYNR_SControleIndelingPL_BB1_9b1becb2_8e3a1a68</vt:lpstr>
      <vt:lpstr>_vena_DYNR_SControleIndelingPL_BB1_9b1becb2_8f8f04c</vt:lpstr>
      <vt:lpstr>_vena_DYNR_SControleIndelingPL_BB1_9b1becb2_90775d90</vt:lpstr>
      <vt:lpstr>_vena_DYNR_SControleIndelingPL_BB1_9b1becb2_908da8a0</vt:lpstr>
      <vt:lpstr>_vena_DYNR_SControleIndelingPL_BB1_9b1becb2_92e7c7d4</vt:lpstr>
      <vt:lpstr>_vena_DYNR_SControleIndelingPL_BB1_9b1becb2_93d1cb14</vt:lpstr>
      <vt:lpstr>_vena_DYNR_SControleIndelingPL_BB1_9b1becb2_95ff53d4</vt:lpstr>
      <vt:lpstr>_vena_DYNR_SControleIndelingPL_BB1_9b1becb2_96fa8496</vt:lpstr>
      <vt:lpstr>_vena_DYNR_SControleIndelingPL_BB1_9b1becb2_99c6bf18</vt:lpstr>
      <vt:lpstr>_vena_DYNR_SControleIndelingPL_BB1_9b1becb2_9acdcd83</vt:lpstr>
      <vt:lpstr>_vena_DYNR_SControleIndelingPL_BB1_9b1becb2_9bd053a7</vt:lpstr>
      <vt:lpstr>_vena_DYNR_SControleIndelingPL_BB1_9b1becb2_9ea627f2</vt:lpstr>
      <vt:lpstr>_vena_DYNR_SControleIndelingPL_BB1_9b1becb2_a3dbeef1</vt:lpstr>
      <vt:lpstr>_vena_DYNR_SControleIndelingPL_BB1_9b1becb2_a4ada1c7</vt:lpstr>
      <vt:lpstr>_vena_DYNR_SControleIndelingPL_BB1_9b1becb2_a5b8a16b</vt:lpstr>
      <vt:lpstr>_vena_DYNR_SControleIndelingPL_BB1_9b1becb2_a80c3a1</vt:lpstr>
      <vt:lpstr>_vena_DYNR_SControleIndelingPL_BB1_9b1becb2_a8ac5bb6</vt:lpstr>
      <vt:lpstr>_vena_DYNR_SControleIndelingPL_BB1_9b1becb2_a9435a24</vt:lpstr>
      <vt:lpstr>_vena_DYNR_SControleIndelingPL_BB1_9b1becb2_a9dd57a2</vt:lpstr>
      <vt:lpstr>_vena_DYNR_SControleIndelingPL_BB1_9b1becb2_aabdc129</vt:lpstr>
      <vt:lpstr>_vena_DYNR_SControleIndelingPL_BB1_9b1becb2_ace10cda</vt:lpstr>
      <vt:lpstr>_vena_DYNR_SControleIndelingPL_BB1_9b1becb2_ad196d1a</vt:lpstr>
      <vt:lpstr>_vena_DYNR_SControleIndelingPL_BB1_9b1becb2_ad252a7c</vt:lpstr>
      <vt:lpstr>_vena_DYNR_SControleIndelingPL_BB1_9b1becb2_aee2322e</vt:lpstr>
      <vt:lpstr>_vena_DYNR_SControleIndelingPL_BB1_9b1becb2_b03ea736</vt:lpstr>
      <vt:lpstr>_vena_DYNR_SControleIndelingPL_BB1_9b1becb2_b0919f60</vt:lpstr>
      <vt:lpstr>_vena_DYNR_SControleIndelingPL_BB1_9b1becb2_b1f301be</vt:lpstr>
      <vt:lpstr>_vena_DYNR_SControleIndelingPL_BB1_9b1becb2_b29dc094</vt:lpstr>
      <vt:lpstr>_vena_DYNR_SControleIndelingPL_BB1_9b1becb2_b34fdb3a</vt:lpstr>
      <vt:lpstr>_vena_DYNR_SControleIndelingPL_BB1_9b1becb2_b51c97bb</vt:lpstr>
      <vt:lpstr>_vena_DYNR_SControleIndelingPL_BB1_9b1becb2_b59709ea</vt:lpstr>
      <vt:lpstr>_vena_DYNR_SControleIndelingPL_BB1_9b1becb2_b88425a1</vt:lpstr>
      <vt:lpstr>_vena_DYNR_SControleIndelingPL_BB1_9b1becb2_b8f7c2ab</vt:lpstr>
      <vt:lpstr>_vena_DYNR_SControleIndelingPL_BB1_9b1becb2_b95369a1</vt:lpstr>
      <vt:lpstr>_vena_DYNR_SControleIndelingPL_BB1_9b1becb2_ba5dbe2c</vt:lpstr>
      <vt:lpstr>_vena_DYNR_SControleIndelingPL_BB1_9b1becb2_ba870d2f</vt:lpstr>
      <vt:lpstr>_vena_DYNR_SControleIndelingPL_BB1_9b1becb2_bb6cf2b0</vt:lpstr>
      <vt:lpstr>_vena_DYNR_SControleIndelingPL_BB1_9b1becb2_bb8ac31f</vt:lpstr>
      <vt:lpstr>_vena_DYNR_SControleIndelingPL_BB1_9b1becb2_bc970a6c</vt:lpstr>
      <vt:lpstr>_vena_DYNR_SControleIndelingPL_BB1_9b1becb2_bff80dea</vt:lpstr>
      <vt:lpstr>_vena_DYNR_SControleIndelingPL_BB1_9b1becb2_c1e34737</vt:lpstr>
      <vt:lpstr>_vena_DYNR_SControleIndelingPL_BB1_9b1becb2_c3bf2423</vt:lpstr>
      <vt:lpstr>_vena_DYNR_SControleIndelingPL_BB1_9b1becb2_c62fb022</vt:lpstr>
      <vt:lpstr>_vena_DYNR_SControleIndelingPL_BB1_9b1becb2_c66933f3</vt:lpstr>
      <vt:lpstr>_vena_DYNR_SControleIndelingPL_BB1_9b1becb2_c76bcf49</vt:lpstr>
      <vt:lpstr>_vena_DYNR_SControleIndelingPL_BB1_9b1becb2_c772c1d1</vt:lpstr>
      <vt:lpstr>_vena_DYNR_SControleIndelingPL_BB1_9b1becb2_c7b2fd82</vt:lpstr>
      <vt:lpstr>_vena_DYNR_SControleIndelingPL_BB1_9b1becb2_c8784cbd</vt:lpstr>
      <vt:lpstr>_vena_DYNR_SControleIndelingPL_BB1_9b1becb2_ca176151</vt:lpstr>
      <vt:lpstr>_vena_DYNR_SControleIndelingPL_BB1_9b1becb2_caf2f1af</vt:lpstr>
      <vt:lpstr>_vena_DYNR_SControleIndelingPL_BB1_9b1becb2_cc298ec3</vt:lpstr>
      <vt:lpstr>_vena_DYNR_SControleIndelingPL_BB1_9b1becb2_cc59ed8b</vt:lpstr>
      <vt:lpstr>_vena_DYNR_SControleIndelingPL_BB1_9b1becb2_ccfb6ac3</vt:lpstr>
      <vt:lpstr>_vena_DYNR_SControleIndelingPL_BB1_9b1becb2_ce98458</vt:lpstr>
      <vt:lpstr>_vena_DYNR_SControleIndelingPL_BB1_9b1becb2_d032b451</vt:lpstr>
      <vt:lpstr>_vena_DYNR_SControleIndelingPL_BB1_9b1becb2_d045ecf4</vt:lpstr>
      <vt:lpstr>_vena_DYNR_SControleIndelingPL_BB1_9b1becb2_d3a2273d</vt:lpstr>
      <vt:lpstr>_vena_DYNR_SControleIndelingPL_BB1_9b1becb2_d3f771c3</vt:lpstr>
      <vt:lpstr>_vena_DYNR_SControleIndelingPL_BB1_9b1becb2_d4a75b30</vt:lpstr>
      <vt:lpstr>_vena_DYNR_SControleIndelingPL_BB1_9b1becb2_d4b03357</vt:lpstr>
      <vt:lpstr>_vena_DYNR_SControleIndelingPL_BB1_9b1becb2_d4e43a9</vt:lpstr>
      <vt:lpstr>_vena_DYNR_SControleIndelingPL_BB1_9b1becb2_d549639</vt:lpstr>
      <vt:lpstr>_vena_DYNR_SControleIndelingPL_BB1_9b1becb2_d5b23c84</vt:lpstr>
      <vt:lpstr>_vena_DYNR_SControleIndelingPL_BB1_9b1becb2_d65e5fce</vt:lpstr>
      <vt:lpstr>_vena_DYNR_SControleIndelingPL_BB1_9b1becb2_d6b09af9</vt:lpstr>
      <vt:lpstr>_vena_DYNR_SControleIndelingPL_BB1_9b1becb2_d8c62e13</vt:lpstr>
      <vt:lpstr>_vena_DYNR_SControleIndelingPL_BB1_9b1becb2_dacf7d40</vt:lpstr>
      <vt:lpstr>_vena_DYNR_SControleIndelingPL_BB1_9b1becb2_dd421a7e</vt:lpstr>
      <vt:lpstr>_vena_DYNR_SControleIndelingPL_BB1_9b1becb2_de096825</vt:lpstr>
      <vt:lpstr>_vena_DYNR_SControleIndelingPL_BB1_9b1becb2_de0bc0a7</vt:lpstr>
      <vt:lpstr>_vena_DYNR_SControleIndelingPL_BB1_9b1becb2_de5a4a12</vt:lpstr>
      <vt:lpstr>_vena_DYNR_SControleIndelingPL_BB1_9b1becb2_e0d393d8</vt:lpstr>
      <vt:lpstr>_vena_DYNR_SControleIndelingPL_BB1_9b1becb2_e514c6c0</vt:lpstr>
      <vt:lpstr>_vena_DYNR_SControleIndelingPL_BB1_9b1becb2_e8fce450</vt:lpstr>
      <vt:lpstr>_vena_DYNR_SControleIndelingPL_BB1_9b1becb2_ec3e8920</vt:lpstr>
      <vt:lpstr>_vena_DYNR_SControleIndelingPL_BB1_9b1becb2_ec587a9</vt:lpstr>
      <vt:lpstr>_vena_DYNR_SControleIndelingPL_BB1_9b1becb2_ecd39081</vt:lpstr>
      <vt:lpstr>_vena_DYNR_SControleIndelingPL_BB1_9b1becb2_edc9e37</vt:lpstr>
      <vt:lpstr>_vena_DYNR_SControleIndelingPL_BB1_9b1becb2_ede4cb54</vt:lpstr>
      <vt:lpstr>_vena_DYNR_SControleIndelingPL_BB1_9b1becb2_ef2e34a0</vt:lpstr>
      <vt:lpstr>_vena_DYNR_SControleIndelingPL_BB1_9b1becb2_ef778c40</vt:lpstr>
      <vt:lpstr>_vena_DYNR_SControleIndelingPL_BB1_9b1becb2_f0647aa8</vt:lpstr>
      <vt:lpstr>_vena_DYNR_SControleIndelingPL_BB1_9b1becb2_f28274ec</vt:lpstr>
      <vt:lpstr>_vena_DYNR_SControleIndelingPL_BB1_9b1becb2_f532eac1</vt:lpstr>
      <vt:lpstr>_vena_DYNR_SControleIndelingPL_BB1_9b1becb2_f6c919e4</vt:lpstr>
      <vt:lpstr>_vena_DYNR_SControleIndelingPL_BB1_9b1becb2_f863dfc</vt:lpstr>
      <vt:lpstr>_vena_DYNR_SControleIndelingPL_BB1_9b1becb2_f98894b1</vt:lpstr>
      <vt:lpstr>_vena_DYNR_SControleIndelingPL_BB1_9b1becb2_fc726290</vt:lpstr>
      <vt:lpstr>_vena_DYNR_SControleIndelingPL_BB1_9b1becb2_fdc9cb82</vt:lpstr>
      <vt:lpstr>_vena_DYNR_SControleIndelingPLNomUL_BB1_334d2cd1</vt:lpstr>
      <vt:lpstr>_vena_DYNR_SControleIndelingPLNomUL_BB1_334d2cd1_17577ea4</vt:lpstr>
      <vt:lpstr>_vena_DYNR_SControleIndelingPLNomUL_BB1_334d2cd1_20d7cd8b</vt:lpstr>
      <vt:lpstr>_vena_DYNR_SControleIndelingPLNomUL_BB1_334d2cd1_52b21331</vt:lpstr>
      <vt:lpstr>_vena_DYNR_SControleIndelingPLNomUL_BB1_334d2cd1_5c107090</vt:lpstr>
      <vt:lpstr>_vena_DYNR_SControleIndelingPLNomUL_BB1_334d2cd1_61ad846</vt:lpstr>
      <vt:lpstr>_vena_DYNR_SControleIndelingPLNomUL_BB1_334d2cd1_863bdc24</vt:lpstr>
      <vt:lpstr>_vena_DYNR_SControleIndelingPLNomUL_BB1_334d2cd1_8951c42e</vt:lpstr>
      <vt:lpstr>_vena_DYNR_SControleIndelingPLNomUL_BB1_334d2cd1_a05abe8b</vt:lpstr>
      <vt:lpstr>_vena_DYNR_SControleIndelingPLNomUL_BB1_334d2cd1_a0a64ea</vt:lpstr>
      <vt:lpstr>_vena_DYNR_SControleIndelingPLNomUL_BB1_334d2cd1_a7bf389b</vt:lpstr>
      <vt:lpstr>_vena_DYNR_SControleIndelingPLNomUL_BB1_334d2cd1_b5bcf92f</vt:lpstr>
      <vt:lpstr>_vena_DYNR_SControleIndelingPLNomUL_BB1_334d2cd1_c3807622</vt:lpstr>
      <vt:lpstr>_vena_DYNR_SControleIndelingPLNomUL_BB1_334d2cd1_c8bad2e6</vt:lpstr>
      <vt:lpstr>_vena_DYNR_SControleIndelingPLNomUL_BB1_334d2cd1_d4c6810a</vt:lpstr>
      <vt:lpstr>_vena_DYNR_SControleIndelingPLNomUL_BB1_334d2cd1_d9e7aa61</vt:lpstr>
      <vt:lpstr>_vena_DYNR_SControleIndelingPLNomUL_BB1_334d2cd1_dbfde64f</vt:lpstr>
      <vt:lpstr>_vena_DYNR_SControleIndelingPLNomUL_BB1_334d2cd1_e6975118</vt:lpstr>
      <vt:lpstr>_vena_DYNR_SControleIndelingPLNomUL_BB1_334d2cd1_e6c7eed4</vt:lpstr>
      <vt:lpstr>_vena_DYNR_SControleIndelingPLNomUL_BB1_334d2cd1_ec2a8bc8</vt:lpstr>
      <vt:lpstr>_vena_DYNR_SControleIndelingPLNomUL_BB1_334d2cd1_ff452506</vt:lpstr>
      <vt:lpstr>_vena_DYNR_SControleIndelingPLNomUL_BB1_8de5a235</vt:lpstr>
      <vt:lpstr>_vena_DYNR_SControleIndelingPLNomUL_BB1_8de5a235_11e0a66a</vt:lpstr>
      <vt:lpstr>_vena_DYNR_SControleIndelingPLNomUL_BB1_8de5a235_15dfba9b</vt:lpstr>
      <vt:lpstr>_vena_DYNR_SControleIndelingPLNomUL_BB1_8de5a235_1b2181c4</vt:lpstr>
      <vt:lpstr>_vena_DYNR_SControleIndelingPLNomUL_BB1_8de5a235_2dc41b35</vt:lpstr>
      <vt:lpstr>_vena_DYNR_SControleIndelingPLNomUL_BB1_8de5a235_30326a9c</vt:lpstr>
      <vt:lpstr>_vena_DYNR_SControleIndelingPLNomUL_BB1_8de5a235_32834095</vt:lpstr>
      <vt:lpstr>_vena_DYNR_SControleIndelingPLNomUL_BB1_8de5a235_33e369e9</vt:lpstr>
      <vt:lpstr>_vena_DYNR_SControleIndelingPLNomUL_BB1_8de5a235_48a7d8c6</vt:lpstr>
      <vt:lpstr>_vena_DYNR_SControleIndelingPLNomUL_BB1_8de5a235_497ac35e</vt:lpstr>
      <vt:lpstr>_vena_DYNR_SControleIndelingPLNomUL_BB1_8de5a235_4e53c7bd</vt:lpstr>
      <vt:lpstr>_vena_DYNR_SControleIndelingPLNomUL_BB1_8de5a235_4fea07f9</vt:lpstr>
      <vt:lpstr>_vena_DYNR_SControleIndelingPLNomUL_BB1_8de5a235_53663a1d</vt:lpstr>
      <vt:lpstr>_vena_DYNR_SControleIndelingPLNomUL_BB1_8de5a235_580bccb1</vt:lpstr>
      <vt:lpstr>_vena_DYNR_SControleIndelingPLNomUL_BB1_8de5a235_6a59cbe3</vt:lpstr>
      <vt:lpstr>_vena_DYNR_SControleIndelingPLNomUL_BB1_8de5a235_728882c5</vt:lpstr>
      <vt:lpstr>_vena_DYNR_SControleIndelingPLNomUL_BB1_8de5a235_741d357b</vt:lpstr>
      <vt:lpstr>_vena_DYNR_SControleIndelingPLNomUL_BB1_8de5a235_784ea99</vt:lpstr>
      <vt:lpstr>_vena_DYNR_SControleIndelingPLNomUL_BB1_8de5a235_82a74b82</vt:lpstr>
      <vt:lpstr>_vena_DYNR_SControleIndelingPLNomUL_BB1_8de5a235_87bbdf72</vt:lpstr>
      <vt:lpstr>_vena_DYNR_SControleIndelingPLNomUL_BB1_8de5a235_928b3b2</vt:lpstr>
      <vt:lpstr>_vena_DYNR_SControleIndelingPLNomUL_BB1_8de5a235_9366ff37</vt:lpstr>
      <vt:lpstr>_vena_DYNR_SControleIndelingPLNomUL_BB1_8de5a235_98d1fd8f</vt:lpstr>
      <vt:lpstr>_vena_DYNR_SControleIndelingPLNomUL_BB1_8de5a235_a265d157</vt:lpstr>
      <vt:lpstr>_vena_DYNR_SControleIndelingPLNomUL_BB1_8de5a235_a3e47385</vt:lpstr>
      <vt:lpstr>_vena_DYNR_SControleIndelingPLNomUL_BB1_8de5a235_a3f03a73</vt:lpstr>
      <vt:lpstr>_vena_DYNR_SControleIndelingPLNomUL_BB1_8de5a235_a57dd8a6</vt:lpstr>
      <vt:lpstr>_vena_DYNR_SControleIndelingPLNomUL_BB1_8de5a235_a6c2f72f</vt:lpstr>
      <vt:lpstr>_vena_DYNR_SControleIndelingPLNomUL_BB1_8de5a235_b00ff8e9</vt:lpstr>
      <vt:lpstr>_vena_DYNR_SControleIndelingPLNomUL_BB1_8de5a235_b08906f2</vt:lpstr>
      <vt:lpstr>_vena_DYNR_SControleIndelingPLNomUL_BB1_8de5a235_b81bca69</vt:lpstr>
      <vt:lpstr>_vena_DYNR_SControleIndelingPLNomUL_BB1_8de5a235_bcea5efe</vt:lpstr>
      <vt:lpstr>_vena_DYNR_SControleIndelingPLNomUL_BB1_8de5a235_c2c2dd09</vt:lpstr>
      <vt:lpstr>_vena_DYNR_SControleIndelingPLNomUL_BB1_8de5a235_c50e9a32</vt:lpstr>
      <vt:lpstr>_vena_DYNR_SControleIndelingPLNomUL_BB1_8de5a235_c635f68c</vt:lpstr>
      <vt:lpstr>_vena_DYNR_SControleIndelingPLNomUL_BB1_8de5a235_cedf81eb</vt:lpstr>
      <vt:lpstr>_vena_DYNR_SControleIndelingPLNomUL_BB1_8de5a235_dbfbf54a</vt:lpstr>
      <vt:lpstr>_vena_DYNR_SControleIndelingPLNomUL_BB1_8de5a235_dc3e6d7a</vt:lpstr>
      <vt:lpstr>_vena_DYNR_SControleIndelingPLNomUL_BB1_8de5a235_e089179d</vt:lpstr>
      <vt:lpstr>_vena_DYNR_SControleIndelingPLNomUL_BB1_8de5a235_e165bf95</vt:lpstr>
      <vt:lpstr>_vena_DYNR_SControleIndelingPLNomUL_BB1_8de5a235_e2c50237</vt:lpstr>
      <vt:lpstr>_vena_DYNR_SControleIndelingPLNomUL_BB1_8de5a235_e9db8843</vt:lpstr>
      <vt:lpstr>_vena_DYNR_SControleIndelingPLNomUL_BB1_8de5a235_ed007007</vt:lpstr>
      <vt:lpstr>_vena_DYNR_SControleIndelingPLNomUL_BB1_8de5a235_f2328605</vt:lpstr>
      <vt:lpstr>_vena_DYNR_SControleIndelingPLNomUL_BB1_8de5a235_f8241670</vt:lpstr>
      <vt:lpstr>_vena_DYNR_SControleIndelingPLNomUL_BB1_8de5a235_f8b889b8</vt:lpstr>
      <vt:lpstr>_vena_DYNR_SControleIndelingPLNomUL_BB1_8de5a235_fc6ee144</vt:lpstr>
      <vt:lpstr>_vena_DYNR_SControleIndelingPLNomUL_BB1_8de5a235_fe975075</vt:lpstr>
      <vt:lpstr>_vena_DYNR_SControleIndelingPLNomUL_BB1_a20f3d4f</vt:lpstr>
      <vt:lpstr>_vena_DYNR_SControleIndelingPLNomUL_BB1_a20f3d4f_10cfcda8</vt:lpstr>
      <vt:lpstr>_vena_DYNR_SControleIndelingPLNomUL_BB1_a20f3d4f_17eea6a3</vt:lpstr>
      <vt:lpstr>_vena_DYNR_SControleIndelingPLNomUL_BB1_a20f3d4f_18bd2920</vt:lpstr>
      <vt:lpstr>_vena_DYNR_SControleIndelingPLNomUL_BB1_a20f3d4f_1fd27b6</vt:lpstr>
      <vt:lpstr>_vena_DYNR_SControleIndelingPLNomUL_BB1_a20f3d4f_20fbdd75</vt:lpstr>
      <vt:lpstr>_vena_DYNR_SControleIndelingPLNomUL_BB1_a20f3d4f_2a0c3a68</vt:lpstr>
      <vt:lpstr>_vena_DYNR_SControleIndelingPLNomUL_BB1_a20f3d4f_2ad528ea</vt:lpstr>
      <vt:lpstr>_vena_DYNR_SControleIndelingPLNomUL_BB1_a20f3d4f_3211f235</vt:lpstr>
      <vt:lpstr>_vena_DYNR_SControleIndelingPLNomUL_BB1_a20f3d4f_342d6670</vt:lpstr>
      <vt:lpstr>_vena_DYNR_SControleIndelingPLNomUL_BB1_a20f3d4f_36305234</vt:lpstr>
      <vt:lpstr>_vena_DYNR_SControleIndelingPLNomUL_BB1_a20f3d4f_3a0d713d</vt:lpstr>
      <vt:lpstr>_vena_DYNR_SControleIndelingPLNomUL_BB1_a20f3d4f_3d879fa3</vt:lpstr>
      <vt:lpstr>_vena_DYNR_SControleIndelingPLNomUL_BB1_a20f3d4f_3dbe5d1d</vt:lpstr>
      <vt:lpstr>_vena_DYNR_SControleIndelingPLNomUL_BB1_a20f3d4f_3e5c0688</vt:lpstr>
      <vt:lpstr>_vena_DYNR_SControleIndelingPLNomUL_BB1_a20f3d4f_432db512</vt:lpstr>
      <vt:lpstr>_vena_DYNR_SControleIndelingPLNomUL_BB1_a20f3d4f_472551ff</vt:lpstr>
      <vt:lpstr>_vena_DYNR_SControleIndelingPLNomUL_BB1_a20f3d4f_569fdbad</vt:lpstr>
      <vt:lpstr>_vena_DYNR_SControleIndelingPLNomUL_BB1_a20f3d4f_59a8dd88</vt:lpstr>
      <vt:lpstr>_vena_DYNR_SControleIndelingPLNomUL_BB1_a20f3d4f_60985426</vt:lpstr>
      <vt:lpstr>_vena_DYNR_SControleIndelingPLNomUL_BB1_a20f3d4f_671baa9d</vt:lpstr>
      <vt:lpstr>_vena_DYNR_SControleIndelingPLNomUL_BB1_a20f3d4f_682eed13</vt:lpstr>
      <vt:lpstr>_vena_DYNR_SControleIndelingPLNomUL_BB1_a20f3d4f_6c7fca81</vt:lpstr>
      <vt:lpstr>_vena_DYNR_SControleIndelingPLNomUL_BB1_a20f3d4f_78f19c0b</vt:lpstr>
      <vt:lpstr>_vena_DYNR_SControleIndelingPLNomUL_BB1_a20f3d4f_7e7589a5</vt:lpstr>
      <vt:lpstr>_vena_DYNR_SControleIndelingPLNomUL_BB1_a20f3d4f_80fee7e4</vt:lpstr>
      <vt:lpstr>_vena_DYNR_SControleIndelingPLNomUL_BB1_a20f3d4f_821aaafe</vt:lpstr>
      <vt:lpstr>_vena_DYNR_SControleIndelingPLNomUL_BB1_a20f3d4f_8ce9fdca</vt:lpstr>
      <vt:lpstr>_vena_DYNR_SControleIndelingPLNomUL_BB1_a20f3d4f_9349deed</vt:lpstr>
      <vt:lpstr>_vena_DYNR_SControleIndelingPLNomUL_BB1_a20f3d4f_9b4c5eb1</vt:lpstr>
      <vt:lpstr>_vena_DYNR_SControleIndelingPLNomUL_BB1_a20f3d4f_9e1322e7</vt:lpstr>
      <vt:lpstr>_vena_DYNR_SControleIndelingPLNomUL_BB1_a20f3d4f_a0546741</vt:lpstr>
      <vt:lpstr>_vena_DYNR_SControleIndelingPLNomUL_BB1_a20f3d4f_a2ffda52</vt:lpstr>
      <vt:lpstr>_vena_DYNR_SControleIndelingPLNomUL_BB1_a20f3d4f_a968cbb0</vt:lpstr>
      <vt:lpstr>_vena_DYNR_SControleIndelingPLNomUL_BB1_a20f3d4f_aa1890ac</vt:lpstr>
      <vt:lpstr>_vena_DYNR_SControleIndelingPLNomUL_BB1_a20f3d4f_ab9968fd</vt:lpstr>
      <vt:lpstr>_vena_DYNR_SControleIndelingPLNomUL_BB1_a20f3d4f_ad6f5e16</vt:lpstr>
      <vt:lpstr>_vena_DYNR_SControleIndelingPLNomUL_BB1_a20f3d4f_ae2d29c9</vt:lpstr>
      <vt:lpstr>_vena_DYNR_SControleIndelingPLNomUL_BB1_a20f3d4f_b2945855</vt:lpstr>
      <vt:lpstr>_vena_DYNR_SControleIndelingPLNomUL_BB1_a20f3d4f_b8009162</vt:lpstr>
      <vt:lpstr>_vena_DYNR_SControleIndelingPLNomUL_BB1_a20f3d4f_b83ae810</vt:lpstr>
      <vt:lpstr>_vena_DYNR_SControleIndelingPLNomUL_BB1_a20f3d4f_c3cce355</vt:lpstr>
      <vt:lpstr>_vena_DYNR_SControleIndelingPLNomUL_BB1_a20f3d4f_c715ad42</vt:lpstr>
      <vt:lpstr>_vena_DYNR_SControleIndelingPLNomUL_BB1_a20f3d4f_d47152a6</vt:lpstr>
      <vt:lpstr>_vena_DYNR_SControleIndelingPLNomUL_BB1_a20f3d4f_d686e77c</vt:lpstr>
      <vt:lpstr>_vena_DYNR_SControleIndelingPLNomUL_BB1_a20f3d4f_da276a92</vt:lpstr>
      <vt:lpstr>_vena_DYNR_SControleIndelingPLNomUL_BB1_a20f3d4f_e413b5c4</vt:lpstr>
      <vt:lpstr>_vena_DYNR_SControleIndelingPLNomUL_BB1_a20f3d4f_e4c051d4</vt:lpstr>
      <vt:lpstr>_vena_DYNR_SControleIndelingPLNomUL_BB1_a20f3d4f_e80ce5d9</vt:lpstr>
      <vt:lpstr>_vena_DYNR_SControleIndelingPLNomUL_BB1_a20f3d4f_fd909832</vt:lpstr>
      <vt:lpstr>_vena_DYNR_SControleIndelingPLNomUL_BB1_a20f3d4f_febdf31</vt:lpstr>
      <vt:lpstr>_vena_DYNR_SControleIndelingPLNomUL_BB1_c182ae31</vt:lpstr>
      <vt:lpstr>_vena_DYNR_SControleIndelingPLNomUL_BB1_c182ae31_10190c1e</vt:lpstr>
      <vt:lpstr>_vena_DYNR_SControleIndelingPLNomUL_BB1_c182ae31_10d84f2</vt:lpstr>
      <vt:lpstr>_vena_DYNR_SControleIndelingPLNomUL_BB1_c182ae31_14a7cf76</vt:lpstr>
      <vt:lpstr>_vena_DYNR_SControleIndelingPLNomUL_BB1_c182ae31_155c7659</vt:lpstr>
      <vt:lpstr>_vena_DYNR_SControleIndelingPLNomUL_BB1_c182ae31_159e8d63</vt:lpstr>
      <vt:lpstr>_vena_DYNR_SControleIndelingPLNomUL_BB1_c182ae31_17d227c7</vt:lpstr>
      <vt:lpstr>_vena_DYNR_SControleIndelingPLNomUL_BB1_c182ae31_18bf3e22</vt:lpstr>
      <vt:lpstr>_vena_DYNR_SControleIndelingPLNomUL_BB1_c182ae31_199862d7</vt:lpstr>
      <vt:lpstr>_vena_DYNR_SControleIndelingPLNomUL_BB1_c182ae31_1f7410f1</vt:lpstr>
      <vt:lpstr>_vena_DYNR_SControleIndelingPLNomUL_BB1_c182ae31_23124f6a</vt:lpstr>
      <vt:lpstr>_vena_DYNR_SControleIndelingPLNomUL_BB1_c182ae31_29e9dc15</vt:lpstr>
      <vt:lpstr>_vena_DYNR_SControleIndelingPLNomUL_BB1_c182ae31_2a0c6e38</vt:lpstr>
      <vt:lpstr>_vena_DYNR_SControleIndelingPLNomUL_BB1_c182ae31_2a2beaa1</vt:lpstr>
      <vt:lpstr>_vena_DYNR_SControleIndelingPLNomUL_BB1_c182ae31_2a6f4986</vt:lpstr>
      <vt:lpstr>_vena_DYNR_SControleIndelingPLNomUL_BB1_c182ae31_2cb4ffca</vt:lpstr>
      <vt:lpstr>_vena_DYNR_SControleIndelingPLNomUL_BB1_c182ae31_2db47123</vt:lpstr>
      <vt:lpstr>_vena_DYNR_SControleIndelingPLNomUL_BB1_c182ae31_2e61797</vt:lpstr>
      <vt:lpstr>_vena_DYNR_SControleIndelingPLNomUL_BB1_c182ae31_2fbe47d7</vt:lpstr>
      <vt:lpstr>_vena_DYNR_SControleIndelingPLNomUL_BB1_c182ae31_301aff74</vt:lpstr>
      <vt:lpstr>_vena_DYNR_SControleIndelingPLNomUL_BB1_c182ae31_304cd15c</vt:lpstr>
      <vt:lpstr>_vena_DYNR_SControleIndelingPLNomUL_BB1_c182ae31_30c83b70</vt:lpstr>
      <vt:lpstr>_vena_DYNR_SControleIndelingPLNomUL_BB1_c182ae31_315b06e7</vt:lpstr>
      <vt:lpstr>_vena_DYNR_SControleIndelingPLNomUL_BB1_c182ae31_332ff621</vt:lpstr>
      <vt:lpstr>_vena_DYNR_SControleIndelingPLNomUL_BB1_c182ae31_33a848bf</vt:lpstr>
      <vt:lpstr>_vena_DYNR_SControleIndelingPLNomUL_BB1_c182ae31_3439bf27</vt:lpstr>
      <vt:lpstr>_vena_DYNR_SControleIndelingPLNomUL_BB1_c182ae31_3605102</vt:lpstr>
      <vt:lpstr>_vena_DYNR_SControleIndelingPLNomUL_BB1_c182ae31_386779eb</vt:lpstr>
      <vt:lpstr>_vena_DYNR_SControleIndelingPLNomUL_BB1_c182ae31_38d2d641</vt:lpstr>
      <vt:lpstr>_vena_DYNR_SControleIndelingPLNomUL_BB1_c182ae31_3a295f22</vt:lpstr>
      <vt:lpstr>_vena_DYNR_SControleIndelingPLNomUL_BB1_c182ae31_41073fd</vt:lpstr>
      <vt:lpstr>_vena_DYNR_SControleIndelingPLNomUL_BB1_c182ae31_415f2310</vt:lpstr>
      <vt:lpstr>_vena_DYNR_SControleIndelingPLNomUL_BB1_c182ae31_41d8bbd2</vt:lpstr>
      <vt:lpstr>_vena_DYNR_SControleIndelingPLNomUL_BB1_c182ae31_44ba986a</vt:lpstr>
      <vt:lpstr>_vena_DYNR_SControleIndelingPLNomUL_BB1_c182ae31_4565426c</vt:lpstr>
      <vt:lpstr>_vena_DYNR_SControleIndelingPLNomUL_BB1_c182ae31_490eba79</vt:lpstr>
      <vt:lpstr>_vena_DYNR_SControleIndelingPLNomUL_BB1_c182ae31_494ab808</vt:lpstr>
      <vt:lpstr>_vena_DYNR_SControleIndelingPLNomUL_BB1_c182ae31_4976f990</vt:lpstr>
      <vt:lpstr>_vena_DYNR_SControleIndelingPLNomUL_BB1_c182ae31_497c5cd</vt:lpstr>
      <vt:lpstr>_vena_DYNR_SControleIndelingPLNomUL_BB1_c182ae31_49dc59ab</vt:lpstr>
      <vt:lpstr>_vena_DYNR_SControleIndelingPLNomUL_BB1_c182ae31_49eae539</vt:lpstr>
      <vt:lpstr>_vena_DYNR_SControleIndelingPLNomUL_BB1_c182ae31_4a2dea80</vt:lpstr>
      <vt:lpstr>_vena_DYNR_SControleIndelingPLNomUL_BB1_c182ae31_4b1fde06</vt:lpstr>
      <vt:lpstr>_vena_DYNR_SControleIndelingPLNomUL_BB1_c182ae31_4b36e003</vt:lpstr>
      <vt:lpstr>_vena_DYNR_SControleIndelingPLNomUL_BB1_c182ae31_52a0c736</vt:lpstr>
      <vt:lpstr>_vena_DYNR_SControleIndelingPLNomUL_BB1_c182ae31_54cc9d6e</vt:lpstr>
      <vt:lpstr>_vena_DYNR_SControleIndelingPLNomUL_BB1_c182ae31_56c5c15f</vt:lpstr>
      <vt:lpstr>_vena_DYNR_SControleIndelingPLNomUL_BB1_c182ae31_577bcc26</vt:lpstr>
      <vt:lpstr>_vena_DYNR_SControleIndelingPLNomUL_BB1_c182ae31_5804ac4b</vt:lpstr>
      <vt:lpstr>_vena_DYNR_SControleIndelingPLNomUL_BB1_c182ae31_58d6aa52</vt:lpstr>
      <vt:lpstr>_vena_DYNR_SControleIndelingPLNomUL_BB1_c182ae31_59229d3c</vt:lpstr>
      <vt:lpstr>_vena_DYNR_SControleIndelingPLNomUL_BB1_c182ae31_5c27d94c</vt:lpstr>
      <vt:lpstr>_vena_DYNR_SControleIndelingPLNomUL_BB1_c182ae31_5e589107</vt:lpstr>
      <vt:lpstr>_vena_DYNR_SControleIndelingPLNomUL_BB1_c182ae31_609f5ab6</vt:lpstr>
      <vt:lpstr>_vena_DYNR_SControleIndelingPLNomUL_BB1_c182ae31_6109ba53</vt:lpstr>
      <vt:lpstr>_vena_DYNR_SControleIndelingPLNomUL_BB1_c182ae31_667c3ee4</vt:lpstr>
      <vt:lpstr>_vena_DYNR_SControleIndelingPLNomUL_BB1_c182ae31_66fa09cc</vt:lpstr>
      <vt:lpstr>_vena_DYNR_SControleIndelingPLNomUL_BB1_c182ae31_6a0718da</vt:lpstr>
      <vt:lpstr>_vena_DYNR_SControleIndelingPLNomUL_BB1_c182ae31_6b5ac28c</vt:lpstr>
      <vt:lpstr>_vena_DYNR_SControleIndelingPLNomUL_BB1_c182ae31_6ca1e37a</vt:lpstr>
      <vt:lpstr>_vena_DYNR_SControleIndelingPLNomUL_BB1_c182ae31_6e10264</vt:lpstr>
      <vt:lpstr>_vena_DYNR_SControleIndelingPLNomUL_BB1_c182ae31_6f2bf95e</vt:lpstr>
      <vt:lpstr>_vena_DYNR_SControleIndelingPLNomUL_BB1_c182ae31_73242c3b</vt:lpstr>
      <vt:lpstr>_vena_DYNR_SControleIndelingPLNomUL_BB1_c182ae31_75e4eb57</vt:lpstr>
      <vt:lpstr>_vena_DYNR_SControleIndelingPLNomUL_BB1_c182ae31_760e5d21</vt:lpstr>
      <vt:lpstr>_vena_DYNR_SControleIndelingPLNomUL_BB1_c182ae31_7c465545</vt:lpstr>
      <vt:lpstr>_vena_DYNR_SControleIndelingPLNomUL_BB1_c182ae31_7cd338dd</vt:lpstr>
      <vt:lpstr>_vena_DYNR_SControleIndelingPLNomUL_BB1_c182ae31_7e35087d</vt:lpstr>
      <vt:lpstr>_vena_DYNR_SControleIndelingPLNomUL_BB1_c182ae31_7ec6a1d7</vt:lpstr>
      <vt:lpstr>_vena_DYNR_SControleIndelingPLNomUL_BB1_c182ae31_7f95f1bf</vt:lpstr>
      <vt:lpstr>_vena_DYNR_SControleIndelingPLNomUL_BB1_c182ae31_81bf321e</vt:lpstr>
      <vt:lpstr>_vena_DYNR_SControleIndelingPLNomUL_BB1_c182ae31_834d0145</vt:lpstr>
      <vt:lpstr>_vena_DYNR_SControleIndelingPLNomUL_BB1_c182ae31_83fb3848</vt:lpstr>
      <vt:lpstr>_vena_DYNR_SControleIndelingPLNomUL_BB1_c182ae31_85ea2d45</vt:lpstr>
      <vt:lpstr>_vena_DYNR_SControleIndelingPLNomUL_BB1_c182ae31_86573a8e</vt:lpstr>
      <vt:lpstr>_vena_DYNR_SControleIndelingPLNomUL_BB1_c182ae31_8aa568ac</vt:lpstr>
      <vt:lpstr>_vena_DYNR_SControleIndelingPLNomUL_BB1_c182ae31_8aaa2bab</vt:lpstr>
      <vt:lpstr>_vena_DYNR_SControleIndelingPLNomUL_BB1_c182ae31_8dc6b75b</vt:lpstr>
      <vt:lpstr>_vena_DYNR_SControleIndelingPLNomUL_BB1_c182ae31_8f5a2ef0</vt:lpstr>
      <vt:lpstr>_vena_DYNR_SControleIndelingPLNomUL_BB1_c182ae31_905b880d</vt:lpstr>
      <vt:lpstr>_vena_DYNR_SControleIndelingPLNomUL_BB1_c182ae31_90f0728</vt:lpstr>
      <vt:lpstr>_vena_DYNR_SControleIndelingPLNomUL_BB1_c182ae31_939d891e</vt:lpstr>
      <vt:lpstr>_vena_DYNR_SControleIndelingPLNomUL_BB1_c182ae31_96db1113</vt:lpstr>
      <vt:lpstr>_vena_DYNR_SControleIndelingPLNomUL_BB1_c182ae31_9772fb72</vt:lpstr>
      <vt:lpstr>_vena_DYNR_SControleIndelingPLNomUL_BB1_c182ae31_984f278b</vt:lpstr>
      <vt:lpstr>_vena_DYNR_SControleIndelingPLNomUL_BB1_c182ae31_9ae4ae29</vt:lpstr>
      <vt:lpstr>_vena_DYNR_SControleIndelingPLNomUL_BB1_c182ae31_9c4411f8</vt:lpstr>
      <vt:lpstr>_vena_DYNR_SControleIndelingPLNomUL_BB1_c182ae31_9ebbc47c</vt:lpstr>
      <vt:lpstr>_vena_DYNR_SControleIndelingPLNomUL_BB1_c182ae31_9f7c497c</vt:lpstr>
      <vt:lpstr>_vena_DYNR_SControleIndelingPLNomUL_BB1_c182ae31_a1ec6b34</vt:lpstr>
      <vt:lpstr>_vena_DYNR_SControleIndelingPLNomUL_BB1_c182ae31_a79c1e08</vt:lpstr>
      <vt:lpstr>_vena_DYNR_SControleIndelingPLNomUL_BB1_c182ae31_a7d37396</vt:lpstr>
      <vt:lpstr>_vena_DYNR_SControleIndelingPLNomUL_BB1_c182ae31_a8143017</vt:lpstr>
      <vt:lpstr>_vena_DYNR_SControleIndelingPLNomUL_BB1_c182ae31_a97b8461</vt:lpstr>
      <vt:lpstr>_vena_DYNR_SControleIndelingPLNomUL_BB1_c182ae31_aa52d8b9</vt:lpstr>
      <vt:lpstr>_vena_DYNR_SControleIndelingPLNomUL_BB1_c182ae31_ab577538</vt:lpstr>
      <vt:lpstr>_vena_DYNR_SControleIndelingPLNomUL_BB1_c182ae31_ade9c023</vt:lpstr>
      <vt:lpstr>_vena_DYNR_SControleIndelingPLNomUL_BB1_c182ae31_adee907e</vt:lpstr>
      <vt:lpstr>_vena_DYNR_SControleIndelingPLNomUL_BB1_c182ae31_b3062158</vt:lpstr>
      <vt:lpstr>_vena_DYNR_SControleIndelingPLNomUL_BB1_c182ae31_b3ea4d8c</vt:lpstr>
      <vt:lpstr>_vena_DYNR_SControleIndelingPLNomUL_BB1_c182ae31_b42b53c7</vt:lpstr>
      <vt:lpstr>_vena_DYNR_SControleIndelingPLNomUL_BB1_c182ae31_b44aa3ba</vt:lpstr>
      <vt:lpstr>_vena_DYNR_SControleIndelingPLNomUL_BB1_c182ae31_b59812db</vt:lpstr>
      <vt:lpstr>_vena_DYNR_SControleIndelingPLNomUL_BB1_c182ae31_ba531588</vt:lpstr>
      <vt:lpstr>_vena_DYNR_SControleIndelingPLNomUL_BB1_c182ae31_bd3b6cc1</vt:lpstr>
      <vt:lpstr>_vena_DYNR_SControleIndelingPLNomUL_BB1_c182ae31_be57bc5</vt:lpstr>
      <vt:lpstr>_vena_DYNR_SControleIndelingPLNomUL_BB1_c182ae31_be6a58a3</vt:lpstr>
      <vt:lpstr>_vena_DYNR_SControleIndelingPLNomUL_BB1_c182ae31_c558259d</vt:lpstr>
      <vt:lpstr>_vena_DYNR_SControleIndelingPLNomUL_BB1_c182ae31_c7be4bb2</vt:lpstr>
      <vt:lpstr>_vena_DYNR_SControleIndelingPLNomUL_BB1_c182ae31_c9612909</vt:lpstr>
      <vt:lpstr>_vena_DYNR_SControleIndelingPLNomUL_BB1_c182ae31_cd8a69a8</vt:lpstr>
      <vt:lpstr>_vena_DYNR_SControleIndelingPLNomUL_BB1_c182ae31_d6db26a2</vt:lpstr>
      <vt:lpstr>_vena_DYNR_SControleIndelingPLNomUL_BB1_c182ae31_d719d82e</vt:lpstr>
      <vt:lpstr>_vena_DYNR_SControleIndelingPLNomUL_BB1_c182ae31_d84db064</vt:lpstr>
      <vt:lpstr>_vena_DYNR_SControleIndelingPLNomUL_BB1_c182ae31_d8c617c5</vt:lpstr>
      <vt:lpstr>_vena_DYNR_SControleIndelingPLNomUL_BB1_c182ae31_dab49173</vt:lpstr>
      <vt:lpstr>_vena_DYNR_SControleIndelingPLNomUL_BB1_c182ae31_dac45ed8</vt:lpstr>
      <vt:lpstr>_vena_DYNR_SControleIndelingPLNomUL_BB1_c182ae31_db0298a1</vt:lpstr>
      <vt:lpstr>_vena_DYNR_SControleIndelingPLNomUL_BB1_c182ae31_e09ee6fb</vt:lpstr>
      <vt:lpstr>_vena_DYNR_SControleIndelingPLNomUL_BB1_c182ae31_e0d7da19</vt:lpstr>
      <vt:lpstr>_vena_DYNR_SControleIndelingPLNomUL_BB1_c182ae31_e1d5cb7f</vt:lpstr>
      <vt:lpstr>_vena_DYNR_SControleIndelingPLNomUL_BB1_c182ae31_e34a4afd</vt:lpstr>
      <vt:lpstr>_vena_DYNR_SControleIndelingPLNomUL_BB1_c182ae31_e729e6c2</vt:lpstr>
      <vt:lpstr>_vena_DYNR_SControleIndelingPLNomUL_BB1_c182ae31_e748318</vt:lpstr>
      <vt:lpstr>_vena_DYNR_SControleIndelingPLNomUL_BB1_c182ae31_ea8dcce9</vt:lpstr>
      <vt:lpstr>_vena_DYNR_SControleIndelingPLNomUL_BB1_c182ae31_eadb10e1</vt:lpstr>
      <vt:lpstr>_vena_DYNR_SControleIndelingPLNomUL_BB1_c182ae31_eaf66bb2</vt:lpstr>
      <vt:lpstr>_vena_DYNR_SControleIndelingPLNomUL_BB1_c182ae31_ee0c154f</vt:lpstr>
      <vt:lpstr>_vena_DYNR_SControleIndelingPLNomUL_BB1_c182ae31_ee5c20ee</vt:lpstr>
      <vt:lpstr>_vena_DYNR_SControleIndelingPLNomUL_BB1_c182ae31_ef83c75c</vt:lpstr>
      <vt:lpstr>_vena_DYNR_SControleIndelingPLNomUL_BB1_c182ae31_f0a46699</vt:lpstr>
      <vt:lpstr>_vena_DYNR_SControleIndelingPLNomUL_BB1_c182ae31_f0f13608</vt:lpstr>
      <vt:lpstr>_vena_DYNR_SControleIndelingPLNomUL_BB1_c182ae31_f2229ba1</vt:lpstr>
      <vt:lpstr>_vena_DYNR_SControleIndelingPLNomUL_BB1_c182ae31_f3b77192</vt:lpstr>
      <vt:lpstr>_vena_DYNR_SControleIndelingPLNomUL_BB1_c182ae31_f40baab8</vt:lpstr>
      <vt:lpstr>_vena_DYNR_SControleIndelingPLNomUL_BB1_c182ae31_f5702606</vt:lpstr>
      <vt:lpstr>_vena_DYNR_SControleIndelingPLNomUL_BB1_c182ae31_f64c2a27</vt:lpstr>
      <vt:lpstr>_vena_DYNR_SControleIndelingPLNomUL_BB1_c182ae31_f74343b9</vt:lpstr>
      <vt:lpstr>_vena_DYNR_SControleIndelingPLNomUL_BB1_c182ae31_f94e6572</vt:lpstr>
      <vt:lpstr>_vena_DYNR_SControleIndelingPLNomUL_BB1_c182ae31_f97332ed</vt:lpstr>
      <vt:lpstr>_vena_DYNR_SControleIndelingPLNomUL_BB1_c182ae31_fb79dc6e</vt:lpstr>
      <vt:lpstr>_vena_DYNR_SControleIndelingPLNomUL_BB1_c182ae31_fb8cae3c</vt:lpstr>
      <vt:lpstr>_vena_DYNR_SControleIndelingPLNomUL_BB1_c182ae31_fcf65870</vt:lpstr>
      <vt:lpstr>_vena_DYNR_SControleIndelingPLNomUL_BB1_c49935c7</vt:lpstr>
      <vt:lpstr>_vena_DYNR_SControleIndelingPLNomUL_BB1_c49935c7_1089502</vt:lpstr>
      <vt:lpstr>_vena_DYNR_SControleIndelingPLNomUL_BB1_c49935c7_11885d40</vt:lpstr>
      <vt:lpstr>_vena_DYNR_SControleIndelingPLNomUL_BB1_c49935c7_1413e517</vt:lpstr>
      <vt:lpstr>_vena_DYNR_SControleIndelingPLNomUL_BB1_c49935c7_1483eb71</vt:lpstr>
      <vt:lpstr>_vena_DYNR_SControleIndelingPLNomUL_BB1_c49935c7_15933947</vt:lpstr>
      <vt:lpstr>_vena_DYNR_SControleIndelingPLNomUL_BB1_c49935c7_1f33fe55</vt:lpstr>
      <vt:lpstr>_vena_DYNR_SControleIndelingPLNomUL_BB1_c49935c7_22023e97</vt:lpstr>
      <vt:lpstr>_vena_DYNR_SControleIndelingPLNomUL_BB1_c49935c7_281e5490</vt:lpstr>
      <vt:lpstr>_vena_DYNR_SControleIndelingPLNomUL_BB1_c49935c7_29314bcd</vt:lpstr>
      <vt:lpstr>_vena_DYNR_SControleIndelingPLNomUL_BB1_c49935c7_2a0dd537</vt:lpstr>
      <vt:lpstr>_vena_DYNR_SControleIndelingPLNomUL_BB1_c49935c7_37460a4b</vt:lpstr>
      <vt:lpstr>_vena_DYNR_SControleIndelingPLNomUL_BB1_c49935c7_37df4f00</vt:lpstr>
      <vt:lpstr>_vena_DYNR_SControleIndelingPLNomUL_BB1_c49935c7_395a6bce</vt:lpstr>
      <vt:lpstr>_vena_DYNR_SControleIndelingPLNomUL_BB1_c49935c7_40d90fb3</vt:lpstr>
      <vt:lpstr>_vena_DYNR_SControleIndelingPLNomUL_BB1_c49935c7_492322b9</vt:lpstr>
      <vt:lpstr>_vena_DYNR_SControleIndelingPLNomUL_BB1_c49935c7_4f847c05</vt:lpstr>
      <vt:lpstr>_vena_DYNR_SControleIndelingPLNomUL_BB1_c49935c7_55ed111d</vt:lpstr>
      <vt:lpstr>_vena_DYNR_SControleIndelingPLNomUL_BB1_c49935c7_58182747</vt:lpstr>
      <vt:lpstr>_vena_DYNR_SControleIndelingPLNomUL_BB1_c49935c7_591263f3</vt:lpstr>
      <vt:lpstr>_vena_DYNR_SControleIndelingPLNomUL_BB1_c49935c7_5b4a6a65</vt:lpstr>
      <vt:lpstr>_vena_DYNR_SControleIndelingPLNomUL_BB1_c49935c7_60ab500d</vt:lpstr>
      <vt:lpstr>_vena_DYNR_SControleIndelingPLNomUL_BB1_c49935c7_60fe3dc</vt:lpstr>
      <vt:lpstr>_vena_DYNR_SControleIndelingPLNomUL_BB1_c49935c7_61d202</vt:lpstr>
      <vt:lpstr>_vena_DYNR_SControleIndelingPLNomUL_BB1_c49935c7_65acfd97</vt:lpstr>
      <vt:lpstr>_vena_DYNR_SControleIndelingPLNomUL_BB1_c49935c7_660e0765</vt:lpstr>
      <vt:lpstr>_vena_DYNR_SControleIndelingPLNomUL_BB1_c49935c7_66c53f8b</vt:lpstr>
      <vt:lpstr>_vena_DYNR_SControleIndelingPLNomUL_BB1_c49935c7_689d789a</vt:lpstr>
      <vt:lpstr>_vena_DYNR_SControleIndelingPLNomUL_BB1_c49935c7_691e94cd</vt:lpstr>
      <vt:lpstr>_vena_DYNR_SControleIndelingPLNomUL_BB1_c49935c7_6a68be9d</vt:lpstr>
      <vt:lpstr>_vena_DYNR_SControleIndelingPLNomUL_BB1_c49935c7_6aaa6542</vt:lpstr>
      <vt:lpstr>_vena_DYNR_SControleIndelingPLNomUL_BB1_c49935c7_6d8049a1</vt:lpstr>
      <vt:lpstr>_vena_DYNR_SControleIndelingPLNomUL_BB1_c49935c7_7093f2ba</vt:lpstr>
      <vt:lpstr>_vena_DYNR_SControleIndelingPLNomUL_BB1_c49935c7_71c82bf4</vt:lpstr>
      <vt:lpstr>_vena_DYNR_SControleIndelingPLNomUL_BB1_c49935c7_76095f6c</vt:lpstr>
      <vt:lpstr>_vena_DYNR_SControleIndelingPLNomUL_BB1_c49935c7_76e8d86b</vt:lpstr>
      <vt:lpstr>_vena_DYNR_SControleIndelingPLNomUL_BB1_c49935c7_7dce61f1</vt:lpstr>
      <vt:lpstr>_vena_DYNR_SControleIndelingPLNomUL_BB1_c49935c7_841c31a7</vt:lpstr>
      <vt:lpstr>_vena_DYNR_SControleIndelingPLNomUL_BB1_c49935c7_87e49681</vt:lpstr>
      <vt:lpstr>_vena_DYNR_SControleIndelingPLNomUL_BB1_c49935c7_897f87cf</vt:lpstr>
      <vt:lpstr>_vena_DYNR_SControleIndelingPLNomUL_BB1_c49935c7_89b44935</vt:lpstr>
      <vt:lpstr>_vena_DYNR_SControleIndelingPLNomUL_BB1_c49935c7_89e2e871</vt:lpstr>
      <vt:lpstr>_vena_DYNR_SControleIndelingPLNomUL_BB1_c49935c7_8e97662f</vt:lpstr>
      <vt:lpstr>_vena_DYNR_SControleIndelingPLNomUL_BB1_c49935c7_922efd0c</vt:lpstr>
      <vt:lpstr>_vena_DYNR_SControleIndelingPLNomUL_BB1_c49935c7_92922908</vt:lpstr>
      <vt:lpstr>_vena_DYNR_SControleIndelingPLNomUL_BB1_c49935c7_955dff3e</vt:lpstr>
      <vt:lpstr>_vena_DYNR_SControleIndelingPLNomUL_BB1_c49935c7_9a33bb37</vt:lpstr>
      <vt:lpstr>_vena_DYNR_SControleIndelingPLNomUL_BB1_c49935c7_9ab02a29</vt:lpstr>
      <vt:lpstr>_vena_DYNR_SControleIndelingPLNomUL_BB1_c49935c7_9bb61d6c</vt:lpstr>
      <vt:lpstr>_vena_DYNR_SControleIndelingPLNomUL_BB1_c49935c7_a4481c69</vt:lpstr>
      <vt:lpstr>_vena_DYNR_SControleIndelingPLNomUL_BB1_c49935c7_a7a1e0c2</vt:lpstr>
      <vt:lpstr>_vena_DYNR_SControleIndelingPLNomUL_BB1_c49935c7_a7f1e9ed</vt:lpstr>
      <vt:lpstr>_vena_DYNR_SControleIndelingPLNomUL_BB1_c49935c7_a8c68c44</vt:lpstr>
      <vt:lpstr>_vena_DYNR_SControleIndelingPLNomUL_BB1_c49935c7_aa106ff3</vt:lpstr>
      <vt:lpstr>_vena_DYNR_SControleIndelingPLNomUL_BB1_c49935c7_aa7a3b14</vt:lpstr>
      <vt:lpstr>_vena_DYNR_SControleIndelingPLNomUL_BB1_c49935c7_ac32d4e7</vt:lpstr>
      <vt:lpstr>_vena_DYNR_SControleIndelingPLNomUL_BB1_c49935c7_b539f8c8</vt:lpstr>
      <vt:lpstr>_vena_DYNR_SControleIndelingPLNomUL_BB1_c49935c7_b66f55fa</vt:lpstr>
      <vt:lpstr>_vena_DYNR_SControleIndelingPLNomUL_BB1_c49935c7_b7bbfb98</vt:lpstr>
      <vt:lpstr>_vena_DYNR_SControleIndelingPLNomUL_BB1_c49935c7_baefdc93</vt:lpstr>
      <vt:lpstr>_vena_DYNR_SControleIndelingPLNomUL_BB1_c49935c7_be87eb42</vt:lpstr>
      <vt:lpstr>_vena_DYNR_SControleIndelingPLNomUL_BB1_c49935c7_c6db612a</vt:lpstr>
      <vt:lpstr>_vena_DYNR_SControleIndelingPLNomUL_BB1_c49935c7_c8f314b9</vt:lpstr>
      <vt:lpstr>_vena_DYNR_SControleIndelingPLNomUL_BB1_c49935c7_cb244331</vt:lpstr>
      <vt:lpstr>_vena_DYNR_SControleIndelingPLNomUL_BB1_c49935c7_cb983ac9</vt:lpstr>
      <vt:lpstr>_vena_DYNR_SControleIndelingPLNomUL_BB1_c49935c7_ce03a1a</vt:lpstr>
      <vt:lpstr>_vena_DYNR_SControleIndelingPLNomUL_BB1_c49935c7_d0af36be</vt:lpstr>
      <vt:lpstr>_vena_DYNR_SControleIndelingPLNomUL_BB1_c49935c7_d2494921</vt:lpstr>
      <vt:lpstr>_vena_DYNR_SControleIndelingPLNomUL_BB1_c49935c7_d24bd822</vt:lpstr>
      <vt:lpstr>_vena_DYNR_SControleIndelingPLNomUL_BB1_c49935c7_d32140b9</vt:lpstr>
      <vt:lpstr>_vena_DYNR_SControleIndelingPLNomUL_BB1_c49935c7_de18dd17</vt:lpstr>
      <vt:lpstr>_vena_DYNR_SControleIndelingPLNomUL_BB1_c49935c7_de1bfd9b</vt:lpstr>
      <vt:lpstr>_vena_DYNR_SControleIndelingPLNomUL_BB1_c49935c7_de8b2315</vt:lpstr>
      <vt:lpstr>_vena_DYNR_SControleIndelingPLNomUL_BB1_c49935c7_e18c2277</vt:lpstr>
      <vt:lpstr>_vena_DYNR_SControleIndelingPLNomUL_BB1_c49935c7_e9306016</vt:lpstr>
      <vt:lpstr>_vena_DYNR_SControleIndelingPLNomUL_BB1_c49935c7_ea0b1737</vt:lpstr>
      <vt:lpstr>_vena_DYNR_SControleIndelingPLNomUL_BB1_c49935c7_eb520ed1</vt:lpstr>
      <vt:lpstr>_vena_DYNR_SControleIndelingPLNomUL_BB1_c49935c7_ed7035f1</vt:lpstr>
      <vt:lpstr>_vena_DYNR_SControleIndelingPLNomUL_BB1_c49935c7_f2bb81a5</vt:lpstr>
      <vt:lpstr>_vena_DYNR_SControleIndelingPLNomUL_BB1_c49935c7_f643ab12</vt:lpstr>
      <vt:lpstr>_vena_DYNR_SControleIndelingPLNomUL_BB1_c49935c7_f77a8267</vt:lpstr>
      <vt:lpstr>_vena_DYNR_SControleIndelingPLNomUL_BB1_c49935c7_f7a4ce4b</vt:lpstr>
      <vt:lpstr>_vena_DYNR_SControleIndelingPLNomUL_BB1_c49935c7_f7ebdf70</vt:lpstr>
      <vt:lpstr>_vena_DYNR_SControleIndelingPLNomUL_BB1_c49935c7_f81953a4</vt:lpstr>
      <vt:lpstr>_vena_DYNR_SControleIndelingPLNomUL_BB1_c49935c7_f87f5620</vt:lpstr>
      <vt:lpstr>_vena_DYNR_SControleIndelingPLNomUL_BB1_c49935c7_fb75df05</vt:lpstr>
      <vt:lpstr>_vena_DYNR_SControleIndelingPLNomUL_BB1_c49935c7_fc599e2e</vt:lpstr>
      <vt:lpstr>_vena_DYNR_SControleIndelingPLNomUL_BB1_c49935c7_fe384a07</vt:lpstr>
      <vt:lpstr>_vena_DYNR_SControleIndelingQRT_BB1_764b2148</vt:lpstr>
      <vt:lpstr>_vena_DYNR_SControleIndelingQRT_BB1_764b2148_12917648</vt:lpstr>
      <vt:lpstr>_vena_DYNR_SControleIndelingQRT_BB1_764b2148_12d23b81</vt:lpstr>
      <vt:lpstr>_vena_DYNR_SControleIndelingQRT_BB1_764b2148_13ee15f6</vt:lpstr>
      <vt:lpstr>_vena_DYNR_SControleIndelingQRT_BB1_764b2148_14959f6e</vt:lpstr>
      <vt:lpstr>_vena_DYNR_SControleIndelingQRT_BB1_764b2148_1ed8fb38</vt:lpstr>
      <vt:lpstr>_vena_DYNR_SControleIndelingQRT_BB1_764b2148_207627eb</vt:lpstr>
      <vt:lpstr>_vena_DYNR_SControleIndelingQRT_BB1_764b2148_2417a6eb</vt:lpstr>
      <vt:lpstr>_vena_DYNR_SControleIndelingQRT_BB1_764b2148_24e366ee</vt:lpstr>
      <vt:lpstr>_vena_DYNR_SControleIndelingQRT_BB1_764b2148_2651af0d</vt:lpstr>
      <vt:lpstr>_vena_DYNR_SControleIndelingQRT_BB1_764b2148_272e5a51</vt:lpstr>
      <vt:lpstr>_vena_DYNR_SControleIndelingQRT_BB1_764b2148_2809dafd</vt:lpstr>
      <vt:lpstr>_vena_DYNR_SControleIndelingQRT_BB1_764b2148_28e2ac43</vt:lpstr>
      <vt:lpstr>_vena_DYNR_SControleIndelingQRT_BB1_764b2148_2ddf7208</vt:lpstr>
      <vt:lpstr>_vena_DYNR_SControleIndelingQRT_BB1_764b2148_2fbc3e51</vt:lpstr>
      <vt:lpstr>_vena_DYNR_SControleIndelingQRT_BB1_764b2148_31c2980e</vt:lpstr>
      <vt:lpstr>_vena_DYNR_SControleIndelingQRT_BB1_764b2148_335fba3f</vt:lpstr>
      <vt:lpstr>_vena_DYNR_SControleIndelingQRT_BB1_764b2148_3819b539</vt:lpstr>
      <vt:lpstr>_vena_DYNR_SControleIndelingQRT_BB1_764b2148_38213615</vt:lpstr>
      <vt:lpstr>_vena_DYNR_SControleIndelingQRT_BB1_764b2148_3cf55dbc</vt:lpstr>
      <vt:lpstr>_vena_DYNR_SControleIndelingQRT_BB1_764b2148_3eb74ac7</vt:lpstr>
      <vt:lpstr>_vena_DYNR_SControleIndelingQRT_BB1_764b2148_41f8707b</vt:lpstr>
      <vt:lpstr>_vena_DYNR_SControleIndelingQRT_BB1_764b2148_45bd08c1</vt:lpstr>
      <vt:lpstr>_vena_DYNR_SControleIndelingQRT_BB1_764b2148_499d6a7a</vt:lpstr>
      <vt:lpstr>_vena_DYNR_SControleIndelingQRT_BB1_764b2148_522e7b8d</vt:lpstr>
      <vt:lpstr>_vena_DYNR_SControleIndelingQRT_BB1_764b2148_52a21a72</vt:lpstr>
      <vt:lpstr>_vena_DYNR_SControleIndelingQRT_BB1_764b2148_53e2ab59</vt:lpstr>
      <vt:lpstr>_vena_DYNR_SControleIndelingQRT_BB1_764b2148_5507031f</vt:lpstr>
      <vt:lpstr>_vena_DYNR_SControleIndelingQRT_BB1_764b2148_553235f6</vt:lpstr>
      <vt:lpstr>_vena_DYNR_SControleIndelingQRT_BB1_764b2148_5946679d</vt:lpstr>
      <vt:lpstr>_vena_DYNR_SControleIndelingQRT_BB1_764b2148_599c03b4</vt:lpstr>
      <vt:lpstr>_vena_DYNR_SControleIndelingQRT_BB1_764b2148_65b014a3</vt:lpstr>
      <vt:lpstr>_vena_DYNR_SControleIndelingQRT_BB1_764b2148_6aa1c79b</vt:lpstr>
      <vt:lpstr>_vena_DYNR_SControleIndelingQRT_BB1_764b2148_70f86a27</vt:lpstr>
      <vt:lpstr>_vena_DYNR_SControleIndelingQRT_BB1_764b2148_7380bae4</vt:lpstr>
      <vt:lpstr>_vena_DYNR_SControleIndelingQRT_BB1_764b2148_769c415a</vt:lpstr>
      <vt:lpstr>_vena_DYNR_SControleIndelingQRT_BB1_764b2148_784a87a2</vt:lpstr>
      <vt:lpstr>_vena_DYNR_SControleIndelingQRT_BB1_764b2148_7c561fd0</vt:lpstr>
      <vt:lpstr>_vena_DYNR_SControleIndelingQRT_BB1_764b2148_7dff49f7</vt:lpstr>
      <vt:lpstr>_vena_DYNR_SControleIndelingQRT_BB1_764b2148_7e0a5afa</vt:lpstr>
      <vt:lpstr>_vena_DYNR_SControleIndelingQRT_BB1_764b2148_7fe12228</vt:lpstr>
      <vt:lpstr>_vena_DYNR_SControleIndelingQRT_BB1_764b2148_84cc3a46</vt:lpstr>
      <vt:lpstr>_vena_DYNR_SControleIndelingQRT_BB1_764b2148_85db60c3</vt:lpstr>
      <vt:lpstr>_vena_DYNR_SControleIndelingQRT_BB1_764b2148_874a83db</vt:lpstr>
      <vt:lpstr>_vena_DYNR_SControleIndelingQRT_BB1_764b2148_87afe4c1</vt:lpstr>
      <vt:lpstr>_vena_DYNR_SControleIndelingQRT_BB1_764b2148_8b056d74</vt:lpstr>
      <vt:lpstr>_vena_DYNR_SControleIndelingQRT_BB1_764b2148_90d53eb9</vt:lpstr>
      <vt:lpstr>_vena_DYNR_SControleIndelingQRT_BB1_764b2148_9a7ee1c4</vt:lpstr>
      <vt:lpstr>_vena_DYNR_SControleIndelingQRT_BB1_764b2148_9cb52ddf</vt:lpstr>
      <vt:lpstr>_vena_DYNR_SControleIndelingQRT_BB1_764b2148_9ced7291</vt:lpstr>
      <vt:lpstr>_vena_DYNR_SControleIndelingQRT_BB1_764b2148_9d262613</vt:lpstr>
      <vt:lpstr>_vena_DYNR_SControleIndelingQRT_BB1_764b2148_9ebc08c4</vt:lpstr>
      <vt:lpstr>_vena_DYNR_SControleIndelingQRT_BB1_764b2148_a2d14366</vt:lpstr>
      <vt:lpstr>_vena_DYNR_SControleIndelingQRT_BB1_764b2148_a31cf177</vt:lpstr>
      <vt:lpstr>_vena_DYNR_SControleIndelingQRT_BB1_764b2148_a50e483a</vt:lpstr>
      <vt:lpstr>_vena_DYNR_SControleIndelingQRT_BB1_764b2148_a511959</vt:lpstr>
      <vt:lpstr>_vena_DYNR_SControleIndelingQRT_BB1_764b2148_a958de3d</vt:lpstr>
      <vt:lpstr>_vena_DYNR_SControleIndelingQRT_BB1_764b2148_b0f40585</vt:lpstr>
      <vt:lpstr>_vena_DYNR_SControleIndelingQRT_BB1_764b2148_b12c4d21</vt:lpstr>
      <vt:lpstr>_vena_DYNR_SControleIndelingQRT_BB1_764b2148_bc5f1771</vt:lpstr>
      <vt:lpstr>_vena_DYNR_SControleIndelingQRT_BB1_764b2148_c4b904c5</vt:lpstr>
      <vt:lpstr>_vena_DYNR_SControleIndelingQRT_BB1_764b2148_ca1b7cf1</vt:lpstr>
      <vt:lpstr>_vena_DYNR_SControleIndelingQRT_BB1_764b2148_cd56069</vt:lpstr>
      <vt:lpstr>_vena_DYNR_SControleIndelingQRT_BB1_764b2148_ce5e1c7b</vt:lpstr>
      <vt:lpstr>_vena_DYNR_SControleIndelingQRT_BB1_764b2148_cf0937dc</vt:lpstr>
      <vt:lpstr>_vena_DYNR_SControleIndelingQRT_BB1_764b2148_d404b619</vt:lpstr>
      <vt:lpstr>_vena_DYNR_SControleIndelingQRT_BB1_764b2148_d4320efa</vt:lpstr>
      <vt:lpstr>_vena_DYNR_SControleIndelingQRT_BB1_764b2148_d6445606</vt:lpstr>
      <vt:lpstr>_vena_DYNR_SControleIndelingQRT_BB1_764b2148_d83f3556</vt:lpstr>
      <vt:lpstr>_vena_DYNR_SControleIndelingQRT_BB1_764b2148_da31dba0</vt:lpstr>
      <vt:lpstr>_vena_DYNR_SControleIndelingQRT_BB1_764b2148_dd68bf4e</vt:lpstr>
      <vt:lpstr>_vena_DYNR_SControleIndelingQRT_BB1_764b2148_df54dca7</vt:lpstr>
      <vt:lpstr>_vena_DYNR_SControleIndelingQRT_BB1_764b2148_df714193</vt:lpstr>
      <vt:lpstr>_vena_DYNR_SControleIndelingQRT_BB1_764b2148_e0bb6be2</vt:lpstr>
      <vt:lpstr>_vena_DYNR_SControleIndelingQRT_BB1_764b2148_e0ec5d0d</vt:lpstr>
      <vt:lpstr>_vena_DYNR_SControleIndelingQRT_BB1_764b2148_e1121b30</vt:lpstr>
      <vt:lpstr>_vena_DYNR_SControleIndelingQRT_BB1_764b2148_e54e227</vt:lpstr>
      <vt:lpstr>_vena_DYNR_SControleIndelingQRT_BB1_764b2148_e6543250</vt:lpstr>
      <vt:lpstr>_vena_DYNR_SControleIndelingQRT_BB1_764b2148_e95c4ba3</vt:lpstr>
      <vt:lpstr>_vena_DYNR_SControleIndelingQRT_BB1_764b2148_ea94835a</vt:lpstr>
      <vt:lpstr>_vena_DYNR_SControleIndelingQRT_BB1_764b2148_edec190d</vt:lpstr>
      <vt:lpstr>_vena_DYNR_SControleIndelingQRT_BB1_764b2148_eebf384e</vt:lpstr>
      <vt:lpstr>_vena_DYNR_SControleIndelingQRT_BB1_764b2148_f4730732</vt:lpstr>
      <vt:lpstr>_vena_DYNR_SControleIndelingQRT_BB1_764b2148_f7976af5</vt:lpstr>
      <vt:lpstr>_vena_DYNR_SControleIndelingQRT_BB1_a479d30a</vt:lpstr>
      <vt:lpstr>_vena_DYNR_SControleIndelingQRT_BB1_a479d30a_18770cce</vt:lpstr>
      <vt:lpstr>_vena_DYNR_SControleIndelingQRT_BB1_a479d30a_188363ce</vt:lpstr>
      <vt:lpstr>_vena_DYNR_SControleIndelingQRT_BB1_a479d30a_1fc327d4</vt:lpstr>
      <vt:lpstr>_vena_DYNR_SControleIndelingQRT_BB1_a479d30a_2015c5d3</vt:lpstr>
      <vt:lpstr>_vena_DYNR_SControleIndelingQRT_BB1_a479d30a_282cbee6</vt:lpstr>
      <vt:lpstr>_vena_DYNR_SControleIndelingQRT_BB1_a479d30a_283c33aa</vt:lpstr>
      <vt:lpstr>_vena_DYNR_SControleIndelingQRT_BB1_a479d30a_2a73f52a</vt:lpstr>
      <vt:lpstr>_vena_DYNR_SControleIndelingQRT_BB1_a479d30a_2ad62e00</vt:lpstr>
      <vt:lpstr>_vena_DYNR_SControleIndelingQRT_BB1_a479d30a_2d52e42e</vt:lpstr>
      <vt:lpstr>_vena_DYNR_SControleIndelingQRT_BB1_a479d30a_2da32a24</vt:lpstr>
      <vt:lpstr>_vena_DYNR_SControleIndelingQRT_BB1_a479d30a_31aa0610</vt:lpstr>
      <vt:lpstr>_vena_DYNR_SControleIndelingQRT_BB1_a479d30a_33b9a5c8</vt:lpstr>
      <vt:lpstr>_vena_DYNR_SControleIndelingQRT_BB1_a479d30a_39c96368</vt:lpstr>
      <vt:lpstr>_vena_DYNR_SControleIndelingQRT_BB1_a479d30a_3bf9878e</vt:lpstr>
      <vt:lpstr>_vena_DYNR_SControleIndelingQRT_BB1_a479d30a_3c41ef64</vt:lpstr>
      <vt:lpstr>_vena_DYNR_SControleIndelingQRT_BB1_a479d30a_3cc2ef0d</vt:lpstr>
      <vt:lpstr>_vena_DYNR_SControleIndelingQRT_BB1_a479d30a_40aaae58</vt:lpstr>
      <vt:lpstr>_vena_DYNR_SControleIndelingQRT_BB1_a479d30a_41027f9c</vt:lpstr>
      <vt:lpstr>_vena_DYNR_SControleIndelingQRT_BB1_a479d30a_46447484</vt:lpstr>
      <vt:lpstr>_vena_DYNR_SControleIndelingQRT_BB1_a479d30a_4936ebbd</vt:lpstr>
      <vt:lpstr>_vena_DYNR_SControleIndelingQRT_BB1_a479d30a_5a1d28a8</vt:lpstr>
      <vt:lpstr>_vena_DYNR_SControleIndelingQRT_BB1_a479d30a_5a8fa0a9</vt:lpstr>
      <vt:lpstr>_vena_DYNR_SControleIndelingQRT_BB1_a479d30a_5cfa3a33</vt:lpstr>
      <vt:lpstr>_vena_DYNR_SControleIndelingQRT_BB1_a479d30a_6122537f</vt:lpstr>
      <vt:lpstr>_vena_DYNR_SControleIndelingQRT_BB1_a479d30a_68e1d110</vt:lpstr>
      <vt:lpstr>_vena_DYNR_SControleIndelingQRT_BB1_a479d30a_6bca8f22</vt:lpstr>
      <vt:lpstr>_vena_DYNR_SControleIndelingQRT_BB1_a479d30a_7363d0f7</vt:lpstr>
      <vt:lpstr>_vena_DYNR_SControleIndelingQRT_BB1_a479d30a_7ac1f6e</vt:lpstr>
      <vt:lpstr>_vena_DYNR_SControleIndelingQRT_BB1_a479d30a_847ca194</vt:lpstr>
      <vt:lpstr>_vena_DYNR_SControleIndelingQRT_BB1_a479d30a_8539ecd</vt:lpstr>
      <vt:lpstr>_vena_DYNR_SControleIndelingQRT_BB1_a479d30a_8694e79a</vt:lpstr>
      <vt:lpstr>_vena_DYNR_SControleIndelingQRT_BB1_a479d30a_88203884</vt:lpstr>
      <vt:lpstr>_vena_DYNR_SControleIndelingQRT_BB1_a479d30a_8b38aa0e</vt:lpstr>
      <vt:lpstr>_vena_DYNR_SControleIndelingQRT_BB1_a479d30a_8c635bc5</vt:lpstr>
      <vt:lpstr>_vena_DYNR_SControleIndelingQRT_BB1_a479d30a_90f6fddb</vt:lpstr>
      <vt:lpstr>_vena_DYNR_SControleIndelingQRT_BB1_a479d30a_9234a954</vt:lpstr>
      <vt:lpstr>_vena_DYNR_SControleIndelingQRT_BB1_a479d30a_94b25f33</vt:lpstr>
      <vt:lpstr>_vena_DYNR_SControleIndelingQRT_BB1_a479d30a_94f6a7dd</vt:lpstr>
      <vt:lpstr>_vena_DYNR_SControleIndelingQRT_BB1_a479d30a_952564ab</vt:lpstr>
      <vt:lpstr>_vena_DYNR_SControleIndelingQRT_BB1_a479d30a_953c02b1</vt:lpstr>
      <vt:lpstr>_vena_DYNR_SControleIndelingQRT_BB1_a479d30a_a318b585</vt:lpstr>
      <vt:lpstr>_vena_DYNR_SControleIndelingQRT_BB1_a479d30a_a341f679</vt:lpstr>
      <vt:lpstr>_vena_DYNR_SControleIndelingQRT_BB1_a479d30a_a9d3136e</vt:lpstr>
      <vt:lpstr>_vena_DYNR_SControleIndelingQRT_BB1_a479d30a_abbbd0e1</vt:lpstr>
      <vt:lpstr>_vena_DYNR_SControleIndelingQRT_BB1_a479d30a_b4831fba</vt:lpstr>
      <vt:lpstr>_vena_DYNR_SControleIndelingQRT_BB1_a479d30a_b7d4e236</vt:lpstr>
      <vt:lpstr>_vena_DYNR_SControleIndelingQRT_BB1_a479d30a_b835d797</vt:lpstr>
      <vt:lpstr>_vena_DYNR_SControleIndelingQRT_BB1_a479d30a_bade8555</vt:lpstr>
      <vt:lpstr>_vena_DYNR_SControleIndelingQRT_BB1_a479d30a_bb0cf714</vt:lpstr>
      <vt:lpstr>_vena_DYNR_SControleIndelingQRT_BB1_a479d30a_bd9b22a0</vt:lpstr>
      <vt:lpstr>_vena_DYNR_SControleIndelingQRT_BB1_a479d30a_bdd1b906</vt:lpstr>
      <vt:lpstr>_vena_DYNR_SControleIndelingQRT_BB1_a479d30a_be943ca8</vt:lpstr>
      <vt:lpstr>_vena_DYNR_SControleIndelingQRT_BB1_a479d30a_c841aca9</vt:lpstr>
      <vt:lpstr>_vena_DYNR_SControleIndelingQRT_BB1_a479d30a_cae614c5</vt:lpstr>
      <vt:lpstr>_vena_DYNR_SControleIndelingQRT_BB1_a479d30a_ccb6d4c6</vt:lpstr>
      <vt:lpstr>_vena_DYNR_SControleIndelingQRT_BB1_a479d30a_ce662a0</vt:lpstr>
      <vt:lpstr>_vena_DYNR_SControleIndelingQRT_BB1_a479d30a_d979653b</vt:lpstr>
      <vt:lpstr>_vena_DYNR_SControleIndelingQRT_BB1_a479d30a_da84b68c</vt:lpstr>
      <vt:lpstr>_vena_DYNR_SControleIndelingQRT_BB1_a479d30a_dde43f33</vt:lpstr>
      <vt:lpstr>_vena_DYNR_SControleIndelingQRT_BB1_a479d30a_e5b647a2</vt:lpstr>
      <vt:lpstr>_vena_DYNR_SControleIndelingQRT_BB1_a479d30a_e6591261</vt:lpstr>
      <vt:lpstr>_vena_DYNR_SControleIndelingQRT_BB1_a479d30a_e7228308</vt:lpstr>
      <vt:lpstr>_vena_DYNR_SControleIndelingQRT_BB1_a479d30a_e809d34e</vt:lpstr>
      <vt:lpstr>_vena_DYNR_SControleIndelingQRT_BB1_a479d30a_ebae459b</vt:lpstr>
      <vt:lpstr>_vena_DYNR_SControleIndelingQRT_BB1_a479d30a_ecf9d5a2</vt:lpstr>
      <vt:lpstr>_vena_DYNR_SControleIndelingQRT_BB1_a479d30a_ee2ce208</vt:lpstr>
      <vt:lpstr>_vena_DYNR_SControleIndelingQRT_BB1_a479d30a_f1ca6ad0</vt:lpstr>
      <vt:lpstr>_vena_DYNR_SControleIndelingQRT_BB1_a479d30a_f5035580</vt:lpstr>
      <vt:lpstr>_vena_DYNR_SControleIndelingQRT_BB1_a479d30a_f6748ef3</vt:lpstr>
      <vt:lpstr>_vena_DYNR_SControleIndelingQRT_BB1_d930880</vt:lpstr>
      <vt:lpstr>_vena_DYNR_SControleIndelingQRT_BB1_d930880_1009705b</vt:lpstr>
      <vt:lpstr>_vena_DYNR_SControleIndelingQRT_BB1_d930880_131e04f4</vt:lpstr>
      <vt:lpstr>_vena_DYNR_SControleIndelingQRT_BB1_d930880_1379af4</vt:lpstr>
      <vt:lpstr>_vena_DYNR_SControleIndelingQRT_BB1_d930880_13f1f4cd</vt:lpstr>
      <vt:lpstr>_vena_DYNR_SControleIndelingQRT_BB1_d930880_15df9e50</vt:lpstr>
      <vt:lpstr>_vena_DYNR_SControleIndelingQRT_BB1_d930880_17085a7c</vt:lpstr>
      <vt:lpstr>_vena_DYNR_SControleIndelingQRT_BB1_d930880_18028061</vt:lpstr>
      <vt:lpstr>_vena_DYNR_SControleIndelingQRT_BB1_d930880_18b14abc</vt:lpstr>
      <vt:lpstr>_vena_DYNR_SControleIndelingQRT_BB1_d930880_1b115a9c</vt:lpstr>
      <vt:lpstr>_vena_DYNR_SControleIndelingQRT_BB1_d930880_1b8a6112</vt:lpstr>
      <vt:lpstr>_vena_DYNR_SControleIndelingQRT_BB1_d930880_1c598f12</vt:lpstr>
      <vt:lpstr>_vena_DYNR_SControleIndelingQRT_BB1_d930880_1dc88fd6</vt:lpstr>
      <vt:lpstr>_vena_DYNR_SControleIndelingQRT_BB1_d930880_1de77aa4</vt:lpstr>
      <vt:lpstr>_vena_DYNR_SControleIndelingQRT_BB1_d930880_1f685886</vt:lpstr>
      <vt:lpstr>_vena_DYNR_SControleIndelingQRT_BB1_d930880_1f8219d9</vt:lpstr>
      <vt:lpstr>_vena_DYNR_SControleIndelingQRT_BB1_d930880_1fc64433</vt:lpstr>
      <vt:lpstr>_vena_DYNR_SControleIndelingQRT_BB1_d930880_209e45b9</vt:lpstr>
      <vt:lpstr>_vena_DYNR_SControleIndelingQRT_BB1_d930880_210783fd</vt:lpstr>
      <vt:lpstr>_vena_DYNR_SControleIndelingQRT_BB1_d930880_24e9b435</vt:lpstr>
      <vt:lpstr>_vena_DYNR_SControleIndelingQRT_BB1_d930880_2634ca85</vt:lpstr>
      <vt:lpstr>_vena_DYNR_SControleIndelingQRT_BB1_d930880_29182ef7</vt:lpstr>
      <vt:lpstr>_vena_DYNR_SControleIndelingQRT_BB1_d930880_2a3cb85e</vt:lpstr>
      <vt:lpstr>_vena_DYNR_SControleIndelingQRT_BB1_d930880_2ce234e7</vt:lpstr>
      <vt:lpstr>_vena_DYNR_SControleIndelingQRT_BB1_d930880_2d31e48</vt:lpstr>
      <vt:lpstr>_vena_DYNR_SControleIndelingQRT_BB1_d930880_2e1bc7b6</vt:lpstr>
      <vt:lpstr>_vena_DYNR_SControleIndelingQRT_BB1_d930880_2e4e5b89</vt:lpstr>
      <vt:lpstr>_vena_DYNR_SControleIndelingQRT_BB1_d930880_301d5b9</vt:lpstr>
      <vt:lpstr>_vena_DYNR_SControleIndelingQRT_BB1_d930880_31392c33</vt:lpstr>
      <vt:lpstr>_vena_DYNR_SControleIndelingQRT_BB1_d930880_3375958f</vt:lpstr>
      <vt:lpstr>_vena_DYNR_SControleIndelingQRT_BB1_d930880_34a10199</vt:lpstr>
      <vt:lpstr>_vena_DYNR_SControleIndelingQRT_BB1_d930880_3705edb1</vt:lpstr>
      <vt:lpstr>_vena_DYNR_SControleIndelingQRT_BB1_d930880_37faabfe</vt:lpstr>
      <vt:lpstr>_vena_DYNR_SControleIndelingQRT_BB1_d930880_397d609a</vt:lpstr>
      <vt:lpstr>_vena_DYNR_SControleIndelingQRT_BB1_d930880_3afa0b95</vt:lpstr>
      <vt:lpstr>_vena_DYNR_SControleIndelingQRT_BB1_d930880_3c11d55</vt:lpstr>
      <vt:lpstr>_vena_DYNR_SControleIndelingQRT_BB1_d930880_3cbb4453</vt:lpstr>
      <vt:lpstr>_vena_DYNR_SControleIndelingQRT_BB1_d930880_3d1caa6e</vt:lpstr>
      <vt:lpstr>_vena_DYNR_SControleIndelingQRT_BB1_d930880_3d21170e</vt:lpstr>
      <vt:lpstr>_vena_DYNR_SControleIndelingQRT_BB1_d930880_3d58d97a</vt:lpstr>
      <vt:lpstr>_vena_DYNR_SControleIndelingQRT_BB1_d930880_3eaf15b8</vt:lpstr>
      <vt:lpstr>_vena_DYNR_SControleIndelingQRT_BB1_d930880_402d859b</vt:lpstr>
      <vt:lpstr>_vena_DYNR_SControleIndelingQRT_BB1_d930880_403e2d99</vt:lpstr>
      <vt:lpstr>_vena_DYNR_SControleIndelingQRT_BB1_d930880_411a5b72</vt:lpstr>
      <vt:lpstr>_vena_DYNR_SControleIndelingQRT_BB1_d930880_4266d87f</vt:lpstr>
      <vt:lpstr>_vena_DYNR_SControleIndelingQRT_BB1_d930880_44f48d88</vt:lpstr>
      <vt:lpstr>_vena_DYNR_SControleIndelingQRT_BB1_d930880_45699a3c</vt:lpstr>
      <vt:lpstr>_vena_DYNR_SControleIndelingQRT_BB1_d930880_45a50a41</vt:lpstr>
      <vt:lpstr>_vena_DYNR_SControleIndelingQRT_BB1_d930880_485a9a72</vt:lpstr>
      <vt:lpstr>_vena_DYNR_SControleIndelingQRT_BB1_d930880_49024a03</vt:lpstr>
      <vt:lpstr>_vena_DYNR_SControleIndelingQRT_BB1_d930880_493cc312</vt:lpstr>
      <vt:lpstr>_vena_DYNR_SControleIndelingQRT_BB1_d930880_4aae4a56</vt:lpstr>
      <vt:lpstr>_vena_DYNR_SControleIndelingQRT_BB1_d930880_4b930121</vt:lpstr>
      <vt:lpstr>_vena_DYNR_SControleIndelingQRT_BB1_d930880_4bbb32b2</vt:lpstr>
      <vt:lpstr>_vena_DYNR_SControleIndelingQRT_BB1_d930880_4bd3bb6a</vt:lpstr>
      <vt:lpstr>_vena_DYNR_SControleIndelingQRT_BB1_d930880_4cb710aa</vt:lpstr>
      <vt:lpstr>_vena_DYNR_SControleIndelingQRT_BB1_d930880_503d96e2</vt:lpstr>
      <vt:lpstr>_vena_DYNR_SControleIndelingQRT_BB1_d930880_5041c2ee</vt:lpstr>
      <vt:lpstr>_vena_DYNR_SControleIndelingQRT_BB1_d930880_551f67f7</vt:lpstr>
      <vt:lpstr>_vena_DYNR_SControleIndelingQRT_BB1_d930880_581669b7</vt:lpstr>
      <vt:lpstr>_vena_DYNR_SControleIndelingQRT_BB1_d930880_58dd3d97</vt:lpstr>
      <vt:lpstr>_vena_DYNR_SControleIndelingQRT_BB1_d930880_59796ff</vt:lpstr>
      <vt:lpstr>_vena_DYNR_SControleIndelingQRT_BB1_d930880_5a4d1175</vt:lpstr>
      <vt:lpstr>_vena_DYNR_SControleIndelingQRT_BB1_d930880_5a5a0aac</vt:lpstr>
      <vt:lpstr>_vena_DYNR_SControleIndelingQRT_BB1_d930880_5c7f0bfc</vt:lpstr>
      <vt:lpstr>_vena_DYNR_SControleIndelingQRT_BB1_d930880_5d2bb9eb</vt:lpstr>
      <vt:lpstr>_vena_DYNR_SControleIndelingQRT_BB1_d930880_5deb2010</vt:lpstr>
      <vt:lpstr>_vena_DYNR_SControleIndelingQRT_BB1_d930880_5e530d5a</vt:lpstr>
      <vt:lpstr>_vena_DYNR_SControleIndelingQRT_BB1_d930880_5f64be7e</vt:lpstr>
      <vt:lpstr>_vena_DYNR_SControleIndelingQRT_BB1_d930880_6045f840</vt:lpstr>
      <vt:lpstr>_vena_DYNR_SControleIndelingQRT_BB1_d930880_61d69769</vt:lpstr>
      <vt:lpstr>_vena_DYNR_SControleIndelingQRT_BB1_d930880_6616ff2d</vt:lpstr>
      <vt:lpstr>_vena_DYNR_SControleIndelingQRT_BB1_d930880_67c2b90a</vt:lpstr>
      <vt:lpstr>_vena_DYNR_SControleIndelingQRT_BB1_d930880_67ede42b</vt:lpstr>
      <vt:lpstr>_vena_DYNR_SControleIndelingQRT_BB1_d930880_68e46829</vt:lpstr>
      <vt:lpstr>_vena_DYNR_SControleIndelingQRT_BB1_d930880_699476a2</vt:lpstr>
      <vt:lpstr>_vena_DYNR_SControleIndelingQRT_BB1_d930880_6a1351</vt:lpstr>
      <vt:lpstr>_vena_DYNR_SControleIndelingQRT_BB1_d930880_6b5f8be0</vt:lpstr>
      <vt:lpstr>_vena_DYNR_SControleIndelingQRT_BB1_d930880_6bd6848d</vt:lpstr>
      <vt:lpstr>_vena_DYNR_SControleIndelingQRT_BB1_d930880_6ce918ee</vt:lpstr>
      <vt:lpstr>_vena_DYNR_SControleIndelingQRT_BB1_d930880_72013847</vt:lpstr>
      <vt:lpstr>_vena_DYNR_SControleIndelingQRT_BB1_d930880_73882ead</vt:lpstr>
      <vt:lpstr>_vena_DYNR_SControleIndelingQRT_BB1_d930880_763994f9</vt:lpstr>
      <vt:lpstr>_vena_DYNR_SControleIndelingQRT_BB1_d930880_769151f8</vt:lpstr>
      <vt:lpstr>_vena_DYNR_SControleIndelingQRT_BB1_d930880_7821eabb</vt:lpstr>
      <vt:lpstr>_vena_DYNR_SControleIndelingQRT_BB1_d930880_78d9c67</vt:lpstr>
      <vt:lpstr>_vena_DYNR_SControleIndelingQRT_BB1_d930880_7936fd53</vt:lpstr>
      <vt:lpstr>_vena_DYNR_SControleIndelingQRT_BB1_d930880_79453250</vt:lpstr>
      <vt:lpstr>_vena_DYNR_SControleIndelingQRT_BB1_d930880_79cb7acd</vt:lpstr>
      <vt:lpstr>_vena_DYNR_SControleIndelingQRT_BB1_d930880_7ca6a3d6</vt:lpstr>
      <vt:lpstr>_vena_DYNR_SControleIndelingQRT_BB1_d930880_7e20eabc</vt:lpstr>
      <vt:lpstr>_vena_DYNR_SControleIndelingQRT_BB1_d930880_8047ad3f</vt:lpstr>
      <vt:lpstr>_vena_DYNR_SControleIndelingQRT_BB1_d930880_806ef8b8</vt:lpstr>
      <vt:lpstr>_vena_DYNR_SControleIndelingQRT_BB1_d930880_80ea4e46</vt:lpstr>
      <vt:lpstr>_vena_DYNR_SControleIndelingQRT_BB1_d930880_816a2dfa</vt:lpstr>
      <vt:lpstr>_vena_DYNR_SControleIndelingQRT_BB1_d930880_822e71fd</vt:lpstr>
      <vt:lpstr>_vena_DYNR_SControleIndelingQRT_BB1_d930880_82494a4c</vt:lpstr>
      <vt:lpstr>_vena_DYNR_SControleIndelingQRT_BB1_d930880_839bc1c8</vt:lpstr>
      <vt:lpstr>_vena_DYNR_SControleIndelingQRT_BB1_d930880_849c2ef</vt:lpstr>
      <vt:lpstr>_vena_DYNR_SControleIndelingQRT_BB1_d930880_8830c25a</vt:lpstr>
      <vt:lpstr>_vena_DYNR_SControleIndelingQRT_BB1_d930880_8937b9b5</vt:lpstr>
      <vt:lpstr>_vena_DYNR_SControleIndelingQRT_BB1_d930880_899a351f</vt:lpstr>
      <vt:lpstr>_vena_DYNR_SControleIndelingQRT_BB1_d930880_8b074228</vt:lpstr>
      <vt:lpstr>_vena_DYNR_SControleIndelingQRT_BB1_d930880_8b2089db</vt:lpstr>
      <vt:lpstr>_vena_DYNR_SControleIndelingQRT_BB1_d930880_8d7d382c</vt:lpstr>
      <vt:lpstr>_vena_DYNR_SControleIndelingQRT_BB1_d930880_8dc45a16</vt:lpstr>
      <vt:lpstr>_vena_DYNR_SControleIndelingQRT_BB1_d930880_8dd56b5</vt:lpstr>
      <vt:lpstr>_vena_DYNR_SControleIndelingQRT_BB1_d930880_8e989826</vt:lpstr>
      <vt:lpstr>_vena_DYNR_SControleIndelingQRT_BB1_d930880_8f0dbc45</vt:lpstr>
      <vt:lpstr>_vena_DYNR_SControleIndelingQRT_BB1_d930880_8f74e688</vt:lpstr>
      <vt:lpstr>_vena_DYNR_SControleIndelingQRT_BB1_d930880_9055c127</vt:lpstr>
      <vt:lpstr>_vena_DYNR_SControleIndelingQRT_BB1_d930880_92296c05</vt:lpstr>
      <vt:lpstr>_vena_DYNR_SControleIndelingQRT_BB1_d930880_96fb2ae1</vt:lpstr>
      <vt:lpstr>_vena_DYNR_SControleIndelingQRT_BB1_d930880_97082a57</vt:lpstr>
      <vt:lpstr>_vena_DYNR_SControleIndelingQRT_BB1_d930880_98285140</vt:lpstr>
      <vt:lpstr>_vena_DYNR_SControleIndelingQRT_BB1_d930880_98955255</vt:lpstr>
      <vt:lpstr>_vena_DYNR_SControleIndelingQRT_BB1_d930880_99658bb8</vt:lpstr>
      <vt:lpstr>_vena_DYNR_SControleIndelingQRT_BB1_d930880_9a0baeac</vt:lpstr>
      <vt:lpstr>_vena_DYNR_SControleIndelingQRT_BB1_d930880_9aa1b8f3</vt:lpstr>
      <vt:lpstr>_vena_DYNR_SControleIndelingQRT_BB1_d930880_9aa4dae0</vt:lpstr>
      <vt:lpstr>_vena_DYNR_SControleIndelingQRT_BB1_d930880_9cc5ec87</vt:lpstr>
      <vt:lpstr>_vena_DYNR_SControleIndelingQRT_BB1_d930880_9d75b63</vt:lpstr>
      <vt:lpstr>_vena_DYNR_SControleIndelingQRT_BB1_d930880_a03ad525</vt:lpstr>
      <vt:lpstr>_vena_DYNR_SControleIndelingQRT_BB1_d930880_a0c316bc</vt:lpstr>
      <vt:lpstr>_vena_DYNR_SControleIndelingQRT_BB1_d930880_a1b87b82</vt:lpstr>
      <vt:lpstr>_vena_DYNR_SControleIndelingQRT_BB1_d930880_a2256911</vt:lpstr>
      <vt:lpstr>_vena_DYNR_SControleIndelingQRT_BB1_d930880_a35bf089</vt:lpstr>
      <vt:lpstr>_vena_DYNR_SControleIndelingQRT_BB1_d930880_a79ebd29</vt:lpstr>
      <vt:lpstr>_vena_DYNR_SControleIndelingQRT_BB1_d930880_a9504186</vt:lpstr>
      <vt:lpstr>_vena_DYNR_SControleIndelingQRT_BB1_d930880_ab7225df</vt:lpstr>
      <vt:lpstr>_vena_DYNR_SControleIndelingQRT_BB1_d930880_ab728978</vt:lpstr>
      <vt:lpstr>_vena_DYNR_SControleIndelingQRT_BB1_d930880_ac09a38b</vt:lpstr>
      <vt:lpstr>_vena_DYNR_SControleIndelingQRT_BB1_d930880_ad171ae3</vt:lpstr>
      <vt:lpstr>_vena_DYNR_SControleIndelingQRT_BB1_d930880_aeaf772e</vt:lpstr>
      <vt:lpstr>_vena_DYNR_SControleIndelingQRT_BB1_d930880_b05f39ea</vt:lpstr>
      <vt:lpstr>_vena_DYNR_SControleIndelingQRT_BB1_d930880_b1459c1b</vt:lpstr>
      <vt:lpstr>_vena_DYNR_SControleIndelingQRT_BB1_d930880_b17fbd61</vt:lpstr>
      <vt:lpstr>_vena_DYNR_SControleIndelingQRT_BB1_d930880_b460b2a</vt:lpstr>
      <vt:lpstr>_vena_DYNR_SControleIndelingQRT_BB1_d930880_b76b04f6</vt:lpstr>
      <vt:lpstr>_vena_DYNR_SControleIndelingQRT_BB1_d930880_ba30b0c1</vt:lpstr>
      <vt:lpstr>_vena_DYNR_SControleIndelingQRT_BB1_d930880_bc2cf97c</vt:lpstr>
      <vt:lpstr>_vena_DYNR_SControleIndelingQRT_BB1_d930880_bd92e9e7</vt:lpstr>
      <vt:lpstr>_vena_DYNR_SControleIndelingQRT_BB1_d930880_bf7e8b8a</vt:lpstr>
      <vt:lpstr>_vena_DYNR_SControleIndelingQRT_BB1_d930880_bfbd9a01</vt:lpstr>
      <vt:lpstr>_vena_DYNR_SControleIndelingQRT_BB1_d930880_c55720f2</vt:lpstr>
      <vt:lpstr>_vena_DYNR_SControleIndelingQRT_BB1_d930880_c71716e</vt:lpstr>
      <vt:lpstr>_vena_DYNR_SControleIndelingQRT_BB1_d930880_c99d8bda</vt:lpstr>
      <vt:lpstr>_vena_DYNR_SControleIndelingQRT_BB1_d930880_ca8ee28e</vt:lpstr>
      <vt:lpstr>_vena_DYNR_SControleIndelingQRT_BB1_d930880_cb47b006</vt:lpstr>
      <vt:lpstr>_vena_DYNR_SControleIndelingQRT_BB1_d930880_cb635212</vt:lpstr>
      <vt:lpstr>_vena_DYNR_SControleIndelingQRT_BB1_d930880_cba2af02</vt:lpstr>
      <vt:lpstr>_vena_DYNR_SControleIndelingQRT_BB1_d930880_cbd09015</vt:lpstr>
      <vt:lpstr>_vena_DYNR_SControleIndelingQRT_BB1_d930880_cc61b5f6</vt:lpstr>
      <vt:lpstr>_vena_DYNR_SControleIndelingQRT_BB1_d930880_cc64a1b1</vt:lpstr>
      <vt:lpstr>_vena_DYNR_SControleIndelingQRT_BB1_d930880_cd8b6ed6</vt:lpstr>
      <vt:lpstr>_vena_DYNR_SControleIndelingQRT_BB1_d930880_ce6ffa9f</vt:lpstr>
      <vt:lpstr>_vena_DYNR_SControleIndelingQRT_BB1_d930880_cf412b91</vt:lpstr>
      <vt:lpstr>_vena_DYNR_SControleIndelingQRT_BB1_d930880_d1f758a3</vt:lpstr>
      <vt:lpstr>_vena_DYNR_SControleIndelingQRT_BB1_d930880_d25f30ac</vt:lpstr>
      <vt:lpstr>_vena_DYNR_SControleIndelingQRT_BB1_d930880_d2964e6a</vt:lpstr>
      <vt:lpstr>_vena_DYNR_SControleIndelingQRT_BB1_d930880_d2a6bf43</vt:lpstr>
      <vt:lpstr>_vena_DYNR_SControleIndelingQRT_BB1_d930880_d5e52e3c</vt:lpstr>
      <vt:lpstr>_vena_DYNR_SControleIndelingQRT_BB1_d930880_d788365d</vt:lpstr>
      <vt:lpstr>_vena_DYNR_SControleIndelingQRT_BB1_d930880_d8f19ecc</vt:lpstr>
      <vt:lpstr>_vena_DYNR_SControleIndelingQRT_BB1_d930880_d98f1909</vt:lpstr>
      <vt:lpstr>_vena_DYNR_SControleIndelingQRT_BB1_d930880_dbd6a764</vt:lpstr>
      <vt:lpstr>_vena_DYNR_SControleIndelingQRT_BB1_d930880_dc501ff8</vt:lpstr>
      <vt:lpstr>_vena_DYNR_SControleIndelingQRT_BB1_d930880_dd3ea869</vt:lpstr>
      <vt:lpstr>_vena_DYNR_SControleIndelingQRT_BB1_d930880_dee0847a</vt:lpstr>
      <vt:lpstr>_vena_DYNR_SControleIndelingQRT_BB1_d930880_df5c09aa</vt:lpstr>
      <vt:lpstr>_vena_DYNR_SControleIndelingQRT_BB1_d930880_e01420e3</vt:lpstr>
      <vt:lpstr>_vena_DYNR_SControleIndelingQRT_BB1_d930880_e0dd0406</vt:lpstr>
      <vt:lpstr>_vena_DYNR_SControleIndelingQRT_BB1_d930880_e1a2d5c2</vt:lpstr>
      <vt:lpstr>_vena_DYNR_SControleIndelingQRT_BB1_d930880_e283842</vt:lpstr>
      <vt:lpstr>_vena_DYNR_SControleIndelingQRT_BB1_d930880_e40aadc9</vt:lpstr>
      <vt:lpstr>_vena_DYNR_SControleIndelingQRT_BB1_d930880_e5aea3a2</vt:lpstr>
      <vt:lpstr>_vena_DYNR_SControleIndelingQRT_BB1_d930880_e5c224c5</vt:lpstr>
      <vt:lpstr>_vena_DYNR_SControleIndelingQRT_BB1_d930880_e5f2c4d3</vt:lpstr>
      <vt:lpstr>_vena_DYNR_SControleIndelingQRT_BB1_d930880_e825ab1b</vt:lpstr>
      <vt:lpstr>_vena_DYNR_SControleIndelingQRT_BB1_d930880_e839928a</vt:lpstr>
      <vt:lpstr>_vena_DYNR_SControleIndelingQRT_BB1_d930880_e8caaf52</vt:lpstr>
      <vt:lpstr>_vena_DYNR_SControleIndelingQRT_BB1_d930880_e92237fb</vt:lpstr>
      <vt:lpstr>_vena_DYNR_SControleIndelingQRT_BB1_d930880_e97732ad</vt:lpstr>
      <vt:lpstr>_vena_DYNR_SControleIndelingQRT_BB1_d930880_ee219484</vt:lpstr>
      <vt:lpstr>_vena_DYNR_SControleIndelingQRT_BB1_d930880_ef143dc1</vt:lpstr>
      <vt:lpstr>_vena_DYNR_SControleIndelingQRT_BB1_d930880_f072cdbb</vt:lpstr>
      <vt:lpstr>_vena_DYNR_SControleIndelingQRT_BB1_d930880_f0f94331</vt:lpstr>
      <vt:lpstr>_vena_DYNR_SControleIndelingQRT_BB1_d930880_f1b2580e</vt:lpstr>
      <vt:lpstr>_vena_DYNR_SControleIndelingQRT_BB1_d930880_f21eb5fe</vt:lpstr>
      <vt:lpstr>_vena_DYNR_SControleIndelingQRT_BB1_d930880_f3229ef0</vt:lpstr>
      <vt:lpstr>_vena_DYNR_SControleIndelingQRT_BB1_d930880_f3bd3879</vt:lpstr>
      <vt:lpstr>_vena_DYNR_SControleIndelingQRT_BB1_d930880_f4434352</vt:lpstr>
      <vt:lpstr>_vena_DYNR_SControleIndelingQRT_BB1_d930880_f5bb851</vt:lpstr>
      <vt:lpstr>_vena_DYNR_SControleIndelingQRT_BB1_d930880_f6180b0f</vt:lpstr>
      <vt:lpstr>_vena_DYNR_SControleIndelingQRT_BB1_d930880_f64148d9</vt:lpstr>
      <vt:lpstr>_vena_DYNR_SControleIndelingQRT_BB1_d930880_f95daa53</vt:lpstr>
      <vt:lpstr>_vena_DYNR_SControleIndelingQRT_BB1_d930880_fae4ff70</vt:lpstr>
      <vt:lpstr>_vena_DYNR_SControleIndelingQRT_BB1_d930880_fb49c2e7</vt:lpstr>
      <vt:lpstr>_vena_DYNR_SControleIndelingQRT_BB1_d930880_fcb7ce12</vt:lpstr>
      <vt:lpstr>_vena_DYNR_SControleIndelingQRT_BB1_d930880_fd3819f7</vt:lpstr>
      <vt:lpstr>_vena_DYNR_SControleIndelingQRT_BB1_d930880_ffff48e5</vt:lpstr>
      <vt:lpstr>_vena_DYNR_SControleIndelingQRTSub_BB1_3e6c8fc6</vt:lpstr>
      <vt:lpstr>_vena_DYNR_SControleIndelingQRTSub_BB1_3e6c8fc6_1020c209</vt:lpstr>
      <vt:lpstr>_vena_DYNR_SControleIndelingQRTSub_BB1_3e6c8fc6_14fb1c12</vt:lpstr>
      <vt:lpstr>_vena_DYNR_SControleIndelingQRTSub_BB1_3e6c8fc6_196affa9</vt:lpstr>
      <vt:lpstr>_vena_DYNR_SControleIndelingQRTSub_BB1_3e6c8fc6_19b5a4cb</vt:lpstr>
      <vt:lpstr>_vena_DYNR_SControleIndelingQRTSub_BB1_3e6c8fc6_19d19e33</vt:lpstr>
      <vt:lpstr>_vena_DYNR_SControleIndelingQRTSub_BB1_3e6c8fc6_19d32145</vt:lpstr>
      <vt:lpstr>_vena_DYNR_SControleIndelingQRTSub_BB1_3e6c8fc6_1ae13179</vt:lpstr>
      <vt:lpstr>_vena_DYNR_SControleIndelingQRTSub_BB1_3e6c8fc6_1aebf35</vt:lpstr>
      <vt:lpstr>_vena_DYNR_SControleIndelingQRTSub_BB1_3e6c8fc6_1d05c190</vt:lpstr>
      <vt:lpstr>_vena_DYNR_SControleIndelingQRTSub_BB1_3e6c8fc6_1e44704d</vt:lpstr>
      <vt:lpstr>_vena_DYNR_SControleIndelingQRTSub_BB1_3e6c8fc6_1e855ef8</vt:lpstr>
      <vt:lpstr>_vena_DYNR_SControleIndelingQRTSub_BB1_3e6c8fc6_204765c4</vt:lpstr>
      <vt:lpstr>_vena_DYNR_SControleIndelingQRTSub_BB1_3e6c8fc6_2175bbf9</vt:lpstr>
      <vt:lpstr>_vena_DYNR_SControleIndelingQRTSub_BB1_3e6c8fc6_2211971</vt:lpstr>
      <vt:lpstr>_vena_DYNR_SControleIndelingQRTSub_BB1_3e6c8fc6_22870963</vt:lpstr>
      <vt:lpstr>_vena_DYNR_SControleIndelingQRTSub_BB1_3e6c8fc6_230f8e9b</vt:lpstr>
      <vt:lpstr>_vena_DYNR_SControleIndelingQRTSub_BB1_3e6c8fc6_24a700a7</vt:lpstr>
      <vt:lpstr>_vena_DYNR_SControleIndelingQRTSub_BB1_3e6c8fc6_25180440</vt:lpstr>
      <vt:lpstr>_vena_DYNR_SControleIndelingQRTSub_BB1_3e6c8fc6_2818725c</vt:lpstr>
      <vt:lpstr>_vena_DYNR_SControleIndelingQRTSub_BB1_3e6c8fc6_287eadd0</vt:lpstr>
      <vt:lpstr>_vena_DYNR_SControleIndelingQRTSub_BB1_3e6c8fc6_29a40866</vt:lpstr>
      <vt:lpstr>_vena_DYNR_SControleIndelingQRTSub_BB1_3e6c8fc6_2d98dc77</vt:lpstr>
      <vt:lpstr>_vena_DYNR_SControleIndelingQRTSub_BB1_3e6c8fc6_2df27850</vt:lpstr>
      <vt:lpstr>_vena_DYNR_SControleIndelingQRTSub_BB1_3e6c8fc6_2f2a09d5</vt:lpstr>
      <vt:lpstr>_vena_DYNR_SControleIndelingQRTSub_BB1_3e6c8fc6_2f6e8e4c</vt:lpstr>
      <vt:lpstr>_vena_DYNR_SControleIndelingQRTSub_BB1_3e6c8fc6_3151f169</vt:lpstr>
      <vt:lpstr>_vena_DYNR_SControleIndelingQRTSub_BB1_3e6c8fc6_324abc44</vt:lpstr>
      <vt:lpstr>_vena_DYNR_SControleIndelingQRTSub_BB1_3e6c8fc6_32d497ed</vt:lpstr>
      <vt:lpstr>_vena_DYNR_SControleIndelingQRTSub_BB1_3e6c8fc6_34885f61</vt:lpstr>
      <vt:lpstr>_vena_DYNR_SControleIndelingQRTSub_BB1_3e6c8fc6_36bccca4</vt:lpstr>
      <vt:lpstr>_vena_DYNR_SControleIndelingQRTSub_BB1_3e6c8fc6_39e1965c</vt:lpstr>
      <vt:lpstr>_vena_DYNR_SControleIndelingQRTSub_BB1_3e6c8fc6_3aaf3557</vt:lpstr>
      <vt:lpstr>_vena_DYNR_SControleIndelingQRTSub_BB1_3e6c8fc6_3b6e40f9</vt:lpstr>
      <vt:lpstr>_vena_DYNR_SControleIndelingQRTSub_BB1_3e6c8fc6_3b97ff47</vt:lpstr>
      <vt:lpstr>_vena_DYNR_SControleIndelingQRTSub_BB1_3e6c8fc6_3f600324</vt:lpstr>
      <vt:lpstr>_vena_DYNR_SControleIndelingQRTSub_BB1_3e6c8fc6_3fff8a55</vt:lpstr>
      <vt:lpstr>_vena_DYNR_SControleIndelingQRTSub_BB1_3e6c8fc6_402da04b</vt:lpstr>
      <vt:lpstr>_vena_DYNR_SControleIndelingQRTSub_BB1_3e6c8fc6_40919c1</vt:lpstr>
      <vt:lpstr>_vena_DYNR_SControleIndelingQRTSub_BB1_3e6c8fc6_4309c6eb</vt:lpstr>
      <vt:lpstr>_vena_DYNR_SControleIndelingQRTSub_BB1_3e6c8fc6_4378f41e</vt:lpstr>
      <vt:lpstr>_vena_DYNR_SControleIndelingQRTSub_BB1_3e6c8fc6_492ace5e</vt:lpstr>
      <vt:lpstr>_vena_DYNR_SControleIndelingQRTSub_BB1_3e6c8fc6_4a07a5ba</vt:lpstr>
      <vt:lpstr>_vena_DYNR_SControleIndelingQRTSub_BB1_3e6c8fc6_4ab4544b</vt:lpstr>
      <vt:lpstr>_vena_DYNR_SControleIndelingQRTSub_BB1_3e6c8fc6_4ab5e509</vt:lpstr>
      <vt:lpstr>_vena_DYNR_SControleIndelingQRTSub_BB1_3e6c8fc6_4ae8ced5</vt:lpstr>
      <vt:lpstr>_vena_DYNR_SControleIndelingQRTSub_BB1_3e6c8fc6_4e0b6485</vt:lpstr>
      <vt:lpstr>_vena_DYNR_SControleIndelingQRTSub_BB1_3e6c8fc6_51b8e2f1</vt:lpstr>
      <vt:lpstr>_vena_DYNR_SControleIndelingQRTSub_BB1_3e6c8fc6_52c785e9</vt:lpstr>
      <vt:lpstr>_vena_DYNR_SControleIndelingQRTSub_BB1_3e6c8fc6_53c05eef</vt:lpstr>
      <vt:lpstr>_vena_DYNR_SControleIndelingQRTSub_BB1_3e6c8fc6_53efa327</vt:lpstr>
      <vt:lpstr>_vena_DYNR_SControleIndelingQRTSub_BB1_3e6c8fc6_54b3fa2f</vt:lpstr>
      <vt:lpstr>_vena_DYNR_SControleIndelingQRTSub_BB1_3e6c8fc6_592fcf9</vt:lpstr>
      <vt:lpstr>_vena_DYNR_SControleIndelingQRTSub_BB1_3e6c8fc6_5cd90b77</vt:lpstr>
      <vt:lpstr>_vena_DYNR_SControleIndelingQRTSub_BB1_3e6c8fc6_5d0da3e6</vt:lpstr>
      <vt:lpstr>_vena_DYNR_SControleIndelingQRTSub_BB1_3e6c8fc6_5d8e6bb</vt:lpstr>
      <vt:lpstr>_vena_DYNR_SControleIndelingQRTSub_BB1_3e6c8fc6_5e37d61e</vt:lpstr>
      <vt:lpstr>_vena_DYNR_SControleIndelingQRTSub_BB1_3e6c8fc6_5eda0e97</vt:lpstr>
      <vt:lpstr>_vena_DYNR_SControleIndelingQRTSub_BB1_3e6c8fc6_5ef16902</vt:lpstr>
      <vt:lpstr>_vena_DYNR_SControleIndelingQRTSub_BB1_3e6c8fc6_60747b4e</vt:lpstr>
      <vt:lpstr>_vena_DYNR_SControleIndelingQRTSub_BB1_3e6c8fc6_62c1a57d</vt:lpstr>
      <vt:lpstr>_vena_DYNR_SControleIndelingQRTSub_BB1_3e6c8fc6_63c43c6</vt:lpstr>
      <vt:lpstr>_vena_DYNR_SControleIndelingQRTSub_BB1_3e6c8fc6_64b90ab5</vt:lpstr>
      <vt:lpstr>_vena_DYNR_SControleIndelingQRTSub_BB1_3e6c8fc6_666aa664</vt:lpstr>
      <vt:lpstr>_vena_DYNR_SControleIndelingQRTSub_BB1_3e6c8fc6_676fd9e6</vt:lpstr>
      <vt:lpstr>_vena_DYNR_SControleIndelingQRTSub_BB1_3e6c8fc6_689f56b3</vt:lpstr>
      <vt:lpstr>_vena_DYNR_SControleIndelingQRTSub_BB1_3e6c8fc6_69e6e554</vt:lpstr>
      <vt:lpstr>_vena_DYNR_SControleIndelingQRTSub_BB1_3e6c8fc6_6e03bca4</vt:lpstr>
      <vt:lpstr>_vena_DYNR_SControleIndelingQRTSub_BB1_3e6c8fc6_6ed0683</vt:lpstr>
      <vt:lpstr>_vena_DYNR_SControleIndelingQRTSub_BB1_3e6c8fc6_701a8270</vt:lpstr>
      <vt:lpstr>_vena_DYNR_SControleIndelingQRTSub_BB1_3e6c8fc6_721166d7</vt:lpstr>
      <vt:lpstr>_vena_DYNR_SControleIndelingQRTSub_BB1_3e6c8fc6_727869d2</vt:lpstr>
      <vt:lpstr>_vena_DYNR_SControleIndelingQRTSub_BB1_3e6c8fc6_730a4876</vt:lpstr>
      <vt:lpstr>_vena_DYNR_SControleIndelingQRTSub_BB1_3e6c8fc6_7353c6ee</vt:lpstr>
      <vt:lpstr>_vena_DYNR_SControleIndelingQRTSub_BB1_3e6c8fc6_73b22a83</vt:lpstr>
      <vt:lpstr>_vena_DYNR_SControleIndelingQRTSub_BB1_3e6c8fc6_743916e4</vt:lpstr>
      <vt:lpstr>_vena_DYNR_SControleIndelingQRTSub_BB1_3e6c8fc6_7467e1a1</vt:lpstr>
      <vt:lpstr>_vena_DYNR_SControleIndelingQRTSub_BB1_3e6c8fc6_76c8b327</vt:lpstr>
      <vt:lpstr>_vena_DYNR_SControleIndelingQRTSub_BB1_3e6c8fc6_78e6cabb</vt:lpstr>
      <vt:lpstr>_vena_DYNR_SControleIndelingQRTSub_BB1_3e6c8fc6_7954b441</vt:lpstr>
      <vt:lpstr>_vena_DYNR_SControleIndelingQRTSub_BB1_3e6c8fc6_7aa9c18a</vt:lpstr>
      <vt:lpstr>_vena_DYNR_SControleIndelingQRTSub_BB1_3e6c8fc6_7ac09406</vt:lpstr>
      <vt:lpstr>_vena_DYNR_SControleIndelingQRTSub_BB1_3e6c8fc6_7cc437e7</vt:lpstr>
      <vt:lpstr>_vena_DYNR_SControleIndelingQRTSub_BB1_3e6c8fc6_7dfb83bf</vt:lpstr>
      <vt:lpstr>_vena_DYNR_SControleIndelingQRTSub_BB1_3e6c8fc6_7e86bfd1</vt:lpstr>
      <vt:lpstr>_vena_DYNR_SControleIndelingQRTSub_BB1_3e6c8fc6_7fad579f</vt:lpstr>
      <vt:lpstr>_vena_DYNR_SControleIndelingQRTSub_BB1_3e6c8fc6_7fe04d7</vt:lpstr>
      <vt:lpstr>_vena_DYNR_SControleIndelingQRTSub_BB1_3e6c8fc6_829e4c44</vt:lpstr>
      <vt:lpstr>_vena_DYNR_SControleIndelingQRTSub_BB1_3e6c8fc6_83bb5299</vt:lpstr>
      <vt:lpstr>_vena_DYNR_SControleIndelingQRTSub_BB1_3e6c8fc6_84201150</vt:lpstr>
      <vt:lpstr>_vena_DYNR_SControleIndelingQRTSub_BB1_3e6c8fc6_88d2b3f9</vt:lpstr>
      <vt:lpstr>_vena_DYNR_SControleIndelingQRTSub_BB1_3e6c8fc6_890a0559</vt:lpstr>
      <vt:lpstr>_vena_DYNR_SControleIndelingQRTSub_BB1_3e6c8fc6_8cbc311</vt:lpstr>
      <vt:lpstr>_vena_DYNR_SControleIndelingQRTSub_BB1_3e6c8fc6_8dd15993</vt:lpstr>
      <vt:lpstr>_vena_DYNR_SControleIndelingQRTSub_BB1_3e6c8fc6_8fabbab</vt:lpstr>
      <vt:lpstr>_vena_DYNR_SControleIndelingQRTSub_BB1_3e6c8fc6_91668624</vt:lpstr>
      <vt:lpstr>_vena_DYNR_SControleIndelingQRTSub_BB1_3e6c8fc6_91f199aa</vt:lpstr>
      <vt:lpstr>_vena_DYNR_SControleIndelingQRTSub_BB1_3e6c8fc6_92534c44</vt:lpstr>
      <vt:lpstr>_vena_DYNR_SControleIndelingQRTSub_BB1_3e6c8fc6_92f3b43</vt:lpstr>
      <vt:lpstr>_vena_DYNR_SControleIndelingQRTSub_BB1_3e6c8fc6_943e2e3d</vt:lpstr>
      <vt:lpstr>_vena_DYNR_SControleIndelingQRTSub_BB1_3e6c8fc6_951c438a</vt:lpstr>
      <vt:lpstr>_vena_DYNR_SControleIndelingQRTSub_BB1_3e6c8fc6_9626fa28</vt:lpstr>
      <vt:lpstr>_vena_DYNR_SControleIndelingQRTSub_BB1_3e6c8fc6_97294920</vt:lpstr>
      <vt:lpstr>_vena_DYNR_SControleIndelingQRTSub_BB1_3e6c8fc6_9852a011</vt:lpstr>
      <vt:lpstr>_vena_DYNR_SControleIndelingQRTSub_BB1_3e6c8fc6_98f59ffe</vt:lpstr>
      <vt:lpstr>_vena_DYNR_SControleIndelingQRTSub_BB1_3e6c8fc6_9b007567</vt:lpstr>
      <vt:lpstr>_vena_DYNR_SControleIndelingQRTSub_BB1_3e6c8fc6_9b38ec1</vt:lpstr>
      <vt:lpstr>_vena_DYNR_SControleIndelingQRTSub_BB1_3e6c8fc6_9c5e8e4c</vt:lpstr>
      <vt:lpstr>_vena_DYNR_SControleIndelingQRTSub_BB1_3e6c8fc6_9d11b3c3</vt:lpstr>
      <vt:lpstr>_vena_DYNR_SControleIndelingQRTSub_BB1_3e6c8fc6_9de7a1d7</vt:lpstr>
      <vt:lpstr>_vena_DYNR_SControleIndelingQRTSub_BB1_3e6c8fc6_9e20e6c9</vt:lpstr>
      <vt:lpstr>_vena_DYNR_SControleIndelingQRTSub_BB1_3e6c8fc6_9e23c46e</vt:lpstr>
      <vt:lpstr>_vena_DYNR_SControleIndelingQRTSub_BB1_3e6c8fc6_9f3ef649</vt:lpstr>
      <vt:lpstr>_vena_DYNR_SControleIndelingQRTSub_BB1_3e6c8fc6_a02433ec</vt:lpstr>
      <vt:lpstr>_vena_DYNR_SControleIndelingQRTSub_BB1_3e6c8fc6_a0fff4a8</vt:lpstr>
      <vt:lpstr>_vena_DYNR_SControleIndelingQRTSub_BB1_3e6c8fc6_a101592a</vt:lpstr>
      <vt:lpstr>_vena_DYNR_SControleIndelingQRTSub_BB1_3e6c8fc6_a127dd53</vt:lpstr>
      <vt:lpstr>_vena_DYNR_SControleIndelingQRTSub_BB1_3e6c8fc6_a687c34b</vt:lpstr>
      <vt:lpstr>_vena_DYNR_SControleIndelingQRTSub_BB1_3e6c8fc6_a7c2b978</vt:lpstr>
      <vt:lpstr>_vena_DYNR_SControleIndelingQRTSub_BB1_3e6c8fc6_a7c7d10</vt:lpstr>
      <vt:lpstr>_vena_DYNR_SControleIndelingQRTSub_BB1_3e6c8fc6_aa05f0df</vt:lpstr>
      <vt:lpstr>_vena_DYNR_SControleIndelingQRTSub_BB1_3e6c8fc6_aad00ec3</vt:lpstr>
      <vt:lpstr>_vena_DYNR_SControleIndelingQRTSub_BB1_3e6c8fc6_aad37e9a</vt:lpstr>
      <vt:lpstr>_vena_DYNR_SControleIndelingQRTSub_BB1_3e6c8fc6_ab0443c0</vt:lpstr>
      <vt:lpstr>_vena_DYNR_SControleIndelingQRTSub_BB1_3e6c8fc6_ab74fa15</vt:lpstr>
      <vt:lpstr>_vena_DYNR_SControleIndelingQRTSub_BB1_3e6c8fc6_ad19256a</vt:lpstr>
      <vt:lpstr>_vena_DYNR_SControleIndelingQRTSub_BB1_3e6c8fc6_ad6ffb13</vt:lpstr>
      <vt:lpstr>_vena_DYNR_SControleIndelingQRTSub_BB1_3e6c8fc6_ae5b1bdd</vt:lpstr>
      <vt:lpstr>_vena_DYNR_SControleIndelingQRTSub_BB1_3e6c8fc6_af5241a4</vt:lpstr>
      <vt:lpstr>_vena_DYNR_SControleIndelingQRTSub_BB1_3e6c8fc6_afdb9352</vt:lpstr>
      <vt:lpstr>_vena_DYNR_SControleIndelingQRTSub_BB1_3e6c8fc6_b0977b46</vt:lpstr>
      <vt:lpstr>_vena_DYNR_SControleIndelingQRTSub_BB1_3e6c8fc6_b0fb7a5f</vt:lpstr>
      <vt:lpstr>_vena_DYNR_SControleIndelingQRTSub_BB1_3e6c8fc6_b1146f2e</vt:lpstr>
      <vt:lpstr>_vena_DYNR_SControleIndelingQRTSub_BB1_3e6c8fc6_b66ed15d</vt:lpstr>
      <vt:lpstr>_vena_DYNR_SControleIndelingQRTSub_BB1_3e6c8fc6_b76885b6</vt:lpstr>
      <vt:lpstr>_vena_DYNR_SControleIndelingQRTSub_BB1_3e6c8fc6_b9a4c1cf</vt:lpstr>
      <vt:lpstr>_vena_DYNR_SControleIndelingQRTSub_BB1_3e6c8fc6_bb2acba7</vt:lpstr>
      <vt:lpstr>_vena_DYNR_SControleIndelingQRTSub_BB1_3e6c8fc6_bb87e93c</vt:lpstr>
      <vt:lpstr>_vena_DYNR_SControleIndelingQRTSub_BB1_3e6c8fc6_bc1c53f1</vt:lpstr>
      <vt:lpstr>_vena_DYNR_SControleIndelingQRTSub_BB1_3e6c8fc6_bce4cbc5</vt:lpstr>
      <vt:lpstr>_vena_DYNR_SControleIndelingQRTSub_BB1_3e6c8fc6_bd5d786e</vt:lpstr>
      <vt:lpstr>_vena_DYNR_SControleIndelingQRTSub_BB1_3e6c8fc6_bf784bf2</vt:lpstr>
      <vt:lpstr>_vena_DYNR_SControleIndelingQRTSub_BB1_3e6c8fc6_c169a036</vt:lpstr>
      <vt:lpstr>_vena_DYNR_SControleIndelingQRTSub_BB1_3e6c8fc6_c2f8b913</vt:lpstr>
      <vt:lpstr>_vena_DYNR_SControleIndelingQRTSub_BB1_3e6c8fc6_c346787d</vt:lpstr>
      <vt:lpstr>_vena_DYNR_SControleIndelingQRTSub_BB1_3e6c8fc6_c362a542</vt:lpstr>
      <vt:lpstr>_vena_DYNR_SControleIndelingQRTSub_BB1_3e6c8fc6_c54f5c57</vt:lpstr>
      <vt:lpstr>_vena_DYNR_SControleIndelingQRTSub_BB1_3e6c8fc6_c5b271cc</vt:lpstr>
      <vt:lpstr>_vena_DYNR_SControleIndelingQRTSub_BB1_3e6c8fc6_c708f816</vt:lpstr>
      <vt:lpstr>_vena_DYNR_SControleIndelingQRTSub_BB1_3e6c8fc6_c8674047</vt:lpstr>
      <vt:lpstr>_vena_DYNR_SControleIndelingQRTSub_BB1_3e6c8fc6_c8d0c03b</vt:lpstr>
      <vt:lpstr>_vena_DYNR_SControleIndelingQRTSub_BB1_3e6c8fc6_c92cf413</vt:lpstr>
      <vt:lpstr>_vena_DYNR_SControleIndelingQRTSub_BB1_3e6c8fc6_ca63e481</vt:lpstr>
      <vt:lpstr>_vena_DYNR_SControleIndelingQRTSub_BB1_3e6c8fc6_ca652f29</vt:lpstr>
      <vt:lpstr>_vena_DYNR_SControleIndelingQRTSub_BB1_3e6c8fc6_ca8d9eb0</vt:lpstr>
      <vt:lpstr>_vena_DYNR_SControleIndelingQRTSub_BB1_3e6c8fc6_cad1864f</vt:lpstr>
      <vt:lpstr>_vena_DYNR_SControleIndelingQRTSub_BB1_3e6c8fc6_cadd02d7</vt:lpstr>
      <vt:lpstr>_vena_DYNR_SControleIndelingQRTSub_BB1_3e6c8fc6_cb1fb4d5</vt:lpstr>
      <vt:lpstr>_vena_DYNR_SControleIndelingQRTSub_BB1_3e6c8fc6_cb5ca8ea</vt:lpstr>
      <vt:lpstr>_vena_DYNR_SControleIndelingQRTSub_BB1_3e6c8fc6_cd0d6bd3</vt:lpstr>
      <vt:lpstr>_vena_DYNR_SControleIndelingQRTSub_BB1_3e6c8fc6_cd3026d7</vt:lpstr>
      <vt:lpstr>_vena_DYNR_SControleIndelingQRTSub_BB1_3e6c8fc6_cdb24113</vt:lpstr>
      <vt:lpstr>_vena_DYNR_SControleIndelingQRTSub_BB1_3e6c8fc6_d058d24a</vt:lpstr>
      <vt:lpstr>_vena_DYNR_SControleIndelingQRTSub_BB1_3e6c8fc6_d07734ab</vt:lpstr>
      <vt:lpstr>_vena_DYNR_SControleIndelingQRTSub_BB1_3e6c8fc6_d2770487</vt:lpstr>
      <vt:lpstr>_vena_DYNR_SControleIndelingQRTSub_BB1_3e6c8fc6_d28a3679</vt:lpstr>
      <vt:lpstr>_vena_DYNR_SControleIndelingQRTSub_BB1_3e6c8fc6_d43a0b9</vt:lpstr>
      <vt:lpstr>_vena_DYNR_SControleIndelingQRTSub_BB1_3e6c8fc6_d5527fe4</vt:lpstr>
      <vt:lpstr>_vena_DYNR_SControleIndelingQRTSub_BB1_3e6c8fc6_d5df9c23</vt:lpstr>
      <vt:lpstr>_vena_DYNR_SControleIndelingQRTSub_BB1_3e6c8fc6_d86fb0fb</vt:lpstr>
      <vt:lpstr>_vena_DYNR_SControleIndelingQRTSub_BB1_3e6c8fc6_da26d1b7</vt:lpstr>
      <vt:lpstr>_vena_DYNR_SControleIndelingQRTSub_BB1_3e6c8fc6_da3c0e6</vt:lpstr>
      <vt:lpstr>_vena_DYNR_SControleIndelingQRTSub_BB1_3e6c8fc6_dab3bf2b</vt:lpstr>
      <vt:lpstr>_vena_DYNR_SControleIndelingQRTSub_BB1_3e6c8fc6_df3cb19</vt:lpstr>
      <vt:lpstr>_vena_DYNR_SControleIndelingQRTSub_BB1_3e6c8fc6_df6e921d</vt:lpstr>
      <vt:lpstr>_vena_DYNR_SControleIndelingQRTSub_BB1_3e6c8fc6_df9fc109</vt:lpstr>
      <vt:lpstr>_vena_DYNR_SControleIndelingQRTSub_BB1_3e6c8fc6_e1c5edf7</vt:lpstr>
      <vt:lpstr>_vena_DYNR_SControleIndelingQRTSub_BB1_3e6c8fc6_e4c44609</vt:lpstr>
      <vt:lpstr>_vena_DYNR_SControleIndelingQRTSub_BB1_3e6c8fc6_e53936b6</vt:lpstr>
      <vt:lpstr>_vena_DYNR_SControleIndelingQRTSub_BB1_3e6c8fc6_e57c1ec9</vt:lpstr>
      <vt:lpstr>_vena_DYNR_SControleIndelingQRTSub_BB1_3e6c8fc6_e66d77b5</vt:lpstr>
      <vt:lpstr>_vena_DYNR_SControleIndelingQRTSub_BB1_3e6c8fc6_e7c22ade</vt:lpstr>
      <vt:lpstr>_vena_DYNR_SControleIndelingQRTSub_BB1_3e6c8fc6_eacbcd76</vt:lpstr>
      <vt:lpstr>_vena_DYNR_SControleIndelingQRTSub_BB1_3e6c8fc6_ec1015f</vt:lpstr>
      <vt:lpstr>_vena_DYNR_SControleIndelingQRTSub_BB1_3e6c8fc6_ecc5d0c5</vt:lpstr>
      <vt:lpstr>_vena_DYNR_SControleIndelingQRTSub_BB1_3e6c8fc6_ed4d6d4b</vt:lpstr>
      <vt:lpstr>_vena_DYNR_SControleIndelingQRTSub_BB1_3e6c8fc6_eef60ed9</vt:lpstr>
      <vt:lpstr>_vena_DYNR_SControleIndelingQRTSub_BB1_3e6c8fc6_ef0bf5e3</vt:lpstr>
      <vt:lpstr>_vena_DYNR_SControleIndelingQRTSub_BB1_3e6c8fc6_f1610181</vt:lpstr>
      <vt:lpstr>_vena_DYNR_SControleIndelingQRTSub_BB1_3e6c8fc6_f2119a03</vt:lpstr>
      <vt:lpstr>_vena_DYNR_SControleIndelingQRTSub_BB1_3e6c8fc6_f3216054</vt:lpstr>
      <vt:lpstr>_vena_DYNR_SControleIndelingQRTSub_BB1_3e6c8fc6_f37efd23</vt:lpstr>
      <vt:lpstr>_vena_DYNR_SControleIndelingQRTSub_BB1_3e6c8fc6_f3b55d62</vt:lpstr>
      <vt:lpstr>_vena_DYNR_SControleIndelingQRTSub_BB1_3e6c8fc6_f4e033d9</vt:lpstr>
      <vt:lpstr>_vena_DYNR_SControleIndelingQRTSub_BB1_3e6c8fc6_f535b04b</vt:lpstr>
      <vt:lpstr>_vena_DYNR_SControleIndelingQRTSub_BB1_3e6c8fc6_f67f6b29</vt:lpstr>
      <vt:lpstr>_vena_DYNR_SControleIndelingQRTSub_BB1_3e6c8fc6_f84c873c</vt:lpstr>
      <vt:lpstr>_vena_DYNR_SControleIndelingQRTSub_BB1_3e6c8fc6_f9c5ee07</vt:lpstr>
      <vt:lpstr>_vena_DYNR_SControleIndelingQRTSub_BB1_3e6c8fc6_fa6e894a</vt:lpstr>
      <vt:lpstr>_vena_DYNR_SControleIndelingQRTSub_BB1_3e6c8fc6_fc06dbd6</vt:lpstr>
      <vt:lpstr>_vena_DYNR_SControleIndelingQRTSub_BB1_3e6c8fc6_fd10a10</vt:lpstr>
      <vt:lpstr>_vena_DYNR_SControleIndelingQRTSub_BB1_575fcc0f</vt:lpstr>
      <vt:lpstr>_vena_DYNR_SControleIndelingQRTSub_BB1_575fcc0f_10c36634</vt:lpstr>
      <vt:lpstr>_vena_DYNR_SControleIndelingQRTSub_BB1_575fcc0f_1634a3f6</vt:lpstr>
      <vt:lpstr>_vena_DYNR_SControleIndelingQRTSub_BB1_575fcc0f_19a743c8</vt:lpstr>
      <vt:lpstr>_vena_DYNR_SControleIndelingQRTSub_BB1_575fcc0f_2198d42c</vt:lpstr>
      <vt:lpstr>_vena_DYNR_SControleIndelingQRTSub_BB1_575fcc0f_21e6e3d6</vt:lpstr>
      <vt:lpstr>_vena_DYNR_SControleIndelingQRTSub_BB1_575fcc0f_27ac6099</vt:lpstr>
      <vt:lpstr>_vena_DYNR_SControleIndelingQRTSub_BB1_575fcc0f_2cdcca61</vt:lpstr>
      <vt:lpstr>_vena_DYNR_SControleIndelingQRTSub_BB1_575fcc0f_30b82fef</vt:lpstr>
      <vt:lpstr>_vena_DYNR_SControleIndelingQRTSub_BB1_575fcc0f_352818c</vt:lpstr>
      <vt:lpstr>_vena_DYNR_SControleIndelingQRTSub_BB1_575fcc0f_3d30d5fb</vt:lpstr>
      <vt:lpstr>_vena_DYNR_SControleIndelingQRTSub_BB1_575fcc0f_3ea909db</vt:lpstr>
      <vt:lpstr>_vena_DYNR_SControleIndelingQRTSub_BB1_575fcc0f_3fceb1b5</vt:lpstr>
      <vt:lpstr>_vena_DYNR_SControleIndelingQRTSub_BB1_575fcc0f_4362f2c9</vt:lpstr>
      <vt:lpstr>_vena_DYNR_SControleIndelingQRTSub_BB1_575fcc0f_458fda26</vt:lpstr>
      <vt:lpstr>_vena_DYNR_SControleIndelingQRTSub_BB1_575fcc0f_4693a051</vt:lpstr>
      <vt:lpstr>_vena_DYNR_SControleIndelingQRTSub_BB1_575fcc0f_48a3b5e5</vt:lpstr>
      <vt:lpstr>_vena_DYNR_SControleIndelingQRTSub_BB1_575fcc0f_528eaffd</vt:lpstr>
      <vt:lpstr>_vena_DYNR_SControleIndelingQRTSub_BB1_575fcc0f_532c88e0</vt:lpstr>
      <vt:lpstr>_vena_DYNR_SControleIndelingQRTSub_BB1_575fcc0f_5e417afb</vt:lpstr>
      <vt:lpstr>_vena_DYNR_SControleIndelingQRTSub_BB1_575fcc0f_65499496</vt:lpstr>
      <vt:lpstr>_vena_DYNR_SControleIndelingQRTSub_BB1_575fcc0f_6695f733</vt:lpstr>
      <vt:lpstr>_vena_DYNR_SControleIndelingQRTSub_BB1_575fcc0f_68e13a63</vt:lpstr>
      <vt:lpstr>_vena_DYNR_SControleIndelingQRTSub_BB1_575fcc0f_6b1863e6</vt:lpstr>
      <vt:lpstr>_vena_DYNR_SControleIndelingQRTSub_BB1_575fcc0f_6d7edbdd</vt:lpstr>
      <vt:lpstr>_vena_DYNR_SControleIndelingQRTSub_BB1_575fcc0f_935b0a9a</vt:lpstr>
      <vt:lpstr>_vena_DYNR_SControleIndelingQRTSub_BB1_575fcc0f_961e9751</vt:lpstr>
      <vt:lpstr>_vena_DYNR_SControleIndelingQRTSub_BB1_575fcc0f_9de3531b</vt:lpstr>
      <vt:lpstr>_vena_DYNR_SControleIndelingQRTSub_BB1_575fcc0f_a10abc60</vt:lpstr>
      <vt:lpstr>_vena_DYNR_SControleIndelingQRTSub_BB1_575fcc0f_a21d1c2a</vt:lpstr>
      <vt:lpstr>_vena_DYNR_SControleIndelingQRTSub_BB1_575fcc0f_cb4645b6</vt:lpstr>
      <vt:lpstr>_vena_DYNR_SControleIndelingQRTSub_BB1_575fcc0f_cf23a773</vt:lpstr>
      <vt:lpstr>_vena_DYNR_SControleIndelingQRTSub_BB1_575fcc0f_d3ebe643</vt:lpstr>
      <vt:lpstr>_vena_DYNR_SControleIndelingQRTSub_BB1_575fcc0f_d820daf2</vt:lpstr>
      <vt:lpstr>_vena_DYNR_SControleIndelingQRTSub_BB1_575fcc0f_e4035817</vt:lpstr>
      <vt:lpstr>_vena_DYNR_SControleIndelingQRTSub_BB1_575fcc0f_ebded686</vt:lpstr>
      <vt:lpstr>_vena_DYNR_SControleIndelingQRTSub_BB1_575fcc0f_f3ea7214</vt:lpstr>
      <vt:lpstr>_vena_DYNR_SControleIndelingQRTSub_BB1_575fcc0f_f46fe958</vt:lpstr>
      <vt:lpstr>_vena_DYNR_SControleIndelingQRTSub_BB1_575fcc0f_f8f4f918</vt:lpstr>
      <vt:lpstr>_vena_DYNR_SControleIndelingQRTSub_BB1_73e5a69c</vt:lpstr>
      <vt:lpstr>_vena_DYNR_SControleIndelingQRTSub_BB1_73e5a69c_152b0c28</vt:lpstr>
      <vt:lpstr>_vena_DYNR_SControleIndelingQRTSub_BB1_73e5a69c_155ef897</vt:lpstr>
      <vt:lpstr>_vena_DYNR_SControleIndelingQRTSub_BB1_73e5a69c_18b06d53</vt:lpstr>
      <vt:lpstr>_vena_DYNR_SControleIndelingQRTSub_BB1_73e5a69c_1a55361f</vt:lpstr>
      <vt:lpstr>_vena_DYNR_SControleIndelingQRTSub_BB1_73e5a69c_1afb0c2c</vt:lpstr>
      <vt:lpstr>_vena_DYNR_SControleIndelingQRTSub_BB1_73e5a69c_1cf5ce71</vt:lpstr>
      <vt:lpstr>_vena_DYNR_SControleIndelingQRTSub_BB1_73e5a69c_1dd8fc6c</vt:lpstr>
      <vt:lpstr>_vena_DYNR_SControleIndelingQRTSub_BB1_73e5a69c_1fe6dd7f</vt:lpstr>
      <vt:lpstr>_vena_DYNR_SControleIndelingQRTSub_BB1_73e5a69c_240162a6</vt:lpstr>
      <vt:lpstr>_vena_DYNR_SControleIndelingQRTSub_BB1_73e5a69c_25ea7bc9</vt:lpstr>
      <vt:lpstr>_vena_DYNR_SControleIndelingQRTSub_BB1_73e5a69c_27183b09</vt:lpstr>
      <vt:lpstr>_vena_DYNR_SControleIndelingQRTSub_BB1_73e5a69c_2722dd53</vt:lpstr>
      <vt:lpstr>_vena_DYNR_SControleIndelingQRTSub_BB1_73e5a69c_2d15468f</vt:lpstr>
      <vt:lpstr>_vena_DYNR_SControleIndelingQRTSub_BB1_73e5a69c_2e9898e0</vt:lpstr>
      <vt:lpstr>_vena_DYNR_SControleIndelingQRTSub_BB1_73e5a69c_312ad704</vt:lpstr>
      <vt:lpstr>_vena_DYNR_SControleIndelingQRTSub_BB1_73e5a69c_365e4ed6</vt:lpstr>
      <vt:lpstr>_vena_DYNR_SControleIndelingQRTSub_BB1_73e5a69c_36af199f</vt:lpstr>
      <vt:lpstr>_vena_DYNR_SControleIndelingQRTSub_BB1_73e5a69c_38c6ddd5</vt:lpstr>
      <vt:lpstr>_vena_DYNR_SControleIndelingQRTSub_BB1_73e5a69c_3a2bead8</vt:lpstr>
      <vt:lpstr>_vena_DYNR_SControleIndelingQRTSub_BB1_73e5a69c_3d3afcd9</vt:lpstr>
      <vt:lpstr>_vena_DYNR_SControleIndelingQRTSub_BB1_73e5a69c_40f11808</vt:lpstr>
      <vt:lpstr>_vena_DYNR_SControleIndelingQRTSub_BB1_73e5a69c_42271e05</vt:lpstr>
      <vt:lpstr>_vena_DYNR_SControleIndelingQRTSub_BB1_73e5a69c_457df8fb</vt:lpstr>
      <vt:lpstr>_vena_DYNR_SControleIndelingQRTSub_BB1_73e5a69c_47e8da72</vt:lpstr>
      <vt:lpstr>_vena_DYNR_SControleIndelingQRTSub_BB1_73e5a69c_4901c310</vt:lpstr>
      <vt:lpstr>_vena_DYNR_SControleIndelingQRTSub_BB1_73e5a69c_4c87e6e7</vt:lpstr>
      <vt:lpstr>_vena_DYNR_SControleIndelingQRTSub_BB1_73e5a69c_5281090c</vt:lpstr>
      <vt:lpstr>_vena_DYNR_SControleIndelingQRTSub_BB1_73e5a69c_530673c2</vt:lpstr>
      <vt:lpstr>_vena_DYNR_SControleIndelingQRTSub_BB1_73e5a69c_53dc0f2a</vt:lpstr>
      <vt:lpstr>_vena_DYNR_SControleIndelingQRTSub_BB1_73e5a69c_56e3fcdf</vt:lpstr>
      <vt:lpstr>_vena_DYNR_SControleIndelingQRTSub_BB1_73e5a69c_5e762fda</vt:lpstr>
      <vt:lpstr>_vena_DYNR_SControleIndelingQRTSub_BB1_73e5a69c_63b5bb49</vt:lpstr>
      <vt:lpstr>_vena_DYNR_SControleIndelingQRTSub_BB1_73e5a69c_65263f2a</vt:lpstr>
      <vt:lpstr>_vena_DYNR_SControleIndelingQRTSub_BB1_73e5a69c_6b648b0c</vt:lpstr>
      <vt:lpstr>_vena_DYNR_SControleIndelingQRTSub_BB1_73e5a69c_6ceffb55</vt:lpstr>
      <vt:lpstr>_vena_DYNR_SControleIndelingQRTSub_BB1_73e5a69c_6d4c7bf5</vt:lpstr>
      <vt:lpstr>_vena_DYNR_SControleIndelingQRTSub_BB1_73e5a69c_75abc31f</vt:lpstr>
      <vt:lpstr>_vena_DYNR_SControleIndelingQRTSub_BB1_73e5a69c_7fe575e9</vt:lpstr>
      <vt:lpstr>_vena_DYNR_SControleIndelingQRTSub_BB1_73e5a69c_819173</vt:lpstr>
      <vt:lpstr>_vena_DYNR_SControleIndelingQRTSub_BB1_73e5a69c_82922c28</vt:lpstr>
      <vt:lpstr>_vena_DYNR_SControleIndelingQRTSub_BB1_73e5a69c_833fd690</vt:lpstr>
      <vt:lpstr>_vena_DYNR_SControleIndelingQRTSub_BB1_73e5a69c_86056c69</vt:lpstr>
      <vt:lpstr>_vena_DYNR_SControleIndelingQRTSub_BB1_73e5a69c_87a5c129</vt:lpstr>
      <vt:lpstr>_vena_DYNR_SControleIndelingQRTSub_BB1_73e5a69c_8a5836d9</vt:lpstr>
      <vt:lpstr>_vena_DYNR_SControleIndelingQRTSub_BB1_73e5a69c_94f01592</vt:lpstr>
      <vt:lpstr>_vena_DYNR_SControleIndelingQRTSub_BB1_73e5a69c_978eaa81</vt:lpstr>
      <vt:lpstr>_vena_DYNR_SControleIndelingQRTSub_BB1_73e5a69c_9fa1f583</vt:lpstr>
      <vt:lpstr>_vena_DYNR_SControleIndelingQRTSub_BB1_73e5a69c_a22b5dfe</vt:lpstr>
      <vt:lpstr>_vena_DYNR_SControleIndelingQRTSub_BB1_73e5a69c_a2469df3</vt:lpstr>
      <vt:lpstr>_vena_DYNR_SControleIndelingQRTSub_BB1_73e5a69c_a35c5e8a</vt:lpstr>
      <vt:lpstr>_vena_DYNR_SControleIndelingQRTSub_BB1_73e5a69c_a4b53719</vt:lpstr>
      <vt:lpstr>_vena_DYNR_SControleIndelingQRTSub_BB1_73e5a69c_a51a5bc8</vt:lpstr>
      <vt:lpstr>_vena_DYNR_SControleIndelingQRTSub_BB1_73e5a69c_a72b35f5</vt:lpstr>
      <vt:lpstr>_vena_DYNR_SControleIndelingQRTSub_BB1_73e5a69c_a7a035ad</vt:lpstr>
      <vt:lpstr>_vena_DYNR_SControleIndelingQRTSub_BB1_73e5a69c_acde77e8</vt:lpstr>
      <vt:lpstr>_vena_DYNR_SControleIndelingQRTSub_BB1_73e5a69c_b33305fa</vt:lpstr>
      <vt:lpstr>_vena_DYNR_SControleIndelingQRTSub_BB1_73e5a69c_b3596789</vt:lpstr>
      <vt:lpstr>_vena_DYNR_SControleIndelingQRTSub_BB1_73e5a69c_b8637d6e</vt:lpstr>
      <vt:lpstr>_vena_DYNR_SControleIndelingQRTSub_BB1_73e5a69c_bd82e06c</vt:lpstr>
      <vt:lpstr>_vena_DYNR_SControleIndelingQRTSub_BB1_73e5a69c_c06a580b</vt:lpstr>
      <vt:lpstr>_vena_DYNR_SControleIndelingQRTSub_BB1_73e5a69c_c7abd268</vt:lpstr>
      <vt:lpstr>_vena_DYNR_SControleIndelingQRTSub_BB1_73e5a69c_c888399a</vt:lpstr>
      <vt:lpstr>_vena_DYNR_SControleIndelingQRTSub_BB1_73e5a69c_cb044e64</vt:lpstr>
      <vt:lpstr>_vena_DYNR_SControleIndelingQRTSub_BB1_73e5a69c_cf898830</vt:lpstr>
      <vt:lpstr>_vena_DYNR_SControleIndelingQRTSub_BB1_73e5a69c_d4fa426e</vt:lpstr>
      <vt:lpstr>_vena_DYNR_SControleIndelingQRTSub_BB1_73e5a69c_dfb00bc</vt:lpstr>
      <vt:lpstr>_vena_DYNR_SControleIndelingQRTSub_BB1_73e5a69c_e079a01</vt:lpstr>
      <vt:lpstr>_vena_DYNR_SControleIndelingQRTSub_BB1_73e5a69c_e0fd4fa4</vt:lpstr>
      <vt:lpstr>_vena_DYNR_SControleIndelingQRTSub_BB1_73e5a69c_e7c85426</vt:lpstr>
      <vt:lpstr>_vena_DYNR_SControleIndelingQRTSub_BB1_73e5a69c_e8352fe3</vt:lpstr>
      <vt:lpstr>_vena_DYNR_SControleIndelingQRTSub_BB1_73e5a69c_e9baea72</vt:lpstr>
      <vt:lpstr>_vena_DYNR_SControleIndelingQRTSub_BB1_73e5a69c_ebd94083</vt:lpstr>
      <vt:lpstr>_vena_DYNR_SControleIndelingQRTSub_BB1_73e5a69c_edce41a6</vt:lpstr>
      <vt:lpstr>_vena_DYNR_SControleIndelingQRTSub_BB1_73e5a69c_ef391587</vt:lpstr>
      <vt:lpstr>_vena_DYNR_SControleIndelingQRTSub_BB1_73e5a69c_f53c98ab</vt:lpstr>
      <vt:lpstr>_vena_DYNR_SControleIndelingQRTSub_BB1_73e5a69c_f8ae3e37</vt:lpstr>
      <vt:lpstr>_vena_DYNR_SControleIndelingQRTSub_BB1_73e5a69c_f97b02ba</vt:lpstr>
      <vt:lpstr>_vena_DYNR_SControleIndelingQRTSub_BB1_73e5a69c_f9da927</vt:lpstr>
      <vt:lpstr>_vena_DYNR_SControleIndelingQRTSub_BB1_73e5a69c_fd874e70</vt:lpstr>
      <vt:lpstr>_vena_DYNR_SControleIndelingQRTSub_BB1_73e5a69c_fee90669</vt:lpstr>
      <vt:lpstr>_vena_DYNR_SControleIndelingQRTSub_BB1_73e5a69c_ff5a5d02</vt:lpstr>
      <vt:lpstr>_vena_DYNR_SControleIndelingQRTSub_BB1_93d18bb6</vt:lpstr>
      <vt:lpstr>_vena_DYNR_SControleIndelingQRTSub_BB1_93d18bb6_638bb6e5</vt:lpstr>
      <vt:lpstr>_vena_DYNR_SControleIndelingQRTSub_BB1_93d18bb6_a89be8d9</vt:lpstr>
      <vt:lpstr>_vena_DYNR_SControleIndelingQRTSub_BB1_ef97b077</vt:lpstr>
      <vt:lpstr>_vena_DYNR_SControleIndelingQRTSub_BB1_ef97b077_14ba3aaa</vt:lpstr>
      <vt:lpstr>_vena_DYNR_SControleIndelingQRTSub_BB1_ef97b077_2440368</vt:lpstr>
      <vt:lpstr>_vena_DYNR_SControleIndelingQRTSub_BB1_ef97b077_2897029e</vt:lpstr>
      <vt:lpstr>_vena_DYNR_SControleIndelingQRTSub_BB1_ef97b077_2d3de437</vt:lpstr>
      <vt:lpstr>_vena_DYNR_SControleIndelingQRTSub_BB1_ef97b077_2d6bab</vt:lpstr>
      <vt:lpstr>_vena_DYNR_SControleIndelingQRTSub_BB1_ef97b077_322b19c2</vt:lpstr>
      <vt:lpstr>_vena_DYNR_SControleIndelingQRTSub_BB1_ef97b077_3be2c596</vt:lpstr>
      <vt:lpstr>_vena_DYNR_SControleIndelingQRTSub_BB1_ef97b077_3dc19cb0</vt:lpstr>
      <vt:lpstr>_vena_DYNR_SControleIndelingQRTSub_BB1_ef97b077_40bed74e</vt:lpstr>
      <vt:lpstr>_vena_DYNR_SControleIndelingQRTSub_BB1_ef97b077_426bc939</vt:lpstr>
      <vt:lpstr>_vena_DYNR_SControleIndelingQRTSub_BB1_ef97b077_45b36316</vt:lpstr>
      <vt:lpstr>_vena_DYNR_SControleIndelingQRTSub_BB1_ef97b077_4d8d290d</vt:lpstr>
      <vt:lpstr>_vena_DYNR_SControleIndelingQRTSub_BB1_ef97b077_4e177656</vt:lpstr>
      <vt:lpstr>_vena_DYNR_SControleIndelingQRTSub_BB1_ef97b077_5ac64a40</vt:lpstr>
      <vt:lpstr>_vena_DYNR_SControleIndelingQRTSub_BB1_ef97b077_6d709e6e</vt:lpstr>
      <vt:lpstr>_vena_DYNR_SControleIndelingQRTSub_BB1_ef97b077_6f73b04f</vt:lpstr>
      <vt:lpstr>_vena_DYNR_SControleIndelingQRTSub_BB1_ef97b077_7471da9b</vt:lpstr>
      <vt:lpstr>_vena_DYNR_SControleIndelingQRTSub_BB1_ef97b077_779b83da</vt:lpstr>
      <vt:lpstr>_vena_DYNR_SControleIndelingQRTSub_BB1_ef97b077_7b0b0cbd</vt:lpstr>
      <vt:lpstr>_vena_DYNR_SControleIndelingQRTSub_BB1_ef97b077_80672c79</vt:lpstr>
      <vt:lpstr>_vena_DYNR_SControleIndelingQRTSub_BB1_ef97b077_81f9e769</vt:lpstr>
      <vt:lpstr>_vena_DYNR_SControleIndelingQRTSub_BB1_ef97b077_869be74d</vt:lpstr>
      <vt:lpstr>_vena_DYNR_SControleIndelingQRTSub_BB1_ef97b077_872b8a78</vt:lpstr>
      <vt:lpstr>_vena_DYNR_SControleIndelingQRTSub_BB1_ef97b077_a766180e</vt:lpstr>
      <vt:lpstr>_vena_DYNR_SControleIndelingQRTSub_BB1_ef97b077_a972a980</vt:lpstr>
      <vt:lpstr>_vena_DYNR_SControleIndelingQRTSub_BB1_ef97b077_b009750b</vt:lpstr>
      <vt:lpstr>_vena_DYNR_SControleIndelingQRTSub_BB1_ef97b077_de87f421</vt:lpstr>
      <vt:lpstr>_vena_DYNR_SControleIndelingQRTSub_BB1_ef97b077_f286b0d</vt:lpstr>
      <vt:lpstr>_vena_DYNR_SControleIndelingQRTSub_BB1_ef97b077_f353d6e6</vt:lpstr>
      <vt:lpstr>_vena_DYNR_SControleIndelingQRTSub_BB1_ef97b077_f7561244</vt:lpstr>
      <vt:lpstr>_vena_DYNR_SControleIndelingQRTSub_BB1_ef97b077_f9a1b0f9</vt:lpstr>
      <vt:lpstr>_vena_DYNR_SInputModelpuntInfo1_BB1_7af2b78c</vt:lpstr>
      <vt:lpstr>_vena_DYNR_SInputModelpuntInfo1_BB1_7af2b78c_10376c69</vt:lpstr>
      <vt:lpstr>_vena_DYNR_SInputModelpuntInfo1_BB1_7af2b78c_1066315c</vt:lpstr>
      <vt:lpstr>_vena_DYNR_SInputModelpuntInfo1_BB1_7af2b78c_122c4455</vt:lpstr>
      <vt:lpstr>_vena_DYNR_SInputModelpuntInfo1_BB1_7af2b78c_124b40ac</vt:lpstr>
      <vt:lpstr>_vena_DYNR_SInputModelpuntInfo1_BB1_7af2b78c_13223c9a</vt:lpstr>
      <vt:lpstr>_vena_DYNR_SInputModelpuntInfo1_BB1_7af2b78c_13d6ec96</vt:lpstr>
      <vt:lpstr>_vena_DYNR_SInputModelpuntInfo1_BB1_7af2b78c_141c1f5d</vt:lpstr>
      <vt:lpstr>_vena_DYNR_SInputModelpuntInfo1_BB1_7af2b78c_14b9563c</vt:lpstr>
      <vt:lpstr>_vena_DYNR_SInputModelpuntInfo1_BB1_7af2b78c_1527227</vt:lpstr>
      <vt:lpstr>_vena_DYNR_SInputModelpuntInfo1_BB1_7af2b78c_156511d8</vt:lpstr>
      <vt:lpstr>_vena_DYNR_SInputModelpuntInfo1_BB1_7af2b78c_158fa84e</vt:lpstr>
      <vt:lpstr>_vena_DYNR_SInputModelpuntInfo1_BB1_7af2b78c_15a05a59</vt:lpstr>
      <vt:lpstr>_vena_DYNR_SInputModelpuntInfo1_BB1_7af2b78c_15fa60b8</vt:lpstr>
      <vt:lpstr>_vena_DYNR_SInputModelpuntInfo1_BB1_7af2b78c_163ff544</vt:lpstr>
      <vt:lpstr>_vena_DYNR_SInputModelpuntInfo1_BB1_7af2b78c_16e70cfd</vt:lpstr>
      <vt:lpstr>_vena_DYNR_SInputModelpuntInfo1_BB1_7af2b78c_16ec5366</vt:lpstr>
      <vt:lpstr>_vena_DYNR_SInputModelpuntInfo1_BB1_7af2b78c_19a73b4e</vt:lpstr>
      <vt:lpstr>_vena_DYNR_SInputModelpuntInfo1_BB1_7af2b78c_1a3ffb1</vt:lpstr>
      <vt:lpstr>_vena_DYNR_SInputModelpuntInfo1_BB1_7af2b78c_1a4bd38c</vt:lpstr>
      <vt:lpstr>_vena_DYNR_SInputModelpuntInfo1_BB1_7af2b78c_1a950041</vt:lpstr>
      <vt:lpstr>_vena_DYNR_SInputModelpuntInfo1_BB1_7af2b78c_1b17b281</vt:lpstr>
      <vt:lpstr>_vena_DYNR_SInputModelpuntInfo1_BB1_7af2b78c_1b761964</vt:lpstr>
      <vt:lpstr>_vena_DYNR_SInputModelpuntInfo1_BB1_7af2b78c_1cf792d0</vt:lpstr>
      <vt:lpstr>_vena_DYNR_SInputModelpuntInfo1_BB1_7af2b78c_1d2aac38</vt:lpstr>
      <vt:lpstr>_vena_DYNR_SInputModelpuntInfo1_BB1_7af2b78c_1d6f7f8</vt:lpstr>
      <vt:lpstr>_vena_DYNR_SInputModelpuntInfo1_BB1_7af2b78c_1d705d07</vt:lpstr>
      <vt:lpstr>_vena_DYNR_SInputModelpuntInfo1_BB1_7af2b78c_1d73c11f</vt:lpstr>
      <vt:lpstr>_vena_DYNR_SInputModelpuntInfo1_BB1_7af2b78c_1de07466</vt:lpstr>
      <vt:lpstr>_vena_DYNR_SInputModelpuntInfo1_BB1_7af2b78c_1e26ad</vt:lpstr>
      <vt:lpstr>_vena_DYNR_SInputModelpuntInfo1_BB1_7af2b78c_1e282bf9</vt:lpstr>
      <vt:lpstr>_vena_DYNR_SInputModelpuntInfo1_BB1_7af2b78c_1fd3daf3</vt:lpstr>
      <vt:lpstr>_vena_DYNR_SInputModelpuntInfo1_BB1_7af2b78c_20c87ab</vt:lpstr>
      <vt:lpstr>_vena_DYNR_SInputModelpuntInfo1_BB1_7af2b78c_20e8067e</vt:lpstr>
      <vt:lpstr>_vena_DYNR_SInputModelpuntInfo1_BB1_7af2b78c_217040ae</vt:lpstr>
      <vt:lpstr>_vena_DYNR_SInputModelpuntInfo1_BB1_7af2b78c_21b23683</vt:lpstr>
      <vt:lpstr>_vena_DYNR_SInputModelpuntInfo1_BB1_7af2b78c_21c0aa3a</vt:lpstr>
      <vt:lpstr>_vena_DYNR_SInputModelpuntInfo1_BB1_7af2b78c_21f098f2</vt:lpstr>
      <vt:lpstr>_vena_DYNR_SInputModelpuntInfo1_BB1_7af2b78c_2238c42e</vt:lpstr>
      <vt:lpstr>_vena_DYNR_SInputModelpuntInfo1_BB1_7af2b78c_2315a54e</vt:lpstr>
      <vt:lpstr>_vena_DYNR_SInputModelpuntInfo1_BB1_7af2b78c_235da68e</vt:lpstr>
      <vt:lpstr>_vena_DYNR_SInputModelpuntInfo1_BB1_7af2b78c_2426c1f9</vt:lpstr>
      <vt:lpstr>_vena_DYNR_SInputModelpuntInfo1_BB1_7af2b78c_25b66b07</vt:lpstr>
      <vt:lpstr>_vena_DYNR_SInputModelpuntInfo1_BB1_7af2b78c_263444c0</vt:lpstr>
      <vt:lpstr>_vena_DYNR_SInputModelpuntInfo1_BB1_7af2b78c_26fc4bf3</vt:lpstr>
      <vt:lpstr>_vena_DYNR_SInputModelpuntInfo1_BB1_7af2b78c_27c86560</vt:lpstr>
      <vt:lpstr>_vena_DYNR_SInputModelpuntInfo1_BB1_7af2b78c_2806efb2</vt:lpstr>
      <vt:lpstr>_vena_DYNR_SInputModelpuntInfo1_BB1_7af2b78c_28799135</vt:lpstr>
      <vt:lpstr>_vena_DYNR_SInputModelpuntInfo1_BB1_7af2b78c_297ece07</vt:lpstr>
      <vt:lpstr>_vena_DYNR_SInputModelpuntInfo1_BB1_7af2b78c_299b4dd2</vt:lpstr>
      <vt:lpstr>_vena_DYNR_SInputModelpuntInfo1_BB1_7af2b78c_2a1d1b8</vt:lpstr>
      <vt:lpstr>_vena_DYNR_SInputModelpuntInfo1_BB1_7af2b78c_2a2433ba</vt:lpstr>
      <vt:lpstr>_vena_DYNR_SInputModelpuntInfo1_BB1_7af2b78c_2b4e96af</vt:lpstr>
      <vt:lpstr>_vena_DYNR_SInputModelpuntInfo1_BB1_7af2b78c_2b9d2055</vt:lpstr>
      <vt:lpstr>_vena_DYNR_SInputModelpuntInfo1_BB1_7af2b78c_2bc9f73a</vt:lpstr>
      <vt:lpstr>_vena_DYNR_SInputModelpuntInfo1_BB1_7af2b78c_2c096a73</vt:lpstr>
      <vt:lpstr>_vena_DYNR_SInputModelpuntInfo1_BB1_7af2b78c_2c5062b2</vt:lpstr>
      <vt:lpstr>_vena_DYNR_SInputModelpuntInfo1_BB1_7af2b78c_2d453a75</vt:lpstr>
      <vt:lpstr>_vena_DYNR_SInputModelpuntInfo1_BB1_7af2b78c_2dad6510</vt:lpstr>
      <vt:lpstr>_vena_DYNR_SInputModelpuntInfo1_BB1_7af2b78c_2dc82052</vt:lpstr>
      <vt:lpstr>_vena_DYNR_SInputModelpuntInfo1_BB1_7af2b78c_2eec074b</vt:lpstr>
      <vt:lpstr>_vena_DYNR_SInputModelpuntInfo1_BB1_7af2b78c_303f13e7</vt:lpstr>
      <vt:lpstr>_vena_DYNR_SInputModelpuntInfo1_BB1_7af2b78c_30a6f92f</vt:lpstr>
      <vt:lpstr>_vena_DYNR_SInputModelpuntInfo1_BB1_7af2b78c_316e0057</vt:lpstr>
      <vt:lpstr>_vena_DYNR_SInputModelpuntInfo1_BB1_7af2b78c_3276edc4</vt:lpstr>
      <vt:lpstr>_vena_DYNR_SInputModelpuntInfo1_BB1_7af2b78c_3323737</vt:lpstr>
      <vt:lpstr>_vena_DYNR_SInputModelpuntInfo1_BB1_7af2b78c_332a0793</vt:lpstr>
      <vt:lpstr>_vena_DYNR_SInputModelpuntInfo1_BB1_7af2b78c_33f1571e</vt:lpstr>
      <vt:lpstr>_vena_DYNR_SInputModelpuntInfo1_BB1_7af2b78c_3509869b</vt:lpstr>
      <vt:lpstr>_vena_DYNR_SInputModelpuntInfo1_BB1_7af2b78c_357f2a9b</vt:lpstr>
      <vt:lpstr>_vena_DYNR_SInputModelpuntInfo1_BB1_7af2b78c_358b6202</vt:lpstr>
      <vt:lpstr>_vena_DYNR_SInputModelpuntInfo1_BB1_7af2b78c_3617e6bd</vt:lpstr>
      <vt:lpstr>_vena_DYNR_SInputModelpuntInfo1_BB1_7af2b78c_375c6ce9</vt:lpstr>
      <vt:lpstr>_vena_DYNR_SInputModelpuntInfo1_BB1_7af2b78c_39730f21</vt:lpstr>
      <vt:lpstr>_vena_DYNR_SInputModelpuntInfo1_BB1_7af2b78c_3a23ae4f</vt:lpstr>
      <vt:lpstr>_vena_DYNR_SInputModelpuntInfo1_BB1_7af2b78c_3ac0f2c4</vt:lpstr>
      <vt:lpstr>_vena_DYNR_SInputModelpuntInfo1_BB1_7af2b78c_3b5826dd</vt:lpstr>
      <vt:lpstr>_vena_DYNR_SInputModelpuntInfo1_BB1_7af2b78c_3f7f8780</vt:lpstr>
      <vt:lpstr>_vena_DYNR_SInputModelpuntInfo1_BB1_7af2b78c_408d9e8a</vt:lpstr>
      <vt:lpstr>_vena_DYNR_SInputModelpuntInfo1_BB1_7af2b78c_40e2aa9e</vt:lpstr>
      <vt:lpstr>_vena_DYNR_SInputModelpuntInfo1_BB1_7af2b78c_41447330</vt:lpstr>
      <vt:lpstr>_vena_DYNR_SInputModelpuntInfo1_BB1_7af2b78c_417b0609</vt:lpstr>
      <vt:lpstr>_vena_DYNR_SInputModelpuntInfo1_BB1_7af2b78c_41d9db88</vt:lpstr>
      <vt:lpstr>_vena_DYNR_SInputModelpuntInfo1_BB1_7af2b78c_4219ef74</vt:lpstr>
      <vt:lpstr>_vena_DYNR_SInputModelpuntInfo1_BB1_7af2b78c_4233fc7c</vt:lpstr>
      <vt:lpstr>_vena_DYNR_SInputModelpuntInfo1_BB1_7af2b78c_42db50a9</vt:lpstr>
      <vt:lpstr>_vena_DYNR_SInputModelpuntInfo1_BB1_7af2b78c_43abef9e</vt:lpstr>
      <vt:lpstr>_vena_DYNR_SInputModelpuntInfo1_BB1_7af2b78c_43ef4016</vt:lpstr>
      <vt:lpstr>_vena_DYNR_SInputModelpuntInfo1_BB1_7af2b78c_44531216</vt:lpstr>
      <vt:lpstr>_vena_DYNR_SInputModelpuntInfo1_BB1_7af2b78c_447362f3</vt:lpstr>
      <vt:lpstr>_vena_DYNR_SInputModelpuntInfo1_BB1_7af2b78c_44a949ae</vt:lpstr>
      <vt:lpstr>_vena_DYNR_SInputModelpuntInfo1_BB1_7af2b78c_45aebe13</vt:lpstr>
      <vt:lpstr>_vena_DYNR_SInputModelpuntInfo1_BB1_7af2b78c_46d64a03</vt:lpstr>
      <vt:lpstr>_vena_DYNR_SInputModelpuntInfo1_BB1_7af2b78c_480b3647</vt:lpstr>
      <vt:lpstr>_vena_DYNR_SInputModelpuntInfo1_BB1_7af2b78c_489f3b22</vt:lpstr>
      <vt:lpstr>_vena_DYNR_SInputModelpuntInfo1_BB1_7af2b78c_490bf570</vt:lpstr>
      <vt:lpstr>_vena_DYNR_SInputModelpuntInfo1_BB1_7af2b78c_49ac311f</vt:lpstr>
      <vt:lpstr>_vena_DYNR_SInputModelpuntInfo1_BB1_7af2b78c_4a31444e</vt:lpstr>
      <vt:lpstr>_vena_DYNR_SInputModelpuntInfo1_BB1_7af2b78c_4a726d7b</vt:lpstr>
      <vt:lpstr>_vena_DYNR_SInputModelpuntInfo1_BB1_7af2b78c_4b9ff0df</vt:lpstr>
      <vt:lpstr>_vena_DYNR_SInputModelpuntInfo1_BB1_7af2b78c_4bec3792</vt:lpstr>
      <vt:lpstr>_vena_DYNR_SInputModelpuntInfo1_BB1_7af2b78c_4c4c7c17</vt:lpstr>
      <vt:lpstr>_vena_DYNR_SInputModelpuntInfo1_BB1_7af2b78c_4d4de08f</vt:lpstr>
      <vt:lpstr>_vena_DYNR_SInputModelpuntInfo1_BB1_7af2b78c_4da14c1c</vt:lpstr>
      <vt:lpstr>_vena_DYNR_SInputModelpuntInfo1_BB1_7af2b78c_4eb5f380</vt:lpstr>
      <vt:lpstr>_vena_DYNR_SInputModelpuntInfo1_BB1_7af2b78c_4ed321f3</vt:lpstr>
      <vt:lpstr>_vena_DYNR_SInputModelpuntInfo1_BB1_7af2b78c_4f3a8059</vt:lpstr>
      <vt:lpstr>_vena_DYNR_SInputModelpuntInfo1_BB1_7af2b78c_50044a1e</vt:lpstr>
      <vt:lpstr>_vena_DYNR_SInputModelpuntInfo1_BB1_7af2b78c_50106431</vt:lpstr>
      <vt:lpstr>_vena_DYNR_SInputModelpuntInfo1_BB1_7af2b78c_514bacac</vt:lpstr>
      <vt:lpstr>_vena_DYNR_SInputModelpuntInfo1_BB1_7af2b78c_517cb76f</vt:lpstr>
      <vt:lpstr>_vena_DYNR_SInputModelpuntInfo1_BB1_7af2b78c_51e4ffd6</vt:lpstr>
      <vt:lpstr>_vena_DYNR_SInputModelpuntInfo1_BB1_7af2b78c_5202a54b</vt:lpstr>
      <vt:lpstr>_vena_DYNR_SInputModelpuntInfo1_BB1_7af2b78c_52066165</vt:lpstr>
      <vt:lpstr>_vena_DYNR_SInputModelpuntInfo1_BB1_7af2b78c_5241bdc4</vt:lpstr>
      <vt:lpstr>_vena_DYNR_SInputModelpuntInfo1_BB1_7af2b78c_53936284</vt:lpstr>
      <vt:lpstr>_vena_DYNR_SInputModelpuntInfo1_BB1_7af2b78c_5448a1cc</vt:lpstr>
      <vt:lpstr>_vena_DYNR_SInputModelpuntInfo1_BB1_7af2b78c_54a92ab4</vt:lpstr>
      <vt:lpstr>_vena_DYNR_SInputModelpuntInfo1_BB1_7af2b78c_54f7c132</vt:lpstr>
      <vt:lpstr>_vena_DYNR_SInputModelpuntInfo1_BB1_7af2b78c_57d61be9</vt:lpstr>
      <vt:lpstr>_vena_DYNR_SInputModelpuntInfo1_BB1_7af2b78c_5838bce3</vt:lpstr>
      <vt:lpstr>_vena_DYNR_SInputModelpuntInfo1_BB1_7af2b78c_58515432</vt:lpstr>
      <vt:lpstr>_vena_DYNR_SInputModelpuntInfo1_BB1_7af2b78c_5ab3375</vt:lpstr>
      <vt:lpstr>_vena_DYNR_SInputModelpuntInfo1_BB1_7af2b78c_5b2a9532</vt:lpstr>
      <vt:lpstr>_vena_DYNR_SInputModelpuntInfo1_BB1_7af2b78c_5bd6cc25</vt:lpstr>
      <vt:lpstr>_vena_DYNR_SInputModelpuntInfo1_BB1_7af2b78c_5c62c123</vt:lpstr>
      <vt:lpstr>_vena_DYNR_SInputModelpuntInfo1_BB1_7af2b78c_5c6c5f8e</vt:lpstr>
      <vt:lpstr>_vena_DYNR_SInputModelpuntInfo1_BB1_7af2b78c_5d064de5</vt:lpstr>
      <vt:lpstr>_vena_DYNR_SInputModelpuntInfo1_BB1_7af2b78c_5da8136b</vt:lpstr>
      <vt:lpstr>_vena_DYNR_SInputModelpuntInfo1_BB1_7af2b78c_5dc40ff7</vt:lpstr>
      <vt:lpstr>_vena_DYNR_SInputModelpuntInfo1_BB1_7af2b78c_5e2433d2</vt:lpstr>
      <vt:lpstr>_vena_DYNR_SInputModelpuntInfo1_BB1_7af2b78c_5f23a7f3</vt:lpstr>
      <vt:lpstr>_vena_DYNR_SInputModelpuntInfo1_BB1_7af2b78c_5f6430c8</vt:lpstr>
      <vt:lpstr>_vena_DYNR_SInputModelpuntInfo1_BB1_7af2b78c_6073e441</vt:lpstr>
      <vt:lpstr>_vena_DYNR_SInputModelpuntInfo1_BB1_7af2b78c_607bf028</vt:lpstr>
      <vt:lpstr>_vena_DYNR_SInputModelpuntInfo1_BB1_7af2b78c_607f922e</vt:lpstr>
      <vt:lpstr>_vena_DYNR_SInputModelpuntInfo1_BB1_7af2b78c_60c7ef80</vt:lpstr>
      <vt:lpstr>_vena_DYNR_SInputModelpuntInfo1_BB1_7af2b78c_62741998</vt:lpstr>
      <vt:lpstr>_vena_DYNR_SInputModelpuntInfo1_BB1_7af2b78c_63196644</vt:lpstr>
      <vt:lpstr>_vena_DYNR_SInputModelpuntInfo1_BB1_7af2b78c_6343145c</vt:lpstr>
      <vt:lpstr>_vena_DYNR_SInputModelpuntInfo1_BB1_7af2b78c_64c0efdb</vt:lpstr>
      <vt:lpstr>_vena_DYNR_SInputModelpuntInfo1_BB1_7af2b78c_65fcc7c8</vt:lpstr>
      <vt:lpstr>_vena_DYNR_SInputModelpuntInfo1_BB1_7af2b78c_668364fa</vt:lpstr>
      <vt:lpstr>_vena_DYNR_SInputModelpuntInfo1_BB1_7af2b78c_66ba24b7</vt:lpstr>
      <vt:lpstr>_vena_DYNR_SInputModelpuntInfo1_BB1_7af2b78c_66c9b79</vt:lpstr>
      <vt:lpstr>_vena_DYNR_SInputModelpuntInfo1_BB1_7af2b78c_673734e6</vt:lpstr>
      <vt:lpstr>_vena_DYNR_SInputModelpuntInfo1_BB1_7af2b78c_69107471</vt:lpstr>
      <vt:lpstr>_vena_DYNR_SInputModelpuntInfo1_BB1_7af2b78c_6965660c</vt:lpstr>
      <vt:lpstr>_vena_DYNR_SInputModelpuntInfo1_BB1_7af2b78c_6a72fe3e</vt:lpstr>
      <vt:lpstr>_vena_DYNR_SInputModelpuntInfo1_BB1_7af2b78c_6bd2c477</vt:lpstr>
      <vt:lpstr>_vena_DYNR_SInputModelpuntInfo1_BB1_7af2b78c_6bf1f88d</vt:lpstr>
      <vt:lpstr>_vena_DYNR_SInputModelpuntInfo1_BB1_7af2b78c_6c6f5f8c</vt:lpstr>
      <vt:lpstr>_vena_DYNR_SInputModelpuntInfo1_BB1_7af2b78c_6ca35fe9</vt:lpstr>
      <vt:lpstr>_vena_DYNR_SInputModelpuntInfo1_BB1_7af2b78c_6d92e96e</vt:lpstr>
      <vt:lpstr>_vena_DYNR_SInputModelpuntInfo1_BB1_7af2b78c_6e36f813</vt:lpstr>
      <vt:lpstr>_vena_DYNR_SInputModelpuntInfo1_BB1_7af2b78c_6e459a87</vt:lpstr>
      <vt:lpstr>_vena_DYNR_SInputModelpuntInfo1_BB1_7af2b78c_6f390871</vt:lpstr>
      <vt:lpstr>_vena_DYNR_SInputModelpuntInfo1_BB1_7af2b78c_6fcdfa84</vt:lpstr>
      <vt:lpstr>_vena_DYNR_SInputModelpuntInfo1_BB1_7af2b78c_706972e7</vt:lpstr>
      <vt:lpstr>_vena_DYNR_SInputModelpuntInfo1_BB1_7af2b78c_7078e9fe</vt:lpstr>
      <vt:lpstr>_vena_DYNR_SInputModelpuntInfo1_BB1_7af2b78c_718a6846</vt:lpstr>
      <vt:lpstr>_vena_DYNR_SInputModelpuntInfo1_BB1_7af2b78c_719a244d</vt:lpstr>
      <vt:lpstr>_vena_DYNR_SInputModelpuntInfo1_BB1_7af2b78c_74e86412</vt:lpstr>
      <vt:lpstr>_vena_DYNR_SInputModelpuntInfo1_BB1_7af2b78c_7574af6c</vt:lpstr>
      <vt:lpstr>_vena_DYNR_SInputModelpuntInfo1_BB1_7af2b78c_7587d742</vt:lpstr>
      <vt:lpstr>_vena_DYNR_SInputModelpuntInfo1_BB1_7af2b78c_76be75e7</vt:lpstr>
      <vt:lpstr>_vena_DYNR_SInputModelpuntInfo1_BB1_7af2b78c_776ae59a</vt:lpstr>
      <vt:lpstr>_vena_DYNR_SInputModelpuntInfo1_BB1_7af2b78c_7777dd0</vt:lpstr>
      <vt:lpstr>_vena_DYNR_SInputModelpuntInfo1_BB1_7af2b78c_78207bca</vt:lpstr>
      <vt:lpstr>_vena_DYNR_SInputModelpuntInfo1_BB1_7af2b78c_78e12b64</vt:lpstr>
      <vt:lpstr>_vena_DYNR_SInputModelpuntInfo1_BB1_7af2b78c_7985c8d9</vt:lpstr>
      <vt:lpstr>_vena_DYNR_SInputModelpuntInfo1_BB1_7af2b78c_79f5f729</vt:lpstr>
      <vt:lpstr>_vena_DYNR_SInputModelpuntInfo1_BB1_7af2b78c_7acabcf0</vt:lpstr>
      <vt:lpstr>_vena_DYNR_SInputModelpuntInfo1_BB1_7af2b78c_7b8bb425</vt:lpstr>
      <vt:lpstr>_vena_DYNR_SInputModelpuntInfo1_BB1_7af2b78c_7bb5d0cf</vt:lpstr>
      <vt:lpstr>_vena_DYNR_SInputModelpuntInfo1_BB1_7af2b78c_7ce69b47</vt:lpstr>
      <vt:lpstr>_vena_DYNR_SInputModelpuntInfo1_BB1_7af2b78c_7ddcdee9</vt:lpstr>
      <vt:lpstr>_vena_DYNR_SInputModelpuntInfo1_BB1_7af2b78c_7eb0329c</vt:lpstr>
      <vt:lpstr>_vena_DYNR_SInputModelpuntInfo1_BB1_7af2b78c_7f2ff8f7</vt:lpstr>
      <vt:lpstr>_vena_DYNR_SInputModelpuntInfo1_BB1_7af2b78c_7f9440d6</vt:lpstr>
      <vt:lpstr>_vena_DYNR_SInputModelpuntInfo1_BB1_7af2b78c_7fe2819c</vt:lpstr>
      <vt:lpstr>_vena_DYNR_SInputModelpuntInfo1_BB1_7af2b78c_8165a140</vt:lpstr>
      <vt:lpstr>_vena_DYNR_SInputModelpuntInfo1_BB1_7af2b78c_82155a84</vt:lpstr>
      <vt:lpstr>_vena_DYNR_SInputModelpuntInfo1_BB1_7af2b78c_83864706</vt:lpstr>
      <vt:lpstr>_vena_DYNR_SInputModelpuntInfo1_BB1_7af2b78c_8437574b</vt:lpstr>
      <vt:lpstr>_vena_DYNR_SInputModelpuntInfo1_BB1_7af2b78c_84b5aca8</vt:lpstr>
      <vt:lpstr>_vena_DYNR_SInputModelpuntInfo1_BB1_7af2b78c_84d4e67d</vt:lpstr>
      <vt:lpstr>_vena_DYNR_SInputModelpuntInfo1_BB1_7af2b78c_84e04f33</vt:lpstr>
      <vt:lpstr>_vena_DYNR_SInputModelpuntInfo1_BB1_7af2b78c_863bf9b5</vt:lpstr>
      <vt:lpstr>_vena_DYNR_SInputModelpuntInfo1_BB1_7af2b78c_8681d1a7</vt:lpstr>
      <vt:lpstr>_vena_DYNR_SInputModelpuntInfo1_BB1_7af2b78c_8688aa29</vt:lpstr>
      <vt:lpstr>_vena_DYNR_SInputModelpuntInfo1_BB1_7af2b78c_87070f9f</vt:lpstr>
      <vt:lpstr>_vena_DYNR_SInputModelpuntInfo1_BB1_7af2b78c_872058de</vt:lpstr>
      <vt:lpstr>_vena_DYNR_SInputModelpuntInfo1_BB1_7af2b78c_89503044</vt:lpstr>
      <vt:lpstr>_vena_DYNR_SInputModelpuntInfo1_BB1_7af2b78c_8990ea9a</vt:lpstr>
      <vt:lpstr>_vena_DYNR_SInputModelpuntInfo1_BB1_7af2b78c_89c2026f</vt:lpstr>
      <vt:lpstr>_vena_DYNR_SInputModelpuntInfo1_BB1_7af2b78c_89d8276f</vt:lpstr>
      <vt:lpstr>_vena_DYNR_SInputModelpuntInfo1_BB1_7af2b78c_8a0b9a72</vt:lpstr>
      <vt:lpstr>_vena_DYNR_SInputModelpuntInfo1_BB1_7af2b78c_8b2b5c54</vt:lpstr>
      <vt:lpstr>_vena_DYNR_SInputModelpuntInfo1_BB1_7af2b78c_8b7b818a</vt:lpstr>
      <vt:lpstr>_vena_DYNR_SInputModelpuntInfo1_BB1_7af2b78c_8c1a27aa</vt:lpstr>
      <vt:lpstr>_vena_DYNR_SInputModelpuntInfo1_BB1_7af2b78c_8d34825d</vt:lpstr>
      <vt:lpstr>_vena_DYNR_SInputModelpuntInfo1_BB1_7af2b78c_8de453f5</vt:lpstr>
      <vt:lpstr>_vena_DYNR_SInputModelpuntInfo1_BB1_7af2b78c_8e57c3be</vt:lpstr>
      <vt:lpstr>_vena_DYNR_SInputModelpuntInfo1_BB1_7af2b78c_8fb6878e</vt:lpstr>
      <vt:lpstr>_vena_DYNR_SInputModelpuntInfo1_BB1_7af2b78c_8fe50313</vt:lpstr>
      <vt:lpstr>_vena_DYNR_SInputModelpuntInfo1_BB1_7af2b78c_90087e5f</vt:lpstr>
      <vt:lpstr>_vena_DYNR_SInputModelpuntInfo1_BB1_7af2b78c_90f3840c</vt:lpstr>
      <vt:lpstr>_vena_DYNR_SInputModelpuntInfo1_BB1_7af2b78c_92dac029</vt:lpstr>
      <vt:lpstr>_vena_DYNR_SInputModelpuntInfo1_BB1_7af2b78c_92f7e0a1</vt:lpstr>
      <vt:lpstr>_vena_DYNR_SInputModelpuntInfo1_BB1_7af2b78c_94263657</vt:lpstr>
      <vt:lpstr>_vena_DYNR_SInputModelpuntInfo1_BB1_7af2b78c_94975d12</vt:lpstr>
      <vt:lpstr>_vena_DYNR_SInputModelpuntInfo1_BB1_7af2b78c_94d06a50</vt:lpstr>
      <vt:lpstr>_vena_DYNR_SInputModelpuntInfo1_BB1_7af2b78c_95eaa4c8</vt:lpstr>
      <vt:lpstr>_vena_DYNR_SInputModelpuntInfo1_BB1_7af2b78c_961c3d2e</vt:lpstr>
      <vt:lpstr>_vena_DYNR_SInputModelpuntInfo1_BB1_7af2b78c_9887b7c5</vt:lpstr>
      <vt:lpstr>_vena_DYNR_SInputModelpuntInfo1_BB1_7af2b78c_98bada2d</vt:lpstr>
      <vt:lpstr>_vena_DYNR_SInputModelpuntInfo1_BB1_7af2b78c_992ee22e</vt:lpstr>
      <vt:lpstr>_vena_DYNR_SInputModelpuntInfo1_BB1_7af2b78c_9a08e31a</vt:lpstr>
      <vt:lpstr>_vena_DYNR_SInputModelpuntInfo1_BB1_7af2b78c_9aaa71d1</vt:lpstr>
      <vt:lpstr>_vena_DYNR_SInputModelpuntInfo1_BB1_7af2b78c_9b251217</vt:lpstr>
      <vt:lpstr>_vena_DYNR_SInputModelpuntInfo1_BB1_7af2b78c_9e0c4a29</vt:lpstr>
      <vt:lpstr>_vena_DYNR_SInputModelpuntInfo1_BB1_7af2b78c_9e118e61</vt:lpstr>
      <vt:lpstr>_vena_DYNR_SInputModelpuntInfo1_BB1_7af2b78c_9e43d3fa</vt:lpstr>
      <vt:lpstr>_vena_DYNR_SInputModelpuntInfo1_BB1_7af2b78c_9f507f6</vt:lpstr>
      <vt:lpstr>_vena_DYNR_SInputModelpuntInfo1_BB1_7af2b78c_9fd4d485</vt:lpstr>
      <vt:lpstr>_vena_DYNR_SInputModelpuntInfo1_BB1_7af2b78c_a0a08b14</vt:lpstr>
      <vt:lpstr>_vena_DYNR_SInputModelpuntInfo1_BB1_7af2b78c_a2073278</vt:lpstr>
      <vt:lpstr>_vena_DYNR_SInputModelpuntInfo1_BB1_7af2b78c_a36dc68d</vt:lpstr>
      <vt:lpstr>_vena_DYNR_SInputModelpuntInfo1_BB1_7af2b78c_a4022a1f</vt:lpstr>
      <vt:lpstr>_vena_DYNR_SInputModelpuntInfo1_BB1_7af2b78c_a43c6937</vt:lpstr>
      <vt:lpstr>_vena_DYNR_SInputModelpuntInfo1_BB1_7af2b78c_a448abc3</vt:lpstr>
      <vt:lpstr>_vena_DYNR_SInputModelpuntInfo1_BB1_7af2b78c_a63bfd6e</vt:lpstr>
      <vt:lpstr>_vena_DYNR_SInputModelpuntInfo1_BB1_7af2b78c_a768938a</vt:lpstr>
      <vt:lpstr>_vena_DYNR_SInputModelpuntInfo1_BB1_7af2b78c_a863fc91</vt:lpstr>
      <vt:lpstr>_vena_DYNR_SInputModelpuntInfo1_BB1_7af2b78c_a8e01e72</vt:lpstr>
      <vt:lpstr>_vena_DYNR_SInputModelpuntInfo1_BB1_7af2b78c_a9526704</vt:lpstr>
      <vt:lpstr>_vena_DYNR_SInputModelpuntInfo1_BB1_7af2b78c_a9aa0943</vt:lpstr>
      <vt:lpstr>_vena_DYNR_SInputModelpuntInfo1_BB1_7af2b78c_aaa11f8c</vt:lpstr>
      <vt:lpstr>_vena_DYNR_SInputModelpuntInfo1_BB1_7af2b78c_aaf75d8a</vt:lpstr>
      <vt:lpstr>_vena_DYNR_SInputModelpuntInfo1_BB1_7af2b78c_ab6b4b4d</vt:lpstr>
      <vt:lpstr>_vena_DYNR_SInputModelpuntInfo1_BB1_7af2b78c_ac2196ba</vt:lpstr>
      <vt:lpstr>_vena_DYNR_SInputModelpuntInfo1_BB1_7af2b78c_acb1bbf2</vt:lpstr>
      <vt:lpstr>_vena_DYNR_SInputModelpuntInfo1_BB1_7af2b78c_aea002b9</vt:lpstr>
      <vt:lpstr>_vena_DYNR_SInputModelpuntInfo1_BB1_7af2b78c_aefd14cc</vt:lpstr>
      <vt:lpstr>_vena_DYNR_SInputModelpuntInfo1_BB1_7af2b78c_af8f8d7e</vt:lpstr>
      <vt:lpstr>_vena_DYNR_SInputModelpuntInfo1_BB1_7af2b78c_afbf6232</vt:lpstr>
      <vt:lpstr>_vena_DYNR_SInputModelpuntInfo1_BB1_7af2b78c_b023a6c2</vt:lpstr>
      <vt:lpstr>_vena_DYNR_SInputModelpuntInfo1_BB1_7af2b78c_b0569b86</vt:lpstr>
      <vt:lpstr>_vena_DYNR_SInputModelpuntInfo1_BB1_7af2b78c_b0a507cf</vt:lpstr>
      <vt:lpstr>_vena_DYNR_SInputModelpuntInfo1_BB1_7af2b78c_b1074170</vt:lpstr>
      <vt:lpstr>_vena_DYNR_SInputModelpuntInfo1_BB1_7af2b78c_b1ebd66</vt:lpstr>
      <vt:lpstr>_vena_DYNR_SInputModelpuntInfo1_BB1_7af2b78c_b25c4dee</vt:lpstr>
      <vt:lpstr>_vena_DYNR_SInputModelpuntInfo1_BB1_7af2b78c_b31f22a1</vt:lpstr>
      <vt:lpstr>_vena_DYNR_SInputModelpuntInfo1_BB1_7af2b78c_b376fc80</vt:lpstr>
      <vt:lpstr>_vena_DYNR_SInputModelpuntInfo1_BB1_7af2b78c_b3891c4b</vt:lpstr>
      <vt:lpstr>_vena_DYNR_SInputModelpuntInfo1_BB1_7af2b78c_b42a42d0</vt:lpstr>
      <vt:lpstr>_vena_DYNR_SInputModelpuntInfo1_BB1_7af2b78c_b493ae26</vt:lpstr>
      <vt:lpstr>_vena_DYNR_SInputModelpuntInfo1_BB1_7af2b78c_b6c9e72a</vt:lpstr>
      <vt:lpstr>_vena_DYNR_SInputModelpuntInfo1_BB1_7af2b78c_b84f7f0a</vt:lpstr>
      <vt:lpstr>_vena_DYNR_SInputModelpuntInfo1_BB1_7af2b78c_b937344d</vt:lpstr>
      <vt:lpstr>_vena_DYNR_SInputModelpuntInfo1_BB1_7af2b78c_bb23214c</vt:lpstr>
      <vt:lpstr>_vena_DYNR_SInputModelpuntInfo1_BB1_7af2b78c_bc1bb7f7</vt:lpstr>
      <vt:lpstr>_vena_DYNR_SInputModelpuntInfo1_BB1_7af2b78c_be878c9e</vt:lpstr>
      <vt:lpstr>_vena_DYNR_SInputModelpuntInfo1_BB1_7af2b78c_bf39eb34</vt:lpstr>
      <vt:lpstr>_vena_DYNR_SInputModelpuntInfo1_BB1_7af2b78c_bf518299</vt:lpstr>
      <vt:lpstr>_vena_DYNR_SInputModelpuntInfo1_BB1_7af2b78c_bfa45c19</vt:lpstr>
      <vt:lpstr>_vena_DYNR_SInputModelpuntInfo1_BB1_7af2b78c_bfdf4eb3</vt:lpstr>
      <vt:lpstr>_vena_DYNR_SInputModelpuntInfo1_BB1_7af2b78c_c06d383f</vt:lpstr>
      <vt:lpstr>_vena_DYNR_SInputModelpuntInfo1_BB1_7af2b78c_c0d18a33</vt:lpstr>
      <vt:lpstr>_vena_DYNR_SInputModelpuntInfo1_BB1_7af2b78c_c0ea6a2d</vt:lpstr>
      <vt:lpstr>_vena_DYNR_SInputModelpuntInfo1_BB1_7af2b78c_c2948888</vt:lpstr>
      <vt:lpstr>_vena_DYNR_SInputModelpuntInfo1_BB1_7af2b78c_c3e68276</vt:lpstr>
      <vt:lpstr>_vena_DYNR_SInputModelpuntInfo1_BB1_7af2b78c_c3f9a6c5</vt:lpstr>
      <vt:lpstr>_vena_DYNR_SInputModelpuntInfo1_BB1_7af2b78c_c519d0a3</vt:lpstr>
      <vt:lpstr>_vena_DYNR_SInputModelpuntInfo1_BB1_7af2b78c_c6a8cf4d</vt:lpstr>
      <vt:lpstr>_vena_DYNR_SInputModelpuntInfo1_BB1_7af2b78c_c6db1ec6</vt:lpstr>
      <vt:lpstr>_vena_DYNR_SInputModelpuntInfo1_BB1_7af2b78c_c7071616</vt:lpstr>
      <vt:lpstr>_vena_DYNR_SInputModelpuntInfo1_BB1_7af2b78c_c79afc1e</vt:lpstr>
      <vt:lpstr>_vena_DYNR_SInputModelpuntInfo1_BB1_7af2b78c_c7f707f4</vt:lpstr>
      <vt:lpstr>_vena_DYNR_SInputModelpuntInfo1_BB1_7af2b78c_c8ba9cca</vt:lpstr>
      <vt:lpstr>_vena_DYNR_SInputModelpuntInfo1_BB1_7af2b78c_c9879dbb</vt:lpstr>
      <vt:lpstr>_vena_DYNR_SInputModelpuntInfo1_BB1_7af2b78c_c9b7af9b</vt:lpstr>
      <vt:lpstr>_vena_DYNR_SInputModelpuntInfo1_BB1_7af2b78c_ca0f71ef</vt:lpstr>
      <vt:lpstr>_vena_DYNR_SInputModelpuntInfo1_BB1_7af2b78c_ca68ec66</vt:lpstr>
      <vt:lpstr>_vena_DYNR_SInputModelpuntInfo1_BB1_7af2b78c_caade14d</vt:lpstr>
      <vt:lpstr>_vena_DYNR_SInputModelpuntInfo1_BB1_7af2b78c_cc2d9ac8</vt:lpstr>
      <vt:lpstr>_vena_DYNR_SInputModelpuntInfo1_BB1_7af2b78c_cc30c35</vt:lpstr>
      <vt:lpstr>_vena_DYNR_SInputModelpuntInfo1_BB1_7af2b78c_cd1435f4</vt:lpstr>
      <vt:lpstr>_vena_DYNR_SInputModelpuntInfo1_BB1_7af2b78c_cd290d11</vt:lpstr>
      <vt:lpstr>_vena_DYNR_SInputModelpuntInfo1_BB1_7af2b78c_ce3c5813</vt:lpstr>
      <vt:lpstr>_vena_DYNR_SInputModelpuntInfo1_BB1_7af2b78c_ce820e87</vt:lpstr>
      <vt:lpstr>_vena_DYNR_SInputModelpuntInfo1_BB1_7af2b78c_cf4961f5</vt:lpstr>
      <vt:lpstr>_vena_DYNR_SInputModelpuntInfo1_BB1_7af2b78c_cff79abb</vt:lpstr>
      <vt:lpstr>_vena_DYNR_SInputModelpuntInfo1_BB1_7af2b78c_d0c4b187</vt:lpstr>
      <vt:lpstr>_vena_DYNR_SInputModelpuntInfo1_BB1_7af2b78c_d1ad3cb5</vt:lpstr>
      <vt:lpstr>_vena_DYNR_SInputModelpuntInfo1_BB1_7af2b78c_d24b2a7</vt:lpstr>
      <vt:lpstr>_vena_DYNR_SInputModelpuntInfo1_BB1_7af2b78c_d4f65764</vt:lpstr>
      <vt:lpstr>_vena_DYNR_SInputModelpuntInfo1_BB1_7af2b78c_d707bf36</vt:lpstr>
      <vt:lpstr>_vena_DYNR_SInputModelpuntInfo1_BB1_7af2b78c_d7b2926</vt:lpstr>
      <vt:lpstr>_vena_DYNR_SInputModelpuntInfo1_BB1_7af2b78c_d84bfb4a</vt:lpstr>
      <vt:lpstr>_vena_DYNR_SInputModelpuntInfo1_BB1_7af2b78c_d87f2c2c</vt:lpstr>
      <vt:lpstr>_vena_DYNR_SInputModelpuntInfo1_BB1_7af2b78c_d8b5073d</vt:lpstr>
      <vt:lpstr>_vena_DYNR_SInputModelpuntInfo1_BB1_7af2b78c_db4b08c4</vt:lpstr>
      <vt:lpstr>_vena_DYNR_SInputModelpuntInfo1_BB1_7af2b78c_dbcc043b</vt:lpstr>
      <vt:lpstr>_vena_DYNR_SInputModelpuntInfo1_BB1_7af2b78c_dc2c5ae5</vt:lpstr>
      <vt:lpstr>_vena_DYNR_SInputModelpuntInfo1_BB1_7af2b78c_dd110e8e</vt:lpstr>
      <vt:lpstr>_vena_DYNR_SInputModelpuntInfo1_BB1_7af2b78c_de422e5a</vt:lpstr>
      <vt:lpstr>_vena_DYNR_SInputModelpuntInfo1_BB1_7af2b78c_de604b7c</vt:lpstr>
      <vt:lpstr>_vena_DYNR_SInputModelpuntInfo1_BB1_7af2b78c_df5f80f5</vt:lpstr>
      <vt:lpstr>_vena_DYNR_SInputModelpuntInfo1_BB1_7af2b78c_df9e34a1</vt:lpstr>
      <vt:lpstr>_vena_DYNR_SInputModelpuntInfo1_BB1_7af2b78c_df9fc99</vt:lpstr>
      <vt:lpstr>_vena_DYNR_SInputModelpuntInfo1_BB1_7af2b78c_e03573ef</vt:lpstr>
      <vt:lpstr>_vena_DYNR_SInputModelpuntInfo1_BB1_7af2b78c_e0736506</vt:lpstr>
      <vt:lpstr>_vena_DYNR_SInputModelpuntInfo1_BB1_7af2b78c_e0b24ccd</vt:lpstr>
      <vt:lpstr>_vena_DYNR_SInputModelpuntInfo1_BB1_7af2b78c_e1336ac4</vt:lpstr>
      <vt:lpstr>_vena_DYNR_SInputModelpuntInfo1_BB1_7af2b78c_e13ee5b7</vt:lpstr>
      <vt:lpstr>_vena_DYNR_SInputModelpuntInfo1_BB1_7af2b78c_e38974e</vt:lpstr>
      <vt:lpstr>_vena_DYNR_SInputModelpuntInfo1_BB1_7af2b78c_e45d18ad</vt:lpstr>
      <vt:lpstr>_vena_DYNR_SInputModelpuntInfo1_BB1_7af2b78c_e5981f71</vt:lpstr>
      <vt:lpstr>_vena_DYNR_SInputModelpuntInfo1_BB1_7af2b78c_e5a66195</vt:lpstr>
      <vt:lpstr>_vena_DYNR_SInputModelpuntInfo1_BB1_7af2b78c_e5de7eb1</vt:lpstr>
      <vt:lpstr>_vena_DYNR_SInputModelpuntInfo1_BB1_7af2b78c_e7d3fe00</vt:lpstr>
      <vt:lpstr>_vena_DYNR_SInputModelpuntInfo1_BB1_7af2b78c_e8c4c2f6</vt:lpstr>
      <vt:lpstr>_vena_DYNR_SInputModelpuntInfo1_BB1_7af2b78c_ec2df56a</vt:lpstr>
      <vt:lpstr>_vena_DYNR_SInputModelpuntInfo1_BB1_7af2b78c_ed2cf09</vt:lpstr>
      <vt:lpstr>_vena_DYNR_SInputModelpuntInfo1_BB1_7af2b78c_ed7d225f</vt:lpstr>
      <vt:lpstr>_vena_DYNR_SInputModelpuntInfo1_BB1_7af2b78c_ef208b30</vt:lpstr>
      <vt:lpstr>_vena_DYNR_SInputModelpuntInfo1_BB1_7af2b78c_ef258a61</vt:lpstr>
      <vt:lpstr>_vena_DYNR_SInputModelpuntInfo1_BB1_7af2b78c_f07ca9c3</vt:lpstr>
      <vt:lpstr>_vena_DYNR_SInputModelpuntInfo1_BB1_7af2b78c_f0e94bdb</vt:lpstr>
      <vt:lpstr>_vena_DYNR_SInputModelpuntInfo1_BB1_7af2b78c_f10c3d29</vt:lpstr>
      <vt:lpstr>_vena_DYNR_SInputModelpuntInfo1_BB1_7af2b78c_f2484443</vt:lpstr>
      <vt:lpstr>_vena_DYNR_SInputModelpuntInfo1_BB1_7af2b78c_f389ebd7</vt:lpstr>
      <vt:lpstr>_vena_DYNR_SInputModelpuntInfo1_BB1_7af2b78c_f448d1c0</vt:lpstr>
      <vt:lpstr>_vena_DYNR_SInputModelpuntInfo1_BB1_7af2b78c_f59f9aa5</vt:lpstr>
      <vt:lpstr>_vena_DYNR_SInputModelpuntInfo1_BB1_7af2b78c_f5da4a7d</vt:lpstr>
      <vt:lpstr>_vena_DYNR_SInputModelpuntInfo1_BB1_7af2b78c_f5f558b0</vt:lpstr>
      <vt:lpstr>_vena_DYNR_SInputModelpuntInfo1_BB1_7af2b78c_f67ecf2e</vt:lpstr>
      <vt:lpstr>_vena_DYNR_SInputModelpuntInfo1_BB1_7af2b78c_f72594fd</vt:lpstr>
      <vt:lpstr>_vena_DYNR_SInputModelpuntInfo1_BB1_7af2b78c_f742dde</vt:lpstr>
      <vt:lpstr>_vena_DYNR_SInputModelpuntInfo1_BB1_7af2b78c_f74e77d1</vt:lpstr>
      <vt:lpstr>_vena_DYNR_SInputModelpuntInfo1_BB1_7af2b78c_f84e01bf</vt:lpstr>
      <vt:lpstr>_vena_DYNR_SInputModelpuntInfo1_BB1_7af2b78c_f9214420</vt:lpstr>
      <vt:lpstr>_vena_DYNR_SInputModelpuntInfo1_BB1_7af2b78c_f9cf3832</vt:lpstr>
      <vt:lpstr>_vena_DYNR_SInputModelpuntInfo1_BB1_7af2b78c_faa2bb07</vt:lpstr>
      <vt:lpstr>_vena_DYNR_SInputModelpuntInfo1_BB1_7af2b78c_fad1dbed</vt:lpstr>
      <vt:lpstr>_vena_DYNR_SInputModelpuntInfo1_BB1_7af2b78c_fb730b98</vt:lpstr>
      <vt:lpstr>_vena_DYNR_SInputModelpuntInfo1_BB1_7af2b78c_fc669361</vt:lpstr>
      <vt:lpstr>_vena_DYNR_SInputModelpuntInfo1_BB1_7af2b78c_fe0e41</vt:lpstr>
      <vt:lpstr>_vena_DYNR_SInputModelpuntInfo1_BB1_7af2b78c_fed3f6af</vt:lpstr>
      <vt:lpstr>_vena_InputModelpuntInfo1_B1_C_6_720393359609823232</vt:lpstr>
      <vt:lpstr>_vena_InputModelpuntInfo1_B1_C_6_720393359609823234</vt:lpstr>
      <vt:lpstr>_vena_InputModelpuntInfo1_B1_C_6_720393359614017537</vt:lpstr>
      <vt:lpstr>_vena_InputModelpuntInfo1_B1_C_6_720393359614017539</vt:lpstr>
      <vt:lpstr>_vena_InputModelpuntInfo1_B1_C_6_720665202280235008_1</vt:lpstr>
      <vt:lpstr>_vena_InputModelpuntInfo1_B1_C_6_720665299868581888</vt:lpstr>
      <vt:lpstr>_vena_InputModelpuntInfo1_B1_C_6_720665407972573184</vt:lpstr>
      <vt:lpstr>_vena_InputModelpuntInfo1_B1_C_6_720691950702952448</vt:lpstr>
      <vt:lpstr>_vena_InputModelpuntInfo1_B1_C_6_720731102261411840</vt:lpstr>
      <vt:lpstr>_vena_InputModelpuntInfo1_B1_C_6_735971751968899072</vt:lpstr>
      <vt:lpstr>_vena_InputModelpuntInfo1_B1_C_6_736286423456546816</vt:lpstr>
      <vt:lpstr>_vena_InputModelpuntInfo1_B1_C_6_737484536015486980</vt:lpstr>
      <vt:lpstr>_vena_InputModelpuntInfo1_B1_C_6_737485107493208064</vt:lpstr>
      <vt:lpstr>_vena_InputModelpuntInfo1_B1_C_6_737485363800178688</vt:lpstr>
      <vt:lpstr>_vena_InputModelpuntInfo1_B1_C_6_737485530494664704</vt:lpstr>
      <vt:lpstr>_vena_InputModelpuntInfo1_B1_C_6_737485666981380096</vt:lpstr>
      <vt:lpstr>_vena_InputModelpuntInfo1_B1_C_6_738099557837045839</vt:lpstr>
      <vt:lpstr>_vena_InputModelpuntInfo1_B1_C_6_738100703410520079</vt:lpstr>
      <vt:lpstr>_vena_InputModelpuntInfo1_B1_C_6_787067506727583744</vt:lpstr>
      <vt:lpstr>_vena_InputModelpuntInfo1_B1_C_6_787067506777915394</vt:lpstr>
      <vt:lpstr>_vena_InputModelpuntInfo1_B1_R_3_1015700822930489354</vt:lpstr>
      <vt:lpstr>_vena_InputModelpuntInfo1_B1_R_3_1015700822968238094</vt:lpstr>
      <vt:lpstr>_vena_InputModelpuntInfo1_B1_R_3_1051217086871765008</vt:lpstr>
      <vt:lpstr>_vena_InputModelpuntInfo1_B1_R_3_718947653497389058</vt:lpstr>
      <vt:lpstr>_vena_InputModelpuntInfo1_B1_R_3_718947653505777666</vt:lpstr>
      <vt:lpstr>_vena_InputModelpuntInfo1_B1_R_3_718947653509971971</vt:lpstr>
      <vt:lpstr>_vena_InputModelpuntInfo1_B1_R_3_718949073356980224</vt:lpstr>
      <vt:lpstr>_vena_InputModelpuntInfo1_B1_R_3_718949073365368832</vt:lpstr>
      <vt:lpstr>_vena_InputModelpuntInfo1_B1_R_3_718949073369563137</vt:lpstr>
      <vt:lpstr>_vena_InputModelpuntInfo1_B1_R_3_718949073373757441</vt:lpstr>
      <vt:lpstr>_vena_InputModelpuntInfo1_B1_R_3_718949073373757443</vt:lpstr>
      <vt:lpstr>_vena_InputModelpuntInfo1_B1_R_3_718949073377951745</vt:lpstr>
      <vt:lpstr>_vena_InputModelpuntInfo1_B1_R_3_718949073382146049</vt:lpstr>
      <vt:lpstr>_vena_InputModelpuntInfo1_B1_R_3_718949073382146051</vt:lpstr>
      <vt:lpstr>_vena_InputModelpuntInfo1_B1_R_3_718949073386340353</vt:lpstr>
      <vt:lpstr>_vena_InputModelpuntInfo1_B1_R_3_718949073390534657</vt:lpstr>
      <vt:lpstr>_vena_InputModelpuntInfo1_B1_R_3_718949073394728961</vt:lpstr>
      <vt:lpstr>_vena_InputModelpuntInfo1_B1_R_3_718949073394728963</vt:lpstr>
      <vt:lpstr>_vena_InputModelpuntInfo1_B1_R_3_718949073398923265</vt:lpstr>
      <vt:lpstr>_vena_InputModelpuntInfo1_B1_R_3_718949073403117569</vt:lpstr>
      <vt:lpstr>_vena_InputModelpuntInfo1_B1_R_3_718949073407311872</vt:lpstr>
      <vt:lpstr>_vena_InputModelpuntInfo1_B1_R_3_718949073411506177</vt:lpstr>
      <vt:lpstr>_vena_InputModelpuntInfo1_B1_R_3_718949073415700481</vt:lpstr>
      <vt:lpstr>_vena_InputModelpuntInfo1_B1_R_3_718949073415700483</vt:lpstr>
      <vt:lpstr>_vena_InputModelpuntInfo1_B1_R_3_718949073419894785</vt:lpstr>
      <vt:lpstr>_vena_InputModelpuntInfo1_B1_R_3_718949073424089089</vt:lpstr>
      <vt:lpstr>_vena_InputModelpuntInfo1_B1_R_3_718949073424089091</vt:lpstr>
      <vt:lpstr>_vena_InputModelpuntInfo1_B1_R_3_718949073428283393</vt:lpstr>
      <vt:lpstr>_vena_InputModelpuntInfo1_B1_R_3_718949073432477697</vt:lpstr>
      <vt:lpstr>_vena_InputModelpuntInfo1_B1_R_3_718949073432477699</vt:lpstr>
      <vt:lpstr>_vena_InputModelpuntInfo1_B1_R_3_718949073436672001</vt:lpstr>
      <vt:lpstr>_vena_InputModelpuntInfo1_B1_R_3_718949073440866305</vt:lpstr>
      <vt:lpstr>_vena_InputModelpuntInfo1_B1_R_3_718949073440866307</vt:lpstr>
      <vt:lpstr>_vena_InputModelpuntInfo1_B1_R_3_718949073445060609</vt:lpstr>
      <vt:lpstr>_vena_InputModelpuntInfo1_B1_R_3_718949073449254913</vt:lpstr>
      <vt:lpstr>_vena_InputModelpuntInfo1_B1_R_3_718949073453449218</vt:lpstr>
      <vt:lpstr>_vena_InputModelpuntInfo1_B1_R_3_718949073457643521</vt:lpstr>
      <vt:lpstr>_vena_InputModelpuntInfo1_B1_R_3_718949073457643523</vt:lpstr>
      <vt:lpstr>_vena_InputModelpuntInfo1_B1_R_3_718949073461837825</vt:lpstr>
      <vt:lpstr>_vena_InputModelpuntInfo1_B1_R_3_718949073466032129</vt:lpstr>
      <vt:lpstr>_vena_InputModelpuntInfo1_B1_R_3_718949073466032131</vt:lpstr>
      <vt:lpstr>_vena_InputModelpuntInfo1_B1_R_3_718949073470226433</vt:lpstr>
      <vt:lpstr>_vena_InputModelpuntInfo1_B1_R_3_718949073474420737</vt:lpstr>
      <vt:lpstr>_vena_InputModelpuntInfo1_B1_R_3_718949073478615041</vt:lpstr>
      <vt:lpstr>_vena_InputModelpuntInfo1_B1_R_3_718949073478615043</vt:lpstr>
      <vt:lpstr>_vena_InputModelpuntInfo1_B1_R_3_718949073482809345</vt:lpstr>
      <vt:lpstr>_vena_InputModelpuntInfo1_B1_R_3_718949073487003649</vt:lpstr>
      <vt:lpstr>_vena_InputModelpuntInfo1_B1_R_3_718949073487003651</vt:lpstr>
      <vt:lpstr>_vena_InputModelpuntInfo1_B1_R_3_718949073491197953</vt:lpstr>
      <vt:lpstr>_vena_InputModelpuntInfo1_B1_R_3_718949073499586560</vt:lpstr>
      <vt:lpstr>_vena_InputModelpuntInfo1_B1_R_3_718949073499586562</vt:lpstr>
      <vt:lpstr>_vena_InputModelpuntInfo1_B1_R_3_718949073503780865</vt:lpstr>
      <vt:lpstr>_vena_InputModelpuntInfo1_B1_R_3_718949073507975169</vt:lpstr>
      <vt:lpstr>_vena_InputModelpuntInfo1_B1_R_3_718949073507975171</vt:lpstr>
      <vt:lpstr>_vena_InputModelpuntInfo1_B1_R_3_718949073512169473</vt:lpstr>
      <vt:lpstr>_vena_InputModelpuntInfo1_B1_R_3_718949073516363777</vt:lpstr>
      <vt:lpstr>_vena_InputModelpuntInfo1_B1_R_3_718949073520558081</vt:lpstr>
      <vt:lpstr>_vena_InputModelpuntInfo1_B1_R_3_718949073520558083</vt:lpstr>
      <vt:lpstr>_vena_InputModelpuntInfo1_B1_R_3_718949073524752385</vt:lpstr>
      <vt:lpstr>_vena_InputModelpuntInfo1_B1_R_3_718949073528946689</vt:lpstr>
      <vt:lpstr>_vena_InputModelpuntInfo1_B1_R_3_718949073528946691</vt:lpstr>
      <vt:lpstr>_vena_InputModelpuntInfo1_B1_R_3_718949073533140993</vt:lpstr>
      <vt:lpstr>_vena_InputModelpuntInfo1_B1_R_3_718949073537335297</vt:lpstr>
      <vt:lpstr>_vena_InputModelpuntInfo1_B1_R_3_718949073537335299</vt:lpstr>
      <vt:lpstr>_vena_InputModelpuntInfo1_B1_R_3_718949073541529601</vt:lpstr>
      <vt:lpstr>_vena_InputModelpuntInfo1_B1_R_3_718949073545723905</vt:lpstr>
      <vt:lpstr>_vena_InputModelpuntInfo1_B1_R_3_718949073549918209</vt:lpstr>
      <vt:lpstr>_vena_InputModelpuntInfo1_B1_R_3_718949073558306816</vt:lpstr>
      <vt:lpstr>_vena_InputModelpuntInfo1_B1_R_3_718949073558306818</vt:lpstr>
      <vt:lpstr>_vena_InputModelpuntInfo1_B1_R_3_718949073566695424</vt:lpstr>
      <vt:lpstr>_vena_InputModelpuntInfo1_B1_R_3_718949073566695426</vt:lpstr>
      <vt:lpstr>_vena_InputModelpuntInfo1_B1_R_3_718949073575084032</vt:lpstr>
      <vt:lpstr>_vena_InputModelpuntInfo1_B1_R_3_718949073575084034</vt:lpstr>
      <vt:lpstr>_vena_InputModelpuntInfo1_B1_R_3_718949073579278337</vt:lpstr>
      <vt:lpstr>_vena_InputModelpuntInfo1_B1_R_3_718949073583472641</vt:lpstr>
      <vt:lpstr>_vena_InputModelpuntInfo1_B1_R_3_718949073583472643</vt:lpstr>
      <vt:lpstr>_vena_InputModelpuntInfo1_B1_R_3_718949073591861248</vt:lpstr>
      <vt:lpstr>_vena_InputModelpuntInfo1_B1_R_3_718949073596055552</vt:lpstr>
      <vt:lpstr>_vena_InputModelpuntInfo1_B1_R_3_718949073600249857</vt:lpstr>
      <vt:lpstr>_vena_InputModelpuntInfo1_B1_R_3_718949073608638464</vt:lpstr>
      <vt:lpstr>_vena_InputModelpuntInfo1_B1_R_3_718949073608638466</vt:lpstr>
      <vt:lpstr>_vena_InputModelpuntInfo1_B1_R_3_718949073612832769</vt:lpstr>
      <vt:lpstr>_vena_InputModelpuntInfo1_B1_R_3_718949073617027073</vt:lpstr>
      <vt:lpstr>_vena_InputModelpuntInfo1_B1_R_3_718949073621221376</vt:lpstr>
      <vt:lpstr>_vena_InputModelpuntInfo1_B1_R_3_718949073625415681</vt:lpstr>
      <vt:lpstr>_vena_InputModelpuntInfo1_B1_R_3_718949073629609985</vt:lpstr>
      <vt:lpstr>_vena_InputModelpuntInfo1_B1_R_3_718949073633804289</vt:lpstr>
      <vt:lpstr>_vena_InputModelpuntInfo1_B1_R_3_718949073637998593</vt:lpstr>
      <vt:lpstr>_vena_InputModelpuntInfo1_B1_R_3_718949073637998595</vt:lpstr>
      <vt:lpstr>_vena_InputModelpuntInfo1_B1_R_3_718949073642192897</vt:lpstr>
      <vt:lpstr>_vena_InputModelpuntInfo1_B1_R_3_718949073646387201</vt:lpstr>
      <vt:lpstr>_vena_InputModelpuntInfo1_B1_R_3_718949073650581505</vt:lpstr>
      <vt:lpstr>_vena_InputModelpuntInfo1_B1_R_3_718949073654775809</vt:lpstr>
      <vt:lpstr>_vena_InputModelpuntInfo1_B1_R_3_718949073654775811</vt:lpstr>
      <vt:lpstr>_vena_InputModelpuntInfo1_B1_R_3_718949073658970113</vt:lpstr>
      <vt:lpstr>_vena_InputModelpuntInfo1_B1_R_3_718949073663164417</vt:lpstr>
      <vt:lpstr>_vena_InputModelpuntInfo1_B1_R_3_718949073667358721</vt:lpstr>
      <vt:lpstr>_vena_InputModelpuntInfo1_B1_R_3_718949073667358723</vt:lpstr>
      <vt:lpstr>_vena_InputModelpuntInfo1_B1_R_3_718949073671553025</vt:lpstr>
      <vt:lpstr>_vena_InputModelpuntInfo1_B1_R_3_718949073675747329</vt:lpstr>
      <vt:lpstr>_vena_InputModelpuntInfo1_B1_R_3_718949073679941633</vt:lpstr>
      <vt:lpstr>_vena_InputModelpuntInfo1_B1_R_3_718949073684135937</vt:lpstr>
      <vt:lpstr>_vena_InputModelpuntInfo1_B1_R_3_718949073684135939</vt:lpstr>
      <vt:lpstr>_vena_InputModelpuntInfo1_B1_R_3_718949073688330241</vt:lpstr>
      <vt:lpstr>_vena_InputModelpuntInfo1_B1_R_3_718949073692524545</vt:lpstr>
      <vt:lpstr>_vena_InputModelpuntInfo1_B1_R_3_718949073696718849</vt:lpstr>
      <vt:lpstr>_vena_InputModelpuntInfo1_B1_R_3_718949073696718851</vt:lpstr>
      <vt:lpstr>_vena_InputModelpuntInfo1_B1_R_3_718949073700913153</vt:lpstr>
      <vt:lpstr>_vena_InputModelpuntInfo1_B1_R_3_718949073705107457</vt:lpstr>
      <vt:lpstr>_vena_InputModelpuntInfo1_B1_R_3_718949073705107459</vt:lpstr>
      <vt:lpstr>_vena_InputModelpuntInfo1_B1_R_3_718949073709301761</vt:lpstr>
      <vt:lpstr>_vena_InputModelpuntInfo1_B1_R_3_718949073713496065</vt:lpstr>
      <vt:lpstr>_vena_InputModelpuntInfo1_B1_R_3_718949073713496067</vt:lpstr>
      <vt:lpstr>_vena_InputModelpuntInfo1_B1_R_3_718949073717690369</vt:lpstr>
      <vt:lpstr>_vena_InputModelpuntInfo1_B1_R_3_718949073721884673</vt:lpstr>
      <vt:lpstr>_vena_InputModelpuntInfo1_B1_R_3_718949073726078977</vt:lpstr>
      <vt:lpstr>_vena_InputModelpuntInfo1_B1_R_3_718949073726078979</vt:lpstr>
      <vt:lpstr>_vena_InputModelpuntInfo1_B1_R_3_718949073730273281</vt:lpstr>
      <vt:lpstr>_vena_InputModelpuntInfo1_B1_R_3_718949073734467585</vt:lpstr>
      <vt:lpstr>_vena_InputModelpuntInfo1_B1_R_3_718949073734467587</vt:lpstr>
      <vt:lpstr>_vena_InputModelpuntInfo1_B1_R_3_718949073738661889</vt:lpstr>
      <vt:lpstr>_vena_InputModelpuntInfo1_B1_R_3_718949073742856193</vt:lpstr>
      <vt:lpstr>_vena_InputModelpuntInfo1_B1_R_3_718949073747050497</vt:lpstr>
      <vt:lpstr>_vena_InputModelpuntInfo1_B1_R_3_718949073751244801</vt:lpstr>
      <vt:lpstr>_vena_InputModelpuntInfo1_B1_R_3_718949073759633408</vt:lpstr>
      <vt:lpstr>_vena_InputModelpuntInfo1_B1_R_3_718949073763827713</vt:lpstr>
      <vt:lpstr>_vena_InputModelpuntInfo1_B1_R_3_718949073768022016</vt:lpstr>
      <vt:lpstr>_vena_InputModelpuntInfo1_B1_R_3_718949073772216321</vt:lpstr>
      <vt:lpstr>_vena_InputModelpuntInfo1_B1_R_3_718949073776410624</vt:lpstr>
      <vt:lpstr>_vena_InputModelpuntInfo1_B1_R_3_718949073780604928</vt:lpstr>
      <vt:lpstr>_vena_InputModelpuntInfo1_B1_R_3_718949073784799233</vt:lpstr>
      <vt:lpstr>_vena_InputModelpuntInfo1_B1_R_3_718949073788993536</vt:lpstr>
      <vt:lpstr>_vena_InputModelpuntInfo1_B1_R_3_718949073788993538</vt:lpstr>
      <vt:lpstr>_vena_InputModelpuntInfo1_B1_R_3_718949073793187841</vt:lpstr>
      <vt:lpstr>_vena_InputModelpuntInfo1_B1_R_3_718949073797382145</vt:lpstr>
      <vt:lpstr>_vena_InputModelpuntInfo1_B1_R_3_718949073801576449</vt:lpstr>
      <vt:lpstr>_vena_InputModelpuntInfo1_B1_R_3_718949073805770753</vt:lpstr>
      <vt:lpstr>_vena_InputModelpuntInfo1_B1_R_3_718949073809965057</vt:lpstr>
      <vt:lpstr>_vena_InputModelpuntInfo1_B1_R_3_718949073809965059</vt:lpstr>
      <vt:lpstr>_vena_InputModelpuntInfo1_B1_R_3_718949073818353664</vt:lpstr>
      <vt:lpstr>_vena_InputModelpuntInfo1_B1_R_3_718949073822547969</vt:lpstr>
      <vt:lpstr>_vena_InputModelpuntInfo1_B1_R_3_718949073826742273</vt:lpstr>
      <vt:lpstr>_vena_InputModelpuntInfo1_B1_R_3_718949073830936577</vt:lpstr>
      <vt:lpstr>_vena_InputModelpuntInfo1_B1_R_3_718949073835130881</vt:lpstr>
      <vt:lpstr>_vena_InputModelpuntInfo1_B1_R_3_718949073839325185</vt:lpstr>
      <vt:lpstr>_vena_InputModelpuntInfo1_B1_R_3_718949073839325187</vt:lpstr>
      <vt:lpstr>_vena_InputModelpuntInfo1_B1_R_3_718949073843519489</vt:lpstr>
      <vt:lpstr>_vena_InputModelpuntInfo1_B1_R_3_718949073847713793</vt:lpstr>
      <vt:lpstr>_vena_InputModelpuntInfo1_B1_R_3_718949073851908096</vt:lpstr>
      <vt:lpstr>_vena_InputModelpuntInfo1_B1_R_3_718949073856102401</vt:lpstr>
      <vt:lpstr>_vena_InputModelpuntInfo1_B1_R_3_718949073860296705</vt:lpstr>
      <vt:lpstr>_vena_InputModelpuntInfo1_B1_R_3_718949073860296707</vt:lpstr>
      <vt:lpstr>_vena_InputModelpuntInfo1_B1_R_3_718949073864491009</vt:lpstr>
      <vt:lpstr>_vena_InputModelpuntInfo1_B1_R_3_718949073868685313</vt:lpstr>
      <vt:lpstr>_vena_InputModelpuntInfo1_B1_R_3_718949073868685315</vt:lpstr>
      <vt:lpstr>_vena_InputModelpuntInfo1_B1_R_3_718949073872879617</vt:lpstr>
      <vt:lpstr>_vena_InputModelpuntInfo1_B1_R_3_718949073877073921</vt:lpstr>
      <vt:lpstr>_vena_InputModelpuntInfo1_B1_R_3_718949073881268225</vt:lpstr>
      <vt:lpstr>_vena_InputModelpuntInfo1_B1_R_3_718949073881268227</vt:lpstr>
      <vt:lpstr>_vena_InputModelpuntInfo1_B1_R_3_718949073885462529</vt:lpstr>
      <vt:lpstr>_vena_InputModelpuntInfo1_B1_R_3_718949073889656833</vt:lpstr>
      <vt:lpstr>_vena_InputModelpuntInfo1_B1_R_3_718949073893851137</vt:lpstr>
      <vt:lpstr>_vena_InputModelpuntInfo1_B1_R_3_718949073893851139</vt:lpstr>
      <vt:lpstr>_vena_InputModelpuntInfo1_B1_R_3_718949073898045441</vt:lpstr>
      <vt:lpstr>_vena_InputModelpuntInfo1_B1_R_3_718949073902239745</vt:lpstr>
      <vt:lpstr>_vena_InputModelpuntInfo1_B1_R_3_718949073902239747</vt:lpstr>
      <vt:lpstr>_vena_InputModelpuntInfo1_B1_R_3_718949073906434049</vt:lpstr>
      <vt:lpstr>_vena_InputModelpuntInfo1_B1_R_3_718949073910628353</vt:lpstr>
      <vt:lpstr>_vena_InputModelpuntInfo1_B1_R_3_718949073914822657</vt:lpstr>
      <vt:lpstr>_vena_InputModelpuntInfo1_B1_R_3_718949073914822659</vt:lpstr>
      <vt:lpstr>_vena_InputModelpuntInfo1_B1_R_3_718949073919016961</vt:lpstr>
      <vt:lpstr>_vena_InputModelpuntInfo1_B1_R_3_718949073923211265</vt:lpstr>
      <vt:lpstr>_vena_InputModelpuntInfo1_B1_R_3_718949073923211267</vt:lpstr>
      <vt:lpstr>_vena_InputModelpuntInfo1_B1_R_3_718949073927405569</vt:lpstr>
      <vt:lpstr>_vena_InputModelpuntInfo1_B1_R_3_718949073931599873</vt:lpstr>
      <vt:lpstr>_vena_InputModelpuntInfo1_B1_R_3_718949073935794176</vt:lpstr>
      <vt:lpstr>_vena_InputModelpuntInfo1_B1_R_3_718949073935794178</vt:lpstr>
      <vt:lpstr>_vena_InputModelpuntInfo1_B1_R_3_718949073939988481</vt:lpstr>
      <vt:lpstr>_vena_InputModelpuntInfo1_B1_R_3_718949073944182785</vt:lpstr>
      <vt:lpstr>_vena_InputModelpuntInfo1_B1_R_3_718949073944182787</vt:lpstr>
      <vt:lpstr>_vena_InputModelpuntInfo1_B1_R_3_718949073948377089</vt:lpstr>
      <vt:lpstr>_vena_InputModelpuntInfo1_B1_R_3_718949073952571393</vt:lpstr>
      <vt:lpstr>_vena_InputModelpuntInfo1_B1_R_3_718949073952571395</vt:lpstr>
      <vt:lpstr>_vena_InputModelpuntInfo1_B1_R_3_718949073956765697</vt:lpstr>
      <vt:lpstr>_vena_InputModelpuntInfo1_B1_R_3_718949073960960001</vt:lpstr>
      <vt:lpstr>_vena_InputModelpuntInfo1_B1_R_3_718949073965154304</vt:lpstr>
      <vt:lpstr>_vena_InputModelpuntInfo1_B1_R_3_718949073965154306</vt:lpstr>
      <vt:lpstr>_vena_InputModelpuntInfo1_B1_R_3_718949073969348609</vt:lpstr>
      <vt:lpstr>_vena_InputModelpuntInfo1_B1_R_3_718949073973542913</vt:lpstr>
      <vt:lpstr>_vena_InputModelpuntInfo1_B1_R_3_718949073973542915</vt:lpstr>
      <vt:lpstr>_vena_InputModelpuntInfo1_B1_R_3_718949073977737217</vt:lpstr>
      <vt:lpstr>_vena_InputModelpuntInfo1_B1_R_3_718949073981931521</vt:lpstr>
      <vt:lpstr>_vena_InputModelpuntInfo1_B1_R_3_718949073986125824</vt:lpstr>
      <vt:lpstr>_vena_InputModelpuntInfo1_B1_R_3_718949073990320129</vt:lpstr>
      <vt:lpstr>_vena_InputModelpuntInfo1_B1_R_3_718949073994514432</vt:lpstr>
      <vt:lpstr>_vena_InputModelpuntInfo1_B1_R_3_718949073998708737</vt:lpstr>
      <vt:lpstr>_vena_InputModelpuntInfo1_B1_R_3_718949073998708739</vt:lpstr>
      <vt:lpstr>_vena_InputModelpuntInfo1_B1_R_3_718949074002903041</vt:lpstr>
      <vt:lpstr>_vena_InputModelpuntInfo1_B1_R_3_718949074007097345</vt:lpstr>
      <vt:lpstr>_vena_InputModelpuntInfo1_B1_R_3_718949074011291649</vt:lpstr>
      <vt:lpstr>_vena_InputModelpuntInfo1_B1_R_3_718949074011291651</vt:lpstr>
      <vt:lpstr>_vena_InputModelpuntInfo1_B1_R_3_718949074015485953</vt:lpstr>
      <vt:lpstr>_vena_InputModelpuntInfo1_B1_R_3_718949074019680257</vt:lpstr>
      <vt:lpstr>_vena_InputModelpuntInfo1_B1_R_3_718949074019680259</vt:lpstr>
      <vt:lpstr>_vena_InputModelpuntInfo1_B1_R_3_718949074023874561</vt:lpstr>
      <vt:lpstr>_vena_InputModelpuntInfo1_B1_R_3_718949074028068865</vt:lpstr>
      <vt:lpstr>_vena_InputModelpuntInfo1_B1_R_3_718949074028068867</vt:lpstr>
      <vt:lpstr>_vena_InputModelpuntInfo1_B1_R_3_718949074032263169</vt:lpstr>
      <vt:lpstr>_vena_InputModelpuntInfo1_B1_R_3_718949074036457473</vt:lpstr>
      <vt:lpstr>_vena_InputModelpuntInfo1_B1_R_3_718949074036457475</vt:lpstr>
      <vt:lpstr>_vena_InputModelpuntInfo1_B1_R_3_718949074040651777</vt:lpstr>
      <vt:lpstr>_vena_InputModelpuntInfo1_B1_R_3_718949074044846081</vt:lpstr>
      <vt:lpstr>_vena_InputModelpuntInfo1_B1_R_3_718949074049040385</vt:lpstr>
      <vt:lpstr>_vena_InputModelpuntInfo1_B1_R_3_718949074049040387</vt:lpstr>
      <vt:lpstr>_vena_InputModelpuntInfo1_B1_R_3_718949074053234689</vt:lpstr>
      <vt:lpstr>_vena_InputModelpuntInfo1_B1_R_3_718949074057428993</vt:lpstr>
      <vt:lpstr>_vena_InputModelpuntInfo1_B1_R_3_718949074057428995</vt:lpstr>
      <vt:lpstr>_vena_InputModelpuntInfo1_B1_R_3_718949074061623297</vt:lpstr>
      <vt:lpstr>_vena_InputModelpuntInfo1_B1_R_3_718949074065817601</vt:lpstr>
      <vt:lpstr>_vena_InputModelpuntInfo1_B1_R_3_718949074065817603</vt:lpstr>
      <vt:lpstr>_vena_InputModelpuntInfo1_B1_R_3_718949074070011905</vt:lpstr>
      <vt:lpstr>_vena_InputModelpuntInfo1_B1_R_3_718949074074206209</vt:lpstr>
      <vt:lpstr>_vena_InputModelpuntInfo1_B1_R_3_718949074078400513</vt:lpstr>
      <vt:lpstr>_vena_InputModelpuntInfo1_B1_R_3_718949074078400515</vt:lpstr>
      <vt:lpstr>_vena_InputModelpuntInfo1_B1_R_3_718949074082594817</vt:lpstr>
      <vt:lpstr>_vena_InputModelpuntInfo1_B1_R_3_718949074086789121</vt:lpstr>
      <vt:lpstr>_vena_InputModelpuntInfo1_B1_R_3_718949074086789123</vt:lpstr>
      <vt:lpstr>_vena_InputModelpuntInfo1_B1_R_3_718949074090983425</vt:lpstr>
      <vt:lpstr>_vena_InputModelpuntInfo1_B1_R_3_718949074095177729</vt:lpstr>
      <vt:lpstr>_vena_InputModelpuntInfo1_B1_R_3_718949074095177731</vt:lpstr>
      <vt:lpstr>_vena_InputModelpuntInfo1_B1_R_3_718949074099372033</vt:lpstr>
      <vt:lpstr>_vena_InputModelpuntInfo1_B1_R_3_718949074103566337</vt:lpstr>
      <vt:lpstr>_vena_InputModelpuntInfo1_B1_R_3_718949074103566339</vt:lpstr>
      <vt:lpstr>_vena_InputModelpuntInfo1_B1_R_3_718949074111954944</vt:lpstr>
      <vt:lpstr>_vena_InputModelpuntInfo1_B1_R_3_718949074111954946</vt:lpstr>
      <vt:lpstr>_vena_InputModelpuntInfo1_B1_R_3_718949074116149249</vt:lpstr>
      <vt:lpstr>_vena_InputModelpuntInfo1_B1_R_3_718949074120343553</vt:lpstr>
      <vt:lpstr>_vena_InputModelpuntInfo1_B1_R_3_718949074124537857</vt:lpstr>
      <vt:lpstr>_vena_InputModelpuntInfo1_B1_R_3_718949074124537859</vt:lpstr>
      <vt:lpstr>_vena_InputModelpuntInfo1_B1_R_3_718949074128732161</vt:lpstr>
      <vt:lpstr>_vena_InputModelpuntInfo1_B1_R_3_718949074132926465</vt:lpstr>
      <vt:lpstr>_vena_InputModelpuntInfo1_B1_R_3_718949074132926467</vt:lpstr>
      <vt:lpstr>_vena_InputModelpuntInfo1_B1_R_3_718949074137120769</vt:lpstr>
      <vt:lpstr>_vena_InputModelpuntInfo1_B1_R_3_718949074141315073</vt:lpstr>
      <vt:lpstr>_vena_InputModelpuntInfo1_B1_R_3_718949074141315075</vt:lpstr>
      <vt:lpstr>_vena_InputModelpuntInfo1_B1_R_3_718949074145509377</vt:lpstr>
      <vt:lpstr>_vena_InputModelpuntInfo1_B1_R_3_718949074149703681</vt:lpstr>
      <vt:lpstr>_vena_InputModelpuntInfo1_B1_R_3_718949074153897985</vt:lpstr>
      <vt:lpstr>_vena_InputModelpuntInfo1_B1_R_3_718949074153897987</vt:lpstr>
      <vt:lpstr>_vena_InputModelpuntInfo1_B1_R_3_718949074158092289</vt:lpstr>
      <vt:lpstr>_vena_InputModelpuntInfo1_B1_R_3_718949074162286593</vt:lpstr>
      <vt:lpstr>_vena_InputModelpuntInfo1_B1_R_3_718949074162286595</vt:lpstr>
      <vt:lpstr>_vena_InputModelpuntInfo1_B1_R_3_718949074166480897</vt:lpstr>
      <vt:lpstr>_vena_InputModelpuntInfo1_B1_R_3_718949074170675201</vt:lpstr>
      <vt:lpstr>_vena_InputModelpuntInfo1_B1_R_3_718949074170675203</vt:lpstr>
      <vt:lpstr>_vena_InputModelpuntInfo1_B1_R_3_718949074174869505</vt:lpstr>
      <vt:lpstr>_vena_InputModelpuntInfo1_B1_R_3_718949074179063809</vt:lpstr>
      <vt:lpstr>_vena_InputModelpuntInfo1_B1_R_3_718949074179063811</vt:lpstr>
      <vt:lpstr>_vena_InputModelpuntInfo1_B1_R_3_718949074183258113</vt:lpstr>
      <vt:lpstr>_vena_InputModelpuntInfo1_B1_R_3_718949074187452417</vt:lpstr>
      <vt:lpstr>_vena_InputModelpuntInfo1_B1_R_3_718949074191646721</vt:lpstr>
      <vt:lpstr>_vena_InputModelpuntInfo1_B1_R_3_718949074191646723</vt:lpstr>
      <vt:lpstr>_vena_InputModelpuntInfo1_B1_R_3_718949074195841025</vt:lpstr>
      <vt:lpstr>_vena_InputModelpuntInfo1_B1_R_3_718949074200035329</vt:lpstr>
      <vt:lpstr>_vena_InputModelpuntInfo1_B1_R_3_718949074200035331</vt:lpstr>
      <vt:lpstr>_vena_InputModelpuntInfo1_B1_R_3_718949074204229633</vt:lpstr>
      <vt:lpstr>_vena_InputModelpuntInfo1_B1_R_3_718949074208423937</vt:lpstr>
      <vt:lpstr>_vena_InputModelpuntInfo1_B1_R_3_718949074212618241</vt:lpstr>
      <vt:lpstr>_vena_InputModelpuntInfo1_B1_R_3_718949074212618243</vt:lpstr>
      <vt:lpstr>_vena_InputModelpuntInfo1_B1_R_3_718949074221006848</vt:lpstr>
      <vt:lpstr>_vena_InputModelpuntInfo1_B1_R_3_718949074221006851</vt:lpstr>
      <vt:lpstr>_vena_InputModelpuntInfo1_B1_R_3_718949074225201153</vt:lpstr>
      <vt:lpstr>_vena_InputModelpuntInfo1_B1_R_3_718949074229395457</vt:lpstr>
      <vt:lpstr>_vena_InputModelpuntInfo1_B1_R_3_718949074229395459</vt:lpstr>
      <vt:lpstr>_vena_InputModelpuntInfo1_B1_R_3_718949074233589761</vt:lpstr>
      <vt:lpstr>_vena_InputModelpuntInfo1_B1_R_3_718949074237784065</vt:lpstr>
      <vt:lpstr>_vena_InputModelpuntInfo1_B1_R_3_718949074237784067</vt:lpstr>
      <vt:lpstr>_vena_InputModelpuntInfo1_B1_R_3_718949074241978369</vt:lpstr>
      <vt:lpstr>_vena_InputModelpuntInfo1_B1_R_3_718949074246172673</vt:lpstr>
      <vt:lpstr>_vena_InputModelpuntInfo1_B1_R_3_718949074246172675</vt:lpstr>
      <vt:lpstr>_vena_InputModelpuntInfo1_B1_R_3_718949074250366977</vt:lpstr>
      <vt:lpstr>_vena_InputModelpuntInfo1_B1_R_3_718949074254561281</vt:lpstr>
      <vt:lpstr>_vena_InputModelpuntInfo1_B1_R_3_718949074258755585</vt:lpstr>
      <vt:lpstr>_vena_InputModelpuntInfo1_B1_R_3_718949074258755587</vt:lpstr>
      <vt:lpstr>_vena_InputModelpuntInfo1_B1_R_3_718949074262949889</vt:lpstr>
      <vt:lpstr>_vena_InputModelpuntInfo1_B1_R_3_718949074267144193</vt:lpstr>
      <vt:lpstr>_vena_InputModelpuntInfo1_B1_R_3_718949074267144195</vt:lpstr>
      <vt:lpstr>_vena_InputModelpuntInfo1_B1_R_3_718949074271338497</vt:lpstr>
      <vt:lpstr>_vena_InputModelpuntInfo1_B1_R_3_733406386659655682</vt:lpstr>
      <vt:lpstr>_vena_InputModelpuntInfo1_B1_R_3_738101605178277888</vt:lpstr>
      <vt:lpstr>_vena_InputModelpuntInfo1_B1_R_3_738101643779637251</vt:lpstr>
      <vt:lpstr>_vena_InputModelpuntInfo1_B1_R_3_738101800095187049</vt:lpstr>
      <vt:lpstr>_vena_InputModelpuntInfo1_B1_R_3_741036978346524672</vt:lpstr>
      <vt:lpstr>_vena_InputModelpuntInfo1_B1_R_3_741036978350718977</vt:lpstr>
      <vt:lpstr>_vena_InputModelpuntInfo1_B1_R_3_741036978350718979</vt:lpstr>
      <vt:lpstr>_vena_InputModelpuntInfo1_B1_R_3_741036978354913281</vt:lpstr>
      <vt:lpstr>_vena_InputModelpuntInfo1_B1_R_3_741036978354913283</vt:lpstr>
      <vt:lpstr>_vena_InputModelpuntInfo1_B1_R_3_741036978354913285</vt:lpstr>
      <vt:lpstr>_vena_InputModelpuntInfo1_B1_R_3_741036978359107585</vt:lpstr>
      <vt:lpstr>_vena_InputModelpuntInfo1_B1_R_3_741036978359107587</vt:lpstr>
      <vt:lpstr>_vena_InputModelpuntInfo1_B1_R_3_741036978359107589</vt:lpstr>
      <vt:lpstr>_vena_InputModelpuntInfo1_B1_R_3_741036978363301889</vt:lpstr>
      <vt:lpstr>_vena_InputModelpuntInfo1_B1_R_3_741036978363301891</vt:lpstr>
      <vt:lpstr>_vena_InputModelpuntInfo1_B1_R_3_741036978367496193</vt:lpstr>
      <vt:lpstr>_vena_InputModelpuntInfo1_B1_R_3_741036978367496195</vt:lpstr>
      <vt:lpstr>_vena_InputModelpuntInfo1_B1_R_3_741036978367496197</vt:lpstr>
      <vt:lpstr>_vena_InputModelpuntInfo1_B1_R_3_741036978371690497</vt:lpstr>
      <vt:lpstr>_vena_InputModelpuntInfo1_B1_R_3_741036978371690499</vt:lpstr>
      <vt:lpstr>_vena_InputModelpuntInfo1_B1_R_3_741036978375884801</vt:lpstr>
      <vt:lpstr>_vena_InputModelpuntInfo1_B1_R_3_741036978375884803</vt:lpstr>
      <vt:lpstr>_vena_InputModelpuntInfo1_B1_R_3_741036978375884805</vt:lpstr>
      <vt:lpstr>_vena_InputModelpuntInfo1_B1_R_3_741036978380079105</vt:lpstr>
      <vt:lpstr>_vena_InputModelpuntInfo1_B1_R_3_741036978380079107</vt:lpstr>
      <vt:lpstr>_vena_InputModelpuntInfo1_B1_R_3_741036978380079109</vt:lpstr>
      <vt:lpstr>_vena_InputModelpuntInfo1_B1_R_3_741036978384273409</vt:lpstr>
      <vt:lpstr>_vena_InputModelpuntInfo1_B1_R_3_741036978384273411</vt:lpstr>
      <vt:lpstr>_vena_InputModelpuntInfo1_B1_R_3_741036978384273413</vt:lpstr>
      <vt:lpstr>_vena_InputModelpuntInfo1_B1_R_3_741036978388467713</vt:lpstr>
      <vt:lpstr>_vena_InputModelpuntInfo1_B1_R_3_741036978388467715</vt:lpstr>
      <vt:lpstr>_vena_InputModelpuntInfo1_B1_R_3_741036978392662016</vt:lpstr>
      <vt:lpstr>_vena_InputModelpuntInfo1_B1_R_3_745374605280018432</vt:lpstr>
      <vt:lpstr>_vena_InputModelpuntInfo1_B1_R_3_745375016732721152</vt:lpstr>
      <vt:lpstr>_vena_InputModelpuntInfo1_B1_R_3_745375106469593088</vt:lpstr>
      <vt:lpstr>_vena_InputModelpuntInfo1_B1_R_3_787067506366873601</vt:lpstr>
      <vt:lpstr>_vena_InputModelpuntInfo1_B1_R_3_787067506375262209</vt:lpstr>
      <vt:lpstr>_vena_InputModelpuntInfo1_B1_R_3_787067506396233730</vt:lpstr>
      <vt:lpstr>_vena_InputModelpuntInfo1_B1_R_3_787067506400428033</vt:lpstr>
      <vt:lpstr>_vena_InputModelpuntInfo1_B1_R_3_787067506425593862</vt:lpstr>
      <vt:lpstr>_vena_InputModelpuntInfo1_B1_R_3_787067506429788172</vt:lpstr>
      <vt:lpstr>_vena_InputModelpuntInfo1_B1_R_3_787067506442371085</vt:lpstr>
      <vt:lpstr>_vena_InputModelpuntInfo1_B1_R_3_787067506459148326</vt:lpstr>
      <vt:lpstr>_vena_InputModelpuntInfo1_B1_R_3_787067506467536902</vt:lpstr>
      <vt:lpstr>_vena_InputModelpuntInfo1_B1_R_3_787067506484314126</vt:lpstr>
      <vt:lpstr>_vena_InputModelpuntInfo1_B1_R_3_787067506509479942</vt:lpstr>
      <vt:lpstr>_vena_InputModelpuntInfo1_B1_R_3_787067506526257152</vt:lpstr>
      <vt:lpstr>_vena_InputModelpuntInfo1_B1_R_3_848292094858231812</vt:lpstr>
      <vt:lpstr>_vena_InputModelpuntInfo1_B1_R_3_947147459226107910</vt:lpstr>
      <vt:lpstr>_vena_InputModelpuntInfo1_B1_R_3_947147459238690817</vt:lpstr>
      <vt:lpstr>_vena_InputModelpuntInfo1_B1_R_3_947147459259662336</vt:lpstr>
      <vt:lpstr>_vena_InputModelpuntInfo1_B1_R_3_947147459272245252</vt:lpstr>
      <vt:lpstr>_vena_InputModelpuntInfo1_B1_R_3_947147459276439554</vt:lpstr>
      <vt:lpstr>_vena_InputModelpuntInfo1_B1_R_3_947147459284828166</vt:lpstr>
      <vt:lpstr>_vena_InputModelpuntInfo1_B1_R_3_947147459297411075</vt:lpstr>
      <vt:lpstr>_vena_InputModelpuntInfo1_B1_R_3_947147459318382595</vt:lpstr>
      <vt:lpstr>_vena_InputModelpuntInfo1_B1_R_3_947147459322576897</vt:lpstr>
      <vt:lpstr>_vena_InputModelpuntInfo1_B1_R_3_947147459377102859</vt:lpstr>
      <vt:lpstr>_vena_InputModelpuntInfo1_B1_R_3_947147459385491457</vt:lpstr>
      <vt:lpstr>_vena_InputModelpuntInfo1_B1_R_3_982737416803450901</vt:lpstr>
      <vt:lpstr>_vena_InputModelpuntInfo1_B1_R_3_982737416811839488</vt:lpstr>
      <vt:lpstr>_vena_InputModelpuntInfo1_B1_R_3_982737416862171137</vt:lpstr>
      <vt:lpstr>_vena_InputModelpuntInfo1_P_4_718931129058590721</vt:lpstr>
      <vt:lpstr>_vena_InputModelpuntInfo1_P_5_718931142656917509</vt:lpstr>
      <vt:lpstr>_vena_InputModelpuntInfo1_P_7_720673044374355968</vt:lpstr>
      <vt:lpstr>_vena_InputModelpuntInfo1_P_FV_18833718d1654aadbc8e26067c178bd5</vt:lpstr>
      <vt:lpstr>_vena_InputModelpuntInfo1_P_FV_a29e5bcf45ca496da8833af34d35696d</vt:lpstr>
      <vt:lpstr>_vena_InputModelpuntInfo2_B1_C_FV_5d39d27143854b42aac3e80e185356a2</vt:lpstr>
      <vt:lpstr>_vena_InputModelpuntInfo2_B1_R_6_733092863753191424</vt:lpstr>
      <vt:lpstr>_vena_InputModelpuntInfo2_B1_R_6_733092908485705728</vt:lpstr>
      <vt:lpstr>_vena_InputModelpuntInfo2_B1_R_6_735209071112224768</vt:lpstr>
      <vt:lpstr>_vena_InputModelpuntInfo2_B1_R_6_735209262570405888</vt:lpstr>
      <vt:lpstr>_vena_InputModelpuntInfo2_P_3_718931117436043267</vt:lpstr>
      <vt:lpstr>_vena_InputModelpuntInfo2_P_4_718931129058590721</vt:lpstr>
      <vt:lpstr>_vena_InputModelpuntInfo2_P_7_720673044374355968</vt:lpstr>
      <vt:lpstr>_vena_InputModelpuntInfo2_P_FV_18833718d1654aadbc8e26067c178bd5</vt:lpstr>
      <vt:lpstr>_vena_InputModelpuntInfo2_P_FV_a29e5bcf45ca496da8833af34d35696d</vt:lpstr>
      <vt:lpstr>_vena_Selectie_P_GV_720667124808679427</vt:lpstr>
      <vt:lpstr>_vena_Selectie_P_GV_720667363321839617</vt:lpstr>
      <vt:lpstr>InleesDataAant</vt:lpstr>
      <vt:lpstr>InleesDataStart</vt:lpstr>
      <vt:lpstr>InvoerRanges</vt:lpstr>
      <vt:lpstr>InvoerTimeStamps</vt:lpstr>
      <vt:lpstr>IxFile</vt:lpstr>
      <vt:lpstr>IxLoc</vt:lpstr>
      <vt:lpstr>IxRcnt</vt:lpstr>
      <vt:lpstr>IxRng</vt:lpstr>
      <vt:lpstr>IxSaved</vt:lpstr>
      <vt:lpstr>IxScRng</vt:lpstr>
      <vt:lpstr>IxScVal</vt:lpstr>
      <vt:lpstr>IxScWs</vt:lpstr>
      <vt:lpstr>IxStart</vt:lpstr>
      <vt:lpstr>IxWb</vt:lpstr>
      <vt:lpstr>IxWs</vt:lpstr>
      <vt:lpstr>LayoutMelding</vt:lpstr>
      <vt:lpstr>LOCok</vt:lpstr>
      <vt:lpstr>MacroLastRun</vt:lpstr>
      <vt:lpstr>Modelpuntoverzicht</vt:lpstr>
      <vt:lpstr>OSM_Info_PerMP</vt:lpstr>
      <vt:lpstr>start1</vt:lpstr>
      <vt:lpstr>start2</vt:lpstr>
    </vt:vector>
  </TitlesOfParts>
  <Company>ASR Nederland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Bruning R. (Rob)</dc:creator>
  <cp:lastModifiedBy>Dries O.C.G. (Oscar)</cp:lastModifiedBy>
  <cp:lastPrinted>2013-02-11T12:19:19Z</cp:lastPrinted>
  <dcterms:created xsi:type="dcterms:W3CDTF">2008-12-10T08:50:11Z</dcterms:created>
  <dcterms:modified xsi:type="dcterms:W3CDTF">2022-04-25T15:54:13Z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0x01010039E2C7A683396D4CBDFAB91B33EC65D2</vt:lpwstr>
  </property>
</Properties>
</file>